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55" documentId="120_S{26355A1A-C9FF-5539-9B49-32C1F08D0326}" xr6:coauthVersionLast="47" xr6:coauthVersionMax="47" xr10:uidLastSave="{9E583C01-3EDA-4160-B9E7-88122B3A746D}"/>
  <bookViews>
    <workbookView xWindow="28680" yWindow="-120" windowWidth="29040" windowHeight="15720" tabRatio="866" firstSheet="9"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66" r:id="rId11"/>
    <pivotCache cacheId="67" r:id="rId12"/>
    <pivotCache cacheId="68" r:id="rId13"/>
    <pivotCache cacheId="69" r:id="rId14"/>
    <pivotCache cacheId="7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60" i="30"/>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<sst xmlns="http://schemas.openxmlformats.org/spreadsheetml/2006/main" count="18338" uniqueCount="2306">
  <si>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</si>
  <si>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</si>
  <si>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</si>
  <si>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</si>
  <si>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</si>
  <si>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</si>
  <si>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</si>
  <si>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</si>
  <si>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</si>
  <si>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</si>
  <si>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</si>
  <si>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</si>
  <si>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</si>
  <si>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</si>
  <si>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</si>
  <si>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</si>
  <si>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</si>
  <si>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</si>
  <si>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</si>
  <si>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</si>
  <si>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</si>
  <si>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</si>
  <si>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</si>
  <si>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</si>
  <si>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</si>
  <si>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</si>
  <si>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</si>
  <si>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</si>
  <si>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</si>
  <si>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</si>
  <si>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</si>
  <si>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</si>
  <si>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</si>
  <si>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</si>
  <si>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</si>
  <si>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</si>
  <si>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</si>
  <si>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</si>
  <si>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</si>
  <si>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</si>
  <si>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</si>
  <si>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</si>
  <si>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</si>
  <si>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</si>
  <si>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</si>
  <si>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</si>
  <si>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</si>
  <si>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</si>
  <si>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</si>
  <si>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</si>
  <si>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</si>
  <si>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</si>
  <si>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</si>
  <si>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</si>
  <si>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</si>
  <si>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</si>
  <si>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</si>
  <si>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</si>
  <si>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</si>
  <si>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</si>
  <si>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</si>
  <si>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</si>
  <si>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</si>
  <si>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</si>
  <si>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</si>
  <si>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</si>
  <si>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</si>
  <si>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</si>
  <si>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</si>
  <si>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</si>
  <si>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</si>
  <si>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</si>
  <si>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</si>
  <si>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</si>
  <si>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</si>
  <si>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</si>
  <si>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</si>
  <si>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</si>
  <si>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</si>
  <si>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</si>
  <si>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</si>
  <si>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</si>
  <si>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</si>
  <si>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</si>
  <si>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</si>
  <si>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</si>
  <si>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11/20 Pending Permit./White lined and door tagged  1-6-2026/LC called 1-7-2026/  2/19 CX Construction Started--Progress At 11% Complete./  2/24 CX Construction Continues--Progress At 32% Complete./  2/25 CX Construction Continues--Progress At 74% Complete.</t>
  </si>
  <si>
    <t>D-HWP108</t>
  </si>
  <si>
    <t>Brothers</t>
  </si>
  <si>
    <t>Miguel</t>
  </si>
  <si>
    <t>PLK105202</t>
  </si>
  <si>
    <t>Pending Locates</t>
  </si>
  <si>
    <t>11/11 Pending Permit./pemit rec 2-4</t>
  </si>
  <si>
    <t>D-HWP110</t>
  </si>
  <si>
    <t>PLK105391</t>
  </si>
  <si>
    <t>10/21 Pending Permit./permit rec 2-4CX starts 3-2-2026</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</si>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</sst>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3" fontId="43" fillId="21" borderId="9" xfId="0" applyNumberFormat="1" applyFont="1" applyFill="1" applyBorder="1" applyAlignment="1">
      <alignment horizont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9" dataDxfId="268" tableBorderDxfId="267">
  <autoFilter ref="A27: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SUM(V28-W28)</calculatedColumnFormula>
    </tableColumn>
    <tableColumn id="25" xr3:uid="{379DDEA3-89EB-4099-83E7-3171E0DEAC62}" name="UG Percentage Complete" dataDxfId="242">
      <calculatedColumnFormula>IFERROR($W28/$V28,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6" dataDxfId="235" tableBorderDxfId="234">
  <autoFilter ref="A10:AD24"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SUM(V11-W11)</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3" dataDxfId="202" tableBorderDxfId="201">
  <autoFilter ref="A1:AD8"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1" tableBorderDxfId="70">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2" dataDxfId="31" headerRowBorderDxfId="30">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H9" activePane="topRight" state="frozen"/>
      <selection pane="topRight" activeCell="K11" sqref="K11"/>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86</v>
      </c>
      <c r="AE11" s="926"/>
    </row>
    <row r="12" spans="1:116" s="927" customFormat="1" ht="24.75" customHeight="1">
      <c r="A12" s="891" t="s">
        <v>87</v>
      </c>
      <c r="B12" s="893" t="s">
        <v>82</v>
      </c>
      <c r="C12" s="892">
        <v>46101</v>
      </c>
      <c r="D12" s="892" t="s">
        <v>88</v>
      </c>
      <c r="E12" s="892">
        <v>46042</v>
      </c>
      <c r="F12" s="893" t="s">
        <v>89</v>
      </c>
      <c r="G12" s="893" t="s">
        <v>90</v>
      </c>
      <c r="H12" s="894">
        <v>79</v>
      </c>
      <c r="I12" s="523" t="s">
        <v>54</v>
      </c>
      <c r="J12" s="894" t="s">
        <v>55</v>
      </c>
      <c r="K12" s="894" t="s">
        <v>91</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92</v>
      </c>
      <c r="AE12" s="926"/>
    </row>
    <row r="13" spans="1:116" s="927" customFormat="1" ht="24.75" customHeight="1">
      <c r="A13" s="891" t="s">
        <v>93</v>
      </c>
      <c r="B13" s="893" t="s">
        <v>82</v>
      </c>
      <c r="C13" s="892">
        <v>46101</v>
      </c>
      <c r="D13" s="892" t="s">
        <v>88</v>
      </c>
      <c r="E13" s="903">
        <v>46042</v>
      </c>
      <c r="F13" s="893" t="s">
        <v>89</v>
      </c>
      <c r="G13" s="904" t="s">
        <v>94</v>
      </c>
      <c r="H13" s="894">
        <v>55</v>
      </c>
      <c r="I13" s="523" t="s">
        <v>54</v>
      </c>
      <c r="J13" s="894" t="s">
        <v>55</v>
      </c>
      <c r="K13" s="894"/>
      <c r="L13" s="903">
        <v>46038</v>
      </c>
      <c r="M13" s="905" t="s">
        <v>56</v>
      </c>
      <c r="N13" s="915">
        <v>44782</v>
      </c>
      <c r="O13" s="905" t="s">
        <v>56</v>
      </c>
      <c r="P13" s="917" t="s">
        <v>57</v>
      </c>
      <c r="Q13" s="908">
        <v>46029</v>
      </c>
      <c r="R13" s="908"/>
      <c r="S13" s="908"/>
      <c r="T13" s="908"/>
      <c r="U13" s="908"/>
      <c r="V13" s="909">
        <v>3690</v>
      </c>
      <c r="W13" s="898"/>
      <c r="X13" s="898">
        <f t="shared" ref="X13:X23" si="3">SUM(V13-W13)</f>
        <v>3690</v>
      </c>
      <c r="Y13" s="524">
        <f t="shared" si="1"/>
        <v>0</v>
      </c>
      <c r="Z13" s="908">
        <v>46083</v>
      </c>
      <c r="AA13" s="900">
        <v>0</v>
      </c>
      <c r="AB13" s="900">
        <v>0</v>
      </c>
      <c r="AC13" s="509">
        <v>0</v>
      </c>
      <c r="AD13" s="901" t="s">
        <v>95</v>
      </c>
      <c r="AE13" s="926"/>
    </row>
    <row r="14" spans="1:116" s="927" customFormat="1" ht="24.75" customHeight="1">
      <c r="A14" s="928" t="s">
        <v>96</v>
      </c>
      <c r="B14" s="893" t="s">
        <v>82</v>
      </c>
      <c r="C14" s="892">
        <v>46041</v>
      </c>
      <c r="D14" s="892"/>
      <c r="E14" s="892"/>
      <c r="F14" s="893"/>
      <c r="G14" s="893" t="s">
        <v>97</v>
      </c>
      <c r="H14" s="894">
        <v>43</v>
      </c>
      <c r="I14" s="523" t="s">
        <v>54</v>
      </c>
      <c r="J14" s="894" t="s">
        <v>98</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99</v>
      </c>
      <c r="AE14" s="926"/>
    </row>
    <row r="15" spans="1:116" ht="24.75" customHeight="1">
      <c r="A15" s="928" t="s">
        <v>100</v>
      </c>
      <c r="B15" s="893" t="s">
        <v>82</v>
      </c>
      <c r="C15" s="903">
        <v>45838</v>
      </c>
      <c r="D15" s="892"/>
      <c r="E15" s="892"/>
      <c r="F15" s="893"/>
      <c r="G15" s="893" t="s">
        <v>101</v>
      </c>
      <c r="H15" s="894">
        <v>26</v>
      </c>
      <c r="I15" s="523" t="s">
        <v>54</v>
      </c>
      <c r="J15" s="894" t="s">
        <v>98</v>
      </c>
      <c r="K15" s="894" t="s">
        <v>102</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103</v>
      </c>
      <c r="AE15" s="933"/>
    </row>
    <row r="16" spans="1:116" ht="24.75" customHeight="1">
      <c r="A16" s="928" t="s">
        <v>104</v>
      </c>
      <c r="B16" s="893" t="s">
        <v>82</v>
      </c>
      <c r="C16" s="892">
        <v>46006</v>
      </c>
      <c r="D16" s="892" t="s">
        <v>88</v>
      </c>
      <c r="E16" s="892">
        <v>45936</v>
      </c>
      <c r="F16" s="893" t="s">
        <v>84</v>
      </c>
      <c r="G16" s="893" t="s">
        <v>105</v>
      </c>
      <c r="H16" s="894">
        <v>0</v>
      </c>
      <c r="I16" s="523" t="s">
        <v>54</v>
      </c>
      <c r="J16" s="894" t="s">
        <v>55</v>
      </c>
      <c r="K16" s="894" t="s">
        <v>102</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98</v>
      </c>
      <c r="K17" s="894" t="s">
        <v>102</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89</v>
      </c>
      <c r="G18" s="893" t="s">
        <v>113</v>
      </c>
      <c r="H18" s="894">
        <v>0</v>
      </c>
      <c r="I18" s="523" t="s">
        <v>54</v>
      </c>
      <c r="J18" s="894" t="s">
        <v>98</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84</v>
      </c>
      <c r="G20" s="893" t="s">
        <v>121</v>
      </c>
      <c r="H20" s="894">
        <v>0</v>
      </c>
      <c r="I20" s="894" t="s">
        <v>54</v>
      </c>
      <c r="J20" s="894" t="s">
        <v>98</v>
      </c>
      <c r="K20" s="894" t="s">
        <v>102</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84</v>
      </c>
      <c r="G21" s="893" t="s">
        <v>124</v>
      </c>
      <c r="H21" s="894">
        <v>0</v>
      </c>
      <c r="I21" s="523" t="s">
        <v>54</v>
      </c>
      <c r="J21" s="894" t="s">
        <v>98</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84</v>
      </c>
      <c r="G22" s="893" t="s">
        <v>128</v>
      </c>
      <c r="H22" s="894">
        <v>0</v>
      </c>
      <c r="I22" s="523" t="s">
        <v>54</v>
      </c>
      <c r="J22" s="894" t="s">
        <v>98</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372"/>
      <c r="L24" s="996"/>
      <c r="M24" s="894" t="s">
        <v>56</v>
      </c>
      <c r="N24" s="1373">
        <v>223.8</v>
      </c>
      <c r="O24" s="894" t="s">
        <v>56</v>
      </c>
      <c r="P24" s="896" t="s">
        <v>76</v>
      </c>
      <c r="Q24" s="1374"/>
      <c r="R24" s="1374"/>
      <c r="S24" s="1374"/>
      <c r="T24" s="1374"/>
      <c r="U24" s="1374"/>
      <c r="V24" s="811">
        <v>0</v>
      </c>
      <c r="W24" s="1267"/>
      <c r="X24" s="1375">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372"/>
      <c r="L28" s="996"/>
      <c r="M28" s="894" t="s">
        <v>56</v>
      </c>
      <c r="N28" s="1373">
        <v>12404.9</v>
      </c>
      <c r="O28" s="665" t="s">
        <v>56</v>
      </c>
      <c r="P28" s="917" t="s">
        <v>71</v>
      </c>
      <c r="Q28" s="1374">
        <v>46077</v>
      </c>
      <c r="R28" s="1374"/>
      <c r="S28" s="1374"/>
      <c r="T28" s="1374"/>
      <c r="U28" s="1374"/>
      <c r="V28" s="1375">
        <v>1111</v>
      </c>
      <c r="W28" s="1375"/>
      <c r="X28" s="1375">
        <f>SUM(V28-W28)</f>
        <v>1111</v>
      </c>
      <c r="Y28" s="692">
        <f>IFERROR($W28/$V28, 0)</f>
        <v>0</v>
      </c>
      <c r="Z28" s="1376"/>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372" t="s">
        <v>74</v>
      </c>
      <c r="L29" s="996"/>
      <c r="M29" s="968" t="s">
        <v>75</v>
      </c>
      <c r="N29" s="1129"/>
      <c r="O29" s="968" t="s">
        <v>75</v>
      </c>
      <c r="P29" s="958" t="s">
        <v>76</v>
      </c>
      <c r="Q29" s="1374"/>
      <c r="R29" s="1374"/>
      <c r="S29" s="1374"/>
      <c r="T29" s="1374"/>
      <c r="U29" s="1374"/>
      <c r="V29" s="1375">
        <v>311</v>
      </c>
      <c r="W29" s="1375"/>
      <c r="X29" s="1375">
        <f>SUM(V29-W29)</f>
        <v>311</v>
      </c>
      <c r="Y29" s="692">
        <f>IFERROR($W29/$V29, 0)</f>
        <v>0</v>
      </c>
      <c r="Z29" s="1376"/>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374">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377">
        <v>0</v>
      </c>
      <c r="I44" s="665" t="s">
        <v>54</v>
      </c>
      <c r="J44" s="668" t="s">
        <v>55</v>
      </c>
      <c r="K44" s="1372"/>
      <c r="L44" s="998"/>
      <c r="M44" s="665" t="s">
        <v>56</v>
      </c>
      <c r="N44" s="1378">
        <v>36998.550000000003</v>
      </c>
      <c r="O44" s="665" t="s">
        <v>56</v>
      </c>
      <c r="P44" s="917" t="s">
        <v>76</v>
      </c>
      <c r="Q44" s="1379"/>
      <c r="R44" s="1379"/>
      <c r="S44" s="1379"/>
      <c r="T44" s="1379"/>
      <c r="U44" s="1379"/>
      <c r="V44" s="1380">
        <v>2944</v>
      </c>
      <c r="W44" s="1375"/>
      <c r="X44" s="1375">
        <f>SUM(V44-W44)</f>
        <v>2944</v>
      </c>
      <c r="Y44" s="524">
        <f>IFERROR($W44/$V44, 0)</f>
        <v>0</v>
      </c>
      <c r="Z44" s="1381"/>
      <c r="AA44" s="900">
        <v>0</v>
      </c>
      <c r="AB44" s="900">
        <v>0</v>
      </c>
      <c r="AC44" s="509">
        <v>0</v>
      </c>
      <c r="AD44" s="901"/>
      <c r="AE44" s="946"/>
    </row>
    <row r="45" spans="1:56" ht="24.75" customHeight="1">
      <c r="A45" s="995" t="s">
        <v>189</v>
      </c>
      <c r="B45" s="667" t="s">
        <v>137</v>
      </c>
      <c r="C45" s="996">
        <v>46079</v>
      </c>
      <c r="D45" s="998"/>
      <c r="E45" s="998"/>
      <c r="F45" s="997"/>
      <c r="G45" s="903" t="s">
        <v>190</v>
      </c>
      <c r="H45" s="1377">
        <v>0</v>
      </c>
      <c r="I45" s="665" t="s">
        <v>54</v>
      </c>
      <c r="J45" s="668" t="s">
        <v>55</v>
      </c>
      <c r="K45" s="1372"/>
      <c r="L45" s="998"/>
      <c r="M45" s="665" t="s">
        <v>56</v>
      </c>
      <c r="N45" s="1378">
        <v>49932.800000000003</v>
      </c>
      <c r="O45" s="665" t="s">
        <v>56</v>
      </c>
      <c r="P45" s="917" t="s">
        <v>76</v>
      </c>
      <c r="Q45" s="1379"/>
      <c r="R45" s="1379"/>
      <c r="S45" s="1379"/>
      <c r="T45" s="1379"/>
      <c r="U45" s="1379"/>
      <c r="V45" s="1380">
        <v>4048</v>
      </c>
      <c r="W45" s="1375"/>
      <c r="X45" s="1375">
        <f>SUM(V45-W45)</f>
        <v>4048</v>
      </c>
      <c r="Y45" s="524">
        <f>IFERROR($W45/$V45, 0)</f>
        <v>0</v>
      </c>
      <c r="Z45" s="1381"/>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372"/>
      <c r="L51" s="998"/>
      <c r="M51" s="905" t="s">
        <v>56</v>
      </c>
      <c r="N51" s="1378">
        <v>118710.8</v>
      </c>
      <c r="O51" s="905" t="s">
        <v>56</v>
      </c>
      <c r="P51" s="896" t="s">
        <v>57</v>
      </c>
      <c r="Q51" s="1379">
        <v>46062</v>
      </c>
      <c r="R51" s="1379"/>
      <c r="S51" s="1379"/>
      <c r="T51" s="1379"/>
      <c r="U51" s="1379"/>
      <c r="V51" s="1380">
        <v>9628</v>
      </c>
      <c r="W51" s="1375">
        <v>5587</v>
      </c>
      <c r="X51" s="1375">
        <f>SUM(V51-W51)</f>
        <v>4041</v>
      </c>
      <c r="Y51" s="524">
        <f>IFERROR($W51/$V51, 0)</f>
        <v>0.58028666389696715</v>
      </c>
      <c r="Z51" s="1379">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377">
        <v>0</v>
      </c>
      <c r="I53" s="665" t="s">
        <v>54</v>
      </c>
      <c r="J53" s="905" t="s">
        <v>55</v>
      </c>
      <c r="K53" s="1372"/>
      <c r="L53" s="998"/>
      <c r="M53" s="905" t="s">
        <v>56</v>
      </c>
      <c r="N53" s="1378">
        <v>15002.75</v>
      </c>
      <c r="O53" s="905" t="s">
        <v>56</v>
      </c>
      <c r="P53" s="917" t="s">
        <v>71</v>
      </c>
      <c r="Q53" s="1379">
        <v>46077</v>
      </c>
      <c r="R53" s="1379"/>
      <c r="S53" s="1379"/>
      <c r="T53" s="1379"/>
      <c r="U53" s="1379"/>
      <c r="V53" s="1380">
        <v>1175</v>
      </c>
      <c r="W53" s="1375"/>
      <c r="X53" s="1375">
        <f>SUM(V53-W53)</f>
        <v>1175</v>
      </c>
      <c r="Y53" s="524">
        <f>IFERROR($W53/$V53, 0)</f>
        <v>0</v>
      </c>
      <c r="Z53" s="1381"/>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377">
        <v>0</v>
      </c>
      <c r="I54" s="665" t="s">
        <v>54</v>
      </c>
      <c r="J54" s="905" t="s">
        <v>55</v>
      </c>
      <c r="K54" s="1372"/>
      <c r="L54" s="998"/>
      <c r="M54" s="905" t="s">
        <v>56</v>
      </c>
      <c r="N54" s="1378">
        <v>12977.65</v>
      </c>
      <c r="O54" s="905" t="s">
        <v>56</v>
      </c>
      <c r="P54" s="917" t="s">
        <v>76</v>
      </c>
      <c r="Q54" s="1379"/>
      <c r="R54" s="1379"/>
      <c r="S54" s="1379"/>
      <c r="T54" s="1379"/>
      <c r="U54" s="1379"/>
      <c r="V54" s="1380">
        <v>1029</v>
      </c>
      <c r="W54" s="1375"/>
      <c r="X54" s="1375">
        <f>SUM(V54-W54)</f>
        <v>1029</v>
      </c>
      <c r="Y54" s="524">
        <f>IFERROR($W54/$V54, 0)</f>
        <v>0</v>
      </c>
      <c r="Z54" s="1381"/>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377">
        <v>107</v>
      </c>
      <c r="I57" s="665" t="s">
        <v>54</v>
      </c>
      <c r="J57" s="964" t="s">
        <v>69</v>
      </c>
      <c r="K57" s="1372" t="s">
        <v>74</v>
      </c>
      <c r="L57" s="998"/>
      <c r="M57" s="968" t="s">
        <v>75</v>
      </c>
      <c r="N57" s="1129"/>
      <c r="O57" s="968" t="s">
        <v>75</v>
      </c>
      <c r="P57" s="958" t="s">
        <v>76</v>
      </c>
      <c r="Q57" s="1379"/>
      <c r="R57" s="1379"/>
      <c r="S57" s="1379"/>
      <c r="T57" s="1379"/>
      <c r="U57" s="1379"/>
      <c r="V57" s="1380">
        <v>9568</v>
      </c>
      <c r="W57" s="1375"/>
      <c r="X57" s="1375">
        <f>SUM(V57-W57)</f>
        <v>9568</v>
      </c>
      <c r="Y57" s="524">
        <f>IFERROR($W57/$V57, 0)</f>
        <v>0</v>
      </c>
      <c r="Z57" s="1381"/>
      <c r="AA57" s="900">
        <v>0</v>
      </c>
      <c r="AB57" s="900">
        <v>0</v>
      </c>
      <c r="AC57" s="909">
        <v>0</v>
      </c>
      <c r="AD57" s="901" t="s">
        <v>220</v>
      </c>
      <c r="AE57" s="946"/>
    </row>
    <row r="58" spans="1:31" ht="24.75" customHeight="1">
      <c r="A58" s="1322" t="s">
        <v>221</v>
      </c>
      <c r="B58" s="667" t="s">
        <v>137</v>
      </c>
      <c r="C58" s="996">
        <v>46174</v>
      </c>
      <c r="D58" s="997"/>
      <c r="E58" s="998"/>
      <c r="F58" s="997"/>
      <c r="G58" s="904"/>
      <c r="H58" s="1377">
        <v>115</v>
      </c>
      <c r="I58" s="665" t="s">
        <v>54</v>
      </c>
      <c r="J58" s="964" t="s">
        <v>69</v>
      </c>
      <c r="K58" s="1372"/>
      <c r="L58" s="998"/>
      <c r="M58" s="905" t="s">
        <v>56</v>
      </c>
      <c r="N58" s="1129">
        <v>125188</v>
      </c>
      <c r="O58" s="905" t="s">
        <v>56</v>
      </c>
      <c r="P58" s="917" t="s">
        <v>76</v>
      </c>
      <c r="Q58" s="1379"/>
      <c r="R58" s="1379"/>
      <c r="S58" s="1379"/>
      <c r="T58" s="1379"/>
      <c r="U58" s="1379"/>
      <c r="V58" s="1380">
        <v>11028</v>
      </c>
      <c r="W58" s="1375"/>
      <c r="X58" s="1375">
        <f>SUM(V58-W58)</f>
        <v>11028</v>
      </c>
      <c r="Y58" s="524">
        <f>IFERROR($W58/$V58, 0)</f>
        <v>0</v>
      </c>
      <c r="Z58" s="1381"/>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98</v>
      </c>
      <c r="K59" s="894" t="s">
        <v>102</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98</v>
      </c>
      <c r="K60" s="894" t="s">
        <v>102</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98</v>
      </c>
      <c r="K61" s="894" t="s">
        <v>102</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382">
        <v>0</v>
      </c>
      <c r="I62" s="522" t="s">
        <v>54</v>
      </c>
      <c r="J62" s="968" t="s">
        <v>98</v>
      </c>
      <c r="K62" s="1383" t="s">
        <v>74</v>
      </c>
      <c r="L62" s="1127"/>
      <c r="M62" s="968" t="s">
        <v>75</v>
      </c>
      <c r="N62" s="1129"/>
      <c r="O62" s="968" t="s">
        <v>75</v>
      </c>
      <c r="P62" s="958" t="s">
        <v>76</v>
      </c>
      <c r="Q62" s="1379"/>
      <c r="R62" s="1379"/>
      <c r="S62" s="1379"/>
      <c r="T62" s="1379"/>
      <c r="U62" s="1379"/>
      <c r="V62" s="1384">
        <v>6202</v>
      </c>
      <c r="W62" s="1385"/>
      <c r="X62" s="1385">
        <f>SUM(V62-W62)</f>
        <v>6202</v>
      </c>
      <c r="Y62" s="691">
        <f>IFERROR($W62/$V62, 0)</f>
        <v>0</v>
      </c>
      <c r="Z62" s="1386"/>
      <c r="AA62" s="1111">
        <v>0</v>
      </c>
      <c r="AB62" s="1141">
        <v>0</v>
      </c>
      <c r="AC62" s="955">
        <v>0</v>
      </c>
      <c r="AD62" s="901" t="s">
        <v>233</v>
      </c>
      <c r="AE62" s="946"/>
    </row>
    <row r="63" spans="1:31" ht="24.75" customHeight="1">
      <c r="A63" s="1253" t="s">
        <v>234</v>
      </c>
      <c r="B63" s="1328" t="s">
        <v>223</v>
      </c>
      <c r="C63" s="996">
        <v>46172</v>
      </c>
      <c r="D63" s="997"/>
      <c r="E63" s="998"/>
      <c r="F63" s="997"/>
      <c r="G63" s="904"/>
      <c r="H63" s="1377">
        <v>402</v>
      </c>
      <c r="I63" s="522" t="s">
        <v>54</v>
      </c>
      <c r="J63" s="968" t="s">
        <v>98</v>
      </c>
      <c r="K63" s="1383" t="s">
        <v>74</v>
      </c>
      <c r="L63" s="998"/>
      <c r="M63" s="1023" t="s">
        <v>75</v>
      </c>
      <c r="N63" s="1348"/>
      <c r="O63" s="1023" t="s">
        <v>75</v>
      </c>
      <c r="P63" s="958" t="s">
        <v>76</v>
      </c>
      <c r="Q63" s="1379"/>
      <c r="R63" s="1379"/>
      <c r="S63" s="1379"/>
      <c r="T63" s="1379"/>
      <c r="U63" s="1379"/>
      <c r="V63" s="1380">
        <v>30807</v>
      </c>
      <c r="W63" s="1375"/>
      <c r="X63" s="1375">
        <f>SUM(V63-W63)</f>
        <v>30807</v>
      </c>
      <c r="Y63" s="524">
        <f>IFERROR($W63/$V63, 0)</f>
        <v>0</v>
      </c>
      <c r="Z63" s="1379"/>
      <c r="AA63" s="1111">
        <v>0</v>
      </c>
      <c r="AB63" s="1141">
        <v>0</v>
      </c>
      <c r="AC63" s="955">
        <v>0</v>
      </c>
      <c r="AD63" s="901"/>
      <c r="AE63" s="946"/>
    </row>
    <row r="64" spans="1:31" ht="24.75" customHeight="1">
      <c r="A64" s="1128" t="s">
        <v>235</v>
      </c>
      <c r="B64" s="1329" t="s">
        <v>236</v>
      </c>
      <c r="C64" s="996">
        <v>46111</v>
      </c>
      <c r="D64" s="997"/>
      <c r="E64" s="998"/>
      <c r="F64" s="997"/>
      <c r="G64" s="904"/>
      <c r="H64" s="1382">
        <v>0</v>
      </c>
      <c r="I64" s="522" t="s">
        <v>54</v>
      </c>
      <c r="J64" s="968" t="s">
        <v>55</v>
      </c>
      <c r="K64" s="1383"/>
      <c r="L64" s="998"/>
      <c r="M64" s="968" t="s">
        <v>56</v>
      </c>
      <c r="N64" s="1129">
        <v>12316.35</v>
      </c>
      <c r="O64" s="968" t="s">
        <v>56</v>
      </c>
      <c r="P64" s="958" t="s">
        <v>76</v>
      </c>
      <c r="Q64" s="1379"/>
      <c r="R64" s="1379"/>
      <c r="S64" s="1379"/>
      <c r="T64" s="1379"/>
      <c r="U64" s="1379"/>
      <c r="V64" s="1380">
        <v>47</v>
      </c>
      <c r="W64" s="1375"/>
      <c r="X64" s="1375">
        <f>SUM(V64-W64)</f>
        <v>47</v>
      </c>
      <c r="Y64" s="524">
        <f>IFERROR($W64/$V64, 0)</f>
        <v>0</v>
      </c>
      <c r="Z64" s="1386"/>
      <c r="AA64" s="1111">
        <v>0</v>
      </c>
      <c r="AB64" s="1141">
        <v>0</v>
      </c>
      <c r="AC64" s="955">
        <v>0</v>
      </c>
      <c r="AD64" s="901" t="s">
        <v>237</v>
      </c>
      <c r="AE64" s="946"/>
    </row>
    <row r="65" spans="1:31" ht="24.75" customHeight="1">
      <c r="A65" s="1128" t="s">
        <v>238</v>
      </c>
      <c r="B65" s="1329" t="s">
        <v>236</v>
      </c>
      <c r="C65" s="996">
        <v>46111</v>
      </c>
      <c r="D65" s="997"/>
      <c r="E65" s="998"/>
      <c r="F65" s="997"/>
      <c r="G65" s="904"/>
      <c r="H65" s="1382">
        <v>0</v>
      </c>
      <c r="I65" s="522" t="s">
        <v>54</v>
      </c>
      <c r="J65" s="968" t="s">
        <v>55</v>
      </c>
      <c r="K65" s="1383"/>
      <c r="L65" s="998"/>
      <c r="M65" s="968" t="s">
        <v>56</v>
      </c>
      <c r="N65" s="1129">
        <v>151170.79999999999</v>
      </c>
      <c r="O65" s="968" t="s">
        <v>56</v>
      </c>
      <c r="P65" s="958" t="s">
        <v>76</v>
      </c>
      <c r="Q65" s="1379"/>
      <c r="R65" s="1379"/>
      <c r="S65" s="1379"/>
      <c r="T65" s="1379"/>
      <c r="U65" s="1379"/>
      <c r="V65" s="1380">
        <v>11789</v>
      </c>
      <c r="W65" s="1375"/>
      <c r="X65" s="1375">
        <f>SUM(V65-W65)</f>
        <v>11789</v>
      </c>
      <c r="Y65" s="524">
        <f>IFERROR($W65/$V65, 0)</f>
        <v>0</v>
      </c>
      <c r="Z65" s="1386"/>
      <c r="AA65" s="1111">
        <v>0</v>
      </c>
      <c r="AB65" s="1141">
        <v>0</v>
      </c>
      <c r="AC65" s="955">
        <v>0</v>
      </c>
      <c r="AD65" s="901" t="s">
        <v>237</v>
      </c>
      <c r="AE65" s="946"/>
    </row>
    <row r="66" spans="1:31" ht="24.75" customHeight="1">
      <c r="A66" s="1330" t="s">
        <v>239</v>
      </c>
      <c r="B66" s="1329" t="s">
        <v>236</v>
      </c>
      <c r="C66" s="996">
        <v>46111</v>
      </c>
      <c r="D66" s="997"/>
      <c r="E66" s="998"/>
      <c r="F66" s="997"/>
      <c r="G66" s="904"/>
      <c r="H66" s="1382">
        <v>0</v>
      </c>
      <c r="I66" s="522" t="s">
        <v>54</v>
      </c>
      <c r="J66" s="968" t="s">
        <v>55</v>
      </c>
      <c r="K66" s="1383"/>
      <c r="L66" s="998"/>
      <c r="M66" s="968" t="s">
        <v>56</v>
      </c>
      <c r="N66" s="1129">
        <v>24122.75</v>
      </c>
      <c r="O66" s="968" t="s">
        <v>56</v>
      </c>
      <c r="P66" s="958" t="s">
        <v>76</v>
      </c>
      <c r="Q66" s="1379"/>
      <c r="R66" s="1379"/>
      <c r="S66" s="1379"/>
      <c r="T66" s="1379"/>
      <c r="U66" s="1379"/>
      <c r="V66" s="1380">
        <v>1925</v>
      </c>
      <c r="W66" s="1375"/>
      <c r="X66" s="1375">
        <f>SUM(V66-W66)</f>
        <v>1925</v>
      </c>
      <c r="Y66" s="524">
        <f>IFERROR($W66/$V66, 0)</f>
        <v>0</v>
      </c>
      <c r="Z66" s="1386"/>
      <c r="AA66" s="1111">
        <v>0</v>
      </c>
      <c r="AB66" s="1141">
        <v>0</v>
      </c>
      <c r="AC66" s="955">
        <v>0</v>
      </c>
      <c r="AD66" s="901" t="s">
        <v>237</v>
      </c>
      <c r="AE66" s="946"/>
    </row>
    <row r="67" spans="1:31" ht="24.75" customHeight="1">
      <c r="A67" s="995" t="s">
        <v>240</v>
      </c>
      <c r="B67" s="1329" t="s">
        <v>236</v>
      </c>
      <c r="C67" s="996">
        <v>46111</v>
      </c>
      <c r="D67" s="997"/>
      <c r="E67" s="998"/>
      <c r="F67" s="997"/>
      <c r="G67" s="904"/>
      <c r="H67" s="1382">
        <v>0</v>
      </c>
      <c r="I67" s="522" t="s">
        <v>54</v>
      </c>
      <c r="J67" s="968" t="s">
        <v>55</v>
      </c>
      <c r="K67" s="1383"/>
      <c r="L67" s="998"/>
      <c r="M67" s="968" t="s">
        <v>56</v>
      </c>
      <c r="N67" s="1129">
        <v>26639.1</v>
      </c>
      <c r="O67" s="968" t="s">
        <v>56</v>
      </c>
      <c r="P67" s="958" t="s">
        <v>76</v>
      </c>
      <c r="Q67" s="1379"/>
      <c r="R67" s="1379"/>
      <c r="S67" s="1379"/>
      <c r="T67" s="1379"/>
      <c r="U67" s="1379"/>
      <c r="V67" s="1380">
        <v>2136</v>
      </c>
      <c r="W67" s="1375"/>
      <c r="X67" s="1375">
        <f>SUM(V67-W67)</f>
        <v>2136</v>
      </c>
      <c r="Y67" s="524">
        <f>IFERROR($W67/$V67, 0)</f>
        <v>0</v>
      </c>
      <c r="Z67" s="1386"/>
      <c r="AA67" s="1111">
        <v>0</v>
      </c>
      <c r="AB67" s="1141">
        <v>0</v>
      </c>
      <c r="AC67" s="955">
        <v>0</v>
      </c>
      <c r="AD67" s="901" t="s">
        <v>237</v>
      </c>
      <c r="AE67" s="946"/>
    </row>
    <row r="68" spans="1:31" ht="24.75" customHeight="1">
      <c r="A68" s="995" t="s">
        <v>241</v>
      </c>
      <c r="B68" s="1329" t="s">
        <v>236</v>
      </c>
      <c r="C68" s="996">
        <v>46111</v>
      </c>
      <c r="D68" s="997"/>
      <c r="E68" s="998"/>
      <c r="F68" s="997"/>
      <c r="G68" s="904"/>
      <c r="H68" s="1382">
        <v>0</v>
      </c>
      <c r="I68" s="522" t="s">
        <v>54</v>
      </c>
      <c r="J68" s="968" t="s">
        <v>55</v>
      </c>
      <c r="K68" s="1383"/>
      <c r="L68" s="998"/>
      <c r="M68" s="968" t="s">
        <v>56</v>
      </c>
      <c r="N68" s="1129">
        <v>1698.25</v>
      </c>
      <c r="O68" s="968" t="s">
        <v>56</v>
      </c>
      <c r="P68" s="958" t="s">
        <v>76</v>
      </c>
      <c r="Q68" s="1379"/>
      <c r="R68" s="1379"/>
      <c r="S68" s="1379"/>
      <c r="T68" s="1379"/>
      <c r="U68" s="1379"/>
      <c r="V68" s="1380">
        <v>105</v>
      </c>
      <c r="W68" s="1375"/>
      <c r="X68" s="1375">
        <f>SUM(V68-W68)</f>
        <v>105</v>
      </c>
      <c r="Y68" s="524">
        <f>IFERROR($W68/$V68, 0)</f>
        <v>0</v>
      </c>
      <c r="Z68" s="1386"/>
      <c r="AA68" s="1111">
        <v>0</v>
      </c>
      <c r="AB68" s="1141">
        <v>0</v>
      </c>
      <c r="AC68" s="955">
        <v>0</v>
      </c>
      <c r="AD68" s="901" t="s">
        <v>237</v>
      </c>
      <c r="AE68" s="946"/>
    </row>
    <row r="69" spans="1:31" ht="24.75" customHeight="1">
      <c r="A69" s="1253" t="s">
        <v>242</v>
      </c>
      <c r="B69" s="1329" t="s">
        <v>236</v>
      </c>
      <c r="C69" s="996">
        <v>46111</v>
      </c>
      <c r="D69" s="997"/>
      <c r="E69" s="998"/>
      <c r="F69" s="997"/>
      <c r="G69" s="904"/>
      <c r="H69" s="1382">
        <v>0</v>
      </c>
      <c r="I69" s="522" t="s">
        <v>54</v>
      </c>
      <c r="J69" s="968" t="s">
        <v>98</v>
      </c>
      <c r="K69" s="1383" t="s">
        <v>74</v>
      </c>
      <c r="L69" s="998"/>
      <c r="M69" s="968" t="s">
        <v>75</v>
      </c>
      <c r="N69" s="1129">
        <v>5779.1</v>
      </c>
      <c r="O69" s="968" t="s">
        <v>56</v>
      </c>
      <c r="P69" s="958" t="s">
        <v>76</v>
      </c>
      <c r="Q69" s="1379"/>
      <c r="R69" s="1379"/>
      <c r="S69" s="1379"/>
      <c r="T69" s="1379"/>
      <c r="U69" s="1379"/>
      <c r="V69" s="1380">
        <v>406</v>
      </c>
      <c r="W69" s="1375"/>
      <c r="X69" s="1375">
        <f>SUM(V69-W69)</f>
        <v>406</v>
      </c>
      <c r="Y69" s="524">
        <f>IFERROR($W69/$V69, 0)</f>
        <v>0</v>
      </c>
      <c r="Z69" s="1386"/>
      <c r="AA69" s="1111">
        <v>0</v>
      </c>
      <c r="AB69" s="1141">
        <v>0</v>
      </c>
      <c r="AC69" s="955">
        <v>0</v>
      </c>
      <c r="AD69" s="901" t="s">
        <v>237</v>
      </c>
      <c r="AE69" s="946"/>
    </row>
    <row r="70" spans="1:31" ht="24.75" customHeight="1">
      <c r="A70" s="1253" t="s">
        <v>243</v>
      </c>
      <c r="B70" s="1329" t="s">
        <v>236</v>
      </c>
      <c r="C70" s="996">
        <v>46111</v>
      </c>
      <c r="D70" s="997"/>
      <c r="E70" s="998"/>
      <c r="F70" s="997"/>
      <c r="G70" s="904"/>
      <c r="H70" s="1382">
        <v>0</v>
      </c>
      <c r="I70" s="522" t="s">
        <v>54</v>
      </c>
      <c r="J70" s="968" t="s">
        <v>98</v>
      </c>
      <c r="K70" s="1383" t="s">
        <v>74</v>
      </c>
      <c r="L70" s="998"/>
      <c r="M70" s="968" t="s">
        <v>75</v>
      </c>
      <c r="N70" s="1129"/>
      <c r="O70" s="968" t="s">
        <v>56</v>
      </c>
      <c r="P70" s="958" t="s">
        <v>76</v>
      </c>
      <c r="Q70" s="1379"/>
      <c r="R70" s="1379"/>
      <c r="S70" s="1379"/>
      <c r="T70" s="1379"/>
      <c r="U70" s="1379"/>
      <c r="V70" s="1380">
        <v>508</v>
      </c>
      <c r="W70" s="1375"/>
      <c r="X70" s="1375">
        <f>SUM(V70-W70)</f>
        <v>508</v>
      </c>
      <c r="Y70" s="524">
        <f>IFERROR($W70/$V70, 0)</f>
        <v>0</v>
      </c>
      <c r="Z70" s="1386"/>
      <c r="AA70" s="1111">
        <v>0</v>
      </c>
      <c r="AB70" s="1141">
        <v>0</v>
      </c>
      <c r="AC70" s="955">
        <v>0</v>
      </c>
      <c r="AD70" s="901" t="s">
        <v>244</v>
      </c>
      <c r="AE70" s="946"/>
    </row>
    <row r="71" spans="1:31" ht="24.75" customHeight="1">
      <c r="A71" s="995" t="s">
        <v>245</v>
      </c>
      <c r="B71" s="1329" t="s">
        <v>236</v>
      </c>
      <c r="C71" s="996">
        <v>46111</v>
      </c>
      <c r="D71" s="997"/>
      <c r="E71" s="998"/>
      <c r="F71" s="997"/>
      <c r="G71" s="904"/>
      <c r="H71" s="1382">
        <v>0</v>
      </c>
      <c r="I71" s="522" t="s">
        <v>54</v>
      </c>
      <c r="J71" s="968" t="s">
        <v>98</v>
      </c>
      <c r="K71" s="1383"/>
      <c r="L71" s="998"/>
      <c r="M71" s="968" t="s">
        <v>56</v>
      </c>
      <c r="N71" s="1129">
        <v>9496.2000000000007</v>
      </c>
      <c r="O71" s="968" t="s">
        <v>56</v>
      </c>
      <c r="P71" s="958" t="s">
        <v>76</v>
      </c>
      <c r="Q71" s="1379"/>
      <c r="R71" s="1379"/>
      <c r="S71" s="1379"/>
      <c r="T71" s="1379"/>
      <c r="U71" s="1379"/>
      <c r="V71" s="1380">
        <v>742</v>
      </c>
      <c r="W71" s="1375"/>
      <c r="X71" s="1375">
        <f>SUM(V71-W71)</f>
        <v>742</v>
      </c>
      <c r="Y71" s="524">
        <f>IFERROR($W71/$V71, 0)</f>
        <v>0</v>
      </c>
      <c r="Z71" s="1386"/>
      <c r="AA71" s="1111">
        <v>0</v>
      </c>
      <c r="AB71" s="1141">
        <v>0</v>
      </c>
      <c r="AC71" s="955">
        <v>0</v>
      </c>
      <c r="AD71" s="901" t="s">
        <v>237</v>
      </c>
      <c r="AE71" s="946"/>
    </row>
    <row r="72" spans="1:31" ht="24.75" customHeight="1">
      <c r="A72" s="1253" t="s">
        <v>246</v>
      </c>
      <c r="B72" s="1329" t="s">
        <v>236</v>
      </c>
      <c r="C72" s="996">
        <v>46111</v>
      </c>
      <c r="D72" s="997"/>
      <c r="E72" s="998"/>
      <c r="F72" s="997"/>
      <c r="G72" s="904"/>
      <c r="H72" s="1382">
        <v>0</v>
      </c>
      <c r="I72" s="522" t="s">
        <v>54</v>
      </c>
      <c r="J72" s="968" t="s">
        <v>98</v>
      </c>
      <c r="K72" s="1383" t="s">
        <v>74</v>
      </c>
      <c r="L72" s="998"/>
      <c r="M72" s="968" t="s">
        <v>75</v>
      </c>
      <c r="N72" s="1129">
        <v>16760.150000000001</v>
      </c>
      <c r="O72" s="968" t="s">
        <v>56</v>
      </c>
      <c r="P72" s="958" t="s">
        <v>76</v>
      </c>
      <c r="Q72" s="1379"/>
      <c r="R72" s="1379"/>
      <c r="S72" s="1379"/>
      <c r="T72" s="1379"/>
      <c r="U72" s="1379"/>
      <c r="V72" s="1380">
        <v>1329</v>
      </c>
      <c r="W72" s="1375"/>
      <c r="X72" s="1375">
        <f>SUM(V72-W72)</f>
        <v>1329</v>
      </c>
      <c r="Y72" s="524">
        <f>IFERROR($W72/$V72, 0)</f>
        <v>0</v>
      </c>
      <c r="Z72" s="1386"/>
      <c r="AA72" s="1111">
        <v>0</v>
      </c>
      <c r="AB72" s="1141">
        <v>0</v>
      </c>
      <c r="AC72" s="955">
        <v>0</v>
      </c>
      <c r="AD72" s="901" t="s">
        <v>244</v>
      </c>
      <c r="AE72" s="946"/>
    </row>
    <row r="73" spans="1:31" ht="24.75" customHeight="1">
      <c r="A73" s="1253" t="s">
        <v>247</v>
      </c>
      <c r="B73" s="1329" t="s">
        <v>236</v>
      </c>
      <c r="C73" s="996">
        <v>46111</v>
      </c>
      <c r="D73" s="997"/>
      <c r="E73" s="998"/>
      <c r="F73" s="997"/>
      <c r="G73" s="904"/>
      <c r="H73" s="1382">
        <v>0</v>
      </c>
      <c r="I73" s="522" t="s">
        <v>54</v>
      </c>
      <c r="J73" s="968" t="s">
        <v>98</v>
      </c>
      <c r="K73" s="1383" t="s">
        <v>74</v>
      </c>
      <c r="L73" s="998"/>
      <c r="M73" s="968" t="s">
        <v>75</v>
      </c>
      <c r="N73" s="1129">
        <v>14178.2</v>
      </c>
      <c r="O73" s="968" t="s">
        <v>56</v>
      </c>
      <c r="P73" s="958" t="s">
        <v>76</v>
      </c>
      <c r="Q73" s="1379"/>
      <c r="R73" s="1379"/>
      <c r="S73" s="1379"/>
      <c r="T73" s="1379"/>
      <c r="U73" s="1379"/>
      <c r="V73" s="1380">
        <v>1124</v>
      </c>
      <c r="W73" s="1375"/>
      <c r="X73" s="1375">
        <f>SUM(V73-W73)</f>
        <v>1124</v>
      </c>
      <c r="Y73" s="524">
        <f>IFERROR($W73/$V73, 0)</f>
        <v>0</v>
      </c>
      <c r="Z73" s="1386"/>
      <c r="AA73" s="1111">
        <v>0</v>
      </c>
      <c r="AB73" s="1141">
        <v>0</v>
      </c>
      <c r="AC73" s="955">
        <v>0</v>
      </c>
      <c r="AD73" s="901" t="s">
        <v>244</v>
      </c>
      <c r="AE73" s="946"/>
    </row>
    <row r="74" spans="1:31" ht="24.75" customHeight="1">
      <c r="A74" s="995" t="s">
        <v>248</v>
      </c>
      <c r="B74" s="1329" t="s">
        <v>236</v>
      </c>
      <c r="C74" s="996">
        <v>46111</v>
      </c>
      <c r="D74" s="997"/>
      <c r="E74" s="998"/>
      <c r="F74" s="997"/>
      <c r="G74" s="904"/>
      <c r="H74" s="1382">
        <v>0</v>
      </c>
      <c r="I74" s="522" t="s">
        <v>54</v>
      </c>
      <c r="J74" s="968" t="s">
        <v>98</v>
      </c>
      <c r="K74" s="1383" t="s">
        <v>74</v>
      </c>
      <c r="L74" s="998"/>
      <c r="M74" s="968" t="s">
        <v>75</v>
      </c>
      <c r="N74" s="1129"/>
      <c r="O74" s="968" t="s">
        <v>75</v>
      </c>
      <c r="P74" s="958" t="s">
        <v>76</v>
      </c>
      <c r="Q74" s="1379"/>
      <c r="R74" s="1379"/>
      <c r="S74" s="1379"/>
      <c r="T74" s="1379"/>
      <c r="U74" s="1379"/>
      <c r="V74" s="1384"/>
      <c r="W74" s="1385"/>
      <c r="X74" s="1385">
        <f>SUM(V74-W74)</f>
        <v>0</v>
      </c>
      <c r="Y74" s="691">
        <f>IFERROR($W74/$V74, 0)</f>
        <v>0</v>
      </c>
      <c r="Z74" s="1386"/>
      <c r="AA74" s="1111">
        <v>0</v>
      </c>
      <c r="AB74" s="1141">
        <v>0</v>
      </c>
      <c r="AC74" s="955">
        <v>0</v>
      </c>
      <c r="AD74" s="901" t="s">
        <v>249</v>
      </c>
      <c r="AE74" s="946"/>
    </row>
    <row r="75" spans="1:31" ht="24.75" customHeight="1">
      <c r="A75" s="995" t="s">
        <v>250</v>
      </c>
      <c r="B75" s="1329" t="s">
        <v>236</v>
      </c>
      <c r="C75" s="996">
        <v>46111</v>
      </c>
      <c r="D75" s="997"/>
      <c r="E75" s="998"/>
      <c r="F75" s="997"/>
      <c r="G75" s="904"/>
      <c r="H75" s="1382">
        <v>0</v>
      </c>
      <c r="I75" s="522" t="s">
        <v>54</v>
      </c>
      <c r="J75" s="968" t="s">
        <v>98</v>
      </c>
      <c r="K75" s="1383" t="s">
        <v>74</v>
      </c>
      <c r="L75" s="998"/>
      <c r="M75" s="968" t="s">
        <v>75</v>
      </c>
      <c r="N75" s="1129"/>
      <c r="O75" s="968" t="s">
        <v>75</v>
      </c>
      <c r="P75" s="958" t="s">
        <v>76</v>
      </c>
      <c r="Q75" s="1379"/>
      <c r="R75" s="1379"/>
      <c r="S75" s="1379"/>
      <c r="T75" s="1379"/>
      <c r="U75" s="1379"/>
      <c r="V75" s="1384"/>
      <c r="W75" s="1385"/>
      <c r="X75" s="1385">
        <f>SUM(V75-W75)</f>
        <v>0</v>
      </c>
      <c r="Y75" s="519">
        <f>IFERROR($W75/$V75, 0)</f>
        <v>0</v>
      </c>
      <c r="Z75" s="1387"/>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361">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98</v>
      </c>
      <c r="K83" s="964" t="s">
        <v>102</v>
      </c>
      <c r="L83" s="1030"/>
      <c r="M83" s="968" t="s">
        <v>75</v>
      </c>
      <c r="N83" s="1129"/>
      <c r="O83" s="968" t="s">
        <v>75</v>
      </c>
      <c r="P83" s="958" t="s">
        <v>76</v>
      </c>
      <c r="Q83" s="1388"/>
      <c r="R83" s="1013"/>
      <c r="S83" s="1013"/>
      <c r="T83" s="1013"/>
      <c r="U83" s="1013"/>
      <c r="V83" s="978">
        <v>4564</v>
      </c>
      <c r="W83" s="940"/>
      <c r="X83" s="978">
        <v>4564</v>
      </c>
      <c r="Y83" s="871"/>
      <c r="Z83" s="1389"/>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98</v>
      </c>
      <c r="K84" s="964" t="s">
        <v>102</v>
      </c>
      <c r="L84" s="1030"/>
      <c r="M84" s="968" t="s">
        <v>75</v>
      </c>
      <c r="N84" s="1129"/>
      <c r="O84" s="968" t="s">
        <v>75</v>
      </c>
      <c r="P84" s="958" t="s">
        <v>76</v>
      </c>
      <c r="Q84" s="1388"/>
      <c r="R84" s="1013"/>
      <c r="S84" s="1013"/>
      <c r="T84" s="1013"/>
      <c r="U84" s="1013"/>
      <c r="V84" s="978">
        <v>5936</v>
      </c>
      <c r="W84" s="940"/>
      <c r="X84" s="978">
        <v>5936</v>
      </c>
      <c r="Y84" s="871"/>
      <c r="Z84" s="1389"/>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98</v>
      </c>
      <c r="K85" s="964" t="s">
        <v>102</v>
      </c>
      <c r="L85" s="1030"/>
      <c r="M85" s="968" t="s">
        <v>56</v>
      </c>
      <c r="N85" s="1129">
        <v>82732</v>
      </c>
      <c r="O85" s="968" t="s">
        <v>56</v>
      </c>
      <c r="P85" s="958" t="s">
        <v>76</v>
      </c>
      <c r="Q85" s="1388"/>
      <c r="R85" s="1013"/>
      <c r="S85" s="1013"/>
      <c r="T85" s="1013"/>
      <c r="U85" s="1013"/>
      <c r="V85" s="978">
        <v>7117</v>
      </c>
      <c r="W85" s="940"/>
      <c r="X85" s="978">
        <v>7117</v>
      </c>
      <c r="Y85" s="871"/>
      <c r="Z85" s="1389"/>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98</v>
      </c>
      <c r="K86" s="964" t="s">
        <v>102</v>
      </c>
      <c r="L86" s="1030"/>
      <c r="M86" s="968" t="s">
        <v>56</v>
      </c>
      <c r="N86" s="1129">
        <v>110980</v>
      </c>
      <c r="O86" s="968" t="s">
        <v>56</v>
      </c>
      <c r="P86" s="958" t="s">
        <v>76</v>
      </c>
      <c r="Q86" s="1388"/>
      <c r="R86" s="1013"/>
      <c r="S86" s="1013"/>
      <c r="T86" s="1013"/>
      <c r="U86" s="1013"/>
      <c r="V86" s="978">
        <v>9590</v>
      </c>
      <c r="W86" s="940"/>
      <c r="X86" s="978">
        <v>9590</v>
      </c>
      <c r="Y86" s="871"/>
      <c r="Z86" s="1389"/>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98</v>
      </c>
      <c r="K87" s="964" t="s">
        <v>102</v>
      </c>
      <c r="L87" s="1030"/>
      <c r="M87" s="968" t="s">
        <v>56</v>
      </c>
      <c r="N87" s="1129">
        <v>108948</v>
      </c>
      <c r="O87" s="968" t="s">
        <v>56</v>
      </c>
      <c r="P87" s="958" t="s">
        <v>76</v>
      </c>
      <c r="Q87" s="1388"/>
      <c r="R87" s="1013"/>
      <c r="S87" s="1013"/>
      <c r="T87" s="1013"/>
      <c r="U87" s="1013"/>
      <c r="V87" s="978">
        <v>9329</v>
      </c>
      <c r="W87" s="940"/>
      <c r="X87" s="978">
        <v>9329</v>
      </c>
      <c r="Y87" s="871"/>
      <c r="Z87" s="1389"/>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98</v>
      </c>
      <c r="K88" s="964" t="s">
        <v>102</v>
      </c>
      <c r="L88" s="1030"/>
      <c r="M88" s="968" t="s">
        <v>56</v>
      </c>
      <c r="N88" s="1129">
        <v>116114</v>
      </c>
      <c r="O88" s="968" t="s">
        <v>56</v>
      </c>
      <c r="P88" s="958" t="s">
        <v>76</v>
      </c>
      <c r="Q88" s="1388"/>
      <c r="R88" s="1013"/>
      <c r="S88" s="1013"/>
      <c r="T88" s="1013"/>
      <c r="U88" s="1013"/>
      <c r="V88" s="978">
        <v>9709</v>
      </c>
      <c r="W88" s="940"/>
      <c r="X88" s="978">
        <v>9709</v>
      </c>
      <c r="Y88" s="871"/>
      <c r="Z88" s="1389"/>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98</v>
      </c>
      <c r="K89" s="964" t="s">
        <v>102</v>
      </c>
      <c r="L89" s="1030"/>
      <c r="M89" s="968" t="s">
        <v>56</v>
      </c>
      <c r="N89" s="1129">
        <v>108665</v>
      </c>
      <c r="O89" s="968" t="s">
        <v>56</v>
      </c>
      <c r="P89" s="958" t="s">
        <v>76</v>
      </c>
      <c r="Q89" s="1388"/>
      <c r="R89" s="1013"/>
      <c r="S89" s="1013"/>
      <c r="T89" s="1013"/>
      <c r="U89" s="1013"/>
      <c r="V89" s="978">
        <v>9263</v>
      </c>
      <c r="W89" s="940"/>
      <c r="X89" s="978">
        <v>9263</v>
      </c>
      <c r="Y89" s="871"/>
      <c r="Z89" s="1389"/>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98</v>
      </c>
      <c r="K90" s="964" t="s">
        <v>102</v>
      </c>
      <c r="L90" s="1030"/>
      <c r="M90" s="968" t="s">
        <v>56</v>
      </c>
      <c r="N90" s="1129">
        <v>120731</v>
      </c>
      <c r="O90" s="968" t="s">
        <v>56</v>
      </c>
      <c r="P90" s="958" t="s">
        <v>76</v>
      </c>
      <c r="Q90" s="1388"/>
      <c r="R90" s="1013"/>
      <c r="S90" s="1013"/>
      <c r="T90" s="1013"/>
      <c r="U90" s="1013"/>
      <c r="V90" s="978">
        <v>10385</v>
      </c>
      <c r="W90" s="940"/>
      <c r="X90" s="978">
        <v>10385</v>
      </c>
      <c r="Y90" s="871"/>
      <c r="Z90" s="1389"/>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98</v>
      </c>
      <c r="K91" s="964" t="s">
        <v>102</v>
      </c>
      <c r="L91" s="1030"/>
      <c r="M91" s="968" t="s">
        <v>56</v>
      </c>
      <c r="N91" s="1129">
        <v>111864</v>
      </c>
      <c r="O91" s="968" t="s">
        <v>56</v>
      </c>
      <c r="P91" s="958" t="s">
        <v>76</v>
      </c>
      <c r="Q91" s="1388"/>
      <c r="R91" s="1013"/>
      <c r="S91" s="1013"/>
      <c r="T91" s="1013"/>
      <c r="U91" s="1013"/>
      <c r="V91" s="978">
        <v>9398</v>
      </c>
      <c r="W91" s="940"/>
      <c r="X91" s="978">
        <v>9398</v>
      </c>
      <c r="Y91" s="871"/>
      <c r="Z91" s="1389"/>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98</v>
      </c>
      <c r="K92" s="964" t="s">
        <v>102</v>
      </c>
      <c r="L92" s="1030"/>
      <c r="M92" s="968" t="s">
        <v>56</v>
      </c>
      <c r="N92" s="1129">
        <v>88533.5</v>
      </c>
      <c r="O92" s="968" t="s">
        <v>56</v>
      </c>
      <c r="P92" s="958" t="s">
        <v>76</v>
      </c>
      <c r="Q92" s="1388"/>
      <c r="R92" s="1013"/>
      <c r="S92" s="1013"/>
      <c r="T92" s="1013"/>
      <c r="U92" s="1013"/>
      <c r="V92" s="978">
        <v>7517</v>
      </c>
      <c r="W92" s="940"/>
      <c r="X92" s="978">
        <v>7517</v>
      </c>
      <c r="Y92" s="871"/>
      <c r="Z92" s="1389"/>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98</v>
      </c>
      <c r="K93" s="964" t="s">
        <v>102</v>
      </c>
      <c r="L93" s="1030"/>
      <c r="M93" s="968" t="s">
        <v>56</v>
      </c>
      <c r="N93" s="1129">
        <v>75143.5</v>
      </c>
      <c r="O93" s="968" t="s">
        <v>56</v>
      </c>
      <c r="P93" s="958" t="s">
        <v>76</v>
      </c>
      <c r="Q93" s="1388"/>
      <c r="R93" s="1013"/>
      <c r="S93" s="1013"/>
      <c r="T93" s="1013"/>
      <c r="U93" s="1013"/>
      <c r="V93" s="978">
        <v>5920</v>
      </c>
      <c r="W93" s="940"/>
      <c r="X93" s="978">
        <v>5920</v>
      </c>
      <c r="Y93" s="871"/>
      <c r="Z93" s="1389"/>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98</v>
      </c>
      <c r="K94" s="964" t="s">
        <v>102</v>
      </c>
      <c r="L94" s="1030"/>
      <c r="M94" s="968" t="s">
        <v>56</v>
      </c>
      <c r="N94" s="1129">
        <v>66890</v>
      </c>
      <c r="O94" s="968" t="s">
        <v>56</v>
      </c>
      <c r="P94" s="958" t="s">
        <v>76</v>
      </c>
      <c r="Q94" s="1388"/>
      <c r="R94" s="1013"/>
      <c r="S94" s="1013"/>
      <c r="T94" s="1013"/>
      <c r="U94" s="1013"/>
      <c r="V94" s="978">
        <v>5589</v>
      </c>
      <c r="W94" s="940"/>
      <c r="X94" s="978">
        <v>5589</v>
      </c>
      <c r="Y94" s="871"/>
      <c r="Z94" s="1389"/>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98</v>
      </c>
      <c r="K95" s="964" t="s">
        <v>102</v>
      </c>
      <c r="L95" s="1030"/>
      <c r="M95" s="968" t="s">
        <v>56</v>
      </c>
      <c r="N95" s="1129">
        <v>65974</v>
      </c>
      <c r="O95" s="968" t="s">
        <v>56</v>
      </c>
      <c r="P95" s="958" t="s">
        <v>76</v>
      </c>
      <c r="Q95" s="1388"/>
      <c r="R95" s="1013"/>
      <c r="S95" s="1013"/>
      <c r="T95" s="1013"/>
      <c r="U95" s="1013"/>
      <c r="V95" s="978">
        <v>5515</v>
      </c>
      <c r="W95" s="940"/>
      <c r="X95" s="978">
        <v>5515</v>
      </c>
      <c r="Y95" s="871"/>
      <c r="Z95" s="1389"/>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98</v>
      </c>
      <c r="K96" s="964" t="s">
        <v>102</v>
      </c>
      <c r="L96" s="1030"/>
      <c r="M96" s="968" t="s">
        <v>56</v>
      </c>
      <c r="N96" s="1129">
        <v>63989.5</v>
      </c>
      <c r="O96" s="968" t="s">
        <v>56</v>
      </c>
      <c r="P96" s="958" t="s">
        <v>76</v>
      </c>
      <c r="Q96" s="1388"/>
      <c r="R96" s="1013"/>
      <c r="S96" s="1013"/>
      <c r="T96" s="1013"/>
      <c r="U96" s="1013"/>
      <c r="V96" s="978">
        <v>5191</v>
      </c>
      <c r="W96" s="940"/>
      <c r="X96" s="978">
        <v>5191</v>
      </c>
      <c r="Y96" s="871"/>
      <c r="Z96" s="1389"/>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98</v>
      </c>
      <c r="K97" s="964" t="s">
        <v>102</v>
      </c>
      <c r="L97" s="1030"/>
      <c r="M97" s="968" t="s">
        <v>56</v>
      </c>
      <c r="N97" s="1129">
        <v>67355.5</v>
      </c>
      <c r="O97" s="968" t="s">
        <v>56</v>
      </c>
      <c r="P97" s="958" t="s">
        <v>76</v>
      </c>
      <c r="Q97" s="1388"/>
      <c r="R97" s="1013"/>
      <c r="S97" s="1013"/>
      <c r="T97" s="1013"/>
      <c r="U97" s="1013"/>
      <c r="V97" s="978">
        <v>5620</v>
      </c>
      <c r="W97" s="940"/>
      <c r="X97" s="978">
        <v>5620</v>
      </c>
      <c r="Y97" s="871"/>
      <c r="Z97" s="1389"/>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98</v>
      </c>
      <c r="K98" s="964" t="s">
        <v>102</v>
      </c>
      <c r="L98" s="1030"/>
      <c r="M98" s="968" t="s">
        <v>56</v>
      </c>
      <c r="N98" s="1129">
        <v>86438.5</v>
      </c>
      <c r="O98" s="968" t="s">
        <v>56</v>
      </c>
      <c r="P98" s="958" t="s">
        <v>76</v>
      </c>
      <c r="Q98" s="1388"/>
      <c r="R98" s="1013"/>
      <c r="S98" s="1013"/>
      <c r="T98" s="1013"/>
      <c r="U98" s="1013"/>
      <c r="V98" s="978">
        <v>6864</v>
      </c>
      <c r="W98" s="940"/>
      <c r="X98" s="978">
        <v>6864</v>
      </c>
      <c r="Y98" s="871"/>
      <c r="Z98" s="1389"/>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98</v>
      </c>
      <c r="K99" s="964" t="s">
        <v>102</v>
      </c>
      <c r="L99" s="1030"/>
      <c r="M99" s="968" t="s">
        <v>56</v>
      </c>
      <c r="N99" s="1129">
        <v>88748.5</v>
      </c>
      <c r="O99" s="968" t="s">
        <v>56</v>
      </c>
      <c r="P99" s="958" t="s">
        <v>76</v>
      </c>
      <c r="Q99" s="1388"/>
      <c r="R99" s="1013"/>
      <c r="S99" s="1013"/>
      <c r="T99" s="1013"/>
      <c r="U99" s="1013"/>
      <c r="V99" s="978">
        <v>6461</v>
      </c>
      <c r="W99" s="940"/>
      <c r="X99" s="978">
        <v>6461</v>
      </c>
      <c r="Y99" s="871"/>
      <c r="Z99" s="1389"/>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98</v>
      </c>
      <c r="K100" s="964" t="s">
        <v>102</v>
      </c>
      <c r="L100" s="1030"/>
      <c r="M100" s="968" t="s">
        <v>56</v>
      </c>
      <c r="N100" s="1129">
        <v>33288</v>
      </c>
      <c r="O100" s="968" t="s">
        <v>56</v>
      </c>
      <c r="P100" s="958" t="s">
        <v>76</v>
      </c>
      <c r="Q100" s="1388"/>
      <c r="R100" s="1013"/>
      <c r="S100" s="1013"/>
      <c r="T100" s="1013"/>
      <c r="U100" s="1013"/>
      <c r="V100" s="978">
        <v>2790</v>
      </c>
      <c r="W100" s="940"/>
      <c r="X100" s="978">
        <v>2790</v>
      </c>
      <c r="Y100" s="871"/>
      <c r="Z100" s="1389"/>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98</v>
      </c>
      <c r="K101" s="964" t="s">
        <v>102</v>
      </c>
      <c r="L101" s="1030"/>
      <c r="M101" s="968" t="s">
        <v>56</v>
      </c>
      <c r="N101" s="1129">
        <v>89875.5</v>
      </c>
      <c r="O101" s="968" t="s">
        <v>56</v>
      </c>
      <c r="P101" s="958" t="s">
        <v>76</v>
      </c>
      <c r="Q101" s="1388"/>
      <c r="R101" s="1013"/>
      <c r="S101" s="1013"/>
      <c r="T101" s="1013"/>
      <c r="U101" s="1013"/>
      <c r="V101" s="978">
        <v>7368</v>
      </c>
      <c r="W101" s="940"/>
      <c r="X101" s="978">
        <v>7368</v>
      </c>
      <c r="Y101" s="871"/>
      <c r="Z101" s="1389"/>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98</v>
      </c>
      <c r="K102" s="964" t="s">
        <v>102</v>
      </c>
      <c r="L102" s="1030"/>
      <c r="M102" s="968" t="s">
        <v>56</v>
      </c>
      <c r="N102" s="1129">
        <v>95052.5</v>
      </c>
      <c r="O102" s="968" t="s">
        <v>56</v>
      </c>
      <c r="P102" s="958" t="s">
        <v>76</v>
      </c>
      <c r="Q102" s="1388"/>
      <c r="R102" s="1013"/>
      <c r="S102" s="1013"/>
      <c r="T102" s="1013"/>
      <c r="U102" s="1013"/>
      <c r="V102" s="978">
        <v>7844</v>
      </c>
      <c r="W102" s="940"/>
      <c r="X102" s="978">
        <v>7844</v>
      </c>
      <c r="Y102" s="871"/>
      <c r="Z102" s="1389"/>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98</v>
      </c>
      <c r="K103" s="964" t="s">
        <v>102</v>
      </c>
      <c r="L103" s="1030"/>
      <c r="M103" s="968" t="s">
        <v>56</v>
      </c>
      <c r="N103" s="1129">
        <v>102476</v>
      </c>
      <c r="O103" s="968" t="s">
        <v>56</v>
      </c>
      <c r="P103" s="958" t="s">
        <v>76</v>
      </c>
      <c r="Q103" s="1388"/>
      <c r="R103" s="1013"/>
      <c r="S103" s="1013"/>
      <c r="T103" s="1013"/>
      <c r="U103" s="1013"/>
      <c r="V103" s="978">
        <v>8148</v>
      </c>
      <c r="W103" s="940"/>
      <c r="X103" s="978">
        <v>8148</v>
      </c>
      <c r="Y103" s="871"/>
      <c r="Z103" s="1389"/>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98</v>
      </c>
      <c r="K104" s="964" t="s">
        <v>102</v>
      </c>
      <c r="L104" s="1030"/>
      <c r="M104" s="968" t="s">
        <v>56</v>
      </c>
      <c r="N104" s="1129">
        <v>80344</v>
      </c>
      <c r="O104" s="968" t="s">
        <v>56</v>
      </c>
      <c r="P104" s="958" t="s">
        <v>76</v>
      </c>
      <c r="Q104" s="1388"/>
      <c r="R104" s="1013"/>
      <c r="S104" s="1013"/>
      <c r="T104" s="1013"/>
      <c r="U104" s="1013"/>
      <c r="V104" s="978">
        <v>6829</v>
      </c>
      <c r="W104" s="940"/>
      <c r="X104" s="978">
        <v>6829</v>
      </c>
      <c r="Y104" s="871"/>
      <c r="Z104" s="1389"/>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98</v>
      </c>
      <c r="K105" s="964" t="s">
        <v>102</v>
      </c>
      <c r="L105" s="1030"/>
      <c r="M105" s="968" t="s">
        <v>56</v>
      </c>
      <c r="N105" s="1129">
        <v>73166</v>
      </c>
      <c r="O105" s="968" t="s">
        <v>56</v>
      </c>
      <c r="P105" s="958" t="s">
        <v>76</v>
      </c>
      <c r="Q105" s="1388"/>
      <c r="R105" s="1013"/>
      <c r="S105" s="1013"/>
      <c r="T105" s="1013"/>
      <c r="U105" s="1013"/>
      <c r="V105" s="978">
        <v>6157</v>
      </c>
      <c r="W105" s="940"/>
      <c r="X105" s="978">
        <v>6157</v>
      </c>
      <c r="Y105" s="871"/>
      <c r="Z105" s="1389"/>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98</v>
      </c>
      <c r="K106" s="964" t="s">
        <v>102</v>
      </c>
      <c r="L106" s="1030"/>
      <c r="M106" s="968" t="s">
        <v>56</v>
      </c>
      <c r="N106" s="1129">
        <v>114642</v>
      </c>
      <c r="O106" s="968" t="s">
        <v>56</v>
      </c>
      <c r="P106" s="958" t="s">
        <v>76</v>
      </c>
      <c r="Q106" s="1388"/>
      <c r="R106" s="1013"/>
      <c r="S106" s="1013"/>
      <c r="T106" s="1013"/>
      <c r="U106" s="1013"/>
      <c r="V106" s="978">
        <v>9537</v>
      </c>
      <c r="W106" s="940"/>
      <c r="X106" s="978">
        <v>9537</v>
      </c>
      <c r="Y106" s="871"/>
      <c r="Z106" s="1389"/>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98</v>
      </c>
      <c r="K107" s="964" t="s">
        <v>102</v>
      </c>
      <c r="L107" s="1030"/>
      <c r="M107" s="968" t="s">
        <v>56</v>
      </c>
      <c r="N107" s="1129">
        <v>85589.5</v>
      </c>
      <c r="O107" s="968" t="s">
        <v>56</v>
      </c>
      <c r="P107" s="958" t="s">
        <v>76</v>
      </c>
      <c r="Q107" s="1388"/>
      <c r="R107" s="1013"/>
      <c r="S107" s="1013"/>
      <c r="T107" s="1013"/>
      <c r="U107" s="1013"/>
      <c r="V107" s="978">
        <v>6796</v>
      </c>
      <c r="W107" s="940"/>
      <c r="X107" s="978">
        <v>6796</v>
      </c>
      <c r="Y107" s="871"/>
      <c r="Z107" s="1389"/>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98</v>
      </c>
      <c r="K108" s="964" t="s">
        <v>102</v>
      </c>
      <c r="L108" s="1030"/>
      <c r="M108" s="968" t="s">
        <v>56</v>
      </c>
      <c r="N108" s="1129">
        <v>76640</v>
      </c>
      <c r="O108" s="968" t="s">
        <v>56</v>
      </c>
      <c r="P108" s="958" t="s">
        <v>76</v>
      </c>
      <c r="Q108" s="1388"/>
      <c r="R108" s="1013"/>
      <c r="S108" s="1013"/>
      <c r="T108" s="1013"/>
      <c r="U108" s="1013"/>
      <c r="V108" s="978">
        <v>6149</v>
      </c>
      <c r="W108" s="940"/>
      <c r="X108" s="978">
        <v>6149</v>
      </c>
      <c r="Y108" s="871"/>
      <c r="Z108" s="1389"/>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98</v>
      </c>
      <c r="K109" s="964" t="s">
        <v>102</v>
      </c>
      <c r="L109" s="1030"/>
      <c r="M109" s="968" t="s">
        <v>56</v>
      </c>
      <c r="N109" s="1129">
        <v>80780</v>
      </c>
      <c r="O109" s="968" t="s">
        <v>56</v>
      </c>
      <c r="P109" s="958" t="s">
        <v>76</v>
      </c>
      <c r="Q109" s="1388"/>
      <c r="R109" s="1013"/>
      <c r="S109" s="1013"/>
      <c r="T109" s="1013"/>
      <c r="U109" s="1013"/>
      <c r="V109" s="978">
        <v>6284</v>
      </c>
      <c r="W109" s="940"/>
      <c r="X109" s="978">
        <v>6284</v>
      </c>
      <c r="Y109" s="871"/>
      <c r="Z109" s="1389"/>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98</v>
      </c>
      <c r="K110" s="964" t="s">
        <v>102</v>
      </c>
      <c r="L110" s="1030"/>
      <c r="M110" s="968" t="s">
        <v>56</v>
      </c>
      <c r="N110" s="1129">
        <v>95244</v>
      </c>
      <c r="O110" s="968" t="s">
        <v>56</v>
      </c>
      <c r="P110" s="958" t="s">
        <v>76</v>
      </c>
      <c r="Q110" s="1388"/>
      <c r="R110" s="1013"/>
      <c r="S110" s="1013"/>
      <c r="T110" s="1013"/>
      <c r="U110" s="1013"/>
      <c r="V110" s="978">
        <v>7743</v>
      </c>
      <c r="W110" s="940"/>
      <c r="X110" s="978">
        <v>7743</v>
      </c>
      <c r="Y110" s="871"/>
      <c r="Z110" s="1389"/>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98</v>
      </c>
      <c r="K111" s="964" t="s">
        <v>102</v>
      </c>
      <c r="L111" s="1030"/>
      <c r="M111" s="968" t="s">
        <v>56</v>
      </c>
      <c r="N111" s="1129">
        <v>86888</v>
      </c>
      <c r="O111" s="968" t="s">
        <v>56</v>
      </c>
      <c r="P111" s="958" t="s">
        <v>76</v>
      </c>
      <c r="Q111" s="1388"/>
      <c r="R111" s="1013"/>
      <c r="S111" s="1013"/>
      <c r="T111" s="1013"/>
      <c r="U111" s="1013"/>
      <c r="V111" s="978">
        <v>6932</v>
      </c>
      <c r="W111" s="940"/>
      <c r="X111" s="978">
        <v>6932</v>
      </c>
      <c r="Y111" s="871"/>
      <c r="Z111" s="1389"/>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98</v>
      </c>
      <c r="K112" s="964" t="s">
        <v>102</v>
      </c>
      <c r="L112" s="1030"/>
      <c r="M112" s="968" t="s">
        <v>56</v>
      </c>
      <c r="N112" s="1129">
        <v>75700</v>
      </c>
      <c r="O112" s="968" t="s">
        <v>56</v>
      </c>
      <c r="P112" s="958" t="s">
        <v>76</v>
      </c>
      <c r="Q112" s="1388"/>
      <c r="R112" s="1013"/>
      <c r="S112" s="1013"/>
      <c r="T112" s="1013"/>
      <c r="U112" s="1013"/>
      <c r="V112" s="978">
        <v>6213</v>
      </c>
      <c r="W112" s="940"/>
      <c r="X112" s="978">
        <v>6213</v>
      </c>
      <c r="Y112" s="871"/>
      <c r="Z112" s="1389"/>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98</v>
      </c>
      <c r="K113" s="964" t="s">
        <v>102</v>
      </c>
      <c r="L113" s="1030"/>
      <c r="M113" s="968" t="s">
        <v>56</v>
      </c>
      <c r="N113" s="1129">
        <v>53698</v>
      </c>
      <c r="O113" s="968" t="s">
        <v>56</v>
      </c>
      <c r="P113" s="958" t="s">
        <v>76</v>
      </c>
      <c r="Q113" s="1388"/>
      <c r="R113" s="1013"/>
      <c r="S113" s="1013"/>
      <c r="T113" s="1013"/>
      <c r="U113" s="1013"/>
      <c r="V113" s="978">
        <v>4339</v>
      </c>
      <c r="W113" s="940"/>
      <c r="X113" s="978">
        <v>4339</v>
      </c>
      <c r="Y113" s="871"/>
      <c r="Z113" s="1389"/>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98</v>
      </c>
      <c r="K114" s="964" t="s">
        <v>102</v>
      </c>
      <c r="L114" s="1030"/>
      <c r="M114" s="968" t="s">
        <v>56</v>
      </c>
      <c r="N114" s="1129">
        <v>48883</v>
      </c>
      <c r="O114" s="968" t="s">
        <v>56</v>
      </c>
      <c r="P114" s="958" t="s">
        <v>76</v>
      </c>
      <c r="Q114" s="1388"/>
      <c r="R114" s="1013"/>
      <c r="S114" s="1013"/>
      <c r="T114" s="1013"/>
      <c r="U114" s="1013"/>
      <c r="V114" s="978">
        <v>3940</v>
      </c>
      <c r="W114" s="940"/>
      <c r="X114" s="978">
        <v>3940</v>
      </c>
      <c r="Y114" s="871"/>
      <c r="Z114" s="1389"/>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98</v>
      </c>
      <c r="K115" s="964" t="s">
        <v>102</v>
      </c>
      <c r="L115" s="1030"/>
      <c r="M115" s="968" t="s">
        <v>56</v>
      </c>
      <c r="N115" s="1129">
        <v>83382</v>
      </c>
      <c r="O115" s="968" t="s">
        <v>56</v>
      </c>
      <c r="P115" s="958" t="s">
        <v>76</v>
      </c>
      <c r="Q115" s="1388"/>
      <c r="R115" s="1013"/>
      <c r="S115" s="1013"/>
      <c r="T115" s="1013"/>
      <c r="U115" s="1013"/>
      <c r="V115" s="978">
        <v>6855</v>
      </c>
      <c r="W115" s="940"/>
      <c r="X115" s="978">
        <v>6855</v>
      </c>
      <c r="Y115" s="871"/>
      <c r="Z115" s="1389"/>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98</v>
      </c>
      <c r="K116" s="964" t="s">
        <v>102</v>
      </c>
      <c r="L116" s="1030"/>
      <c r="M116" s="968" t="s">
        <v>56</v>
      </c>
      <c r="N116" s="1129">
        <v>88834</v>
      </c>
      <c r="O116" s="968" t="s">
        <v>56</v>
      </c>
      <c r="P116" s="958" t="s">
        <v>76</v>
      </c>
      <c r="Q116" s="1388"/>
      <c r="R116" s="1013"/>
      <c r="S116" s="1013"/>
      <c r="T116" s="1013"/>
      <c r="U116" s="1013"/>
      <c r="V116" s="978">
        <v>7147</v>
      </c>
      <c r="W116" s="940"/>
      <c r="X116" s="978">
        <v>7147</v>
      </c>
      <c r="Y116" s="871"/>
      <c r="Z116" s="1389"/>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98</v>
      </c>
      <c r="K117" s="964" t="s">
        <v>102</v>
      </c>
      <c r="L117" s="1030"/>
      <c r="M117" s="968" t="s">
        <v>56</v>
      </c>
      <c r="N117" s="1129">
        <v>81027.5</v>
      </c>
      <c r="O117" s="968" t="s">
        <v>56</v>
      </c>
      <c r="P117" s="958" t="s">
        <v>76</v>
      </c>
      <c r="Q117" s="1388"/>
      <c r="R117" s="1013"/>
      <c r="S117" s="1013"/>
      <c r="T117" s="1013"/>
      <c r="U117" s="1013"/>
      <c r="V117" s="978">
        <v>6376</v>
      </c>
      <c r="W117" s="940"/>
      <c r="X117" s="978">
        <v>6376</v>
      </c>
      <c r="Y117" s="871"/>
      <c r="Z117" s="1389"/>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98</v>
      </c>
      <c r="K118" s="964" t="s">
        <v>102</v>
      </c>
      <c r="L118" s="1030"/>
      <c r="M118" s="968" t="s">
        <v>56</v>
      </c>
      <c r="N118" s="1129">
        <v>60264</v>
      </c>
      <c r="O118" s="968" t="s">
        <v>56</v>
      </c>
      <c r="P118" s="958" t="s">
        <v>76</v>
      </c>
      <c r="Q118" s="1388"/>
      <c r="R118" s="1013"/>
      <c r="S118" s="1013"/>
      <c r="T118" s="1013"/>
      <c r="U118" s="1013"/>
      <c r="V118" s="978">
        <v>4784</v>
      </c>
      <c r="W118" s="940"/>
      <c r="X118" s="978">
        <v>4784</v>
      </c>
      <c r="Y118" s="871"/>
      <c r="Z118" s="1389"/>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98</v>
      </c>
      <c r="K119" s="964" t="s">
        <v>102</v>
      </c>
      <c r="L119" s="1030"/>
      <c r="M119" s="968" t="s">
        <v>56</v>
      </c>
      <c r="N119" s="1129">
        <v>81096</v>
      </c>
      <c r="O119" s="968" t="s">
        <v>56</v>
      </c>
      <c r="P119" s="958" t="s">
        <v>76</v>
      </c>
      <c r="Q119" s="1388"/>
      <c r="R119" s="1013"/>
      <c r="S119" s="1013"/>
      <c r="T119" s="1013"/>
      <c r="U119" s="1013"/>
      <c r="V119" s="978">
        <v>6387</v>
      </c>
      <c r="W119" s="940"/>
      <c r="X119" s="978">
        <v>6387</v>
      </c>
      <c r="Y119" s="871"/>
      <c r="Z119" s="1389"/>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98</v>
      </c>
      <c r="K120" s="964" t="s">
        <v>102</v>
      </c>
      <c r="L120" s="1030"/>
      <c r="M120" s="968" t="s">
        <v>56</v>
      </c>
      <c r="N120" s="1129">
        <v>79796</v>
      </c>
      <c r="O120" s="968" t="s">
        <v>56</v>
      </c>
      <c r="P120" s="958" t="s">
        <v>76</v>
      </c>
      <c r="Q120" s="1388"/>
      <c r="R120" s="1013"/>
      <c r="S120" s="1013"/>
      <c r="T120" s="1013"/>
      <c r="U120" s="1013"/>
      <c r="V120" s="978">
        <v>6372</v>
      </c>
      <c r="W120" s="940"/>
      <c r="X120" s="978">
        <v>6372</v>
      </c>
      <c r="Y120" s="871"/>
      <c r="Z120" s="1389"/>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98</v>
      </c>
      <c r="K121" s="964" t="s">
        <v>102</v>
      </c>
      <c r="L121" s="1030"/>
      <c r="M121" s="968" t="s">
        <v>56</v>
      </c>
      <c r="N121" s="1129">
        <v>69082</v>
      </c>
      <c r="O121" s="968" t="s">
        <v>56</v>
      </c>
      <c r="P121" s="958" t="s">
        <v>76</v>
      </c>
      <c r="Q121" s="1388"/>
      <c r="R121" s="1013"/>
      <c r="S121" s="1013"/>
      <c r="T121" s="1013"/>
      <c r="U121" s="1013"/>
      <c r="V121" s="978">
        <v>5363</v>
      </c>
      <c r="W121" s="940"/>
      <c r="X121" s="978">
        <v>5363</v>
      </c>
      <c r="Y121" s="871"/>
      <c r="Z121" s="1389"/>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98</v>
      </c>
      <c r="K122" s="964" t="s">
        <v>102</v>
      </c>
      <c r="L122" s="1030"/>
      <c r="M122" s="968" t="s">
        <v>56</v>
      </c>
      <c r="N122" s="1129">
        <v>65448</v>
      </c>
      <c r="O122" s="968" t="s">
        <v>56</v>
      </c>
      <c r="P122" s="958" t="s">
        <v>76</v>
      </c>
      <c r="Q122" s="1388"/>
      <c r="R122" s="1013"/>
      <c r="S122" s="1013"/>
      <c r="T122" s="1013"/>
      <c r="U122" s="1013"/>
      <c r="V122" s="978">
        <v>5199</v>
      </c>
      <c r="W122" s="940"/>
      <c r="X122" s="978">
        <v>5199</v>
      </c>
      <c r="Y122" s="871"/>
      <c r="Z122" s="1389"/>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98</v>
      </c>
      <c r="K123" s="964" t="s">
        <v>102</v>
      </c>
      <c r="L123" s="1030"/>
      <c r="M123" s="968" t="s">
        <v>56</v>
      </c>
      <c r="N123" s="1129">
        <v>116020.5</v>
      </c>
      <c r="O123" s="968" t="s">
        <v>56</v>
      </c>
      <c r="P123" s="958" t="s">
        <v>76</v>
      </c>
      <c r="Q123" s="1388"/>
      <c r="R123" s="1013"/>
      <c r="S123" s="1013"/>
      <c r="T123" s="1013"/>
      <c r="U123" s="1013"/>
      <c r="V123" s="978">
        <v>9771</v>
      </c>
      <c r="W123" s="940"/>
      <c r="X123" s="978">
        <v>9771</v>
      </c>
      <c r="Y123" s="871"/>
      <c r="Z123" s="1389"/>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98</v>
      </c>
      <c r="K124" s="964" t="s">
        <v>102</v>
      </c>
      <c r="L124" s="1030"/>
      <c r="M124" s="968" t="s">
        <v>56</v>
      </c>
      <c r="N124" s="1129">
        <v>114306</v>
      </c>
      <c r="O124" s="968" t="s">
        <v>56</v>
      </c>
      <c r="P124" s="958" t="s">
        <v>76</v>
      </c>
      <c r="Q124" s="1388"/>
      <c r="R124" s="1013"/>
      <c r="S124" s="1013"/>
      <c r="T124" s="1013"/>
      <c r="U124" s="1013"/>
      <c r="V124" s="978">
        <v>9562</v>
      </c>
      <c r="W124" s="940"/>
      <c r="X124" s="978">
        <v>9562</v>
      </c>
      <c r="Y124" s="871"/>
      <c r="Z124" s="1389"/>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98</v>
      </c>
      <c r="K125" s="964" t="s">
        <v>102</v>
      </c>
      <c r="L125" s="1030"/>
      <c r="M125" s="968" t="s">
        <v>56</v>
      </c>
      <c r="N125" s="1129">
        <v>80784</v>
      </c>
      <c r="O125" s="968" t="s">
        <v>56</v>
      </c>
      <c r="P125" s="958" t="s">
        <v>76</v>
      </c>
      <c r="Q125" s="1388"/>
      <c r="R125" s="1013"/>
      <c r="S125" s="1013"/>
      <c r="T125" s="1013"/>
      <c r="U125" s="1013"/>
      <c r="V125" s="978">
        <v>6309</v>
      </c>
      <c r="W125" s="940"/>
      <c r="X125" s="978">
        <v>6309</v>
      </c>
      <c r="Y125" s="871"/>
      <c r="Z125" s="1389"/>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98</v>
      </c>
      <c r="K126" s="964" t="s">
        <v>102</v>
      </c>
      <c r="L126" s="1030"/>
      <c r="M126" s="968" t="s">
        <v>56</v>
      </c>
      <c r="N126" s="1129">
        <v>125540.85</v>
      </c>
      <c r="O126" s="968" t="s">
        <v>56</v>
      </c>
      <c r="P126" s="958" t="s">
        <v>76</v>
      </c>
      <c r="Q126" s="1388"/>
      <c r="R126" s="1013"/>
      <c r="S126" s="1013"/>
      <c r="T126" s="1013"/>
      <c r="U126" s="1013"/>
      <c r="V126" s="978">
        <v>10260</v>
      </c>
      <c r="W126" s="940"/>
      <c r="X126" s="978">
        <v>10260</v>
      </c>
      <c r="Y126" s="871"/>
      <c r="Z126" s="1389"/>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98</v>
      </c>
      <c r="K127" s="964" t="s">
        <v>102</v>
      </c>
      <c r="L127" s="1030"/>
      <c r="M127" s="968" t="s">
        <v>56</v>
      </c>
      <c r="N127" s="1129">
        <v>119327</v>
      </c>
      <c r="O127" s="968" t="s">
        <v>56</v>
      </c>
      <c r="P127" s="958" t="s">
        <v>76</v>
      </c>
      <c r="Q127" s="1388"/>
      <c r="R127" s="1013"/>
      <c r="S127" s="1013"/>
      <c r="T127" s="1013"/>
      <c r="U127" s="1013"/>
      <c r="V127" s="978">
        <v>10080</v>
      </c>
      <c r="W127" s="940"/>
      <c r="X127" s="978">
        <v>10080</v>
      </c>
      <c r="Y127" s="871"/>
      <c r="Z127" s="1389"/>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98</v>
      </c>
      <c r="K128" s="964" t="s">
        <v>102</v>
      </c>
      <c r="L128" s="1030"/>
      <c r="M128" s="968" t="s">
        <v>56</v>
      </c>
      <c r="N128" s="1129">
        <v>85720</v>
      </c>
      <c r="O128" s="968" t="s">
        <v>56</v>
      </c>
      <c r="P128" s="958" t="s">
        <v>76</v>
      </c>
      <c r="Q128" s="1388"/>
      <c r="R128" s="1013"/>
      <c r="S128" s="1013"/>
      <c r="T128" s="1013"/>
      <c r="U128" s="1013"/>
      <c r="V128" s="978">
        <v>6859</v>
      </c>
      <c r="W128" s="940"/>
      <c r="X128" s="978">
        <v>6859</v>
      </c>
      <c r="Y128" s="871"/>
      <c r="Z128" s="1389"/>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98</v>
      </c>
      <c r="K129" s="964" t="s">
        <v>102</v>
      </c>
      <c r="L129" s="1030"/>
      <c r="M129" s="968" t="s">
        <v>56</v>
      </c>
      <c r="N129" s="1129">
        <v>75682</v>
      </c>
      <c r="O129" s="968" t="s">
        <v>56</v>
      </c>
      <c r="P129" s="958" t="s">
        <v>76</v>
      </c>
      <c r="Q129" s="1388"/>
      <c r="R129" s="1013"/>
      <c r="S129" s="1013"/>
      <c r="T129" s="1013"/>
      <c r="U129" s="1013"/>
      <c r="V129" s="978">
        <v>5873</v>
      </c>
      <c r="W129" s="940"/>
      <c r="X129" s="978">
        <v>5873</v>
      </c>
      <c r="Y129" s="871"/>
      <c r="Z129" s="1389"/>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98</v>
      </c>
      <c r="K130" s="964" t="s">
        <v>102</v>
      </c>
      <c r="L130" s="1030"/>
      <c r="M130" s="968" t="s">
        <v>56</v>
      </c>
      <c r="N130" s="1129">
        <v>60784</v>
      </c>
      <c r="O130" s="968" t="s">
        <v>56</v>
      </c>
      <c r="P130" s="958" t="s">
        <v>76</v>
      </c>
      <c r="Q130" s="1388"/>
      <c r="R130" s="1013"/>
      <c r="S130" s="1013"/>
      <c r="T130" s="1013"/>
      <c r="U130" s="1013"/>
      <c r="V130" s="978">
        <v>4945</v>
      </c>
      <c r="W130" s="940"/>
      <c r="X130" s="978">
        <v>4945</v>
      </c>
      <c r="Y130" s="871"/>
      <c r="Z130" s="1389"/>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98</v>
      </c>
      <c r="K131" s="964" t="s">
        <v>102</v>
      </c>
      <c r="L131" s="1030"/>
      <c r="M131" s="968" t="s">
        <v>56</v>
      </c>
      <c r="N131" s="1129">
        <v>52670</v>
      </c>
      <c r="O131" s="968" t="s">
        <v>56</v>
      </c>
      <c r="P131" s="958" t="s">
        <v>76</v>
      </c>
      <c r="Q131" s="1388"/>
      <c r="R131" s="1013"/>
      <c r="S131" s="1013"/>
      <c r="T131" s="1013"/>
      <c r="U131" s="1013"/>
      <c r="V131" s="978">
        <v>4275</v>
      </c>
      <c r="W131" s="940"/>
      <c r="X131" s="978">
        <v>4275</v>
      </c>
      <c r="Y131" s="871"/>
      <c r="Z131" s="1389"/>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98</v>
      </c>
      <c r="K132" s="964" t="s">
        <v>102</v>
      </c>
      <c r="L132" s="1030"/>
      <c r="M132" s="968" t="s">
        <v>75</v>
      </c>
      <c r="N132" s="1129"/>
      <c r="O132" s="968" t="s">
        <v>75</v>
      </c>
      <c r="P132" s="958" t="s">
        <v>76</v>
      </c>
      <c r="Q132" s="1388"/>
      <c r="R132" s="1013"/>
      <c r="S132" s="1013"/>
      <c r="T132" s="1013"/>
      <c r="U132" s="1013"/>
      <c r="V132" s="978">
        <v>6378</v>
      </c>
      <c r="W132" s="940"/>
      <c r="X132" s="978">
        <v>6378</v>
      </c>
      <c r="Y132" s="871"/>
      <c r="Z132" s="1389"/>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98</v>
      </c>
      <c r="K133" s="964" t="s">
        <v>102</v>
      </c>
      <c r="L133" s="1030"/>
      <c r="M133" s="968" t="s">
        <v>75</v>
      </c>
      <c r="N133" s="1129"/>
      <c r="O133" s="968" t="s">
        <v>75</v>
      </c>
      <c r="P133" s="958" t="s">
        <v>76</v>
      </c>
      <c r="Q133" s="1388"/>
      <c r="R133" s="1013"/>
      <c r="S133" s="1013"/>
      <c r="T133" s="1013"/>
      <c r="U133" s="1013"/>
      <c r="V133" s="978">
        <v>7373</v>
      </c>
      <c r="W133" s="940"/>
      <c r="X133" s="978">
        <v>7373</v>
      </c>
      <c r="Y133" s="871"/>
      <c r="Z133" s="1389"/>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98</v>
      </c>
      <c r="K134" s="964" t="s">
        <v>102</v>
      </c>
      <c r="L134" s="1030"/>
      <c r="M134" s="968" t="s">
        <v>75</v>
      </c>
      <c r="N134" s="1129"/>
      <c r="O134" s="968" t="s">
        <v>75</v>
      </c>
      <c r="P134" s="958" t="s">
        <v>76</v>
      </c>
      <c r="Q134" s="1388"/>
      <c r="R134" s="1013"/>
      <c r="S134" s="1013"/>
      <c r="T134" s="1013"/>
      <c r="U134" s="1013"/>
      <c r="V134" s="978">
        <v>5781</v>
      </c>
      <c r="W134" s="940"/>
      <c r="X134" s="978">
        <v>5781</v>
      </c>
      <c r="Y134" s="871"/>
      <c r="Z134" s="1389"/>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98</v>
      </c>
      <c r="K135" s="964" t="s">
        <v>102</v>
      </c>
      <c r="L135" s="1030"/>
      <c r="M135" s="968" t="s">
        <v>75</v>
      </c>
      <c r="N135" s="1129"/>
      <c r="O135" s="968" t="s">
        <v>75</v>
      </c>
      <c r="P135" s="958" t="s">
        <v>76</v>
      </c>
      <c r="Q135" s="1388"/>
      <c r="R135" s="1013"/>
      <c r="S135" s="1013"/>
      <c r="T135" s="1013"/>
      <c r="U135" s="1013"/>
      <c r="V135" s="978">
        <v>9051</v>
      </c>
      <c r="W135" s="940"/>
      <c r="X135" s="978">
        <v>9051</v>
      </c>
      <c r="Y135" s="871"/>
      <c r="Z135" s="1389"/>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98</v>
      </c>
      <c r="K136" s="964" t="s">
        <v>102</v>
      </c>
      <c r="L136" s="1030"/>
      <c r="M136" s="968" t="s">
        <v>75</v>
      </c>
      <c r="N136" s="1129"/>
      <c r="O136" s="968" t="s">
        <v>75</v>
      </c>
      <c r="P136" s="958" t="s">
        <v>76</v>
      </c>
      <c r="Q136" s="1388"/>
      <c r="R136" s="1013"/>
      <c r="S136" s="1013"/>
      <c r="T136" s="1013"/>
      <c r="U136" s="1013"/>
      <c r="V136" s="978">
        <v>7261</v>
      </c>
      <c r="W136" s="940"/>
      <c r="X136" s="978">
        <v>7261</v>
      </c>
      <c r="Y136" s="871"/>
      <c r="Z136" s="1389"/>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98</v>
      </c>
      <c r="K137" s="964" t="s">
        <v>102</v>
      </c>
      <c r="L137" s="1030"/>
      <c r="M137" s="968" t="s">
        <v>75</v>
      </c>
      <c r="N137" s="1129"/>
      <c r="O137" s="968" t="s">
        <v>75</v>
      </c>
      <c r="P137" s="958" t="s">
        <v>76</v>
      </c>
      <c r="Q137" s="1388"/>
      <c r="R137" s="1013"/>
      <c r="S137" s="1013"/>
      <c r="T137" s="1013"/>
      <c r="U137" s="1013"/>
      <c r="V137" s="978">
        <v>9638</v>
      </c>
      <c r="W137" s="940"/>
      <c r="X137" s="978">
        <v>9638</v>
      </c>
      <c r="Y137" s="871"/>
      <c r="Z137" s="1389"/>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98</v>
      </c>
      <c r="K138" s="964" t="s">
        <v>102</v>
      </c>
      <c r="L138" s="1030"/>
      <c r="M138" s="968" t="s">
        <v>75</v>
      </c>
      <c r="N138" s="1129"/>
      <c r="O138" s="968" t="s">
        <v>75</v>
      </c>
      <c r="P138" s="958" t="s">
        <v>76</v>
      </c>
      <c r="Q138" s="1388"/>
      <c r="R138" s="1013"/>
      <c r="S138" s="1013"/>
      <c r="T138" s="1013"/>
      <c r="U138" s="1013"/>
      <c r="V138" s="978">
        <v>8746</v>
      </c>
      <c r="W138" s="940"/>
      <c r="X138" s="978">
        <v>8746</v>
      </c>
      <c r="Y138" s="871"/>
      <c r="Z138" s="1389"/>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8"/>
      <c r="R139" s="1013"/>
      <c r="S139" s="1013"/>
      <c r="T139" s="1013"/>
      <c r="U139" s="1013"/>
      <c r="V139" s="1121"/>
      <c r="W139" s="940"/>
      <c r="X139" s="1121"/>
      <c r="Y139" s="871"/>
      <c r="Z139" s="1389"/>
      <c r="AA139" s="1390"/>
      <c r="AB139" s="1390"/>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8"/>
      <c r="R140" s="1013"/>
      <c r="S140" s="1013"/>
      <c r="T140" s="1013"/>
      <c r="U140" s="1013"/>
      <c r="V140" s="1121"/>
      <c r="W140" s="940"/>
      <c r="X140" s="1121"/>
      <c r="Y140" s="871"/>
      <c r="Z140" s="1389"/>
      <c r="AA140" s="1390"/>
      <c r="AB140" s="1390"/>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98</v>
      </c>
      <c r="K142" s="964" t="s">
        <v>102</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98</v>
      </c>
      <c r="K143" s="964" t="s">
        <v>102</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98</v>
      </c>
      <c r="K144" s="964" t="s">
        <v>102</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98</v>
      </c>
      <c r="K145" s="964" t="s">
        <v>102</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98</v>
      </c>
      <c r="K146" s="964" t="s">
        <v>102</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98</v>
      </c>
      <c r="K147" s="964" t="s">
        <v>102</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98</v>
      </c>
      <c r="K148" s="964" t="s">
        <v>102</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98</v>
      </c>
      <c r="K149" s="964" t="s">
        <v>102</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98</v>
      </c>
      <c r="K150" s="964" t="s">
        <v>102</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98</v>
      </c>
      <c r="K151" s="964" t="s">
        <v>102</v>
      </c>
      <c r="L151" s="1030"/>
      <c r="M151" s="968" t="s">
        <v>56</v>
      </c>
      <c r="N151" s="1024">
        <v>105892.05</v>
      </c>
      <c r="O151" s="968" t="s">
        <v>56</v>
      </c>
      <c r="P151" s="946" t="s">
        <v>76</v>
      </c>
      <c r="Q151" s="1388"/>
      <c r="R151" s="1013"/>
      <c r="S151" s="1013"/>
      <c r="T151" s="1013"/>
      <c r="U151" s="1013"/>
      <c r="V151" s="940">
        <v>8641</v>
      </c>
      <c r="W151" s="1385"/>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98</v>
      </c>
      <c r="K152" s="964" t="s">
        <v>102</v>
      </c>
      <c r="L152" s="1030"/>
      <c r="M152" s="968" t="s">
        <v>56</v>
      </c>
      <c r="N152" s="1024">
        <v>88420</v>
      </c>
      <c r="O152" s="968" t="s">
        <v>56</v>
      </c>
      <c r="P152" s="946" t="s">
        <v>76</v>
      </c>
      <c r="Q152" s="1391"/>
      <c r="R152" s="1015"/>
      <c r="S152" s="1015"/>
      <c r="T152" s="1015"/>
      <c r="U152" s="1015"/>
      <c r="V152" s="1017">
        <v>7502</v>
      </c>
      <c r="W152" s="1392"/>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98</v>
      </c>
      <c r="K153" s="964" t="s">
        <v>102</v>
      </c>
      <c r="L153" s="1030"/>
      <c r="M153" s="968" t="s">
        <v>75</v>
      </c>
      <c r="N153" s="1024"/>
      <c r="O153" s="968" t="s">
        <v>56</v>
      </c>
      <c r="P153" s="946" t="s">
        <v>76</v>
      </c>
      <c r="Q153" s="930">
        <v>45659</v>
      </c>
      <c r="R153" s="1015"/>
      <c r="S153" s="1015"/>
      <c r="T153" s="1015"/>
      <c r="U153" s="1015"/>
      <c r="V153" s="1017">
        <v>3682</v>
      </c>
      <c r="W153" s="1392"/>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AD12"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372"/>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377">
        <v>109</v>
      </c>
      <c r="I12" s="665" t="s">
        <v>62</v>
      </c>
      <c r="J12" s="668" t="s">
        <v>55</v>
      </c>
      <c r="K12" s="1372"/>
      <c r="L12" s="998">
        <v>45663</v>
      </c>
      <c r="M12" s="905" t="s">
        <v>56</v>
      </c>
      <c r="N12" s="1378">
        <v>123587.5</v>
      </c>
      <c r="O12" s="1377" t="s">
        <v>56</v>
      </c>
      <c r="P12" s="1393" t="s">
        <v>63</v>
      </c>
      <c r="Q12" s="1379">
        <v>46008</v>
      </c>
      <c r="R12" s="1379"/>
      <c r="S12" s="1379"/>
      <c r="T12" s="1379"/>
      <c r="U12" s="1379"/>
      <c r="V12" s="1380">
        <v>6825</v>
      </c>
      <c r="W12" s="1394">
        <v>6575</v>
      </c>
      <c r="X12" s="1375">
        <f>SUM(V12-W12)</f>
        <v>250</v>
      </c>
      <c r="Y12" s="524">
        <f>IFERROR($W12/$V12, 0)</f>
        <v>0.96336996336996339</v>
      </c>
      <c r="Z12" s="1379">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84</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89</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84</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84</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89</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88</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88</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88</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88</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88</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84</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84</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88</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88</v>
      </c>
      <c r="E12" s="302">
        <v>45778</v>
      </c>
      <c r="F12" s="301" t="s">
        <v>84</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84</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88</v>
      </c>
      <c r="E14" s="20">
        <v>45715</v>
      </c>
      <c r="F14" s="19" t="s">
        <v>84</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88</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88</v>
      </c>
      <c r="E16" s="20">
        <v>45853</v>
      </c>
      <c r="F16" s="19" t="s">
        <v>84</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88</v>
      </c>
      <c r="E18" s="20">
        <v>45712</v>
      </c>
      <c r="F18" s="520" t="s">
        <v>84</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88</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84</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84</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88</v>
      </c>
      <c r="E22" s="20">
        <v>45685</v>
      </c>
      <c r="F22" s="520" t="s">
        <v>84</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88</v>
      </c>
      <c r="E24" s="20">
        <v>45685</v>
      </c>
      <c r="F24" s="520" t="s">
        <v>84</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88</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88</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88</v>
      </c>
      <c r="E27" s="20">
        <v>45735</v>
      </c>
      <c r="F27" s="520" t="s">
        <v>84</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88</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88</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88</v>
      </c>
      <c r="E30" s="20">
        <v>45735</v>
      </c>
      <c r="F30" s="520" t="s">
        <v>84</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88</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88</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88</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88</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88</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88</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88</v>
      </c>
      <c r="E37" s="464">
        <v>45839</v>
      </c>
      <c r="F37" s="301" t="s">
        <v>84</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88</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88</v>
      </c>
      <c r="E39" s="464">
        <v>45840</v>
      </c>
      <c r="F39" s="302" t="s">
        <v>84</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88</v>
      </c>
      <c r="E40" s="464">
        <v>45839</v>
      </c>
      <c r="F40" s="301" t="s">
        <v>84</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88</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88</v>
      </c>
      <c r="E42" s="464">
        <v>45839</v>
      </c>
      <c r="F42" s="302" t="s">
        <v>84</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88</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88</v>
      </c>
      <c r="E44" s="20">
        <v>45887</v>
      </c>
      <c r="F44" s="19" t="s">
        <v>84</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88</v>
      </c>
      <c r="E45" s="20">
        <v>45758</v>
      </c>
      <c r="F45" s="520" t="s">
        <v>84</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88</v>
      </c>
      <c r="E46" s="20">
        <v>45758</v>
      </c>
      <c r="F46" s="308" t="s">
        <v>84</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88</v>
      </c>
      <c r="E47" s="20">
        <v>45758</v>
      </c>
      <c r="F47" s="308" t="s">
        <v>84</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88</v>
      </c>
      <c r="E48" s="20">
        <v>45786</v>
      </c>
      <c r="F48" s="464" t="s">
        <v>84</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88</v>
      </c>
      <c r="E49" s="363">
        <v>45936</v>
      </c>
      <c r="F49" s="361" t="s">
        <v>84</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88</v>
      </c>
      <c r="E50" s="363">
        <v>45959</v>
      </c>
      <c r="F50" s="361" t="s">
        <v>89</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88</v>
      </c>
      <c r="E51" s="363">
        <v>45958</v>
      </c>
      <c r="F51" s="361" t="s">
        <v>89</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88</v>
      </c>
      <c r="E52" s="892">
        <v>46021</v>
      </c>
      <c r="F52" s="893" t="s">
        <v>84</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89</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88</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89</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88</v>
      </c>
      <c r="E57" s="20">
        <v>45749</v>
      </c>
      <c r="F57" s="520" t="s">
        <v>84</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88</v>
      </c>
      <c r="E58" s="363">
        <v>45966</v>
      </c>
      <c r="F58" s="361" t="s">
        <v>84</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88</v>
      </c>
      <c r="E59" s="363">
        <v>45966</v>
      </c>
      <c r="F59" s="361" t="s">
        <v>84</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88</v>
      </c>
      <c r="E60" s="363">
        <v>45966</v>
      </c>
      <c r="F60" s="361" t="s">
        <v>89</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88</v>
      </c>
      <c r="E62" s="302">
        <v>45849</v>
      </c>
      <c r="F62" s="513" t="s">
        <v>84</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84</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88</v>
      </c>
      <c r="E64" s="996">
        <v>45961</v>
      </c>
      <c r="F64" s="1049" t="s">
        <v>89</v>
      </c>
      <c r="G64" s="893"/>
      <c r="H64" s="1372">
        <v>0</v>
      </c>
      <c r="I64" s="523" t="s">
        <v>62</v>
      </c>
      <c r="J64" s="1372" t="s">
        <v>55</v>
      </c>
      <c r="K64" s="996" t="s">
        <v>106</v>
      </c>
      <c r="L64" s="1372" t="s">
        <v>56</v>
      </c>
      <c r="M64" s="1395">
        <v>15670.45</v>
      </c>
      <c r="N64" s="346">
        <v>12965</v>
      </c>
      <c r="O64" s="1372" t="s">
        <v>56</v>
      </c>
      <c r="P64" s="1396" t="s">
        <v>63</v>
      </c>
      <c r="Q64" s="1374">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84</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88</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84</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88</v>
      </c>
      <c r="E69" s="892">
        <v>46006</v>
      </c>
      <c r="F69" s="893" t="s">
        <v>89</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88</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88</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88</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88</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84</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88</v>
      </c>
      <c r="E75" s="892">
        <v>46002</v>
      </c>
      <c r="F75" s="893" t="s">
        <v>89</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84</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84</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84</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84</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84</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84</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88</v>
      </c>
      <c r="E82" s="308">
        <v>45695</v>
      </c>
      <c r="F82" s="308" t="s">
        <v>84</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88</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84</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88</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88</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88</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88</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88</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88</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88</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88</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88</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88</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88</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88</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88</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88</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88</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88</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360"/>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88</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88</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88</v>
      </c>
      <c r="E182" s="363">
        <v>45786</v>
      </c>
      <c r="F182" s="381" t="s">
        <v>84</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84</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84</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89</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88</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88</v>
      </c>
      <c r="E187" s="363">
        <v>45966</v>
      </c>
      <c r="F187" s="361" t="s">
        <v>84</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88</v>
      </c>
      <c r="E188" s="363">
        <v>45966</v>
      </c>
      <c r="F188" s="361" t="s">
        <v>84</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88</v>
      </c>
      <c r="E189" s="892">
        <v>46001</v>
      </c>
      <c r="F189" s="893" t="s">
        <v>89</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88</v>
      </c>
      <c r="E191" s="508">
        <v>45910</v>
      </c>
      <c r="F191" s="361" t="s">
        <v>84</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84</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88</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84</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84</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88</v>
      </c>
      <c r="E196" s="513">
        <v>45910</v>
      </c>
      <c r="F196" s="301" t="s">
        <v>84</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88</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88</v>
      </c>
      <c r="E199" s="892">
        <v>45999</v>
      </c>
      <c r="F199" s="893" t="s">
        <v>84</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88</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88</v>
      </c>
      <c r="E201" s="892">
        <v>46006</v>
      </c>
      <c r="F201" s="893" t="s">
        <v>84</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88</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88</v>
      </c>
      <c r="E203" s="20">
        <v>45945</v>
      </c>
      <c r="F203" s="19" t="s">
        <v>89</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88</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88</v>
      </c>
      <c r="E205" s="363">
        <v>45936</v>
      </c>
      <c r="F205" s="361" t="s">
        <v>89</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89</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88</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84</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88</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88</v>
      </c>
      <c r="E210" s="892">
        <v>46021</v>
      </c>
      <c r="F210" s="893" t="s">
        <v>84</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89</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89</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88</v>
      </c>
      <c r="E213" s="892">
        <v>46009</v>
      </c>
      <c r="F213" s="893" t="s">
        <v>84</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88</v>
      </c>
      <c r="E214" s="892">
        <v>46009</v>
      </c>
      <c r="F214" s="893" t="s">
        <v>84</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84</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88</v>
      </c>
      <c r="E216" s="747">
        <v>45817</v>
      </c>
      <c r="F216" s="874" t="s">
        <v>84</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84</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84</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88</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84</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88</v>
      </c>
      <c r="E221" s="892">
        <v>46002</v>
      </c>
      <c r="F221" s="893" t="s">
        <v>89</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89</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89</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89</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84</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84</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88</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84</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88</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88</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88</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88</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88</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88</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88</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88</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88</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88</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88</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88</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88</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88</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88</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88</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88</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88</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88</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88</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88</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88</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88</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88</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88</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88</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397">
        <v>5883</v>
      </c>
      <c r="T269" s="1055">
        <v>0</v>
      </c>
      <c r="U269" s="81">
        <f>IFERROR(Table5[[#This Row],[Actual Redline Completed Footage UG]]/Table5[[#This Row],[Footage UG]], 0)</f>
        <v>1.0039249146757678</v>
      </c>
      <c r="V269" s="1388">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88</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88</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88</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397">
        <v>4894</v>
      </c>
      <c r="T272" s="1054">
        <v>0</v>
      </c>
      <c r="U272" s="4">
        <f>IFERROR(Table5[[#This Row],[Actual Redline Completed Footage UG]]/Table5[[#This Row],[Footage UG]], 0)</f>
        <v>1.011993382961125</v>
      </c>
      <c r="V272" s="1391">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88</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88</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398">
        <v>7212</v>
      </c>
      <c r="T274" s="1054">
        <v>0</v>
      </c>
      <c r="U274" s="4">
        <f>IFERROR(Table5[[#This Row],[Actual Redline Completed Footage UG]]/Table5[[#This Row],[Footage UG]], 0)</f>
        <v>0.98242746219861055</v>
      </c>
      <c r="V274" s="1388">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88</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88</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398">
        <v>1277</v>
      </c>
      <c r="T276" s="1055">
        <v>0</v>
      </c>
      <c r="U276" s="81">
        <f>IFERROR(Table5[[#This Row],[Actual Redline Completed Footage UG]]/Table5[[#This Row],[Footage UG]], 0)</f>
        <v>0.99454828660436134</v>
      </c>
      <c r="V276" s="1388">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399" t="s">
        <v>55</v>
      </c>
      <c r="K292" s="43"/>
      <c r="L292" s="695" t="s">
        <v>69</v>
      </c>
      <c r="M292" s="770" t="s">
        <v>56</v>
      </c>
      <c r="N292" s="1400">
        <v>1035</v>
      </c>
      <c r="O292" s="952" t="s">
        <v>56</v>
      </c>
      <c r="P292" s="1312" t="s">
        <v>63</v>
      </c>
      <c r="Q292" s="1401">
        <v>46030</v>
      </c>
      <c r="R292" s="258" t="s">
        <v>106</v>
      </c>
      <c r="S292" s="258" t="s">
        <v>106</v>
      </c>
      <c r="T292" s="258" t="s">
        <v>106</v>
      </c>
      <c r="U292" s="36"/>
      <c r="V292" s="1402">
        <v>0</v>
      </c>
      <c r="W292" s="1403">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98</v>
      </c>
      <c r="V2" s="28" t="s">
        <v>98</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98</v>
      </c>
      <c r="W3" s="36"/>
      <c r="X3" s="28" t="s">
        <v>98</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98</v>
      </c>
      <c r="V4" s="28" t="s">
        <v>98</v>
      </c>
      <c r="W4" s="36"/>
      <c r="X4" s="28" t="s">
        <v>98</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98</v>
      </c>
      <c r="V5" s="28" t="s">
        <v>98</v>
      </c>
      <c r="W5" s="36"/>
      <c r="X5" s="28" t="s">
        <v>98</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98</v>
      </c>
      <c r="W6" s="36"/>
      <c r="X6" s="28" t="s">
        <v>98</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98</v>
      </c>
      <c r="W7" s="5"/>
      <c r="X7" s="28" t="s">
        <v>98</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98</v>
      </c>
      <c r="W8" s="5"/>
      <c r="X8" s="28" t="s">
        <v>98</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98</v>
      </c>
      <c r="W9" s="5"/>
      <c r="X9" s="28" t="s">
        <v>98</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98</v>
      </c>
      <c r="W10" s="5"/>
      <c r="X10" s="28" t="s">
        <v>98</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98</v>
      </c>
      <c r="V11" s="28" t="s">
        <v>98</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98</v>
      </c>
      <c r="V12" s="28" t="s">
        <v>98</v>
      </c>
      <c r="W12" s="5"/>
      <c r="X12" s="28" t="s">
        <v>98</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98</v>
      </c>
      <c r="V13" s="28" t="s">
        <v>98</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98</v>
      </c>
      <c r="V14" s="28" t="s">
        <v>98</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98</v>
      </c>
      <c r="V16" s="28" t="s">
        <v>98</v>
      </c>
      <c r="W16" s="5"/>
      <c r="X16" s="28" t="s">
        <v>98</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98</v>
      </c>
      <c r="V17" s="28" t="s">
        <v>98</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98</v>
      </c>
      <c r="V18" s="28" t="s">
        <v>98</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98</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98</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98</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98</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98</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98</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98</v>
      </c>
      <c r="V63" s="263" t="s">
        <v>98</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98</v>
      </c>
      <c r="V65" s="28" t="s">
        <v>98</v>
      </c>
      <c r="W65" s="5"/>
      <c r="X65" s="28" t="s">
        <v>98</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98</v>
      </c>
      <c r="V67" s="324" t="s">
        <v>98</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98</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98</v>
      </c>
      <c r="V69" s="263" t="s">
        <v>98</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98</v>
      </c>
      <c r="V71" s="263" t="s">
        <v>98</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98</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98</v>
      </c>
      <c r="V74" s="263" t="s">
        <v>98</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98</v>
      </c>
      <c r="V77" s="263" t="s">
        <v>98</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98</v>
      </c>
      <c r="V78" s="263" t="s">
        <v>98</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98</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98</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98</v>
      </c>
      <c r="W87" s="5"/>
      <c r="X87" s="28" t="s">
        <v>98</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98</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98</v>
      </c>
      <c r="V89" s="28" t="s">
        <v>98</v>
      </c>
      <c r="W89" s="22">
        <v>45825</v>
      </c>
      <c r="X89" s="28" t="s">
        <v>98</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98</v>
      </c>
      <c r="V90" s="28" t="s">
        <v>98</v>
      </c>
      <c r="W90" s="22">
        <v>45828</v>
      </c>
      <c r="X90" s="28" t="s">
        <v>98</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98</v>
      </c>
      <c r="W92" s="5"/>
      <c r="X92" s="28" t="s">
        <v>98</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98</v>
      </c>
      <c r="V94" s="28" t="s">
        <v>98</v>
      </c>
      <c r="W94" s="5"/>
      <c r="X94" s="28" t="s">
        <v>98</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98</v>
      </c>
      <c r="V96" s="28" t="s">
        <v>98</v>
      </c>
      <c r="W96" s="5"/>
      <c r="X96" s="28" t="s">
        <v>98</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98</v>
      </c>
      <c r="V98" s="28" t="s">
        <v>98</v>
      </c>
      <c r="W98" s="22">
        <v>45840</v>
      </c>
      <c r="X98" s="28" t="s">
        <v>98</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98</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98</v>
      </c>
      <c r="V101" s="139" t="s">
        <v>98</v>
      </c>
      <c r="W101" s="22">
        <v>45810</v>
      </c>
      <c r="X101" s="28" t="s">
        <v>98</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98</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98</v>
      </c>
      <c r="V105" s="102" t="s">
        <v>98</v>
      </c>
      <c r="W105" s="5"/>
      <c r="X105" s="28" t="s">
        <v>98</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98</v>
      </c>
      <c r="W106" s="22">
        <v>45820</v>
      </c>
      <c r="X106" s="28" t="s">
        <v>98</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98</v>
      </c>
      <c r="W107" s="5"/>
      <c r="X107" s="28" t="s">
        <v>98</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98</v>
      </c>
      <c r="W109" s="385">
        <v>45804</v>
      </c>
      <c r="X109" s="28" t="s">
        <v>98</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98</v>
      </c>
      <c r="W121" s="22">
        <v>45838</v>
      </c>
      <c r="X121" s="28" t="s">
        <v>98</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98</v>
      </c>
      <c r="W124" s="22">
        <v>45832</v>
      </c>
      <c r="X124" s="28" t="s">
        <v>98</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98</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98</v>
      </c>
      <c r="V134" s="28" t="s">
        <v>98</v>
      </c>
      <c r="W134" s="22">
        <v>45825</v>
      </c>
      <c r="X134" s="28" t="s">
        <v>98</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98</v>
      </c>
      <c r="W137" s="5"/>
      <c r="X137" s="28" t="s">
        <v>98</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98</v>
      </c>
      <c r="W139" s="5"/>
      <c r="X139" s="28" t="s">
        <v>98</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98</v>
      </c>
      <c r="W142" s="5"/>
      <c r="X142" s="28" t="s">
        <v>98</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98</v>
      </c>
      <c r="W143" s="5"/>
      <c r="X143" s="28" t="s">
        <v>98</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98</v>
      </c>
      <c r="V145" s="28" t="s">
        <v>98</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98</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98</v>
      </c>
      <c r="V147" s="28" t="s">
        <v>98</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98</v>
      </c>
      <c r="V148" s="28" t="s">
        <v>98</v>
      </c>
      <c r="W148" s="5"/>
      <c r="X148" s="28" t="s">
        <v>98</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98</v>
      </c>
      <c r="V149" s="28" t="s">
        <v>98</v>
      </c>
      <c r="W149" s="5"/>
      <c r="X149" s="28" t="s">
        <v>98</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98</v>
      </c>
      <c r="V150" s="28" t="s">
        <v>98</v>
      </c>
      <c r="W150" s="5"/>
      <c r="X150" s="28" t="s">
        <v>98</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98</v>
      </c>
      <c r="V151" s="28" t="s">
        <v>98</v>
      </c>
      <c r="W151" s="22">
        <v>45818</v>
      </c>
      <c r="X151" s="28" t="s">
        <v>98</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98</v>
      </c>
      <c r="V152" s="28" t="s">
        <v>98</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98</v>
      </c>
      <c r="W156" s="284">
        <v>45747</v>
      </c>
      <c r="X156" s="28" t="s">
        <v>98</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98</v>
      </c>
      <c r="V157" s="28"/>
      <c r="W157" s="36"/>
      <c r="X157" s="28" t="s">
        <v>98</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98</v>
      </c>
      <c r="W159" s="36"/>
      <c r="X159" s="28" t="s">
        <v>98</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98</v>
      </c>
      <c r="W163" s="36"/>
      <c r="X163" s="28" t="s">
        <v>98</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98</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98</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98</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98</v>
      </c>
      <c r="V169" s="28" t="s">
        <v>98</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98</v>
      </c>
      <c r="V170" s="28" t="s">
        <v>98</v>
      </c>
      <c r="W170" s="36"/>
      <c r="X170" s="28" t="s">
        <v>98</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98</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98</v>
      </c>
      <c r="V172" s="28" t="s">
        <v>98</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7" t="s">
        <v>1210</v>
      </c>
      <c r="C1" s="1367"/>
      <c r="D1" s="433"/>
      <c r="E1" s="1367" t="s">
        <v>1211</v>
      </c>
      <c r="F1" s="1367"/>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88</v>
      </c>
      <c r="C4">
        <v>4104</v>
      </c>
      <c r="E4" s="13" t="s">
        <v>1212</v>
      </c>
      <c r="F4" t="s">
        <v>1215</v>
      </c>
      <c r="W4" t="s">
        <v>1218</v>
      </c>
      <c r="X4">
        <v>22</v>
      </c>
    </row>
    <row r="5" spans="1:25">
      <c r="B5" t="s">
        <v>127</v>
      </c>
      <c r="C5">
        <v>17110</v>
      </c>
      <c r="E5" t="s">
        <v>1215</v>
      </c>
      <c r="F5">
        <v>21214</v>
      </c>
      <c r="K5" s="13" t="s">
        <v>1219</v>
      </c>
      <c r="P5" s="13" t="s">
        <v>1219</v>
      </c>
      <c r="W5" t="s">
        <v>1220</v>
      </c>
      <c r="X5">
        <v>13</v>
      </c>
    </row>
    <row r="6" spans="1:25">
      <c r="B6" t="s">
        <v>1221</v>
      </c>
      <c r="C6">
        <v>181954</v>
      </c>
      <c r="K6" s="13" t="s">
        <v>27</v>
      </c>
      <c r="L6" s="13" t="s">
        <v>1222</v>
      </c>
      <c r="M6" t="s">
        <v>1215</v>
      </c>
      <c r="P6" s="13" t="s">
        <v>1223</v>
      </c>
      <c r="Q6" s="13" t="s">
        <v>1222</v>
      </c>
      <c r="R6" t="s">
        <v>1215</v>
      </c>
    </row>
    <row r="7" spans="1:25">
      <c r="B7" t="s">
        <v>22</v>
      </c>
      <c r="C7">
        <v>0</v>
      </c>
      <c r="K7" t="s">
        <v>1214</v>
      </c>
      <c r="L7" t="s">
        <v>469</v>
      </c>
      <c r="M7">
        <v>1</v>
      </c>
      <c r="P7" t="s">
        <v>1224</v>
      </c>
      <c r="R7">
        <v>1</v>
      </c>
      <c r="X7" t="s">
        <v>1225</v>
      </c>
      <c r="Y7" t="s">
        <v>1226</v>
      </c>
    </row>
    <row r="8" spans="1:25">
      <c r="B8" t="s">
        <v>153</v>
      </c>
      <c r="C8">
        <v>16756</v>
      </c>
      <c r="L8" t="s">
        <v>471</v>
      </c>
      <c r="M8">
        <v>1</v>
      </c>
      <c r="P8" t="s">
        <v>1227</v>
      </c>
      <c r="R8">
        <v>1</v>
      </c>
      <c r="V8" t="s">
        <v>1228</v>
      </c>
      <c r="W8" s="189">
        <v>203521</v>
      </c>
      <c r="X8" s="245">
        <f>X5/X4</f>
        <v>0.59090909090909094</v>
      </c>
      <c r="Y8" s="245">
        <f>W9/W8</f>
        <v>0.31446386367991508</v>
      </c>
    </row>
    <row r="9" spans="1:25">
      <c r="B9" t="s">
        <v>138</v>
      </c>
      <c r="C9">
        <v>25873</v>
      </c>
      <c r="L9" t="s">
        <v>1229</v>
      </c>
      <c r="M9">
        <v>1</v>
      </c>
      <c r="P9" t="s">
        <v>1230</v>
      </c>
      <c r="Q9" t="s">
        <v>1229</v>
      </c>
      <c r="R9">
        <v>1</v>
      </c>
      <c r="V9" t="s">
        <v>1231</v>
      </c>
      <c r="W9">
        <v>64000</v>
      </c>
    </row>
    <row r="10" spans="1:25">
      <c r="B10" t="s">
        <v>83</v>
      </c>
      <c r="C10">
        <v>4907</v>
      </c>
      <c r="L10" t="s">
        <v>726</v>
      </c>
      <c r="M10">
        <v>1</v>
      </c>
      <c r="Q10" t="s">
        <v>730</v>
      </c>
      <c r="R10">
        <v>1</v>
      </c>
    </row>
    <row r="11" spans="1:25">
      <c r="B11" t="s">
        <v>116</v>
      </c>
      <c r="C11">
        <v>3</v>
      </c>
      <c r="L11" t="s">
        <v>730</v>
      </c>
      <c r="M11">
        <v>1</v>
      </c>
      <c r="Q11" t="s">
        <v>733</v>
      </c>
      <c r="R11">
        <v>1</v>
      </c>
    </row>
    <row r="12" spans="1:25">
      <c r="B12" t="s">
        <v>51</v>
      </c>
      <c r="C12">
        <v>8185</v>
      </c>
      <c r="L12" t="s">
        <v>733</v>
      </c>
      <c r="M12">
        <v>1</v>
      </c>
      <c r="Q12" t="s">
        <v>1232</v>
      </c>
      <c r="R12">
        <v>1</v>
      </c>
    </row>
    <row r="13" spans="1:25">
      <c r="B13" t="s">
        <v>254</v>
      </c>
      <c r="C13">
        <v>12242</v>
      </c>
      <c r="L13" t="s">
        <v>1233</v>
      </c>
      <c r="M13">
        <v>1</v>
      </c>
      <c r="Q13" t="s">
        <v>1035</v>
      </c>
      <c r="R13">
        <v>1</v>
      </c>
    </row>
    <row r="14" spans="1:25">
      <c r="B14" t="s">
        <v>60</v>
      </c>
      <c r="C14">
        <v>6092</v>
      </c>
      <c r="L14" t="s">
        <v>747</v>
      </c>
      <c r="M14">
        <v>1</v>
      </c>
      <c r="P14" t="s">
        <v>1234</v>
      </c>
      <c r="R14">
        <v>5</v>
      </c>
    </row>
    <row r="15" spans="1:25">
      <c r="B15" t="s">
        <v>1235</v>
      </c>
      <c r="C15">
        <v>277226</v>
      </c>
      <c r="L15" t="s">
        <v>1232</v>
      </c>
      <c r="M15">
        <v>1</v>
      </c>
      <c r="P15" t="s">
        <v>1221</v>
      </c>
      <c r="R15">
        <v>12</v>
      </c>
    </row>
    <row r="16" spans="1:25">
      <c r="L16" t="s">
        <v>749</v>
      </c>
      <c r="M16">
        <v>1</v>
      </c>
      <c r="P16" t="s">
        <v>1235</v>
      </c>
      <c r="R16">
        <v>19</v>
      </c>
    </row>
    <row r="17" spans="11:13">
      <c r="L17" t="s">
        <v>753</v>
      </c>
      <c r="M17">
        <v>1</v>
      </c>
    </row>
    <row r="18" spans="11:13">
      <c r="L18" t="s">
        <v>755</v>
      </c>
      <c r="M18">
        <v>1</v>
      </c>
    </row>
    <row r="19" spans="11:13">
      <c r="L19" t="s">
        <v>759</v>
      </c>
      <c r="M19">
        <v>1</v>
      </c>
    </row>
    <row r="20" spans="11:13">
      <c r="L20" t="s">
        <v>763</v>
      </c>
      <c r="M20">
        <v>1</v>
      </c>
    </row>
    <row r="21" spans="11:13">
      <c r="L21" t="s">
        <v>1236</v>
      </c>
      <c r="M21">
        <v>1</v>
      </c>
    </row>
    <row r="22" spans="11:13">
      <c r="L22" t="s">
        <v>1035</v>
      </c>
      <c r="M22">
        <v>1</v>
      </c>
    </row>
    <row r="23" spans="11:13">
      <c r="L23" t="s">
        <v>795</v>
      </c>
      <c r="M23">
        <v>1</v>
      </c>
    </row>
    <row r="24" spans="11:13">
      <c r="L24" t="s">
        <v>824</v>
      </c>
      <c r="M24">
        <v>1</v>
      </c>
    </row>
    <row r="25" spans="11:13">
      <c r="L25" t="s">
        <v>112</v>
      </c>
      <c r="M25">
        <v>1</v>
      </c>
    </row>
    <row r="26" spans="11:13">
      <c r="K26" t="s">
        <v>1237</v>
      </c>
      <c r="M26">
        <v>19</v>
      </c>
    </row>
    <row r="27" spans="11:13">
      <c r="K27" t="s">
        <v>1238</v>
      </c>
      <c r="L27" t="s">
        <v>741</v>
      </c>
      <c r="M27">
        <v>1</v>
      </c>
    </row>
    <row r="28" spans="11:13">
      <c r="L28" t="s">
        <v>743</v>
      </c>
      <c r="M28">
        <v>1</v>
      </c>
    </row>
    <row r="29" spans="11:13">
      <c r="L29" t="s">
        <v>745</v>
      </c>
      <c r="M29">
        <v>1</v>
      </c>
    </row>
    <row r="30" spans="11:13">
      <c r="L30" t="s">
        <v>761</v>
      </c>
      <c r="M30">
        <v>1</v>
      </c>
    </row>
    <row r="31" spans="11:13">
      <c r="L31" t="s">
        <v>765</v>
      </c>
      <c r="M31">
        <v>1</v>
      </c>
    </row>
    <row r="32" spans="11:13">
      <c r="L32" t="s">
        <v>1239</v>
      </c>
      <c r="M32">
        <v>1</v>
      </c>
    </row>
    <row r="33" spans="11:13">
      <c r="L33" t="s">
        <v>767</v>
      </c>
      <c r="M33">
        <v>1</v>
      </c>
    </row>
    <row r="34" spans="11:13">
      <c r="L34" t="s">
        <v>798</v>
      </c>
      <c r="M34">
        <v>1</v>
      </c>
    </row>
    <row r="35" spans="11:13">
      <c r="L35" t="s">
        <v>511</v>
      </c>
      <c r="M35">
        <v>1</v>
      </c>
    </row>
    <row r="36" spans="11:13">
      <c r="L36" t="s">
        <v>513</v>
      </c>
      <c r="M36">
        <v>1</v>
      </c>
    </row>
    <row r="37" spans="11:13">
      <c r="L37" t="s">
        <v>517</v>
      </c>
      <c r="M37">
        <v>1</v>
      </c>
    </row>
    <row r="38" spans="11:13">
      <c r="L38" t="s">
        <v>519</v>
      </c>
      <c r="M38">
        <v>1</v>
      </c>
    </row>
    <row r="39" spans="11:13">
      <c r="K39" t="s">
        <v>1240</v>
      </c>
      <c r="M39">
        <v>12</v>
      </c>
    </row>
    <row r="40" spans="11:13">
      <c r="K40" t="s">
        <v>1235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8"/>
      <c r="B1" s="1368"/>
      <c r="C1" s="1368"/>
      <c r="D1" s="1368"/>
      <c r="E1" s="1368"/>
      <c r="F1" s="1368"/>
      <c r="G1" s="1368"/>
      <c r="H1" s="1369" t="s">
        <v>1241</v>
      </c>
      <c r="I1" s="1369"/>
      <c r="J1" s="1369"/>
      <c r="K1" s="1369"/>
      <c r="L1" s="1369"/>
      <c r="M1" s="1369"/>
      <c r="N1" s="1369"/>
      <c r="O1" s="1369"/>
      <c r="P1" s="192"/>
      <c r="Q1" s="1370" t="s">
        <v>34</v>
      </c>
      <c r="R1" s="1370"/>
      <c r="S1" s="1371"/>
      <c r="T1" s="1370"/>
      <c r="U1" s="1370"/>
      <c r="V1" s="1370"/>
      <c r="W1" s="1370"/>
      <c r="X1" s="1370"/>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96</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F4">
        <v>1049</v>
      </c>
      <c r="G4">
        <v>1049</v>
      </c>
      <c r="J4" s="13" t="s">
        <v>1285</v>
      </c>
      <c r="K4" t="s">
        <v>1215</v>
      </c>
      <c r="N4" s="13" t="s">
        <v>1285</v>
      </c>
      <c r="O4" t="s">
        <v>1286</v>
      </c>
      <c r="P4" t="s">
        <v>1287</v>
      </c>
      <c r="Q4" t="s">
        <v>1288</v>
      </c>
      <c r="R4" t="s">
        <v>1235</v>
      </c>
    </row>
    <row r="5" spans="1:18">
      <c r="A5" t="s">
        <v>702</v>
      </c>
      <c r="D5">
        <v>1426</v>
      </c>
      <c r="E5">
        <v>1190</v>
      </c>
      <c r="F5">
        <v>23</v>
      </c>
      <c r="G5">
        <v>2639</v>
      </c>
      <c r="J5" t="s">
        <v>677</v>
      </c>
      <c r="K5">
        <v>6147</v>
      </c>
      <c r="N5" t="s">
        <v>677</v>
      </c>
      <c r="O5">
        <v>7120</v>
      </c>
      <c r="P5">
        <v>22896</v>
      </c>
      <c r="Q5">
        <v>7447</v>
      </c>
      <c r="R5">
        <v>37463</v>
      </c>
    </row>
    <row r="6" spans="1:18">
      <c r="A6" t="s">
        <v>712</v>
      </c>
      <c r="C6">
        <v>202</v>
      </c>
      <c r="G6">
        <v>202</v>
      </c>
      <c r="J6" t="s">
        <v>88</v>
      </c>
      <c r="K6">
        <v>22274</v>
      </c>
      <c r="N6" t="s">
        <v>88</v>
      </c>
      <c r="O6">
        <v>24798</v>
      </c>
      <c r="P6">
        <v>42799</v>
      </c>
      <c r="Q6">
        <v>33743</v>
      </c>
      <c r="R6">
        <v>101340</v>
      </c>
    </row>
    <row r="7" spans="1:18">
      <c r="A7" t="s">
        <v>716</v>
      </c>
      <c r="B7">
        <v>2677</v>
      </c>
      <c r="G7">
        <v>2677</v>
      </c>
      <c r="J7" t="s">
        <v>1289</v>
      </c>
      <c r="K7">
        <v>0</v>
      </c>
      <c r="N7" t="s">
        <v>731</v>
      </c>
      <c r="O7">
        <v>3158</v>
      </c>
      <c r="P7">
        <v>21322</v>
      </c>
      <c r="Q7">
        <v>12406</v>
      </c>
      <c r="R7">
        <v>36886</v>
      </c>
    </row>
    <row r="8" spans="1:18">
      <c r="A8" t="s">
        <v>723</v>
      </c>
      <c r="C8">
        <v>241</v>
      </c>
      <c r="D8">
        <v>366</v>
      </c>
      <c r="E8">
        <v>202</v>
      </c>
      <c r="F8">
        <v>120</v>
      </c>
      <c r="G8">
        <v>929</v>
      </c>
      <c r="J8" t="s">
        <v>731</v>
      </c>
      <c r="K8">
        <v>3629</v>
      </c>
      <c r="N8" t="s">
        <v>756</v>
      </c>
      <c r="P8">
        <v>4135</v>
      </c>
      <c r="Q8">
        <v>7641</v>
      </c>
      <c r="R8">
        <v>11776</v>
      </c>
    </row>
    <row r="9" spans="1:18">
      <c r="A9" t="s">
        <v>500</v>
      </c>
      <c r="E9">
        <v>106</v>
      </c>
      <c r="G9">
        <v>106</v>
      </c>
      <c r="J9" t="s">
        <v>756</v>
      </c>
      <c r="K9">
        <v>0</v>
      </c>
      <c r="N9" t="s">
        <v>1290</v>
      </c>
      <c r="O9">
        <v>7188</v>
      </c>
      <c r="P9">
        <v>19886</v>
      </c>
      <c r="Q9">
        <v>8220</v>
      </c>
      <c r="R9">
        <v>35294</v>
      </c>
    </row>
    <row r="10" spans="1:18">
      <c r="A10" t="s">
        <v>504</v>
      </c>
      <c r="C10">
        <v>534</v>
      </c>
      <c r="D10">
        <v>460</v>
      </c>
      <c r="E10">
        <v>886</v>
      </c>
      <c r="F10">
        <v>202</v>
      </c>
      <c r="G10">
        <v>2082</v>
      </c>
      <c r="J10" t="s">
        <v>779</v>
      </c>
      <c r="K10">
        <v>933</v>
      </c>
      <c r="N10" t="s">
        <v>580</v>
      </c>
      <c r="O10">
        <v>6561</v>
      </c>
      <c r="P10">
        <v>14625</v>
      </c>
      <c r="Q10">
        <v>17060</v>
      </c>
      <c r="R10">
        <v>38246</v>
      </c>
    </row>
    <row r="11" spans="1:18">
      <c r="A11" t="s">
        <v>824</v>
      </c>
      <c r="C11">
        <v>1990</v>
      </c>
      <c r="D11">
        <v>1045</v>
      </c>
      <c r="G11">
        <v>3035</v>
      </c>
      <c r="J11" t="s">
        <v>1290</v>
      </c>
      <c r="K11">
        <v>4129</v>
      </c>
      <c r="N11" t="s">
        <v>455</v>
      </c>
      <c r="P11">
        <v>5968</v>
      </c>
      <c r="Q11">
        <v>20002</v>
      </c>
      <c r="R11">
        <v>25970</v>
      </c>
    </row>
    <row r="12" spans="1:18">
      <c r="A12" t="s">
        <v>1235</v>
      </c>
      <c r="B12">
        <v>2677</v>
      </c>
      <c r="C12">
        <v>2967</v>
      </c>
      <c r="D12">
        <v>3297</v>
      </c>
      <c r="E12">
        <v>2384</v>
      </c>
      <c r="F12">
        <v>1394</v>
      </c>
      <c r="G12">
        <v>12719</v>
      </c>
      <c r="J12" t="s">
        <v>580</v>
      </c>
      <c r="K12">
        <v>7128</v>
      </c>
      <c r="N12" t="s">
        <v>706</v>
      </c>
      <c r="O12">
        <v>2073</v>
      </c>
      <c r="P12">
        <v>6882</v>
      </c>
      <c r="Q12">
        <v>7027</v>
      </c>
      <c r="R12">
        <v>15982</v>
      </c>
    </row>
    <row r="13" spans="1:18">
      <c r="J13" t="s">
        <v>1291</v>
      </c>
      <c r="K13">
        <v>2298</v>
      </c>
      <c r="N13" t="s">
        <v>1235</v>
      </c>
      <c r="O13">
        <v>50898</v>
      </c>
      <c r="P13">
        <v>138513</v>
      </c>
      <c r="Q13">
        <v>113546</v>
      </c>
      <c r="R13">
        <v>302957</v>
      </c>
    </row>
    <row r="14" spans="1:18">
      <c r="J14" t="s">
        <v>455</v>
      </c>
      <c r="K14">
        <v>13034</v>
      </c>
    </row>
    <row r="15" spans="1:18">
      <c r="A15" s="13" t="s">
        <v>1282</v>
      </c>
      <c r="B15" s="13" t="s">
        <v>1281</v>
      </c>
      <c r="J15" t="s">
        <v>686</v>
      </c>
      <c r="K15">
        <v>4828</v>
      </c>
    </row>
    <row r="16" spans="1:18">
      <c r="A16" s="13" t="s">
        <v>1283</v>
      </c>
      <c r="B16" s="50">
        <v>45705</v>
      </c>
      <c r="C16" s="50">
        <v>45706</v>
      </c>
      <c r="D16" s="50">
        <v>45707</v>
      </c>
      <c r="E16" s="50">
        <v>45708</v>
      </c>
      <c r="F16" s="50">
        <v>45709</v>
      </c>
      <c r="G16" t="s">
        <v>1235</v>
      </c>
      <c r="J16" t="s">
        <v>706</v>
      </c>
      <c r="K16">
        <v>6718</v>
      </c>
    </row>
    <row r="17" spans="1:11">
      <c r="A17" t="s">
        <v>699</v>
      </c>
      <c r="E17">
        <v>547</v>
      </c>
      <c r="F17">
        <v>792</v>
      </c>
      <c r="G17">
        <v>1339</v>
      </c>
      <c r="J17" t="s">
        <v>448</v>
      </c>
    </row>
    <row r="18" spans="1:11">
      <c r="A18" t="s">
        <v>702</v>
      </c>
      <c r="F18">
        <v>823</v>
      </c>
      <c r="G18">
        <v>823</v>
      </c>
      <c r="J18" t="s">
        <v>1235</v>
      </c>
      <c r="K18">
        <v>71118</v>
      </c>
    </row>
    <row r="19" spans="1:11">
      <c r="A19" t="s">
        <v>712</v>
      </c>
      <c r="E19">
        <v>23</v>
      </c>
      <c r="F19">
        <v>24</v>
      </c>
      <c r="G19">
        <v>47</v>
      </c>
    </row>
    <row r="20" spans="1:11">
      <c r="A20" t="s">
        <v>716</v>
      </c>
      <c r="D20">
        <v>1319</v>
      </c>
      <c r="G20">
        <v>1319</v>
      </c>
    </row>
    <row r="21" spans="1:11">
      <c r="A21" t="s">
        <v>723</v>
      </c>
      <c r="B21">
        <v>283</v>
      </c>
      <c r="D21">
        <v>732</v>
      </c>
      <c r="E21">
        <v>309</v>
      </c>
      <c r="G21">
        <v>1324</v>
      </c>
    </row>
    <row r="22" spans="1:11">
      <c r="A22" t="s">
        <v>736</v>
      </c>
      <c r="C22">
        <v>1240</v>
      </c>
      <c r="D22">
        <v>1978</v>
      </c>
      <c r="E22">
        <v>851</v>
      </c>
      <c r="G22">
        <v>4069</v>
      </c>
    </row>
    <row r="23" spans="1:11">
      <c r="A23" t="s">
        <v>769</v>
      </c>
    </row>
    <row r="24" spans="1:11">
      <c r="A24" t="s">
        <v>782</v>
      </c>
      <c r="D24">
        <v>1606</v>
      </c>
      <c r="E24">
        <v>1334</v>
      </c>
      <c r="G24">
        <v>2940</v>
      </c>
    </row>
    <row r="25" spans="1:11">
      <c r="A25" t="s">
        <v>789</v>
      </c>
      <c r="C25">
        <v>300</v>
      </c>
      <c r="D25">
        <v>696</v>
      </c>
      <c r="E25">
        <v>227</v>
      </c>
      <c r="F25">
        <v>333</v>
      </c>
      <c r="G25">
        <v>1556</v>
      </c>
    </row>
    <row r="26" spans="1:11">
      <c r="A26" t="s">
        <v>500</v>
      </c>
      <c r="F26">
        <v>21</v>
      </c>
      <c r="G26">
        <v>21</v>
      </c>
    </row>
    <row r="27" spans="1:11">
      <c r="A27" t="s">
        <v>504</v>
      </c>
      <c r="B27">
        <v>383</v>
      </c>
      <c r="C27">
        <v>1017</v>
      </c>
      <c r="D27">
        <v>242</v>
      </c>
      <c r="E27">
        <v>424</v>
      </c>
      <c r="F27">
        <v>19</v>
      </c>
      <c r="G27">
        <v>2085</v>
      </c>
    </row>
    <row r="28" spans="1:11">
      <c r="A28" t="s">
        <v>521</v>
      </c>
      <c r="C28">
        <v>1050</v>
      </c>
      <c r="G28">
        <v>1050</v>
      </c>
    </row>
    <row r="29" spans="1:11">
      <c r="A29" t="s">
        <v>695</v>
      </c>
      <c r="E29">
        <v>1400</v>
      </c>
      <c r="F29">
        <v>1462</v>
      </c>
      <c r="G29">
        <v>2862</v>
      </c>
    </row>
    <row r="30" spans="1:11">
      <c r="A30" t="s">
        <v>696</v>
      </c>
      <c r="E30">
        <v>1806</v>
      </c>
      <c r="F30">
        <v>345</v>
      </c>
      <c r="G30">
        <v>2151</v>
      </c>
    </row>
    <row r="31" spans="1:11">
      <c r="A31" t="s">
        <v>490</v>
      </c>
      <c r="E31">
        <v>47</v>
      </c>
      <c r="F31">
        <v>1494</v>
      </c>
      <c r="G31">
        <v>1541</v>
      </c>
    </row>
    <row r="32" spans="1:11">
      <c r="A32" t="s">
        <v>1040</v>
      </c>
    </row>
    <row r="33" spans="1:7">
      <c r="A33" t="s">
        <v>689</v>
      </c>
      <c r="F33">
        <v>1095</v>
      </c>
      <c r="G33">
        <v>1095</v>
      </c>
    </row>
    <row r="34" spans="1:7">
      <c r="A34" t="s">
        <v>692</v>
      </c>
      <c r="F34">
        <v>2989</v>
      </c>
      <c r="G34">
        <v>2989</v>
      </c>
    </row>
    <row r="35" spans="1:7">
      <c r="A35" t="s">
        <v>1235</v>
      </c>
      <c r="B35">
        <v>666</v>
      </c>
      <c r="C35">
        <v>3607</v>
      </c>
      <c r="D35">
        <v>6573</v>
      </c>
      <c r="E35">
        <v>6968</v>
      </c>
      <c r="F35">
        <v>9397</v>
      </c>
      <c r="G35">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C40">
        <v>1277</v>
      </c>
      <c r="D40">
        <v>1721</v>
      </c>
      <c r="E40">
        <v>670</v>
      </c>
      <c r="F40">
        <v>0</v>
      </c>
      <c r="G40">
        <v>3668</v>
      </c>
    </row>
    <row r="41" spans="1:7">
      <c r="A41" t="s">
        <v>702</v>
      </c>
      <c r="E41">
        <v>1422</v>
      </c>
      <c r="F41">
        <v>946</v>
      </c>
      <c r="G41">
        <v>2368</v>
      </c>
    </row>
    <row r="42" spans="1:7">
      <c r="A42" t="s">
        <v>712</v>
      </c>
      <c r="F42">
        <v>9</v>
      </c>
      <c r="G42">
        <v>9</v>
      </c>
    </row>
    <row r="43" spans="1:7">
      <c r="A43" t="s">
        <v>716</v>
      </c>
      <c r="F43">
        <v>0</v>
      </c>
      <c r="G43">
        <v>0</v>
      </c>
    </row>
    <row r="44" spans="1:7">
      <c r="A44" t="s">
        <v>723</v>
      </c>
      <c r="B44">
        <v>73</v>
      </c>
      <c r="D44">
        <v>25</v>
      </c>
      <c r="G44">
        <v>98</v>
      </c>
    </row>
    <row r="45" spans="1:7">
      <c r="A45" t="s">
        <v>736</v>
      </c>
      <c r="F45">
        <v>54</v>
      </c>
      <c r="G45">
        <v>54</v>
      </c>
    </row>
    <row r="46" spans="1:7">
      <c r="A46" t="s">
        <v>769</v>
      </c>
      <c r="E46">
        <v>437</v>
      </c>
      <c r="F46">
        <v>0</v>
      </c>
      <c r="G46">
        <v>437</v>
      </c>
    </row>
    <row r="47" spans="1:7">
      <c r="A47" t="s">
        <v>782</v>
      </c>
      <c r="D47">
        <v>992</v>
      </c>
      <c r="E47">
        <v>513</v>
      </c>
      <c r="F47">
        <v>0</v>
      </c>
      <c r="G47">
        <v>1505</v>
      </c>
    </row>
    <row r="48" spans="1:7">
      <c r="A48" t="s">
        <v>789</v>
      </c>
      <c r="C48">
        <v>800</v>
      </c>
      <c r="D48">
        <v>208</v>
      </c>
      <c r="E48">
        <v>529</v>
      </c>
      <c r="F48">
        <v>327</v>
      </c>
      <c r="G48">
        <v>1864</v>
      </c>
    </row>
    <row r="49" spans="1:7">
      <c r="A49" t="s">
        <v>500</v>
      </c>
      <c r="F49">
        <v>3</v>
      </c>
      <c r="G49">
        <v>3</v>
      </c>
    </row>
    <row r="50" spans="1:7">
      <c r="A50" t="s">
        <v>504</v>
      </c>
      <c r="C50">
        <v>236</v>
      </c>
      <c r="F50">
        <v>0</v>
      </c>
      <c r="G50">
        <v>236</v>
      </c>
    </row>
    <row r="51" spans="1:7">
      <c r="A51" t="s">
        <v>521</v>
      </c>
      <c r="F51">
        <v>0</v>
      </c>
      <c r="G51">
        <v>0</v>
      </c>
    </row>
    <row r="52" spans="1:7">
      <c r="A52" t="s">
        <v>824</v>
      </c>
      <c r="C52">
        <v>74</v>
      </c>
      <c r="D52">
        <v>671</v>
      </c>
      <c r="F52">
        <v>0</v>
      </c>
      <c r="G52">
        <v>745</v>
      </c>
    </row>
    <row r="53" spans="1:7">
      <c r="A53" t="s">
        <v>695</v>
      </c>
      <c r="F53">
        <v>886</v>
      </c>
      <c r="G53">
        <v>886</v>
      </c>
    </row>
    <row r="54" spans="1:7">
      <c r="A54" t="s">
        <v>696</v>
      </c>
      <c r="D54">
        <v>400</v>
      </c>
      <c r="F54">
        <v>384</v>
      </c>
      <c r="G54">
        <v>784</v>
      </c>
    </row>
    <row r="55" spans="1:7">
      <c r="A55" t="s">
        <v>490</v>
      </c>
      <c r="B55">
        <v>2087</v>
      </c>
      <c r="F55">
        <v>0</v>
      </c>
      <c r="G55">
        <v>2087</v>
      </c>
    </row>
    <row r="56" spans="1:7">
      <c r="A56" t="s">
        <v>1040</v>
      </c>
      <c r="F56">
        <v>0</v>
      </c>
      <c r="G56">
        <v>0</v>
      </c>
    </row>
    <row r="57" spans="1:7">
      <c r="A57" t="s">
        <v>689</v>
      </c>
      <c r="C57">
        <v>860</v>
      </c>
      <c r="D57">
        <v>1540</v>
      </c>
      <c r="E57">
        <v>1360</v>
      </c>
      <c r="F57">
        <v>0</v>
      </c>
      <c r="G57">
        <v>3760</v>
      </c>
    </row>
    <row r="58" spans="1:7">
      <c r="A58" t="s">
        <v>692</v>
      </c>
      <c r="C58">
        <v>967</v>
      </c>
      <c r="D58">
        <v>1708</v>
      </c>
      <c r="F58">
        <v>229</v>
      </c>
      <c r="G58">
        <v>2904</v>
      </c>
    </row>
    <row r="59" spans="1:7">
      <c r="A59" t="s">
        <v>778</v>
      </c>
      <c r="B59">
        <v>555</v>
      </c>
      <c r="E59">
        <v>577</v>
      </c>
      <c r="F59">
        <v>239</v>
      </c>
      <c r="G59">
        <v>1371</v>
      </c>
    </row>
    <row r="60" spans="1:7">
      <c r="A60" t="s">
        <v>662</v>
      </c>
      <c r="F60">
        <v>0</v>
      </c>
      <c r="G60">
        <v>0</v>
      </c>
    </row>
    <row r="61" spans="1:7">
      <c r="A61" t="s">
        <v>497</v>
      </c>
      <c r="F61">
        <v>0</v>
      </c>
      <c r="G61">
        <v>0</v>
      </c>
    </row>
    <row r="62" spans="1:7">
      <c r="A62" t="s">
        <v>502</v>
      </c>
      <c r="F62">
        <v>0</v>
      </c>
      <c r="G62">
        <v>0</v>
      </c>
    </row>
    <row r="63" spans="1:7">
      <c r="A63" t="s">
        <v>507</v>
      </c>
      <c r="F63">
        <v>0</v>
      </c>
      <c r="G63">
        <v>0</v>
      </c>
    </row>
    <row r="64" spans="1:7">
      <c r="A64" t="s">
        <v>600</v>
      </c>
      <c r="C64">
        <v>214</v>
      </c>
      <c r="F64">
        <v>0</v>
      </c>
      <c r="G64">
        <v>214</v>
      </c>
    </row>
    <row r="65" spans="1:7">
      <c r="A65" t="s">
        <v>685</v>
      </c>
      <c r="C65">
        <v>956</v>
      </c>
      <c r="E65">
        <v>1168</v>
      </c>
      <c r="F65">
        <v>0</v>
      </c>
      <c r="G65">
        <v>2124</v>
      </c>
    </row>
    <row r="66" spans="1:7">
      <c r="A66" t="s">
        <v>1209</v>
      </c>
      <c r="F66">
        <v>0</v>
      </c>
      <c r="G66">
        <v>0</v>
      </c>
    </row>
    <row r="67" spans="1:7">
      <c r="A67" t="s">
        <v>705</v>
      </c>
      <c r="D67">
        <v>1090</v>
      </c>
      <c r="E67">
        <v>840</v>
      </c>
      <c r="F67">
        <v>530</v>
      </c>
      <c r="G67">
        <v>2460</v>
      </c>
    </row>
    <row r="68" spans="1:7">
      <c r="A68" t="s">
        <v>1292</v>
      </c>
      <c r="D68">
        <v>120</v>
      </c>
      <c r="G68">
        <v>120</v>
      </c>
    </row>
    <row r="69" spans="1:7">
      <c r="A69" t="s">
        <v>773</v>
      </c>
      <c r="D69">
        <v>399</v>
      </c>
      <c r="E69">
        <v>335</v>
      </c>
      <c r="F69">
        <v>1339</v>
      </c>
      <c r="G69">
        <v>2073</v>
      </c>
    </row>
    <row r="70" spans="1:7">
      <c r="A70" t="s">
        <v>807</v>
      </c>
      <c r="D70">
        <v>891</v>
      </c>
      <c r="E70">
        <v>1213</v>
      </c>
      <c r="F70">
        <v>1054</v>
      </c>
      <c r="G70">
        <v>3158</v>
      </c>
    </row>
    <row r="71" spans="1:7">
      <c r="A71" t="s">
        <v>1188</v>
      </c>
      <c r="F71">
        <v>0</v>
      </c>
      <c r="G71">
        <v>0</v>
      </c>
    </row>
    <row r="72" spans="1:7">
      <c r="A72" t="s">
        <v>1235</v>
      </c>
      <c r="B72">
        <v>2715</v>
      </c>
      <c r="C72">
        <v>5384</v>
      </c>
      <c r="D72">
        <v>9765</v>
      </c>
      <c r="E72">
        <v>9064</v>
      </c>
      <c r="F72">
        <v>6000</v>
      </c>
      <c r="G72">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v>0</v>
      </c>
      <c r="D76">
        <v>0</v>
      </c>
      <c r="E76">
        <v>0</v>
      </c>
      <c r="F76">
        <v>0</v>
      </c>
      <c r="G76">
        <v>0</v>
      </c>
    </row>
    <row r="77" spans="1:7">
      <c r="A77" t="s">
        <v>702</v>
      </c>
      <c r="B77">
        <v>0</v>
      </c>
      <c r="D77">
        <v>0</v>
      </c>
      <c r="E77">
        <v>0</v>
      </c>
      <c r="F77">
        <v>0</v>
      </c>
      <c r="G77">
        <v>0</v>
      </c>
    </row>
    <row r="78" spans="1:7">
      <c r="A78" t="s">
        <v>712</v>
      </c>
      <c r="B78">
        <v>0</v>
      </c>
      <c r="C78">
        <v>0</v>
      </c>
      <c r="D78">
        <v>0</v>
      </c>
      <c r="E78">
        <v>0</v>
      </c>
      <c r="F78">
        <v>0</v>
      </c>
      <c r="G78">
        <v>0</v>
      </c>
    </row>
    <row r="79" spans="1:7">
      <c r="A79" t="s">
        <v>716</v>
      </c>
      <c r="B79">
        <v>0</v>
      </c>
      <c r="D79">
        <v>0</v>
      </c>
      <c r="E79">
        <v>0</v>
      </c>
      <c r="F79">
        <v>0</v>
      </c>
      <c r="G79">
        <v>0</v>
      </c>
    </row>
    <row r="80" spans="1:7">
      <c r="A80" t="s">
        <v>723</v>
      </c>
      <c r="B80">
        <v>0</v>
      </c>
      <c r="C80">
        <v>414</v>
      </c>
      <c r="D80">
        <v>367</v>
      </c>
      <c r="E80">
        <v>245</v>
      </c>
      <c r="F80">
        <v>0</v>
      </c>
      <c r="G80">
        <v>1026</v>
      </c>
    </row>
    <row r="81" spans="1:7">
      <c r="A81" t="s">
        <v>736</v>
      </c>
      <c r="B81">
        <v>0</v>
      </c>
      <c r="D81">
        <v>0</v>
      </c>
      <c r="E81">
        <v>0</v>
      </c>
      <c r="F81">
        <v>0</v>
      </c>
      <c r="G81">
        <v>0</v>
      </c>
    </row>
    <row r="82" spans="1:7">
      <c r="A82" t="s">
        <v>769</v>
      </c>
      <c r="B82">
        <v>0</v>
      </c>
      <c r="D82">
        <v>0</v>
      </c>
      <c r="E82">
        <v>0</v>
      </c>
      <c r="F82">
        <v>0</v>
      </c>
      <c r="G82">
        <v>0</v>
      </c>
    </row>
    <row r="83" spans="1:7">
      <c r="A83" t="s">
        <v>782</v>
      </c>
      <c r="B83">
        <v>0</v>
      </c>
      <c r="D83">
        <v>0</v>
      </c>
      <c r="E83">
        <v>0</v>
      </c>
      <c r="F83">
        <v>201</v>
      </c>
      <c r="G83">
        <v>201</v>
      </c>
    </row>
    <row r="84" spans="1:7">
      <c r="A84" t="s">
        <v>789</v>
      </c>
      <c r="B84">
        <v>286</v>
      </c>
      <c r="C84">
        <v>358</v>
      </c>
      <c r="D84">
        <v>0</v>
      </c>
      <c r="E84">
        <v>32</v>
      </c>
      <c r="F84">
        <v>9</v>
      </c>
      <c r="G84">
        <v>685</v>
      </c>
    </row>
    <row r="85" spans="1:7">
      <c r="A85" t="s">
        <v>500</v>
      </c>
      <c r="B85">
        <v>0</v>
      </c>
      <c r="D85">
        <v>0</v>
      </c>
      <c r="E85">
        <v>0</v>
      </c>
      <c r="F85">
        <v>0</v>
      </c>
      <c r="G85">
        <v>0</v>
      </c>
    </row>
    <row r="86" spans="1:7">
      <c r="A86" t="s">
        <v>504</v>
      </c>
      <c r="B86">
        <v>0</v>
      </c>
      <c r="D86">
        <v>0</v>
      </c>
      <c r="E86">
        <v>0</v>
      </c>
      <c r="F86">
        <v>0</v>
      </c>
      <c r="G86">
        <v>0</v>
      </c>
    </row>
    <row r="87" spans="1:7">
      <c r="A87" t="s">
        <v>521</v>
      </c>
      <c r="B87">
        <v>0</v>
      </c>
      <c r="D87">
        <v>0</v>
      </c>
      <c r="E87">
        <v>0</v>
      </c>
      <c r="F87">
        <v>0</v>
      </c>
      <c r="G87">
        <v>0</v>
      </c>
    </row>
    <row r="88" spans="1:7">
      <c r="A88" t="s">
        <v>824</v>
      </c>
      <c r="B88">
        <v>363</v>
      </c>
      <c r="C88">
        <v>171</v>
      </c>
      <c r="D88">
        <v>0</v>
      </c>
      <c r="E88">
        <v>397</v>
      </c>
      <c r="F88">
        <v>88</v>
      </c>
      <c r="G88">
        <v>1019</v>
      </c>
    </row>
    <row r="89" spans="1:7">
      <c r="A89" t="s">
        <v>695</v>
      </c>
      <c r="B89">
        <v>134</v>
      </c>
      <c r="C89">
        <v>408</v>
      </c>
      <c r="D89">
        <v>452</v>
      </c>
      <c r="E89">
        <v>0</v>
      </c>
      <c r="F89">
        <v>875</v>
      </c>
      <c r="G89">
        <v>1869</v>
      </c>
    </row>
    <row r="90" spans="1:7">
      <c r="A90" t="s">
        <v>696</v>
      </c>
      <c r="C90">
        <v>840</v>
      </c>
      <c r="D90">
        <v>0</v>
      </c>
      <c r="E90">
        <v>0</v>
      </c>
      <c r="F90">
        <v>0</v>
      </c>
      <c r="G90">
        <v>840</v>
      </c>
    </row>
    <row r="91" spans="1:7">
      <c r="A91" t="s">
        <v>490</v>
      </c>
      <c r="B91">
        <v>0</v>
      </c>
      <c r="D91">
        <v>0</v>
      </c>
      <c r="E91">
        <v>0</v>
      </c>
      <c r="F91">
        <v>0</v>
      </c>
      <c r="G91">
        <v>0</v>
      </c>
    </row>
    <row r="92" spans="1:7">
      <c r="A92" t="s">
        <v>1040</v>
      </c>
      <c r="B92">
        <v>0</v>
      </c>
      <c r="D92">
        <v>0</v>
      </c>
      <c r="E92">
        <v>0</v>
      </c>
      <c r="F92">
        <v>0</v>
      </c>
      <c r="G92">
        <v>0</v>
      </c>
    </row>
    <row r="93" spans="1:7">
      <c r="A93" t="s">
        <v>689</v>
      </c>
      <c r="B93">
        <v>1460</v>
      </c>
      <c r="C93">
        <v>970</v>
      </c>
      <c r="D93">
        <v>430</v>
      </c>
      <c r="E93">
        <v>0</v>
      </c>
      <c r="F93">
        <v>0</v>
      </c>
      <c r="G93">
        <v>2860</v>
      </c>
    </row>
    <row r="94" spans="1:7">
      <c r="A94" t="s">
        <v>692</v>
      </c>
      <c r="B94">
        <v>182</v>
      </c>
      <c r="D94">
        <v>0</v>
      </c>
      <c r="E94">
        <v>0</v>
      </c>
      <c r="F94">
        <v>0</v>
      </c>
      <c r="G94">
        <v>182</v>
      </c>
    </row>
    <row r="95" spans="1:7">
      <c r="A95" t="s">
        <v>778</v>
      </c>
      <c r="B95">
        <v>0</v>
      </c>
      <c r="D95">
        <v>0</v>
      </c>
      <c r="E95">
        <v>0</v>
      </c>
      <c r="F95">
        <v>0</v>
      </c>
      <c r="G95">
        <v>0</v>
      </c>
    </row>
    <row r="96" spans="1:7">
      <c r="A96" t="s">
        <v>662</v>
      </c>
      <c r="B96">
        <v>0</v>
      </c>
      <c r="D96">
        <v>0</v>
      </c>
      <c r="F96">
        <v>0</v>
      </c>
      <c r="G96">
        <v>0</v>
      </c>
    </row>
    <row r="97" spans="1:7">
      <c r="A97" t="s">
        <v>497</v>
      </c>
      <c r="B97">
        <v>0</v>
      </c>
      <c r="D97">
        <v>0</v>
      </c>
      <c r="E97">
        <v>0</v>
      </c>
      <c r="F97">
        <v>0</v>
      </c>
      <c r="G97">
        <v>0</v>
      </c>
    </row>
    <row r="98" spans="1:7">
      <c r="A98" t="s">
        <v>502</v>
      </c>
      <c r="B98">
        <v>0</v>
      </c>
      <c r="D98">
        <v>0</v>
      </c>
      <c r="E98">
        <v>35</v>
      </c>
      <c r="F98">
        <v>0</v>
      </c>
      <c r="G98">
        <v>35</v>
      </c>
    </row>
    <row r="99" spans="1:7">
      <c r="A99" t="s">
        <v>507</v>
      </c>
      <c r="B99">
        <v>0</v>
      </c>
      <c r="D99">
        <v>0</v>
      </c>
      <c r="E99">
        <v>0</v>
      </c>
      <c r="F99">
        <v>0</v>
      </c>
      <c r="G99">
        <v>0</v>
      </c>
    </row>
    <row r="100" spans="1:7">
      <c r="A100" t="s">
        <v>600</v>
      </c>
      <c r="B100">
        <v>0</v>
      </c>
      <c r="D100">
        <v>32</v>
      </c>
      <c r="E100">
        <v>85</v>
      </c>
      <c r="F100">
        <v>0</v>
      </c>
      <c r="G100">
        <v>117</v>
      </c>
    </row>
    <row r="101" spans="1:7">
      <c r="A101" t="s">
        <v>685</v>
      </c>
      <c r="B101">
        <v>0</v>
      </c>
      <c r="D101">
        <v>0</v>
      </c>
      <c r="E101">
        <v>0</v>
      </c>
      <c r="F101">
        <v>0</v>
      </c>
      <c r="G101">
        <v>0</v>
      </c>
    </row>
    <row r="102" spans="1:7">
      <c r="A102" t="s">
        <v>1209</v>
      </c>
      <c r="B102">
        <v>0</v>
      </c>
      <c r="D102">
        <v>0</v>
      </c>
      <c r="E102">
        <v>0</v>
      </c>
      <c r="F102">
        <v>0</v>
      </c>
      <c r="G102">
        <v>0</v>
      </c>
    </row>
    <row r="103" spans="1:7">
      <c r="A103" t="s">
        <v>705</v>
      </c>
      <c r="B103">
        <v>0</v>
      </c>
      <c r="D103">
        <v>372</v>
      </c>
      <c r="E103">
        <v>0</v>
      </c>
      <c r="F103">
        <v>0</v>
      </c>
      <c r="G103">
        <v>372</v>
      </c>
    </row>
    <row r="104" spans="1:7">
      <c r="A104" t="s">
        <v>1292</v>
      </c>
      <c r="B104">
        <v>0</v>
      </c>
      <c r="D104">
        <v>0</v>
      </c>
      <c r="E104">
        <v>0</v>
      </c>
      <c r="F104">
        <v>0</v>
      </c>
      <c r="G104">
        <v>0</v>
      </c>
    </row>
    <row r="105" spans="1:7">
      <c r="A105" t="s">
        <v>773</v>
      </c>
      <c r="B105">
        <v>1292</v>
      </c>
      <c r="C105">
        <v>1022</v>
      </c>
      <c r="D105">
        <v>1246</v>
      </c>
      <c r="E105">
        <v>0</v>
      </c>
      <c r="F105">
        <v>288</v>
      </c>
      <c r="G105">
        <v>3848</v>
      </c>
    </row>
    <row r="106" spans="1:7">
      <c r="A106" t="s">
        <v>807</v>
      </c>
      <c r="B106">
        <v>0</v>
      </c>
      <c r="C106">
        <v>0</v>
      </c>
      <c r="D106">
        <v>0</v>
      </c>
      <c r="E106">
        <v>0</v>
      </c>
      <c r="F106">
        <v>0</v>
      </c>
      <c r="G106">
        <v>0</v>
      </c>
    </row>
    <row r="107" spans="1:7">
      <c r="A107" t="s">
        <v>805</v>
      </c>
      <c r="B107">
        <v>0</v>
      </c>
      <c r="C107">
        <v>1570</v>
      </c>
      <c r="D107">
        <v>461</v>
      </c>
      <c r="E107">
        <v>1109</v>
      </c>
      <c r="F107">
        <v>980</v>
      </c>
      <c r="G107">
        <v>4120</v>
      </c>
    </row>
    <row r="108" spans="1:7">
      <c r="A108" t="s">
        <v>495</v>
      </c>
      <c r="B108">
        <v>1454</v>
      </c>
      <c r="C108">
        <v>1360</v>
      </c>
      <c r="D108">
        <v>1263</v>
      </c>
      <c r="E108">
        <v>0</v>
      </c>
      <c r="F108">
        <v>0</v>
      </c>
      <c r="G108">
        <v>4077</v>
      </c>
    </row>
    <row r="109" spans="1:7">
      <c r="A109" t="s">
        <v>802</v>
      </c>
      <c r="B109">
        <v>2215</v>
      </c>
      <c r="C109">
        <v>0</v>
      </c>
      <c r="D109">
        <v>0</v>
      </c>
      <c r="E109">
        <v>0</v>
      </c>
      <c r="F109">
        <v>0</v>
      </c>
      <c r="G109">
        <v>2215</v>
      </c>
    </row>
    <row r="110" spans="1:7">
      <c r="A110" t="s">
        <v>1293</v>
      </c>
      <c r="C110">
        <v>285</v>
      </c>
      <c r="G110">
        <v>285</v>
      </c>
    </row>
    <row r="111" spans="1:7">
      <c r="A111" t="s">
        <v>469</v>
      </c>
      <c r="D111">
        <v>617</v>
      </c>
      <c r="E111">
        <v>286</v>
      </c>
      <c r="F111">
        <v>0</v>
      </c>
      <c r="G111">
        <v>903</v>
      </c>
    </row>
    <row r="112" spans="1:7">
      <c r="A112" t="s">
        <v>811</v>
      </c>
      <c r="D112">
        <v>700</v>
      </c>
      <c r="E112">
        <v>1590</v>
      </c>
      <c r="F112">
        <v>1370</v>
      </c>
      <c r="G112">
        <v>3660</v>
      </c>
    </row>
    <row r="113" spans="1:7">
      <c r="A113" t="s">
        <v>623</v>
      </c>
      <c r="D113">
        <v>200</v>
      </c>
      <c r="E113">
        <v>489</v>
      </c>
      <c r="F113">
        <v>0</v>
      </c>
      <c r="G113">
        <v>689</v>
      </c>
    </row>
    <row r="114" spans="1:7">
      <c r="A114" t="s">
        <v>784</v>
      </c>
      <c r="E114">
        <v>884</v>
      </c>
      <c r="F114">
        <v>738</v>
      </c>
      <c r="G114">
        <v>1622</v>
      </c>
    </row>
    <row r="115" spans="1:7">
      <c r="A115" t="s">
        <v>493</v>
      </c>
      <c r="E115">
        <v>1357</v>
      </c>
      <c r="F115">
        <v>0</v>
      </c>
      <c r="G115">
        <v>1357</v>
      </c>
    </row>
    <row r="116" spans="1:7">
      <c r="A116" t="s">
        <v>739</v>
      </c>
      <c r="E116">
        <v>874</v>
      </c>
      <c r="F116">
        <v>1602</v>
      </c>
      <c r="G116">
        <v>2476</v>
      </c>
    </row>
    <row r="117" spans="1:7">
      <c r="A117" t="s">
        <v>658</v>
      </c>
      <c r="F117">
        <v>20</v>
      </c>
      <c r="G117">
        <v>20</v>
      </c>
    </row>
    <row r="118" spans="1:7">
      <c r="A118" t="s">
        <v>509</v>
      </c>
      <c r="E118">
        <v>0</v>
      </c>
      <c r="G118">
        <v>0</v>
      </c>
    </row>
    <row r="119" spans="1:7">
      <c r="A119" t="s">
        <v>1235</v>
      </c>
      <c r="B119">
        <v>7386</v>
      </c>
      <c r="C119">
        <v>7398</v>
      </c>
      <c r="D119">
        <v>6140</v>
      </c>
      <c r="E119">
        <v>7383</v>
      </c>
      <c r="F119">
        <v>6171</v>
      </c>
      <c r="G11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v>0</v>
      </c>
      <c r="C123">
        <v>0</v>
      </c>
      <c r="D123">
        <v>0</v>
      </c>
      <c r="G123">
        <v>0</v>
      </c>
    </row>
    <row r="124" spans="1:7">
      <c r="A124" t="s">
        <v>702</v>
      </c>
      <c r="B124">
        <v>0</v>
      </c>
      <c r="C124">
        <v>0</v>
      </c>
      <c r="D124">
        <v>0</v>
      </c>
      <c r="G124">
        <v>0</v>
      </c>
    </row>
    <row r="125" spans="1:7">
      <c r="A125" t="s">
        <v>712</v>
      </c>
      <c r="B125">
        <v>0</v>
      </c>
      <c r="C125">
        <v>3</v>
      </c>
      <c r="G125">
        <v>3</v>
      </c>
    </row>
    <row r="126" spans="1:7">
      <c r="A126" t="s">
        <v>716</v>
      </c>
      <c r="B126">
        <v>0</v>
      </c>
      <c r="C126">
        <v>0</v>
      </c>
      <c r="G126">
        <v>0</v>
      </c>
    </row>
    <row r="127" spans="1:7">
      <c r="A127" t="s">
        <v>723</v>
      </c>
      <c r="B127">
        <v>0</v>
      </c>
      <c r="C127">
        <v>0</v>
      </c>
      <c r="G127">
        <v>0</v>
      </c>
    </row>
    <row r="128" spans="1:7">
      <c r="A128" t="s">
        <v>736</v>
      </c>
      <c r="B128">
        <v>0</v>
      </c>
      <c r="C128">
        <v>0</v>
      </c>
      <c r="D128">
        <v>0</v>
      </c>
      <c r="E128">
        <v>0</v>
      </c>
      <c r="G128">
        <v>0</v>
      </c>
    </row>
    <row r="129" spans="1:7">
      <c r="A129" t="s">
        <v>769</v>
      </c>
      <c r="B129">
        <v>0</v>
      </c>
      <c r="C129">
        <v>0</v>
      </c>
      <c r="D129">
        <v>0</v>
      </c>
      <c r="G129">
        <v>0</v>
      </c>
    </row>
    <row r="130" spans="1:7">
      <c r="A130" t="s">
        <v>782</v>
      </c>
      <c r="B130">
        <v>0</v>
      </c>
      <c r="C130">
        <v>0</v>
      </c>
      <c r="D130">
        <v>0</v>
      </c>
      <c r="E130">
        <v>0</v>
      </c>
      <c r="G130">
        <v>0</v>
      </c>
    </row>
    <row r="131" spans="1:7">
      <c r="A131" t="s">
        <v>789</v>
      </c>
      <c r="B131">
        <v>0</v>
      </c>
      <c r="C131">
        <v>12</v>
      </c>
      <c r="D131">
        <v>9</v>
      </c>
      <c r="G131">
        <v>21</v>
      </c>
    </row>
    <row r="132" spans="1:7">
      <c r="A132" t="s">
        <v>500</v>
      </c>
      <c r="B132">
        <v>0</v>
      </c>
      <c r="C132">
        <v>0</v>
      </c>
      <c r="D132">
        <v>0</v>
      </c>
      <c r="G132">
        <v>0</v>
      </c>
    </row>
    <row r="133" spans="1:7">
      <c r="A133" t="s">
        <v>504</v>
      </c>
      <c r="B133">
        <v>0</v>
      </c>
      <c r="C133">
        <v>0</v>
      </c>
      <c r="D133">
        <v>0</v>
      </c>
      <c r="G133">
        <v>0</v>
      </c>
    </row>
    <row r="134" spans="1:7">
      <c r="A134" t="s">
        <v>521</v>
      </c>
      <c r="B134">
        <v>0</v>
      </c>
      <c r="C134">
        <v>0</v>
      </c>
      <c r="D134">
        <v>0</v>
      </c>
      <c r="E134">
        <v>0</v>
      </c>
      <c r="G134">
        <v>0</v>
      </c>
    </row>
    <row r="135" spans="1:7">
      <c r="A135" t="s">
        <v>824</v>
      </c>
      <c r="B135">
        <v>0</v>
      </c>
      <c r="C135">
        <v>0</v>
      </c>
      <c r="D135">
        <v>0</v>
      </c>
      <c r="G135">
        <v>0</v>
      </c>
    </row>
    <row r="136" spans="1:7">
      <c r="A136" t="s">
        <v>695</v>
      </c>
      <c r="B136">
        <v>0</v>
      </c>
      <c r="C136">
        <v>199</v>
      </c>
      <c r="D136">
        <v>0</v>
      </c>
      <c r="E136">
        <v>0</v>
      </c>
      <c r="G136">
        <v>199</v>
      </c>
    </row>
    <row r="137" spans="1:7">
      <c r="A137" t="s">
        <v>696</v>
      </c>
      <c r="B137">
        <v>0</v>
      </c>
      <c r="C137">
        <v>0</v>
      </c>
      <c r="D137">
        <v>0</v>
      </c>
      <c r="E137">
        <v>0</v>
      </c>
      <c r="G137">
        <v>0</v>
      </c>
    </row>
    <row r="138" spans="1:7">
      <c r="A138" t="s">
        <v>490</v>
      </c>
      <c r="B138">
        <v>0</v>
      </c>
      <c r="C138">
        <v>0</v>
      </c>
      <c r="D138">
        <v>0</v>
      </c>
      <c r="E138">
        <v>0</v>
      </c>
      <c r="G138">
        <v>0</v>
      </c>
    </row>
    <row r="139" spans="1:7">
      <c r="A139" t="s">
        <v>1040</v>
      </c>
      <c r="B139">
        <v>0</v>
      </c>
      <c r="C139">
        <v>0</v>
      </c>
      <c r="D139">
        <v>0</v>
      </c>
      <c r="G139">
        <v>0</v>
      </c>
    </row>
    <row r="140" spans="1:7">
      <c r="A140" t="s">
        <v>689</v>
      </c>
      <c r="B140">
        <v>0</v>
      </c>
      <c r="C140">
        <v>0</v>
      </c>
      <c r="D140">
        <v>0</v>
      </c>
      <c r="E140">
        <v>0</v>
      </c>
      <c r="F140">
        <v>0</v>
      </c>
      <c r="G140">
        <v>0</v>
      </c>
    </row>
    <row r="141" spans="1:7">
      <c r="A141" t="s">
        <v>692</v>
      </c>
      <c r="B141">
        <v>0</v>
      </c>
      <c r="C141">
        <v>0</v>
      </c>
      <c r="D141">
        <v>0</v>
      </c>
      <c r="E141">
        <v>0</v>
      </c>
      <c r="F141">
        <v>0</v>
      </c>
      <c r="G141">
        <v>0</v>
      </c>
    </row>
    <row r="142" spans="1:7">
      <c r="A142" t="s">
        <v>778</v>
      </c>
      <c r="B142">
        <v>0</v>
      </c>
      <c r="C142">
        <v>0</v>
      </c>
      <c r="D142">
        <v>0</v>
      </c>
      <c r="E142">
        <v>0</v>
      </c>
      <c r="F142">
        <v>0</v>
      </c>
      <c r="G142">
        <v>0</v>
      </c>
    </row>
    <row r="143" spans="1:7">
      <c r="A143" t="s">
        <v>662</v>
      </c>
      <c r="B143">
        <v>0</v>
      </c>
      <c r="C143">
        <v>0</v>
      </c>
      <c r="D143">
        <v>0</v>
      </c>
      <c r="G143">
        <v>0</v>
      </c>
    </row>
    <row r="144" spans="1:7">
      <c r="A144" t="s">
        <v>497</v>
      </c>
      <c r="B144">
        <v>0</v>
      </c>
      <c r="C144">
        <v>0</v>
      </c>
      <c r="D144">
        <v>0</v>
      </c>
      <c r="G144">
        <v>0</v>
      </c>
    </row>
    <row r="145" spans="1:7">
      <c r="A145" t="s">
        <v>502</v>
      </c>
      <c r="B145">
        <v>0</v>
      </c>
      <c r="C145">
        <v>0</v>
      </c>
      <c r="D145">
        <v>0</v>
      </c>
      <c r="G145">
        <v>0</v>
      </c>
    </row>
    <row r="146" spans="1:7">
      <c r="A146" t="s">
        <v>507</v>
      </c>
      <c r="B146">
        <v>0</v>
      </c>
      <c r="C146">
        <v>0</v>
      </c>
      <c r="D146">
        <v>0</v>
      </c>
      <c r="G146">
        <v>0</v>
      </c>
    </row>
    <row r="147" spans="1:7">
      <c r="A147" t="s">
        <v>600</v>
      </c>
      <c r="B147">
        <v>0</v>
      </c>
      <c r="C147">
        <v>0</v>
      </c>
      <c r="D147">
        <v>0</v>
      </c>
      <c r="G147">
        <v>0</v>
      </c>
    </row>
    <row r="148" spans="1:7">
      <c r="A148" t="s">
        <v>685</v>
      </c>
      <c r="B148">
        <v>0</v>
      </c>
      <c r="C148">
        <v>0</v>
      </c>
      <c r="D148">
        <v>201</v>
      </c>
      <c r="E148">
        <v>1207</v>
      </c>
      <c r="F148">
        <v>220</v>
      </c>
      <c r="G148">
        <v>1628</v>
      </c>
    </row>
    <row r="149" spans="1:7">
      <c r="A149" t="s">
        <v>1209</v>
      </c>
      <c r="B149">
        <v>0</v>
      </c>
      <c r="C149">
        <v>106</v>
      </c>
      <c r="D149">
        <v>0</v>
      </c>
      <c r="E149">
        <v>0</v>
      </c>
      <c r="F149">
        <v>0</v>
      </c>
      <c r="G149">
        <v>106</v>
      </c>
    </row>
    <row r="150" spans="1:7">
      <c r="A150" t="s">
        <v>705</v>
      </c>
      <c r="B150">
        <v>649</v>
      </c>
      <c r="C150">
        <v>528</v>
      </c>
      <c r="D150">
        <v>489</v>
      </c>
      <c r="E150">
        <v>534</v>
      </c>
      <c r="G150">
        <v>2200</v>
      </c>
    </row>
    <row r="151" spans="1:7">
      <c r="A151" t="s">
        <v>1292</v>
      </c>
      <c r="B151">
        <v>0</v>
      </c>
      <c r="C151">
        <v>0</v>
      </c>
      <c r="D151">
        <v>0</v>
      </c>
      <c r="G151">
        <v>0</v>
      </c>
    </row>
    <row r="152" spans="1:7">
      <c r="A152" t="s">
        <v>773</v>
      </c>
      <c r="B152">
        <v>0</v>
      </c>
      <c r="C152">
        <v>0</v>
      </c>
      <c r="D152">
        <v>0</v>
      </c>
      <c r="E152">
        <v>0</v>
      </c>
      <c r="F152">
        <v>0</v>
      </c>
      <c r="G152">
        <v>0</v>
      </c>
    </row>
    <row r="153" spans="1:7">
      <c r="A153" t="s">
        <v>807</v>
      </c>
      <c r="B153">
        <v>0</v>
      </c>
      <c r="C153">
        <v>0</v>
      </c>
      <c r="D153">
        <v>0</v>
      </c>
      <c r="E153">
        <v>0</v>
      </c>
      <c r="F153">
        <v>0</v>
      </c>
      <c r="G153">
        <v>0</v>
      </c>
    </row>
    <row r="154" spans="1:7">
      <c r="A154" t="s">
        <v>1188</v>
      </c>
      <c r="E154">
        <v>0</v>
      </c>
      <c r="F154">
        <v>0</v>
      </c>
      <c r="G154">
        <v>0</v>
      </c>
    </row>
    <row r="155" spans="1:7">
      <c r="A155" t="s">
        <v>805</v>
      </c>
      <c r="B155">
        <v>0</v>
      </c>
      <c r="C155">
        <v>0</v>
      </c>
      <c r="D155">
        <v>0</v>
      </c>
      <c r="E155">
        <v>0</v>
      </c>
      <c r="F155">
        <v>0</v>
      </c>
      <c r="G155">
        <v>0</v>
      </c>
    </row>
    <row r="156" spans="1:7">
      <c r="A156" t="s">
        <v>495</v>
      </c>
      <c r="B156">
        <v>0</v>
      </c>
      <c r="C156">
        <v>0</v>
      </c>
      <c r="D156">
        <v>0</v>
      </c>
      <c r="E156">
        <v>0</v>
      </c>
      <c r="F156">
        <v>0</v>
      </c>
      <c r="G156">
        <v>0</v>
      </c>
    </row>
    <row r="157" spans="1:7">
      <c r="A157" t="s">
        <v>802</v>
      </c>
      <c r="B157">
        <v>0</v>
      </c>
      <c r="C157">
        <v>0</v>
      </c>
      <c r="D157">
        <v>0</v>
      </c>
      <c r="E157">
        <v>0</v>
      </c>
      <c r="F157">
        <v>0</v>
      </c>
      <c r="G157">
        <v>0</v>
      </c>
    </row>
    <row r="158" spans="1:7">
      <c r="A158" t="s">
        <v>469</v>
      </c>
      <c r="B158">
        <v>0</v>
      </c>
      <c r="C158">
        <v>491</v>
      </c>
      <c r="D158">
        <v>291</v>
      </c>
      <c r="E158">
        <v>571</v>
      </c>
      <c r="F158">
        <v>0</v>
      </c>
      <c r="G158">
        <v>1353</v>
      </c>
    </row>
    <row r="159" spans="1:7">
      <c r="A159" t="s">
        <v>811</v>
      </c>
      <c r="B159">
        <v>0</v>
      </c>
      <c r="C159">
        <v>0</v>
      </c>
      <c r="D159">
        <v>0</v>
      </c>
      <c r="E159">
        <v>1170</v>
      </c>
      <c r="F159">
        <v>0</v>
      </c>
      <c r="G159">
        <v>1170</v>
      </c>
    </row>
    <row r="160" spans="1:7">
      <c r="A160" t="s">
        <v>623</v>
      </c>
      <c r="B160">
        <v>921</v>
      </c>
      <c r="C160">
        <v>614</v>
      </c>
      <c r="D160">
        <v>1004</v>
      </c>
      <c r="E160">
        <v>0</v>
      </c>
      <c r="G160">
        <v>2539</v>
      </c>
    </row>
    <row r="161" spans="1:7">
      <c r="A161" t="s">
        <v>784</v>
      </c>
      <c r="B161">
        <v>0</v>
      </c>
      <c r="C161">
        <v>0</v>
      </c>
      <c r="D161">
        <v>961</v>
      </c>
      <c r="E161">
        <v>914</v>
      </c>
      <c r="F161">
        <v>1903</v>
      </c>
      <c r="G161">
        <v>3778</v>
      </c>
    </row>
    <row r="162" spans="1:7">
      <c r="A162" t="s">
        <v>493</v>
      </c>
      <c r="B162">
        <v>1288</v>
      </c>
      <c r="C162">
        <v>685</v>
      </c>
      <c r="D162">
        <v>0</v>
      </c>
      <c r="E162">
        <v>0</v>
      </c>
      <c r="F162">
        <v>0</v>
      </c>
      <c r="G162">
        <v>1973</v>
      </c>
    </row>
    <row r="163" spans="1:7">
      <c r="A163" t="s">
        <v>739</v>
      </c>
      <c r="B163">
        <v>834</v>
      </c>
      <c r="C163">
        <v>1081</v>
      </c>
      <c r="D163">
        <v>688</v>
      </c>
      <c r="E163">
        <v>0</v>
      </c>
      <c r="F163">
        <v>0</v>
      </c>
      <c r="G163">
        <v>2603</v>
      </c>
    </row>
    <row r="164" spans="1:7">
      <c r="A164" t="s">
        <v>658</v>
      </c>
      <c r="B164">
        <v>0</v>
      </c>
      <c r="C164">
        <v>0</v>
      </c>
      <c r="D164">
        <v>0</v>
      </c>
      <c r="E164">
        <v>0</v>
      </c>
      <c r="F164">
        <v>0</v>
      </c>
      <c r="G164">
        <v>0</v>
      </c>
    </row>
    <row r="165" spans="1:7">
      <c r="A165" t="s">
        <v>515</v>
      </c>
      <c r="C165">
        <v>1710</v>
      </c>
      <c r="D165">
        <v>1700</v>
      </c>
      <c r="E165">
        <v>0</v>
      </c>
      <c r="F165">
        <v>0</v>
      </c>
      <c r="G165">
        <v>3410</v>
      </c>
    </row>
    <row r="166" spans="1:7">
      <c r="A166" t="s">
        <v>819</v>
      </c>
      <c r="C166">
        <v>304</v>
      </c>
      <c r="D166">
        <v>205</v>
      </c>
      <c r="E166">
        <v>451</v>
      </c>
      <c r="F166">
        <v>0</v>
      </c>
      <c r="G166">
        <v>960</v>
      </c>
    </row>
    <row r="167" spans="1:7">
      <c r="A167" t="s">
        <v>1294</v>
      </c>
      <c r="C167">
        <v>1617</v>
      </c>
      <c r="D167">
        <v>0</v>
      </c>
      <c r="E167">
        <v>101</v>
      </c>
      <c r="F167">
        <v>0</v>
      </c>
      <c r="G167">
        <v>1718</v>
      </c>
    </row>
    <row r="168" spans="1:7">
      <c r="A168" t="s">
        <v>809</v>
      </c>
      <c r="C168">
        <v>228</v>
      </c>
      <c r="D168">
        <v>0</v>
      </c>
      <c r="E168">
        <v>0</v>
      </c>
      <c r="F168">
        <v>0</v>
      </c>
      <c r="G168">
        <v>228</v>
      </c>
    </row>
    <row r="169" spans="1:7">
      <c r="A169" t="s">
        <v>792</v>
      </c>
      <c r="C169">
        <v>1257</v>
      </c>
      <c r="D169">
        <v>2121</v>
      </c>
      <c r="E169">
        <v>2742</v>
      </c>
      <c r="F169">
        <v>75</v>
      </c>
      <c r="G169">
        <v>6195</v>
      </c>
    </row>
    <row r="170" spans="1:7">
      <c r="A170" t="s">
        <v>771</v>
      </c>
      <c r="D170">
        <v>984</v>
      </c>
      <c r="E170">
        <v>1078</v>
      </c>
      <c r="F170">
        <v>2048</v>
      </c>
      <c r="G170">
        <v>4110</v>
      </c>
    </row>
    <row r="171" spans="1:7">
      <c r="A171" t="s">
        <v>1054</v>
      </c>
      <c r="D171">
        <v>2760</v>
      </c>
      <c r="E171">
        <v>945</v>
      </c>
      <c r="F171">
        <v>1073</v>
      </c>
      <c r="G171">
        <v>4778</v>
      </c>
    </row>
    <row r="172" spans="1:7">
      <c r="A172" t="s">
        <v>776</v>
      </c>
      <c r="D172">
        <v>1246</v>
      </c>
      <c r="E172">
        <v>664</v>
      </c>
      <c r="F172">
        <v>834</v>
      </c>
      <c r="G172">
        <v>2744</v>
      </c>
    </row>
    <row r="173" spans="1:7">
      <c r="A173" t="s">
        <v>509</v>
      </c>
      <c r="D173">
        <v>1353</v>
      </c>
      <c r="E173">
        <v>1123</v>
      </c>
      <c r="F173">
        <v>0</v>
      </c>
      <c r="G173">
        <v>2476</v>
      </c>
    </row>
    <row r="174" spans="1:7">
      <c r="A174" t="s">
        <v>709</v>
      </c>
      <c r="E174">
        <v>338</v>
      </c>
      <c r="F174">
        <v>0</v>
      </c>
      <c r="G174">
        <v>338</v>
      </c>
    </row>
    <row r="175" spans="1:7">
      <c r="A175" t="s">
        <v>1235</v>
      </c>
      <c r="B175">
        <v>3692</v>
      </c>
      <c r="C175">
        <v>8835</v>
      </c>
      <c r="D175">
        <v>14012</v>
      </c>
      <c r="E175">
        <v>11838</v>
      </c>
      <c r="F175">
        <v>6153</v>
      </c>
      <c r="G175">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row>
    <row r="180" spans="1:7">
      <c r="A180" t="s">
        <v>712</v>
      </c>
    </row>
    <row r="181" spans="1:7">
      <c r="A181" t="s">
        <v>723</v>
      </c>
    </row>
    <row r="182" spans="1:7">
      <c r="A182" t="s">
        <v>736</v>
      </c>
    </row>
    <row r="183" spans="1:7">
      <c r="A183" t="s">
        <v>782</v>
      </c>
    </row>
    <row r="184" spans="1:7">
      <c r="A184" t="s">
        <v>789</v>
      </c>
    </row>
    <row r="185" spans="1:7">
      <c r="A185" t="s">
        <v>824</v>
      </c>
    </row>
    <row r="186" spans="1:7">
      <c r="A186" t="s">
        <v>695</v>
      </c>
    </row>
    <row r="187" spans="1:7">
      <c r="A187" t="s">
        <v>490</v>
      </c>
    </row>
    <row r="188" spans="1:7">
      <c r="A188" t="s">
        <v>1040</v>
      </c>
    </row>
    <row r="189" spans="1:7">
      <c r="A189" t="s">
        <v>600</v>
      </c>
    </row>
    <row r="190" spans="1:7">
      <c r="A190" t="s">
        <v>685</v>
      </c>
      <c r="B190">
        <v>195</v>
      </c>
      <c r="D190">
        <v>187</v>
      </c>
      <c r="E190">
        <v>340</v>
      </c>
      <c r="F190">
        <v>270</v>
      </c>
      <c r="G190">
        <v>992</v>
      </c>
    </row>
    <row r="191" spans="1:7">
      <c r="A191" t="s">
        <v>1209</v>
      </c>
    </row>
    <row r="192" spans="1:7">
      <c r="A192" t="s">
        <v>807</v>
      </c>
      <c r="D192">
        <v>1409</v>
      </c>
      <c r="E192">
        <v>1016</v>
      </c>
      <c r="G192">
        <v>2425</v>
      </c>
    </row>
    <row r="193" spans="1:7">
      <c r="A193" t="s">
        <v>1188</v>
      </c>
    </row>
    <row r="194" spans="1:7">
      <c r="A194" t="s">
        <v>805</v>
      </c>
      <c r="C194">
        <v>1342</v>
      </c>
      <c r="G194">
        <v>1342</v>
      </c>
    </row>
    <row r="195" spans="1:7">
      <c r="A195" t="s">
        <v>495</v>
      </c>
    </row>
    <row r="196" spans="1:7">
      <c r="A196" t="s">
        <v>802</v>
      </c>
    </row>
    <row r="197" spans="1:7">
      <c r="A197" t="s">
        <v>469</v>
      </c>
      <c r="B197">
        <v>436</v>
      </c>
      <c r="E197">
        <v>6275</v>
      </c>
      <c r="G197">
        <v>6711</v>
      </c>
    </row>
    <row r="198" spans="1:7">
      <c r="A198" t="s">
        <v>811</v>
      </c>
      <c r="C198">
        <v>315</v>
      </c>
      <c r="G198">
        <v>315</v>
      </c>
    </row>
    <row r="199" spans="1:7">
      <c r="A199" t="s">
        <v>623</v>
      </c>
      <c r="C199">
        <v>1230</v>
      </c>
      <c r="D199">
        <v>200</v>
      </c>
      <c r="G199">
        <v>1430</v>
      </c>
    </row>
    <row r="200" spans="1:7">
      <c r="A200" t="s">
        <v>493</v>
      </c>
    </row>
    <row r="201" spans="1:7">
      <c r="A201" t="s">
        <v>739</v>
      </c>
      <c r="B201">
        <v>15</v>
      </c>
      <c r="G201">
        <v>15</v>
      </c>
    </row>
    <row r="202" spans="1:7">
      <c r="A202" t="s">
        <v>658</v>
      </c>
    </row>
    <row r="203" spans="1:7">
      <c r="A203" t="s">
        <v>515</v>
      </c>
    </row>
    <row r="204" spans="1:7">
      <c r="A204" t="s">
        <v>819</v>
      </c>
    </row>
    <row r="205" spans="1:7">
      <c r="A205" t="s">
        <v>1294</v>
      </c>
    </row>
    <row r="206" spans="1:7">
      <c r="A206" t="s">
        <v>809</v>
      </c>
      <c r="D206">
        <v>1460</v>
      </c>
      <c r="E206">
        <v>0</v>
      </c>
      <c r="F206">
        <v>420</v>
      </c>
      <c r="G206">
        <v>1880</v>
      </c>
    </row>
    <row r="207" spans="1:7">
      <c r="A207" t="s">
        <v>771</v>
      </c>
      <c r="B207">
        <v>919</v>
      </c>
      <c r="E207">
        <v>1672</v>
      </c>
      <c r="F207">
        <v>0</v>
      </c>
      <c r="G207">
        <v>2591</v>
      </c>
    </row>
    <row r="208" spans="1:7">
      <c r="A208" t="s">
        <v>1054</v>
      </c>
      <c r="B208">
        <v>2387</v>
      </c>
      <c r="C208">
        <v>841</v>
      </c>
      <c r="D208">
        <v>18</v>
      </c>
      <c r="E208">
        <v>0</v>
      </c>
      <c r="G208">
        <v>3246</v>
      </c>
    </row>
    <row r="209" spans="1:7">
      <c r="A209" t="s">
        <v>776</v>
      </c>
      <c r="B209">
        <v>1095</v>
      </c>
      <c r="C209">
        <v>65</v>
      </c>
      <c r="G209">
        <v>1160</v>
      </c>
    </row>
    <row r="210" spans="1:7">
      <c r="A210" t="s">
        <v>509</v>
      </c>
      <c r="B210">
        <v>1105</v>
      </c>
      <c r="G210">
        <v>1105</v>
      </c>
    </row>
    <row r="211" spans="1:7">
      <c r="A211" t="s">
        <v>709</v>
      </c>
      <c r="F211">
        <v>360</v>
      </c>
      <c r="G211">
        <v>360</v>
      </c>
    </row>
    <row r="212" spans="1:7">
      <c r="A212" t="s">
        <v>482</v>
      </c>
      <c r="B212">
        <v>920</v>
      </c>
      <c r="G212">
        <v>920</v>
      </c>
    </row>
    <row r="213" spans="1:7">
      <c r="A213" t="s">
        <v>680</v>
      </c>
      <c r="B213">
        <v>656</v>
      </c>
      <c r="D213">
        <v>728</v>
      </c>
      <c r="E213">
        <v>1400</v>
      </c>
      <c r="F213">
        <v>709</v>
      </c>
      <c r="G213">
        <v>3493</v>
      </c>
    </row>
    <row r="214" spans="1:7">
      <c r="A214" t="s">
        <v>1033</v>
      </c>
      <c r="C214">
        <v>977</v>
      </c>
      <c r="D214">
        <v>953</v>
      </c>
      <c r="E214">
        <v>2472</v>
      </c>
      <c r="F214">
        <v>399</v>
      </c>
      <c r="G214">
        <v>4801</v>
      </c>
    </row>
    <row r="215" spans="1:7">
      <c r="A215" t="s">
        <v>816</v>
      </c>
      <c r="C215">
        <v>803</v>
      </c>
      <c r="D215">
        <v>551</v>
      </c>
      <c r="E215">
        <v>0</v>
      </c>
      <c r="G215">
        <v>1354</v>
      </c>
    </row>
    <row r="216" spans="1:7">
      <c r="A216" t="s">
        <v>1295</v>
      </c>
    </row>
    <row r="217" spans="1:7">
      <c r="A217" t="s">
        <v>787</v>
      </c>
      <c r="D217">
        <v>1373</v>
      </c>
      <c r="E217">
        <v>3928</v>
      </c>
      <c r="F217">
        <v>1528</v>
      </c>
      <c r="G217">
        <v>6829</v>
      </c>
    </row>
    <row r="218" spans="1:7">
      <c r="A218" t="s">
        <v>1296</v>
      </c>
      <c r="E218">
        <v>1016</v>
      </c>
      <c r="G218">
        <v>1016</v>
      </c>
    </row>
    <row r="219" spans="1:7">
      <c r="A219" t="s">
        <v>437</v>
      </c>
      <c r="E219">
        <v>706</v>
      </c>
      <c r="G219">
        <v>706</v>
      </c>
    </row>
    <row r="220" spans="1:7">
      <c r="A220" t="s">
        <v>1297</v>
      </c>
      <c r="F220">
        <v>583</v>
      </c>
      <c r="G220">
        <v>583</v>
      </c>
    </row>
    <row r="221" spans="1:7">
      <c r="A221" t="s">
        <v>1235</v>
      </c>
      <c r="B221">
        <v>7728</v>
      </c>
      <c r="C221">
        <v>5573</v>
      </c>
      <c r="D221">
        <v>6879</v>
      </c>
      <c r="E221">
        <v>18825</v>
      </c>
      <c r="F221">
        <v>4269</v>
      </c>
      <c r="G221">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row>
    <row r="227" spans="1:7">
      <c r="A227" t="s">
        <v>723</v>
      </c>
    </row>
    <row r="228" spans="1:7">
      <c r="A228" t="s">
        <v>789</v>
      </c>
    </row>
    <row r="229" spans="1:7">
      <c r="A229" t="s">
        <v>824</v>
      </c>
      <c r="B229">
        <v>762</v>
      </c>
      <c r="C229">
        <v>0</v>
      </c>
      <c r="D229">
        <v>0</v>
      </c>
      <c r="E229">
        <v>76</v>
      </c>
      <c r="G229">
        <v>838</v>
      </c>
    </row>
    <row r="230" spans="1:7">
      <c r="A230" t="s">
        <v>695</v>
      </c>
    </row>
    <row r="231" spans="1:7">
      <c r="A231" t="s">
        <v>696</v>
      </c>
    </row>
    <row r="232" spans="1:7">
      <c r="A232" t="s">
        <v>685</v>
      </c>
      <c r="B232">
        <v>58</v>
      </c>
      <c r="C232">
        <v>574</v>
      </c>
      <c r="D232">
        <v>704</v>
      </c>
      <c r="E232">
        <v>1009</v>
      </c>
      <c r="F232">
        <v>200</v>
      </c>
      <c r="G232">
        <v>2545</v>
      </c>
    </row>
    <row r="233" spans="1:7">
      <c r="A233" t="s">
        <v>469</v>
      </c>
      <c r="C233">
        <v>380</v>
      </c>
      <c r="D233">
        <v>300</v>
      </c>
      <c r="E233">
        <v>150</v>
      </c>
      <c r="G233">
        <v>830</v>
      </c>
    </row>
    <row r="234" spans="1:7">
      <c r="A234" t="s">
        <v>784</v>
      </c>
    </row>
    <row r="235" spans="1:7">
      <c r="A235" t="s">
        <v>739</v>
      </c>
      <c r="C235">
        <v>0</v>
      </c>
      <c r="D235">
        <v>0</v>
      </c>
      <c r="E235">
        <v>137</v>
      </c>
      <c r="G235">
        <v>137</v>
      </c>
    </row>
    <row r="236" spans="1:7">
      <c r="A236" t="s">
        <v>819</v>
      </c>
      <c r="E236">
        <v>310</v>
      </c>
      <c r="G236">
        <v>310</v>
      </c>
    </row>
    <row r="237" spans="1:7">
      <c r="A237" t="s">
        <v>809</v>
      </c>
      <c r="B237">
        <v>982</v>
      </c>
      <c r="C237">
        <v>749</v>
      </c>
      <c r="D237">
        <v>713</v>
      </c>
      <c r="G237">
        <v>2444</v>
      </c>
    </row>
    <row r="238" spans="1:7">
      <c r="A238" t="s">
        <v>1054</v>
      </c>
      <c r="C238">
        <v>0</v>
      </c>
      <c r="D238">
        <v>0</v>
      </c>
      <c r="E238">
        <v>0</v>
      </c>
      <c r="G238">
        <v>0</v>
      </c>
    </row>
    <row r="239" spans="1:7">
      <c r="A239" t="s">
        <v>680</v>
      </c>
      <c r="B239">
        <v>905</v>
      </c>
      <c r="C239">
        <v>630</v>
      </c>
      <c r="D239">
        <v>894</v>
      </c>
      <c r="G239">
        <v>2429</v>
      </c>
    </row>
    <row r="240" spans="1:7">
      <c r="A240" t="s">
        <v>1298</v>
      </c>
    </row>
    <row r="241" spans="1:7">
      <c r="A241" t="s">
        <v>670</v>
      </c>
      <c r="B241">
        <v>691</v>
      </c>
      <c r="G241">
        <v>691</v>
      </c>
    </row>
    <row r="242" spans="1:7">
      <c r="A242" t="s">
        <v>673</v>
      </c>
      <c r="B242">
        <v>1430</v>
      </c>
      <c r="C242">
        <v>1383</v>
      </c>
      <c r="D242">
        <v>1334</v>
      </c>
      <c r="E242">
        <v>1548</v>
      </c>
      <c r="G242">
        <v>5695</v>
      </c>
    </row>
    <row r="243" spans="1:7">
      <c r="A243" t="s">
        <v>683</v>
      </c>
      <c r="B243">
        <v>1460</v>
      </c>
      <c r="C243">
        <v>1350</v>
      </c>
      <c r="D243">
        <v>1507</v>
      </c>
      <c r="F243">
        <v>2287</v>
      </c>
      <c r="G243">
        <v>6604</v>
      </c>
    </row>
    <row r="244" spans="1:7">
      <c r="A244" t="s">
        <v>1299</v>
      </c>
    </row>
    <row r="245" spans="1:7">
      <c r="A245" t="s">
        <v>1300</v>
      </c>
    </row>
    <row r="246" spans="1:7">
      <c r="A246" t="s">
        <v>1052</v>
      </c>
      <c r="C246">
        <v>575</v>
      </c>
      <c r="G246">
        <v>575</v>
      </c>
    </row>
    <row r="247" spans="1:7">
      <c r="A247" t="s">
        <v>676</v>
      </c>
      <c r="C247">
        <v>1065</v>
      </c>
      <c r="D247">
        <v>825</v>
      </c>
      <c r="E247">
        <v>705</v>
      </c>
      <c r="G247">
        <v>2595</v>
      </c>
    </row>
    <row r="248" spans="1:7">
      <c r="A248" t="s">
        <v>821</v>
      </c>
    </row>
    <row r="249" spans="1:7">
      <c r="A249" t="s">
        <v>667</v>
      </c>
      <c r="C249">
        <v>442</v>
      </c>
      <c r="D249">
        <v>854</v>
      </c>
      <c r="E249">
        <v>290</v>
      </c>
      <c r="F249">
        <v>673</v>
      </c>
      <c r="G249">
        <v>2259</v>
      </c>
    </row>
    <row r="250" spans="1:7">
      <c r="A250" t="s">
        <v>883</v>
      </c>
      <c r="C250">
        <v>1740</v>
      </c>
      <c r="D250">
        <v>2934</v>
      </c>
      <c r="F250">
        <v>161</v>
      </c>
      <c r="G250">
        <v>4835</v>
      </c>
    </row>
    <row r="251" spans="1:7">
      <c r="A251" t="s">
        <v>354</v>
      </c>
      <c r="C251">
        <v>483</v>
      </c>
      <c r="D251">
        <v>1799</v>
      </c>
      <c r="F251">
        <v>0</v>
      </c>
      <c r="G251">
        <v>2282</v>
      </c>
    </row>
    <row r="252" spans="1:7">
      <c r="A252" t="s">
        <v>454</v>
      </c>
      <c r="C252">
        <v>1333</v>
      </c>
      <c r="D252">
        <v>1701</v>
      </c>
      <c r="F252">
        <v>546</v>
      </c>
      <c r="G252">
        <v>3580</v>
      </c>
    </row>
    <row r="253" spans="1:7">
      <c r="A253" t="s">
        <v>1038</v>
      </c>
      <c r="D253">
        <v>1972</v>
      </c>
      <c r="E253">
        <v>178</v>
      </c>
      <c r="F253">
        <v>266</v>
      </c>
      <c r="G253">
        <v>2416</v>
      </c>
    </row>
    <row r="254" spans="1:7">
      <c r="A254" t="s">
        <v>1301</v>
      </c>
      <c r="E254">
        <v>0</v>
      </c>
      <c r="G254">
        <v>0</v>
      </c>
    </row>
    <row r="255" spans="1:7">
      <c r="A255" t="s">
        <v>471</v>
      </c>
      <c r="E255">
        <v>195</v>
      </c>
      <c r="G255">
        <v>195</v>
      </c>
    </row>
    <row r="256" spans="1:7">
      <c r="A256" t="s">
        <v>664</v>
      </c>
      <c r="F256">
        <v>0</v>
      </c>
      <c r="G256">
        <v>0</v>
      </c>
    </row>
    <row r="257" spans="1:7">
      <c r="A257" t="s">
        <v>1302</v>
      </c>
    </row>
    <row r="258" spans="1:7">
      <c r="A258" t="s">
        <v>1235</v>
      </c>
      <c r="B258">
        <v>6288</v>
      </c>
      <c r="C258">
        <v>10704</v>
      </c>
      <c r="D258">
        <v>15537</v>
      </c>
      <c r="E258">
        <v>4598</v>
      </c>
      <c r="F258">
        <v>4133</v>
      </c>
      <c r="G258">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v>644</v>
      </c>
      <c r="G263">
        <v>644</v>
      </c>
    </row>
    <row r="264" spans="1:7">
      <c r="A264" t="s">
        <v>696</v>
      </c>
      <c r="B264">
        <v>0</v>
      </c>
      <c r="G264">
        <v>0</v>
      </c>
    </row>
    <row r="265" spans="1:7">
      <c r="A265" t="s">
        <v>689</v>
      </c>
      <c r="B265">
        <v>745</v>
      </c>
      <c r="G265">
        <v>745</v>
      </c>
    </row>
    <row r="266" spans="1:7">
      <c r="A266" t="s">
        <v>685</v>
      </c>
      <c r="B266">
        <v>265</v>
      </c>
      <c r="C266">
        <v>0</v>
      </c>
      <c r="D266">
        <v>0</v>
      </c>
      <c r="F266">
        <v>635</v>
      </c>
      <c r="G266">
        <v>900</v>
      </c>
    </row>
    <row r="267" spans="1:7">
      <c r="A267" t="s">
        <v>469</v>
      </c>
    </row>
    <row r="268" spans="1:7">
      <c r="A268" t="s">
        <v>784</v>
      </c>
      <c r="D268">
        <v>0</v>
      </c>
      <c r="G268">
        <v>0</v>
      </c>
    </row>
    <row r="269" spans="1:7">
      <c r="A269" t="s">
        <v>771</v>
      </c>
      <c r="B269">
        <v>0</v>
      </c>
      <c r="G269">
        <v>0</v>
      </c>
    </row>
    <row r="270" spans="1:7">
      <c r="A270" t="s">
        <v>709</v>
      </c>
    </row>
    <row r="271" spans="1:7">
      <c r="A271" t="s">
        <v>680</v>
      </c>
    </row>
    <row r="272" spans="1:7">
      <c r="A272" t="s">
        <v>1033</v>
      </c>
      <c r="D272">
        <v>0</v>
      </c>
      <c r="G272">
        <v>0</v>
      </c>
    </row>
    <row r="273" spans="1:7">
      <c r="A273" t="s">
        <v>816</v>
      </c>
      <c r="E273">
        <v>192</v>
      </c>
      <c r="G273">
        <v>192</v>
      </c>
    </row>
    <row r="274" spans="1:7">
      <c r="A274" t="s">
        <v>670</v>
      </c>
      <c r="E274">
        <v>3867</v>
      </c>
      <c r="F274">
        <v>594</v>
      </c>
      <c r="G274">
        <v>4461</v>
      </c>
    </row>
    <row r="275" spans="1:7">
      <c r="A275" t="s">
        <v>683</v>
      </c>
      <c r="B275">
        <v>695</v>
      </c>
      <c r="G275">
        <v>695</v>
      </c>
    </row>
    <row r="276" spans="1:7">
      <c r="A276" t="s">
        <v>883</v>
      </c>
      <c r="B276">
        <v>418</v>
      </c>
      <c r="C276">
        <v>0</v>
      </c>
      <c r="D276">
        <v>0</v>
      </c>
      <c r="G276">
        <v>418</v>
      </c>
    </row>
    <row r="277" spans="1:7">
      <c r="A277" t="s">
        <v>354</v>
      </c>
      <c r="B277">
        <v>499</v>
      </c>
      <c r="C277">
        <v>0</v>
      </c>
      <c r="D277">
        <v>0</v>
      </c>
      <c r="G277">
        <v>499</v>
      </c>
    </row>
    <row r="278" spans="1:7">
      <c r="A278" t="s">
        <v>1038</v>
      </c>
      <c r="B278">
        <v>1089</v>
      </c>
      <c r="C278">
        <v>0</v>
      </c>
      <c r="D278">
        <v>0</v>
      </c>
      <c r="G278">
        <v>1089</v>
      </c>
    </row>
    <row r="279" spans="1:7">
      <c r="A279" t="s">
        <v>471</v>
      </c>
      <c r="B279">
        <v>453</v>
      </c>
      <c r="C279">
        <v>166</v>
      </c>
      <c r="D279">
        <v>166</v>
      </c>
      <c r="E279">
        <v>302</v>
      </c>
      <c r="G279">
        <v>1087</v>
      </c>
    </row>
    <row r="280" spans="1:7">
      <c r="A280" t="s">
        <v>664</v>
      </c>
      <c r="B280">
        <v>1880</v>
      </c>
      <c r="C280">
        <v>0</v>
      </c>
      <c r="D280">
        <v>0</v>
      </c>
      <c r="G280">
        <v>1880</v>
      </c>
    </row>
    <row r="281" spans="1:7">
      <c r="A281" t="s">
        <v>1268</v>
      </c>
      <c r="B281">
        <v>349</v>
      </c>
      <c r="C281">
        <v>952</v>
      </c>
      <c r="D281">
        <v>952</v>
      </c>
      <c r="E281">
        <v>1328</v>
      </c>
      <c r="F281">
        <v>397</v>
      </c>
      <c r="G281">
        <v>3978</v>
      </c>
    </row>
    <row r="282" spans="1:7">
      <c r="A282" t="s">
        <v>517</v>
      </c>
      <c r="B282">
        <v>1413</v>
      </c>
      <c r="C282">
        <v>0</v>
      </c>
      <c r="D282">
        <v>1394</v>
      </c>
      <c r="G282">
        <v>2807</v>
      </c>
    </row>
    <row r="283" spans="1:7">
      <c r="A283" t="s">
        <v>461</v>
      </c>
      <c r="B283">
        <v>1355</v>
      </c>
      <c r="D283">
        <v>0</v>
      </c>
      <c r="G283">
        <v>1355</v>
      </c>
    </row>
    <row r="284" spans="1:7">
      <c r="A284" t="s">
        <v>451</v>
      </c>
      <c r="B284">
        <v>2227</v>
      </c>
      <c r="G284">
        <v>2227</v>
      </c>
    </row>
    <row r="285" spans="1:7">
      <c r="A285" t="s">
        <v>720</v>
      </c>
      <c r="C285">
        <v>0</v>
      </c>
      <c r="D285">
        <v>0</v>
      </c>
      <c r="E285">
        <v>344</v>
      </c>
      <c r="G285">
        <v>344</v>
      </c>
    </row>
    <row r="286" spans="1:7">
      <c r="A286" t="s">
        <v>447</v>
      </c>
      <c r="C286">
        <v>1149</v>
      </c>
      <c r="D286">
        <v>1149</v>
      </c>
      <c r="G286">
        <v>2298</v>
      </c>
    </row>
    <row r="287" spans="1:7">
      <c r="A287" t="s">
        <v>814</v>
      </c>
      <c r="E287">
        <v>313</v>
      </c>
      <c r="G287">
        <v>313</v>
      </c>
    </row>
    <row r="288" spans="1:7">
      <c r="A288" t="s">
        <v>798</v>
      </c>
      <c r="E288">
        <v>1265</v>
      </c>
      <c r="G288">
        <v>1265</v>
      </c>
    </row>
    <row r="289" spans="1:7">
      <c r="A289" t="s">
        <v>519</v>
      </c>
      <c r="E289">
        <v>1334</v>
      </c>
      <c r="G289">
        <v>1334</v>
      </c>
    </row>
    <row r="290" spans="1:7">
      <c r="A290" t="s">
        <v>511</v>
      </c>
      <c r="E290">
        <v>1970</v>
      </c>
      <c r="G290">
        <v>1970</v>
      </c>
    </row>
    <row r="291" spans="1:7">
      <c r="A291" t="s">
        <v>458</v>
      </c>
    </row>
    <row r="292" spans="1:7">
      <c r="A292" t="s">
        <v>795</v>
      </c>
      <c r="F292">
        <v>2144</v>
      </c>
      <c r="G292">
        <v>2144</v>
      </c>
    </row>
    <row r="293" spans="1:7">
      <c r="A293" t="s">
        <v>1235</v>
      </c>
      <c r="B293">
        <v>12032</v>
      </c>
      <c r="C293">
        <v>2267</v>
      </c>
      <c r="D293">
        <v>3661</v>
      </c>
      <c r="E293">
        <v>10915</v>
      </c>
      <c r="F293">
        <v>3770</v>
      </c>
      <c r="G293">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v>550</v>
      </c>
      <c r="E298">
        <v>426</v>
      </c>
      <c r="G298">
        <v>976</v>
      </c>
    </row>
    <row r="299" spans="1:7">
      <c r="A299" t="s">
        <v>469</v>
      </c>
      <c r="C299">
        <v>45</v>
      </c>
      <c r="G299">
        <v>45</v>
      </c>
    </row>
    <row r="300" spans="1:7">
      <c r="A300" t="s">
        <v>623</v>
      </c>
      <c r="C300">
        <v>150</v>
      </c>
      <c r="D300">
        <v>295</v>
      </c>
      <c r="E300">
        <v>504</v>
      </c>
      <c r="G300">
        <v>949</v>
      </c>
    </row>
    <row r="301" spans="1:7">
      <c r="A301" t="s">
        <v>809</v>
      </c>
    </row>
    <row r="302" spans="1:7">
      <c r="A302" t="s">
        <v>1054</v>
      </c>
    </row>
    <row r="303" spans="1:7">
      <c r="A303" t="s">
        <v>680</v>
      </c>
      <c r="B303">
        <v>132</v>
      </c>
      <c r="G303">
        <v>132</v>
      </c>
    </row>
    <row r="304" spans="1:7">
      <c r="A304" t="s">
        <v>670</v>
      </c>
      <c r="B304">
        <v>367</v>
      </c>
      <c r="G304">
        <v>367</v>
      </c>
    </row>
    <row r="305" spans="1:7">
      <c r="A305" t="s">
        <v>667</v>
      </c>
      <c r="F305">
        <v>314</v>
      </c>
      <c r="G305">
        <v>314</v>
      </c>
    </row>
    <row r="306" spans="1:7">
      <c r="A306" t="s">
        <v>883</v>
      </c>
    </row>
    <row r="307" spans="1:7">
      <c r="A307" t="s">
        <v>471</v>
      </c>
      <c r="B307">
        <v>43</v>
      </c>
      <c r="G307">
        <v>43</v>
      </c>
    </row>
    <row r="308" spans="1:7">
      <c r="A308" t="s">
        <v>461</v>
      </c>
    </row>
    <row r="309" spans="1:7">
      <c r="A309" t="s">
        <v>720</v>
      </c>
    </row>
    <row r="310" spans="1:7">
      <c r="A310" t="s">
        <v>447</v>
      </c>
    </row>
    <row r="311" spans="1:7">
      <c r="A311" t="s">
        <v>798</v>
      </c>
    </row>
    <row r="312" spans="1:7">
      <c r="A312" t="s">
        <v>519</v>
      </c>
      <c r="B312">
        <v>618</v>
      </c>
      <c r="C312">
        <v>700</v>
      </c>
      <c r="G312">
        <v>1318</v>
      </c>
    </row>
    <row r="313" spans="1:7">
      <c r="A313" t="s">
        <v>511</v>
      </c>
    </row>
    <row r="314" spans="1:7">
      <c r="A314" t="s">
        <v>458</v>
      </c>
    </row>
    <row r="315" spans="1:7">
      <c r="A315" t="s">
        <v>795</v>
      </c>
      <c r="B315">
        <v>990</v>
      </c>
      <c r="C315">
        <v>1871</v>
      </c>
      <c r="D315">
        <v>1307</v>
      </c>
      <c r="G315">
        <v>4168</v>
      </c>
    </row>
    <row r="316" spans="1:7">
      <c r="A316" t="s">
        <v>420</v>
      </c>
      <c r="B316">
        <v>590</v>
      </c>
      <c r="C316">
        <v>343</v>
      </c>
      <c r="G316">
        <v>933</v>
      </c>
    </row>
    <row r="317" spans="1:7">
      <c r="A317" t="s">
        <v>1031</v>
      </c>
      <c r="B317">
        <v>198</v>
      </c>
      <c r="G317">
        <v>198</v>
      </c>
    </row>
    <row r="318" spans="1:7">
      <c r="A318" t="s">
        <v>513</v>
      </c>
      <c r="B318">
        <v>1840</v>
      </c>
      <c r="C318">
        <v>1520</v>
      </c>
      <c r="D318">
        <v>2060</v>
      </c>
      <c r="E318">
        <v>1330</v>
      </c>
      <c r="G318">
        <v>6750</v>
      </c>
    </row>
    <row r="319" spans="1:7">
      <c r="A319" t="s">
        <v>741</v>
      </c>
      <c r="D319">
        <v>1376</v>
      </c>
      <c r="E319">
        <v>875</v>
      </c>
      <c r="F319">
        <v>1301</v>
      </c>
      <c r="G319">
        <v>3552</v>
      </c>
    </row>
    <row r="320" spans="1:7">
      <c r="A320" t="s">
        <v>733</v>
      </c>
      <c r="D320">
        <v>617</v>
      </c>
      <c r="E320">
        <v>627</v>
      </c>
      <c r="F320">
        <v>431</v>
      </c>
      <c r="G320">
        <v>1675</v>
      </c>
    </row>
    <row r="321" spans="1:7">
      <c r="A321" t="s">
        <v>767</v>
      </c>
      <c r="E321">
        <v>711</v>
      </c>
      <c r="F321">
        <v>695</v>
      </c>
      <c r="G321">
        <v>1406</v>
      </c>
    </row>
    <row r="322" spans="1:7">
      <c r="A322" t="s">
        <v>1235</v>
      </c>
      <c r="B322">
        <v>5328</v>
      </c>
      <c r="C322">
        <v>4629</v>
      </c>
      <c r="D322">
        <v>5655</v>
      </c>
      <c r="E322">
        <v>4473</v>
      </c>
      <c r="F322">
        <v>2741</v>
      </c>
      <c r="G322">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row>
    <row r="328" spans="1:7">
      <c r="A328" t="s">
        <v>782</v>
      </c>
    </row>
    <row r="329" spans="1:7">
      <c r="A329" t="s">
        <v>824</v>
      </c>
      <c r="C329">
        <v>561</v>
      </c>
      <c r="D329">
        <v>260</v>
      </c>
      <c r="E329">
        <v>40</v>
      </c>
      <c r="F329">
        <v>408</v>
      </c>
      <c r="G329">
        <v>1269</v>
      </c>
    </row>
    <row r="330" spans="1:7">
      <c r="A330" t="s">
        <v>469</v>
      </c>
      <c r="C330">
        <v>37</v>
      </c>
      <c r="D330">
        <v>115</v>
      </c>
      <c r="G330">
        <v>152</v>
      </c>
    </row>
    <row r="331" spans="1:7">
      <c r="A331" t="s">
        <v>809</v>
      </c>
    </row>
    <row r="332" spans="1:7">
      <c r="A332" t="s">
        <v>771</v>
      </c>
    </row>
    <row r="333" spans="1:7">
      <c r="A333" t="s">
        <v>776</v>
      </c>
    </row>
    <row r="334" spans="1:7">
      <c r="A334" t="s">
        <v>787</v>
      </c>
      <c r="D334">
        <v>173</v>
      </c>
      <c r="G334">
        <v>173</v>
      </c>
    </row>
    <row r="335" spans="1:7">
      <c r="A335" t="s">
        <v>670</v>
      </c>
    </row>
    <row r="336" spans="1:7">
      <c r="A336" t="s">
        <v>1299</v>
      </c>
      <c r="E336">
        <v>96</v>
      </c>
      <c r="G336">
        <v>96</v>
      </c>
    </row>
    <row r="337" spans="1:7">
      <c r="A337" t="s">
        <v>1038</v>
      </c>
      <c r="E337">
        <v>433</v>
      </c>
      <c r="G337">
        <v>433</v>
      </c>
    </row>
    <row r="338" spans="1:7">
      <c r="A338" t="s">
        <v>471</v>
      </c>
    </row>
    <row r="339" spans="1:7">
      <c r="A339" t="s">
        <v>741</v>
      </c>
      <c r="C339">
        <v>1018</v>
      </c>
      <c r="E339">
        <v>569</v>
      </c>
      <c r="G339">
        <v>1587</v>
      </c>
    </row>
    <row r="340" spans="1:7">
      <c r="A340" t="s">
        <v>733</v>
      </c>
      <c r="B340">
        <v>276</v>
      </c>
      <c r="C340">
        <v>779</v>
      </c>
      <c r="D340">
        <v>868</v>
      </c>
      <c r="E340">
        <v>338</v>
      </c>
      <c r="F340">
        <v>26</v>
      </c>
      <c r="G340">
        <v>2287</v>
      </c>
    </row>
    <row r="341" spans="1:7">
      <c r="A341" t="s">
        <v>767</v>
      </c>
      <c r="B341">
        <v>796</v>
      </c>
      <c r="C341">
        <v>1929</v>
      </c>
      <c r="D341">
        <v>876</v>
      </c>
      <c r="E341">
        <v>651</v>
      </c>
      <c r="G341">
        <v>4252</v>
      </c>
    </row>
    <row r="342" spans="1:7">
      <c r="A342" t="s">
        <v>745</v>
      </c>
      <c r="B342">
        <v>1335</v>
      </c>
      <c r="C342">
        <v>1133</v>
      </c>
      <c r="D342">
        <v>1624</v>
      </c>
      <c r="F342">
        <v>350</v>
      </c>
      <c r="G342">
        <v>4442</v>
      </c>
    </row>
    <row r="343" spans="1:7">
      <c r="A343" t="s">
        <v>765</v>
      </c>
      <c r="C343">
        <v>1526</v>
      </c>
      <c r="D343">
        <v>1503</v>
      </c>
      <c r="E343">
        <v>1590</v>
      </c>
      <c r="F343">
        <v>370</v>
      </c>
      <c r="G343">
        <v>4989</v>
      </c>
    </row>
    <row r="344" spans="1:7">
      <c r="A344" t="s">
        <v>1035</v>
      </c>
      <c r="B344">
        <v>547</v>
      </c>
      <c r="C344">
        <v>845</v>
      </c>
      <c r="D344">
        <v>400</v>
      </c>
      <c r="E344">
        <v>906</v>
      </c>
      <c r="F344">
        <v>198</v>
      </c>
      <c r="G344">
        <v>2896</v>
      </c>
    </row>
    <row r="345" spans="1:7">
      <c r="A345" t="s">
        <v>585</v>
      </c>
      <c r="B345">
        <v>259</v>
      </c>
      <c r="C345">
        <v>243</v>
      </c>
      <c r="E345">
        <v>193</v>
      </c>
      <c r="G345">
        <v>695</v>
      </c>
    </row>
    <row r="346" spans="1:7">
      <c r="A346" t="s">
        <v>726</v>
      </c>
      <c r="C346">
        <v>1538</v>
      </c>
      <c r="D346">
        <v>2713</v>
      </c>
      <c r="E346">
        <v>862</v>
      </c>
      <c r="F346">
        <v>1507</v>
      </c>
      <c r="G346">
        <v>6620</v>
      </c>
    </row>
    <row r="347" spans="1:7">
      <c r="A347" t="s">
        <v>589</v>
      </c>
      <c r="E347">
        <v>647</v>
      </c>
      <c r="G347">
        <v>647</v>
      </c>
    </row>
    <row r="348" spans="1:7">
      <c r="A348" t="s">
        <v>743</v>
      </c>
      <c r="F348">
        <v>706</v>
      </c>
      <c r="G348">
        <v>706</v>
      </c>
    </row>
    <row r="349" spans="1:7">
      <c r="A349" t="s">
        <v>660</v>
      </c>
    </row>
    <row r="350" spans="1:7">
      <c r="A350" t="s">
        <v>1235</v>
      </c>
      <c r="B350">
        <v>3213</v>
      </c>
      <c r="C350">
        <v>9609</v>
      </c>
      <c r="D350">
        <v>8532</v>
      </c>
      <c r="E350">
        <v>6325</v>
      </c>
      <c r="F350">
        <v>3565</v>
      </c>
      <c r="G350">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C355">
        <v>205</v>
      </c>
      <c r="D355">
        <v>190</v>
      </c>
      <c r="E355">
        <v>48</v>
      </c>
      <c r="F355">
        <v>150</v>
      </c>
      <c r="G355">
        <v>593</v>
      </c>
    </row>
    <row r="356" spans="1:7">
      <c r="A356" t="s">
        <v>689</v>
      </c>
    </row>
    <row r="357" spans="1:7">
      <c r="A357" t="s">
        <v>469</v>
      </c>
    </row>
    <row r="358" spans="1:7">
      <c r="A358" t="s">
        <v>809</v>
      </c>
    </row>
    <row r="359" spans="1:7">
      <c r="A359" t="s">
        <v>771</v>
      </c>
    </row>
    <row r="360" spans="1:7">
      <c r="A360" t="s">
        <v>709</v>
      </c>
      <c r="D360">
        <v>113</v>
      </c>
      <c r="G360">
        <v>113</v>
      </c>
    </row>
    <row r="361" spans="1:7">
      <c r="A361" t="s">
        <v>787</v>
      </c>
    </row>
    <row r="362" spans="1:7">
      <c r="A362" t="s">
        <v>821</v>
      </c>
    </row>
    <row r="363" spans="1:7">
      <c r="A363" t="s">
        <v>733</v>
      </c>
    </row>
    <row r="364" spans="1:7">
      <c r="A364" t="s">
        <v>767</v>
      </c>
    </row>
    <row r="365" spans="1:7">
      <c r="A365" t="s">
        <v>745</v>
      </c>
      <c r="B365">
        <v>1050</v>
      </c>
      <c r="G365">
        <v>1050</v>
      </c>
    </row>
    <row r="366" spans="1:7">
      <c r="A366" t="s">
        <v>765</v>
      </c>
    </row>
    <row r="367" spans="1:7">
      <c r="A367" t="s">
        <v>1035</v>
      </c>
      <c r="E367">
        <v>64</v>
      </c>
      <c r="F367">
        <v>21</v>
      </c>
      <c r="G367">
        <v>85</v>
      </c>
    </row>
    <row r="368" spans="1:7">
      <c r="A368" t="s">
        <v>585</v>
      </c>
      <c r="C368">
        <v>510</v>
      </c>
      <c r="D368">
        <v>275</v>
      </c>
      <c r="G368">
        <v>785</v>
      </c>
    </row>
    <row r="369" spans="1:7">
      <c r="A369" t="s">
        <v>589</v>
      </c>
      <c r="C369">
        <v>932</v>
      </c>
      <c r="D369">
        <v>1190</v>
      </c>
      <c r="E369">
        <v>909</v>
      </c>
      <c r="G369">
        <v>3031</v>
      </c>
    </row>
    <row r="370" spans="1:7">
      <c r="A370" t="s">
        <v>743</v>
      </c>
      <c r="C370">
        <v>1701</v>
      </c>
      <c r="D370">
        <v>314</v>
      </c>
      <c r="E370">
        <v>662</v>
      </c>
      <c r="F370">
        <v>728</v>
      </c>
      <c r="G370">
        <v>3405</v>
      </c>
    </row>
    <row r="371" spans="1:7">
      <c r="A371" t="s">
        <v>660</v>
      </c>
      <c r="C371">
        <v>23</v>
      </c>
      <c r="G371">
        <v>23</v>
      </c>
    </row>
    <row r="372" spans="1:7">
      <c r="A372" t="s">
        <v>730</v>
      </c>
      <c r="D372">
        <v>2348</v>
      </c>
      <c r="E372">
        <v>1378</v>
      </c>
      <c r="F372">
        <v>726</v>
      </c>
      <c r="G372">
        <v>4452</v>
      </c>
    </row>
    <row r="373" spans="1:7">
      <c r="A373" t="s">
        <v>759</v>
      </c>
      <c r="B373">
        <v>621</v>
      </c>
      <c r="C373">
        <v>464</v>
      </c>
      <c r="G373">
        <v>1085</v>
      </c>
    </row>
    <row r="374" spans="1:7">
      <c r="A374" t="s">
        <v>761</v>
      </c>
      <c r="B374">
        <v>1285</v>
      </c>
      <c r="C374">
        <v>951</v>
      </c>
      <c r="D374">
        <v>1598</v>
      </c>
      <c r="E374">
        <v>1671</v>
      </c>
      <c r="G374">
        <v>5505</v>
      </c>
    </row>
    <row r="375" spans="1:7">
      <c r="A375" t="s">
        <v>763</v>
      </c>
      <c r="C375">
        <v>1864</v>
      </c>
      <c r="D375">
        <v>1514</v>
      </c>
      <c r="E375">
        <v>1095</v>
      </c>
      <c r="G375">
        <v>4473</v>
      </c>
    </row>
    <row r="376" spans="1:7">
      <c r="A376" t="s">
        <v>749</v>
      </c>
      <c r="E376">
        <v>988</v>
      </c>
      <c r="G376">
        <v>988</v>
      </c>
    </row>
    <row r="377" spans="1:7">
      <c r="A377" t="s">
        <v>755</v>
      </c>
      <c r="E377">
        <v>588</v>
      </c>
      <c r="F377">
        <v>431</v>
      </c>
      <c r="G377">
        <v>1019</v>
      </c>
    </row>
    <row r="378" spans="1:7">
      <c r="A378" t="s">
        <v>747</v>
      </c>
      <c r="F378">
        <v>1108</v>
      </c>
      <c r="G378">
        <v>1108</v>
      </c>
    </row>
    <row r="379" spans="1:7">
      <c r="A379" t="s">
        <v>753</v>
      </c>
      <c r="F379">
        <v>385</v>
      </c>
      <c r="G379">
        <v>385</v>
      </c>
    </row>
    <row r="380" spans="1:7">
      <c r="A380" t="s">
        <v>1235</v>
      </c>
      <c r="B380">
        <v>2956</v>
      </c>
      <c r="C380">
        <v>6650</v>
      </c>
      <c r="D380">
        <v>7542</v>
      </c>
      <c r="E380">
        <v>7403</v>
      </c>
      <c r="F380">
        <v>3549</v>
      </c>
      <c r="G380">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v>423</v>
      </c>
      <c r="G385">
        <v>423</v>
      </c>
    </row>
    <row r="386" spans="1:7">
      <c r="A386" t="s">
        <v>469</v>
      </c>
    </row>
    <row r="387" spans="1:7">
      <c r="A387" t="s">
        <v>814</v>
      </c>
      <c r="F387">
        <v>1367</v>
      </c>
      <c r="G387">
        <v>1367</v>
      </c>
    </row>
    <row r="388" spans="1:7">
      <c r="A388" t="s">
        <v>741</v>
      </c>
    </row>
    <row r="389" spans="1:7">
      <c r="A389" t="s">
        <v>1035</v>
      </c>
    </row>
    <row r="390" spans="1:7">
      <c r="A390" t="s">
        <v>585</v>
      </c>
      <c r="C390">
        <v>242</v>
      </c>
      <c r="D390">
        <v>310</v>
      </c>
      <c r="E390">
        <v>302</v>
      </c>
      <c r="G390">
        <v>854</v>
      </c>
    </row>
    <row r="391" spans="1:7">
      <c r="A391" t="s">
        <v>589</v>
      </c>
      <c r="C391">
        <v>470</v>
      </c>
      <c r="G391">
        <v>470</v>
      </c>
    </row>
    <row r="392" spans="1:7">
      <c r="A392" t="s">
        <v>743</v>
      </c>
      <c r="B392">
        <v>961</v>
      </c>
      <c r="C392">
        <v>370</v>
      </c>
      <c r="G392">
        <v>1331</v>
      </c>
    </row>
    <row r="393" spans="1:7">
      <c r="A393" t="s">
        <v>730</v>
      </c>
      <c r="B393">
        <v>1602</v>
      </c>
      <c r="G393">
        <v>1602</v>
      </c>
    </row>
    <row r="394" spans="1:7">
      <c r="A394" t="s">
        <v>763</v>
      </c>
      <c r="D394">
        <v>594</v>
      </c>
      <c r="G394">
        <v>594</v>
      </c>
    </row>
    <row r="395" spans="1:7">
      <c r="A395" t="s">
        <v>749</v>
      </c>
      <c r="C395">
        <v>608</v>
      </c>
      <c r="D395">
        <v>609</v>
      </c>
      <c r="E395">
        <v>614</v>
      </c>
      <c r="G395">
        <v>1831</v>
      </c>
    </row>
    <row r="396" spans="1:7">
      <c r="A396" t="s">
        <v>755</v>
      </c>
      <c r="B396">
        <v>1936</v>
      </c>
      <c r="C396">
        <v>2103</v>
      </c>
      <c r="D396">
        <v>1498</v>
      </c>
      <c r="E396">
        <v>229</v>
      </c>
      <c r="G396">
        <v>5766</v>
      </c>
    </row>
    <row r="397" spans="1:7">
      <c r="A397" t="s">
        <v>747</v>
      </c>
      <c r="C397">
        <v>440</v>
      </c>
      <c r="D397">
        <v>1175</v>
      </c>
      <c r="E397">
        <v>822</v>
      </c>
      <c r="F397">
        <v>1020</v>
      </c>
      <c r="G397">
        <v>3457</v>
      </c>
    </row>
    <row r="398" spans="1:7">
      <c r="A398" t="s">
        <v>753</v>
      </c>
      <c r="B398">
        <v>813</v>
      </c>
      <c r="C398">
        <v>1597</v>
      </c>
      <c r="D398">
        <v>1632</v>
      </c>
      <c r="E398">
        <v>692</v>
      </c>
      <c r="G398">
        <v>4734</v>
      </c>
    </row>
    <row r="399" spans="1:7">
      <c r="A399" t="s">
        <v>1303</v>
      </c>
      <c r="B399">
        <v>1216</v>
      </c>
      <c r="G399">
        <v>1216</v>
      </c>
    </row>
    <row r="400" spans="1:7">
      <c r="A400" t="s">
        <v>583</v>
      </c>
      <c r="C400">
        <v>1520</v>
      </c>
      <c r="D400">
        <v>1216</v>
      </c>
      <c r="E400">
        <v>1098</v>
      </c>
      <c r="G400">
        <v>3834</v>
      </c>
    </row>
    <row r="401" spans="1:7">
      <c r="A401" t="s">
        <v>563</v>
      </c>
      <c r="C401">
        <v>1190</v>
      </c>
      <c r="D401">
        <v>1033</v>
      </c>
      <c r="E401">
        <v>1031</v>
      </c>
      <c r="G401">
        <v>3254</v>
      </c>
    </row>
    <row r="402" spans="1:7">
      <c r="A402" t="s">
        <v>1235</v>
      </c>
      <c r="B402">
        <v>6951</v>
      </c>
      <c r="C402">
        <v>8540</v>
      </c>
      <c r="D402">
        <v>8067</v>
      </c>
      <c r="E402">
        <v>4788</v>
      </c>
      <c r="F402">
        <v>2387</v>
      </c>
      <c r="G402">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C407">
        <v>320</v>
      </c>
      <c r="G407">
        <v>320</v>
      </c>
    </row>
    <row r="408" spans="1:7">
      <c r="A408" t="s">
        <v>685</v>
      </c>
      <c r="D408">
        <v>131</v>
      </c>
      <c r="G408">
        <v>131</v>
      </c>
    </row>
    <row r="409" spans="1:7">
      <c r="A409" t="s">
        <v>816</v>
      </c>
    </row>
    <row r="410" spans="1:7">
      <c r="A410" t="s">
        <v>814</v>
      </c>
      <c r="C410">
        <v>424</v>
      </c>
      <c r="G410">
        <v>424</v>
      </c>
    </row>
    <row r="411" spans="1:7">
      <c r="A411" t="s">
        <v>420</v>
      </c>
      <c r="E411">
        <v>468</v>
      </c>
      <c r="F411">
        <v>940</v>
      </c>
      <c r="G411">
        <v>1408</v>
      </c>
    </row>
    <row r="412" spans="1:7">
      <c r="A412" t="s">
        <v>741</v>
      </c>
    </row>
    <row r="413" spans="1:7">
      <c r="A413" t="s">
        <v>745</v>
      </c>
    </row>
    <row r="414" spans="1:7">
      <c r="A414" t="s">
        <v>585</v>
      </c>
      <c r="B414">
        <v>610</v>
      </c>
      <c r="C414">
        <v>451</v>
      </c>
      <c r="D414">
        <v>802</v>
      </c>
      <c r="E414">
        <v>75</v>
      </c>
      <c r="G414">
        <v>1938</v>
      </c>
    </row>
    <row r="415" spans="1:7">
      <c r="A415" t="s">
        <v>589</v>
      </c>
    </row>
    <row r="416" spans="1:7">
      <c r="A416" t="s">
        <v>730</v>
      </c>
    </row>
    <row r="417" spans="1:7">
      <c r="A417" t="s">
        <v>749</v>
      </c>
      <c r="B417">
        <v>404</v>
      </c>
      <c r="C417">
        <v>158</v>
      </c>
      <c r="D417">
        <v>353</v>
      </c>
      <c r="E417">
        <v>40</v>
      </c>
      <c r="F417">
        <v>153</v>
      </c>
      <c r="G417">
        <v>1108</v>
      </c>
    </row>
    <row r="418" spans="1:7">
      <c r="A418" t="s">
        <v>755</v>
      </c>
    </row>
    <row r="419" spans="1:7">
      <c r="A419" t="s">
        <v>563</v>
      </c>
      <c r="B419">
        <v>1053</v>
      </c>
      <c r="C419">
        <v>812</v>
      </c>
      <c r="G419">
        <v>1865</v>
      </c>
    </row>
    <row r="420" spans="1:7">
      <c r="A420" t="s">
        <v>1205</v>
      </c>
      <c r="B420">
        <v>640</v>
      </c>
      <c r="C420">
        <v>490</v>
      </c>
      <c r="D420">
        <v>127</v>
      </c>
      <c r="G420">
        <v>1257</v>
      </c>
    </row>
    <row r="421" spans="1:7">
      <c r="A421" t="s">
        <v>427</v>
      </c>
    </row>
    <row r="422" spans="1:7">
      <c r="A422" t="s">
        <v>565</v>
      </c>
      <c r="B422">
        <v>575</v>
      </c>
      <c r="C422">
        <v>1847</v>
      </c>
      <c r="D422">
        <v>1052</v>
      </c>
      <c r="E422">
        <v>1846</v>
      </c>
      <c r="G422">
        <v>5320</v>
      </c>
    </row>
    <row r="423" spans="1:7">
      <c r="A423" t="s">
        <v>561</v>
      </c>
      <c r="C423">
        <v>565</v>
      </c>
      <c r="D423">
        <v>1935</v>
      </c>
      <c r="E423">
        <v>1483</v>
      </c>
      <c r="G423">
        <v>3983</v>
      </c>
    </row>
    <row r="424" spans="1:7">
      <c r="A424" t="s">
        <v>1197</v>
      </c>
      <c r="D424">
        <v>592</v>
      </c>
      <c r="E424">
        <v>592</v>
      </c>
      <c r="F424">
        <v>730</v>
      </c>
      <c r="G424">
        <v>1914</v>
      </c>
    </row>
    <row r="425" spans="1:7">
      <c r="A425" t="s">
        <v>1203</v>
      </c>
      <c r="D425">
        <v>645</v>
      </c>
      <c r="E425">
        <v>853</v>
      </c>
      <c r="G425">
        <v>1498</v>
      </c>
    </row>
    <row r="426" spans="1:7">
      <c r="A426" t="s">
        <v>1196</v>
      </c>
      <c r="E426">
        <v>616</v>
      </c>
      <c r="F426">
        <v>900</v>
      </c>
      <c r="G426">
        <v>1516</v>
      </c>
    </row>
    <row r="427" spans="1:7">
      <c r="A427" t="s">
        <v>65</v>
      </c>
      <c r="E427">
        <v>225</v>
      </c>
      <c r="G427">
        <v>225</v>
      </c>
    </row>
    <row r="428" spans="1:7">
      <c r="A428" t="s">
        <v>1235</v>
      </c>
      <c r="B428">
        <v>3282</v>
      </c>
      <c r="C428">
        <v>5067</v>
      </c>
      <c r="D428">
        <v>5637</v>
      </c>
      <c r="E428">
        <v>6198</v>
      </c>
      <c r="F428">
        <v>2723</v>
      </c>
      <c r="G428">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row>
    <row r="434" spans="1:7">
      <c r="A434" t="s">
        <v>1221</v>
      </c>
    </row>
    <row r="435" spans="1:7">
      <c r="A435" t="s">
        <v>685</v>
      </c>
      <c r="C435">
        <v>55</v>
      </c>
      <c r="G435">
        <v>55</v>
      </c>
    </row>
    <row r="436" spans="1:7">
      <c r="A436" t="s">
        <v>623</v>
      </c>
      <c r="D436">
        <v>1190</v>
      </c>
      <c r="G436">
        <v>1190</v>
      </c>
    </row>
    <row r="437" spans="1:7">
      <c r="A437" t="s">
        <v>1299</v>
      </c>
      <c r="C437">
        <v>30</v>
      </c>
      <c r="G437">
        <v>30</v>
      </c>
    </row>
    <row r="438" spans="1:7">
      <c r="A438" t="s">
        <v>676</v>
      </c>
      <c r="F438">
        <v>887</v>
      </c>
      <c r="G438">
        <v>887</v>
      </c>
    </row>
    <row r="439" spans="1:7">
      <c r="A439" t="s">
        <v>461</v>
      </c>
      <c r="C439">
        <v>385</v>
      </c>
      <c r="D439">
        <v>678</v>
      </c>
      <c r="E439">
        <v>381</v>
      </c>
      <c r="G439">
        <v>1444</v>
      </c>
    </row>
    <row r="440" spans="1:7">
      <c r="A440" t="s">
        <v>585</v>
      </c>
      <c r="C440">
        <v>251</v>
      </c>
      <c r="D440">
        <v>424</v>
      </c>
      <c r="E440">
        <v>497</v>
      </c>
      <c r="G440">
        <v>1172</v>
      </c>
    </row>
    <row r="441" spans="1:7">
      <c r="A441" t="s">
        <v>759</v>
      </c>
      <c r="E441">
        <v>1342</v>
      </c>
      <c r="F441">
        <v>1484</v>
      </c>
      <c r="G441">
        <v>2826</v>
      </c>
    </row>
    <row r="442" spans="1:7">
      <c r="A442" t="s">
        <v>763</v>
      </c>
      <c r="E442">
        <v>85</v>
      </c>
      <c r="G442">
        <v>85</v>
      </c>
    </row>
    <row r="443" spans="1:7">
      <c r="A443" t="s">
        <v>561</v>
      </c>
      <c r="C443">
        <v>933</v>
      </c>
      <c r="G443">
        <v>933</v>
      </c>
    </row>
    <row r="444" spans="1:7">
      <c r="A444" t="s">
        <v>1203</v>
      </c>
    </row>
    <row r="445" spans="1:7">
      <c r="A445" t="s">
        <v>1196</v>
      </c>
      <c r="C445">
        <v>212</v>
      </c>
      <c r="E445">
        <v>1316</v>
      </c>
      <c r="F445">
        <v>1232</v>
      </c>
      <c r="G445">
        <v>2760</v>
      </c>
    </row>
    <row r="446" spans="1:7">
      <c r="A446" t="s">
        <v>434</v>
      </c>
      <c r="D446">
        <v>153</v>
      </c>
      <c r="G446">
        <v>153</v>
      </c>
    </row>
    <row r="447" spans="1:7">
      <c r="A447" t="s">
        <v>1304</v>
      </c>
    </row>
    <row r="448" spans="1:7">
      <c r="A448" t="s">
        <v>1305</v>
      </c>
    </row>
    <row r="449" spans="1:7">
      <c r="A449" t="s">
        <v>1204</v>
      </c>
      <c r="E449">
        <v>201</v>
      </c>
      <c r="F449">
        <v>30</v>
      </c>
      <c r="G449">
        <v>231</v>
      </c>
    </row>
    <row r="450" spans="1:7">
      <c r="A450" t="s">
        <v>477</v>
      </c>
      <c r="E450">
        <v>1580</v>
      </c>
      <c r="G450">
        <v>1580</v>
      </c>
    </row>
    <row r="451" spans="1:7">
      <c r="A451" t="s">
        <v>1306</v>
      </c>
      <c r="F451">
        <v>151</v>
      </c>
      <c r="G451">
        <v>151</v>
      </c>
    </row>
    <row r="452" spans="1:7">
      <c r="A452" t="s">
        <v>1235</v>
      </c>
      <c r="C452">
        <v>1866</v>
      </c>
      <c r="D452">
        <v>2445</v>
      </c>
      <c r="E452">
        <v>5402</v>
      </c>
      <c r="F452">
        <v>3784</v>
      </c>
      <c r="G452">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v>301</v>
      </c>
      <c r="C457">
        <v>191</v>
      </c>
      <c r="G457">
        <v>492</v>
      </c>
    </row>
    <row r="458" spans="1:7">
      <c r="A458" t="s">
        <v>685</v>
      </c>
      <c r="F458">
        <v>175</v>
      </c>
      <c r="G458">
        <v>175</v>
      </c>
    </row>
    <row r="459" spans="1:7">
      <c r="A459" t="s">
        <v>802</v>
      </c>
      <c r="B459">
        <v>54</v>
      </c>
      <c r="C459">
        <v>101</v>
      </c>
      <c r="G459">
        <v>155</v>
      </c>
    </row>
    <row r="460" spans="1:7">
      <c r="A460" t="s">
        <v>623</v>
      </c>
      <c r="D460">
        <v>678</v>
      </c>
      <c r="G460">
        <v>678</v>
      </c>
    </row>
    <row r="461" spans="1:7">
      <c r="A461" t="s">
        <v>676</v>
      </c>
      <c r="F461">
        <v>236</v>
      </c>
      <c r="G461">
        <v>236</v>
      </c>
    </row>
    <row r="462" spans="1:7">
      <c r="A462" t="s">
        <v>667</v>
      </c>
      <c r="D462">
        <v>999</v>
      </c>
      <c r="F462">
        <v>719</v>
      </c>
      <c r="G462">
        <v>1718</v>
      </c>
    </row>
    <row r="463" spans="1:7">
      <c r="A463" t="s">
        <v>461</v>
      </c>
      <c r="B463">
        <v>605</v>
      </c>
      <c r="D463">
        <v>600</v>
      </c>
      <c r="E463">
        <v>772</v>
      </c>
      <c r="G463">
        <v>1977</v>
      </c>
    </row>
    <row r="464" spans="1:7">
      <c r="A464" t="s">
        <v>585</v>
      </c>
      <c r="B464">
        <v>286</v>
      </c>
      <c r="C464">
        <v>226</v>
      </c>
      <c r="G464">
        <v>512</v>
      </c>
    </row>
    <row r="465" spans="1:7">
      <c r="A465" t="s">
        <v>759</v>
      </c>
      <c r="B465">
        <v>1280</v>
      </c>
      <c r="C465">
        <v>1029</v>
      </c>
      <c r="G465">
        <v>2309</v>
      </c>
    </row>
    <row r="466" spans="1:7">
      <c r="A466" t="s">
        <v>763</v>
      </c>
      <c r="D466">
        <v>181</v>
      </c>
      <c r="G466">
        <v>181</v>
      </c>
    </row>
    <row r="467" spans="1:7">
      <c r="A467" t="s">
        <v>753</v>
      </c>
    </row>
    <row r="468" spans="1:7">
      <c r="A468" t="s">
        <v>1196</v>
      </c>
      <c r="B468">
        <v>1156</v>
      </c>
      <c r="C468">
        <v>947</v>
      </c>
      <c r="G468">
        <v>2103</v>
      </c>
    </row>
    <row r="469" spans="1:7">
      <c r="A469" t="s">
        <v>477</v>
      </c>
      <c r="B469">
        <v>270</v>
      </c>
      <c r="E469">
        <v>948</v>
      </c>
      <c r="G469">
        <v>1218</v>
      </c>
    </row>
    <row r="470" spans="1:7">
      <c r="A470" t="s">
        <v>632</v>
      </c>
      <c r="B470">
        <v>644</v>
      </c>
      <c r="C470">
        <v>1430</v>
      </c>
      <c r="D470">
        <v>970</v>
      </c>
      <c r="G470">
        <v>3044</v>
      </c>
    </row>
    <row r="471" spans="1:7">
      <c r="A471" t="s">
        <v>870</v>
      </c>
      <c r="F471">
        <v>285</v>
      </c>
      <c r="G471">
        <v>285</v>
      </c>
    </row>
    <row r="472" spans="1:7">
      <c r="A472" t="s">
        <v>1307</v>
      </c>
      <c r="E472">
        <v>260</v>
      </c>
      <c r="F472">
        <v>129</v>
      </c>
      <c r="G472">
        <v>389</v>
      </c>
    </row>
    <row r="473" spans="1:7">
      <c r="A473" t="s">
        <v>1308</v>
      </c>
    </row>
    <row r="474" spans="1:7">
      <c r="A474" t="s">
        <v>1235</v>
      </c>
      <c r="B474">
        <v>4596</v>
      </c>
      <c r="C474">
        <v>3924</v>
      </c>
      <c r="D474">
        <v>3428</v>
      </c>
      <c r="E474">
        <v>1980</v>
      </c>
      <c r="F474">
        <v>1544</v>
      </c>
      <c r="G474">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v>100</v>
      </c>
      <c r="F479">
        <v>100</v>
      </c>
    </row>
    <row r="480" spans="1:7">
      <c r="A480" t="s">
        <v>676</v>
      </c>
      <c r="B480">
        <v>224</v>
      </c>
      <c r="C480">
        <v>200</v>
      </c>
      <c r="F480">
        <v>424</v>
      </c>
    </row>
    <row r="481" spans="1:7">
      <c r="A481" t="s">
        <v>461</v>
      </c>
      <c r="B481">
        <v>757</v>
      </c>
      <c r="C481">
        <v>610</v>
      </c>
      <c r="D481">
        <v>959</v>
      </c>
      <c r="E481">
        <v>493</v>
      </c>
      <c r="F481">
        <v>2819</v>
      </c>
    </row>
    <row r="482" spans="1:7">
      <c r="A482" t="s">
        <v>814</v>
      </c>
      <c r="E482">
        <v>218</v>
      </c>
      <c r="F482">
        <v>218</v>
      </c>
    </row>
    <row r="483" spans="1:7">
      <c r="A483" t="s">
        <v>585</v>
      </c>
    </row>
    <row r="484" spans="1:7">
      <c r="A484" t="s">
        <v>477</v>
      </c>
      <c r="B484">
        <v>954</v>
      </c>
      <c r="C484">
        <v>2783</v>
      </c>
      <c r="D484">
        <v>2248</v>
      </c>
      <c r="F484">
        <v>5985</v>
      </c>
    </row>
    <row r="485" spans="1:7">
      <c r="A485" t="s">
        <v>632</v>
      </c>
      <c r="B485">
        <v>948</v>
      </c>
      <c r="D485">
        <v>736</v>
      </c>
      <c r="F485">
        <v>1684</v>
      </c>
    </row>
    <row r="486" spans="1:7">
      <c r="A486" t="s">
        <v>909</v>
      </c>
    </row>
    <row r="487" spans="1:7">
      <c r="A487" t="s">
        <v>1309</v>
      </c>
    </row>
    <row r="488" spans="1:7">
      <c r="A488" t="s">
        <v>1310</v>
      </c>
    </row>
    <row r="489" spans="1:7">
      <c r="A489" t="s">
        <v>1311</v>
      </c>
    </row>
    <row r="490" spans="1:7">
      <c r="A490" t="s">
        <v>1312</v>
      </c>
    </row>
    <row r="491" spans="1:7">
      <c r="A491" t="s">
        <v>1313</v>
      </c>
    </row>
    <row r="492" spans="1:7">
      <c r="A492" t="s">
        <v>1235</v>
      </c>
      <c r="B492">
        <v>2983</v>
      </c>
      <c r="C492">
        <v>3593</v>
      </c>
      <c r="D492">
        <v>3943</v>
      </c>
      <c r="E492">
        <v>711</v>
      </c>
      <c r="F492">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row>
    <row r="498" spans="1:7">
      <c r="A498" t="s">
        <v>509</v>
      </c>
    </row>
    <row r="499" spans="1:7">
      <c r="A499" t="s">
        <v>667</v>
      </c>
      <c r="C499">
        <v>1483</v>
      </c>
      <c r="D499">
        <v>83</v>
      </c>
      <c r="G499">
        <v>1566</v>
      </c>
    </row>
    <row r="500" spans="1:7">
      <c r="A500" t="s">
        <v>461</v>
      </c>
      <c r="B500">
        <v>720</v>
      </c>
      <c r="C500">
        <v>948</v>
      </c>
      <c r="E500">
        <v>1101</v>
      </c>
      <c r="F500">
        <v>437</v>
      </c>
      <c r="G500">
        <v>3206</v>
      </c>
    </row>
    <row r="501" spans="1:7">
      <c r="A501" t="s">
        <v>420</v>
      </c>
      <c r="E501">
        <v>341</v>
      </c>
      <c r="G501">
        <v>341</v>
      </c>
    </row>
    <row r="502" spans="1:7">
      <c r="A502" t="s">
        <v>1306</v>
      </c>
    </row>
    <row r="503" spans="1:7">
      <c r="A503" t="s">
        <v>632</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1314</v>
      </c>
      <c r="B506">
        <v>6</v>
      </c>
      <c r="G506">
        <v>6</v>
      </c>
    </row>
    <row r="507" spans="1:7">
      <c r="A507" t="s">
        <v>1315</v>
      </c>
    </row>
    <row r="508" spans="1:7">
      <c r="A508" t="s">
        <v>1263</v>
      </c>
    </row>
    <row r="509" spans="1:7">
      <c r="A509" t="s">
        <v>567</v>
      </c>
      <c r="D509">
        <v>610</v>
      </c>
      <c r="E509">
        <v>2523</v>
      </c>
      <c r="G509">
        <v>3133</v>
      </c>
    </row>
    <row r="510" spans="1:7">
      <c r="A510" t="s">
        <v>1316</v>
      </c>
    </row>
    <row r="511" spans="1:7">
      <c r="A511" t="s">
        <v>1235</v>
      </c>
      <c r="B511">
        <v>3758</v>
      </c>
      <c r="C511">
        <v>3342</v>
      </c>
      <c r="D511">
        <v>2404</v>
      </c>
      <c r="E511">
        <v>3965</v>
      </c>
      <c r="F511">
        <v>437</v>
      </c>
      <c r="G511">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row>
    <row r="517" spans="1:7">
      <c r="A517" t="s">
        <v>461</v>
      </c>
      <c r="B517">
        <v>730</v>
      </c>
      <c r="C517">
        <v>583</v>
      </c>
      <c r="G517">
        <v>1313</v>
      </c>
    </row>
    <row r="518" spans="1:7">
      <c r="A518" t="s">
        <v>660</v>
      </c>
      <c r="B518">
        <v>115</v>
      </c>
      <c r="G518">
        <v>115</v>
      </c>
    </row>
    <row r="519" spans="1:7">
      <c r="A519" t="s">
        <v>477</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567</v>
      </c>
      <c r="C522">
        <v>1293</v>
      </c>
      <c r="G522">
        <v>1293</v>
      </c>
    </row>
    <row r="523" spans="1:7">
      <c r="A523" t="s">
        <v>1317</v>
      </c>
      <c r="B523">
        <v>155</v>
      </c>
      <c r="G523">
        <v>155</v>
      </c>
    </row>
    <row r="524" spans="1:7">
      <c r="A524" t="s">
        <v>1318</v>
      </c>
    </row>
    <row r="525" spans="1:7">
      <c r="A525" t="s">
        <v>1235</v>
      </c>
      <c r="B525">
        <v>2363</v>
      </c>
      <c r="C525">
        <v>2146</v>
      </c>
      <c r="D525">
        <v>2345</v>
      </c>
      <c r="E525">
        <v>1790</v>
      </c>
      <c r="G525">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row>
    <row r="531" spans="1:7">
      <c r="A531" t="s">
        <v>1038</v>
      </c>
    </row>
    <row r="532" spans="1:7">
      <c r="A532" t="s">
        <v>664</v>
      </c>
      <c r="B532">
        <v>1394</v>
      </c>
      <c r="C532">
        <v>1756</v>
      </c>
      <c r="D532">
        <v>846</v>
      </c>
      <c r="G532">
        <v>3996</v>
      </c>
    </row>
    <row r="533" spans="1:7">
      <c r="A533" t="s">
        <v>461</v>
      </c>
      <c r="B533">
        <v>465</v>
      </c>
      <c r="C533">
        <v>218</v>
      </c>
      <c r="D533">
        <v>729</v>
      </c>
      <c r="E533">
        <v>464</v>
      </c>
      <c r="G533">
        <v>1876</v>
      </c>
    </row>
    <row r="534" spans="1:7">
      <c r="A534" t="s">
        <v>447</v>
      </c>
      <c r="E534">
        <v>977</v>
      </c>
      <c r="G534">
        <v>977</v>
      </c>
    </row>
    <row r="535" spans="1:7">
      <c r="A535" t="s">
        <v>1204</v>
      </c>
      <c r="D535">
        <v>81</v>
      </c>
      <c r="F535">
        <v>114</v>
      </c>
      <c r="G535">
        <v>195</v>
      </c>
    </row>
    <row r="536" spans="1:7">
      <c r="A536" t="s">
        <v>477</v>
      </c>
    </row>
    <row r="537" spans="1:7">
      <c r="A537" t="s">
        <v>632</v>
      </c>
    </row>
    <row r="538" spans="1:7">
      <c r="A538" t="s">
        <v>909</v>
      </c>
      <c r="B538">
        <v>280</v>
      </c>
      <c r="C538">
        <v>70</v>
      </c>
      <c r="D538">
        <v>594</v>
      </c>
      <c r="F538">
        <v>52</v>
      </c>
      <c r="G538">
        <v>996</v>
      </c>
    </row>
    <row r="539" spans="1:7">
      <c r="A539" t="s">
        <v>903</v>
      </c>
      <c r="B539">
        <v>450</v>
      </c>
      <c r="C539">
        <v>1246</v>
      </c>
      <c r="G539">
        <v>1696</v>
      </c>
    </row>
    <row r="540" spans="1:7">
      <c r="A540" t="s">
        <v>474</v>
      </c>
      <c r="C540">
        <v>1465</v>
      </c>
      <c r="D540">
        <v>1380</v>
      </c>
      <c r="G540">
        <v>2845</v>
      </c>
    </row>
    <row r="541" spans="1:7">
      <c r="A541" t="s">
        <v>1235</v>
      </c>
      <c r="B541">
        <v>2589</v>
      </c>
      <c r="C541">
        <v>4755</v>
      </c>
      <c r="D541">
        <v>3630</v>
      </c>
      <c r="E541">
        <v>1441</v>
      </c>
      <c r="F541">
        <v>166</v>
      </c>
      <c r="G541">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row>
    <row r="547" spans="1:7">
      <c r="A547" t="s">
        <v>664</v>
      </c>
      <c r="C547">
        <v>1946</v>
      </c>
      <c r="G547">
        <v>1946</v>
      </c>
    </row>
    <row r="548" spans="1:7">
      <c r="A548" t="s">
        <v>461</v>
      </c>
      <c r="E548">
        <v>112</v>
      </c>
      <c r="G548">
        <v>112</v>
      </c>
    </row>
    <row r="549" spans="1:7">
      <c r="A549" t="s">
        <v>447</v>
      </c>
      <c r="E549">
        <v>676</v>
      </c>
      <c r="F549">
        <v>430</v>
      </c>
      <c r="G549">
        <v>1106</v>
      </c>
    </row>
    <row r="550" spans="1:7">
      <c r="A550" t="s">
        <v>420</v>
      </c>
      <c r="D550">
        <v>649</v>
      </c>
      <c r="G550">
        <v>649</v>
      </c>
    </row>
    <row r="551" spans="1:7">
      <c r="A551" t="s">
        <v>1204</v>
      </c>
      <c r="B551">
        <v>237</v>
      </c>
      <c r="C551">
        <v>322</v>
      </c>
      <c r="D551">
        <v>245</v>
      </c>
      <c r="E551">
        <v>1091</v>
      </c>
      <c r="F551">
        <v>303</v>
      </c>
      <c r="G551">
        <v>2198</v>
      </c>
    </row>
    <row r="552" spans="1:7">
      <c r="A552" t="s">
        <v>909</v>
      </c>
      <c r="B552">
        <v>68</v>
      </c>
      <c r="C552">
        <v>50</v>
      </c>
      <c r="G552">
        <v>118</v>
      </c>
    </row>
    <row r="553" spans="1:7">
      <c r="A553" t="s">
        <v>474</v>
      </c>
      <c r="B553">
        <v>1269</v>
      </c>
      <c r="C553">
        <v>1141</v>
      </c>
      <c r="D553">
        <v>1308</v>
      </c>
      <c r="E553">
        <v>1296</v>
      </c>
      <c r="G553">
        <v>5014</v>
      </c>
    </row>
    <row r="554" spans="1:7">
      <c r="A554" t="s">
        <v>833</v>
      </c>
      <c r="B554">
        <v>65</v>
      </c>
      <c r="G554">
        <v>65</v>
      </c>
    </row>
    <row r="555" spans="1:7">
      <c r="A555" t="s">
        <v>603</v>
      </c>
      <c r="B555">
        <v>924</v>
      </c>
      <c r="G555">
        <v>924</v>
      </c>
    </row>
    <row r="556" spans="1:7">
      <c r="A556" t="s">
        <v>523</v>
      </c>
      <c r="C556">
        <v>1044</v>
      </c>
      <c r="D556">
        <v>1100</v>
      </c>
      <c r="E556">
        <v>1050</v>
      </c>
      <c r="G556">
        <v>3194</v>
      </c>
    </row>
    <row r="557" spans="1:7">
      <c r="A557" t="s">
        <v>654</v>
      </c>
      <c r="D557">
        <v>335</v>
      </c>
      <c r="E557">
        <v>200</v>
      </c>
      <c r="G557">
        <v>535</v>
      </c>
    </row>
    <row r="558" spans="1:7">
      <c r="A558" t="s">
        <v>1235</v>
      </c>
      <c r="B558">
        <v>2563</v>
      </c>
      <c r="C558">
        <v>4503</v>
      </c>
      <c r="D558">
        <v>3637</v>
      </c>
      <c r="E558">
        <v>4425</v>
      </c>
      <c r="F558">
        <v>733</v>
      </c>
      <c r="G558">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F563">
        <v>0</v>
      </c>
      <c r="G563">
        <v>0</v>
      </c>
    </row>
    <row r="564" spans="1:7">
      <c r="A564" t="s">
        <v>461</v>
      </c>
      <c r="C564">
        <v>282</v>
      </c>
      <c r="G564">
        <v>282</v>
      </c>
    </row>
    <row r="565" spans="1:7">
      <c r="A565" t="s">
        <v>447</v>
      </c>
      <c r="B565">
        <v>885</v>
      </c>
      <c r="C565">
        <v>478</v>
      </c>
      <c r="D565">
        <v>490</v>
      </c>
      <c r="E565">
        <v>372</v>
      </c>
      <c r="G565">
        <v>2225</v>
      </c>
    </row>
    <row r="566" spans="1:7">
      <c r="A566" t="s">
        <v>1205</v>
      </c>
    </row>
    <row r="567" spans="1:7">
      <c r="A567" t="s">
        <v>1204</v>
      </c>
      <c r="B567">
        <v>360</v>
      </c>
      <c r="G567">
        <v>360</v>
      </c>
    </row>
    <row r="568" spans="1:7">
      <c r="A568" t="s">
        <v>632</v>
      </c>
    </row>
    <row r="569" spans="1:7">
      <c r="A569" t="s">
        <v>474</v>
      </c>
    </row>
    <row r="570" spans="1:7">
      <c r="A570" t="s">
        <v>603</v>
      </c>
      <c r="B570">
        <v>120</v>
      </c>
      <c r="G570">
        <v>120</v>
      </c>
    </row>
    <row r="571" spans="1:7">
      <c r="A571" t="s">
        <v>654</v>
      </c>
      <c r="C571">
        <v>120</v>
      </c>
      <c r="D571">
        <v>71</v>
      </c>
      <c r="G571">
        <v>191</v>
      </c>
    </row>
    <row r="572" spans="1:7">
      <c r="A572" t="s">
        <v>549</v>
      </c>
      <c r="D572">
        <v>355</v>
      </c>
      <c r="G572">
        <v>355</v>
      </c>
    </row>
    <row r="573" spans="1:7">
      <c r="A573" t="s">
        <v>1235</v>
      </c>
      <c r="B573">
        <v>1365</v>
      </c>
      <c r="C573">
        <v>880</v>
      </c>
      <c r="D573">
        <v>916</v>
      </c>
      <c r="E573">
        <v>372</v>
      </c>
      <c r="F573">
        <v>0</v>
      </c>
      <c r="G573">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F578">
        <v>198</v>
      </c>
      <c r="G578">
        <v>198</v>
      </c>
    </row>
    <row r="579" spans="1:7">
      <c r="A579" t="s">
        <v>447</v>
      </c>
    </row>
    <row r="580" spans="1:7">
      <c r="A580" t="s">
        <v>458</v>
      </c>
    </row>
    <row r="581" spans="1:7">
      <c r="A581" t="s">
        <v>1203</v>
      </c>
      <c r="E581">
        <v>400</v>
      </c>
      <c r="G581">
        <v>400</v>
      </c>
    </row>
    <row r="582" spans="1:7">
      <c r="A582" t="s">
        <v>549</v>
      </c>
      <c r="B582">
        <v>846</v>
      </c>
      <c r="C582">
        <v>827</v>
      </c>
      <c r="G582">
        <v>1673</v>
      </c>
    </row>
    <row r="583" spans="1:7">
      <c r="A583" t="s">
        <v>640</v>
      </c>
      <c r="C583">
        <v>465</v>
      </c>
      <c r="D583">
        <v>321</v>
      </c>
      <c r="G583">
        <v>786</v>
      </c>
    </row>
    <row r="584" spans="1:7">
      <c r="A584" t="s">
        <v>484</v>
      </c>
      <c r="B584">
        <v>1644</v>
      </c>
      <c r="C584">
        <v>60</v>
      </c>
      <c r="G584">
        <v>1704</v>
      </c>
    </row>
    <row r="585" spans="1:7">
      <c r="A585" t="s">
        <v>1235</v>
      </c>
      <c r="B585">
        <v>2490</v>
      </c>
      <c r="C585">
        <v>1352</v>
      </c>
      <c r="D585">
        <v>321</v>
      </c>
      <c r="E585">
        <v>400</v>
      </c>
      <c r="F585">
        <v>198</v>
      </c>
      <c r="G585">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C590">
        <v>403</v>
      </c>
      <c r="D590">
        <v>39</v>
      </c>
      <c r="G590">
        <v>442</v>
      </c>
    </row>
    <row r="591" spans="1:7">
      <c r="A591" t="s">
        <v>451</v>
      </c>
      <c r="B591">
        <v>862</v>
      </c>
      <c r="G591">
        <v>862</v>
      </c>
    </row>
    <row r="592" spans="1:7">
      <c r="A592" t="s">
        <v>1203</v>
      </c>
      <c r="C592">
        <v>203</v>
      </c>
      <c r="D592">
        <v>170</v>
      </c>
      <c r="E592">
        <v>106</v>
      </c>
      <c r="G592">
        <v>479</v>
      </c>
    </row>
    <row r="593" spans="1:7">
      <c r="A593" t="s">
        <v>909</v>
      </c>
      <c r="D593">
        <v>280</v>
      </c>
      <c r="E593">
        <v>1972</v>
      </c>
      <c r="G593">
        <v>2252</v>
      </c>
    </row>
    <row r="594" spans="1:7">
      <c r="A594" t="s">
        <v>640</v>
      </c>
    </row>
    <row r="595" spans="1:7">
      <c r="A595" t="s">
        <v>552</v>
      </c>
      <c r="C595">
        <v>1210</v>
      </c>
      <c r="D595">
        <v>397</v>
      </c>
      <c r="G595">
        <v>1607</v>
      </c>
    </row>
    <row r="596" spans="1:7">
      <c r="A596" t="s">
        <v>648</v>
      </c>
      <c r="D596">
        <v>90</v>
      </c>
      <c r="G596">
        <v>90</v>
      </c>
    </row>
    <row r="597" spans="1:7">
      <c r="A597" t="s">
        <v>544</v>
      </c>
      <c r="D597">
        <v>426</v>
      </c>
      <c r="E597">
        <v>583</v>
      </c>
      <c r="G597">
        <v>1009</v>
      </c>
    </row>
    <row r="598" spans="1:7">
      <c r="A598" t="s">
        <v>1056</v>
      </c>
      <c r="F598">
        <v>47</v>
      </c>
      <c r="G598">
        <v>47</v>
      </c>
    </row>
    <row r="599" spans="1:7">
      <c r="A599" t="s">
        <v>1235</v>
      </c>
      <c r="B599">
        <v>862</v>
      </c>
      <c r="C599">
        <v>1816</v>
      </c>
      <c r="D599">
        <v>1402</v>
      </c>
      <c r="E599">
        <v>2661</v>
      </c>
      <c r="F599">
        <v>47</v>
      </c>
      <c r="G59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C604">
        <v>318</v>
      </c>
      <c r="G604">
        <v>318</v>
      </c>
    </row>
    <row r="605" spans="1:7">
      <c r="A605" t="s">
        <v>451</v>
      </c>
      <c r="D605">
        <v>461</v>
      </c>
      <c r="E605">
        <v>880</v>
      </c>
      <c r="F605">
        <v>585</v>
      </c>
      <c r="G605">
        <v>1926</v>
      </c>
    </row>
    <row r="606" spans="1:7">
      <c r="A606" t="s">
        <v>458</v>
      </c>
      <c r="E606">
        <v>868</v>
      </c>
      <c r="G606">
        <v>868</v>
      </c>
    </row>
    <row r="607" spans="1:7">
      <c r="A607" t="s">
        <v>1203</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549</v>
      </c>
    </row>
    <row r="611" spans="1:7">
      <c r="A611" t="s">
        <v>484</v>
      </c>
      <c r="D611">
        <v>579</v>
      </c>
      <c r="E611">
        <v>619</v>
      </c>
      <c r="G611">
        <v>1198</v>
      </c>
    </row>
    <row r="612" spans="1:7">
      <c r="A612" t="s">
        <v>552</v>
      </c>
    </row>
    <row r="613" spans="1:7">
      <c r="A613" t="s">
        <v>544</v>
      </c>
      <c r="B613">
        <v>1843</v>
      </c>
      <c r="C613">
        <v>1714</v>
      </c>
      <c r="D613">
        <v>678</v>
      </c>
      <c r="G613">
        <v>4235</v>
      </c>
    </row>
    <row r="614" spans="1:7">
      <c r="A614" t="s">
        <v>538</v>
      </c>
      <c r="B614">
        <v>1070</v>
      </c>
      <c r="C614">
        <v>1224</v>
      </c>
      <c r="D614">
        <v>235</v>
      </c>
      <c r="G614">
        <v>2529</v>
      </c>
    </row>
    <row r="615" spans="1:7">
      <c r="A615" t="s">
        <v>1319</v>
      </c>
      <c r="C615">
        <v>605</v>
      </c>
      <c r="G615">
        <v>605</v>
      </c>
    </row>
    <row r="616" spans="1:7">
      <c r="A616" t="s">
        <v>546</v>
      </c>
      <c r="D616">
        <v>363</v>
      </c>
      <c r="E616">
        <v>1077</v>
      </c>
      <c r="G616">
        <v>1440</v>
      </c>
    </row>
    <row r="617" spans="1:7">
      <c r="A617" t="s">
        <v>999</v>
      </c>
    </row>
    <row r="618" spans="1:7">
      <c r="A618" t="s">
        <v>1235</v>
      </c>
      <c r="B618">
        <v>3849</v>
      </c>
      <c r="C618">
        <v>5584</v>
      </c>
      <c r="D618">
        <v>3571</v>
      </c>
      <c r="E618">
        <v>5222</v>
      </c>
      <c r="F618">
        <v>585</v>
      </c>
      <c r="G618">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F623">
        <v>318</v>
      </c>
      <c r="G623">
        <v>318</v>
      </c>
    </row>
    <row r="624" spans="1:7">
      <c r="A624" t="s">
        <v>696</v>
      </c>
      <c r="F624">
        <v>183</v>
      </c>
      <c r="G624">
        <v>183</v>
      </c>
    </row>
    <row r="625" spans="1:7">
      <c r="A625" t="s">
        <v>451</v>
      </c>
      <c r="B625">
        <v>345</v>
      </c>
      <c r="G625">
        <v>345</v>
      </c>
    </row>
    <row r="626" spans="1:7">
      <c r="A626" t="s">
        <v>909</v>
      </c>
      <c r="B626">
        <v>420</v>
      </c>
      <c r="G626">
        <v>420</v>
      </c>
    </row>
    <row r="627" spans="1:7">
      <c r="A627" t="s">
        <v>903</v>
      </c>
      <c r="B627">
        <v>817</v>
      </c>
      <c r="D627">
        <v>1385</v>
      </c>
      <c r="G627">
        <v>2202</v>
      </c>
    </row>
    <row r="628" spans="1:7">
      <c r="A628" t="s">
        <v>484</v>
      </c>
      <c r="B628">
        <v>1181</v>
      </c>
      <c r="C628">
        <v>1933</v>
      </c>
      <c r="D628">
        <v>2853</v>
      </c>
      <c r="E628">
        <v>1587</v>
      </c>
      <c r="G628">
        <v>7554</v>
      </c>
    </row>
    <row r="629" spans="1:7">
      <c r="A629" t="s">
        <v>544</v>
      </c>
    </row>
    <row r="630" spans="1:7">
      <c r="A630" t="s">
        <v>546</v>
      </c>
      <c r="B630">
        <v>1430</v>
      </c>
      <c r="C630">
        <v>1004</v>
      </c>
      <c r="G630">
        <v>2434</v>
      </c>
    </row>
    <row r="631" spans="1:7">
      <c r="A631" t="s">
        <v>999</v>
      </c>
      <c r="C631">
        <v>581</v>
      </c>
      <c r="G631">
        <v>581</v>
      </c>
    </row>
    <row r="632" spans="1:7">
      <c r="A632" t="s">
        <v>855</v>
      </c>
      <c r="D632">
        <v>314</v>
      </c>
      <c r="G632">
        <v>314</v>
      </c>
    </row>
    <row r="633" spans="1:7">
      <c r="A633" t="s">
        <v>464</v>
      </c>
      <c r="E633">
        <v>2390</v>
      </c>
      <c r="F633">
        <v>1377</v>
      </c>
      <c r="G633">
        <v>3767</v>
      </c>
    </row>
    <row r="634" spans="1:7">
      <c r="A634" t="s">
        <v>1235</v>
      </c>
      <c r="B634">
        <v>4193</v>
      </c>
      <c r="C634">
        <v>3518</v>
      </c>
      <c r="D634">
        <v>4552</v>
      </c>
      <c r="E634">
        <v>3977</v>
      </c>
      <c r="F634">
        <v>1878</v>
      </c>
      <c r="G634">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row>
    <row r="640" spans="1:7">
      <c r="A640" t="s">
        <v>484</v>
      </c>
    </row>
    <row r="641" spans="1:7">
      <c r="A641" t="s">
        <v>855</v>
      </c>
    </row>
    <row r="642" spans="1:7">
      <c r="A642" t="s">
        <v>464</v>
      </c>
      <c r="C642">
        <v>190</v>
      </c>
      <c r="D642">
        <v>840</v>
      </c>
      <c r="E642">
        <v>531</v>
      </c>
      <c r="F642">
        <v>718</v>
      </c>
      <c r="G642">
        <v>2279</v>
      </c>
    </row>
    <row r="643" spans="1:7">
      <c r="A643" t="s">
        <v>615</v>
      </c>
      <c r="B643">
        <v>918</v>
      </c>
      <c r="G643">
        <v>918</v>
      </c>
    </row>
    <row r="644" spans="1:7">
      <c r="A644" t="s">
        <v>487</v>
      </c>
      <c r="C644">
        <v>2675</v>
      </c>
      <c r="D644">
        <v>1964</v>
      </c>
      <c r="E644">
        <v>377</v>
      </c>
      <c r="G644">
        <v>5016</v>
      </c>
    </row>
    <row r="645" spans="1:7">
      <c r="A645" t="s">
        <v>626</v>
      </c>
      <c r="E645">
        <v>674</v>
      </c>
      <c r="G645">
        <v>674</v>
      </c>
    </row>
    <row r="646" spans="1:7">
      <c r="A646" t="s">
        <v>1235</v>
      </c>
      <c r="B646">
        <v>918</v>
      </c>
      <c r="C646">
        <v>2865</v>
      </c>
      <c r="D646">
        <v>2804</v>
      </c>
      <c r="E646">
        <v>1582</v>
      </c>
      <c r="F646">
        <v>718</v>
      </c>
      <c r="G646">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C651">
        <v>319</v>
      </c>
      <c r="G651">
        <v>319</v>
      </c>
    </row>
    <row r="652" spans="1:7">
      <c r="A652" t="s">
        <v>1203</v>
      </c>
      <c r="B652">
        <v>376</v>
      </c>
      <c r="C652">
        <v>35</v>
      </c>
      <c r="D652">
        <v>48</v>
      </c>
      <c r="E652">
        <v>144</v>
      </c>
      <c r="F652">
        <v>64</v>
      </c>
      <c r="G652">
        <v>667</v>
      </c>
    </row>
    <row r="653" spans="1:7">
      <c r="A653" t="s">
        <v>464</v>
      </c>
      <c r="B653">
        <v>571</v>
      </c>
      <c r="C653">
        <v>1293</v>
      </c>
      <c r="D653">
        <v>540</v>
      </c>
      <c r="E653">
        <v>554</v>
      </c>
      <c r="F653">
        <v>89</v>
      </c>
      <c r="G653">
        <v>3047</v>
      </c>
    </row>
    <row r="654" spans="1:7">
      <c r="A654" t="s">
        <v>615</v>
      </c>
      <c r="B654">
        <v>1175</v>
      </c>
      <c r="C654">
        <v>1154</v>
      </c>
      <c r="D654">
        <v>428</v>
      </c>
      <c r="G654">
        <v>2757</v>
      </c>
    </row>
    <row r="655" spans="1:7">
      <c r="A655" t="s">
        <v>626</v>
      </c>
      <c r="C655">
        <v>111</v>
      </c>
      <c r="D655">
        <v>12</v>
      </c>
      <c r="G655">
        <v>123</v>
      </c>
    </row>
    <row r="656" spans="1:7">
      <c r="A656" t="s">
        <v>635</v>
      </c>
      <c r="B656">
        <v>288</v>
      </c>
      <c r="C656">
        <v>380</v>
      </c>
      <c r="D656">
        <v>229</v>
      </c>
      <c r="E656">
        <v>163</v>
      </c>
      <c r="G656">
        <v>1060</v>
      </c>
    </row>
    <row r="657" spans="1:7">
      <c r="A657" t="s">
        <v>902</v>
      </c>
      <c r="C657">
        <v>406</v>
      </c>
      <c r="D657">
        <v>1031</v>
      </c>
      <c r="G657">
        <v>1437</v>
      </c>
    </row>
    <row r="658" spans="1:7">
      <c r="A658" t="s">
        <v>1320</v>
      </c>
    </row>
    <row r="659" spans="1:7">
      <c r="A659" t="s">
        <v>350</v>
      </c>
      <c r="F659">
        <v>391</v>
      </c>
      <c r="G659">
        <v>391</v>
      </c>
    </row>
    <row r="660" spans="1:7">
      <c r="A660" t="s">
        <v>1235</v>
      </c>
      <c r="B660">
        <v>2410</v>
      </c>
      <c r="C660">
        <v>3698</v>
      </c>
      <c r="D660">
        <v>2288</v>
      </c>
      <c r="E660">
        <v>861</v>
      </c>
      <c r="F660">
        <v>544</v>
      </c>
      <c r="G660">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D665">
        <v>499</v>
      </c>
      <c r="E665">
        <v>231</v>
      </c>
      <c r="F665">
        <v>316</v>
      </c>
      <c r="G665">
        <v>1046</v>
      </c>
    </row>
    <row r="666" spans="1:7">
      <c r="A666" t="s">
        <v>420</v>
      </c>
    </row>
    <row r="667" spans="1:7">
      <c r="A667" t="s">
        <v>1203</v>
      </c>
      <c r="B667">
        <v>141</v>
      </c>
      <c r="D667">
        <v>181</v>
      </c>
      <c r="E667">
        <v>82</v>
      </c>
      <c r="F667">
        <v>96</v>
      </c>
      <c r="G667">
        <v>500</v>
      </c>
    </row>
    <row r="668" spans="1:7">
      <c r="A668" t="s">
        <v>654</v>
      </c>
      <c r="B668">
        <v>343</v>
      </c>
      <c r="C668">
        <v>416</v>
      </c>
      <c r="D668">
        <v>216</v>
      </c>
      <c r="G668">
        <v>975</v>
      </c>
    </row>
    <row r="669" spans="1:7">
      <c r="A669" t="s">
        <v>855</v>
      </c>
      <c r="C669">
        <v>430</v>
      </c>
      <c r="G669">
        <v>430</v>
      </c>
    </row>
    <row r="670" spans="1:7">
      <c r="A670" t="s">
        <v>464</v>
      </c>
      <c r="B670">
        <v>377</v>
      </c>
      <c r="C670">
        <v>408</v>
      </c>
      <c r="D670">
        <v>607</v>
      </c>
      <c r="E670">
        <v>1022</v>
      </c>
      <c r="G670">
        <v>2414</v>
      </c>
    </row>
    <row r="671" spans="1:7">
      <c r="A671" t="s">
        <v>615</v>
      </c>
    </row>
    <row r="672" spans="1:7">
      <c r="A672" t="s">
        <v>626</v>
      </c>
    </row>
    <row r="673" spans="1:7">
      <c r="A673" t="s">
        <v>350</v>
      </c>
      <c r="B673">
        <v>396</v>
      </c>
      <c r="G673">
        <v>396</v>
      </c>
    </row>
    <row r="674" spans="1:7">
      <c r="A674" t="s">
        <v>629</v>
      </c>
      <c r="B674">
        <v>1109</v>
      </c>
      <c r="G674">
        <v>1109</v>
      </c>
    </row>
    <row r="675" spans="1:7">
      <c r="A675" t="s">
        <v>1200</v>
      </c>
      <c r="C675">
        <v>205</v>
      </c>
      <c r="G675">
        <v>205</v>
      </c>
    </row>
    <row r="676" spans="1:7">
      <c r="A676" t="s">
        <v>1321</v>
      </c>
      <c r="C676">
        <v>1456</v>
      </c>
      <c r="D676">
        <v>1420</v>
      </c>
      <c r="E676">
        <v>1170</v>
      </c>
      <c r="F676">
        <v>1081</v>
      </c>
      <c r="G676">
        <v>5127</v>
      </c>
    </row>
    <row r="677" spans="1:7">
      <c r="A677" t="s">
        <v>526</v>
      </c>
      <c r="C677">
        <v>1460</v>
      </c>
      <c r="D677">
        <v>1428</v>
      </c>
      <c r="E677">
        <v>1654</v>
      </c>
      <c r="G677">
        <v>4542</v>
      </c>
    </row>
    <row r="678" spans="1:7">
      <c r="A678" t="s">
        <v>1267</v>
      </c>
      <c r="F678">
        <v>878</v>
      </c>
      <c r="G678">
        <v>878</v>
      </c>
    </row>
    <row r="679" spans="1:7">
      <c r="A679" t="s">
        <v>1235</v>
      </c>
      <c r="B679">
        <v>2366</v>
      </c>
      <c r="C679">
        <v>4375</v>
      </c>
      <c r="D679">
        <v>4351</v>
      </c>
      <c r="E679">
        <v>4159</v>
      </c>
      <c r="F679">
        <v>2371</v>
      </c>
      <c r="G67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D684">
        <v>358</v>
      </c>
      <c r="G684">
        <v>358</v>
      </c>
    </row>
    <row r="685" spans="1:7">
      <c r="A685" t="s">
        <v>451</v>
      </c>
      <c r="D685">
        <v>1241</v>
      </c>
      <c r="G685">
        <v>1241</v>
      </c>
    </row>
    <row r="686" spans="1:7">
      <c r="A686" t="s">
        <v>458</v>
      </c>
      <c r="B686">
        <v>503</v>
      </c>
      <c r="C686">
        <v>295</v>
      </c>
      <c r="F686">
        <v>6</v>
      </c>
      <c r="G686">
        <v>804</v>
      </c>
    </row>
    <row r="687" spans="1:7">
      <c r="A687" t="s">
        <v>420</v>
      </c>
      <c r="C687">
        <v>1009</v>
      </c>
      <c r="G687">
        <v>1009</v>
      </c>
    </row>
    <row r="688" spans="1:7">
      <c r="A688" t="s">
        <v>1203</v>
      </c>
      <c r="B688">
        <v>20</v>
      </c>
      <c r="E688">
        <v>250</v>
      </c>
      <c r="F688">
        <v>177</v>
      </c>
      <c r="G688">
        <v>447</v>
      </c>
    </row>
    <row r="689" spans="1:7">
      <c r="A689" t="s">
        <v>464</v>
      </c>
      <c r="B689">
        <v>639</v>
      </c>
      <c r="G689">
        <v>639</v>
      </c>
    </row>
    <row r="690" spans="1:7">
      <c r="A690" t="s">
        <v>350</v>
      </c>
      <c r="D690">
        <v>400</v>
      </c>
      <c r="E690">
        <v>320</v>
      </c>
      <c r="G690">
        <v>720</v>
      </c>
    </row>
    <row r="691" spans="1:7">
      <c r="A691" t="s">
        <v>1321</v>
      </c>
      <c r="B691">
        <v>809</v>
      </c>
      <c r="C691">
        <v>533</v>
      </c>
      <c r="G691">
        <v>1342</v>
      </c>
    </row>
    <row r="692" spans="1:7">
      <c r="A692" t="s">
        <v>1267</v>
      </c>
      <c r="B692">
        <v>715</v>
      </c>
      <c r="F692">
        <v>1131</v>
      </c>
      <c r="G692">
        <v>1846</v>
      </c>
    </row>
    <row r="693" spans="1:7">
      <c r="A693" t="s">
        <v>604</v>
      </c>
      <c r="D693">
        <v>130</v>
      </c>
      <c r="G693">
        <v>130</v>
      </c>
    </row>
    <row r="694" spans="1:7">
      <c r="A694" t="s">
        <v>529</v>
      </c>
      <c r="B694">
        <v>735</v>
      </c>
      <c r="E694">
        <v>1453</v>
      </c>
      <c r="G694">
        <v>2188</v>
      </c>
    </row>
    <row r="695" spans="1:7">
      <c r="A695" t="s">
        <v>651</v>
      </c>
      <c r="C695">
        <v>260</v>
      </c>
      <c r="E695">
        <v>315</v>
      </c>
      <c r="G695">
        <v>575</v>
      </c>
    </row>
    <row r="696" spans="1:7">
      <c r="A696" t="s">
        <v>1187</v>
      </c>
      <c r="C696">
        <v>390</v>
      </c>
      <c r="G696">
        <v>390</v>
      </c>
    </row>
    <row r="697" spans="1:7">
      <c r="A697" t="s">
        <v>558</v>
      </c>
      <c r="C697">
        <v>558</v>
      </c>
      <c r="D697">
        <v>1248</v>
      </c>
      <c r="E697">
        <v>1260</v>
      </c>
      <c r="G697">
        <v>3066</v>
      </c>
    </row>
    <row r="698" spans="1:7">
      <c r="A698" t="s">
        <v>555</v>
      </c>
      <c r="C698">
        <v>1224</v>
      </c>
      <c r="D698">
        <v>967</v>
      </c>
      <c r="G698">
        <v>2191</v>
      </c>
    </row>
    <row r="699" spans="1:7">
      <c r="A699" t="s">
        <v>944</v>
      </c>
      <c r="D699">
        <v>1017</v>
      </c>
      <c r="G699">
        <v>1017</v>
      </c>
    </row>
    <row r="700" spans="1:7">
      <c r="A700" t="s">
        <v>915</v>
      </c>
    </row>
    <row r="701" spans="1:7">
      <c r="A701" t="s">
        <v>1235</v>
      </c>
      <c r="B701">
        <v>3421</v>
      </c>
      <c r="C701">
        <v>4269</v>
      </c>
      <c r="D701">
        <v>5361</v>
      </c>
      <c r="E701">
        <v>3598</v>
      </c>
      <c r="F701">
        <v>1314</v>
      </c>
      <c r="G701">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row>
    <row r="706" spans="1:7">
      <c r="A706" t="s">
        <v>354</v>
      </c>
      <c r="E706">
        <v>99</v>
      </c>
      <c r="G706">
        <v>99</v>
      </c>
    </row>
    <row r="707" spans="1:7">
      <c r="A707" t="s">
        <v>451</v>
      </c>
    </row>
    <row r="708" spans="1:7">
      <c r="A708" t="s">
        <v>798</v>
      </c>
    </row>
    <row r="709" spans="1:7">
      <c r="A709" t="s">
        <v>458</v>
      </c>
      <c r="C709">
        <v>15</v>
      </c>
      <c r="D709">
        <v>65</v>
      </c>
      <c r="E709">
        <v>6</v>
      </c>
      <c r="G709">
        <v>86</v>
      </c>
    </row>
    <row r="710" spans="1:7">
      <c r="A710" t="s">
        <v>1203</v>
      </c>
    </row>
    <row r="711" spans="1:7">
      <c r="A711" t="s">
        <v>1204</v>
      </c>
      <c r="F711">
        <v>125</v>
      </c>
      <c r="G711">
        <v>125</v>
      </c>
    </row>
    <row r="712" spans="1:7">
      <c r="A712" t="s">
        <v>538</v>
      </c>
      <c r="D712">
        <v>130</v>
      </c>
      <c r="G712">
        <v>130</v>
      </c>
    </row>
    <row r="713" spans="1:7">
      <c r="A713" t="s">
        <v>526</v>
      </c>
      <c r="F713">
        <v>128</v>
      </c>
      <c r="G713">
        <v>128</v>
      </c>
    </row>
    <row r="714" spans="1:7">
      <c r="A714" t="s">
        <v>529</v>
      </c>
      <c r="D714">
        <v>2472</v>
      </c>
      <c r="G714">
        <v>2472</v>
      </c>
    </row>
    <row r="715" spans="1:7">
      <c r="A715" t="s">
        <v>558</v>
      </c>
      <c r="C715">
        <v>977</v>
      </c>
      <c r="G715">
        <v>977</v>
      </c>
    </row>
    <row r="716" spans="1:7">
      <c r="A716" t="s">
        <v>944</v>
      </c>
      <c r="D716">
        <v>2819</v>
      </c>
      <c r="G716">
        <v>2819</v>
      </c>
    </row>
    <row r="717" spans="1:7">
      <c r="A717" t="s">
        <v>915</v>
      </c>
      <c r="D717">
        <v>1491</v>
      </c>
      <c r="E717">
        <v>1549</v>
      </c>
      <c r="G717">
        <v>3040</v>
      </c>
    </row>
    <row r="718" spans="1:7">
      <c r="A718" t="s">
        <v>1322</v>
      </c>
    </row>
    <row r="719" spans="1:7">
      <c r="A719" t="s">
        <v>925</v>
      </c>
      <c r="E719">
        <v>903</v>
      </c>
      <c r="G719">
        <v>903</v>
      </c>
    </row>
    <row r="720" spans="1:7">
      <c r="A720" t="s">
        <v>890</v>
      </c>
      <c r="F720">
        <v>285</v>
      </c>
      <c r="G720">
        <v>285</v>
      </c>
    </row>
    <row r="721" spans="1:7">
      <c r="A721" t="s">
        <v>1235</v>
      </c>
      <c r="C721">
        <v>992</v>
      </c>
      <c r="D721">
        <v>6977</v>
      </c>
      <c r="E721">
        <v>2557</v>
      </c>
      <c r="F721">
        <v>538</v>
      </c>
      <c r="G721">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E726">
        <v>279</v>
      </c>
      <c r="G726">
        <v>279</v>
      </c>
    </row>
    <row r="727" spans="1:7">
      <c r="A727" t="s">
        <v>1204</v>
      </c>
      <c r="D727">
        <v>299</v>
      </c>
      <c r="E727">
        <v>302</v>
      </c>
      <c r="F727">
        <v>209</v>
      </c>
      <c r="G727">
        <v>810</v>
      </c>
    </row>
    <row r="728" spans="1:7">
      <c r="A728" t="s">
        <v>1321</v>
      </c>
      <c r="B728">
        <v>2498</v>
      </c>
      <c r="C728">
        <v>1192</v>
      </c>
      <c r="D728">
        <v>1925</v>
      </c>
      <c r="G728">
        <v>5615</v>
      </c>
    </row>
    <row r="729" spans="1:7">
      <c r="A729" t="s">
        <v>1267</v>
      </c>
      <c r="E729">
        <v>443</v>
      </c>
      <c r="G729">
        <v>443</v>
      </c>
    </row>
    <row r="730" spans="1:7">
      <c r="A730" t="s">
        <v>915</v>
      </c>
      <c r="B730">
        <v>918</v>
      </c>
      <c r="G730">
        <v>918</v>
      </c>
    </row>
    <row r="731" spans="1:7">
      <c r="A731" t="s">
        <v>925</v>
      </c>
      <c r="B731">
        <v>254</v>
      </c>
      <c r="C731">
        <v>1686</v>
      </c>
      <c r="D731">
        <v>611</v>
      </c>
      <c r="G731">
        <v>2551</v>
      </c>
    </row>
    <row r="732" spans="1:7">
      <c r="A732" t="s">
        <v>890</v>
      </c>
      <c r="E732">
        <v>82</v>
      </c>
      <c r="G732">
        <v>82</v>
      </c>
    </row>
    <row r="733" spans="1:7">
      <c r="A733" t="s">
        <v>646</v>
      </c>
      <c r="C733">
        <v>329</v>
      </c>
      <c r="D733">
        <v>333</v>
      </c>
      <c r="G733">
        <v>662</v>
      </c>
    </row>
    <row r="734" spans="1:7">
      <c r="A734" t="s">
        <v>947</v>
      </c>
      <c r="D734">
        <v>740</v>
      </c>
      <c r="G734">
        <v>740</v>
      </c>
    </row>
    <row r="735" spans="1:7">
      <c r="A735" t="s">
        <v>990</v>
      </c>
      <c r="E735">
        <v>267</v>
      </c>
      <c r="G735">
        <v>267</v>
      </c>
    </row>
    <row r="736" spans="1:7">
      <c r="A736" t="s">
        <v>857</v>
      </c>
      <c r="D736">
        <v>307</v>
      </c>
      <c r="E736">
        <v>920</v>
      </c>
      <c r="F736">
        <v>610</v>
      </c>
      <c r="G736">
        <v>1837</v>
      </c>
    </row>
    <row r="737" spans="1:7">
      <c r="A737" t="s">
        <v>1235</v>
      </c>
      <c r="B737">
        <v>3670</v>
      </c>
      <c r="C737">
        <v>3207</v>
      </c>
      <c r="D737">
        <v>4215</v>
      </c>
      <c r="E737">
        <v>2293</v>
      </c>
      <c r="F737">
        <v>819</v>
      </c>
      <c r="G737">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row>
    <row r="743" spans="1:7">
      <c r="A743" t="s">
        <v>451</v>
      </c>
      <c r="D743">
        <v>139</v>
      </c>
      <c r="G743">
        <v>139</v>
      </c>
    </row>
    <row r="744" spans="1:7">
      <c r="A744" t="s">
        <v>458</v>
      </c>
    </row>
    <row r="745" spans="1:7">
      <c r="A745" t="s">
        <v>434</v>
      </c>
      <c r="E745">
        <v>97</v>
      </c>
      <c r="G745">
        <v>97</v>
      </c>
    </row>
    <row r="746" spans="1:7">
      <c r="A746" t="s">
        <v>1204</v>
      </c>
      <c r="B746">
        <v>42</v>
      </c>
      <c r="C746">
        <v>219</v>
      </c>
      <c r="F746">
        <v>70</v>
      </c>
      <c r="G746">
        <v>331</v>
      </c>
    </row>
    <row r="747" spans="1:7">
      <c r="A747" t="s">
        <v>1321</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1323</v>
      </c>
      <c r="D751">
        <v>75</v>
      </c>
      <c r="G751">
        <v>75</v>
      </c>
    </row>
    <row r="752" spans="1:7">
      <c r="A752" t="s">
        <v>532</v>
      </c>
      <c r="C752">
        <v>1808</v>
      </c>
      <c r="E752">
        <v>1204</v>
      </c>
      <c r="G752">
        <v>3012</v>
      </c>
    </row>
    <row r="753" spans="1:7">
      <c r="A753" t="s">
        <v>872</v>
      </c>
      <c r="C753">
        <v>251</v>
      </c>
      <c r="D753">
        <v>253</v>
      </c>
      <c r="E753">
        <v>1076</v>
      </c>
      <c r="G753">
        <v>1580</v>
      </c>
    </row>
    <row r="754" spans="1:7">
      <c r="A754" t="s">
        <v>857</v>
      </c>
      <c r="B754">
        <v>829</v>
      </c>
      <c r="D754">
        <v>863</v>
      </c>
      <c r="E754">
        <v>499</v>
      </c>
      <c r="F754">
        <v>475</v>
      </c>
      <c r="G754">
        <v>2666</v>
      </c>
    </row>
    <row r="755" spans="1:7">
      <c r="A755" t="s">
        <v>942</v>
      </c>
      <c r="E755">
        <v>754</v>
      </c>
      <c r="G755">
        <v>754</v>
      </c>
    </row>
    <row r="756" spans="1:7">
      <c r="A756" t="s">
        <v>535</v>
      </c>
      <c r="E756">
        <v>562</v>
      </c>
      <c r="G756">
        <v>562</v>
      </c>
    </row>
    <row r="757" spans="1:7">
      <c r="A757" t="s">
        <v>1235</v>
      </c>
      <c r="B757">
        <v>2820</v>
      </c>
      <c r="C757">
        <v>3809</v>
      </c>
      <c r="D757">
        <v>2830</v>
      </c>
      <c r="E757">
        <v>4553</v>
      </c>
      <c r="F757">
        <v>545</v>
      </c>
      <c r="G757">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row>
    <row r="763" spans="1:7">
      <c r="A763" t="s">
        <v>451</v>
      </c>
      <c r="B763">
        <v>60</v>
      </c>
      <c r="G763">
        <v>60</v>
      </c>
    </row>
    <row r="764" spans="1:7">
      <c r="A764" t="s">
        <v>427</v>
      </c>
      <c r="E764">
        <v>175</v>
      </c>
      <c r="G764">
        <v>175</v>
      </c>
    </row>
    <row r="765" spans="1:7">
      <c r="A765" t="s">
        <v>1204</v>
      </c>
      <c r="C765">
        <v>224</v>
      </c>
      <c r="G765">
        <v>224</v>
      </c>
    </row>
    <row r="766" spans="1:7">
      <c r="A766" t="s">
        <v>855</v>
      </c>
      <c r="D766">
        <v>406</v>
      </c>
      <c r="G766">
        <v>406</v>
      </c>
    </row>
    <row r="767" spans="1:7">
      <c r="A767" t="s">
        <v>350</v>
      </c>
      <c r="D767">
        <v>362</v>
      </c>
      <c r="E767">
        <v>399</v>
      </c>
      <c r="G767">
        <v>761</v>
      </c>
    </row>
    <row r="768" spans="1:7">
      <c r="A768" t="s">
        <v>947</v>
      </c>
    </row>
    <row r="769" spans="1:7">
      <c r="A769" t="s">
        <v>532</v>
      </c>
    </row>
    <row r="770" spans="1:7">
      <c r="A770" t="s">
        <v>872</v>
      </c>
      <c r="C770">
        <v>120</v>
      </c>
      <c r="D770">
        <v>190</v>
      </c>
      <c r="G770">
        <v>310</v>
      </c>
    </row>
    <row r="771" spans="1:7">
      <c r="A771" t="s">
        <v>857</v>
      </c>
      <c r="B771">
        <v>839</v>
      </c>
      <c r="D771">
        <v>616</v>
      </c>
      <c r="E771">
        <v>969</v>
      </c>
      <c r="F771">
        <v>552</v>
      </c>
      <c r="G771">
        <v>2976</v>
      </c>
    </row>
    <row r="772" spans="1:7">
      <c r="A772" t="s">
        <v>942</v>
      </c>
      <c r="B772">
        <v>1285</v>
      </c>
      <c r="G772">
        <v>1285</v>
      </c>
    </row>
    <row r="773" spans="1:7">
      <c r="A773" t="s">
        <v>535</v>
      </c>
      <c r="B773">
        <v>978</v>
      </c>
      <c r="C773">
        <v>675</v>
      </c>
      <c r="D773">
        <v>170</v>
      </c>
      <c r="G773">
        <v>1823</v>
      </c>
    </row>
    <row r="774" spans="1:7">
      <c r="A774" t="s">
        <v>424</v>
      </c>
      <c r="B774">
        <v>153</v>
      </c>
      <c r="D774">
        <v>260</v>
      </c>
      <c r="G774">
        <v>413</v>
      </c>
    </row>
    <row r="775" spans="1:7">
      <c r="A775" t="s">
        <v>1324</v>
      </c>
      <c r="B775">
        <v>329</v>
      </c>
      <c r="C775">
        <v>427</v>
      </c>
      <c r="D775">
        <v>537</v>
      </c>
      <c r="E775">
        <v>646</v>
      </c>
      <c r="F775">
        <v>793</v>
      </c>
      <c r="G775">
        <v>2732</v>
      </c>
    </row>
    <row r="776" spans="1:7">
      <c r="A776" t="s">
        <v>613</v>
      </c>
      <c r="B776">
        <v>335</v>
      </c>
      <c r="G776">
        <v>335</v>
      </c>
    </row>
    <row r="777" spans="1:7">
      <c r="A777" t="s">
        <v>1325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480</v>
      </c>
      <c r="D780">
        <v>240</v>
      </c>
      <c r="E780">
        <v>504</v>
      </c>
      <c r="G780">
        <v>744</v>
      </c>
    </row>
    <row r="781" spans="1:7">
      <c r="A781" t="s">
        <v>1326</v>
      </c>
      <c r="F781">
        <v>4135</v>
      </c>
      <c r="G781">
        <v>4135</v>
      </c>
    </row>
    <row r="782" spans="1:7">
      <c r="A782" t="s">
        <v>875</v>
      </c>
      <c r="F782">
        <v>551</v>
      </c>
      <c r="G782">
        <v>551</v>
      </c>
    </row>
    <row r="783" spans="1:7">
      <c r="A783" t="s">
        <v>1327</v>
      </c>
    </row>
    <row r="784" spans="1:7">
      <c r="A784" t="s">
        <v>1235</v>
      </c>
      <c r="B784">
        <v>4394</v>
      </c>
      <c r="C784">
        <v>2968</v>
      </c>
      <c r="D784">
        <v>5524</v>
      </c>
      <c r="E784">
        <v>5070</v>
      </c>
      <c r="F784">
        <v>6786</v>
      </c>
      <c r="G784">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row>
    <row r="790" spans="1:7">
      <c r="A790" t="s">
        <v>427</v>
      </c>
      <c r="B790">
        <v>229</v>
      </c>
      <c r="G790">
        <v>229</v>
      </c>
    </row>
    <row r="791" spans="1:7">
      <c r="A791" t="s">
        <v>434</v>
      </c>
      <c r="C791">
        <v>134</v>
      </c>
      <c r="E791">
        <v>450</v>
      </c>
      <c r="F791">
        <v>352</v>
      </c>
      <c r="G791">
        <v>936</v>
      </c>
    </row>
    <row r="792" spans="1:7">
      <c r="A792" t="s">
        <v>1204</v>
      </c>
      <c r="D792">
        <v>201</v>
      </c>
      <c r="F792">
        <v>352</v>
      </c>
      <c r="G792">
        <v>553</v>
      </c>
    </row>
    <row r="793" spans="1:7">
      <c r="A793" t="s">
        <v>855</v>
      </c>
      <c r="C793">
        <v>665</v>
      </c>
      <c r="D793">
        <v>753</v>
      </c>
      <c r="E793">
        <v>305</v>
      </c>
      <c r="G793">
        <v>1723</v>
      </c>
    </row>
    <row r="794" spans="1:7">
      <c r="A794" t="s">
        <v>872</v>
      </c>
      <c r="B794">
        <v>479</v>
      </c>
      <c r="E794">
        <v>170</v>
      </c>
      <c r="G794">
        <v>649</v>
      </c>
    </row>
    <row r="795" spans="1:7">
      <c r="A795" t="s">
        <v>857</v>
      </c>
      <c r="B795">
        <v>1375</v>
      </c>
      <c r="C795">
        <v>1016</v>
      </c>
      <c r="D795">
        <v>312</v>
      </c>
      <c r="E795">
        <v>1304</v>
      </c>
      <c r="F795">
        <v>617</v>
      </c>
      <c r="G795">
        <v>4624</v>
      </c>
    </row>
    <row r="796" spans="1:7">
      <c r="A796" t="s">
        <v>942</v>
      </c>
    </row>
    <row r="797" spans="1:7">
      <c r="A797" t="s">
        <v>1325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480</v>
      </c>
      <c r="B800">
        <v>80</v>
      </c>
      <c r="G800">
        <v>80</v>
      </c>
    </row>
    <row r="801" spans="1:7">
      <c r="A801" t="s">
        <v>1326</v>
      </c>
      <c r="B801">
        <v>2251</v>
      </c>
      <c r="C801">
        <v>2014</v>
      </c>
      <c r="D801">
        <v>1868</v>
      </c>
      <c r="E801">
        <v>2157</v>
      </c>
      <c r="F801">
        <v>2953</v>
      </c>
      <c r="G801">
        <v>11243</v>
      </c>
    </row>
    <row r="802" spans="1:7">
      <c r="A802" t="s">
        <v>875</v>
      </c>
      <c r="B802">
        <v>454</v>
      </c>
      <c r="C802">
        <v>251</v>
      </c>
      <c r="D802">
        <v>224</v>
      </c>
      <c r="E802">
        <v>789</v>
      </c>
      <c r="G802">
        <v>1718</v>
      </c>
    </row>
    <row r="803" spans="1:7">
      <c r="A803" t="s">
        <v>1043</v>
      </c>
      <c r="C803">
        <v>1253</v>
      </c>
      <c r="D803">
        <v>1351</v>
      </c>
      <c r="E803">
        <v>443</v>
      </c>
      <c r="G803">
        <v>3047</v>
      </c>
    </row>
    <row r="804" spans="1:7">
      <c r="A804" t="s">
        <v>541</v>
      </c>
      <c r="C804">
        <v>1850</v>
      </c>
      <c r="D804">
        <v>1276</v>
      </c>
      <c r="E804">
        <v>1479</v>
      </c>
      <c r="G804">
        <v>4605</v>
      </c>
    </row>
    <row r="805" spans="1:7">
      <c r="A805" t="s">
        <v>962</v>
      </c>
      <c r="D805">
        <v>1118</v>
      </c>
      <c r="E805">
        <v>1472</v>
      </c>
      <c r="G805">
        <v>2590</v>
      </c>
    </row>
    <row r="806" spans="1:7">
      <c r="A806" t="s">
        <v>958</v>
      </c>
      <c r="E806">
        <v>1393</v>
      </c>
      <c r="G806">
        <v>1393</v>
      </c>
    </row>
    <row r="807" spans="1:7">
      <c r="A807" t="s">
        <v>1235</v>
      </c>
      <c r="B807">
        <v>7888</v>
      </c>
      <c r="C807">
        <v>8152</v>
      </c>
      <c r="D807">
        <v>7103</v>
      </c>
      <c r="E807">
        <v>10576</v>
      </c>
      <c r="F807">
        <v>4760</v>
      </c>
      <c r="G807">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E813">
        <v>270</v>
      </c>
      <c r="F813">
        <v>268</v>
      </c>
      <c r="G813">
        <v>538</v>
      </c>
    </row>
    <row r="814" spans="1:7">
      <c r="A814" t="s">
        <v>1197</v>
      </c>
      <c r="D814">
        <v>126</v>
      </c>
      <c r="E814">
        <v>229</v>
      </c>
      <c r="G814">
        <v>355</v>
      </c>
    </row>
    <row r="815" spans="1:7">
      <c r="A815" t="s">
        <v>434</v>
      </c>
      <c r="B815">
        <v>175</v>
      </c>
      <c r="C815">
        <v>270</v>
      </c>
      <c r="G815">
        <v>445</v>
      </c>
    </row>
    <row r="816" spans="1:7">
      <c r="A816" t="s">
        <v>1204</v>
      </c>
      <c r="B816">
        <v>65</v>
      </c>
      <c r="C816">
        <v>55</v>
      </c>
      <c r="G816">
        <v>120</v>
      </c>
    </row>
    <row r="817" spans="1:7">
      <c r="A817" t="s">
        <v>855</v>
      </c>
    </row>
    <row r="818" spans="1:7">
      <c r="A818" t="s">
        <v>872</v>
      </c>
      <c r="E818">
        <v>725</v>
      </c>
      <c r="G818">
        <v>725</v>
      </c>
    </row>
    <row r="819" spans="1:7">
      <c r="A819" t="s">
        <v>857</v>
      </c>
      <c r="B819">
        <v>768</v>
      </c>
      <c r="C819">
        <v>1014</v>
      </c>
      <c r="G819">
        <v>1782</v>
      </c>
    </row>
    <row r="820" spans="1:7">
      <c r="A820" t="s">
        <v>1325</v>
      </c>
      <c r="B820">
        <v>225</v>
      </c>
      <c r="C820">
        <v>1287</v>
      </c>
      <c r="D820">
        <v>1185</v>
      </c>
      <c r="E820">
        <v>508</v>
      </c>
      <c r="G820">
        <v>3205</v>
      </c>
    </row>
    <row r="821" spans="1:7">
      <c r="A821" t="s">
        <v>933</v>
      </c>
      <c r="D821">
        <v>334</v>
      </c>
      <c r="G821">
        <v>334</v>
      </c>
    </row>
    <row r="822" spans="1:7">
      <c r="A822" t="s">
        <v>1326</v>
      </c>
      <c r="C822">
        <v>216</v>
      </c>
      <c r="G822">
        <v>216</v>
      </c>
    </row>
    <row r="823" spans="1:7">
      <c r="A823" t="s">
        <v>875</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1328</v>
      </c>
      <c r="D828">
        <v>160</v>
      </c>
      <c r="G828">
        <v>160</v>
      </c>
    </row>
    <row r="829" spans="1:7">
      <c r="A829" t="s">
        <v>104</v>
      </c>
      <c r="D829">
        <v>1282</v>
      </c>
      <c r="E829">
        <v>980</v>
      </c>
      <c r="G829">
        <v>2262</v>
      </c>
    </row>
    <row r="830" spans="1:7">
      <c r="A830" t="s">
        <v>860</v>
      </c>
    </row>
    <row r="831" spans="1:7">
      <c r="A831" t="s">
        <v>1235</v>
      </c>
      <c r="B831">
        <v>5232</v>
      </c>
      <c r="C831">
        <v>5991</v>
      </c>
      <c r="D831">
        <v>4240</v>
      </c>
      <c r="E831">
        <v>3081</v>
      </c>
      <c r="F831">
        <v>268</v>
      </c>
      <c r="G831">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C836">
        <v>163</v>
      </c>
      <c r="D836">
        <v>535</v>
      </c>
      <c r="E836">
        <v>570</v>
      </c>
      <c r="G836">
        <v>1268</v>
      </c>
    </row>
    <row r="837" spans="1:7">
      <c r="A837" t="s">
        <v>1204</v>
      </c>
    </row>
    <row r="838" spans="1:7">
      <c r="A838" t="s">
        <v>350</v>
      </c>
      <c r="E838">
        <v>170</v>
      </c>
      <c r="G838">
        <v>170</v>
      </c>
    </row>
    <row r="839" spans="1:7">
      <c r="A839" t="s">
        <v>857</v>
      </c>
      <c r="D839">
        <v>986</v>
      </c>
      <c r="G839">
        <v>986</v>
      </c>
    </row>
    <row r="840" spans="1:7">
      <c r="A840" t="s">
        <v>1325</v>
      </c>
      <c r="B840">
        <v>916</v>
      </c>
      <c r="C840">
        <v>144</v>
      </c>
      <c r="G840">
        <v>1060</v>
      </c>
    </row>
    <row r="841" spans="1:7">
      <c r="A841" t="s">
        <v>962</v>
      </c>
    </row>
    <row r="842" spans="1:7">
      <c r="A842" t="s">
        <v>958</v>
      </c>
    </row>
    <row r="843" spans="1:7">
      <c r="A843" t="s">
        <v>104</v>
      </c>
      <c r="B843">
        <v>828</v>
      </c>
      <c r="C843">
        <v>150</v>
      </c>
      <c r="E843">
        <v>688</v>
      </c>
      <c r="G843">
        <v>1666</v>
      </c>
    </row>
    <row r="844" spans="1:7">
      <c r="A844" t="s">
        <v>1329</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337</v>
      </c>
      <c r="B847">
        <v>60</v>
      </c>
      <c r="C847">
        <v>219</v>
      </c>
      <c r="G847">
        <v>279</v>
      </c>
    </row>
    <row r="848" spans="1:7">
      <c r="A848" t="s">
        <v>643</v>
      </c>
      <c r="D848">
        <v>240</v>
      </c>
      <c r="G848">
        <v>240</v>
      </c>
    </row>
    <row r="849" spans="1:7">
      <c r="A849" t="s">
        <v>1330</v>
      </c>
      <c r="C849">
        <v>1603</v>
      </c>
      <c r="D849">
        <v>791</v>
      </c>
      <c r="E849">
        <v>2803</v>
      </c>
      <c r="G849">
        <v>5197</v>
      </c>
    </row>
    <row r="850" spans="1:7">
      <c r="A850" t="s">
        <v>345</v>
      </c>
      <c r="C850">
        <v>927</v>
      </c>
      <c r="D850">
        <v>1221</v>
      </c>
      <c r="E850">
        <v>1023</v>
      </c>
      <c r="G850">
        <v>3171</v>
      </c>
    </row>
    <row r="851" spans="1:7">
      <c r="A851" t="s">
        <v>570</v>
      </c>
      <c r="C851">
        <v>974</v>
      </c>
      <c r="D851">
        <v>1312</v>
      </c>
      <c r="E851">
        <v>359</v>
      </c>
      <c r="G851">
        <v>2645</v>
      </c>
    </row>
    <row r="852" spans="1:7">
      <c r="A852" t="s">
        <v>960</v>
      </c>
      <c r="D852">
        <v>1239</v>
      </c>
      <c r="E852">
        <v>1220</v>
      </c>
      <c r="G852">
        <v>2459</v>
      </c>
    </row>
    <row r="853" spans="1:7">
      <c r="A853" t="s">
        <v>869</v>
      </c>
      <c r="D853">
        <v>1457</v>
      </c>
      <c r="E853">
        <v>1142</v>
      </c>
      <c r="F853">
        <v>945</v>
      </c>
      <c r="G853">
        <v>3544</v>
      </c>
    </row>
    <row r="854" spans="1:7">
      <c r="A854" t="s">
        <v>1235</v>
      </c>
      <c r="B854">
        <v>4025</v>
      </c>
      <c r="C854">
        <v>5125</v>
      </c>
      <c r="D854">
        <v>8008</v>
      </c>
      <c r="E854">
        <v>8462</v>
      </c>
      <c r="F854">
        <v>1068</v>
      </c>
      <c r="G854">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v>92</v>
      </c>
      <c r="E859">
        <v>209</v>
      </c>
      <c r="F859">
        <v>434</v>
      </c>
      <c r="G859">
        <v>735</v>
      </c>
    </row>
    <row r="860" spans="1:7">
      <c r="A860" t="s">
        <v>434</v>
      </c>
      <c r="B860">
        <v>153</v>
      </c>
      <c r="C860">
        <v>244</v>
      </c>
      <c r="E860">
        <v>237</v>
      </c>
      <c r="G860">
        <v>634</v>
      </c>
    </row>
    <row r="861" spans="1:7">
      <c r="A861" t="s">
        <v>1204</v>
      </c>
      <c r="B861">
        <v>455</v>
      </c>
      <c r="G861">
        <v>455</v>
      </c>
    </row>
    <row r="862" spans="1:7">
      <c r="A862" t="s">
        <v>855</v>
      </c>
      <c r="B862">
        <v>151</v>
      </c>
      <c r="C862">
        <v>149</v>
      </c>
      <c r="G862">
        <v>300</v>
      </c>
    </row>
    <row r="863" spans="1:7">
      <c r="A863" t="s">
        <v>424</v>
      </c>
      <c r="D863">
        <v>168</v>
      </c>
      <c r="F863">
        <v>34</v>
      </c>
      <c r="G863">
        <v>202</v>
      </c>
    </row>
    <row r="864" spans="1:7">
      <c r="A864" t="s">
        <v>906</v>
      </c>
    </row>
    <row r="865" spans="1:7">
      <c r="A865" t="s">
        <v>1059</v>
      </c>
      <c r="C865">
        <v>413</v>
      </c>
      <c r="D865">
        <v>190</v>
      </c>
      <c r="E865">
        <v>1194</v>
      </c>
      <c r="F865">
        <v>306</v>
      </c>
      <c r="G865">
        <v>2103</v>
      </c>
    </row>
    <row r="866" spans="1:7">
      <c r="A866" t="s">
        <v>1330</v>
      </c>
      <c r="B866">
        <v>3343</v>
      </c>
      <c r="C866">
        <v>714</v>
      </c>
      <c r="D866">
        <v>2013</v>
      </c>
      <c r="E866">
        <v>1500</v>
      </c>
      <c r="F866">
        <v>1933</v>
      </c>
      <c r="G866">
        <v>9503</v>
      </c>
    </row>
    <row r="867" spans="1:7">
      <c r="A867" t="s">
        <v>345</v>
      </c>
      <c r="B867">
        <v>1100</v>
      </c>
      <c r="C867">
        <v>527</v>
      </c>
      <c r="D867">
        <v>553</v>
      </c>
      <c r="G867">
        <v>2180</v>
      </c>
    </row>
    <row r="868" spans="1:7">
      <c r="A868" t="s">
        <v>570</v>
      </c>
      <c r="C868">
        <v>230</v>
      </c>
      <c r="G868">
        <v>230</v>
      </c>
    </row>
    <row r="869" spans="1:7">
      <c r="A869" t="s">
        <v>960</v>
      </c>
      <c r="B869">
        <v>853</v>
      </c>
      <c r="G869">
        <v>853</v>
      </c>
    </row>
    <row r="870" spans="1:7">
      <c r="A870" t="s">
        <v>869</v>
      </c>
      <c r="B870">
        <v>1186</v>
      </c>
      <c r="C870">
        <v>1564</v>
      </c>
      <c r="D870">
        <v>1012</v>
      </c>
      <c r="E870">
        <v>588</v>
      </c>
      <c r="G870">
        <v>4350</v>
      </c>
    </row>
    <row r="871" spans="1:7">
      <c r="A871" t="s">
        <v>966</v>
      </c>
      <c r="C871">
        <v>1007</v>
      </c>
      <c r="D871">
        <v>1672</v>
      </c>
      <c r="E871">
        <v>1544</v>
      </c>
      <c r="G871">
        <v>4223</v>
      </c>
    </row>
    <row r="872" spans="1:7">
      <c r="A872" t="s">
        <v>587</v>
      </c>
      <c r="C872">
        <v>1182</v>
      </c>
      <c r="D872">
        <v>1604</v>
      </c>
      <c r="E872">
        <v>1268</v>
      </c>
      <c r="G872">
        <v>4054</v>
      </c>
    </row>
    <row r="873" spans="1:7">
      <c r="A873" t="s">
        <v>888</v>
      </c>
      <c r="D873">
        <v>1624</v>
      </c>
      <c r="E873">
        <v>551</v>
      </c>
      <c r="G873">
        <v>2175</v>
      </c>
    </row>
    <row r="874" spans="1:7">
      <c r="A874" t="s">
        <v>867</v>
      </c>
      <c r="F874">
        <v>408</v>
      </c>
      <c r="G874">
        <v>408</v>
      </c>
    </row>
    <row r="875" spans="1:7">
      <c r="A875" t="s">
        <v>1235</v>
      </c>
      <c r="B875">
        <v>7333</v>
      </c>
      <c r="C875">
        <v>6030</v>
      </c>
      <c r="D875">
        <v>8836</v>
      </c>
      <c r="E875">
        <v>7091</v>
      </c>
      <c r="F875">
        <v>3115</v>
      </c>
      <c r="G875">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D880">
        <v>171</v>
      </c>
      <c r="G880">
        <v>171</v>
      </c>
    </row>
    <row r="881" spans="1:7">
      <c r="A881" t="s">
        <v>1197</v>
      </c>
      <c r="B881">
        <v>567</v>
      </c>
      <c r="G881">
        <v>567</v>
      </c>
    </row>
    <row r="882" spans="1:7">
      <c r="A882" t="s">
        <v>855</v>
      </c>
    </row>
    <row r="883" spans="1:7">
      <c r="A883" t="s">
        <v>464</v>
      </c>
      <c r="F883">
        <v>60</v>
      </c>
      <c r="G883">
        <v>60</v>
      </c>
    </row>
    <row r="884" spans="1:7">
      <c r="A884" t="s">
        <v>350</v>
      </c>
    </row>
    <row r="885" spans="1:7">
      <c r="A885" t="s">
        <v>857</v>
      </c>
    </row>
    <row r="886" spans="1:7">
      <c r="A886" t="s">
        <v>424</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1330</v>
      </c>
      <c r="B890">
        <v>820</v>
      </c>
      <c r="C890">
        <v>2077</v>
      </c>
      <c r="D890">
        <v>1096</v>
      </c>
      <c r="G890">
        <v>3993</v>
      </c>
    </row>
    <row r="891" spans="1:7">
      <c r="A891" t="s">
        <v>345</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587</v>
      </c>
      <c r="B894">
        <v>1310</v>
      </c>
      <c r="G894">
        <v>1310</v>
      </c>
    </row>
    <row r="895" spans="1:7">
      <c r="A895" t="s">
        <v>888</v>
      </c>
      <c r="F895">
        <v>168</v>
      </c>
      <c r="G895">
        <v>168</v>
      </c>
    </row>
    <row r="896" spans="1:7">
      <c r="A896" t="s">
        <v>867</v>
      </c>
      <c r="B896">
        <v>1323</v>
      </c>
      <c r="C896">
        <v>1516</v>
      </c>
      <c r="D896">
        <v>790</v>
      </c>
      <c r="E896">
        <v>930</v>
      </c>
      <c r="F896">
        <v>408</v>
      </c>
      <c r="G896">
        <v>4967</v>
      </c>
    </row>
    <row r="897" spans="1:7">
      <c r="A897" t="s">
        <v>1331</v>
      </c>
      <c r="B897">
        <v>1224</v>
      </c>
      <c r="C897">
        <v>988</v>
      </c>
      <c r="D897">
        <v>2316</v>
      </c>
      <c r="E897">
        <v>2066</v>
      </c>
      <c r="G897">
        <v>6594</v>
      </c>
    </row>
    <row r="898" spans="1:7">
      <c r="A898" t="s">
        <v>964</v>
      </c>
      <c r="C898">
        <v>1678</v>
      </c>
      <c r="E898">
        <v>394</v>
      </c>
      <c r="G898">
        <v>2072</v>
      </c>
    </row>
    <row r="899" spans="1:7">
      <c r="A899" t="s">
        <v>340</v>
      </c>
      <c r="D899">
        <v>3179</v>
      </c>
      <c r="G899">
        <v>3179</v>
      </c>
    </row>
    <row r="900" spans="1:7">
      <c r="A900" t="s">
        <v>1005</v>
      </c>
      <c r="E900">
        <v>978</v>
      </c>
      <c r="G900">
        <v>978</v>
      </c>
    </row>
    <row r="901" spans="1:7">
      <c r="A901" t="s">
        <v>994</v>
      </c>
      <c r="E901">
        <v>502</v>
      </c>
      <c r="G901">
        <v>502</v>
      </c>
    </row>
    <row r="902" spans="1:7">
      <c r="A902" t="s">
        <v>160</v>
      </c>
      <c r="E902">
        <v>346</v>
      </c>
      <c r="G902">
        <v>346</v>
      </c>
    </row>
    <row r="903" spans="1:7">
      <c r="A903" t="s">
        <v>1235</v>
      </c>
      <c r="B903">
        <v>6492</v>
      </c>
      <c r="C903">
        <v>10726</v>
      </c>
      <c r="D903">
        <v>10129</v>
      </c>
      <c r="E903">
        <v>7046</v>
      </c>
      <c r="F903">
        <v>1591</v>
      </c>
      <c r="G903">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row>
    <row r="909" spans="1:7">
      <c r="A909" t="s">
        <v>890</v>
      </c>
    </row>
    <row r="910" spans="1:7">
      <c r="A910" t="s">
        <v>857</v>
      </c>
    </row>
    <row r="911" spans="1:7">
      <c r="A911" t="s">
        <v>875</v>
      </c>
      <c r="F911">
        <v>569</v>
      </c>
      <c r="G911">
        <v>569</v>
      </c>
    </row>
    <row r="912" spans="1:7">
      <c r="A912" t="s">
        <v>1059</v>
      </c>
    </row>
    <row r="913" spans="1:7">
      <c r="A913" t="s">
        <v>337</v>
      </c>
      <c r="D913">
        <v>150</v>
      </c>
      <c r="G913">
        <v>150</v>
      </c>
    </row>
    <row r="914" spans="1:7">
      <c r="A914" t="s">
        <v>869</v>
      </c>
    </row>
    <row r="915" spans="1:7">
      <c r="A915" t="s">
        <v>587</v>
      </c>
      <c r="B915">
        <v>701</v>
      </c>
      <c r="G915">
        <v>701</v>
      </c>
    </row>
    <row r="916" spans="1:7">
      <c r="A916" t="s">
        <v>888</v>
      </c>
      <c r="B916">
        <v>463</v>
      </c>
      <c r="C916">
        <v>633</v>
      </c>
      <c r="D916">
        <v>625</v>
      </c>
      <c r="G916">
        <v>1721</v>
      </c>
    </row>
    <row r="917" spans="1:7">
      <c r="A917" t="s">
        <v>867</v>
      </c>
    </row>
    <row r="918" spans="1:7">
      <c r="A918" t="s">
        <v>340</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160</v>
      </c>
      <c r="C921">
        <v>379</v>
      </c>
      <c r="D921">
        <v>208</v>
      </c>
      <c r="G921">
        <v>587</v>
      </c>
    </row>
    <row r="922" spans="1:7">
      <c r="A922" t="s">
        <v>574</v>
      </c>
      <c r="B922">
        <v>579</v>
      </c>
      <c r="C922">
        <v>1120</v>
      </c>
      <c r="D922">
        <v>1488</v>
      </c>
      <c r="E922">
        <v>954</v>
      </c>
      <c r="G922">
        <v>4141</v>
      </c>
    </row>
    <row r="923" spans="1:7">
      <c r="A923" t="s">
        <v>1332</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886</v>
      </c>
      <c r="E927">
        <v>1063</v>
      </c>
      <c r="F927">
        <v>1263</v>
      </c>
      <c r="G927">
        <v>2326</v>
      </c>
    </row>
    <row r="928" spans="1:7">
      <c r="A928" t="s">
        <v>1061</v>
      </c>
      <c r="F928">
        <v>451</v>
      </c>
      <c r="G928">
        <v>451</v>
      </c>
    </row>
    <row r="929" spans="1:7">
      <c r="A929" t="s">
        <v>1066</v>
      </c>
      <c r="B929">
        <v>3266</v>
      </c>
      <c r="C929">
        <v>3910</v>
      </c>
      <c r="D929">
        <v>346</v>
      </c>
      <c r="G929">
        <v>7522</v>
      </c>
    </row>
    <row r="930" spans="1:7">
      <c r="A930" t="s">
        <v>403</v>
      </c>
      <c r="C930">
        <v>372</v>
      </c>
      <c r="D930">
        <v>656</v>
      </c>
      <c r="G930">
        <v>1028</v>
      </c>
    </row>
    <row r="931" spans="1:7">
      <c r="A931" t="s">
        <v>1069</v>
      </c>
      <c r="D931">
        <v>2985</v>
      </c>
      <c r="E931">
        <v>2373</v>
      </c>
      <c r="G931">
        <v>5358</v>
      </c>
    </row>
    <row r="932" spans="1:7">
      <c r="A932" t="s">
        <v>1081</v>
      </c>
      <c r="F932">
        <v>2948</v>
      </c>
      <c r="G932">
        <v>2948</v>
      </c>
    </row>
    <row r="933" spans="1:7">
      <c r="A933" t="s">
        <v>1235</v>
      </c>
      <c r="B933">
        <v>8142</v>
      </c>
      <c r="C933">
        <v>11254</v>
      </c>
      <c r="D933">
        <v>13276</v>
      </c>
      <c r="E933">
        <v>5812</v>
      </c>
      <c r="F933">
        <v>9206</v>
      </c>
      <c r="G933">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row>
    <row r="939" spans="1:7">
      <c r="A939" t="s">
        <v>860</v>
      </c>
    </row>
    <row r="940" spans="1:7">
      <c r="A940" t="s">
        <v>1059</v>
      </c>
      <c r="B940">
        <v>560</v>
      </c>
      <c r="G940">
        <v>560</v>
      </c>
    </row>
    <row r="941" spans="1:7">
      <c r="A941" t="s">
        <v>869</v>
      </c>
    </row>
    <row r="942" spans="1:7">
      <c r="A942" t="s">
        <v>587</v>
      </c>
      <c r="B942">
        <v>138</v>
      </c>
      <c r="G942">
        <v>138</v>
      </c>
    </row>
    <row r="943" spans="1:7">
      <c r="A943" t="s">
        <v>867</v>
      </c>
    </row>
    <row r="944" spans="1:7">
      <c r="A944" t="s">
        <v>340</v>
      </c>
      <c r="B944">
        <v>96</v>
      </c>
      <c r="G944">
        <v>96</v>
      </c>
    </row>
    <row r="945" spans="1:7">
      <c r="A945" t="s">
        <v>1005</v>
      </c>
      <c r="B945">
        <v>632</v>
      </c>
      <c r="G945">
        <v>632</v>
      </c>
    </row>
    <row r="946" spans="1:7">
      <c r="A946" t="s">
        <v>994</v>
      </c>
      <c r="B946">
        <v>558</v>
      </c>
      <c r="G946">
        <v>558</v>
      </c>
    </row>
    <row r="947" spans="1:7">
      <c r="A947" t="s">
        <v>160</v>
      </c>
      <c r="B947">
        <v>562</v>
      </c>
      <c r="D947">
        <v>474</v>
      </c>
      <c r="E947">
        <v>606</v>
      </c>
      <c r="F947">
        <v>322</v>
      </c>
      <c r="G947">
        <v>1964</v>
      </c>
    </row>
    <row r="948" spans="1:7">
      <c r="A948" t="s">
        <v>997</v>
      </c>
      <c r="B948">
        <v>1351</v>
      </c>
      <c r="D948">
        <v>890</v>
      </c>
      <c r="G948">
        <v>2241</v>
      </c>
    </row>
    <row r="949" spans="1:7">
      <c r="A949" t="s">
        <v>1081</v>
      </c>
      <c r="B949">
        <v>4084</v>
      </c>
      <c r="D949">
        <v>242</v>
      </c>
      <c r="G949">
        <v>4326</v>
      </c>
    </row>
    <row r="950" spans="1:7">
      <c r="A950" t="s">
        <v>1333</v>
      </c>
      <c r="B950">
        <v>748</v>
      </c>
      <c r="C950">
        <v>1062</v>
      </c>
      <c r="G950">
        <v>1810</v>
      </c>
    </row>
    <row r="951" spans="1:7">
      <c r="A951" t="s">
        <v>342</v>
      </c>
      <c r="B951">
        <v>435</v>
      </c>
      <c r="E951">
        <v>1123</v>
      </c>
      <c r="G951">
        <v>1558</v>
      </c>
    </row>
    <row r="952" spans="1:7">
      <c r="A952" t="s">
        <v>972</v>
      </c>
      <c r="D952">
        <v>1580</v>
      </c>
      <c r="E952">
        <v>1258</v>
      </c>
      <c r="G952">
        <v>2838</v>
      </c>
    </row>
    <row r="953" spans="1:7">
      <c r="A953" t="s">
        <v>572</v>
      </c>
      <c r="D953">
        <v>877</v>
      </c>
      <c r="E953">
        <v>814</v>
      </c>
      <c r="G953">
        <v>1691</v>
      </c>
    </row>
    <row r="954" spans="1:7">
      <c r="A954" t="s">
        <v>149</v>
      </c>
      <c r="D954">
        <v>711</v>
      </c>
      <c r="E954">
        <v>325</v>
      </c>
      <c r="F954">
        <v>430</v>
      </c>
      <c r="G954">
        <v>1466</v>
      </c>
    </row>
    <row r="955" spans="1:7">
      <c r="A955" t="s">
        <v>380</v>
      </c>
      <c r="D955">
        <v>1486</v>
      </c>
      <c r="E955">
        <v>2912</v>
      </c>
      <c r="F955">
        <v>2125</v>
      </c>
      <c r="G955">
        <v>6523</v>
      </c>
    </row>
    <row r="956" spans="1:7">
      <c r="A956" t="s">
        <v>1077</v>
      </c>
      <c r="D956">
        <v>1264</v>
      </c>
      <c r="E956">
        <v>1281</v>
      </c>
      <c r="G956">
        <v>2545</v>
      </c>
    </row>
    <row r="957" spans="1:7">
      <c r="A957" t="s">
        <v>1334</v>
      </c>
    </row>
    <row r="958" spans="1:7">
      <c r="A958" t="s">
        <v>1085</v>
      </c>
      <c r="D958">
        <v>3678</v>
      </c>
      <c r="E958">
        <v>3382</v>
      </c>
      <c r="G958">
        <v>7060</v>
      </c>
    </row>
    <row r="959" spans="1:7">
      <c r="A959" t="s">
        <v>1335</v>
      </c>
      <c r="F959">
        <v>1505</v>
      </c>
      <c r="G959">
        <v>1505</v>
      </c>
    </row>
    <row r="960" spans="1:7">
      <c r="A960" t="s">
        <v>1126</v>
      </c>
      <c r="E960">
        <v>424</v>
      </c>
      <c r="G960">
        <v>424</v>
      </c>
    </row>
    <row r="961" spans="1:7">
      <c r="A961" t="s">
        <v>411</v>
      </c>
      <c r="E961">
        <v>598</v>
      </c>
      <c r="G961">
        <v>598</v>
      </c>
    </row>
    <row r="962" spans="1:7">
      <c r="A962" t="s">
        <v>1235</v>
      </c>
      <c r="B962">
        <v>9164</v>
      </c>
      <c r="C962">
        <v>1062</v>
      </c>
      <c r="D962">
        <v>11202</v>
      </c>
      <c r="E962">
        <v>12723</v>
      </c>
      <c r="F962">
        <v>4382</v>
      </c>
      <c r="G962">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E968">
        <v>170</v>
      </c>
      <c r="F968">
        <v>271</v>
      </c>
      <c r="G968">
        <v>441</v>
      </c>
    </row>
    <row r="969" spans="1:7">
      <c r="A969" t="s">
        <v>350</v>
      </c>
      <c r="B969">
        <v>446</v>
      </c>
      <c r="C969">
        <v>120</v>
      </c>
      <c r="D969">
        <v>550</v>
      </c>
      <c r="G969">
        <v>1116</v>
      </c>
    </row>
    <row r="970" spans="1:7">
      <c r="A970" t="s">
        <v>1059</v>
      </c>
      <c r="C970">
        <v>17</v>
      </c>
      <c r="G970">
        <v>17</v>
      </c>
    </row>
    <row r="971" spans="1:7">
      <c r="A971" t="s">
        <v>587</v>
      </c>
    </row>
    <row r="972" spans="1:7">
      <c r="A972" t="s">
        <v>994</v>
      </c>
      <c r="B972">
        <v>127</v>
      </c>
      <c r="G972">
        <v>127</v>
      </c>
    </row>
    <row r="973" spans="1:7">
      <c r="A973" t="s">
        <v>160</v>
      </c>
      <c r="B973">
        <v>420</v>
      </c>
      <c r="G973">
        <v>420</v>
      </c>
    </row>
    <row r="974" spans="1:7">
      <c r="A974" t="s">
        <v>997</v>
      </c>
    </row>
    <row r="975" spans="1:7">
      <c r="A975" t="s">
        <v>342</v>
      </c>
      <c r="C975">
        <v>1917</v>
      </c>
      <c r="E975">
        <v>272</v>
      </c>
      <c r="G975">
        <v>2189</v>
      </c>
    </row>
    <row r="976" spans="1:7">
      <c r="A976" t="s">
        <v>572</v>
      </c>
      <c r="B976">
        <v>956</v>
      </c>
      <c r="G976">
        <v>956</v>
      </c>
    </row>
    <row r="977" spans="1:7">
      <c r="A977" t="s">
        <v>149</v>
      </c>
      <c r="E977">
        <v>195</v>
      </c>
      <c r="G977">
        <v>195</v>
      </c>
    </row>
    <row r="978" spans="1:7">
      <c r="A978" t="s">
        <v>380</v>
      </c>
      <c r="B978">
        <v>1449</v>
      </c>
      <c r="G978">
        <v>1449</v>
      </c>
    </row>
    <row r="979" spans="1:7">
      <c r="A979" t="s">
        <v>1077</v>
      </c>
      <c r="B979">
        <v>1662</v>
      </c>
      <c r="C979">
        <v>2684</v>
      </c>
      <c r="F979">
        <v>51</v>
      </c>
      <c r="G979">
        <v>4397</v>
      </c>
    </row>
    <row r="980" spans="1:7">
      <c r="A980" t="s">
        <v>1083</v>
      </c>
      <c r="B980">
        <v>5466</v>
      </c>
      <c r="E980">
        <v>2252</v>
      </c>
      <c r="G980">
        <v>7718</v>
      </c>
    </row>
    <row r="981" spans="1:7">
      <c r="A981" t="s">
        <v>1335</v>
      </c>
      <c r="B981">
        <v>907</v>
      </c>
      <c r="G981">
        <v>907</v>
      </c>
    </row>
    <row r="982" spans="1:7">
      <c r="A982" t="s">
        <v>1126</v>
      </c>
      <c r="E982">
        <v>313</v>
      </c>
      <c r="F982">
        <v>3007</v>
      </c>
      <c r="G982">
        <v>3320</v>
      </c>
    </row>
    <row r="983" spans="1:7">
      <c r="A983" t="s">
        <v>411</v>
      </c>
      <c r="B983">
        <v>1498</v>
      </c>
      <c r="C983">
        <v>3613</v>
      </c>
      <c r="E983">
        <v>1027</v>
      </c>
      <c r="F983">
        <v>490</v>
      </c>
      <c r="G983">
        <v>6628</v>
      </c>
    </row>
    <row r="984" spans="1:7">
      <c r="A984" t="s">
        <v>1336</v>
      </c>
      <c r="B984">
        <v>1505</v>
      </c>
      <c r="C984">
        <v>1518</v>
      </c>
      <c r="D984">
        <v>1968</v>
      </c>
      <c r="E984">
        <v>345</v>
      </c>
      <c r="F984">
        <v>375</v>
      </c>
      <c r="G984">
        <v>5711</v>
      </c>
    </row>
    <row r="985" spans="1:7">
      <c r="A985" t="s">
        <v>594</v>
      </c>
      <c r="B985">
        <v>1471</v>
      </c>
      <c r="G985">
        <v>1471</v>
      </c>
    </row>
    <row r="986" spans="1:7">
      <c r="A986" t="s">
        <v>591</v>
      </c>
      <c r="B986">
        <v>762</v>
      </c>
      <c r="C986">
        <v>1530</v>
      </c>
      <c r="D986">
        <v>954</v>
      </c>
      <c r="E986">
        <v>1603</v>
      </c>
      <c r="G986">
        <v>4849</v>
      </c>
    </row>
    <row r="987" spans="1:7">
      <c r="A987" t="s">
        <v>917</v>
      </c>
      <c r="C987">
        <v>1679</v>
      </c>
      <c r="D987">
        <v>1429</v>
      </c>
      <c r="E987">
        <v>1624</v>
      </c>
      <c r="G987">
        <v>4732</v>
      </c>
    </row>
    <row r="988" spans="1:7">
      <c r="A988" t="s">
        <v>382</v>
      </c>
      <c r="C988">
        <v>2351</v>
      </c>
      <c r="D988">
        <v>1835</v>
      </c>
      <c r="E988">
        <v>2139</v>
      </c>
      <c r="F988">
        <v>789</v>
      </c>
      <c r="G988">
        <v>7114</v>
      </c>
    </row>
    <row r="989" spans="1:7">
      <c r="A989" t="s">
        <v>1337</v>
      </c>
      <c r="C989">
        <v>12</v>
      </c>
      <c r="G989">
        <v>12</v>
      </c>
    </row>
    <row r="990" spans="1:7">
      <c r="A990" t="s">
        <v>1338</v>
      </c>
      <c r="D990">
        <v>480</v>
      </c>
      <c r="F990">
        <v>448</v>
      </c>
      <c r="G990">
        <v>928</v>
      </c>
    </row>
    <row r="991" spans="1:7">
      <c r="A991" t="s">
        <v>836</v>
      </c>
    </row>
    <row r="992" spans="1:7">
      <c r="A992" t="s">
        <v>838</v>
      </c>
    </row>
    <row r="993" spans="1:7">
      <c r="A993" t="s">
        <v>864</v>
      </c>
      <c r="C993">
        <v>136</v>
      </c>
      <c r="D993">
        <v>170</v>
      </c>
      <c r="F993">
        <v>15</v>
      </c>
      <c r="G993">
        <v>321</v>
      </c>
    </row>
    <row r="994" spans="1:7">
      <c r="A994" t="s">
        <v>1087</v>
      </c>
      <c r="E994">
        <v>1420</v>
      </c>
      <c r="F994">
        <v>3043</v>
      </c>
      <c r="G994">
        <v>4463</v>
      </c>
    </row>
    <row r="995" spans="1:7">
      <c r="A995" t="s">
        <v>1090</v>
      </c>
      <c r="E995">
        <v>2376</v>
      </c>
      <c r="F995">
        <v>1217</v>
      </c>
      <c r="G995">
        <v>3593</v>
      </c>
    </row>
    <row r="996" spans="1:7">
      <c r="A996" t="s">
        <v>900</v>
      </c>
      <c r="F996">
        <v>1281</v>
      </c>
      <c r="G996">
        <v>1281</v>
      </c>
    </row>
    <row r="997" spans="1:7">
      <c r="A997" t="s">
        <v>1235</v>
      </c>
      <c r="B997">
        <v>16669</v>
      </c>
      <c r="C997">
        <v>15577</v>
      </c>
      <c r="D997">
        <v>7386</v>
      </c>
      <c r="E997">
        <v>13736</v>
      </c>
      <c r="F997">
        <v>10987</v>
      </c>
      <c r="G997">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row>
    <row r="1004" spans="1:7">
      <c r="A1004" t="s">
        <v>437</v>
      </c>
    </row>
    <row r="1005" spans="1:7">
      <c r="A1005" t="s">
        <v>427</v>
      </c>
      <c r="C1005">
        <v>68</v>
      </c>
      <c r="G1005">
        <v>68</v>
      </c>
    </row>
    <row r="1006" spans="1:7">
      <c r="A1006" t="s">
        <v>1267</v>
      </c>
    </row>
    <row r="1007" spans="1:7">
      <c r="A1007" t="s">
        <v>860</v>
      </c>
    </row>
    <row r="1008" spans="1:7">
      <c r="A1008" t="s">
        <v>888</v>
      </c>
    </row>
    <row r="1009" spans="1:7">
      <c r="A1009" t="s">
        <v>867</v>
      </c>
    </row>
    <row r="1010" spans="1:7">
      <c r="A1010" t="s">
        <v>340</v>
      </c>
    </row>
    <row r="1011" spans="1:7">
      <c r="A1011" t="s">
        <v>160</v>
      </c>
      <c r="D1011">
        <v>426</v>
      </c>
      <c r="G1011">
        <v>426</v>
      </c>
    </row>
    <row r="1012" spans="1:7">
      <c r="A1012" t="s">
        <v>886</v>
      </c>
    </row>
    <row r="1013" spans="1:7">
      <c r="A1013" t="s">
        <v>1066</v>
      </c>
    </row>
    <row r="1014" spans="1:7">
      <c r="A1014" t="s">
        <v>403</v>
      </c>
      <c r="C1014">
        <v>1175</v>
      </c>
      <c r="G1014">
        <v>1175</v>
      </c>
    </row>
    <row r="1015" spans="1:7">
      <c r="A1015" t="s">
        <v>1069</v>
      </c>
      <c r="C1015">
        <v>996</v>
      </c>
      <c r="G1015">
        <v>996</v>
      </c>
    </row>
    <row r="1016" spans="1:7">
      <c r="A1016" t="s">
        <v>342</v>
      </c>
      <c r="B1016">
        <v>900</v>
      </c>
      <c r="G1016">
        <v>900</v>
      </c>
    </row>
    <row r="1017" spans="1:7">
      <c r="A1017" t="s">
        <v>972</v>
      </c>
    </row>
    <row r="1018" spans="1:7">
      <c r="A1018" t="s">
        <v>572</v>
      </c>
    </row>
    <row r="1019" spans="1:7">
      <c r="A1019" t="s">
        <v>1336</v>
      </c>
      <c r="B1019">
        <v>2805</v>
      </c>
      <c r="C1019">
        <v>1397</v>
      </c>
      <c r="G1019">
        <v>4202</v>
      </c>
    </row>
    <row r="1020" spans="1:7">
      <c r="A1020" t="s">
        <v>594</v>
      </c>
      <c r="B1020">
        <v>665</v>
      </c>
      <c r="C1020">
        <v>1360</v>
      </c>
      <c r="D1020">
        <v>1024</v>
      </c>
      <c r="G1020">
        <v>3049</v>
      </c>
    </row>
    <row r="1021" spans="1:7">
      <c r="A1021" t="s">
        <v>591</v>
      </c>
      <c r="B1021">
        <v>805</v>
      </c>
      <c r="G1021">
        <v>805</v>
      </c>
    </row>
    <row r="1022" spans="1:7">
      <c r="A1022" t="s">
        <v>917</v>
      </c>
      <c r="B1022">
        <v>572</v>
      </c>
      <c r="G1022">
        <v>572</v>
      </c>
    </row>
    <row r="1023" spans="1:7">
      <c r="A1023" t="s">
        <v>1338</v>
      </c>
      <c r="B1023">
        <v>1718</v>
      </c>
      <c r="C1023">
        <v>2478</v>
      </c>
      <c r="D1023">
        <v>1567</v>
      </c>
      <c r="G1023">
        <v>5763</v>
      </c>
    </row>
    <row r="1024" spans="1:7">
      <c r="A1024" t="s">
        <v>1087</v>
      </c>
      <c r="C1024">
        <v>3411</v>
      </c>
      <c r="G1024">
        <v>3411</v>
      </c>
    </row>
    <row r="1025" spans="1:7">
      <c r="A1025" t="s">
        <v>1028</v>
      </c>
      <c r="B1025">
        <v>82</v>
      </c>
      <c r="G1025">
        <v>82</v>
      </c>
    </row>
    <row r="1026" spans="1:7">
      <c r="A1026" t="s">
        <v>1090</v>
      </c>
      <c r="C1026">
        <v>3311</v>
      </c>
      <c r="G1026">
        <v>3311</v>
      </c>
    </row>
    <row r="1027" spans="1:7">
      <c r="A1027" t="s">
        <v>840</v>
      </c>
    </row>
    <row r="1028" spans="1:7">
      <c r="A1028" t="s">
        <v>900</v>
      </c>
      <c r="C1028">
        <v>2568</v>
      </c>
      <c r="G1028">
        <v>2568</v>
      </c>
    </row>
    <row r="1029" spans="1:7">
      <c r="A1029" t="s">
        <v>618</v>
      </c>
      <c r="B1029">
        <v>286</v>
      </c>
      <c r="C1029">
        <v>357</v>
      </c>
      <c r="D1029">
        <v>331</v>
      </c>
      <c r="G1029">
        <v>974</v>
      </c>
    </row>
    <row r="1030" spans="1:7">
      <c r="A1030" t="s">
        <v>897</v>
      </c>
      <c r="B1030">
        <v>1655</v>
      </c>
      <c r="C1030">
        <v>2537</v>
      </c>
      <c r="G1030">
        <v>4192</v>
      </c>
    </row>
    <row r="1031" spans="1:7">
      <c r="A1031" t="s">
        <v>408</v>
      </c>
      <c r="C1031">
        <v>2382</v>
      </c>
      <c r="G1031">
        <v>2382</v>
      </c>
    </row>
    <row r="1032" spans="1:7">
      <c r="A1032" t="s">
        <v>597</v>
      </c>
      <c r="C1032">
        <v>1100</v>
      </c>
      <c r="D1032">
        <v>855</v>
      </c>
      <c r="G1032">
        <v>1955</v>
      </c>
    </row>
    <row r="1033" spans="1:7">
      <c r="A1033" t="s">
        <v>1339</v>
      </c>
      <c r="C1033">
        <v>486</v>
      </c>
      <c r="G1033">
        <v>486</v>
      </c>
    </row>
    <row r="1034" spans="1:7">
      <c r="A1034" t="s">
        <v>1093</v>
      </c>
      <c r="C1034">
        <v>3634</v>
      </c>
      <c r="G1034">
        <v>3634</v>
      </c>
    </row>
    <row r="1035" spans="1:7">
      <c r="A1035" t="s">
        <v>1340</v>
      </c>
      <c r="D1035">
        <v>955</v>
      </c>
      <c r="G1035">
        <v>955</v>
      </c>
    </row>
    <row r="1036" spans="1:7">
      <c r="A1036" t="s">
        <v>1341</v>
      </c>
    </row>
    <row r="1037" spans="1:7">
      <c r="A1037" t="s">
        <v>845</v>
      </c>
    </row>
    <row r="1038" spans="1:7">
      <c r="A1038" t="s">
        <v>1072</v>
      </c>
    </row>
    <row r="1039" spans="1:7">
      <c r="A1039" t="s">
        <v>842</v>
      </c>
    </row>
    <row r="1040" spans="1:7">
      <c r="A1040" t="s">
        <v>844</v>
      </c>
    </row>
    <row r="1041" spans="1:7">
      <c r="A1041" t="s">
        <v>847</v>
      </c>
    </row>
    <row r="1042" spans="1:7">
      <c r="A1042" t="s">
        <v>849</v>
      </c>
    </row>
    <row r="1043" spans="1:7">
      <c r="A1043" t="s">
        <v>850</v>
      </c>
    </row>
    <row r="1044" spans="1:7">
      <c r="A1044" t="s">
        <v>1235</v>
      </c>
      <c r="B1044">
        <v>9488</v>
      </c>
      <c r="C1044">
        <v>27260</v>
      </c>
      <c r="D1044">
        <v>5158</v>
      </c>
      <c r="G1044">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F1049">
        <v>222</v>
      </c>
      <c r="G1049">
        <v>222</v>
      </c>
    </row>
    <row r="1050" spans="1:7">
      <c r="A1050" t="s">
        <v>1267</v>
      </c>
      <c r="B1050">
        <v>523</v>
      </c>
      <c r="G1050">
        <v>523</v>
      </c>
    </row>
    <row r="1051" spans="1:7">
      <c r="A1051" t="s">
        <v>574</v>
      </c>
      <c r="C1051">
        <v>175</v>
      </c>
      <c r="G1051">
        <v>175</v>
      </c>
    </row>
    <row r="1052" spans="1:7">
      <c r="A1052" t="s">
        <v>1063</v>
      </c>
      <c r="B1052">
        <v>602</v>
      </c>
      <c r="C1052">
        <v>1069</v>
      </c>
      <c r="D1052">
        <v>1129</v>
      </c>
      <c r="E1052">
        <v>1041</v>
      </c>
      <c r="F1052">
        <v>1824</v>
      </c>
      <c r="G1052">
        <v>5665</v>
      </c>
    </row>
    <row r="1053" spans="1:7">
      <c r="A1053" t="s">
        <v>403</v>
      </c>
      <c r="B1053">
        <v>1515</v>
      </c>
      <c r="G1053">
        <v>1515</v>
      </c>
    </row>
    <row r="1054" spans="1:7">
      <c r="A1054" t="s">
        <v>1083</v>
      </c>
      <c r="E1054">
        <v>64</v>
      </c>
      <c r="G1054">
        <v>64</v>
      </c>
    </row>
    <row r="1055" spans="1:7">
      <c r="A1055" t="s">
        <v>1085</v>
      </c>
    </row>
    <row r="1056" spans="1:7">
      <c r="A1056" t="s">
        <v>594</v>
      </c>
      <c r="B1056">
        <v>1610</v>
      </c>
      <c r="G1056">
        <v>1610</v>
      </c>
    </row>
    <row r="1057" spans="1:7">
      <c r="A1057" t="s">
        <v>591</v>
      </c>
    </row>
    <row r="1058" spans="1:7">
      <c r="A1058" t="s">
        <v>1087</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408</v>
      </c>
      <c r="B1061">
        <v>3084</v>
      </c>
      <c r="G1061">
        <v>3084</v>
      </c>
    </row>
    <row r="1062" spans="1:7">
      <c r="A1062" t="s">
        <v>597</v>
      </c>
      <c r="B1062">
        <v>1622</v>
      </c>
      <c r="C1062">
        <v>1131</v>
      </c>
      <c r="G1062">
        <v>2753</v>
      </c>
    </row>
    <row r="1063" spans="1:7">
      <c r="A1063" t="s">
        <v>1339</v>
      </c>
      <c r="B1063">
        <v>600</v>
      </c>
      <c r="C1063">
        <v>610</v>
      </c>
      <c r="D1063">
        <v>974</v>
      </c>
      <c r="G1063">
        <v>2184</v>
      </c>
    </row>
    <row r="1064" spans="1:7">
      <c r="A1064" t="s">
        <v>1093</v>
      </c>
      <c r="B1064">
        <v>3376</v>
      </c>
      <c r="G1064">
        <v>3376</v>
      </c>
    </row>
    <row r="1065" spans="1:7">
      <c r="A1065" t="s">
        <v>1340</v>
      </c>
      <c r="B1065">
        <v>1765</v>
      </c>
      <c r="C1065">
        <v>1153</v>
      </c>
      <c r="D1065">
        <v>383</v>
      </c>
      <c r="E1065">
        <v>490</v>
      </c>
      <c r="G1065">
        <v>3791</v>
      </c>
    </row>
    <row r="1066" spans="1:7">
      <c r="A1066" t="s">
        <v>1342</v>
      </c>
      <c r="B1066">
        <v>545</v>
      </c>
      <c r="C1066">
        <v>1172</v>
      </c>
      <c r="D1066">
        <v>1256</v>
      </c>
      <c r="E1066">
        <v>272</v>
      </c>
      <c r="F1066">
        <v>86</v>
      </c>
      <c r="G1066">
        <v>3331</v>
      </c>
    </row>
    <row r="1067" spans="1:7">
      <c r="A1067" t="s">
        <v>1123</v>
      </c>
      <c r="B1067">
        <v>1829</v>
      </c>
      <c r="C1067">
        <v>2302</v>
      </c>
      <c r="D1067">
        <v>694</v>
      </c>
      <c r="G1067">
        <v>4825</v>
      </c>
    </row>
    <row r="1068" spans="1:7">
      <c r="A1068" t="s">
        <v>1078</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1074</v>
      </c>
      <c r="D1072">
        <v>243</v>
      </c>
      <c r="G1072">
        <v>243</v>
      </c>
    </row>
    <row r="1073" spans="1:7">
      <c r="A1073" t="s">
        <v>1343</v>
      </c>
      <c r="F1073">
        <v>385</v>
      </c>
      <c r="G1073">
        <v>385</v>
      </c>
    </row>
    <row r="1074" spans="1:7">
      <c r="A1074" t="s">
        <v>1344</v>
      </c>
    </row>
    <row r="1075" spans="1:7">
      <c r="A1075" t="s">
        <v>1235</v>
      </c>
      <c r="B1075">
        <v>20575</v>
      </c>
      <c r="C1075">
        <v>10528</v>
      </c>
      <c r="D1075">
        <v>10631</v>
      </c>
      <c r="E1075">
        <v>6654</v>
      </c>
      <c r="F1075">
        <v>4537</v>
      </c>
      <c r="G1075">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594</v>
      </c>
    </row>
    <row r="1085" spans="1:7">
      <c r="A1085" t="s">
        <v>900</v>
      </c>
      <c r="B1085">
        <v>428</v>
      </c>
      <c r="G1085">
        <v>428</v>
      </c>
    </row>
    <row r="1086" spans="1:7">
      <c r="A1086" t="s">
        <v>1340</v>
      </c>
    </row>
    <row r="1087" spans="1:7">
      <c r="A1087" t="s">
        <v>1342</v>
      </c>
      <c r="C1087">
        <v>265</v>
      </c>
      <c r="D1087">
        <v>542</v>
      </c>
      <c r="E1087">
        <v>739</v>
      </c>
      <c r="G1087">
        <v>1546</v>
      </c>
    </row>
    <row r="1088" spans="1:7">
      <c r="A1088" t="s">
        <v>1123</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1343</v>
      </c>
      <c r="B1092">
        <v>640</v>
      </c>
      <c r="C1092">
        <v>541</v>
      </c>
      <c r="D1092">
        <v>330</v>
      </c>
      <c r="E1092">
        <v>520</v>
      </c>
      <c r="F1092">
        <v>550</v>
      </c>
      <c r="G1092">
        <v>2581</v>
      </c>
    </row>
    <row r="1093" spans="1:7">
      <c r="A1093" t="s">
        <v>1102</v>
      </c>
      <c r="B1093">
        <v>2855</v>
      </c>
      <c r="C1093">
        <v>3343</v>
      </c>
      <c r="D1093">
        <v>931</v>
      </c>
      <c r="G1093">
        <v>7129</v>
      </c>
    </row>
    <row r="1094" spans="1:7">
      <c r="A1094" t="s">
        <v>1105</v>
      </c>
      <c r="C1094">
        <v>1743</v>
      </c>
      <c r="D1094">
        <v>522</v>
      </c>
      <c r="E1094">
        <v>1194</v>
      </c>
      <c r="F1094">
        <v>2811</v>
      </c>
      <c r="G1094">
        <v>6270</v>
      </c>
    </row>
    <row r="1095" spans="1:7">
      <c r="A1095" t="s">
        <v>1345</v>
      </c>
    </row>
    <row r="1096" spans="1:7">
      <c r="A1096" t="s">
        <v>895</v>
      </c>
      <c r="C1096">
        <v>1640</v>
      </c>
      <c r="D1096">
        <v>1177</v>
      </c>
      <c r="G1096">
        <v>2817</v>
      </c>
    </row>
    <row r="1097" spans="1:7">
      <c r="A1097" t="s">
        <v>1096</v>
      </c>
      <c r="C1097">
        <v>1980</v>
      </c>
      <c r="D1097">
        <v>1251</v>
      </c>
      <c r="E1097">
        <v>3172</v>
      </c>
      <c r="G1097">
        <v>6403</v>
      </c>
    </row>
    <row r="1098" spans="1:7">
      <c r="A1098" t="s">
        <v>1099</v>
      </c>
      <c r="C1098">
        <v>1111</v>
      </c>
      <c r="D1098">
        <v>1373</v>
      </c>
      <c r="E1098">
        <v>1090</v>
      </c>
      <c r="F1098">
        <v>1204</v>
      </c>
      <c r="G1098">
        <v>4778</v>
      </c>
    </row>
    <row r="1099" spans="1:7">
      <c r="A1099" t="s">
        <v>936</v>
      </c>
      <c r="C1099">
        <v>1500</v>
      </c>
      <c r="D1099">
        <v>1084</v>
      </c>
      <c r="G1099">
        <v>2584</v>
      </c>
    </row>
    <row r="1100" spans="1:7">
      <c r="A1100" t="s">
        <v>368</v>
      </c>
      <c r="D1100">
        <v>817</v>
      </c>
      <c r="E1100">
        <v>1820</v>
      </c>
      <c r="G1100">
        <v>2637</v>
      </c>
    </row>
    <row r="1101" spans="1:7">
      <c r="A1101" t="s">
        <v>930</v>
      </c>
      <c r="E1101">
        <v>1351</v>
      </c>
      <c r="G1101">
        <v>1351</v>
      </c>
    </row>
    <row r="1102" spans="1:7">
      <c r="A1102" t="s">
        <v>374</v>
      </c>
      <c r="F1102">
        <v>1832</v>
      </c>
      <c r="G1102">
        <v>1832</v>
      </c>
    </row>
    <row r="1103" spans="1:7">
      <c r="A1103" t="s">
        <v>1235</v>
      </c>
      <c r="B1103">
        <v>8198</v>
      </c>
      <c r="C1103">
        <v>16287</v>
      </c>
      <c r="D1103">
        <v>9098</v>
      </c>
      <c r="E1103">
        <v>10383</v>
      </c>
      <c r="F1103">
        <v>7356</v>
      </c>
      <c r="G1103">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v>365</v>
      </c>
      <c r="C1108">
        <v>210</v>
      </c>
      <c r="F1108">
        <v>166</v>
      </c>
      <c r="G1108">
        <v>741</v>
      </c>
    </row>
    <row r="1109" spans="1:7">
      <c r="A1109" t="s">
        <v>1063</v>
      </c>
      <c r="B1109">
        <v>735</v>
      </c>
      <c r="G1109">
        <v>735</v>
      </c>
    </row>
    <row r="1110" spans="1:7">
      <c r="A1110" t="s">
        <v>1066</v>
      </c>
    </row>
    <row r="1111" spans="1:7">
      <c r="A1111" t="s">
        <v>1085</v>
      </c>
    </row>
    <row r="1112" spans="1:7">
      <c r="A1112" t="s">
        <v>1126</v>
      </c>
      <c r="E1112">
        <v>396</v>
      </c>
      <c r="G1112">
        <v>396</v>
      </c>
    </row>
    <row r="1113" spans="1:7">
      <c r="A1113" t="s">
        <v>411</v>
      </c>
    </row>
    <row r="1114" spans="1:7">
      <c r="A1114" t="s">
        <v>594</v>
      </c>
    </row>
    <row r="1115" spans="1:7">
      <c r="A1115" t="s">
        <v>1090</v>
      </c>
      <c r="B1115">
        <v>87</v>
      </c>
      <c r="G1115">
        <v>87</v>
      </c>
    </row>
    <row r="1116" spans="1:7">
      <c r="A1116" t="s">
        <v>1342</v>
      </c>
      <c r="B1116">
        <v>671</v>
      </c>
      <c r="C1116">
        <v>1204</v>
      </c>
      <c r="D1116">
        <v>1210</v>
      </c>
      <c r="E1116">
        <v>292</v>
      </c>
      <c r="G1116">
        <v>3377</v>
      </c>
    </row>
    <row r="1117" spans="1:7">
      <c r="A1117" t="s">
        <v>1123</v>
      </c>
      <c r="D1117">
        <v>320</v>
      </c>
      <c r="E1117">
        <v>652</v>
      </c>
      <c r="F1117">
        <v>780</v>
      </c>
      <c r="G1117">
        <v>1752</v>
      </c>
    </row>
    <row r="1118" spans="1:7">
      <c r="A1118" t="s">
        <v>939</v>
      </c>
      <c r="D1118">
        <v>163</v>
      </c>
      <c r="G1118">
        <v>163</v>
      </c>
    </row>
    <row r="1119" spans="1:7">
      <c r="A1119" t="s">
        <v>1074</v>
      </c>
      <c r="D1119">
        <v>372</v>
      </c>
      <c r="F1119">
        <v>582</v>
      </c>
      <c r="G1119">
        <v>954</v>
      </c>
    </row>
    <row r="1120" spans="1:7">
      <c r="A1120" t="s">
        <v>1343</v>
      </c>
      <c r="B1120">
        <v>752</v>
      </c>
      <c r="C1120">
        <v>1249</v>
      </c>
      <c r="D1120">
        <v>235</v>
      </c>
      <c r="E1120">
        <v>563</v>
      </c>
      <c r="F1120">
        <v>483</v>
      </c>
      <c r="G1120">
        <v>3282</v>
      </c>
    </row>
    <row r="1121" spans="1:7">
      <c r="A1121" t="s">
        <v>1105</v>
      </c>
      <c r="D1121">
        <v>1049</v>
      </c>
      <c r="G1121">
        <v>1049</v>
      </c>
    </row>
    <row r="1122" spans="1:7">
      <c r="A1122" t="s">
        <v>1096</v>
      </c>
      <c r="B1122">
        <v>29</v>
      </c>
      <c r="G1122">
        <v>29</v>
      </c>
    </row>
    <row r="1123" spans="1:7">
      <c r="A1123" t="s">
        <v>1099</v>
      </c>
      <c r="F1123">
        <v>1235</v>
      </c>
      <c r="G1123">
        <v>1235</v>
      </c>
    </row>
    <row r="1124" spans="1:7">
      <c r="A1124" t="s">
        <v>936</v>
      </c>
    </row>
    <row r="1125" spans="1:7">
      <c r="A1125" t="s">
        <v>930</v>
      </c>
      <c r="B1125">
        <v>689</v>
      </c>
      <c r="C1125">
        <v>586</v>
      </c>
      <c r="D1125">
        <v>199</v>
      </c>
      <c r="G1125">
        <v>1474</v>
      </c>
    </row>
    <row r="1126" spans="1:7">
      <c r="A1126" t="s">
        <v>374</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152</v>
      </c>
      <c r="C1129">
        <v>890</v>
      </c>
      <c r="D1129">
        <v>1810</v>
      </c>
      <c r="E1129">
        <v>967</v>
      </c>
      <c r="G1129">
        <v>3667</v>
      </c>
    </row>
    <row r="1130" spans="1:7">
      <c r="A1130" t="s">
        <v>384</v>
      </c>
      <c r="B1130">
        <v>1511</v>
      </c>
      <c r="C1130">
        <v>1887</v>
      </c>
      <c r="D1130">
        <v>916</v>
      </c>
      <c r="E1130">
        <v>1704</v>
      </c>
      <c r="F1130">
        <v>974</v>
      </c>
      <c r="G1130">
        <v>6992</v>
      </c>
    </row>
    <row r="1131" spans="1:7">
      <c r="A1131" t="s">
        <v>414</v>
      </c>
      <c r="C1131">
        <v>1617</v>
      </c>
      <c r="D1131">
        <v>1083</v>
      </c>
      <c r="E1131">
        <v>1905</v>
      </c>
      <c r="F1131">
        <v>2064</v>
      </c>
      <c r="G1131">
        <v>6669</v>
      </c>
    </row>
    <row r="1132" spans="1:7">
      <c r="A1132" t="s">
        <v>1114</v>
      </c>
      <c r="D1132">
        <v>95</v>
      </c>
      <c r="E1132">
        <v>881</v>
      </c>
      <c r="G1132">
        <v>976</v>
      </c>
    </row>
    <row r="1133" spans="1:7">
      <c r="A1133" t="s">
        <v>1108</v>
      </c>
      <c r="E1133">
        <v>3028</v>
      </c>
      <c r="F1133">
        <v>1683</v>
      </c>
      <c r="G1133">
        <v>4711</v>
      </c>
    </row>
    <row r="1134" spans="1:7">
      <c r="A1134" t="s">
        <v>1002</v>
      </c>
      <c r="E1134">
        <v>1568</v>
      </c>
      <c r="G1134">
        <v>1568</v>
      </c>
    </row>
    <row r="1135" spans="1:7">
      <c r="A1135" t="s">
        <v>1346</v>
      </c>
    </row>
    <row r="1136" spans="1:7">
      <c r="A1136" t="s">
        <v>1235</v>
      </c>
      <c r="B1136">
        <v>7278</v>
      </c>
      <c r="C1136">
        <v>12066</v>
      </c>
      <c r="D1136">
        <v>9926</v>
      </c>
      <c r="E1136">
        <v>14444</v>
      </c>
      <c r="F1136">
        <v>8333</v>
      </c>
      <c r="G1136">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row>
    <row r="1142" spans="1:7">
      <c r="A1142" t="s">
        <v>1263</v>
      </c>
      <c r="C1142">
        <v>212</v>
      </c>
      <c r="G1142">
        <v>212</v>
      </c>
    </row>
    <row r="1143" spans="1:7">
      <c r="A1143" t="s">
        <v>1342</v>
      </c>
    </row>
    <row r="1144" spans="1:7">
      <c r="A1144" t="s">
        <v>1123</v>
      </c>
      <c r="B1144">
        <v>870</v>
      </c>
      <c r="G1144">
        <v>870</v>
      </c>
    </row>
    <row r="1145" spans="1:7">
      <c r="A1145" t="s">
        <v>1074</v>
      </c>
      <c r="B1145">
        <v>551</v>
      </c>
      <c r="G1145">
        <v>551</v>
      </c>
    </row>
    <row r="1146" spans="1:7">
      <c r="A1146" t="s">
        <v>1343</v>
      </c>
    </row>
    <row r="1147" spans="1:7">
      <c r="A1147" t="s">
        <v>374</v>
      </c>
      <c r="B1147">
        <v>154</v>
      </c>
      <c r="G1147">
        <v>154</v>
      </c>
    </row>
    <row r="1148" spans="1:7">
      <c r="A1148" t="s">
        <v>949</v>
      </c>
      <c r="B1148">
        <v>342</v>
      </c>
      <c r="G1148">
        <v>342</v>
      </c>
    </row>
    <row r="1149" spans="1:7">
      <c r="A1149" t="s">
        <v>414</v>
      </c>
    </row>
    <row r="1150" spans="1:7">
      <c r="A1150" t="s">
        <v>1114</v>
      </c>
      <c r="B1150">
        <v>3523</v>
      </c>
      <c r="C1150">
        <v>2384</v>
      </c>
      <c r="G1150">
        <v>5907</v>
      </c>
    </row>
    <row r="1151" spans="1:7">
      <c r="A1151" t="s">
        <v>1108</v>
      </c>
      <c r="B1151">
        <v>362</v>
      </c>
      <c r="G1151">
        <v>362</v>
      </c>
    </row>
    <row r="1152" spans="1:7">
      <c r="A1152" t="s">
        <v>1002</v>
      </c>
      <c r="B1152">
        <v>380</v>
      </c>
      <c r="G1152">
        <v>380</v>
      </c>
    </row>
    <row r="1153" spans="1:7">
      <c r="A1153" t="s">
        <v>638</v>
      </c>
      <c r="B1153">
        <v>523</v>
      </c>
      <c r="C1153">
        <v>405</v>
      </c>
      <c r="G1153">
        <v>928</v>
      </c>
    </row>
    <row r="1154" spans="1:7">
      <c r="A1154" t="s">
        <v>1235</v>
      </c>
      <c r="B1154">
        <v>6705</v>
      </c>
      <c r="C1154">
        <v>3001</v>
      </c>
      <c r="G1154">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E1159">
        <v>0</v>
      </c>
      <c r="F1159">
        <v>0</v>
      </c>
      <c r="G1159">
        <v>0</v>
      </c>
    </row>
    <row r="1160" spans="1:7">
      <c r="A1160" t="s">
        <v>1263</v>
      </c>
      <c r="B1160">
        <v>108</v>
      </c>
      <c r="C1160">
        <v>353</v>
      </c>
      <c r="G1160">
        <v>461</v>
      </c>
    </row>
    <row r="1161" spans="1:7">
      <c r="A1161" t="s">
        <v>1081</v>
      </c>
    </row>
    <row r="1162" spans="1:7">
      <c r="A1162" t="s">
        <v>1077</v>
      </c>
      <c r="B1162">
        <v>0</v>
      </c>
      <c r="G1162">
        <v>0</v>
      </c>
    </row>
    <row r="1163" spans="1:7">
      <c r="A1163" t="s">
        <v>408</v>
      </c>
      <c r="C1163">
        <v>0</v>
      </c>
      <c r="G1163">
        <v>0</v>
      </c>
    </row>
    <row r="1164" spans="1:7">
      <c r="A1164" t="s">
        <v>1078</v>
      </c>
      <c r="B1164">
        <v>0</v>
      </c>
      <c r="G1164">
        <v>0</v>
      </c>
    </row>
    <row r="1165" spans="1:7">
      <c r="A1165" t="s">
        <v>920</v>
      </c>
    </row>
    <row r="1166" spans="1:7">
      <c r="A1166" t="s">
        <v>1074</v>
      </c>
      <c r="B1166">
        <v>738</v>
      </c>
      <c r="C1166">
        <v>466</v>
      </c>
      <c r="G1166">
        <v>1204</v>
      </c>
    </row>
    <row r="1167" spans="1:7">
      <c r="A1167" t="s">
        <v>1105</v>
      </c>
      <c r="B1167">
        <v>0</v>
      </c>
      <c r="G1167">
        <v>0</v>
      </c>
    </row>
    <row r="1168" spans="1:7">
      <c r="A1168" t="s">
        <v>374</v>
      </c>
      <c r="D1168">
        <v>173</v>
      </c>
      <c r="G1168">
        <v>173</v>
      </c>
    </row>
    <row r="1169" spans="1:7">
      <c r="A1169" t="s">
        <v>1108</v>
      </c>
      <c r="B1169">
        <v>1297</v>
      </c>
      <c r="G1169">
        <v>1297</v>
      </c>
    </row>
    <row r="1170" spans="1:7">
      <c r="A1170" t="s">
        <v>1002</v>
      </c>
      <c r="B1170">
        <v>100</v>
      </c>
      <c r="G1170">
        <v>100</v>
      </c>
    </row>
    <row r="1171" spans="1:7">
      <c r="A1171" t="s">
        <v>1111</v>
      </c>
      <c r="B1171">
        <v>2583</v>
      </c>
      <c r="C1171">
        <v>3099</v>
      </c>
      <c r="G1171">
        <v>5682</v>
      </c>
    </row>
    <row r="1172" spans="1:7">
      <c r="A1172" t="s">
        <v>984</v>
      </c>
      <c r="B1172">
        <v>1188</v>
      </c>
      <c r="C1172">
        <v>0</v>
      </c>
      <c r="G1172">
        <v>1188</v>
      </c>
    </row>
    <row r="1173" spans="1:7">
      <c r="A1173" t="s">
        <v>987</v>
      </c>
      <c r="B1173">
        <v>900</v>
      </c>
      <c r="G1173">
        <v>900</v>
      </c>
    </row>
    <row r="1174" spans="1:7">
      <c r="A1174" t="s">
        <v>1235</v>
      </c>
      <c r="B1174">
        <v>6914</v>
      </c>
      <c r="C1174">
        <v>3918</v>
      </c>
      <c r="D1174">
        <v>173</v>
      </c>
      <c r="E1174">
        <v>0</v>
      </c>
      <c r="F1174">
        <v>0</v>
      </c>
      <c r="G1174">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C1179">
        <v>152</v>
      </c>
      <c r="E1179">
        <v>85</v>
      </c>
      <c r="G1179">
        <v>237</v>
      </c>
    </row>
    <row r="1180" spans="1:7">
      <c r="A1180" t="s">
        <v>1263</v>
      </c>
      <c r="B1180">
        <v>248</v>
      </c>
      <c r="D1180">
        <v>366</v>
      </c>
      <c r="E1180">
        <v>113</v>
      </c>
      <c r="G1180">
        <v>727</v>
      </c>
    </row>
    <row r="1181" spans="1:7">
      <c r="A1181" t="s">
        <v>886</v>
      </c>
      <c r="F1181">
        <v>0</v>
      </c>
      <c r="G1181">
        <v>0</v>
      </c>
    </row>
    <row r="1182" spans="1:7">
      <c r="A1182" t="s">
        <v>1069</v>
      </c>
      <c r="C1182">
        <v>0</v>
      </c>
      <c r="G1182">
        <v>0</v>
      </c>
    </row>
    <row r="1183" spans="1:7">
      <c r="A1183" t="s">
        <v>1093</v>
      </c>
    </row>
    <row r="1184" spans="1:7">
      <c r="A1184" t="s">
        <v>1074</v>
      </c>
      <c r="B1184">
        <v>3728</v>
      </c>
      <c r="C1184">
        <v>1789</v>
      </c>
      <c r="G1184">
        <v>5517</v>
      </c>
    </row>
    <row r="1185" spans="1:7">
      <c r="A1185" t="s">
        <v>1102</v>
      </c>
      <c r="D1185">
        <v>0</v>
      </c>
      <c r="G1185">
        <v>0</v>
      </c>
    </row>
    <row r="1186" spans="1:7">
      <c r="A1186" t="s">
        <v>1099</v>
      </c>
    </row>
    <row r="1187" spans="1:7">
      <c r="A1187" t="s">
        <v>414</v>
      </c>
      <c r="D1187">
        <v>0</v>
      </c>
      <c r="F1187">
        <v>104</v>
      </c>
      <c r="G1187">
        <v>104</v>
      </c>
    </row>
    <row r="1188" spans="1:7">
      <c r="A1188" t="s">
        <v>1111</v>
      </c>
      <c r="B1188">
        <v>568</v>
      </c>
      <c r="G1188">
        <v>568</v>
      </c>
    </row>
    <row r="1189" spans="1:7">
      <c r="A1189" t="s">
        <v>880</v>
      </c>
      <c r="B1189">
        <v>1105</v>
      </c>
      <c r="C1189">
        <v>942</v>
      </c>
      <c r="D1189">
        <v>2151</v>
      </c>
      <c r="E1189">
        <v>1926</v>
      </c>
      <c r="F1189">
        <v>1000</v>
      </c>
      <c r="G1189">
        <v>7124</v>
      </c>
    </row>
    <row r="1190" spans="1:7">
      <c r="A1190" t="s">
        <v>621</v>
      </c>
      <c r="B1190">
        <v>1353</v>
      </c>
      <c r="C1190">
        <v>1153</v>
      </c>
      <c r="G1190">
        <v>2506</v>
      </c>
    </row>
    <row r="1191" spans="1:7">
      <c r="A1191" t="s">
        <v>1117</v>
      </c>
      <c r="C1191">
        <v>2362</v>
      </c>
      <c r="D1191">
        <v>3079</v>
      </c>
      <c r="G1191">
        <v>5441</v>
      </c>
    </row>
    <row r="1192" spans="1:7">
      <c r="A1192" t="s">
        <v>955</v>
      </c>
      <c r="C1192">
        <v>1534</v>
      </c>
      <c r="D1192">
        <v>180</v>
      </c>
      <c r="G1192">
        <v>1714</v>
      </c>
    </row>
    <row r="1193" spans="1:7">
      <c r="A1193" t="s">
        <v>576</v>
      </c>
      <c r="D1193">
        <v>1687</v>
      </c>
      <c r="E1193">
        <v>1053</v>
      </c>
      <c r="G1193">
        <v>2740</v>
      </c>
    </row>
    <row r="1194" spans="1:7">
      <c r="A1194" t="s">
        <v>975</v>
      </c>
      <c r="D1194">
        <v>1056</v>
      </c>
      <c r="G1194">
        <v>1056</v>
      </c>
    </row>
    <row r="1195" spans="1:7">
      <c r="A1195" t="s">
        <v>1120</v>
      </c>
      <c r="E1195">
        <v>2367</v>
      </c>
      <c r="F1195">
        <v>447</v>
      </c>
      <c r="G1195">
        <v>2814</v>
      </c>
    </row>
    <row r="1196" spans="1:7">
      <c r="A1196" t="s">
        <v>357</v>
      </c>
      <c r="F1196">
        <v>0</v>
      </c>
      <c r="G1196">
        <v>0</v>
      </c>
    </row>
    <row r="1197" spans="1:7">
      <c r="A1197" t="s">
        <v>371</v>
      </c>
      <c r="F1197">
        <v>1319</v>
      </c>
      <c r="G1197">
        <v>1319</v>
      </c>
    </row>
    <row r="1198" spans="1:7">
      <c r="A1198" t="s">
        <v>1235</v>
      </c>
      <c r="B1198">
        <v>7002</v>
      </c>
      <c r="C1198">
        <v>7932</v>
      </c>
      <c r="D1198">
        <v>8519</v>
      </c>
      <c r="E1198">
        <v>5544</v>
      </c>
      <c r="F1198">
        <v>2870</v>
      </c>
      <c r="G1198">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F1203">
        <v>50</v>
      </c>
      <c r="G1203">
        <v>50</v>
      </c>
    </row>
    <row r="1204" spans="1:7">
      <c r="A1204" t="s">
        <v>437</v>
      </c>
      <c r="C1204">
        <v>312</v>
      </c>
      <c r="G1204">
        <v>312</v>
      </c>
    </row>
    <row r="1205" spans="1:7">
      <c r="A1205" t="s">
        <v>1197</v>
      </c>
      <c r="E1205">
        <v>142</v>
      </c>
      <c r="G1205">
        <v>142</v>
      </c>
    </row>
    <row r="1206" spans="1:7">
      <c r="A1206" t="s">
        <v>350</v>
      </c>
      <c r="D1206">
        <v>1200</v>
      </c>
      <c r="E1206">
        <v>445</v>
      </c>
      <c r="F1206">
        <v>686</v>
      </c>
      <c r="G1206">
        <v>2331</v>
      </c>
    </row>
    <row r="1207" spans="1:7">
      <c r="A1207" t="s">
        <v>890</v>
      </c>
    </row>
    <row r="1208" spans="1:7">
      <c r="A1208" t="s">
        <v>860</v>
      </c>
    </row>
    <row r="1209" spans="1:7">
      <c r="A1209" t="s">
        <v>360</v>
      </c>
    </row>
    <row r="1210" spans="1:7">
      <c r="A1210" t="s">
        <v>1099</v>
      </c>
    </row>
    <row r="1211" spans="1:7">
      <c r="A1211" t="s">
        <v>880</v>
      </c>
      <c r="B1211">
        <v>1812</v>
      </c>
      <c r="C1211">
        <v>1838</v>
      </c>
      <c r="E1211">
        <v>0</v>
      </c>
      <c r="G1211">
        <v>3650</v>
      </c>
    </row>
    <row r="1212" spans="1:7">
      <c r="A1212" t="s">
        <v>621</v>
      </c>
      <c r="B1212">
        <v>1314</v>
      </c>
      <c r="G1212">
        <v>1314</v>
      </c>
    </row>
    <row r="1213" spans="1:7">
      <c r="A1213" t="s">
        <v>955</v>
      </c>
      <c r="D1213">
        <v>0</v>
      </c>
      <c r="G1213">
        <v>0</v>
      </c>
    </row>
    <row r="1214" spans="1:7">
      <c r="A1214" t="s">
        <v>576</v>
      </c>
      <c r="B1214">
        <v>0</v>
      </c>
      <c r="G1214">
        <v>0</v>
      </c>
    </row>
    <row r="1215" spans="1:7">
      <c r="A1215" t="s">
        <v>975</v>
      </c>
      <c r="B1215">
        <v>1356</v>
      </c>
      <c r="C1215">
        <v>1435</v>
      </c>
      <c r="D1215">
        <v>1295</v>
      </c>
      <c r="G1215">
        <v>4086</v>
      </c>
    </row>
    <row r="1216" spans="1:7">
      <c r="A1216" t="s">
        <v>1120</v>
      </c>
      <c r="B1216">
        <v>858</v>
      </c>
      <c r="G1216">
        <v>858</v>
      </c>
    </row>
    <row r="1217" spans="1:7">
      <c r="A1217" t="s">
        <v>371</v>
      </c>
      <c r="B1217">
        <v>926</v>
      </c>
      <c r="C1217">
        <v>1128</v>
      </c>
      <c r="D1217">
        <v>1082</v>
      </c>
      <c r="E1217">
        <v>1325</v>
      </c>
      <c r="F1217">
        <v>441</v>
      </c>
      <c r="G1217">
        <v>4902</v>
      </c>
    </row>
    <row r="1218" spans="1:7">
      <c r="A1218" t="s">
        <v>430</v>
      </c>
      <c r="B1218">
        <v>205</v>
      </c>
      <c r="F1218">
        <v>107</v>
      </c>
      <c r="G1218">
        <v>312</v>
      </c>
    </row>
    <row r="1219" spans="1:7">
      <c r="A1219" t="s">
        <v>1131</v>
      </c>
      <c r="B1219">
        <v>4915</v>
      </c>
      <c r="C1219">
        <v>914</v>
      </c>
      <c r="D1219">
        <v>0</v>
      </c>
      <c r="G1219">
        <v>5829</v>
      </c>
    </row>
    <row r="1220" spans="1:7">
      <c r="A1220" t="s">
        <v>1129</v>
      </c>
      <c r="B1220">
        <v>813</v>
      </c>
      <c r="C1220">
        <v>1491</v>
      </c>
      <c r="D1220">
        <v>1062</v>
      </c>
      <c r="E1220">
        <v>527</v>
      </c>
      <c r="G1220">
        <v>3893</v>
      </c>
    </row>
    <row r="1221" spans="1:7">
      <c r="A1221" t="s">
        <v>1011</v>
      </c>
    </row>
    <row r="1222" spans="1:7">
      <c r="A1222" t="s">
        <v>607</v>
      </c>
    </row>
    <row r="1223" spans="1:7">
      <c r="A1223" t="s">
        <v>1133</v>
      </c>
      <c r="C1223">
        <v>6092</v>
      </c>
      <c r="D1223">
        <v>0</v>
      </c>
      <c r="E1223">
        <v>0</v>
      </c>
      <c r="G1223">
        <v>6092</v>
      </c>
    </row>
    <row r="1224" spans="1:7">
      <c r="A1224" t="s">
        <v>1135</v>
      </c>
      <c r="C1224">
        <v>822</v>
      </c>
      <c r="D1224">
        <v>2611</v>
      </c>
      <c r="G1224">
        <v>3433</v>
      </c>
    </row>
    <row r="1225" spans="1:7">
      <c r="A1225" t="s">
        <v>1139</v>
      </c>
      <c r="D1225">
        <v>544</v>
      </c>
      <c r="E1225">
        <v>2832</v>
      </c>
      <c r="F1225">
        <v>457</v>
      </c>
      <c r="G1225">
        <v>3833</v>
      </c>
    </row>
    <row r="1226" spans="1:7">
      <c r="A1226" t="s">
        <v>1137</v>
      </c>
      <c r="D1226">
        <v>1728</v>
      </c>
      <c r="F1226">
        <v>3082</v>
      </c>
      <c r="G1226">
        <v>4810</v>
      </c>
    </row>
    <row r="1227" spans="1:7">
      <c r="A1227" t="s">
        <v>1141</v>
      </c>
      <c r="E1227">
        <v>1562</v>
      </c>
      <c r="F1227">
        <v>673</v>
      </c>
      <c r="G1227">
        <v>2235</v>
      </c>
    </row>
    <row r="1228" spans="1:7">
      <c r="A1228" t="s">
        <v>1143</v>
      </c>
      <c r="E1228">
        <v>1639</v>
      </c>
      <c r="F1228">
        <v>987</v>
      </c>
      <c r="G1228">
        <v>2626</v>
      </c>
    </row>
    <row r="1229" spans="1:7">
      <c r="A1229" t="s">
        <v>365</v>
      </c>
      <c r="B1229">
        <v>607</v>
      </c>
      <c r="C1229">
        <v>662</v>
      </c>
      <c r="D1229">
        <v>877</v>
      </c>
      <c r="E1229">
        <v>499</v>
      </c>
      <c r="F1229">
        <v>186</v>
      </c>
      <c r="G1229">
        <v>2831</v>
      </c>
    </row>
    <row r="1230" spans="1:7">
      <c r="A1230" t="s">
        <v>1235</v>
      </c>
      <c r="B1230">
        <v>12806</v>
      </c>
      <c r="C1230">
        <v>14694</v>
      </c>
      <c r="D1230">
        <v>10399</v>
      </c>
      <c r="E1230">
        <v>8971</v>
      </c>
      <c r="F1230">
        <v>6669</v>
      </c>
      <c r="G1230">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v>0</v>
      </c>
      <c r="G1235">
        <v>0</v>
      </c>
    </row>
    <row r="1236" spans="1:7">
      <c r="A1236" t="s">
        <v>1197</v>
      </c>
      <c r="F1236">
        <v>57</v>
      </c>
      <c r="G1236">
        <v>57</v>
      </c>
    </row>
    <row r="1237" spans="1:7">
      <c r="A1237" t="s">
        <v>350</v>
      </c>
      <c r="C1237">
        <v>0</v>
      </c>
      <c r="G1237">
        <v>0</v>
      </c>
    </row>
    <row r="1238" spans="1:7">
      <c r="A1238" t="s">
        <v>1267</v>
      </c>
      <c r="D1238">
        <v>150</v>
      </c>
      <c r="E1238">
        <v>0</v>
      </c>
      <c r="F1238">
        <v>274</v>
      </c>
      <c r="G1238">
        <v>424</v>
      </c>
    </row>
    <row r="1239" spans="1:7">
      <c r="A1239" t="s">
        <v>403</v>
      </c>
      <c r="C1239">
        <v>2209</v>
      </c>
      <c r="G1239">
        <v>2209</v>
      </c>
    </row>
    <row r="1240" spans="1:7">
      <c r="A1240" t="s">
        <v>414</v>
      </c>
    </row>
    <row r="1241" spans="1:7">
      <c r="A1241" t="s">
        <v>621</v>
      </c>
    </row>
    <row r="1242" spans="1:7">
      <c r="A1242" t="s">
        <v>975</v>
      </c>
      <c r="C1242">
        <v>0</v>
      </c>
      <c r="G1242">
        <v>0</v>
      </c>
    </row>
    <row r="1243" spans="1:7">
      <c r="A1243" t="s">
        <v>1120</v>
      </c>
      <c r="E1243">
        <v>1940</v>
      </c>
      <c r="G1243">
        <v>1940</v>
      </c>
    </row>
    <row r="1244" spans="1:7">
      <c r="A1244" t="s">
        <v>430</v>
      </c>
      <c r="C1244">
        <v>183</v>
      </c>
      <c r="D1244">
        <v>182</v>
      </c>
      <c r="E1244">
        <v>186</v>
      </c>
      <c r="G1244">
        <v>551</v>
      </c>
    </row>
    <row r="1245" spans="1:7">
      <c r="A1245" t="s">
        <v>1129</v>
      </c>
      <c r="E1245">
        <v>1776</v>
      </c>
      <c r="G1245">
        <v>1776</v>
      </c>
    </row>
    <row r="1246" spans="1:7">
      <c r="A1246" t="s">
        <v>1139</v>
      </c>
      <c r="C1246">
        <v>506</v>
      </c>
      <c r="G1246">
        <v>506</v>
      </c>
    </row>
    <row r="1247" spans="1:7">
      <c r="A1247" t="s">
        <v>1141</v>
      </c>
      <c r="D1247">
        <v>2265</v>
      </c>
      <c r="F1247">
        <v>2651</v>
      </c>
      <c r="G1247">
        <v>4916</v>
      </c>
    </row>
    <row r="1248" spans="1:7">
      <c r="A1248" t="s">
        <v>1143</v>
      </c>
      <c r="C1248">
        <v>0</v>
      </c>
      <c r="D1248">
        <v>575</v>
      </c>
      <c r="F1248">
        <v>818</v>
      </c>
      <c r="G1248">
        <v>1393</v>
      </c>
    </row>
    <row r="1249" spans="1:7">
      <c r="A1249" t="s">
        <v>396</v>
      </c>
      <c r="C1249">
        <v>1344</v>
      </c>
      <c r="G1249">
        <v>1344</v>
      </c>
    </row>
    <row r="1250" spans="1:7">
      <c r="A1250" t="s">
        <v>1347</v>
      </c>
      <c r="C1250">
        <v>660</v>
      </c>
      <c r="D1250">
        <v>754</v>
      </c>
      <c r="E1250">
        <v>520</v>
      </c>
      <c r="F1250">
        <v>0</v>
      </c>
      <c r="G1250">
        <v>1934</v>
      </c>
    </row>
    <row r="1251" spans="1:7">
      <c r="A1251" t="s">
        <v>1348</v>
      </c>
      <c r="C1251">
        <v>1382</v>
      </c>
      <c r="D1251">
        <v>993</v>
      </c>
      <c r="E1251">
        <v>1462</v>
      </c>
      <c r="F1251">
        <v>1617</v>
      </c>
      <c r="G1251">
        <v>5454</v>
      </c>
    </row>
    <row r="1252" spans="1:7">
      <c r="A1252" t="s">
        <v>222</v>
      </c>
      <c r="C1252">
        <v>2719</v>
      </c>
      <c r="D1252">
        <v>408</v>
      </c>
      <c r="G1252">
        <v>3127</v>
      </c>
    </row>
    <row r="1253" spans="1:7">
      <c r="A1253" t="s">
        <v>1145</v>
      </c>
      <c r="C1253">
        <v>1277</v>
      </c>
      <c r="G1253">
        <v>1277</v>
      </c>
    </row>
    <row r="1254" spans="1:7">
      <c r="A1254" t="s">
        <v>579</v>
      </c>
      <c r="D1254">
        <v>686</v>
      </c>
      <c r="E1254">
        <v>736</v>
      </c>
      <c r="G1254">
        <v>1422</v>
      </c>
    </row>
    <row r="1255" spans="1:7">
      <c r="A1255" t="s">
        <v>978</v>
      </c>
      <c r="D1255">
        <v>867</v>
      </c>
      <c r="E1255">
        <v>1539</v>
      </c>
      <c r="G1255">
        <v>2406</v>
      </c>
    </row>
    <row r="1256" spans="1:7">
      <c r="A1256" t="s">
        <v>229</v>
      </c>
      <c r="D1256">
        <v>2000</v>
      </c>
      <c r="E1256">
        <v>970</v>
      </c>
      <c r="G1256">
        <v>2970</v>
      </c>
    </row>
    <row r="1257" spans="1:7">
      <c r="A1257" t="s">
        <v>346</v>
      </c>
      <c r="E1257">
        <v>2031</v>
      </c>
      <c r="F1257">
        <v>845</v>
      </c>
      <c r="G1257">
        <v>2876</v>
      </c>
    </row>
    <row r="1258" spans="1:7">
      <c r="A1258" t="s">
        <v>1235</v>
      </c>
      <c r="B1258">
        <v>0</v>
      </c>
      <c r="C1258">
        <v>10280</v>
      </c>
      <c r="D1258">
        <v>8880</v>
      </c>
      <c r="E1258">
        <v>11160</v>
      </c>
      <c r="F1258">
        <v>6262</v>
      </c>
      <c r="G1258">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C1263">
        <v>511</v>
      </c>
      <c r="D1263">
        <v>324</v>
      </c>
      <c r="E1263">
        <v>838</v>
      </c>
      <c r="F1263">
        <v>481</v>
      </c>
      <c r="G1263">
        <v>2154</v>
      </c>
    </row>
    <row r="1264" spans="1:7">
      <c r="A1264" t="s">
        <v>1267</v>
      </c>
      <c r="C1264">
        <v>343</v>
      </c>
      <c r="D1264">
        <v>62</v>
      </c>
      <c r="E1264">
        <v>329</v>
      </c>
      <c r="G1264">
        <v>734</v>
      </c>
    </row>
    <row r="1265" spans="1:7">
      <c r="A1265" t="s">
        <v>1114</v>
      </c>
    </row>
    <row r="1266" spans="1:7">
      <c r="A1266" t="s">
        <v>1108</v>
      </c>
    </row>
    <row r="1267" spans="1:7">
      <c r="A1267" t="s">
        <v>1111</v>
      </c>
    </row>
    <row r="1268" spans="1:7">
      <c r="A1268" t="s">
        <v>880</v>
      </c>
      <c r="D1268">
        <v>149</v>
      </c>
      <c r="G1268">
        <v>149</v>
      </c>
    </row>
    <row r="1269" spans="1:7">
      <c r="A1269" t="s">
        <v>621</v>
      </c>
    </row>
    <row r="1270" spans="1:7">
      <c r="A1270" t="s">
        <v>1117</v>
      </c>
    </row>
    <row r="1271" spans="1:7">
      <c r="A1271" t="s">
        <v>576</v>
      </c>
    </row>
    <row r="1272" spans="1:7">
      <c r="A1272" t="s">
        <v>1120</v>
      </c>
    </row>
    <row r="1273" spans="1:7">
      <c r="A1273" t="s">
        <v>1131</v>
      </c>
    </row>
    <row r="1274" spans="1:7">
      <c r="A1274" t="s">
        <v>1129</v>
      </c>
    </row>
    <row r="1275" spans="1:7">
      <c r="A1275" t="s">
        <v>1133</v>
      </c>
    </row>
    <row r="1276" spans="1:7">
      <c r="A1276" t="s">
        <v>1135</v>
      </c>
      <c r="B1276">
        <v>1908</v>
      </c>
      <c r="G1276">
        <v>1908</v>
      </c>
    </row>
    <row r="1277" spans="1:7">
      <c r="A1277" t="s">
        <v>1139</v>
      </c>
    </row>
    <row r="1278" spans="1:7">
      <c r="A1278" t="s">
        <v>1137</v>
      </c>
    </row>
    <row r="1279" spans="1:7">
      <c r="A1279" t="s">
        <v>1141</v>
      </c>
    </row>
    <row r="1280" spans="1:7">
      <c r="A1280" t="s">
        <v>1143</v>
      </c>
    </row>
    <row r="1281" spans="1:7">
      <c r="A1281" t="s">
        <v>396</v>
      </c>
      <c r="B1281">
        <v>886</v>
      </c>
      <c r="G1281">
        <v>886</v>
      </c>
    </row>
    <row r="1282" spans="1:7">
      <c r="A1282" t="s">
        <v>1347</v>
      </c>
      <c r="B1282">
        <v>376</v>
      </c>
      <c r="C1282">
        <v>647</v>
      </c>
      <c r="D1282">
        <v>565</v>
      </c>
      <c r="E1282">
        <v>222</v>
      </c>
      <c r="G1282">
        <v>1810</v>
      </c>
    </row>
    <row r="1283" spans="1:7">
      <c r="A1283" t="s">
        <v>1348</v>
      </c>
      <c r="B1283">
        <v>1642</v>
      </c>
      <c r="C1283">
        <v>843</v>
      </c>
      <c r="E1283">
        <v>410</v>
      </c>
      <c r="G1283">
        <v>2895</v>
      </c>
    </row>
    <row r="1284" spans="1:7">
      <c r="A1284" t="s">
        <v>1145</v>
      </c>
    </row>
    <row r="1285" spans="1:7">
      <c r="A1285" t="s">
        <v>579</v>
      </c>
      <c r="B1285">
        <v>835</v>
      </c>
      <c r="C1285">
        <v>858</v>
      </c>
      <c r="D1285">
        <v>976</v>
      </c>
      <c r="G1285">
        <v>2669</v>
      </c>
    </row>
    <row r="1286" spans="1:7">
      <c r="A1286" t="s">
        <v>978</v>
      </c>
      <c r="B1286">
        <v>1590</v>
      </c>
      <c r="C1286">
        <v>1230</v>
      </c>
      <c r="D1286">
        <v>1015</v>
      </c>
      <c r="G1286">
        <v>3835</v>
      </c>
    </row>
    <row r="1287" spans="1:7">
      <c r="A1287" t="s">
        <v>346</v>
      </c>
      <c r="B1287">
        <v>1530</v>
      </c>
      <c r="C1287">
        <v>388</v>
      </c>
      <c r="E1287">
        <v>470</v>
      </c>
      <c r="G1287">
        <v>2388</v>
      </c>
    </row>
    <row r="1288" spans="1:7">
      <c r="A1288" t="s">
        <v>981</v>
      </c>
      <c r="C1288">
        <v>1758</v>
      </c>
      <c r="D1288">
        <v>1363</v>
      </c>
      <c r="G1288">
        <v>3121</v>
      </c>
    </row>
    <row r="1289" spans="1:7">
      <c r="A1289" t="s">
        <v>893</v>
      </c>
      <c r="D1289">
        <v>881</v>
      </c>
      <c r="E1289">
        <v>1143</v>
      </c>
      <c r="G1289">
        <v>2024</v>
      </c>
    </row>
    <row r="1290" spans="1:7">
      <c r="A1290" t="s">
        <v>377</v>
      </c>
      <c r="E1290">
        <v>1468</v>
      </c>
      <c r="F1290">
        <v>1637</v>
      </c>
      <c r="G1290">
        <v>3105</v>
      </c>
    </row>
    <row r="1291" spans="1:7">
      <c r="A1291" t="s">
        <v>1235</v>
      </c>
      <c r="B1291">
        <v>8767</v>
      </c>
      <c r="C1291">
        <v>6578</v>
      </c>
      <c r="D1291">
        <v>5335</v>
      </c>
      <c r="E1291">
        <v>4880</v>
      </c>
      <c r="F1291">
        <v>2118</v>
      </c>
      <c r="G1291">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v>859</v>
      </c>
      <c r="G1296">
        <v>859</v>
      </c>
    </row>
    <row r="1297" spans="1:7">
      <c r="A1297" t="s">
        <v>1267</v>
      </c>
      <c r="B1297">
        <v>251</v>
      </c>
      <c r="G1297">
        <v>251</v>
      </c>
    </row>
    <row r="1298" spans="1:7">
      <c r="A1298" t="s">
        <v>160</v>
      </c>
    </row>
    <row r="1299" spans="1:7">
      <c r="A1299" t="s">
        <v>1099</v>
      </c>
      <c r="E1299">
        <v>253</v>
      </c>
      <c r="G1299">
        <v>253</v>
      </c>
    </row>
    <row r="1300" spans="1:7">
      <c r="A1300" t="s">
        <v>880</v>
      </c>
    </row>
    <row r="1301" spans="1:7">
      <c r="A1301" t="s">
        <v>430</v>
      </c>
    </row>
    <row r="1302" spans="1:7">
      <c r="A1302" t="s">
        <v>1347</v>
      </c>
    </row>
    <row r="1303" spans="1:7">
      <c r="A1303" t="s">
        <v>1348</v>
      </c>
    </row>
    <row r="1304" spans="1:7">
      <c r="A1304" t="s">
        <v>222</v>
      </c>
      <c r="D1304">
        <v>1809</v>
      </c>
      <c r="E1304">
        <v>696</v>
      </c>
      <c r="F1304">
        <v>3</v>
      </c>
      <c r="G1304">
        <v>2508</v>
      </c>
    </row>
    <row r="1305" spans="1:7">
      <c r="A1305" t="s">
        <v>579</v>
      </c>
      <c r="B1305">
        <v>505</v>
      </c>
      <c r="G1305">
        <v>505</v>
      </c>
    </row>
    <row r="1306" spans="1:7">
      <c r="A1306" t="s">
        <v>978</v>
      </c>
    </row>
    <row r="1307" spans="1:7">
      <c r="A1307" t="s">
        <v>981</v>
      </c>
    </row>
    <row r="1308" spans="1:7">
      <c r="A1308" t="s">
        <v>893</v>
      </c>
      <c r="C1308">
        <v>363</v>
      </c>
      <c r="D1308">
        <v>933</v>
      </c>
      <c r="E1308">
        <v>363</v>
      </c>
      <c r="G1308">
        <v>1659</v>
      </c>
    </row>
    <row r="1309" spans="1:7">
      <c r="A1309" t="s">
        <v>377</v>
      </c>
      <c r="C1309">
        <v>1646</v>
      </c>
      <c r="F1309">
        <v>6</v>
      </c>
      <c r="G1309">
        <v>1652</v>
      </c>
    </row>
    <row r="1310" spans="1:7">
      <c r="A1310" t="s">
        <v>394</v>
      </c>
      <c r="C1310">
        <v>1250</v>
      </c>
      <c r="D1310">
        <v>518</v>
      </c>
      <c r="E1310">
        <v>990</v>
      </c>
      <c r="G1310">
        <v>2758</v>
      </c>
    </row>
    <row r="1311" spans="1:7">
      <c r="A1311" t="s">
        <v>912</v>
      </c>
      <c r="C1311">
        <v>251</v>
      </c>
      <c r="E1311">
        <v>298</v>
      </c>
      <c r="G1311">
        <v>549</v>
      </c>
    </row>
    <row r="1312" spans="1:7">
      <c r="A1312" t="s">
        <v>390</v>
      </c>
      <c r="D1312">
        <v>330</v>
      </c>
      <c r="E1312">
        <v>625</v>
      </c>
      <c r="G1312">
        <v>955</v>
      </c>
    </row>
    <row r="1313" spans="1:7">
      <c r="A1313" t="s">
        <v>1235</v>
      </c>
      <c r="B1313">
        <v>1615</v>
      </c>
      <c r="C1313">
        <v>3510</v>
      </c>
      <c r="D1313">
        <v>3590</v>
      </c>
      <c r="E1313">
        <v>3225</v>
      </c>
      <c r="F1313">
        <v>9</v>
      </c>
      <c r="G1313">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row>
    <row r="1319" spans="1:7">
      <c r="A1319" t="s">
        <v>1267</v>
      </c>
      <c r="B1319">
        <v>389</v>
      </c>
      <c r="C1319">
        <v>152</v>
      </c>
      <c r="D1319">
        <v>45</v>
      </c>
      <c r="G1319">
        <v>586</v>
      </c>
    </row>
    <row r="1320" spans="1:7">
      <c r="A1320" t="s">
        <v>424</v>
      </c>
      <c r="C1320">
        <v>197</v>
      </c>
      <c r="D1320">
        <v>338</v>
      </c>
      <c r="G1320">
        <v>535</v>
      </c>
    </row>
    <row r="1321" spans="1:7">
      <c r="A1321" t="s">
        <v>880</v>
      </c>
    </row>
    <row r="1322" spans="1:7">
      <c r="A1322" t="s">
        <v>893</v>
      </c>
      <c r="E1322">
        <v>30</v>
      </c>
      <c r="G1322">
        <v>30</v>
      </c>
    </row>
    <row r="1323" spans="1:7">
      <c r="A1323" t="s">
        <v>394</v>
      </c>
      <c r="F1323">
        <v>342</v>
      </c>
      <c r="G1323">
        <v>342</v>
      </c>
    </row>
    <row r="1324" spans="1:7">
      <c r="A1324" t="s">
        <v>912</v>
      </c>
      <c r="D1324">
        <v>150</v>
      </c>
      <c r="G1324">
        <v>150</v>
      </c>
    </row>
    <row r="1325" spans="1:7">
      <c r="A1325" t="s">
        <v>390</v>
      </c>
      <c r="B1325">
        <v>712</v>
      </c>
      <c r="C1325">
        <v>1092</v>
      </c>
      <c r="D1325">
        <v>384</v>
      </c>
      <c r="E1325">
        <v>397</v>
      </c>
      <c r="G1325">
        <v>2585</v>
      </c>
    </row>
    <row r="1326" spans="1:7">
      <c r="A1326" t="s">
        <v>1349</v>
      </c>
      <c r="C1326">
        <v>189</v>
      </c>
      <c r="G1326">
        <v>189</v>
      </c>
    </row>
    <row r="1327" spans="1:7">
      <c r="A1327" t="s">
        <v>877</v>
      </c>
      <c r="C1327">
        <v>817</v>
      </c>
      <c r="G1327">
        <v>817</v>
      </c>
    </row>
    <row r="1328" spans="1:7">
      <c r="A1328" t="s">
        <v>206</v>
      </c>
      <c r="D1328">
        <v>753</v>
      </c>
      <c r="E1328">
        <v>1289</v>
      </c>
      <c r="G1328">
        <v>2042</v>
      </c>
    </row>
    <row r="1329" spans="1:7">
      <c r="A1329" t="s">
        <v>226</v>
      </c>
      <c r="D1329">
        <v>2073</v>
      </c>
      <c r="E1329">
        <v>1342</v>
      </c>
      <c r="F1329">
        <v>1601</v>
      </c>
      <c r="G1329">
        <v>5016</v>
      </c>
    </row>
    <row r="1330" spans="1:7">
      <c r="A1330" t="s">
        <v>1235</v>
      </c>
      <c r="B1330">
        <v>1101</v>
      </c>
      <c r="C1330">
        <v>2447</v>
      </c>
      <c r="D1330">
        <v>3743</v>
      </c>
      <c r="E1330">
        <v>3058</v>
      </c>
      <c r="F1330">
        <v>1943</v>
      </c>
      <c r="G1330">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F1335">
        <v>295</v>
      </c>
      <c r="G1335">
        <v>295</v>
      </c>
    </row>
    <row r="1336" spans="1:7">
      <c r="A1336" t="s">
        <v>1268</v>
      </c>
      <c r="C1336">
        <v>988</v>
      </c>
      <c r="D1336">
        <v>712</v>
      </c>
      <c r="E1336">
        <v>474</v>
      </c>
      <c r="G1336">
        <v>2174</v>
      </c>
    </row>
    <row r="1337" spans="1:7">
      <c r="A1337" t="s">
        <v>1267</v>
      </c>
      <c r="C1337">
        <v>214</v>
      </c>
      <c r="G1337">
        <v>214</v>
      </c>
    </row>
    <row r="1338" spans="1:7">
      <c r="A1338" t="s">
        <v>424</v>
      </c>
      <c r="C1338">
        <v>214</v>
      </c>
      <c r="G1338">
        <v>214</v>
      </c>
    </row>
    <row r="1339" spans="1:7">
      <c r="A1339" t="s">
        <v>357</v>
      </c>
      <c r="C1339">
        <v>1340</v>
      </c>
      <c r="D1339">
        <v>1529</v>
      </c>
      <c r="E1339">
        <v>1168</v>
      </c>
      <c r="F1339">
        <v>1008</v>
      </c>
      <c r="G1339">
        <v>5045</v>
      </c>
    </row>
    <row r="1340" spans="1:7">
      <c r="A1340" t="s">
        <v>390</v>
      </c>
      <c r="B1340">
        <v>669</v>
      </c>
      <c r="C1340">
        <v>467</v>
      </c>
      <c r="D1340">
        <v>1133</v>
      </c>
      <c r="E1340">
        <v>448</v>
      </c>
      <c r="G1340">
        <v>2717</v>
      </c>
    </row>
    <row r="1341" spans="1:7">
      <c r="A1341" t="s">
        <v>387</v>
      </c>
      <c r="B1341">
        <v>1564</v>
      </c>
      <c r="C1341">
        <v>1532</v>
      </c>
      <c r="D1341">
        <v>1447</v>
      </c>
      <c r="E1341">
        <v>864</v>
      </c>
      <c r="G1341">
        <v>5407</v>
      </c>
    </row>
    <row r="1342" spans="1:7">
      <c r="A1342" t="s">
        <v>1350</v>
      </c>
      <c r="C1342">
        <v>199</v>
      </c>
      <c r="D1342">
        <v>361</v>
      </c>
      <c r="E1342">
        <v>652</v>
      </c>
      <c r="F1342">
        <v>379</v>
      </c>
      <c r="G1342">
        <v>1591</v>
      </c>
    </row>
    <row r="1343" spans="1:7">
      <c r="A1343" t="s">
        <v>81</v>
      </c>
      <c r="E1343">
        <v>538</v>
      </c>
      <c r="G1343">
        <v>538</v>
      </c>
    </row>
    <row r="1344" spans="1:7">
      <c r="A1344" t="s">
        <v>1351</v>
      </c>
      <c r="F1344">
        <v>45</v>
      </c>
      <c r="G1344">
        <v>45</v>
      </c>
    </row>
    <row r="1345" spans="1:7">
      <c r="A1345" t="s">
        <v>1352</v>
      </c>
      <c r="D1345">
        <v>187</v>
      </c>
      <c r="E1345">
        <v>300</v>
      </c>
      <c r="G1345">
        <v>487</v>
      </c>
    </row>
    <row r="1346" spans="1:7">
      <c r="A1346" t="s">
        <v>1235</v>
      </c>
      <c r="B1346">
        <v>2233</v>
      </c>
      <c r="C1346">
        <v>4954</v>
      </c>
      <c r="D1346">
        <v>5369</v>
      </c>
      <c r="E1346">
        <v>4444</v>
      </c>
      <c r="F1346">
        <v>1727</v>
      </c>
      <c r="G1346">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v>837</v>
      </c>
      <c r="F1350">
        <v>199</v>
      </c>
      <c r="G1350">
        <v>1036</v>
      </c>
    </row>
    <row r="1351" spans="1:7">
      <c r="A1351" t="s">
        <v>357</v>
      </c>
      <c r="B1351">
        <v>1274</v>
      </c>
      <c r="C1351">
        <v>1073</v>
      </c>
      <c r="D1351">
        <v>271</v>
      </c>
      <c r="G1351">
        <v>2618</v>
      </c>
    </row>
    <row r="1352" spans="1:7">
      <c r="A1352" t="s">
        <v>396</v>
      </c>
      <c r="E1352">
        <v>1033</v>
      </c>
      <c r="G1352">
        <v>1033</v>
      </c>
    </row>
    <row r="1353" spans="1:7">
      <c r="A1353" t="s">
        <v>222</v>
      </c>
      <c r="D1353">
        <v>667</v>
      </c>
      <c r="G1353">
        <v>667</v>
      </c>
    </row>
    <row r="1354" spans="1:7">
      <c r="A1354" t="s">
        <v>390</v>
      </c>
      <c r="B1354">
        <v>1044</v>
      </c>
      <c r="G1354">
        <v>1044</v>
      </c>
    </row>
    <row r="1355" spans="1:7">
      <c r="A1355" t="s">
        <v>206</v>
      </c>
      <c r="C1355">
        <v>1062</v>
      </c>
      <c r="D1355">
        <v>1318</v>
      </c>
      <c r="E1355">
        <v>1165</v>
      </c>
      <c r="G1355">
        <v>3545</v>
      </c>
    </row>
    <row r="1356" spans="1:7">
      <c r="A1356" t="s">
        <v>226</v>
      </c>
      <c r="B1356">
        <v>1099</v>
      </c>
      <c r="D1356">
        <v>2025</v>
      </c>
      <c r="G1356">
        <v>3124</v>
      </c>
    </row>
    <row r="1357" spans="1:7">
      <c r="A1357" t="s">
        <v>387</v>
      </c>
    </row>
    <row r="1358" spans="1:7">
      <c r="A1358" t="s">
        <v>1350</v>
      </c>
      <c r="B1358">
        <v>534</v>
      </c>
      <c r="D1358">
        <v>223</v>
      </c>
      <c r="G1358">
        <v>757</v>
      </c>
    </row>
    <row r="1359" spans="1:7">
      <c r="A1359" t="s">
        <v>81</v>
      </c>
      <c r="C1359">
        <v>1056</v>
      </c>
      <c r="D1359">
        <v>2018</v>
      </c>
      <c r="G1359">
        <v>3074</v>
      </c>
    </row>
    <row r="1360" spans="1:7">
      <c r="A1360" t="s">
        <v>1352</v>
      </c>
      <c r="B1360">
        <v>201</v>
      </c>
      <c r="D1360">
        <v>200</v>
      </c>
      <c r="G1360">
        <v>401</v>
      </c>
    </row>
    <row r="1361" spans="1:7">
      <c r="A1361" t="s">
        <v>1353</v>
      </c>
      <c r="F1361">
        <v>1187</v>
      </c>
      <c r="G1361">
        <v>1187</v>
      </c>
    </row>
    <row r="1362" spans="1:7">
      <c r="A1362" t="s">
        <v>1235</v>
      </c>
      <c r="B1362">
        <v>4989</v>
      </c>
      <c r="C1362">
        <v>3191</v>
      </c>
      <c r="D1362">
        <v>6722</v>
      </c>
      <c r="E1362">
        <v>2198</v>
      </c>
      <c r="F1362">
        <v>1386</v>
      </c>
      <c r="G1362">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E274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88</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88</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88</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88</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88</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88</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88</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88</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88</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88</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88</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88</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88</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88</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88</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88</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88</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88</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88</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88</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88</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88</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88</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88</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88</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88</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88</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88</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88</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88</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88</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88</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88</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88</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88</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88</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88</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88</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88</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88</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88</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88</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88</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88</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88</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88</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88</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88</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88</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88</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88</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88</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88</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88</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88</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88</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88</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88</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88</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88</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88</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88</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88</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88</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88</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88</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88</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88</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88</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88</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88</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88</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88</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88</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88</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88</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88</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88</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88</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88</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88</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88</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88</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88</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88</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88</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88</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88</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88</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88</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88</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88</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88</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88</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88</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88</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88</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88</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88</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88</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88</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88</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88</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88</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88</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88</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88</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88</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88</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88</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88</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88</v>
      </c>
      <c r="C621" s="24">
        <v>45734</v>
      </c>
      <c r="E621" s="12"/>
      <c r="F621" s="71" t="s">
        <v>1441</v>
      </c>
      <c r="G621" t="str">
        <f t="shared" si="9"/>
        <v>March</v>
      </c>
    </row>
    <row r="622" spans="1:7" ht="15.75">
      <c r="A622" s="1163" t="s">
        <v>811</v>
      </c>
      <c r="B622" s="1157" t="s">
        <v>88</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88</v>
      </c>
      <c r="C677" s="24">
        <v>45740</v>
      </c>
      <c r="D677" s="79">
        <v>1430</v>
      </c>
      <c r="E677" s="49" t="s">
        <v>1364</v>
      </c>
      <c r="F677" s="49" t="s">
        <v>1471</v>
      </c>
      <c r="G677" t="str">
        <f t="shared" si="10"/>
        <v>March</v>
      </c>
    </row>
    <row r="678" spans="1:7" ht="15.75">
      <c r="A678" s="78" t="s">
        <v>683</v>
      </c>
      <c r="B678" s="178" t="s">
        <v>88</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88</v>
      </c>
      <c r="C690" s="24">
        <v>45741</v>
      </c>
      <c r="D690" s="79">
        <v>1383</v>
      </c>
      <c r="E690" s="49" t="s">
        <v>1479</v>
      </c>
      <c r="F690" s="49" t="s">
        <v>1480</v>
      </c>
      <c r="G690" t="str">
        <f t="shared" si="10"/>
        <v>March</v>
      </c>
    </row>
    <row r="691" spans="1:7" ht="15.75">
      <c r="A691" s="78" t="s">
        <v>683</v>
      </c>
      <c r="B691" s="178" t="s">
        <v>88</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88</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88</v>
      </c>
      <c r="C713" s="24">
        <v>45742</v>
      </c>
      <c r="D713" s="145">
        <v>1334</v>
      </c>
      <c r="E713" s="49" t="s">
        <v>1402</v>
      </c>
      <c r="F713" s="49" t="s">
        <v>1364</v>
      </c>
      <c r="G713" t="str">
        <f t="shared" si="11"/>
        <v>March</v>
      </c>
    </row>
    <row r="714" spans="1:7" ht="15.75">
      <c r="A714" s="78" t="s">
        <v>683</v>
      </c>
      <c r="B714" s="178" t="s">
        <v>88</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88</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88</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88</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88</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88</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88</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88</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88</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88</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88</v>
      </c>
      <c r="C789" s="24">
        <v>45748</v>
      </c>
      <c r="D789" s="78" t="s">
        <v>1521</v>
      </c>
      <c r="E789" s="12"/>
      <c r="G789" t="str">
        <f t="shared" si="12"/>
        <v>April</v>
      </c>
      <c r="H789" s="101"/>
      <c r="I789" s="101"/>
      <c r="J789" s="101"/>
      <c r="K789" s="101"/>
    </row>
    <row r="790" spans="1:11" ht="15.75">
      <c r="A790" s="78" t="s">
        <v>461</v>
      </c>
      <c r="B790" s="178" t="s">
        <v>88</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88</v>
      </c>
      <c r="C803" s="24">
        <v>45749</v>
      </c>
      <c r="D803" s="79">
        <v>1394</v>
      </c>
      <c r="E803" s="12"/>
      <c r="F803" s="12" t="s">
        <v>1363</v>
      </c>
      <c r="G803" t="str">
        <f t="shared" si="12"/>
        <v>April</v>
      </c>
    </row>
    <row r="804" spans="1:11" ht="15.75">
      <c r="A804" s="78" t="s">
        <v>461</v>
      </c>
      <c r="B804" s="178" t="s">
        <v>88</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88</v>
      </c>
      <c r="C816" s="24">
        <v>45750</v>
      </c>
      <c r="D816" s="92">
        <v>1334</v>
      </c>
      <c r="E816" s="12"/>
      <c r="F816" s="12" t="s">
        <v>1530</v>
      </c>
      <c r="G816" t="str">
        <f t="shared" si="12"/>
        <v>April</v>
      </c>
    </row>
    <row r="817" spans="1:7" ht="15.75">
      <c r="A817" s="78" t="s">
        <v>511</v>
      </c>
      <c r="B817" s="178" t="s">
        <v>88</v>
      </c>
      <c r="C817" s="24">
        <v>45750</v>
      </c>
      <c r="D817" s="92">
        <v>1970</v>
      </c>
      <c r="E817" s="12"/>
      <c r="F817" s="12" t="s">
        <v>1531</v>
      </c>
      <c r="G817" t="str">
        <f t="shared" si="12"/>
        <v>April</v>
      </c>
    </row>
    <row r="818" spans="1:7" ht="15.75">
      <c r="A818" s="78" t="s">
        <v>461</v>
      </c>
      <c r="B818" s="178" t="s">
        <v>88</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88</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88</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88</v>
      </c>
      <c r="C845" s="24">
        <v>45754</v>
      </c>
      <c r="D845" s="12">
        <v>618</v>
      </c>
      <c r="E845" s="12"/>
      <c r="F845" s="12" t="s">
        <v>1542</v>
      </c>
      <c r="G845" t="str">
        <f t="shared" si="13"/>
        <v>April</v>
      </c>
    </row>
    <row r="846" spans="1:7" ht="15.75">
      <c r="A846" s="78" t="s">
        <v>513</v>
      </c>
      <c r="B846" s="178" t="s">
        <v>88</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88</v>
      </c>
      <c r="C851" s="24">
        <v>45755</v>
      </c>
      <c r="D851" s="12">
        <v>700</v>
      </c>
      <c r="E851" s="12"/>
      <c r="F851" s="12" t="s">
        <v>1368</v>
      </c>
      <c r="G851" t="str">
        <f t="shared" si="13"/>
        <v>April</v>
      </c>
    </row>
    <row r="852" spans="1:7" ht="15.75">
      <c r="A852" s="78" t="s">
        <v>513</v>
      </c>
      <c r="B852" s="178" t="s">
        <v>88</v>
      </c>
      <c r="C852" s="24">
        <v>45755</v>
      </c>
      <c r="D852" s="92">
        <v>1520</v>
      </c>
      <c r="E852" s="12"/>
      <c r="F852" s="12" t="s">
        <v>1447</v>
      </c>
      <c r="G852" t="str">
        <f t="shared" si="13"/>
        <v>April</v>
      </c>
    </row>
    <row r="853" spans="1:7" ht="15.75">
      <c r="A853" s="78" t="s">
        <v>623</v>
      </c>
      <c r="B853" s="178" t="s">
        <v>88</v>
      </c>
      <c r="C853" s="24">
        <v>45755</v>
      </c>
      <c r="D853" s="12">
        <v>150</v>
      </c>
      <c r="E853" s="12"/>
      <c r="G853" t="str">
        <f t="shared" si="13"/>
        <v>April</v>
      </c>
    </row>
    <row r="854" spans="1:7" ht="15.75">
      <c r="A854" s="78" t="s">
        <v>461</v>
      </c>
      <c r="B854" s="178" t="s">
        <v>88</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88</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88</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88</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88</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88</v>
      </c>
      <c r="C890" s="24">
        <v>45761</v>
      </c>
      <c r="D890" s="92">
        <v>1335</v>
      </c>
      <c r="E890" s="12"/>
      <c r="F890" s="12" t="s">
        <v>1363</v>
      </c>
      <c r="G890" t="str">
        <f t="shared" si="13"/>
        <v>April</v>
      </c>
    </row>
    <row r="891" spans="1:7" ht="15.75">
      <c r="A891" s="238" t="s">
        <v>765</v>
      </c>
      <c r="B891" s="1157" t="s">
        <v>88</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88</v>
      </c>
      <c r="C900" s="24">
        <v>45762</v>
      </c>
      <c r="D900" s="92">
        <v>1133</v>
      </c>
      <c r="E900" s="12"/>
      <c r="F900" s="12" t="s">
        <v>1562</v>
      </c>
      <c r="G900" t="str">
        <f t="shared" si="14"/>
        <v>April</v>
      </c>
    </row>
    <row r="901" spans="1:7" ht="15.75">
      <c r="A901" s="238" t="s">
        <v>765</v>
      </c>
      <c r="B901" s="1157" t="s">
        <v>88</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88</v>
      </c>
      <c r="C914" s="24">
        <v>45763</v>
      </c>
      <c r="D914" s="92">
        <v>1624</v>
      </c>
      <c r="E914" s="12"/>
      <c r="F914" s="12" t="s">
        <v>1570</v>
      </c>
      <c r="G914" t="str">
        <f t="shared" si="14"/>
        <v>April</v>
      </c>
    </row>
    <row r="915" spans="1:7" ht="15.75">
      <c r="A915" s="238" t="s">
        <v>765</v>
      </c>
      <c r="B915" s="1157" t="s">
        <v>88</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88</v>
      </c>
      <c r="C928" s="24">
        <v>45764</v>
      </c>
      <c r="E928" s="12"/>
      <c r="F928" s="78" t="s">
        <v>1577</v>
      </c>
      <c r="G928" t="str">
        <f t="shared" si="14"/>
        <v>April</v>
      </c>
    </row>
    <row r="929" spans="1:7">
      <c r="A929" s="238" t="s">
        <v>765</v>
      </c>
      <c r="B929" s="238" t="s">
        <v>88</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88</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88</v>
      </c>
      <c r="C940" s="24">
        <v>45765</v>
      </c>
      <c r="D940" s="12">
        <v>350</v>
      </c>
      <c r="E940" s="12"/>
      <c r="F940" s="12" t="s">
        <v>1365</v>
      </c>
      <c r="G940" t="str">
        <f t="shared" si="14"/>
        <v>April</v>
      </c>
    </row>
    <row r="941" spans="1:7">
      <c r="A941" s="78" t="s">
        <v>765</v>
      </c>
      <c r="B941" s="78" t="s">
        <v>88</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88</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88</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88</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88</v>
      </c>
      <c r="C973" s="251">
        <v>45769</v>
      </c>
      <c r="D973" s="12">
        <v>932</v>
      </c>
      <c r="F973" s="12" t="s">
        <v>1366</v>
      </c>
      <c r="G973" t="str">
        <f t="shared" si="15"/>
        <v>April</v>
      </c>
    </row>
    <row r="974" spans="1:7">
      <c r="A974" s="248" t="s">
        <v>660</v>
      </c>
      <c r="B974" s="238" t="s">
        <v>88</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88</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88</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88</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88</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88</v>
      </c>
      <c r="C1029" s="24">
        <v>45776</v>
      </c>
      <c r="D1029" s="92">
        <v>1520</v>
      </c>
      <c r="F1029" s="12" t="s">
        <v>1363</v>
      </c>
      <c r="G1029" t="str">
        <f t="shared" si="16"/>
        <v>April</v>
      </c>
    </row>
    <row r="1030" spans="1:7">
      <c r="A1030" s="243" t="s">
        <v>589</v>
      </c>
      <c r="B1030" s="243" t="s">
        <v>88</v>
      </c>
      <c r="C1030" s="24">
        <v>45776</v>
      </c>
      <c r="D1030" s="12">
        <v>470</v>
      </c>
      <c r="F1030" s="12" t="s">
        <v>1357</v>
      </c>
      <c r="G1030" t="str">
        <f t="shared" si="16"/>
        <v>April</v>
      </c>
    </row>
    <row r="1031" spans="1:7">
      <c r="A1031" s="181" t="s">
        <v>563</v>
      </c>
      <c r="B1031" s="243" t="s">
        <v>88</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88</v>
      </c>
      <c r="C1040" s="24">
        <v>45777</v>
      </c>
      <c r="D1040" s="92">
        <v>1216</v>
      </c>
      <c r="E1040" s="12"/>
      <c r="F1040" s="12" t="s">
        <v>1378</v>
      </c>
      <c r="G1040" t="str">
        <f t="shared" si="16"/>
        <v>April</v>
      </c>
    </row>
    <row r="1041" spans="1:7">
      <c r="A1041" s="78" t="s">
        <v>563</v>
      </c>
      <c r="B1041" s="78" t="s">
        <v>88</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88</v>
      </c>
      <c r="C1051" s="24">
        <v>45778</v>
      </c>
      <c r="D1051" s="92">
        <v>1098</v>
      </c>
      <c r="E1051" s="12"/>
      <c r="F1051" s="12" t="s">
        <v>1652</v>
      </c>
      <c r="G1051" t="str">
        <f t="shared" si="16"/>
        <v>May</v>
      </c>
    </row>
    <row r="1052" spans="1:7">
      <c r="A1052" s="91" t="s">
        <v>563</v>
      </c>
      <c r="B1052" s="78" t="s">
        <v>88</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88</v>
      </c>
      <c r="C1067" s="24">
        <v>45782</v>
      </c>
      <c r="D1067" s="92">
        <v>1053</v>
      </c>
      <c r="F1067" s="12" t="s">
        <v>1662</v>
      </c>
      <c r="G1067" t="str">
        <f t="shared" si="17"/>
        <v>May</v>
      </c>
    </row>
    <row r="1068" spans="1:7">
      <c r="A1068" s="91" t="s">
        <v>565</v>
      </c>
      <c r="B1068" s="250" t="s">
        <v>88</v>
      </c>
      <c r="C1068" s="24">
        <v>45782</v>
      </c>
      <c r="D1068" s="12">
        <v>575</v>
      </c>
      <c r="F1068" s="12" t="s">
        <v>1663</v>
      </c>
      <c r="G1068" t="str">
        <f t="shared" si="17"/>
        <v>May</v>
      </c>
    </row>
    <row r="1069" spans="1:7">
      <c r="A1069" s="292" t="s">
        <v>589</v>
      </c>
      <c r="B1069" s="276" t="s">
        <v>88</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88</v>
      </c>
      <c r="C1078" s="24">
        <v>45783</v>
      </c>
      <c r="D1078" s="12">
        <v>812</v>
      </c>
      <c r="F1078" s="12" t="s">
        <v>1669</v>
      </c>
      <c r="G1078" t="str">
        <f t="shared" si="18"/>
        <v>May</v>
      </c>
    </row>
    <row r="1079" spans="1:7">
      <c r="A1079" s="91" t="s">
        <v>565</v>
      </c>
      <c r="B1079" s="250" t="s">
        <v>88</v>
      </c>
      <c r="C1079" s="24">
        <v>45783</v>
      </c>
      <c r="D1079" s="92">
        <v>1847</v>
      </c>
      <c r="F1079" s="12" t="s">
        <v>1670</v>
      </c>
      <c r="G1079" t="str">
        <f t="shared" si="18"/>
        <v>May</v>
      </c>
    </row>
    <row r="1080" spans="1:7">
      <c r="A1080" s="292" t="s">
        <v>561</v>
      </c>
      <c r="B1080" s="276" t="s">
        <v>88</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88</v>
      </c>
      <c r="C1089" s="24">
        <v>45784</v>
      </c>
      <c r="D1089" s="92">
        <v>1052</v>
      </c>
      <c r="F1089" s="12" t="s">
        <v>1674</v>
      </c>
      <c r="G1089" t="str">
        <f>TEXT(C1089,"mmmm")</f>
        <v>May</v>
      </c>
    </row>
    <row r="1090" spans="1:7">
      <c r="A1090" s="292" t="s">
        <v>561</v>
      </c>
      <c r="B1090" s="276" t="s">
        <v>88</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88</v>
      </c>
      <c r="C1100" s="24">
        <v>45785</v>
      </c>
      <c r="D1100" s="92">
        <v>1483</v>
      </c>
      <c r="F1100" s="12" t="s">
        <v>1679</v>
      </c>
      <c r="G1100" t="str">
        <f t="shared" si="19"/>
        <v>May</v>
      </c>
    </row>
    <row r="1101" spans="1:7">
      <c r="A1101" s="273" t="s">
        <v>565</v>
      </c>
      <c r="B1101" s="236" t="s">
        <v>88</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88</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88</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88</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88</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88</v>
      </c>
      <c r="C1148" s="24">
        <v>45796</v>
      </c>
      <c r="D1148" s="12">
        <v>270</v>
      </c>
      <c r="F1148" s="12" t="s">
        <v>1423</v>
      </c>
      <c r="G1148" t="str">
        <f t="shared" si="21"/>
        <v>May</v>
      </c>
    </row>
    <row r="1149" spans="1:7">
      <c r="A1149" s="273" t="s">
        <v>632</v>
      </c>
      <c r="B1149" s="236" t="s">
        <v>88</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88</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88</v>
      </c>
      <c r="C1164" s="24">
        <v>45798</v>
      </c>
      <c r="D1164" s="12">
        <v>678</v>
      </c>
      <c r="E1164" s="253">
        <v>2850</v>
      </c>
      <c r="F1164" s="12" t="s">
        <v>1710</v>
      </c>
      <c r="G1164" t="str">
        <f t="shared" si="21"/>
        <v>May</v>
      </c>
    </row>
    <row r="1165" spans="1:7">
      <c r="A1165" s="273" t="s">
        <v>632</v>
      </c>
      <c r="B1165" s="236" t="s">
        <v>88</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88</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88</v>
      </c>
      <c r="C1183" s="24">
        <v>45804</v>
      </c>
      <c r="D1183" s="12">
        <v>948</v>
      </c>
      <c r="F1183" s="12" t="s">
        <v>1718</v>
      </c>
      <c r="G1183" t="str">
        <f t="shared" si="21"/>
        <v>May</v>
      </c>
    </row>
    <row r="1184" spans="1:7">
      <c r="A1184" s="237" t="s">
        <v>477</v>
      </c>
      <c r="B1184" s="237" t="s">
        <v>88</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88</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88</v>
      </c>
      <c r="C1195" s="24">
        <v>45806</v>
      </c>
      <c r="D1195" s="92">
        <v>2248</v>
      </c>
      <c r="F1195" s="12" t="s">
        <v>1723</v>
      </c>
      <c r="G1195" t="str">
        <f t="shared" si="22"/>
        <v>May</v>
      </c>
    </row>
    <row r="1196" spans="1:7">
      <c r="A1196" s="250" t="s">
        <v>632</v>
      </c>
      <c r="B1196" s="239" t="s">
        <v>88</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88</v>
      </c>
      <c r="C1203" s="24">
        <v>45810</v>
      </c>
      <c r="D1203" s="12">
        <v>800</v>
      </c>
      <c r="G1203" t="s">
        <v>1726</v>
      </c>
    </row>
    <row r="1204" spans="1:7" ht="15.75">
      <c r="A1204" s="78" t="s">
        <v>909</v>
      </c>
      <c r="B1204" s="178" t="s">
        <v>1290</v>
      </c>
      <c r="C1204" s="242">
        <v>45810</v>
      </c>
      <c r="D1204" s="12">
        <v>275</v>
      </c>
      <c r="G1204" t="s">
        <v>1726</v>
      </c>
    </row>
    <row r="1205" spans="1:7">
      <c r="A1205" s="277" t="s">
        <v>632</v>
      </c>
      <c r="B1205" s="236" t="s">
        <v>88</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88</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88</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88</v>
      </c>
      <c r="C1220" s="24">
        <v>45812</v>
      </c>
      <c r="D1220" s="12">
        <v>610</v>
      </c>
      <c r="F1220" s="12" t="s">
        <v>1732</v>
      </c>
      <c r="G1220" t="s">
        <v>1726</v>
      </c>
    </row>
    <row r="1221" spans="1:7">
      <c r="A1221" s="273" t="s">
        <v>632</v>
      </c>
      <c r="B1221" s="236" t="s">
        <v>88</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88</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88</v>
      </c>
      <c r="C1230" s="24">
        <v>45817</v>
      </c>
      <c r="D1230" s="92">
        <v>1100</v>
      </c>
      <c r="G1230" t="s">
        <v>1726</v>
      </c>
    </row>
    <row r="1231" spans="1:7">
      <c r="A1231" s="237" t="s">
        <v>660</v>
      </c>
      <c r="B1231" s="237" t="s">
        <v>88</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88</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88</v>
      </c>
      <c r="C1238" s="24">
        <v>45819</v>
      </c>
      <c r="D1238" s="92">
        <v>1975</v>
      </c>
      <c r="F1238" s="12" t="s">
        <v>1724</v>
      </c>
      <c r="G1238" t="s">
        <v>1726</v>
      </c>
    </row>
    <row r="1239" spans="1:7">
      <c r="A1239" s="292" t="s">
        <v>477</v>
      </c>
      <c r="B1239" s="237" t="s">
        <v>88</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88</v>
      </c>
      <c r="C1241" s="24">
        <v>45820</v>
      </c>
      <c r="D1241" s="92">
        <v>1395</v>
      </c>
      <c r="F1241" s="12" t="s">
        <v>1724</v>
      </c>
      <c r="G1241" t="s">
        <v>1726</v>
      </c>
    </row>
    <row r="1242" spans="1:7">
      <c r="A1242" s="741" t="s">
        <v>623</v>
      </c>
      <c r="B1242" s="299" t="s">
        <v>88</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88</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88</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88</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88</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88</v>
      </c>
      <c r="C1256" s="24">
        <v>45825</v>
      </c>
      <c r="D1256" s="92">
        <v>1465</v>
      </c>
      <c r="F1256" s="12" t="s">
        <v>1743</v>
      </c>
      <c r="G1256" t="s">
        <v>1726</v>
      </c>
    </row>
    <row r="1257" spans="1:7">
      <c r="A1257" s="243" t="s">
        <v>477</v>
      </c>
      <c r="B1257" s="243" t="s">
        <v>88</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88</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88</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88</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88</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88</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88</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88</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88</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88</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88</v>
      </c>
      <c r="C1293" s="24">
        <v>45834</v>
      </c>
      <c r="D1293" s="92">
        <v>1296</v>
      </c>
      <c r="F1293" s="12" t="s">
        <v>1743</v>
      </c>
      <c r="G1293" t="s">
        <v>1726</v>
      </c>
    </row>
    <row r="1294" spans="1:7">
      <c r="A1294" s="236" t="s">
        <v>603</v>
      </c>
      <c r="B1294" s="236" t="s">
        <v>88</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88</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88</v>
      </c>
      <c r="C1306" s="24">
        <v>45839</v>
      </c>
      <c r="E1306" s="76">
        <v>53</v>
      </c>
      <c r="F1306" s="12" t="s">
        <v>1760</v>
      </c>
      <c r="G1306" t="s">
        <v>1759</v>
      </c>
    </row>
    <row r="1307" spans="1:7">
      <c r="A1307" s="274" t="s">
        <v>474</v>
      </c>
      <c r="B1307" s="247" t="s">
        <v>88</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88</v>
      </c>
      <c r="C1312" s="24">
        <v>45840</v>
      </c>
      <c r="D1312" s="12">
        <v>355</v>
      </c>
      <c r="F1312" s="12" t="s">
        <v>1366</v>
      </c>
      <c r="G1312" t="s">
        <v>1759</v>
      </c>
    </row>
    <row r="1313" spans="1:7">
      <c r="A1313" s="236" t="s">
        <v>474</v>
      </c>
      <c r="B1313" s="236" t="s">
        <v>88</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88</v>
      </c>
      <c r="C1320" s="24">
        <v>45845</v>
      </c>
      <c r="D1320" s="12">
        <v>846</v>
      </c>
      <c r="G1320" t="s">
        <v>1759</v>
      </c>
    </row>
    <row r="1321" spans="1:7">
      <c r="A1321" s="236" t="s">
        <v>484</v>
      </c>
      <c r="B1321" s="236" t="s">
        <v>88</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88</v>
      </c>
      <c r="C1324" s="24">
        <v>45846</v>
      </c>
      <c r="D1324" s="12">
        <v>827</v>
      </c>
      <c r="F1324" s="12" t="s">
        <v>1766</v>
      </c>
      <c r="G1324" t="s">
        <v>1759</v>
      </c>
    </row>
    <row r="1325" spans="1:7">
      <c r="A1325" s="1166" t="s">
        <v>484</v>
      </c>
      <c r="B1325" s="1167" t="s">
        <v>88</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88</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88</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88</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88</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88</v>
      </c>
      <c r="C1352" s="24">
        <v>45859</v>
      </c>
      <c r="D1352" s="92">
        <v>1070</v>
      </c>
      <c r="F1352" s="12" t="s">
        <v>1364</v>
      </c>
      <c r="G1352" t="s">
        <v>1759</v>
      </c>
    </row>
    <row r="1353" spans="1:7">
      <c r="A1353" s="334" t="s">
        <v>544</v>
      </c>
      <c r="B1353" s="335" t="s">
        <v>88</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88</v>
      </c>
      <c r="C1356" s="24">
        <v>45860</v>
      </c>
      <c r="D1356" s="92">
        <v>1224</v>
      </c>
      <c r="F1356" s="12" t="s">
        <v>1775</v>
      </c>
      <c r="G1356" t="s">
        <v>1759</v>
      </c>
    </row>
    <row r="1357" spans="1:7">
      <c r="A1357" s="237" t="s">
        <v>544</v>
      </c>
      <c r="B1357" s="237" t="s">
        <v>88</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88</v>
      </c>
      <c r="C1365" s="24">
        <v>45861</v>
      </c>
      <c r="D1365" s="12">
        <v>235</v>
      </c>
      <c r="F1365" s="12" t="s">
        <v>1777</v>
      </c>
      <c r="G1365" t="s">
        <v>1759</v>
      </c>
    </row>
    <row r="1366" spans="1:7">
      <c r="A1366" s="237" t="s">
        <v>544</v>
      </c>
      <c r="B1366" s="237" t="s">
        <v>88</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88</v>
      </c>
      <c r="C1368" s="24">
        <v>45861</v>
      </c>
      <c r="D1368" s="12">
        <v>363</v>
      </c>
      <c r="F1368" s="12" t="s">
        <v>1779</v>
      </c>
      <c r="G1368" t="s">
        <v>1759</v>
      </c>
    </row>
    <row r="1369" spans="1:7">
      <c r="A1369" s="78" t="s">
        <v>903</v>
      </c>
      <c r="B1369" s="78" t="s">
        <v>88</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88</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88</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88</v>
      </c>
      <c r="C1382" s="24">
        <v>45863</v>
      </c>
      <c r="F1382" s="236" t="s">
        <v>1788</v>
      </c>
      <c r="G1382" t="s">
        <v>1759</v>
      </c>
    </row>
    <row r="1383" spans="1:7">
      <c r="A1383" s="78" t="s">
        <v>538</v>
      </c>
      <c r="B1383" s="236" t="s">
        <v>88</v>
      </c>
      <c r="C1383" s="24">
        <v>45863</v>
      </c>
      <c r="F1383" s="239" t="s">
        <v>1788</v>
      </c>
      <c r="G1383" t="s">
        <v>1759</v>
      </c>
    </row>
    <row r="1384" spans="1:7">
      <c r="A1384" s="237" t="s">
        <v>552</v>
      </c>
      <c r="B1384" s="237" t="s">
        <v>88</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88</v>
      </c>
      <c r="C1388" s="24">
        <v>45866</v>
      </c>
      <c r="D1388" s="12">
        <v>817</v>
      </c>
      <c r="G1388" t="s">
        <v>1759</v>
      </c>
    </row>
    <row r="1389" spans="1:7">
      <c r="A1389" s="238" t="s">
        <v>546</v>
      </c>
      <c r="B1389" s="237" t="s">
        <v>88</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88</v>
      </c>
      <c r="C1394" s="24">
        <v>45867</v>
      </c>
      <c r="E1394" s="253">
        <v>5590</v>
      </c>
      <c r="F1394" s="12" t="s">
        <v>1791</v>
      </c>
      <c r="G1394" t="s">
        <v>1759</v>
      </c>
    </row>
    <row r="1395" spans="1:7">
      <c r="A1395" s="1169" t="s">
        <v>546</v>
      </c>
      <c r="B1395" s="1170" t="s">
        <v>88</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88</v>
      </c>
      <c r="C1398" s="24">
        <v>45868</v>
      </c>
      <c r="D1398" s="12">
        <v>902</v>
      </c>
      <c r="G1398" t="s">
        <v>1759</v>
      </c>
    </row>
    <row r="1399" spans="1:7">
      <c r="A1399" s="237" t="s">
        <v>903</v>
      </c>
      <c r="B1399" s="237" t="s">
        <v>88</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88</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88</v>
      </c>
      <c r="C1413" s="24">
        <v>45873</v>
      </c>
      <c r="D1413" s="12">
        <v>918</v>
      </c>
      <c r="G1413" t="s">
        <v>1796</v>
      </c>
    </row>
    <row r="1414" spans="1:7">
      <c r="A1414" s="243" t="s">
        <v>487</v>
      </c>
      <c r="B1414" s="243" t="s">
        <v>88</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88</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88</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88</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88</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88</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88</v>
      </c>
      <c r="C1432" s="24">
        <v>45881</v>
      </c>
      <c r="D1432" s="92">
        <v>1154</v>
      </c>
      <c r="G1432" t="s">
        <v>1796</v>
      </c>
    </row>
    <row r="1433" spans="1:7" ht="15.75">
      <c r="A1433" s="28" t="s">
        <v>635</v>
      </c>
      <c r="B1433" s="178" t="s">
        <v>1290</v>
      </c>
      <c r="C1433" s="242">
        <v>45881</v>
      </c>
      <c r="D1433" s="12">
        <v>380</v>
      </c>
      <c r="G1433" t="s">
        <v>1796</v>
      </c>
    </row>
    <row r="1434" spans="1:7">
      <c r="A1434" s="41" t="s">
        <v>626</v>
      </c>
      <c r="B1434" s="106" t="s">
        <v>88</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88</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88</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88</v>
      </c>
      <c r="C1441" s="24">
        <v>45882</v>
      </c>
      <c r="D1441" s="92">
        <v>1031</v>
      </c>
      <c r="F1441" s="12" t="s">
        <v>1802</v>
      </c>
      <c r="G1441" t="s">
        <v>1796</v>
      </c>
    </row>
    <row r="1442" spans="1:7">
      <c r="A1442" s="237" t="s">
        <v>626</v>
      </c>
      <c r="B1442" s="237" t="s">
        <v>88</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88</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88</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88</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88</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88</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88</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88</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88</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88</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88</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88</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88</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88</v>
      </c>
      <c r="C1502" s="24">
        <v>45895</v>
      </c>
      <c r="D1502" s="12">
        <v>558</v>
      </c>
      <c r="F1502" s="266" t="s">
        <v>1362</v>
      </c>
      <c r="G1502" t="s">
        <v>1796</v>
      </c>
    </row>
    <row r="1503" spans="1:7">
      <c r="A1503" s="594" t="s">
        <v>555</v>
      </c>
      <c r="B1503" s="52" t="s">
        <v>88</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88</v>
      </c>
      <c r="C1509" s="24">
        <v>45896</v>
      </c>
      <c r="D1509" s="92">
        <v>1248</v>
      </c>
      <c r="F1509" s="12" t="s">
        <v>1822</v>
      </c>
      <c r="G1509" t="s">
        <v>1796</v>
      </c>
    </row>
    <row r="1510" spans="1:7">
      <c r="A1510" s="594" t="s">
        <v>555</v>
      </c>
      <c r="B1510" s="52" t="s">
        <v>88</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88</v>
      </c>
      <c r="C1516" s="24">
        <v>45897</v>
      </c>
      <c r="D1516" s="92">
        <v>1453</v>
      </c>
      <c r="F1516" s="12" t="s">
        <v>1826</v>
      </c>
      <c r="G1516" t="s">
        <v>1796</v>
      </c>
    </row>
    <row r="1517" spans="1:7">
      <c r="A1517" s="28" t="s">
        <v>558</v>
      </c>
      <c r="B1517" s="12" t="s">
        <v>88</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88</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88</v>
      </c>
      <c r="C1535" s="24">
        <v>45903</v>
      </c>
      <c r="D1535" s="92">
        <v>1491</v>
      </c>
      <c r="F1535" s="12" t="s">
        <v>1838</v>
      </c>
      <c r="G1535" t="s">
        <v>1832</v>
      </c>
    </row>
    <row r="1536" spans="1:7">
      <c r="A1536" s="598" t="s">
        <v>529</v>
      </c>
      <c r="B1536" s="598" t="s">
        <v>88</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88</v>
      </c>
      <c r="C1543" s="24">
        <v>45904</v>
      </c>
      <c r="D1543" s="92">
        <v>1549</v>
      </c>
      <c r="F1543" s="12" t="s">
        <v>1844</v>
      </c>
      <c r="G1543" t="s">
        <v>1832</v>
      </c>
    </row>
    <row r="1544" spans="1:7">
      <c r="A1544" s="594" t="s">
        <v>925</v>
      </c>
      <c r="B1544" s="52" t="s">
        <v>88</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88</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88</v>
      </c>
      <c r="C1553" s="24">
        <v>45908</v>
      </c>
      <c r="D1553" s="92">
        <v>2498</v>
      </c>
      <c r="G1553" t="s">
        <v>1832</v>
      </c>
    </row>
    <row r="1554" spans="1:7">
      <c r="A1554" s="85" t="s">
        <v>915</v>
      </c>
      <c r="B1554" s="1173" t="s">
        <v>88</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88</v>
      </c>
      <c r="C1556" s="24">
        <v>45909</v>
      </c>
      <c r="D1556" s="92">
        <v>1192</v>
      </c>
      <c r="F1556" s="12" t="s">
        <v>1852</v>
      </c>
      <c r="G1556" t="s">
        <v>1832</v>
      </c>
    </row>
    <row r="1557" spans="1:7">
      <c r="A1557" s="85" t="s">
        <v>646</v>
      </c>
      <c r="B1557" s="1173" t="s">
        <v>88</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88</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88</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88</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88</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88</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88</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88</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88</v>
      </c>
      <c r="C1599" s="24">
        <v>45918</v>
      </c>
      <c r="D1599" s="12">
        <v>361</v>
      </c>
      <c r="F1599" s="595" t="s">
        <v>1865</v>
      </c>
      <c r="G1599" t="s">
        <v>1832</v>
      </c>
    </row>
    <row r="1600" spans="1:7">
      <c r="A1600" s="28" t="s">
        <v>532</v>
      </c>
      <c r="B1600" s="546" t="s">
        <v>88</v>
      </c>
      <c r="C1600" s="24">
        <v>45918</v>
      </c>
      <c r="D1600" s="92">
        <v>1204</v>
      </c>
      <c r="F1600" s="595" t="s">
        <v>1866</v>
      </c>
      <c r="G1600" t="s">
        <v>1832</v>
      </c>
    </row>
    <row r="1601" spans="1:7">
      <c r="A1601" s="28" t="s">
        <v>535</v>
      </c>
      <c r="B1601" s="546" t="s">
        <v>88</v>
      </c>
      <c r="C1601" s="24">
        <v>45918</v>
      </c>
      <c r="D1601" s="92">
        <v>562</v>
      </c>
      <c r="F1601" s="595"/>
      <c r="G1601" t="s">
        <v>1832</v>
      </c>
    </row>
    <row r="1602" spans="1:7">
      <c r="A1602" s="28" t="s">
        <v>942</v>
      </c>
      <c r="B1602" s="546" t="s">
        <v>88</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88</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88</v>
      </c>
      <c r="C1613" s="24">
        <v>45922</v>
      </c>
      <c r="D1613" s="12">
        <v>978</v>
      </c>
      <c r="F1613" s="595" t="s">
        <v>1870</v>
      </c>
      <c r="G1613" t="s">
        <v>1832</v>
      </c>
    </row>
    <row r="1614" spans="1:7">
      <c r="A1614" s="237" t="s">
        <v>942</v>
      </c>
      <c r="B1614" s="602" t="s">
        <v>88</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88</v>
      </c>
      <c r="C1622" s="24">
        <v>45923</v>
      </c>
      <c r="D1622" s="12">
        <v>675</v>
      </c>
      <c r="F1622" s="28"/>
      <c r="G1622" t="s">
        <v>1832</v>
      </c>
    </row>
    <row r="1623" spans="1:7">
      <c r="A1623" s="85" t="s">
        <v>927</v>
      </c>
      <c r="B1623" s="1174" t="s">
        <v>88</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88</v>
      </c>
      <c r="C1631" s="265">
        <v>45924</v>
      </c>
      <c r="D1631" s="92">
        <v>1205</v>
      </c>
      <c r="F1631" s="28" t="s">
        <v>1878</v>
      </c>
      <c r="G1631" t="s">
        <v>1832</v>
      </c>
    </row>
    <row r="1632" spans="1:7">
      <c r="A1632" s="85" t="s">
        <v>927</v>
      </c>
      <c r="B1632" s="334" t="s">
        <v>88</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88</v>
      </c>
      <c r="C1634" s="24">
        <v>45924</v>
      </c>
      <c r="D1634" s="98"/>
      <c r="F1634" s="266" t="s">
        <v>1880</v>
      </c>
      <c r="G1634" t="s">
        <v>1832</v>
      </c>
    </row>
    <row r="1635" spans="1:7">
      <c r="A1635" s="28" t="s">
        <v>535</v>
      </c>
      <c r="B1635" s="606" t="s">
        <v>88</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88</v>
      </c>
      <c r="C1647" s="24">
        <v>45925</v>
      </c>
      <c r="D1647" s="92">
        <v>1000</v>
      </c>
      <c r="F1647" s="5"/>
      <c r="G1647" t="s">
        <v>1832</v>
      </c>
    </row>
    <row r="1648" spans="1:7">
      <c r="A1648" s="85" t="s">
        <v>927</v>
      </c>
      <c r="B1648" s="1174" t="s">
        <v>88</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88</v>
      </c>
      <c r="C1667" s="24">
        <v>45929</v>
      </c>
      <c r="D1667" s="12">
        <v>600</v>
      </c>
      <c r="F1667" s="12" t="s">
        <v>1890</v>
      </c>
      <c r="G1667" t="s">
        <v>1832</v>
      </c>
    </row>
    <row r="1668" spans="1:7">
      <c r="A1668" s="243" t="s">
        <v>933</v>
      </c>
      <c r="B1668" s="243" t="s">
        <v>88</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88</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88</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88</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88</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88</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88</v>
      </c>
      <c r="C1701" s="24">
        <v>45932</v>
      </c>
      <c r="D1701" s="92">
        <v>1472</v>
      </c>
      <c r="F1701" s="12" t="s">
        <v>1853</v>
      </c>
      <c r="G1701" t="s">
        <v>1895</v>
      </c>
    </row>
    <row r="1702" spans="1:7">
      <c r="A1702" s="648" t="s">
        <v>541</v>
      </c>
      <c r="B1702" s="78" t="s">
        <v>88</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88</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88</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88</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88</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104</v>
      </c>
      <c r="B1741" s="266" t="s">
        <v>88</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88</v>
      </c>
      <c r="C1743" s="24">
        <v>45938</v>
      </c>
      <c r="D1743" s="12">
        <v>308</v>
      </c>
      <c r="F1743" s="12" t="s">
        <v>1911</v>
      </c>
      <c r="G1743" t="s">
        <v>1895</v>
      </c>
    </row>
    <row r="1744" spans="1:7">
      <c r="A1744" s="635" t="s">
        <v>933</v>
      </c>
      <c r="B1744" s="238" t="s">
        <v>88</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104</v>
      </c>
      <c r="B1751" s="1215" t="s">
        <v>88</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88</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104</v>
      </c>
      <c r="B1772" s="236" t="s">
        <v>88</v>
      </c>
      <c r="C1772" s="24">
        <v>45943</v>
      </c>
      <c r="D1772" s="12">
        <v>828</v>
      </c>
      <c r="G1772" t="s">
        <v>1895</v>
      </c>
    </row>
    <row r="1773" spans="1:7">
      <c r="A1773" s="635" t="s">
        <v>968</v>
      </c>
      <c r="B1773" s="237" t="s">
        <v>88</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104</v>
      </c>
      <c r="B1781" s="237" t="s">
        <v>88</v>
      </c>
      <c r="C1781" s="24">
        <v>45944</v>
      </c>
      <c r="D1781" s="12">
        <v>150</v>
      </c>
      <c r="G1781" t="s">
        <v>1895</v>
      </c>
    </row>
    <row r="1782" spans="1:7">
      <c r="A1782" s="650" t="s">
        <v>968</v>
      </c>
      <c r="B1782" s="78" t="s">
        <v>88</v>
      </c>
      <c r="C1782" s="242">
        <v>45944</v>
      </c>
      <c r="D1782" s="12">
        <v>510</v>
      </c>
      <c r="F1782" s="12" t="s">
        <v>1919</v>
      </c>
      <c r="G1782" t="s">
        <v>1895</v>
      </c>
    </row>
    <row r="1783" spans="1:7">
      <c r="A1783" s="650" t="s">
        <v>570</v>
      </c>
      <c r="B1783" s="78" t="s">
        <v>88</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88</v>
      </c>
      <c r="C1791" s="24">
        <v>45945</v>
      </c>
      <c r="D1791" s="92">
        <v>1312</v>
      </c>
      <c r="F1791" s="12" t="s">
        <v>1924</v>
      </c>
      <c r="G1791" t="s">
        <v>1895</v>
      </c>
    </row>
    <row r="1792" spans="1:7">
      <c r="A1792" s="743" t="s">
        <v>960</v>
      </c>
      <c r="B1792" s="247" t="s">
        <v>88</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88</v>
      </c>
      <c r="C1800" s="242">
        <v>45946</v>
      </c>
      <c r="D1800" s="12">
        <v>359</v>
      </c>
      <c r="F1800" s="12" t="s">
        <v>1931</v>
      </c>
      <c r="G1800" t="s">
        <v>1895</v>
      </c>
    </row>
    <row r="1801" spans="1:7">
      <c r="A1801" s="746" t="s">
        <v>960</v>
      </c>
      <c r="B1801" s="78" t="s">
        <v>88</v>
      </c>
      <c r="C1801" s="242">
        <v>45946</v>
      </c>
      <c r="D1801" s="92">
        <v>1220</v>
      </c>
      <c r="F1801" s="12" t="s">
        <v>1932</v>
      </c>
      <c r="G1801" t="s">
        <v>1895</v>
      </c>
    </row>
    <row r="1802" spans="1:7">
      <c r="A1802" s="237" t="s">
        <v>1330</v>
      </c>
      <c r="B1802" s="78" t="s">
        <v>1358</v>
      </c>
      <c r="C1802" s="242">
        <v>45946</v>
      </c>
      <c r="D1802" s="92">
        <v>2803</v>
      </c>
      <c r="G1802" t="s">
        <v>1895</v>
      </c>
    </row>
    <row r="1803" spans="1:7">
      <c r="A1803" s="238" t="s">
        <v>104</v>
      </c>
      <c r="B1803" s="238" t="s">
        <v>88</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88</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88</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88</v>
      </c>
      <c r="C1826" s="24">
        <v>45951</v>
      </c>
      <c r="D1826" s="92">
        <v>1007</v>
      </c>
      <c r="F1826" s="12" t="s">
        <v>1943</v>
      </c>
      <c r="G1826" t="s">
        <v>1895</v>
      </c>
    </row>
    <row r="1827" spans="1:7">
      <c r="A1827" s="254" t="s">
        <v>587</v>
      </c>
      <c r="B1827" s="52" t="s">
        <v>88</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88</v>
      </c>
      <c r="C1835" s="24">
        <v>45952</v>
      </c>
      <c r="D1835" s="92">
        <v>1604</v>
      </c>
      <c r="F1835" s="12" t="s">
        <v>1948</v>
      </c>
      <c r="G1835" t="s">
        <v>1895</v>
      </c>
    </row>
    <row r="1836" spans="1:7">
      <c r="A1836" s="1178" t="s">
        <v>966</v>
      </c>
      <c r="B1836" s="334" t="s">
        <v>88</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88</v>
      </c>
      <c r="C1846" s="24">
        <v>45953</v>
      </c>
      <c r="D1846" s="92">
        <v>1268</v>
      </c>
      <c r="F1846" s="12" t="s">
        <v>1956</v>
      </c>
      <c r="G1846" t="s">
        <v>1895</v>
      </c>
    </row>
    <row r="1847" spans="1:7">
      <c r="A1847" s="1179" t="s">
        <v>966</v>
      </c>
      <c r="B1847" s="334" t="s">
        <v>88</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88</v>
      </c>
      <c r="C1866" s="24">
        <v>45957</v>
      </c>
      <c r="D1866" s="12">
        <v>587</v>
      </c>
      <c r="F1866" s="12" t="s">
        <v>1968</v>
      </c>
      <c r="G1866" t="s">
        <v>1895</v>
      </c>
    </row>
    <row r="1867" spans="1:7">
      <c r="A1867" s="763" t="s">
        <v>587</v>
      </c>
      <c r="B1867" s="318" t="s">
        <v>88</v>
      </c>
      <c r="C1867" s="24">
        <v>45957</v>
      </c>
      <c r="D1867" s="92">
        <v>1310</v>
      </c>
      <c r="F1867" s="12" t="s">
        <v>1969</v>
      </c>
      <c r="G1867" t="s">
        <v>1895</v>
      </c>
    </row>
    <row r="1868" spans="1:7">
      <c r="A1868" s="254" t="s">
        <v>906</v>
      </c>
      <c r="B1868" s="254" t="s">
        <v>88</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88</v>
      </c>
      <c r="C1879" s="24">
        <v>45958</v>
      </c>
      <c r="D1879" s="92">
        <v>1509</v>
      </c>
      <c r="F1879" s="12" t="s">
        <v>1974</v>
      </c>
      <c r="G1879" t="s">
        <v>1895</v>
      </c>
    </row>
    <row r="1880" spans="1:7">
      <c r="A1880" s="763" t="s">
        <v>964</v>
      </c>
      <c r="B1880" s="318" t="s">
        <v>88</v>
      </c>
      <c r="C1880" s="24">
        <v>45958</v>
      </c>
      <c r="D1880" s="92">
        <v>1678</v>
      </c>
      <c r="F1880" s="12" t="s">
        <v>1975</v>
      </c>
      <c r="G1880" t="s">
        <v>1895</v>
      </c>
    </row>
    <row r="1881" spans="1:7">
      <c r="A1881" s="1179" t="s">
        <v>966</v>
      </c>
      <c r="B1881" s="334" t="s">
        <v>88</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88</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88</v>
      </c>
      <c r="C1904" s="24">
        <v>45960</v>
      </c>
      <c r="D1904" s="12">
        <v>777</v>
      </c>
      <c r="F1904" s="12" t="s">
        <v>1992</v>
      </c>
      <c r="G1904" t="s">
        <v>1895</v>
      </c>
    </row>
    <row r="1905" spans="1:7">
      <c r="A1905" s="12" t="s">
        <v>964</v>
      </c>
      <c r="B1905" s="782" t="s">
        <v>88</v>
      </c>
      <c r="C1905" s="24">
        <v>45960</v>
      </c>
      <c r="D1905" s="12">
        <v>394</v>
      </c>
      <c r="E1905" s="253">
        <v>1275</v>
      </c>
      <c r="F1905" s="12" t="s">
        <v>1993</v>
      </c>
      <c r="G1905" t="s">
        <v>1895</v>
      </c>
    </row>
    <row r="1906" spans="1:7">
      <c r="A1906" s="1180" t="s">
        <v>1005</v>
      </c>
      <c r="B1906" s="254" t="s">
        <v>88</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88</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88</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88</v>
      </c>
      <c r="C1928" s="24">
        <v>45964</v>
      </c>
      <c r="D1928" s="92">
        <v>1420</v>
      </c>
      <c r="F1928" s="12" t="s">
        <v>1724</v>
      </c>
      <c r="G1928" t="s">
        <v>2002</v>
      </c>
    </row>
    <row r="1929" spans="1:7">
      <c r="A1929" s="274" t="s">
        <v>587</v>
      </c>
      <c r="B1929" s="277" t="s">
        <v>88</v>
      </c>
      <c r="C1929" s="24">
        <v>45964</v>
      </c>
      <c r="D1929" s="12">
        <v>701</v>
      </c>
      <c r="F1929" s="12" t="s">
        <v>1841</v>
      </c>
      <c r="G1929" t="s">
        <v>2002</v>
      </c>
    </row>
    <row r="1930" spans="1:7">
      <c r="A1930" s="78" t="s">
        <v>574</v>
      </c>
      <c r="B1930" s="236" t="s">
        <v>88</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88</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88</v>
      </c>
      <c r="C1945" s="24">
        <v>45965</v>
      </c>
      <c r="D1945" s="92">
        <v>1120</v>
      </c>
      <c r="F1945" s="12" t="s">
        <v>2009</v>
      </c>
      <c r="G1945" t="s">
        <v>2002</v>
      </c>
    </row>
    <row r="1946" spans="1:7">
      <c r="A1946" s="78" t="s">
        <v>1005</v>
      </c>
      <c r="B1946" s="78" t="s">
        <v>88</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88</v>
      </c>
      <c r="C1954" s="24">
        <v>45965</v>
      </c>
      <c r="D1954" s="253">
        <v>3910</v>
      </c>
      <c r="E1954" s="12"/>
      <c r="F1954" s="91" t="s">
        <v>2012</v>
      </c>
      <c r="G1954" t="s">
        <v>2002</v>
      </c>
    </row>
    <row r="1955" spans="1:7">
      <c r="A1955" s="299" t="s">
        <v>403</v>
      </c>
      <c r="B1955" s="52" t="s">
        <v>88</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88</v>
      </c>
      <c r="C1958" s="24">
        <v>45966</v>
      </c>
      <c r="D1958" s="92">
        <v>1488</v>
      </c>
      <c r="F1958" s="12" t="s">
        <v>2013</v>
      </c>
      <c r="G1958" t="s">
        <v>2002</v>
      </c>
    </row>
    <row r="1959" spans="1:7">
      <c r="A1959" s="236" t="s">
        <v>1005</v>
      </c>
      <c r="B1959" s="236" t="s">
        <v>88</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88</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88</v>
      </c>
      <c r="C1968" s="24">
        <v>45966</v>
      </c>
      <c r="D1968" s="76">
        <v>346</v>
      </c>
      <c r="E1968" s="92"/>
      <c r="F1968" s="12" t="s">
        <v>1719</v>
      </c>
      <c r="G1968" t="s">
        <v>2002</v>
      </c>
    </row>
    <row r="1969" spans="1:7">
      <c r="A1969" s="299" t="s">
        <v>403</v>
      </c>
      <c r="B1969" s="236" t="s">
        <v>88</v>
      </c>
      <c r="C1969" s="24">
        <v>45966</v>
      </c>
      <c r="D1969" s="76">
        <v>656</v>
      </c>
      <c r="E1969" s="92"/>
      <c r="G1969" t="s">
        <v>2002</v>
      </c>
    </row>
    <row r="1970" spans="1:7">
      <c r="A1970" s="299" t="s">
        <v>1069</v>
      </c>
      <c r="B1970" s="236" t="s">
        <v>88</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88</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88</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88</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88</v>
      </c>
      <c r="C1994" s="24">
        <v>45971</v>
      </c>
      <c r="D1994" s="92">
        <v>1351</v>
      </c>
      <c r="G1994" t="s">
        <v>2002</v>
      </c>
    </row>
    <row r="1995" spans="1:7">
      <c r="A1995" s="247" t="s">
        <v>587</v>
      </c>
      <c r="B1995" s="247" t="s">
        <v>88</v>
      </c>
      <c r="C1995" s="24">
        <v>45971</v>
      </c>
      <c r="D1995" s="12">
        <v>138</v>
      </c>
      <c r="F1995" s="12" t="s">
        <v>2022</v>
      </c>
      <c r="G1995" t="s">
        <v>2002</v>
      </c>
    </row>
    <row r="1996" spans="1:7">
      <c r="A1996" s="247" t="s">
        <v>1005</v>
      </c>
      <c r="B1996" s="247" t="s">
        <v>88</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88</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88</v>
      </c>
      <c r="C2008" s="24">
        <v>45973</v>
      </c>
      <c r="D2008" s="92">
        <v>1580</v>
      </c>
      <c r="F2008" s="12" t="s">
        <v>1853</v>
      </c>
      <c r="G2008" t="s">
        <v>2002</v>
      </c>
    </row>
    <row r="2009" spans="1:7">
      <c r="A2009" s="12" t="s">
        <v>997</v>
      </c>
      <c r="B2009" s="52" t="s">
        <v>88</v>
      </c>
      <c r="C2009" s="24">
        <v>45973</v>
      </c>
      <c r="D2009" s="12">
        <v>890</v>
      </c>
      <c r="G2009" t="s">
        <v>2002</v>
      </c>
    </row>
    <row r="2010" spans="1:7">
      <c r="A2010" s="12" t="s">
        <v>997</v>
      </c>
      <c r="B2010" s="78" t="s">
        <v>1358</v>
      </c>
      <c r="C2010" s="24">
        <v>45973</v>
      </c>
      <c r="F2010" s="12" t="s">
        <v>1719</v>
      </c>
      <c r="G2010" t="s">
        <v>2002</v>
      </c>
    </row>
    <row r="2011" spans="1:7">
      <c r="A2011" s="52" t="s">
        <v>572</v>
      </c>
      <c r="B2011" s="52" t="s">
        <v>88</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88</v>
      </c>
      <c r="C2017" s="24">
        <v>45973</v>
      </c>
      <c r="D2017" s="12">
        <v>242</v>
      </c>
      <c r="G2017" t="s">
        <v>2002</v>
      </c>
    </row>
    <row r="2018" spans="1:7">
      <c r="A2018" s="12" t="s">
        <v>1077</v>
      </c>
      <c r="B2018" s="12" t="s">
        <v>88</v>
      </c>
      <c r="C2018" s="24">
        <v>45973</v>
      </c>
      <c r="D2018" s="92">
        <v>1264</v>
      </c>
      <c r="G2018" t="s">
        <v>2002</v>
      </c>
    </row>
    <row r="2019" spans="1:7">
      <c r="A2019" s="52" t="s">
        <v>1085</v>
      </c>
      <c r="B2019" s="52" t="s">
        <v>88</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88</v>
      </c>
      <c r="C2021" s="24">
        <v>45974</v>
      </c>
      <c r="D2021" s="92">
        <v>1258</v>
      </c>
      <c r="F2021" s="12" t="s">
        <v>2032</v>
      </c>
      <c r="G2021" t="s">
        <v>2002</v>
      </c>
    </row>
    <row r="2022" spans="1:7">
      <c r="A2022" s="52" t="s">
        <v>572</v>
      </c>
      <c r="B2022" s="52" t="s">
        <v>88</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88</v>
      </c>
      <c r="C2029" s="24">
        <v>45974</v>
      </c>
      <c r="D2029" s="92">
        <v>3382</v>
      </c>
      <c r="G2029" t="s">
        <v>2002</v>
      </c>
    </row>
    <row r="2030" spans="1:7">
      <c r="A2030" s="12" t="s">
        <v>1077</v>
      </c>
      <c r="B2030" s="12" t="s">
        <v>88</v>
      </c>
      <c r="C2030" s="24">
        <v>45974</v>
      </c>
      <c r="D2030" s="92">
        <v>1281</v>
      </c>
      <c r="G2030" t="s">
        <v>2002</v>
      </c>
    </row>
    <row r="2031" spans="1:7">
      <c r="A2031" s="181" t="s">
        <v>1126</v>
      </c>
      <c r="B2031" s="12" t="s">
        <v>88</v>
      </c>
      <c r="C2031" s="24">
        <v>45974</v>
      </c>
      <c r="D2031" s="12">
        <v>424</v>
      </c>
      <c r="G2031" t="s">
        <v>2002</v>
      </c>
    </row>
    <row r="2032" spans="1:7">
      <c r="A2032" s="299" t="s">
        <v>411</v>
      </c>
      <c r="B2032" s="52" t="s">
        <v>88</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88</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88</v>
      </c>
      <c r="C2044" s="24">
        <v>45978</v>
      </c>
      <c r="D2044" s="12">
        <v>762</v>
      </c>
      <c r="G2044" t="s">
        <v>2002</v>
      </c>
    </row>
    <row r="2045" spans="1:7">
      <c r="A2045" s="238" t="s">
        <v>572</v>
      </c>
      <c r="B2045" s="276" t="s">
        <v>88</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88</v>
      </c>
      <c r="C2050" s="24">
        <v>45978</v>
      </c>
      <c r="D2050" s="92">
        <v>5466</v>
      </c>
      <c r="G2050" t="s">
        <v>2002</v>
      </c>
    </row>
    <row r="2051" spans="1:7">
      <c r="A2051" s="236" t="s">
        <v>1077</v>
      </c>
      <c r="B2051" s="236" t="s">
        <v>88</v>
      </c>
      <c r="C2051" s="24">
        <v>45978</v>
      </c>
      <c r="D2051" s="92">
        <v>1662</v>
      </c>
      <c r="G2051" t="s">
        <v>2002</v>
      </c>
    </row>
    <row r="2052" spans="1:7">
      <c r="A2052" s="236" t="s">
        <v>411</v>
      </c>
      <c r="B2052" s="236" t="s">
        <v>88</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88</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88</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88</v>
      </c>
      <c r="C2064" s="24">
        <v>45979</v>
      </c>
      <c r="D2064" s="92">
        <v>2684</v>
      </c>
      <c r="F2064" s="28"/>
      <c r="G2064" t="s">
        <v>2002</v>
      </c>
    </row>
    <row r="2065" spans="1:7">
      <c r="A2065" s="85" t="s">
        <v>411</v>
      </c>
      <c r="B2065" s="52" t="s">
        <v>88</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88</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88</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88</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88</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88</v>
      </c>
      <c r="C2086" s="24">
        <v>45981</v>
      </c>
      <c r="D2086" s="92">
        <v>2252</v>
      </c>
      <c r="F2086" s="28"/>
      <c r="G2086" t="s">
        <v>2002</v>
      </c>
    </row>
    <row r="2087" spans="1:7">
      <c r="A2087" s="250" t="s">
        <v>411</v>
      </c>
      <c r="B2087" s="312" t="s">
        <v>88</v>
      </c>
      <c r="C2087" s="24">
        <v>45981</v>
      </c>
      <c r="D2087" s="843">
        <v>1027</v>
      </c>
      <c r="F2087" s="28"/>
      <c r="G2087" t="s">
        <v>2002</v>
      </c>
    </row>
    <row r="2088" spans="1:7">
      <c r="A2088" s="276" t="s">
        <v>1087</v>
      </c>
      <c r="B2088" s="285" t="s">
        <v>88</v>
      </c>
      <c r="C2088" s="24">
        <v>45981</v>
      </c>
      <c r="D2088" s="92">
        <v>1420</v>
      </c>
      <c r="F2088" s="28"/>
      <c r="G2088" t="s">
        <v>2002</v>
      </c>
    </row>
    <row r="2089" spans="1:7">
      <c r="A2089" s="250" t="s">
        <v>1090</v>
      </c>
      <c r="B2089" s="312" t="s">
        <v>88</v>
      </c>
      <c r="C2089" s="24">
        <v>45981</v>
      </c>
      <c r="D2089" s="92">
        <v>2376</v>
      </c>
      <c r="F2089" s="28"/>
      <c r="G2089" t="s">
        <v>2002</v>
      </c>
    </row>
    <row r="2090" spans="1:7">
      <c r="A2090" s="276" t="s">
        <v>1126</v>
      </c>
      <c r="B2090" s="285" t="s">
        <v>88</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88</v>
      </c>
      <c r="C2097" s="24">
        <v>45982</v>
      </c>
      <c r="D2097" s="12">
        <v>51</v>
      </c>
      <c r="F2097" s="28"/>
      <c r="G2097" t="s">
        <v>2002</v>
      </c>
    </row>
    <row r="2098" spans="1:7">
      <c r="A2098" s="324" t="s">
        <v>1126</v>
      </c>
      <c r="B2098" s="110" t="s">
        <v>88</v>
      </c>
      <c r="C2098" s="24">
        <v>45982</v>
      </c>
      <c r="D2098" s="92">
        <v>3007</v>
      </c>
      <c r="F2098" s="28"/>
      <c r="G2098" t="s">
        <v>2002</v>
      </c>
    </row>
    <row r="2099" spans="1:7">
      <c r="A2099" s="324" t="s">
        <v>411</v>
      </c>
      <c r="B2099" s="110" t="s">
        <v>88</v>
      </c>
      <c r="C2099" s="24">
        <v>45982</v>
      </c>
      <c r="D2099" s="12">
        <v>490</v>
      </c>
      <c r="F2099" s="28"/>
      <c r="G2099" t="s">
        <v>2002</v>
      </c>
    </row>
    <row r="2100" spans="1:7">
      <c r="A2100" s="324" t="s">
        <v>1087</v>
      </c>
      <c r="B2100" s="110" t="s">
        <v>88</v>
      </c>
      <c r="C2100" s="24">
        <v>45982</v>
      </c>
      <c r="D2100" s="92">
        <v>3043</v>
      </c>
      <c r="F2100" s="28"/>
      <c r="G2100" t="s">
        <v>2002</v>
      </c>
    </row>
    <row r="2101" spans="1:7">
      <c r="A2101" s="324" t="s">
        <v>1090</v>
      </c>
      <c r="B2101" s="110" t="s">
        <v>88</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88</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88</v>
      </c>
      <c r="C2111" s="24">
        <v>45985</v>
      </c>
      <c r="D2111" s="12">
        <v>805</v>
      </c>
      <c r="F2111" s="28" t="s">
        <v>2062</v>
      </c>
      <c r="G2111" t="s">
        <v>2002</v>
      </c>
    </row>
    <row r="2112" spans="1:7">
      <c r="A2112" s="12" t="s">
        <v>594</v>
      </c>
      <c r="B2112" s="848" t="s">
        <v>88</v>
      </c>
      <c r="C2112" s="24">
        <v>45985</v>
      </c>
      <c r="D2112" s="12">
        <v>665</v>
      </c>
      <c r="F2112" s="28"/>
      <c r="G2112" t="s">
        <v>2002</v>
      </c>
    </row>
    <row r="2113" spans="1:7">
      <c r="A2113" s="52" t="s">
        <v>917</v>
      </c>
      <c r="B2113" s="1182" t="s">
        <v>88</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88</v>
      </c>
      <c r="C2128" s="24">
        <v>45986</v>
      </c>
      <c r="D2128" s="92">
        <v>1100</v>
      </c>
      <c r="G2128" t="s">
        <v>2002</v>
      </c>
    </row>
    <row r="2129" spans="1:7">
      <c r="A2129" s="12" t="s">
        <v>594</v>
      </c>
      <c r="B2129" s="12" t="s">
        <v>88</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88</v>
      </c>
      <c r="C2136" s="24">
        <v>45986</v>
      </c>
      <c r="D2136" s="92">
        <v>2382</v>
      </c>
      <c r="G2136" t="s">
        <v>2002</v>
      </c>
    </row>
    <row r="2137" spans="1:7">
      <c r="A2137" s="324" t="s">
        <v>1069</v>
      </c>
      <c r="B2137" s="110" t="s">
        <v>88</v>
      </c>
      <c r="C2137" s="24">
        <v>45986</v>
      </c>
      <c r="D2137" s="12">
        <v>996</v>
      </c>
      <c r="G2137" t="s">
        <v>2002</v>
      </c>
    </row>
    <row r="2138" spans="1:7">
      <c r="A2138" s="324" t="s">
        <v>1093</v>
      </c>
      <c r="B2138" s="110" t="s">
        <v>88</v>
      </c>
      <c r="C2138" s="24">
        <v>45986</v>
      </c>
      <c r="D2138" s="92">
        <v>3634</v>
      </c>
      <c r="G2138" t="s">
        <v>2002</v>
      </c>
    </row>
    <row r="2139" spans="1:7">
      <c r="A2139" s="28" t="s">
        <v>1090</v>
      </c>
      <c r="B2139" s="110" t="s">
        <v>88</v>
      </c>
      <c r="C2139" s="24">
        <v>45986</v>
      </c>
      <c r="D2139" s="92">
        <v>3311</v>
      </c>
      <c r="G2139" t="s">
        <v>2002</v>
      </c>
    </row>
    <row r="2140" spans="1:7">
      <c r="A2140" s="28" t="s">
        <v>403</v>
      </c>
      <c r="B2140" s="110" t="s">
        <v>88</v>
      </c>
      <c r="C2140" s="24">
        <v>45986</v>
      </c>
      <c r="D2140" s="92">
        <v>1175</v>
      </c>
      <c r="G2140" t="s">
        <v>2002</v>
      </c>
    </row>
    <row r="2141" spans="1:7">
      <c r="A2141" s="181" t="s">
        <v>1087</v>
      </c>
      <c r="B2141" s="110" t="s">
        <v>88</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88</v>
      </c>
      <c r="C2147" s="24">
        <v>45987</v>
      </c>
      <c r="D2147" s="92">
        <v>1024</v>
      </c>
      <c r="F2147" s="12" t="s">
        <v>2073</v>
      </c>
      <c r="G2147" t="s">
        <v>2002</v>
      </c>
    </row>
    <row r="2148" spans="1:7">
      <c r="A2148" s="238" t="s">
        <v>597</v>
      </c>
      <c r="B2148" s="237" t="s">
        <v>88</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88</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88</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88</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88</v>
      </c>
      <c r="C2176" s="24">
        <v>45992</v>
      </c>
      <c r="D2176" s="92">
        <v>1610</v>
      </c>
      <c r="F2176" s="12" t="s">
        <v>2085</v>
      </c>
      <c r="G2176" t="s">
        <v>2082</v>
      </c>
    </row>
    <row r="2177" spans="1:7">
      <c r="A2177" s="849" t="s">
        <v>597</v>
      </c>
      <c r="B2177" s="236" t="s">
        <v>88</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88</v>
      </c>
      <c r="C2181" s="24">
        <v>45992</v>
      </c>
      <c r="D2181" s="92">
        <v>1515</v>
      </c>
      <c r="F2181" s="12" t="s">
        <v>1748</v>
      </c>
      <c r="G2181" t="s">
        <v>2082</v>
      </c>
    </row>
    <row r="2182" spans="1:7">
      <c r="A2182" s="276" t="s">
        <v>1093</v>
      </c>
      <c r="B2182" s="285" t="s">
        <v>88</v>
      </c>
      <c r="C2182" s="24">
        <v>45992</v>
      </c>
      <c r="D2182" s="92">
        <v>3376</v>
      </c>
      <c r="G2182" t="s">
        <v>2082</v>
      </c>
    </row>
    <row r="2183" spans="1:7">
      <c r="A2183" s="249" t="s">
        <v>408</v>
      </c>
      <c r="B2183" s="240" t="s">
        <v>88</v>
      </c>
      <c r="C2183" s="24">
        <v>45992</v>
      </c>
      <c r="D2183" s="92">
        <v>3084</v>
      </c>
      <c r="G2183" t="s">
        <v>2082</v>
      </c>
    </row>
    <row r="2184" spans="1:7">
      <c r="A2184" s="243" t="s">
        <v>1123</v>
      </c>
      <c r="B2184" s="243" t="s">
        <v>88</v>
      </c>
      <c r="C2184" s="24">
        <v>45992</v>
      </c>
      <c r="D2184" s="92">
        <v>1829</v>
      </c>
      <c r="G2184" t="s">
        <v>2082</v>
      </c>
    </row>
    <row r="2185" spans="1:7">
      <c r="A2185" s="181" t="s">
        <v>1078</v>
      </c>
      <c r="B2185" s="610" t="s">
        <v>88</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88</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88</v>
      </c>
      <c r="C2194" s="24">
        <v>45993</v>
      </c>
      <c r="D2194" s="92">
        <v>2916</v>
      </c>
      <c r="G2194" t="s">
        <v>2082</v>
      </c>
    </row>
    <row r="2195" spans="1:7">
      <c r="A2195" s="247" t="s">
        <v>1123</v>
      </c>
      <c r="B2195" s="247" t="s">
        <v>88</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88</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88</v>
      </c>
      <c r="C2206" s="24">
        <v>45994</v>
      </c>
      <c r="D2206" s="92">
        <v>2430</v>
      </c>
      <c r="G2206" t="s">
        <v>2082</v>
      </c>
    </row>
    <row r="2207" spans="1:7">
      <c r="A2207" s="610" t="s">
        <v>1123</v>
      </c>
      <c r="B2207" s="610" t="s">
        <v>88</v>
      </c>
      <c r="C2207" s="24">
        <v>45994</v>
      </c>
      <c r="D2207" s="12">
        <v>694</v>
      </c>
      <c r="G2207" t="s">
        <v>2082</v>
      </c>
    </row>
    <row r="2208" spans="1:7">
      <c r="A2208" s="857" t="s">
        <v>1074</v>
      </c>
      <c r="B2208" s="858" t="s">
        <v>88</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88</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88</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88</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88</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88</v>
      </c>
      <c r="C2233" s="24">
        <v>45996</v>
      </c>
      <c r="E2233" s="76">
        <v>636</v>
      </c>
      <c r="F2233" s="752"/>
      <c r="G2233" t="s">
        <v>2082</v>
      </c>
    </row>
    <row r="2234" spans="1:7">
      <c r="A2234" s="243" t="s">
        <v>1085</v>
      </c>
      <c r="B2234" s="610" t="s">
        <v>88</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88</v>
      </c>
      <c r="C2242" s="24">
        <v>45999</v>
      </c>
      <c r="D2242" s="253">
        <v>1583</v>
      </c>
      <c r="E2242" s="12"/>
      <c r="F2242" s="12" t="s">
        <v>2116</v>
      </c>
      <c r="G2242" t="s">
        <v>2082</v>
      </c>
    </row>
    <row r="2243" spans="1:7">
      <c r="A2243" s="299" t="s">
        <v>952</v>
      </c>
      <c r="B2243" s="864" t="s">
        <v>88</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88</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88</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88</v>
      </c>
      <c r="C2258" s="24">
        <v>46000</v>
      </c>
      <c r="D2258" s="92">
        <v>1980</v>
      </c>
      <c r="F2258" s="12" t="s">
        <v>2125</v>
      </c>
      <c r="G2258" t="s">
        <v>2082</v>
      </c>
    </row>
    <row r="2259" spans="1:7">
      <c r="A2259" s="324" t="s">
        <v>1102</v>
      </c>
      <c r="B2259" s="110" t="s">
        <v>88</v>
      </c>
      <c r="C2259" s="24">
        <v>46000</v>
      </c>
      <c r="D2259" s="92">
        <v>3343</v>
      </c>
      <c r="G2259" t="s">
        <v>2082</v>
      </c>
    </row>
    <row r="2260" spans="1:7">
      <c r="A2260" s="98" t="s">
        <v>1069</v>
      </c>
      <c r="B2260" s="76" t="s">
        <v>88</v>
      </c>
      <c r="C2260" s="24">
        <v>46000</v>
      </c>
      <c r="D2260" s="92">
        <v>2203</v>
      </c>
      <c r="F2260" s="12" t="s">
        <v>1366</v>
      </c>
      <c r="G2260" t="s">
        <v>2082</v>
      </c>
    </row>
    <row r="2261" spans="1:7">
      <c r="A2261" s="755" t="s">
        <v>1099</v>
      </c>
      <c r="B2261" s="76" t="s">
        <v>88</v>
      </c>
      <c r="C2261" s="24">
        <v>46000</v>
      </c>
      <c r="D2261" s="92">
        <v>1111</v>
      </c>
      <c r="G2261" t="s">
        <v>2082</v>
      </c>
    </row>
    <row r="2262" spans="1:7">
      <c r="A2262" s="324" t="s">
        <v>1105</v>
      </c>
      <c r="B2262" s="110" t="s">
        <v>88</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88</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88</v>
      </c>
      <c r="C2273" s="24">
        <v>46001</v>
      </c>
      <c r="D2273" s="92">
        <v>1251</v>
      </c>
      <c r="G2273" t="s">
        <v>2082</v>
      </c>
    </row>
    <row r="2274" spans="1:7">
      <c r="A2274" s="866" t="s">
        <v>1102</v>
      </c>
      <c r="B2274" s="856" t="s">
        <v>88</v>
      </c>
      <c r="C2274" s="24">
        <v>46001</v>
      </c>
      <c r="D2274" s="12">
        <v>931</v>
      </c>
      <c r="G2274" t="s">
        <v>2082</v>
      </c>
    </row>
    <row r="2275" spans="1:7">
      <c r="A2275" s="608" t="s">
        <v>1105</v>
      </c>
      <c r="B2275" s="789" t="s">
        <v>88</v>
      </c>
      <c r="C2275" s="24">
        <v>46001</v>
      </c>
      <c r="D2275" s="12">
        <v>522</v>
      </c>
      <c r="G2275" t="s">
        <v>2082</v>
      </c>
    </row>
    <row r="2276" spans="1:7">
      <c r="A2276" s="608" t="s">
        <v>1123</v>
      </c>
      <c r="B2276" s="592" t="s">
        <v>88</v>
      </c>
      <c r="C2276" s="24">
        <v>46001</v>
      </c>
      <c r="D2276" s="12">
        <v>91</v>
      </c>
      <c r="G2276" t="s">
        <v>2082</v>
      </c>
    </row>
    <row r="2277" spans="1:7">
      <c r="A2277" s="608" t="s">
        <v>1069</v>
      </c>
      <c r="B2277" s="830" t="s">
        <v>88</v>
      </c>
      <c r="C2277" s="24">
        <v>46001</v>
      </c>
      <c r="E2277" s="253">
        <v>3674</v>
      </c>
      <c r="F2277" s="12" t="s">
        <v>2132</v>
      </c>
      <c r="G2277" t="s">
        <v>2082</v>
      </c>
    </row>
    <row r="2278" spans="1:7">
      <c r="A2278" s="752" t="s">
        <v>1099</v>
      </c>
      <c r="B2278" s="1172" t="s">
        <v>88</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88</v>
      </c>
      <c r="C2287" s="24">
        <v>46002</v>
      </c>
      <c r="D2287" s="92">
        <v>3172</v>
      </c>
      <c r="G2287" t="s">
        <v>2082</v>
      </c>
    </row>
    <row r="2288" spans="1:7">
      <c r="A2288" s="868" t="s">
        <v>411</v>
      </c>
      <c r="B2288" s="28" t="s">
        <v>88</v>
      </c>
      <c r="C2288" s="24">
        <v>46002</v>
      </c>
      <c r="D2288" s="12">
        <v>242</v>
      </c>
      <c r="F2288" s="12" t="s">
        <v>2139</v>
      </c>
      <c r="G2288" t="s">
        <v>2082</v>
      </c>
    </row>
    <row r="2289" spans="1:7">
      <c r="A2289" s="318" t="s">
        <v>1105</v>
      </c>
      <c r="B2289" s="12" t="s">
        <v>88</v>
      </c>
      <c r="C2289" s="24">
        <v>46002</v>
      </c>
      <c r="D2289" s="92">
        <v>1194</v>
      </c>
      <c r="G2289" t="s">
        <v>2082</v>
      </c>
    </row>
    <row r="2290" spans="1:7">
      <c r="A2290" s="869" t="s">
        <v>1099</v>
      </c>
      <c r="B2290" s="52" t="s">
        <v>88</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88</v>
      </c>
      <c r="C2298" s="24">
        <v>46003</v>
      </c>
      <c r="F2298" s="266" t="s">
        <v>2145</v>
      </c>
      <c r="G2298" t="s">
        <v>2082</v>
      </c>
    </row>
    <row r="2299" spans="1:7">
      <c r="A2299" s="866" t="s">
        <v>1105</v>
      </c>
      <c r="B2299" s="866" t="s">
        <v>88</v>
      </c>
      <c r="C2299" s="24">
        <v>46003</v>
      </c>
      <c r="D2299" s="92">
        <v>2811</v>
      </c>
      <c r="G2299" t="s">
        <v>2082</v>
      </c>
    </row>
    <row r="2300" spans="1:7">
      <c r="A2300" s="752" t="s">
        <v>1099</v>
      </c>
      <c r="B2300" s="632" t="s">
        <v>88</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88</v>
      </c>
      <c r="C2307" s="242">
        <v>46006</v>
      </c>
      <c r="D2307" s="92">
        <v>1095</v>
      </c>
      <c r="G2307" t="s">
        <v>2082</v>
      </c>
    </row>
    <row r="2308" spans="1:7">
      <c r="A2308" s="993" t="s">
        <v>949</v>
      </c>
      <c r="B2308" s="12" t="s">
        <v>88</v>
      </c>
      <c r="C2308" s="242">
        <v>46006</v>
      </c>
      <c r="D2308" s="92">
        <v>1344</v>
      </c>
      <c r="F2308" s="12" t="s">
        <v>2150</v>
      </c>
      <c r="G2308" t="s">
        <v>2082</v>
      </c>
    </row>
    <row r="2309" spans="1:7">
      <c r="A2309" s="993" t="s">
        <v>594</v>
      </c>
      <c r="B2309" s="12" t="s">
        <v>88</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88</v>
      </c>
      <c r="C2311" s="24">
        <v>46006</v>
      </c>
      <c r="D2311" s="12">
        <v>29</v>
      </c>
      <c r="E2311" s="138"/>
      <c r="F2311" s="52"/>
      <c r="G2311" t="s">
        <v>2082</v>
      </c>
    </row>
    <row r="2312" spans="1:7">
      <c r="A2312" s="868" t="s">
        <v>1066</v>
      </c>
      <c r="B2312" s="28" t="s">
        <v>88</v>
      </c>
      <c r="C2312" s="24">
        <v>46006</v>
      </c>
      <c r="D2312" s="76"/>
      <c r="E2312" s="12"/>
      <c r="F2312" s="608" t="s">
        <v>1583</v>
      </c>
      <c r="G2312" t="s">
        <v>2082</v>
      </c>
    </row>
    <row r="2313" spans="1:7">
      <c r="A2313" s="869" t="s">
        <v>1090</v>
      </c>
      <c r="B2313" s="85" t="s">
        <v>88</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88</v>
      </c>
      <c r="C2319" s="24">
        <v>46007</v>
      </c>
      <c r="D2319" s="92">
        <v>1676</v>
      </c>
      <c r="F2319" s="12" t="s">
        <v>2157</v>
      </c>
      <c r="G2319" t="s">
        <v>2082</v>
      </c>
    </row>
    <row r="2320" spans="1:7">
      <c r="A2320" s="863" t="s">
        <v>949</v>
      </c>
      <c r="B2320" t="s">
        <v>88</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88</v>
      </c>
      <c r="C2324" s="24">
        <v>46007</v>
      </c>
      <c r="F2324" s="266" t="s">
        <v>2161</v>
      </c>
      <c r="G2324" t="s">
        <v>2082</v>
      </c>
    </row>
    <row r="2325" spans="1:7">
      <c r="A2325" s="28" t="s">
        <v>414</v>
      </c>
      <c r="B2325" s="28" t="s">
        <v>88</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88</v>
      </c>
      <c r="C2333" s="24">
        <v>46008</v>
      </c>
      <c r="D2333" s="92">
        <v>1139</v>
      </c>
      <c r="F2333" s="12" t="s">
        <v>2165</v>
      </c>
      <c r="G2333" t="s">
        <v>2082</v>
      </c>
    </row>
    <row r="2334" spans="1:7">
      <c r="A2334" s="999" t="s">
        <v>949</v>
      </c>
      <c r="B2334" t="s">
        <v>88</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88</v>
      </c>
      <c r="C2339" s="24">
        <v>46008</v>
      </c>
      <c r="D2339" s="12">
        <v>320</v>
      </c>
      <c r="G2339" t="s">
        <v>2082</v>
      </c>
    </row>
    <row r="2340" spans="1:7">
      <c r="A2340" s="85" t="s">
        <v>414</v>
      </c>
      <c r="B2340" s="85" t="s">
        <v>88</v>
      </c>
      <c r="C2340" s="24">
        <v>46008</v>
      </c>
      <c r="D2340" s="92">
        <v>1083</v>
      </c>
      <c r="G2340" t="s">
        <v>2082</v>
      </c>
    </row>
    <row r="2341" spans="1:7">
      <c r="A2341" s="85" t="s">
        <v>411</v>
      </c>
      <c r="B2341" s="85" t="s">
        <v>88</v>
      </c>
      <c r="C2341" s="24">
        <v>46008</v>
      </c>
      <c r="F2341" s="243" t="s">
        <v>1373</v>
      </c>
      <c r="G2341" t="s">
        <v>2082</v>
      </c>
    </row>
    <row r="2342" spans="1:7">
      <c r="A2342" s="868" t="s">
        <v>1074</v>
      </c>
      <c r="B2342" s="28" t="s">
        <v>88</v>
      </c>
      <c r="C2342" s="24">
        <v>46008</v>
      </c>
      <c r="D2342" s="12">
        <v>372</v>
      </c>
      <c r="G2342" t="s">
        <v>2082</v>
      </c>
    </row>
    <row r="2343" spans="1:7">
      <c r="A2343" s="868" t="s">
        <v>1114</v>
      </c>
      <c r="B2343" s="28" t="s">
        <v>88</v>
      </c>
      <c r="C2343" s="24">
        <v>46008</v>
      </c>
      <c r="D2343" s="12">
        <v>95</v>
      </c>
      <c r="G2343" t="s">
        <v>2082</v>
      </c>
    </row>
    <row r="2344" spans="1:7">
      <c r="A2344" s="868" t="s">
        <v>1105</v>
      </c>
      <c r="B2344" s="28" t="s">
        <v>88</v>
      </c>
      <c r="C2344" s="24">
        <v>46008</v>
      </c>
      <c r="D2344" s="92">
        <v>1049</v>
      </c>
      <c r="G2344" t="s">
        <v>2082</v>
      </c>
    </row>
    <row r="2345" spans="1:7">
      <c r="A2345" s="85" t="s">
        <v>1085</v>
      </c>
      <c r="B2345" s="85" t="s">
        <v>88</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88</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88</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88</v>
      </c>
      <c r="C2361" s="242">
        <v>46009</v>
      </c>
      <c r="D2361" s="12">
        <v>652</v>
      </c>
      <c r="G2361" t="s">
        <v>2082</v>
      </c>
    </row>
    <row r="2362" spans="1:7">
      <c r="A2362" s="236" t="s">
        <v>1126</v>
      </c>
      <c r="B2362" s="236" t="s">
        <v>88</v>
      </c>
      <c r="C2362" s="24">
        <v>46009</v>
      </c>
      <c r="D2362" s="12">
        <v>396</v>
      </c>
      <c r="G2362" t="s">
        <v>2082</v>
      </c>
    </row>
    <row r="2363" spans="1:7">
      <c r="A2363" s="237" t="s">
        <v>414</v>
      </c>
      <c r="B2363" s="237" t="s">
        <v>88</v>
      </c>
      <c r="C2363" s="24">
        <v>46009</v>
      </c>
      <c r="D2363" s="92">
        <v>1905</v>
      </c>
      <c r="G2363" t="s">
        <v>2082</v>
      </c>
    </row>
    <row r="2364" spans="1:7">
      <c r="A2364" s="238" t="s">
        <v>1114</v>
      </c>
      <c r="B2364" s="238" t="s">
        <v>88</v>
      </c>
      <c r="C2364" s="24">
        <v>46009</v>
      </c>
      <c r="D2364" s="12">
        <v>881</v>
      </c>
      <c r="G2364" t="s">
        <v>2082</v>
      </c>
    </row>
    <row r="2365" spans="1:7">
      <c r="A2365" s="78" t="s">
        <v>1108</v>
      </c>
      <c r="B2365" s="78" t="s">
        <v>88</v>
      </c>
      <c r="C2365" s="242">
        <v>46009</v>
      </c>
      <c r="D2365" s="92">
        <v>3028</v>
      </c>
      <c r="F2365" s="12" t="s">
        <v>2176</v>
      </c>
      <c r="G2365" t="s">
        <v>2082</v>
      </c>
    </row>
    <row r="2366" spans="1:7">
      <c r="A2366" s="299" t="s">
        <v>1085</v>
      </c>
      <c r="B2366" s="238" t="s">
        <v>88</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88</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88</v>
      </c>
      <c r="C2380" s="24">
        <v>46010</v>
      </c>
      <c r="D2380" s="12">
        <v>582</v>
      </c>
      <c r="G2380" t="s">
        <v>2082</v>
      </c>
    </row>
    <row r="2381" spans="1:7">
      <c r="A2381" s="1002" t="s">
        <v>414</v>
      </c>
      <c r="B2381" s="1003" t="s">
        <v>88</v>
      </c>
      <c r="C2381" s="24">
        <v>46010</v>
      </c>
      <c r="D2381" s="92">
        <v>2064</v>
      </c>
      <c r="G2381" t="s">
        <v>2082</v>
      </c>
    </row>
    <row r="2382" spans="1:7">
      <c r="A2382" s="1002" t="s">
        <v>1108</v>
      </c>
      <c r="B2382" s="1003" t="s">
        <v>88</v>
      </c>
      <c r="C2382" s="24">
        <v>46010</v>
      </c>
      <c r="D2382" s="92">
        <v>1683</v>
      </c>
      <c r="G2382" t="s">
        <v>2082</v>
      </c>
    </row>
    <row r="2383" spans="1:7">
      <c r="A2383" s="1002" t="s">
        <v>1099</v>
      </c>
      <c r="B2383" s="1003" t="s">
        <v>88</v>
      </c>
      <c r="C2383" s="24">
        <v>46010</v>
      </c>
      <c r="D2383" s="92">
        <v>1235</v>
      </c>
      <c r="G2383" t="s">
        <v>2082</v>
      </c>
    </row>
    <row r="2384" spans="1:7">
      <c r="A2384" s="1002" t="s">
        <v>1096</v>
      </c>
      <c r="B2384" s="1003" t="s">
        <v>88</v>
      </c>
      <c r="C2384" s="24">
        <v>46010</v>
      </c>
      <c r="F2384" s="12" t="s">
        <v>2183</v>
      </c>
      <c r="G2384" t="s">
        <v>2082</v>
      </c>
    </row>
    <row r="2385" spans="1:7">
      <c r="A2385" s="1002" t="s">
        <v>1123</v>
      </c>
      <c r="B2385" s="1003" t="s">
        <v>88</v>
      </c>
      <c r="C2385" s="24">
        <v>46010</v>
      </c>
      <c r="D2385" s="12">
        <v>780</v>
      </c>
      <c r="E2385" s="138"/>
      <c r="F2385" s="52"/>
      <c r="G2385" t="s">
        <v>2082</v>
      </c>
    </row>
    <row r="2386" spans="1:7">
      <c r="A2386" s="1002" t="s">
        <v>1346</v>
      </c>
      <c r="B2386" s="1003" t="s">
        <v>88</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88</v>
      </c>
      <c r="C2390" s="24">
        <v>46013</v>
      </c>
      <c r="D2390" s="12">
        <v>380</v>
      </c>
      <c r="G2390" t="s">
        <v>2082</v>
      </c>
    </row>
    <row r="2391" spans="1:7">
      <c r="A2391" s="247" t="s">
        <v>638</v>
      </c>
      <c r="B2391" s="247" t="s">
        <v>88</v>
      </c>
      <c r="C2391" s="24">
        <v>46013</v>
      </c>
      <c r="D2391" s="12">
        <v>523</v>
      </c>
      <c r="G2391" t="s">
        <v>2082</v>
      </c>
    </row>
    <row r="2392" spans="1:7">
      <c r="A2392" s="598" t="s">
        <v>949</v>
      </c>
      <c r="B2392" s="598" t="s">
        <v>88</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88</v>
      </c>
      <c r="C2394" s="24">
        <v>46013</v>
      </c>
      <c r="D2394" s="12">
        <v>551</v>
      </c>
      <c r="G2394" t="s">
        <v>2082</v>
      </c>
    </row>
    <row r="2395" spans="1:7">
      <c r="A2395" s="856" t="s">
        <v>414</v>
      </c>
      <c r="B2395" s="856" t="s">
        <v>88</v>
      </c>
      <c r="C2395" s="24">
        <v>46013</v>
      </c>
      <c r="F2395" s="266" t="s">
        <v>2187</v>
      </c>
      <c r="G2395" t="s">
        <v>2082</v>
      </c>
    </row>
    <row r="2396" spans="1:7">
      <c r="A2396" s="856" t="s">
        <v>1108</v>
      </c>
      <c r="B2396" s="856" t="s">
        <v>88</v>
      </c>
      <c r="C2396" s="24">
        <v>46013</v>
      </c>
      <c r="D2396" s="12">
        <v>362</v>
      </c>
      <c r="G2396" t="s">
        <v>2082</v>
      </c>
    </row>
    <row r="2397" spans="1:7">
      <c r="A2397" s="866" t="s">
        <v>1114</v>
      </c>
      <c r="B2397" s="866" t="s">
        <v>88</v>
      </c>
      <c r="C2397" s="24">
        <v>46013</v>
      </c>
      <c r="D2397" s="92">
        <v>3523</v>
      </c>
      <c r="G2397" t="s">
        <v>2082</v>
      </c>
    </row>
    <row r="2398" spans="1:7">
      <c r="A2398" s="632" t="s">
        <v>1123</v>
      </c>
      <c r="B2398" s="632" t="s">
        <v>88</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88</v>
      </c>
      <c r="C2401" s="24">
        <v>46014</v>
      </c>
      <c r="F2401" s="266" t="s">
        <v>1743</v>
      </c>
      <c r="G2401" t="s">
        <v>2082</v>
      </c>
    </row>
    <row r="2402" spans="1:7">
      <c r="A2402" s="1183" t="s">
        <v>638</v>
      </c>
      <c r="B2402" s="274" t="s">
        <v>88</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88</v>
      </c>
      <c r="C2404" s="24">
        <v>46014</v>
      </c>
      <c r="E2404" s="253">
        <v>14727</v>
      </c>
      <c r="F2404" s="350" t="s">
        <v>2188</v>
      </c>
      <c r="G2404" t="s">
        <v>2082</v>
      </c>
    </row>
    <row r="2405" spans="1:7">
      <c r="A2405" s="299" t="s">
        <v>1114</v>
      </c>
      <c r="B2405" s="1184" t="s">
        <v>88</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88</v>
      </c>
      <c r="C2411" s="24">
        <v>46020</v>
      </c>
      <c r="D2411" s="92">
        <v>1188</v>
      </c>
      <c r="F2411" s="12" t="s">
        <v>2191</v>
      </c>
      <c r="G2411" t="s">
        <v>2082</v>
      </c>
    </row>
    <row r="2412" spans="1:7">
      <c r="A2412" s="1018" t="s">
        <v>987</v>
      </c>
      <c r="B2412" s="865" t="s">
        <v>88</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88</v>
      </c>
      <c r="C2414" s="24">
        <v>46020</v>
      </c>
      <c r="D2414" s="12">
        <v>738</v>
      </c>
      <c r="G2414" t="s">
        <v>2082</v>
      </c>
    </row>
    <row r="2415" spans="1:7">
      <c r="A2415" s="856" t="s">
        <v>1108</v>
      </c>
      <c r="B2415" s="856" t="s">
        <v>88</v>
      </c>
      <c r="C2415" s="24">
        <v>46020</v>
      </c>
      <c r="D2415" s="92">
        <v>1297</v>
      </c>
      <c r="G2415" t="s">
        <v>2082</v>
      </c>
    </row>
    <row r="2416" spans="1:7">
      <c r="A2416" s="856" t="s">
        <v>1111</v>
      </c>
      <c r="B2416" s="856" t="s">
        <v>88</v>
      </c>
      <c r="C2416" s="24">
        <v>46020</v>
      </c>
      <c r="D2416" s="92">
        <v>2583</v>
      </c>
      <c r="G2416" t="s">
        <v>2082</v>
      </c>
    </row>
    <row r="2417" spans="1:7">
      <c r="A2417" s="856" t="s">
        <v>1077</v>
      </c>
      <c r="B2417" s="856" t="s">
        <v>88</v>
      </c>
      <c r="C2417" s="24">
        <v>46020</v>
      </c>
      <c r="D2417" s="12">
        <v>0</v>
      </c>
      <c r="F2417" s="243" t="s">
        <v>2193</v>
      </c>
      <c r="G2417" t="s">
        <v>2082</v>
      </c>
    </row>
    <row r="2418" spans="1:7">
      <c r="A2418" s="856" t="s">
        <v>1078</v>
      </c>
      <c r="B2418" s="856" t="s">
        <v>88</v>
      </c>
      <c r="C2418" s="24">
        <v>46020</v>
      </c>
      <c r="D2418" s="12">
        <v>0</v>
      </c>
      <c r="F2418" s="243" t="s">
        <v>2193</v>
      </c>
      <c r="G2418" t="s">
        <v>2082</v>
      </c>
    </row>
    <row r="2419" spans="1:7">
      <c r="A2419" s="866" t="s">
        <v>1105</v>
      </c>
      <c r="B2419" s="866" t="s">
        <v>88</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88</v>
      </c>
      <c r="C2423" s="24">
        <v>46021</v>
      </c>
      <c r="D2423" s="12">
        <v>0</v>
      </c>
      <c r="F2423" s="243" t="s">
        <v>1583</v>
      </c>
      <c r="G2423" t="s">
        <v>2082</v>
      </c>
    </row>
    <row r="2424" spans="1:7">
      <c r="A2424" s="243" t="s">
        <v>1074</v>
      </c>
      <c r="B2424" s="610" t="s">
        <v>88</v>
      </c>
      <c r="C2424" s="24">
        <v>46021</v>
      </c>
      <c r="D2424" s="12">
        <v>466</v>
      </c>
      <c r="G2424" t="s">
        <v>2082</v>
      </c>
    </row>
    <row r="2425" spans="1:7">
      <c r="A2425" s="236" t="s">
        <v>1111</v>
      </c>
      <c r="B2425" s="856" t="s">
        <v>88</v>
      </c>
      <c r="C2425" s="24">
        <v>46021</v>
      </c>
      <c r="D2425" s="92">
        <v>3099</v>
      </c>
      <c r="G2425" t="s">
        <v>2082</v>
      </c>
    </row>
    <row r="2426" spans="1:7">
      <c r="A2426" s="237" t="s">
        <v>408</v>
      </c>
      <c r="B2426" s="866" t="s">
        <v>88</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88</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88</v>
      </c>
      <c r="C2436" s="24">
        <v>46027</v>
      </c>
      <c r="D2436" s="92">
        <v>3728</v>
      </c>
      <c r="E2436" s="12"/>
      <c r="G2436" t="s">
        <v>2194</v>
      </c>
    </row>
    <row r="2437" spans="1:7">
      <c r="A2437" s="181" t="s">
        <v>1111</v>
      </c>
      <c r="B2437" s="94" t="s">
        <v>88</v>
      </c>
      <c r="C2437" s="24">
        <v>46027</v>
      </c>
      <c r="D2437" s="92">
        <v>568</v>
      </c>
      <c r="E2437" s="12"/>
      <c r="G2437" t="s">
        <v>2194</v>
      </c>
    </row>
    <row r="2438" spans="1:7">
      <c r="A2438" s="181" t="s">
        <v>1069</v>
      </c>
      <c r="B2438" s="94" t="s">
        <v>88</v>
      </c>
      <c r="C2438" s="24">
        <v>46028</v>
      </c>
      <c r="D2438" s="12">
        <v>0</v>
      </c>
      <c r="E2438" s="12"/>
      <c r="F2438" s="12" t="s">
        <v>2195</v>
      </c>
      <c r="G2438" t="s">
        <v>2194</v>
      </c>
    </row>
    <row r="2439" spans="1:7">
      <c r="A2439" s="181" t="s">
        <v>1074</v>
      </c>
      <c r="B2439" s="94" t="s">
        <v>88</v>
      </c>
      <c r="C2439" s="24">
        <v>46028</v>
      </c>
      <c r="D2439" s="1060">
        <v>1789</v>
      </c>
      <c r="E2439" s="12"/>
      <c r="G2439" t="s">
        <v>2194</v>
      </c>
    </row>
    <row r="2440" spans="1:7">
      <c r="A2440" s="181" t="s">
        <v>1117</v>
      </c>
      <c r="B2440" s="94" t="s">
        <v>88</v>
      </c>
      <c r="C2440" s="24">
        <v>46028</v>
      </c>
      <c r="D2440" s="1060">
        <v>2362</v>
      </c>
      <c r="E2440" s="12"/>
      <c r="G2440" t="s">
        <v>2194</v>
      </c>
    </row>
    <row r="2441" spans="1:7">
      <c r="A2441" s="181" t="s">
        <v>955</v>
      </c>
      <c r="B2441" s="94" t="s">
        <v>88</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88</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88</v>
      </c>
      <c r="C2446" s="24">
        <v>46029</v>
      </c>
      <c r="D2446" s="40">
        <v>0</v>
      </c>
      <c r="E2446" s="12"/>
      <c r="F2446" s="243" t="s">
        <v>2197</v>
      </c>
      <c r="G2446" t="s">
        <v>2194</v>
      </c>
    </row>
    <row r="2447" spans="1:7">
      <c r="A2447" s="181" t="s">
        <v>576</v>
      </c>
      <c r="B2447" s="94" t="s">
        <v>88</v>
      </c>
      <c r="C2447" s="24">
        <v>46029</v>
      </c>
      <c r="D2447" s="1060">
        <v>1687</v>
      </c>
      <c r="E2447" s="12"/>
      <c r="G2447" t="s">
        <v>2194</v>
      </c>
    </row>
    <row r="2448" spans="1:7">
      <c r="A2448" s="181" t="s">
        <v>975</v>
      </c>
      <c r="B2448" s="94" t="s">
        <v>88</v>
      </c>
      <c r="C2448" s="24">
        <v>46029</v>
      </c>
      <c r="D2448" s="1060">
        <v>1056</v>
      </c>
      <c r="E2448" s="12"/>
      <c r="F2448" s="1065" t="s">
        <v>2198</v>
      </c>
      <c r="G2448" t="s">
        <v>2194</v>
      </c>
    </row>
    <row r="2449" spans="1:7">
      <c r="A2449" s="181" t="s">
        <v>955</v>
      </c>
      <c r="B2449" s="94" t="s">
        <v>88</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88</v>
      </c>
      <c r="C2451" s="24">
        <v>46029</v>
      </c>
      <c r="D2451" s="1060">
        <v>3079</v>
      </c>
      <c r="E2451" s="12"/>
      <c r="F2451" s="1065"/>
      <c r="G2451" t="s">
        <v>2194</v>
      </c>
    </row>
    <row r="2452" spans="1:7">
      <c r="A2452" s="299" t="s">
        <v>1102</v>
      </c>
      <c r="B2452" s="658" t="s">
        <v>88</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88</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88</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88</v>
      </c>
      <c r="C2462" s="24">
        <v>46031</v>
      </c>
      <c r="D2462" s="1060">
        <v>104</v>
      </c>
      <c r="E2462" s="40"/>
      <c r="F2462" s="1067"/>
      <c r="G2462" t="s">
        <v>2194</v>
      </c>
    </row>
    <row r="2463" spans="1:7">
      <c r="A2463" s="181" t="s">
        <v>1099</v>
      </c>
      <c r="B2463" s="94" t="s">
        <v>88</v>
      </c>
      <c r="C2463" s="24">
        <v>46031</v>
      </c>
      <c r="D2463" s="40"/>
      <c r="E2463" s="1060">
        <v>1056</v>
      </c>
      <c r="F2463" s="1067"/>
      <c r="G2463" t="s">
        <v>2194</v>
      </c>
    </row>
    <row r="2464" spans="1:7">
      <c r="A2464" s="181" t="s">
        <v>1093</v>
      </c>
      <c r="B2464" s="94" t="s">
        <v>88</v>
      </c>
      <c r="C2464" s="24">
        <v>46031</v>
      </c>
      <c r="D2464" s="40"/>
      <c r="E2464" s="1060">
        <v>1090</v>
      </c>
      <c r="F2464" s="1065"/>
      <c r="G2464" t="s">
        <v>2194</v>
      </c>
    </row>
    <row r="2465" spans="1:7">
      <c r="A2465" s="181" t="s">
        <v>1120</v>
      </c>
      <c r="B2465" s="94" t="s">
        <v>88</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88</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88</v>
      </c>
      <c r="C2471" s="24">
        <v>46034</v>
      </c>
      <c r="D2471" s="40">
        <v>858</v>
      </c>
      <c r="E2471" s="40"/>
      <c r="F2471" s="1067"/>
      <c r="G2471" t="s">
        <v>2194</v>
      </c>
    </row>
    <row r="2472" spans="1:7">
      <c r="A2472" s="181" t="s">
        <v>1131</v>
      </c>
      <c r="B2472" s="94" t="s">
        <v>88</v>
      </c>
      <c r="C2472" s="24">
        <v>46034</v>
      </c>
      <c r="D2472" s="1060">
        <v>4915</v>
      </c>
      <c r="E2472" s="40"/>
      <c r="F2472" s="1067"/>
      <c r="G2472" t="s">
        <v>2194</v>
      </c>
    </row>
    <row r="2473" spans="1:7">
      <c r="A2473" s="181" t="s">
        <v>1129</v>
      </c>
      <c r="B2473" s="94" t="s">
        <v>88</v>
      </c>
      <c r="C2473" s="24">
        <v>46034</v>
      </c>
      <c r="D2473" s="40">
        <v>813</v>
      </c>
      <c r="E2473" s="40"/>
      <c r="F2473" s="1067"/>
      <c r="G2473" t="s">
        <v>2194</v>
      </c>
    </row>
    <row r="2474" spans="1:7">
      <c r="A2474" s="181" t="s">
        <v>975</v>
      </c>
      <c r="B2474" s="94" t="s">
        <v>88</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88</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88</v>
      </c>
      <c r="C2480" s="24">
        <v>46035</v>
      </c>
      <c r="D2480" s="40"/>
      <c r="E2480" s="1060">
        <v>1208</v>
      </c>
      <c r="F2480" s="1065"/>
      <c r="G2480" t="s">
        <v>2194</v>
      </c>
    </row>
    <row r="2481" spans="1:7">
      <c r="A2481" s="181" t="s">
        <v>1131</v>
      </c>
      <c r="B2481" s="94" t="s">
        <v>88</v>
      </c>
      <c r="C2481" s="24">
        <v>46035</v>
      </c>
      <c r="D2481" s="40">
        <v>914</v>
      </c>
      <c r="E2481" s="40"/>
      <c r="F2481" s="1067" t="s">
        <v>2206</v>
      </c>
      <c r="G2481" t="s">
        <v>2194</v>
      </c>
    </row>
    <row r="2482" spans="1:7">
      <c r="A2482" s="181" t="s">
        <v>1133</v>
      </c>
      <c r="B2482" s="94" t="s">
        <v>88</v>
      </c>
      <c r="C2482" s="24">
        <v>46035</v>
      </c>
      <c r="D2482" s="1060">
        <v>6092</v>
      </c>
      <c r="E2482" s="40"/>
      <c r="F2482" s="1067"/>
      <c r="G2482" t="s">
        <v>2194</v>
      </c>
    </row>
    <row r="2483" spans="1:7">
      <c r="A2483" s="181" t="s">
        <v>1129</v>
      </c>
      <c r="B2483" s="94" t="s">
        <v>88</v>
      </c>
      <c r="C2483" s="24">
        <v>46035</v>
      </c>
      <c r="D2483" s="1060">
        <v>1491</v>
      </c>
      <c r="E2483" s="40"/>
      <c r="F2483" s="1067"/>
      <c r="G2483" t="s">
        <v>2194</v>
      </c>
    </row>
    <row r="2484" spans="1:7">
      <c r="A2484" s="181" t="s">
        <v>1135</v>
      </c>
      <c r="B2484" s="94" t="s">
        <v>88</v>
      </c>
      <c r="C2484" s="24">
        <v>46035</v>
      </c>
      <c r="D2484" s="40">
        <v>822</v>
      </c>
      <c r="E2484" s="40"/>
      <c r="F2484" s="1067"/>
      <c r="G2484" t="s">
        <v>2194</v>
      </c>
    </row>
    <row r="2485" spans="1:7">
      <c r="A2485" s="299" t="s">
        <v>975</v>
      </c>
      <c r="B2485" s="658" t="s">
        <v>88</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88</v>
      </c>
      <c r="C2492" s="24">
        <v>46036</v>
      </c>
      <c r="D2492" s="40">
        <v>0</v>
      </c>
      <c r="E2492" s="12"/>
      <c r="F2492" s="1066" t="s">
        <v>1583</v>
      </c>
      <c r="G2492" t="s">
        <v>2194</v>
      </c>
    </row>
    <row r="2493" spans="1:7">
      <c r="A2493" s="181" t="s">
        <v>1133</v>
      </c>
      <c r="B2493" s="94" t="s">
        <v>88</v>
      </c>
      <c r="C2493" s="24">
        <v>46036</v>
      </c>
      <c r="D2493" s="40">
        <v>0</v>
      </c>
      <c r="E2493" s="12"/>
      <c r="F2493" s="1067" t="s">
        <v>2211</v>
      </c>
      <c r="G2493" t="s">
        <v>2194</v>
      </c>
    </row>
    <row r="2494" spans="1:7">
      <c r="A2494" s="181" t="s">
        <v>1129</v>
      </c>
      <c r="B2494" s="94" t="s">
        <v>88</v>
      </c>
      <c r="C2494" s="24">
        <v>46036</v>
      </c>
      <c r="D2494" s="1060">
        <v>1062</v>
      </c>
      <c r="E2494" s="12"/>
      <c r="F2494" s="1067"/>
      <c r="G2494" t="s">
        <v>2194</v>
      </c>
    </row>
    <row r="2495" spans="1:7">
      <c r="A2495" s="181" t="s">
        <v>1135</v>
      </c>
      <c r="B2495" s="94" t="s">
        <v>88</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88</v>
      </c>
      <c r="C2499" s="24">
        <v>46036</v>
      </c>
      <c r="D2499" s="1060">
        <v>1295</v>
      </c>
      <c r="E2499" s="12"/>
      <c r="F2499" s="1067" t="s">
        <v>2214</v>
      </c>
      <c r="G2499" t="s">
        <v>2194</v>
      </c>
    </row>
    <row r="2500" spans="1:7">
      <c r="A2500" s="299" t="s">
        <v>1139</v>
      </c>
      <c r="B2500" s="658" t="s">
        <v>88</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88</v>
      </c>
      <c r="C2502" s="24">
        <v>46036</v>
      </c>
      <c r="D2502" s="40">
        <v>0</v>
      </c>
      <c r="E2502" s="12"/>
      <c r="F2502" s="1067" t="s">
        <v>2216</v>
      </c>
      <c r="G2502" t="s">
        <v>2194</v>
      </c>
    </row>
    <row r="2503" spans="1:7">
      <c r="A2503" s="181" t="s">
        <v>1137</v>
      </c>
      <c r="B2503" s="94" t="s">
        <v>88</v>
      </c>
      <c r="C2503" s="24">
        <v>46036</v>
      </c>
      <c r="D2503" s="1060">
        <v>1728</v>
      </c>
      <c r="E2503" s="12"/>
      <c r="F2503" s="1067" t="s">
        <v>1870</v>
      </c>
      <c r="G2503" t="s">
        <v>2194</v>
      </c>
    </row>
    <row r="2504" spans="1:7">
      <c r="A2504" s="181" t="s">
        <v>1129</v>
      </c>
      <c r="B2504" s="94" t="s">
        <v>88</v>
      </c>
      <c r="C2504" s="24">
        <v>46037</v>
      </c>
      <c r="D2504" s="40">
        <v>527</v>
      </c>
      <c r="E2504" s="12"/>
      <c r="F2504" s="1067" t="s">
        <v>1935</v>
      </c>
      <c r="G2504" t="s">
        <v>2194</v>
      </c>
    </row>
    <row r="2505" spans="1:7">
      <c r="A2505" s="181" t="s">
        <v>1141</v>
      </c>
      <c r="B2505" s="94" t="s">
        <v>88</v>
      </c>
      <c r="C2505" s="24">
        <v>46037</v>
      </c>
      <c r="D2505" s="1060">
        <v>1562</v>
      </c>
      <c r="E2505" s="12"/>
      <c r="F2505" s="1067"/>
      <c r="G2505" t="s">
        <v>2194</v>
      </c>
    </row>
    <row r="2506" spans="1:7">
      <c r="A2506" s="181" t="s">
        <v>1139</v>
      </c>
      <c r="B2506" s="94" t="s">
        <v>88</v>
      </c>
      <c r="C2506" s="24">
        <v>46037</v>
      </c>
      <c r="D2506" s="1060">
        <v>2832</v>
      </c>
      <c r="E2506" s="12"/>
      <c r="F2506" s="1067"/>
      <c r="G2506" t="s">
        <v>2194</v>
      </c>
    </row>
    <row r="2507" spans="1:7">
      <c r="A2507" s="181" t="s">
        <v>1133</v>
      </c>
      <c r="B2507" s="94" t="s">
        <v>88</v>
      </c>
      <c r="C2507" s="24">
        <v>46037</v>
      </c>
      <c r="D2507" s="40">
        <v>0</v>
      </c>
      <c r="E2507" s="12"/>
      <c r="F2507" s="1067" t="s">
        <v>2217</v>
      </c>
      <c r="G2507" t="s">
        <v>2194</v>
      </c>
    </row>
    <row r="2508" spans="1:7">
      <c r="A2508" s="181" t="s">
        <v>1143</v>
      </c>
      <c r="B2508" s="94" t="s">
        <v>88</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88</v>
      </c>
      <c r="C2514" s="272">
        <v>46038</v>
      </c>
      <c r="D2514" s="261">
        <v>987</v>
      </c>
      <c r="E2514" s="185"/>
      <c r="F2514" s="1067"/>
      <c r="G2514" t="s">
        <v>2194</v>
      </c>
    </row>
    <row r="2515" spans="1:7">
      <c r="A2515" s="181" t="s">
        <v>1139</v>
      </c>
      <c r="B2515" s="94" t="s">
        <v>88</v>
      </c>
      <c r="C2515" s="24">
        <v>46038</v>
      </c>
      <c r="D2515" s="40">
        <v>457</v>
      </c>
      <c r="F2515" s="1067"/>
      <c r="G2515" t="s">
        <v>2194</v>
      </c>
    </row>
    <row r="2516" spans="1:7">
      <c r="A2516" s="181" t="s">
        <v>1137</v>
      </c>
      <c r="B2516" s="94" t="s">
        <v>88</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88</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88</v>
      </c>
      <c r="C2525" s="24">
        <v>46042</v>
      </c>
      <c r="D2525" s="12">
        <v>0</v>
      </c>
      <c r="E2525" s="185"/>
      <c r="F2525" s="1087" t="s">
        <v>1583</v>
      </c>
      <c r="G2525" t="s">
        <v>2194</v>
      </c>
    </row>
    <row r="2526" spans="1:7">
      <c r="A2526" s="243" t="s">
        <v>396</v>
      </c>
      <c r="B2526" s="94" t="s">
        <v>88</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88</v>
      </c>
      <c r="C2531" s="24">
        <v>46042</v>
      </c>
      <c r="D2531" s="12">
        <v>0</v>
      </c>
      <c r="F2531" s="243" t="s">
        <v>2020</v>
      </c>
      <c r="G2531" t="s">
        <v>2194</v>
      </c>
    </row>
    <row r="2532" spans="1:7">
      <c r="A2532" s="247" t="s">
        <v>1145</v>
      </c>
      <c r="B2532" s="94" t="s">
        <v>88</v>
      </c>
      <c r="C2532" s="24">
        <v>46042</v>
      </c>
      <c r="D2532" s="92">
        <v>1277</v>
      </c>
      <c r="F2532" s="1065"/>
      <c r="G2532" t="s">
        <v>2194</v>
      </c>
    </row>
    <row r="2533" spans="1:7">
      <c r="A2533" s="598" t="s">
        <v>1139</v>
      </c>
      <c r="B2533" s="94" t="s">
        <v>88</v>
      </c>
      <c r="C2533" s="265">
        <v>46042</v>
      </c>
      <c r="D2533" s="52">
        <v>506</v>
      </c>
      <c r="E2533" s="138"/>
      <c r="F2533" s="1102"/>
      <c r="G2533" t="s">
        <v>2194</v>
      </c>
    </row>
    <row r="2534" spans="1:7">
      <c r="A2534" s="238" t="s">
        <v>403</v>
      </c>
      <c r="B2534" s="658" t="s">
        <v>88</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88</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88</v>
      </c>
      <c r="C2544" s="24">
        <v>46043</v>
      </c>
      <c r="D2544" s="12">
        <v>575</v>
      </c>
      <c r="F2544" s="1065"/>
      <c r="G2544" t="s">
        <v>2194</v>
      </c>
    </row>
    <row r="2545" spans="1:7">
      <c r="A2545" s="598" t="s">
        <v>1141</v>
      </c>
      <c r="B2545" s="94" t="s">
        <v>88</v>
      </c>
      <c r="C2545" s="265">
        <v>46043</v>
      </c>
      <c r="D2545" s="1101">
        <v>2265</v>
      </c>
      <c r="E2545" s="138"/>
      <c r="F2545" s="1102"/>
      <c r="G2545" t="s">
        <v>2194</v>
      </c>
    </row>
    <row r="2546" spans="1:7">
      <c r="A2546" s="238" t="s">
        <v>1120</v>
      </c>
      <c r="B2546" s="658" t="s">
        <v>88</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88</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88</v>
      </c>
      <c r="C2556" s="24">
        <v>46044</v>
      </c>
      <c r="D2556" s="92">
        <v>1776</v>
      </c>
      <c r="F2556" s="1065" t="s">
        <v>2236</v>
      </c>
      <c r="G2556" t="s">
        <v>2194</v>
      </c>
    </row>
    <row r="2557" spans="1:7">
      <c r="A2557" s="598" t="s">
        <v>1120</v>
      </c>
      <c r="B2557" s="658" t="s">
        <v>88</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88</v>
      </c>
      <c r="C2563" s="24">
        <v>46045</v>
      </c>
      <c r="D2563" s="92">
        <v>2651</v>
      </c>
      <c r="F2563" s="1065" t="s">
        <v>2239</v>
      </c>
      <c r="G2563" t="s">
        <v>2194</v>
      </c>
    </row>
    <row r="2564" spans="1:7">
      <c r="A2564" s="598" t="s">
        <v>1143</v>
      </c>
      <c r="B2564" s="658" t="s">
        <v>88</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88</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88</v>
      </c>
      <c r="C2569" s="24">
        <v>46048</v>
      </c>
      <c r="F2569" s="610" t="s">
        <v>2242</v>
      </c>
      <c r="G2569" t="s">
        <v>2194</v>
      </c>
    </row>
    <row r="2570" spans="1:7">
      <c r="A2570" s="1104" t="s">
        <v>396</v>
      </c>
      <c r="B2570" s="658" t="s">
        <v>88</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88</v>
      </c>
      <c r="C2575" s="24">
        <v>46048</v>
      </c>
      <c r="E2575" s="253">
        <v>6116</v>
      </c>
      <c r="F2575" s="12" t="s">
        <v>2246</v>
      </c>
      <c r="G2575" t="s">
        <v>2194</v>
      </c>
    </row>
    <row r="2576" spans="1:7">
      <c r="A2576" s="181" t="s">
        <v>1135</v>
      </c>
      <c r="B2576" s="94" t="s">
        <v>88</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88</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88</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88</v>
      </c>
      <c r="C2586" s="24">
        <v>46049</v>
      </c>
      <c r="E2586" s="253">
        <v>2058</v>
      </c>
      <c r="F2586" s="610" t="s">
        <v>2252</v>
      </c>
      <c r="G2586" t="s">
        <v>2194</v>
      </c>
    </row>
    <row r="2587" spans="1:7">
      <c r="A2587" s="750" t="s">
        <v>1129</v>
      </c>
      <c r="B2587" s="94" t="s">
        <v>88</v>
      </c>
      <c r="C2587" s="24">
        <v>46049</v>
      </c>
      <c r="F2587" s="610" t="s">
        <v>1583</v>
      </c>
      <c r="G2587" t="s">
        <v>2194</v>
      </c>
    </row>
    <row r="2588" spans="1:7">
      <c r="A2588" s="750" t="s">
        <v>1131</v>
      </c>
      <c r="B2588" s="94" t="s">
        <v>88</v>
      </c>
      <c r="C2588" s="24">
        <v>46049</v>
      </c>
      <c r="F2588" s="610" t="s">
        <v>1583</v>
      </c>
      <c r="G2588" t="s">
        <v>2194</v>
      </c>
    </row>
    <row r="2589" spans="1:7">
      <c r="A2589" s="750" t="s">
        <v>1137</v>
      </c>
      <c r="B2589" s="94" t="s">
        <v>88</v>
      </c>
      <c r="C2589" s="24">
        <v>46049</v>
      </c>
      <c r="F2589" s="610" t="s">
        <v>1583</v>
      </c>
      <c r="G2589" t="s">
        <v>2194</v>
      </c>
    </row>
    <row r="2590" spans="1:7">
      <c r="A2590" s="750" t="s">
        <v>1139</v>
      </c>
      <c r="B2590" s="94" t="s">
        <v>88</v>
      </c>
      <c r="C2590" s="24">
        <v>46049</v>
      </c>
      <c r="F2590" s="610" t="s">
        <v>1583</v>
      </c>
      <c r="G2590" t="s">
        <v>2194</v>
      </c>
    </row>
    <row r="2591" spans="1:7">
      <c r="A2591" s="750" t="s">
        <v>1141</v>
      </c>
      <c r="B2591" s="94" t="s">
        <v>88</v>
      </c>
      <c r="C2591" s="24">
        <v>46049</v>
      </c>
      <c r="F2591" s="243" t="s">
        <v>2253</v>
      </c>
      <c r="G2591" t="s">
        <v>2194</v>
      </c>
    </row>
    <row r="2592" spans="1:7">
      <c r="A2592" s="243" t="s">
        <v>1267</v>
      </c>
      <c r="B2592" s="243" t="s">
        <v>366</v>
      </c>
      <c r="C2592" s="24">
        <v>46050</v>
      </c>
      <c r="D2592" s="12">
        <v>62</v>
      </c>
      <c r="G2592" t="s">
        <v>2194</v>
      </c>
    </row>
    <row r="2593" spans="1:7">
      <c r="A2593" s="266" t="s">
        <v>978</v>
      </c>
      <c r="B2593" s="658" t="s">
        <v>88</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88</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88</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88</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88</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88</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88</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88</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88</v>
      </c>
      <c r="C2654" s="24">
        <v>46058</v>
      </c>
      <c r="D2654" s="12">
        <v>253</v>
      </c>
      <c r="G2654" t="s">
        <v>1286</v>
      </c>
    </row>
    <row r="2655" spans="1:7">
      <c r="A2655" s="610" t="s">
        <v>394</v>
      </c>
      <c r="B2655" s="610" t="s">
        <v>88</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88</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88</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88</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88</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88</v>
      </c>
      <c r="C2707" s="24">
        <v>46072</v>
      </c>
      <c r="D2707" s="12">
        <v>864</v>
      </c>
      <c r="F2707" s="12" t="s">
        <v>2296</v>
      </c>
      <c r="G2707" t="s">
        <v>1286</v>
      </c>
    </row>
    <row r="2708" spans="1:7">
      <c r="A2708" s="247" t="s">
        <v>81</v>
      </c>
      <c r="B2708" s="247" t="s">
        <v>88</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88</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88</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88</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88</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66" t="str">
        <v>AREA</v>
      </c>
      <c r="C1" s="1366" t="str">
        <v>SOW TSD Date</v>
      </c>
      <c r="D1" s="1366" t="str">
        <v>HHP</v>
      </c>
      <c r="E1" s="1366" t="str">
        <v>Permit Status</v>
      </c>
      <c r="F1" s="1366" t="str">
        <v>SOW Received</v>
      </c>
      <c r="G1" s="1366" t="str">
        <v>SOW Estimated Cost</v>
      </c>
      <c r="H1" s="1366" t="str">
        <v>NTP Received</v>
      </c>
      <c r="I1" s="1366" t="str">
        <v>Footage UG</v>
      </c>
      <c r="J1" s="136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D-HNP114/H0103D</v>
      </c>
      <c r="B3" s="274" t="str">
        <v>St Petersburg</v>
      </c>
      <c r="C3" s="274">
        <v>46080</v>
      </c>
      <c r="D3" s="274">
        <v>81</v>
      </c>
      <c r="E3" s="274" t="str">
        <v>Received</v>
      </c>
      <c r="F3" s="274" t="str">
        <v>Yes</v>
      </c>
      <c r="G3" s="274">
        <v>70635</v>
      </c>
      <c r="H3" s="274" t="str">
        <v>Yes</v>
      </c>
      <c r="I3" s="274">
        <v>6092</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FB-HNP144</v>
      </c>
      <c r="B4" s="274" t="str">
        <v>St Petersburg</v>
      </c>
      <c r="C4" s="274">
        <v>46080</v>
      </c>
      <c r="D4" s="274">
        <v>0</v>
      </c>
      <c r="E4" s="274" t="str">
        <v>Received</v>
      </c>
      <c r="F4" s="274" t="str">
        <v>Yes</v>
      </c>
      <c r="G4" s="274">
        <v>31186.25</v>
      </c>
      <c r="H4" s="274" t="str">
        <v>Yes</v>
      </c>
      <c r="I4" s="274">
        <v>2003</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Bridgewater Luxury Rentals MDU</v>
      </c>
      <c r="B5" s="274" t="str">
        <v>St Petersburg</v>
      </c>
      <c r="C5" s="274">
        <v>46188</v>
      </c>
      <c r="D5" s="274">
        <v>262</v>
      </c>
      <c r="E5" s="274" t="str">
        <v>Not Required</v>
      </c>
      <c r="F5" s="274" t="str">
        <v>Yes</v>
      </c>
      <c r="G5" s="274">
        <v>76768.800000000003</v>
      </c>
      <c r="H5" s="274" t="str">
        <v>Yes</v>
      </c>
      <c r="I5" s="274">
        <v>6824</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Pine Rush Villas</v>
      </c>
      <c r="B6" s="274" t="str">
        <v>St Petersburg</v>
      </c>
      <c r="C6" s="274">
        <v>46188</v>
      </c>
      <c r="D6" s="274">
        <v>156</v>
      </c>
      <c r="E6" s="274" t="str">
        <v>Not Required</v>
      </c>
      <c r="F6" s="274" t="str">
        <v>No</v>
      </c>
      <c r="G6" s="274">
        <v>0</v>
      </c>
      <c r="H6" s="274" t="str">
        <v>No</v>
      </c>
      <c r="I6" s="274">
        <v>4677</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Kenwood Apartments</v>
      </c>
      <c r="B7" s="274" t="str">
        <v>St Petersburg</v>
      </c>
      <c r="C7" s="274">
        <v>46096</v>
      </c>
      <c r="D7" s="274">
        <v>18</v>
      </c>
      <c r="E7" s="274" t="str">
        <v>Not Required</v>
      </c>
      <c r="F7" s="274" t="str">
        <v>Yes</v>
      </c>
      <c r="G7" s="274">
        <v>2490.5</v>
      </c>
      <c r="H7" s="274" t="str">
        <v>Yes</v>
      </c>
      <c r="I7" s="274">
        <v>130</v>
      </c>
      <c r="J7" s="274">
        <v>0</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66" t="str">
        <v/>
      </c>
      <c r="B8" s="1366" t="str">
        <v/>
      </c>
      <c r="C8" s="1366" t="str">
        <v/>
      </c>
      <c r="D8" s="1366" t="str">
        <v/>
      </c>
      <c r="E8" s="1366" t="str">
        <v/>
      </c>
      <c r="F8" s="1366" t="str">
        <v/>
      </c>
      <c r="G8" s="1366" t="str">
        <v/>
      </c>
      <c r="H8" s="1366" t="str">
        <v/>
      </c>
      <c r="I8" s="1366" t="str">
        <v/>
      </c>
      <c r="J8" s="1366" t="str">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Market 2 NTP Number</v>
      </c>
      <c r="B9" s="274" t="str">
        <v>AREA</v>
      </c>
      <c r="C9" s="274" t="str">
        <v>SOW TSD Date</v>
      </c>
      <c r="D9" s="274" t="str">
        <v>HHP</v>
      </c>
      <c r="E9" s="274" t="str">
        <v>Permit Status</v>
      </c>
      <c r="F9" s="274" t="str">
        <v>SOW Received</v>
      </c>
      <c r="G9" s="274" t="str">
        <v>SOW Estimated Cost</v>
      </c>
      <c r="H9" s="274" t="str">
        <v>NTP Received</v>
      </c>
      <c r="I9" s="274" t="str">
        <v>Footage UG</v>
      </c>
      <c r="J9" s="274" t="str">
        <v xml:space="preserve">Fiber Placement and Splice Only Footage </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D-HWP107</v>
      </c>
      <c r="B10" s="274" t="str">
        <v>Lakeland</v>
      </c>
      <c r="C10" s="274">
        <v>46101</v>
      </c>
      <c r="D10" s="274">
        <v>65</v>
      </c>
      <c r="E10" s="274" t="str">
        <v>Received</v>
      </c>
      <c r="F10" s="274" t="str">
        <v>Yes</v>
      </c>
      <c r="G10" s="274">
        <v>60922</v>
      </c>
      <c r="H10" s="274" t="str">
        <v>Yes</v>
      </c>
      <c r="I10" s="274">
        <v>4907</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D-HWP108</v>
      </c>
      <c r="B11" s="274" t="str">
        <v>Lakeland</v>
      </c>
      <c r="C11" s="274">
        <v>46101</v>
      </c>
      <c r="D11" s="274">
        <v>79</v>
      </c>
      <c r="E11" s="274" t="str">
        <v>Received</v>
      </c>
      <c r="F11" s="274" t="str">
        <v>Yes</v>
      </c>
      <c r="G11" s="274">
        <v>59768</v>
      </c>
      <c r="H11" s="274" t="str">
        <v>Yes</v>
      </c>
      <c r="I11" s="274">
        <v>4862</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D-HWP110</v>
      </c>
      <c r="B12" s="274" t="str">
        <v>Lakeland</v>
      </c>
      <c r="C12" s="274">
        <v>46101</v>
      </c>
      <c r="D12" s="274">
        <v>55</v>
      </c>
      <c r="E12" s="274" t="str">
        <v>Received</v>
      </c>
      <c r="F12" s="274" t="str">
        <v>Yes</v>
      </c>
      <c r="G12" s="274">
        <v>44782</v>
      </c>
      <c r="H12" s="274" t="str">
        <v>Yes</v>
      </c>
      <c r="I12" s="274">
        <v>3690</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D-HWP603</v>
      </c>
      <c r="B13" s="274" t="str">
        <v>Lakeland</v>
      </c>
      <c r="C13" s="274">
        <v>46041</v>
      </c>
      <c r="D13" s="274">
        <v>43</v>
      </c>
      <c r="E13" s="274" t="str">
        <v>Pending</v>
      </c>
      <c r="F13" s="274" t="str">
        <v>Yes</v>
      </c>
      <c r="G13" s="274">
        <v>47561.5</v>
      </c>
      <c r="H13" s="274" t="str">
        <v>Yes</v>
      </c>
      <c r="I13" s="274">
        <v>3905</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D-HWP919</v>
      </c>
      <c r="B14" s="274" t="str">
        <v>Lakeland</v>
      </c>
      <c r="C14" s="274">
        <v>45838</v>
      </c>
      <c r="D14" s="274">
        <v>26</v>
      </c>
      <c r="E14" s="274" t="str">
        <v>Pending</v>
      </c>
      <c r="F14" s="274" t="str">
        <v>Yes</v>
      </c>
      <c r="G14" s="274">
        <v>12781.6</v>
      </c>
      <c r="H14" s="274" t="str">
        <v>Yes</v>
      </c>
      <c r="I14" s="274">
        <v>937</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FB-HWP376</v>
      </c>
      <c r="B15" s="274" t="str">
        <v>Lakeland</v>
      </c>
      <c r="C15" s="274">
        <v>46006</v>
      </c>
      <c r="D15" s="274">
        <v>0</v>
      </c>
      <c r="E15" s="274" t="str">
        <v>Received</v>
      </c>
      <c r="F15" s="274" t="str">
        <v>Yes</v>
      </c>
      <c r="G15" s="274">
        <v>54857.5</v>
      </c>
      <c r="H15" s="274" t="str">
        <v>Yes</v>
      </c>
      <c r="I15" s="274">
        <v>4104</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FB-HWP478</v>
      </c>
      <c r="B16" s="274" t="str">
        <v>Lakeland</v>
      </c>
      <c r="C16" s="274">
        <v>46117</v>
      </c>
      <c r="D16" s="274">
        <v>0</v>
      </c>
      <c r="E16" s="274" t="str">
        <v>Pending</v>
      </c>
      <c r="F16" s="274" t="str">
        <v>Yes</v>
      </c>
      <c r="G16" s="274">
        <v>13022.05</v>
      </c>
      <c r="H16" s="274" t="str">
        <v>Yes</v>
      </c>
      <c r="I16" s="274">
        <v>923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FB-HWP601</v>
      </c>
      <c r="B17" s="274" t="str">
        <v>Lakeland</v>
      </c>
      <c r="C17" s="274">
        <v>46053</v>
      </c>
      <c r="D17" s="274">
        <v>0</v>
      </c>
      <c r="E17" s="274" t="str">
        <v>Pending</v>
      </c>
      <c r="F17" s="274" t="str">
        <v>Yes</v>
      </c>
      <c r="G17" s="274">
        <v>72842</v>
      </c>
      <c r="H17" s="274" t="str">
        <v>Yes</v>
      </c>
      <c r="I17" s="274">
        <v>5780</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FB-HWP881</v>
      </c>
      <c r="B18" s="274" t="str">
        <v>Lakeland</v>
      </c>
      <c r="C18" s="274">
        <v>46142</v>
      </c>
      <c r="D18" s="274">
        <v>0</v>
      </c>
      <c r="E18" s="274" t="str">
        <v>Received</v>
      </c>
      <c r="F18" s="274" t="str">
        <v>Yes</v>
      </c>
      <c r="G18" s="274">
        <v>255.05</v>
      </c>
      <c r="H18" s="274" t="str">
        <v>Yes</v>
      </c>
      <c r="I18" s="274">
        <v>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FB-HWP875</v>
      </c>
      <c r="B19" s="274" t="str">
        <v>Lakeland</v>
      </c>
      <c r="C19" s="274">
        <v>46020</v>
      </c>
      <c r="D19" s="274">
        <v>0</v>
      </c>
      <c r="E19" s="274" t="str">
        <v>Pending</v>
      </c>
      <c r="F19" s="274" t="str">
        <v>Yes</v>
      </c>
      <c r="G19" s="274">
        <v>17916.55</v>
      </c>
      <c r="H19" s="274" t="str">
        <v>Yes</v>
      </c>
      <c r="I19" s="274">
        <v>1433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FB-HWP876</v>
      </c>
      <c r="B20" s="274" t="str">
        <v>Lakeland</v>
      </c>
      <c r="C20" s="274">
        <v>46052</v>
      </c>
      <c r="D20" s="274">
        <v>0</v>
      </c>
      <c r="E20" s="274" t="str">
        <v>Pending</v>
      </c>
      <c r="F20" s="274" t="str">
        <v>Yes</v>
      </c>
      <c r="G20" s="274">
        <v>18401.05</v>
      </c>
      <c r="H20" s="274" t="str">
        <v>Yes</v>
      </c>
      <c r="I20" s="274">
        <v>1403</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FB-HWP879</v>
      </c>
      <c r="B21" s="274" t="str">
        <v>Lakeland</v>
      </c>
      <c r="C21" s="274">
        <v>46010</v>
      </c>
      <c r="D21" s="274">
        <v>0</v>
      </c>
      <c r="E21" s="274" t="str">
        <v>Pending</v>
      </c>
      <c r="F21" s="274" t="str">
        <v>Yes</v>
      </c>
      <c r="G21" s="274">
        <v>34863</v>
      </c>
      <c r="H21" s="274" t="str">
        <v>Yes</v>
      </c>
      <c r="I21" s="274">
        <v>2710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FB-HWP904</v>
      </c>
      <c r="B22" s="274" t="str">
        <v>Lakeland</v>
      </c>
      <c r="C22" s="274">
        <v>46203</v>
      </c>
      <c r="D22" s="274">
        <v>0</v>
      </c>
      <c r="E22" s="274" t="str">
        <v>Not Required</v>
      </c>
      <c r="F22" s="274" t="str">
        <v>Yes</v>
      </c>
      <c r="G22" s="274">
        <v>388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66" t="str">
        <v>FB-HWP1001</v>
      </c>
      <c r="B23" s="1366" t="str">
        <v>Lakeland</v>
      </c>
      <c r="C23" s="1366">
        <v>46073</v>
      </c>
      <c r="D23" s="1366">
        <v>0</v>
      </c>
      <c r="E23" s="1366" t="str">
        <v>Received</v>
      </c>
      <c r="F23" s="1366" t="str">
        <v>Yes</v>
      </c>
      <c r="G23" s="1366">
        <v>223.8</v>
      </c>
      <c r="H23" s="1366" t="str">
        <v>Yes</v>
      </c>
      <c r="I23" s="1366">
        <v>0</v>
      </c>
      <c r="J23" s="1366">
        <v>0</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
      </c>
      <c r="B24" s="274" t="str">
        <v/>
      </c>
      <c r="C24" s="274" t="str">
        <v/>
      </c>
      <c r="D24" s="274" t="str">
        <v/>
      </c>
      <c r="E24" s="274" t="str">
        <v/>
      </c>
      <c r="F24" s="274" t="str">
        <v/>
      </c>
      <c r="G24" s="274" t="str">
        <v/>
      </c>
      <c r="H24" s="274" t="str">
        <v/>
      </c>
      <c r="I24" s="274" t="str">
        <v/>
      </c>
      <c r="J24" s="274" t="str">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Market 3 NTP Number</v>
      </c>
      <c r="B25" s="274" t="str">
        <v>AREA</v>
      </c>
      <c r="C25" s="274" t="str">
        <v>SOW TSD Date</v>
      </c>
      <c r="D25" s="274" t="str">
        <v>HHP</v>
      </c>
      <c r="E25" s="274" t="str">
        <v>Permit Status</v>
      </c>
      <c r="F25" s="274" t="str">
        <v>SOW Received</v>
      </c>
      <c r="G25" s="274" t="str">
        <v>SOW Estimated Cost</v>
      </c>
      <c r="H25" s="274" t="str">
        <v>NTP Received</v>
      </c>
      <c r="I25" s="274" t="str">
        <v>Footage UG</v>
      </c>
      <c r="J25" s="274" t="str">
        <v xml:space="preserve">Fiber Placement and Splice Only Footage </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BHT-FLX-02</v>
      </c>
      <c r="B26" s="274" t="str">
        <v>Bradenton</v>
      </c>
      <c r="C26" s="274">
        <v>46107</v>
      </c>
      <c r="D26" s="274">
        <v>0</v>
      </c>
      <c r="E26" s="274" t="str">
        <v>Received</v>
      </c>
      <c r="F26" s="274" t="str">
        <v>Yes</v>
      </c>
      <c r="G26" s="274">
        <v>12404.9</v>
      </c>
      <c r="H26" s="274" t="str">
        <v>Yes</v>
      </c>
      <c r="I26" s="274">
        <v>1111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BHU-FLX-01-W</v>
      </c>
      <c r="B27" s="274" t="str">
        <v>Bradenton</v>
      </c>
      <c r="C27" s="274">
        <v>0</v>
      </c>
      <c r="D27" s="274">
        <v>0</v>
      </c>
      <c r="E27" s="274" t="str">
        <v>Received</v>
      </c>
      <c r="F27" s="274" t="str">
        <v>No</v>
      </c>
      <c r="G27" s="274">
        <v>0</v>
      </c>
      <c r="H27" s="274" t="str">
        <v>No</v>
      </c>
      <c r="I27" s="274">
        <v>311</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BHUD-FLX-04-E</v>
      </c>
      <c r="B28" s="274" t="str">
        <v>Bradenton</v>
      </c>
      <c r="C28" s="274">
        <v>46107</v>
      </c>
      <c r="D28" s="274">
        <v>0</v>
      </c>
      <c r="E28" s="274" t="str">
        <v>Received</v>
      </c>
      <c r="F28" s="274" t="str">
        <v>Yes</v>
      </c>
      <c r="G28" s="274">
        <v>82825</v>
      </c>
      <c r="H28" s="274" t="str">
        <v>Yes</v>
      </c>
      <c r="I28" s="274">
        <v>6210</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BHZD-FLX-04-W</v>
      </c>
      <c r="B29" s="274" t="str">
        <v>Bradenton</v>
      </c>
      <c r="C29" s="274">
        <v>46107</v>
      </c>
      <c r="D29" s="274">
        <v>7</v>
      </c>
      <c r="E29" s="274" t="str">
        <v>Received</v>
      </c>
      <c r="F29" s="274" t="str">
        <v>Yes</v>
      </c>
      <c r="G29" s="274">
        <v>34736.85</v>
      </c>
      <c r="H29" s="274" t="str">
        <v>Yes</v>
      </c>
      <c r="I29" s="274">
        <v>2601</v>
      </c>
      <c r="J29" s="274">
        <v>2601</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D-HOE501</v>
      </c>
      <c r="B30" s="274" t="str">
        <v>Bradenton</v>
      </c>
      <c r="C30" s="274">
        <v>46107</v>
      </c>
      <c r="D30" s="274">
        <v>82</v>
      </c>
      <c r="E30" s="274" t="str">
        <v>Received</v>
      </c>
      <c r="F30" s="274" t="str">
        <v>Yes</v>
      </c>
      <c r="G30" s="274">
        <v>56294</v>
      </c>
      <c r="H30" s="274" t="str">
        <v>Yes</v>
      </c>
      <c r="I30" s="274">
        <v>4146</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D-HOE502</v>
      </c>
      <c r="B31" s="274" t="str">
        <v>Bradenton</v>
      </c>
      <c r="C31" s="274">
        <v>46107</v>
      </c>
      <c r="D31" s="274">
        <v>54</v>
      </c>
      <c r="E31" s="274" t="str">
        <v>Received</v>
      </c>
      <c r="F31" s="274" t="str">
        <v>Yes</v>
      </c>
      <c r="G31" s="274">
        <v>58240</v>
      </c>
      <c r="H31" s="274" t="str">
        <v>Yes</v>
      </c>
      <c r="I31" s="274">
        <v>4594</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D-HLR204</v>
      </c>
      <c r="B32" s="274" t="str">
        <v>Bradenton</v>
      </c>
      <c r="C32" s="274">
        <v>46099</v>
      </c>
      <c r="D32" s="274">
        <v>69</v>
      </c>
      <c r="E32" s="274" t="str">
        <v>Received</v>
      </c>
      <c r="F32" s="274" t="str">
        <v>Yes</v>
      </c>
      <c r="G32" s="274">
        <v>51632</v>
      </c>
      <c r="H32" s="274" t="str">
        <v>Yes</v>
      </c>
      <c r="I32" s="274">
        <v>3997</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D-HLR212</v>
      </c>
      <c r="B33" s="274" t="str">
        <v>Bradenton</v>
      </c>
      <c r="C33" s="274">
        <v>46099</v>
      </c>
      <c r="D33" s="274">
        <v>48</v>
      </c>
      <c r="E33" s="274" t="str">
        <v>Received</v>
      </c>
      <c r="F33" s="274" t="str">
        <v>Yes</v>
      </c>
      <c r="G33" s="274">
        <v>39064</v>
      </c>
      <c r="H33" s="274" t="str">
        <v>Yes</v>
      </c>
      <c r="I33" s="274">
        <v>2982</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D-HLX401</v>
      </c>
      <c r="B34" s="274" t="str">
        <v>Bradenton</v>
      </c>
      <c r="C34" s="274">
        <v>46249</v>
      </c>
      <c r="D34" s="274">
        <v>52</v>
      </c>
      <c r="E34" s="274" t="str">
        <v>Received</v>
      </c>
      <c r="F34" s="274" t="str">
        <v>Yes</v>
      </c>
      <c r="G34" s="274">
        <v>61830</v>
      </c>
      <c r="H34" s="274" t="str">
        <v>Yes</v>
      </c>
      <c r="I34" s="274">
        <v>5149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D-HLX402</v>
      </c>
      <c r="B35" s="274" t="str">
        <v>Bradenton</v>
      </c>
      <c r="C35" s="274">
        <v>46171</v>
      </c>
      <c r="D35" s="274">
        <v>56</v>
      </c>
      <c r="E35" s="274" t="str">
        <v>Received</v>
      </c>
      <c r="F35" s="274" t="str">
        <v>Yes</v>
      </c>
      <c r="G35" s="274">
        <v>75665</v>
      </c>
      <c r="H35" s="274" t="str">
        <v>Yes</v>
      </c>
      <c r="I35" s="274">
        <v>6249</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D-HLX403</v>
      </c>
      <c r="B36" s="274" t="str">
        <v>Bradenton</v>
      </c>
      <c r="C36" s="274">
        <v>46171</v>
      </c>
      <c r="D36" s="274">
        <v>70</v>
      </c>
      <c r="E36" s="274" t="str">
        <v>Received</v>
      </c>
      <c r="F36" s="274" t="str">
        <v>Yes</v>
      </c>
      <c r="G36" s="274">
        <v>80624</v>
      </c>
      <c r="H36" s="274" t="str">
        <v>Yes</v>
      </c>
      <c r="I36" s="274">
        <v>6762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D-HLX404</v>
      </c>
      <c r="B37" s="274" t="str">
        <v>Bradenton</v>
      </c>
      <c r="C37" s="274">
        <v>46171</v>
      </c>
      <c r="D37" s="274">
        <v>30</v>
      </c>
      <c r="E37" s="274" t="str">
        <v>Received</v>
      </c>
      <c r="F37" s="274" t="str">
        <v>Yes</v>
      </c>
      <c r="G37" s="274">
        <v>45160</v>
      </c>
      <c r="H37" s="274" t="str">
        <v>Yes</v>
      </c>
      <c r="I37" s="274">
        <v>3700</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274">
        <v>46171</v>
      </c>
      <c r="D38" s="274">
        <v>48</v>
      </c>
      <c r="E38" s="274" t="str">
        <v>Received</v>
      </c>
      <c r="F38" s="274" t="str">
        <v>Yes</v>
      </c>
      <c r="G38" s="274">
        <v>54814</v>
      </c>
      <c r="H38" s="274" t="str">
        <v>Yes</v>
      </c>
      <c r="I38" s="274">
        <v>4515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274">
        <v>46171</v>
      </c>
      <c r="D39" s="274">
        <v>60</v>
      </c>
      <c r="E39" s="274" t="str">
        <v>Received</v>
      </c>
      <c r="F39" s="274" t="str">
        <v>Yes</v>
      </c>
      <c r="G39" s="274">
        <v>76865.5</v>
      </c>
      <c r="H39" s="274" t="str">
        <v>Yes</v>
      </c>
      <c r="I39" s="274">
        <v>5795</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274">
        <v>46171</v>
      </c>
      <c r="D40" s="274">
        <v>72</v>
      </c>
      <c r="E40" s="274" t="str">
        <v>Received</v>
      </c>
      <c r="F40" s="274" t="str">
        <v>Yes</v>
      </c>
      <c r="G40" s="274">
        <v>85035</v>
      </c>
      <c r="H40" s="274" t="str">
        <v>Yes</v>
      </c>
      <c r="I40" s="274">
        <v>7140</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274">
        <v>46107</v>
      </c>
      <c r="D41" s="274">
        <v>20</v>
      </c>
      <c r="E41" s="274" t="str">
        <v>Received</v>
      </c>
      <c r="F41" s="274" t="str">
        <v>Yes</v>
      </c>
      <c r="G41" s="274">
        <v>23501</v>
      </c>
      <c r="H41" s="274" t="str">
        <v>Yes</v>
      </c>
      <c r="I41" s="274">
        <v>1831</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274">
        <v>46079</v>
      </c>
      <c r="D42" s="274">
        <v>0</v>
      </c>
      <c r="E42" s="274" t="str">
        <v>Received</v>
      </c>
      <c r="F42" s="274" t="str">
        <v>Yes</v>
      </c>
      <c r="G42" s="274">
        <v>36998.550000000003</v>
      </c>
      <c r="H42" s="274" t="str">
        <v>Yes</v>
      </c>
      <c r="I42" s="274">
        <v>2944</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274">
        <v>46079</v>
      </c>
      <c r="D43" s="274">
        <v>0</v>
      </c>
      <c r="E43" s="274" t="str">
        <v>Received</v>
      </c>
      <c r="F43" s="274" t="str">
        <v>Yes</v>
      </c>
      <c r="G43" s="274">
        <v>49932.800000000003</v>
      </c>
      <c r="H43" s="274" t="str">
        <v>Yes</v>
      </c>
      <c r="I43" s="274">
        <v>4048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274">
        <v>46112</v>
      </c>
      <c r="D44" s="274">
        <v>20</v>
      </c>
      <c r="E44" s="274" t="str">
        <v>Received</v>
      </c>
      <c r="F44" s="274" t="str">
        <v>Yes</v>
      </c>
      <c r="G44" s="274">
        <v>1733.25</v>
      </c>
      <c r="H44" s="274" t="str">
        <v>Yes</v>
      </c>
      <c r="I44" s="274">
        <v>255</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274">
        <v>46099</v>
      </c>
      <c r="D45" s="274">
        <v>0</v>
      </c>
      <c r="E45" s="274" t="str">
        <v>Received</v>
      </c>
      <c r="F45" s="274" t="str">
        <v>Yes</v>
      </c>
      <c r="G45" s="274">
        <v>18270.8</v>
      </c>
      <c r="H45" s="274" t="str">
        <v>Yes</v>
      </c>
      <c r="I45" s="274">
        <v>1388</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274">
        <v>46112</v>
      </c>
      <c r="D46" s="274">
        <v>0</v>
      </c>
      <c r="E46" s="274" t="str">
        <v>Received</v>
      </c>
      <c r="F46" s="274" t="str">
        <v>Yes</v>
      </c>
      <c r="G46" s="274">
        <v>3995.4</v>
      </c>
      <c r="H46" s="274" t="str">
        <v>Yes</v>
      </c>
      <c r="I46" s="274">
        <v>294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274">
        <v>46040</v>
      </c>
      <c r="D47" s="274">
        <v>0</v>
      </c>
      <c r="E47" s="274" t="str">
        <v>Received</v>
      </c>
      <c r="F47" s="274" t="str">
        <v>Yes</v>
      </c>
      <c r="G47" s="274">
        <v>18171.599999999999</v>
      </c>
      <c r="H47" s="274" t="str">
        <v>Yes</v>
      </c>
      <c r="I47" s="274">
        <v>1514</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274">
        <v>46040</v>
      </c>
      <c r="D48" s="274">
        <v>0</v>
      </c>
      <c r="E48" s="274" t="str">
        <v>Received</v>
      </c>
      <c r="F48" s="274" t="str">
        <v>Yes</v>
      </c>
      <c r="G48" s="274">
        <v>1675.2</v>
      </c>
      <c r="H48" s="274" t="str">
        <v>Yes</v>
      </c>
      <c r="I48" s="274">
        <v>123</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274">
        <v>46079</v>
      </c>
      <c r="D49" s="274">
        <v>0</v>
      </c>
      <c r="E49" s="274" t="str">
        <v>Received</v>
      </c>
      <c r="F49" s="274" t="str">
        <v>Yes</v>
      </c>
      <c r="G49" s="274">
        <v>118710.8</v>
      </c>
      <c r="H49" s="274" t="str">
        <v>Yes</v>
      </c>
      <c r="I49" s="274">
        <v>9628</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274">
        <v>46096</v>
      </c>
      <c r="D50" s="274">
        <v>0</v>
      </c>
      <c r="E50" s="274" t="str">
        <v>Received</v>
      </c>
      <c r="F50" s="274" t="str">
        <v>Yes</v>
      </c>
      <c r="G50" s="274">
        <v>73653.899999999994</v>
      </c>
      <c r="H50" s="274" t="str">
        <v>Yes</v>
      </c>
      <c r="I50" s="274">
        <v>5394</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274">
        <v>46103</v>
      </c>
      <c r="D51" s="274">
        <v>0</v>
      </c>
      <c r="E51" s="274" t="str">
        <v>Received</v>
      </c>
      <c r="F51" s="274" t="str">
        <v>Yes</v>
      </c>
      <c r="G51" s="274">
        <v>15002.75</v>
      </c>
      <c r="H51" s="274" t="str">
        <v>Yes</v>
      </c>
      <c r="I51" s="274">
        <v>1175</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274">
        <v>46103</v>
      </c>
      <c r="D52" s="274">
        <v>0</v>
      </c>
      <c r="E52" s="274" t="str">
        <v>Received</v>
      </c>
      <c r="F52" s="274" t="str">
        <v>Yes</v>
      </c>
      <c r="G52" s="274">
        <v>12977.65</v>
      </c>
      <c r="H52" s="274" t="str">
        <v>Yes</v>
      </c>
      <c r="I52" s="274">
        <v>1029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274">
        <v>46112</v>
      </c>
      <c r="D53" s="274">
        <v>0</v>
      </c>
      <c r="E53" s="274" t="str">
        <v>Received</v>
      </c>
      <c r="F53" s="274" t="str">
        <v>Yes</v>
      </c>
      <c r="G53" s="274">
        <v>6526.35</v>
      </c>
      <c r="H53" s="274" t="str">
        <v>Yes</v>
      </c>
      <c r="I53" s="274">
        <v>411</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274">
        <v>46081</v>
      </c>
      <c r="D54" s="274">
        <v>0</v>
      </c>
      <c r="E54" s="274" t="str">
        <v>Received</v>
      </c>
      <c r="F54" s="274" t="str">
        <v>Yes</v>
      </c>
      <c r="G54" s="274">
        <v>170309.8</v>
      </c>
      <c r="H54" s="274" t="str">
        <v>Yes</v>
      </c>
      <c r="I54" s="274">
        <v>13379</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274">
        <v>46108</v>
      </c>
      <c r="D55" s="274">
        <v>107</v>
      </c>
      <c r="E55" s="274" t="str">
        <v>Not Required</v>
      </c>
      <c r="F55" s="274" t="str">
        <v>No</v>
      </c>
      <c r="G55" s="274">
        <v>0</v>
      </c>
      <c r="H55" s="274" t="str">
        <v>No</v>
      </c>
      <c r="I55" s="274">
        <v>9568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274">
        <v>46174</v>
      </c>
      <c r="D56" s="274">
        <v>115</v>
      </c>
      <c r="E56" s="274" t="str">
        <v>Not Required</v>
      </c>
      <c r="F56" s="274" t="str">
        <v>Yes</v>
      </c>
      <c r="G56" s="274">
        <v>125188</v>
      </c>
      <c r="H56" s="274" t="str">
        <v>Yes</v>
      </c>
      <c r="I56" s="274">
        <v>11028</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274">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274">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274">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274">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274">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274">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274">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274">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274">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274">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274">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274">
        <v>46111</v>
      </c>
      <c r="D68" s="274">
        <v>0</v>
      </c>
      <c r="E68" s="274" t="str">
        <v>Pending</v>
      </c>
      <c r="F68" s="274" t="str">
        <v>No</v>
      </c>
      <c r="G68" s="274">
        <v>0</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274">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274">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274">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66" t="str">
        <v>FB-HSF606</v>
      </c>
      <c r="B72" s="1366" t="str">
        <v>Port Charlotte</v>
      </c>
      <c r="C72" s="1366">
        <v>46111</v>
      </c>
      <c r="D72" s="1366">
        <v>0</v>
      </c>
      <c r="E72" s="1366" t="str">
        <v>Pending</v>
      </c>
      <c r="F72" s="1366" t="str">
        <v>No</v>
      </c>
      <c r="G72" s="1366">
        <v>0</v>
      </c>
      <c r="H72" s="1366" t="str">
        <v>No</v>
      </c>
      <c r="I72" s="1366">
        <v>0</v>
      </c>
      <c r="J72" s="136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274">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66" t="str">
        <v/>
      </c>
      <c r="B74" s="1366" t="str">
        <v/>
      </c>
      <c r="C74" s="1366" t="str">
        <v/>
      </c>
      <c r="D74" s="1366" t="str">
        <v/>
      </c>
      <c r="E74" s="1366" t="str">
        <v/>
      </c>
      <c r="F74" s="1366" t="str">
        <v/>
      </c>
      <c r="G74" s="1366" t="str">
        <v/>
      </c>
      <c r="H74" s="1366" t="str">
        <v/>
      </c>
      <c r="I74" s="1366" t="str">
        <v/>
      </c>
      <c r="J74" s="136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274"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274">
        <v>46081</v>
      </c>
      <c r="D76" s="274">
        <v>171</v>
      </c>
      <c r="E76" s="274" t="str">
        <v>Not Required</v>
      </c>
      <c r="F76" s="274" t="str">
        <v>Yes</v>
      </c>
      <c r="G76" s="274">
        <v>160211</v>
      </c>
      <c r="H76" s="274" t="str">
        <v>Yes</v>
      </c>
      <c r="I76" s="274">
        <v>12242</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274"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274"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274">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274">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274">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274">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274">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274">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274">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274">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274">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274">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274">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274">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274">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274">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274">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274">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274">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274">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274">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274">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274">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274">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274">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274">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274">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274">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274">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274">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274">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274">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274">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274">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274">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274">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274">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274">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274">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274">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274">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274">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274">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274">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274">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274">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274">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274">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274">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274">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274">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274">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274">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274">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66" t="str">
        <v>FB-HSW417</v>
      </c>
      <c r="B131" s="1366" t="str">
        <v>Kissimmee</v>
      </c>
      <c r="C131" s="1366">
        <v>46102</v>
      </c>
      <c r="D131" s="1366">
        <v>0</v>
      </c>
      <c r="E131" s="1366" t="str">
        <v>Pending</v>
      </c>
      <c r="F131" s="1366" t="str">
        <v>No</v>
      </c>
      <c r="G131" s="1366">
        <v>0</v>
      </c>
      <c r="H131" s="1366" t="str">
        <v>No</v>
      </c>
      <c r="I131" s="1366">
        <v>9051</v>
      </c>
      <c r="J131" s="136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274">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274">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274">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274"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274"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274">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274">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274">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274">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274">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274">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274">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274">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274">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274">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274">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274">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62"/>
      <c r="B154" s="1363"/>
      <c r="C154" s="1363"/>
      <c r="D154" s="1363"/>
      <c r="E154" s="1363"/>
      <c r="F154" s="1363"/>
      <c r="G154" s="1363"/>
      <c r="H154" s="1363"/>
      <c r="I154" s="1364"/>
      <c r="J154" s="1364"/>
      <c r="K154" s="1364"/>
      <c r="L154" s="1364"/>
      <c r="M154" s="1364"/>
      <c r="N154" s="1364"/>
      <c r="O154" s="1364"/>
      <c r="P154" s="1364"/>
      <c r="Q154" s="1364"/>
      <c r="R154" s="1364"/>
      <c r="S154" s="1364"/>
      <c r="T154" s="1364"/>
      <c r="U154" s="1364"/>
      <c r="V154" s="1364"/>
      <c r="W154" s="1364"/>
      <c r="X154" s="1364"/>
      <c r="Y154" s="1364"/>
      <c r="Z154" s="1364"/>
      <c r="AA154" s="1364"/>
      <c r="AB154" s="1364"/>
      <c r="AC154" s="1364"/>
      <c r="AD154" s="1364"/>
      <c r="AE154" s="1364"/>
      <c r="AF154" s="1364"/>
      <c r="AG154" s="1364"/>
      <c r="AH154" s="1364"/>
      <c r="AI154" s="1364"/>
      <c r="AJ154" s="1364"/>
      <c r="AK154" s="1364"/>
      <c r="AL154" s="1364"/>
      <c r="AM154" s="1364"/>
      <c r="AN154" s="1364"/>
      <c r="AO154" s="1364"/>
      <c r="AP154" s="1364"/>
      <c r="AQ154" s="1364"/>
      <c r="AR154" s="1364"/>
      <c r="AS154" s="1364"/>
      <c r="AT154" s="1364"/>
      <c r="AU154" s="1364"/>
      <c r="AV154" s="1364"/>
      <c r="AW154" s="1364"/>
      <c r="AX154" s="1364"/>
      <c r="AY154" s="1364"/>
      <c r="AZ154" s="1364"/>
      <c r="BA154" s="1364"/>
      <c r="BB154" s="1364"/>
      <c r="BC154" s="1364"/>
      <c r="BD154" s="1364"/>
      <c r="BE154" s="1364"/>
      <c r="BF154" s="1364"/>
      <c r="BG154" s="1364"/>
      <c r="BH154" s="1364"/>
      <c r="BI154" s="1364"/>
      <c r="BJ154" s="1364"/>
      <c r="BK154" s="1364"/>
      <c r="BL154" s="1364"/>
      <c r="BM154" s="1364"/>
      <c r="BN154" s="1364"/>
      <c r="BO154" s="1364"/>
      <c r="BP154" s="1364"/>
      <c r="BQ154" s="1364"/>
      <c r="BR154" s="1364"/>
      <c r="BS154" s="1364"/>
      <c r="BT154" s="1364"/>
      <c r="BU154" s="1364"/>
      <c r="BV154" s="1364"/>
      <c r="BW154" s="1364"/>
      <c r="BX154" s="1364"/>
      <c r="BY154" s="1364"/>
      <c r="BZ154" s="1364"/>
      <c r="CA154" s="1364"/>
      <c r="CB154" s="1364"/>
      <c r="CC154" s="1364"/>
      <c r="CD154" s="1364"/>
      <c r="CE154" s="1364"/>
      <c r="CF154" s="1364"/>
      <c r="CG154" s="1364"/>
      <c r="CH154" s="1364"/>
      <c r="CI154" s="1364"/>
      <c r="CJ154" s="1364"/>
      <c r="CK154" s="1364"/>
      <c r="CL154" s="1364"/>
      <c r="CM154" s="1364"/>
      <c r="CN154" s="1364"/>
      <c r="CO154" s="1364"/>
      <c r="CP154" s="1364"/>
      <c r="CQ154" s="1364"/>
      <c r="CR154" s="1364"/>
    </row>
    <row r="155" spans="1:96">
      <c r="A155" s="1362"/>
      <c r="B155" s="1363"/>
      <c r="C155" s="1363"/>
      <c r="D155" s="1363"/>
      <c r="E155" s="1363"/>
      <c r="F155" s="1363"/>
      <c r="G155" s="1363"/>
      <c r="H155" s="1363"/>
      <c r="I155" s="1364"/>
      <c r="J155" s="1364"/>
      <c r="K155" s="1364"/>
      <c r="L155" s="1364"/>
      <c r="M155" s="1364"/>
      <c r="N155" s="1364"/>
      <c r="O155" s="1364"/>
      <c r="P155" s="1364"/>
      <c r="Q155" s="1364"/>
      <c r="R155" s="1364"/>
      <c r="S155" s="1364"/>
      <c r="T155" s="1364"/>
      <c r="U155" s="1364"/>
      <c r="V155" s="1364"/>
      <c r="W155" s="1364"/>
      <c r="X155" s="1364"/>
      <c r="Y155" s="1364"/>
      <c r="Z155" s="1364"/>
      <c r="AA155" s="1364"/>
      <c r="AB155" s="1364"/>
      <c r="AC155" s="1364"/>
      <c r="AD155" s="1364"/>
      <c r="AE155" s="1364"/>
      <c r="AF155" s="1364"/>
      <c r="AG155" s="1364"/>
      <c r="AH155" s="1364"/>
      <c r="AI155" s="1364"/>
      <c r="AJ155" s="1364"/>
      <c r="AK155" s="1364"/>
      <c r="AL155" s="1364"/>
      <c r="AM155" s="1364"/>
      <c r="AN155" s="1364"/>
      <c r="AO155" s="1364"/>
      <c r="AP155" s="1364"/>
      <c r="AQ155" s="1364"/>
      <c r="AR155" s="1364"/>
      <c r="AS155" s="1364"/>
      <c r="AT155" s="1364"/>
      <c r="AU155" s="1364"/>
      <c r="AV155" s="1364"/>
      <c r="AW155" s="1364"/>
      <c r="AX155" s="1364"/>
      <c r="AY155" s="1364"/>
      <c r="AZ155" s="1364"/>
      <c r="BA155" s="1364"/>
      <c r="BB155" s="1364"/>
      <c r="BC155" s="1364"/>
      <c r="BD155" s="1364"/>
      <c r="BE155" s="1364"/>
      <c r="BF155" s="1364"/>
      <c r="BG155" s="1364"/>
      <c r="BH155" s="1364"/>
      <c r="BI155" s="1364"/>
      <c r="BJ155" s="1364"/>
      <c r="BK155" s="1364"/>
      <c r="BL155" s="1364"/>
      <c r="BM155" s="1364"/>
      <c r="BN155" s="1364"/>
      <c r="BO155" s="1364"/>
      <c r="BP155" s="1364"/>
      <c r="BQ155" s="1364"/>
      <c r="BR155" s="1364"/>
      <c r="BS155" s="1364"/>
      <c r="BT155" s="1364"/>
      <c r="BU155" s="1364"/>
      <c r="BV155" s="1364"/>
      <c r="BW155" s="1364"/>
      <c r="BX155" s="1364"/>
      <c r="BY155" s="1364"/>
      <c r="BZ155" s="1364"/>
      <c r="CA155" s="1364"/>
      <c r="CB155" s="1364"/>
      <c r="CC155" s="1364"/>
      <c r="CD155" s="1364"/>
      <c r="CE155" s="1364"/>
      <c r="CF155" s="1364"/>
      <c r="CG155" s="1364"/>
      <c r="CH155" s="1364"/>
      <c r="CI155" s="1364"/>
      <c r="CJ155" s="1364"/>
      <c r="CK155" s="1364"/>
      <c r="CL155" s="1364"/>
      <c r="CM155" s="1364"/>
      <c r="CN155" s="1364"/>
      <c r="CO155" s="1364"/>
      <c r="CP155" s="1364"/>
      <c r="CQ155" s="1364"/>
      <c r="CR155" s="1364"/>
    </row>
    <row r="156" spans="1:96">
      <c r="A156" s="1362"/>
      <c r="B156" s="1363"/>
      <c r="C156" s="1363"/>
      <c r="D156" s="1363"/>
      <c r="E156" s="1363"/>
      <c r="F156" s="1363"/>
      <c r="G156" s="1363"/>
      <c r="H156" s="1363"/>
      <c r="I156" s="1364"/>
      <c r="J156" s="1364"/>
      <c r="K156" s="1364"/>
      <c r="L156" s="1364"/>
      <c r="M156" s="1364"/>
      <c r="N156" s="1364"/>
      <c r="O156" s="1364"/>
      <c r="P156" s="1364"/>
      <c r="Q156" s="1364"/>
      <c r="R156" s="1364"/>
      <c r="S156" s="1364"/>
      <c r="T156" s="1364"/>
      <c r="U156" s="1364"/>
      <c r="V156" s="1364"/>
      <c r="W156" s="1364"/>
      <c r="X156" s="1364"/>
      <c r="Y156" s="1364"/>
      <c r="Z156" s="1364"/>
      <c r="AA156" s="1364"/>
      <c r="AB156" s="1364"/>
      <c r="AC156" s="1364"/>
      <c r="AD156" s="1364"/>
      <c r="AE156" s="1364"/>
      <c r="AF156" s="1364"/>
      <c r="AG156" s="1364"/>
      <c r="AH156" s="1364"/>
      <c r="AI156" s="1364"/>
      <c r="AJ156" s="1364"/>
      <c r="AK156" s="1364"/>
      <c r="AL156" s="1364"/>
      <c r="AM156" s="1364"/>
      <c r="AN156" s="1364"/>
      <c r="AO156" s="1364"/>
      <c r="AP156" s="1364"/>
      <c r="AQ156" s="1364"/>
      <c r="AR156" s="1364"/>
      <c r="AS156" s="1364"/>
      <c r="AT156" s="1364"/>
      <c r="AU156" s="1364"/>
      <c r="AV156" s="1364"/>
      <c r="AW156" s="1364"/>
      <c r="AX156" s="1364"/>
      <c r="AY156" s="1364"/>
      <c r="AZ156" s="1364"/>
      <c r="BA156" s="1364"/>
      <c r="BB156" s="1364"/>
      <c r="BC156" s="1364"/>
      <c r="BD156" s="1364"/>
      <c r="BE156" s="1364"/>
      <c r="BF156" s="1364"/>
      <c r="BG156" s="1364"/>
      <c r="BH156" s="1364"/>
      <c r="BI156" s="1364"/>
      <c r="BJ156" s="1364"/>
      <c r="BK156" s="1364"/>
      <c r="BL156" s="1364"/>
      <c r="BM156" s="1364"/>
      <c r="BN156" s="1364"/>
      <c r="BO156" s="1364"/>
      <c r="BP156" s="1364"/>
      <c r="BQ156" s="1364"/>
      <c r="BR156" s="1364"/>
      <c r="BS156" s="1364"/>
      <c r="BT156" s="1364"/>
      <c r="BU156" s="1364"/>
      <c r="BV156" s="1364"/>
      <c r="BW156" s="1364"/>
      <c r="BX156" s="1364"/>
      <c r="BY156" s="1364"/>
      <c r="BZ156" s="1364"/>
      <c r="CA156" s="1364"/>
      <c r="CB156" s="1364"/>
      <c r="CC156" s="1364"/>
      <c r="CD156" s="1364"/>
      <c r="CE156" s="1364"/>
      <c r="CF156" s="1364"/>
      <c r="CG156" s="1364"/>
      <c r="CH156" s="1364"/>
      <c r="CI156" s="1364"/>
      <c r="CJ156" s="1364"/>
      <c r="CK156" s="1364"/>
      <c r="CL156" s="1364"/>
      <c r="CM156" s="1364"/>
      <c r="CN156" s="1364"/>
      <c r="CO156" s="1364"/>
      <c r="CP156" s="1364"/>
      <c r="CQ156" s="1364"/>
      <c r="CR156" s="1364"/>
    </row>
    <row r="157" spans="1:96">
      <c r="A157" s="1362"/>
      <c r="B157" s="1363"/>
      <c r="C157" s="1363"/>
      <c r="D157" s="1363"/>
      <c r="E157" s="1363"/>
      <c r="F157" s="1363"/>
      <c r="G157" s="1363"/>
      <c r="H157" s="1363"/>
      <c r="I157" s="1364"/>
      <c r="J157" s="1364"/>
      <c r="K157" s="1364"/>
      <c r="L157" s="1364"/>
      <c r="M157" s="1364"/>
      <c r="N157" s="1364"/>
      <c r="O157" s="1364"/>
      <c r="P157" s="1364"/>
      <c r="Q157" s="1364"/>
      <c r="R157" s="1364"/>
      <c r="S157" s="1364"/>
      <c r="T157" s="1364"/>
      <c r="U157" s="1364"/>
      <c r="V157" s="1364"/>
      <c r="W157" s="1364"/>
      <c r="X157" s="1364"/>
      <c r="Y157" s="1364"/>
      <c r="Z157" s="1364"/>
      <c r="AA157" s="1364"/>
      <c r="AB157" s="1364"/>
      <c r="AC157" s="1364"/>
      <c r="AD157" s="1364"/>
      <c r="AE157" s="1364"/>
      <c r="AF157" s="1364"/>
      <c r="AG157" s="1364"/>
      <c r="AH157" s="1364"/>
      <c r="AI157" s="1364"/>
      <c r="AJ157" s="1364"/>
      <c r="AK157" s="1364"/>
      <c r="AL157" s="1364"/>
      <c r="AM157" s="1364"/>
      <c r="AN157" s="1364"/>
      <c r="AO157" s="1364"/>
      <c r="AP157" s="1364"/>
      <c r="AQ157" s="1364"/>
      <c r="AR157" s="1364"/>
      <c r="AS157" s="1364"/>
      <c r="AT157" s="1364"/>
      <c r="AU157" s="1364"/>
      <c r="AV157" s="1364"/>
      <c r="AW157" s="1364"/>
      <c r="AX157" s="1364"/>
      <c r="AY157" s="1364"/>
      <c r="AZ157" s="1364"/>
      <c r="BA157" s="1364"/>
      <c r="BB157" s="1364"/>
      <c r="BC157" s="1364"/>
      <c r="BD157" s="1364"/>
      <c r="BE157" s="1364"/>
      <c r="BF157" s="1364"/>
      <c r="BG157" s="1364"/>
      <c r="BH157" s="1364"/>
      <c r="BI157" s="1364"/>
      <c r="BJ157" s="1364"/>
      <c r="BK157" s="1364"/>
      <c r="BL157" s="1364"/>
      <c r="BM157" s="1364"/>
      <c r="BN157" s="1364"/>
      <c r="BO157" s="1364"/>
      <c r="BP157" s="1364"/>
      <c r="BQ157" s="1364"/>
      <c r="BR157" s="1364"/>
      <c r="BS157" s="1364"/>
      <c r="BT157" s="1364"/>
      <c r="BU157" s="1364"/>
      <c r="BV157" s="1364"/>
      <c r="BW157" s="1364"/>
      <c r="BX157" s="1364"/>
      <c r="BY157" s="1364"/>
      <c r="BZ157" s="1364"/>
      <c r="CA157" s="1364"/>
      <c r="CB157" s="1364"/>
      <c r="CC157" s="1364"/>
      <c r="CD157" s="1364"/>
      <c r="CE157" s="1364"/>
      <c r="CF157" s="1364"/>
      <c r="CG157" s="1364"/>
      <c r="CH157" s="1364"/>
      <c r="CI157" s="1364"/>
      <c r="CJ157" s="1364"/>
      <c r="CK157" s="1364"/>
      <c r="CL157" s="1364"/>
      <c r="CM157" s="1364"/>
      <c r="CN157" s="1364"/>
      <c r="CO157" s="1364"/>
      <c r="CP157" s="1364"/>
      <c r="CQ157" s="1364"/>
      <c r="CR157" s="1364"/>
    </row>
    <row r="158" spans="1:96">
      <c r="A158" s="1362"/>
      <c r="B158" s="1363"/>
      <c r="C158" s="1363"/>
      <c r="D158" s="1363"/>
      <c r="E158" s="1363"/>
      <c r="F158" s="1363"/>
      <c r="G158" s="1363"/>
      <c r="H158" s="1363"/>
      <c r="I158" s="1364"/>
      <c r="J158" s="1364"/>
      <c r="K158" s="1364"/>
      <c r="L158" s="1364"/>
      <c r="M158" s="1364"/>
      <c r="N158" s="1364"/>
      <c r="O158" s="1364"/>
      <c r="P158" s="1364"/>
      <c r="Q158" s="1364"/>
      <c r="R158" s="1364"/>
      <c r="S158" s="1364"/>
      <c r="T158" s="1364"/>
      <c r="U158" s="1364"/>
      <c r="V158" s="1364"/>
      <c r="W158" s="1364"/>
      <c r="X158" s="1364"/>
      <c r="Y158" s="1364"/>
      <c r="Z158" s="1364"/>
      <c r="AA158" s="1364"/>
      <c r="AB158" s="1364"/>
      <c r="AC158" s="1364"/>
      <c r="AD158" s="1364"/>
      <c r="AE158" s="1364"/>
      <c r="AF158" s="1364"/>
      <c r="AG158" s="1364"/>
      <c r="AH158" s="1364"/>
      <c r="AI158" s="1364"/>
      <c r="AJ158" s="1364"/>
      <c r="AK158" s="1364"/>
      <c r="AL158" s="1364"/>
      <c r="AM158" s="1364"/>
      <c r="AN158" s="1364"/>
      <c r="AO158" s="1364"/>
      <c r="AP158" s="1364"/>
      <c r="AQ158" s="1364"/>
      <c r="AR158" s="1364"/>
      <c r="AS158" s="1364"/>
      <c r="AT158" s="1364"/>
      <c r="AU158" s="1364"/>
      <c r="AV158" s="1364"/>
      <c r="AW158" s="1364"/>
      <c r="AX158" s="1364"/>
      <c r="AY158" s="1364"/>
      <c r="AZ158" s="1364"/>
      <c r="BA158" s="1364"/>
      <c r="BB158" s="1364"/>
      <c r="BC158" s="1364"/>
      <c r="BD158" s="1364"/>
      <c r="BE158" s="1364"/>
      <c r="BF158" s="1364"/>
      <c r="BG158" s="1364"/>
      <c r="BH158" s="1364"/>
      <c r="BI158" s="1364"/>
      <c r="BJ158" s="1364"/>
      <c r="BK158" s="1364"/>
      <c r="BL158" s="1364"/>
      <c r="BM158" s="1364"/>
      <c r="BN158" s="1364"/>
      <c r="BO158" s="1364"/>
      <c r="BP158" s="1364"/>
      <c r="BQ158" s="1364"/>
      <c r="BR158" s="1364"/>
      <c r="BS158" s="1364"/>
      <c r="BT158" s="1364"/>
      <c r="BU158" s="1364"/>
      <c r="BV158" s="1364"/>
      <c r="BW158" s="1364"/>
      <c r="BX158" s="1364"/>
      <c r="BY158" s="1364"/>
      <c r="BZ158" s="1364"/>
      <c r="CA158" s="1364"/>
      <c r="CB158" s="1364"/>
      <c r="CC158" s="1364"/>
      <c r="CD158" s="1364"/>
      <c r="CE158" s="1364"/>
      <c r="CF158" s="1364"/>
      <c r="CG158" s="1364"/>
      <c r="CH158" s="1364"/>
      <c r="CI158" s="1364"/>
      <c r="CJ158" s="1364"/>
      <c r="CK158" s="1364"/>
      <c r="CL158" s="1364"/>
      <c r="CM158" s="1364"/>
      <c r="CN158" s="1364"/>
      <c r="CO158" s="1364"/>
      <c r="CP158" s="1364"/>
      <c r="CQ158" s="1364"/>
      <c r="CR158" s="1364"/>
    </row>
    <row r="159" spans="1:96">
      <c r="A159" s="1362"/>
      <c r="B159" s="1363"/>
      <c r="C159" s="1363"/>
      <c r="D159" s="1363"/>
      <c r="E159" s="1363"/>
      <c r="F159" s="1363"/>
      <c r="G159" s="1363"/>
      <c r="H159" s="1363"/>
      <c r="I159" s="1364"/>
      <c r="J159" s="1364"/>
      <c r="K159" s="1364"/>
      <c r="L159" s="1364"/>
      <c r="M159" s="1364"/>
      <c r="N159" s="1364"/>
      <c r="O159" s="1364"/>
      <c r="P159" s="1364"/>
      <c r="Q159" s="1364"/>
      <c r="R159" s="1364"/>
      <c r="S159" s="1364"/>
      <c r="T159" s="1364"/>
      <c r="U159" s="1364"/>
      <c r="V159" s="1364"/>
      <c r="W159" s="1364"/>
      <c r="X159" s="1364"/>
      <c r="Y159" s="1364"/>
      <c r="Z159" s="1364"/>
      <c r="AA159" s="1364"/>
      <c r="AB159" s="1364"/>
      <c r="AC159" s="1364"/>
      <c r="AD159" s="1364"/>
      <c r="AE159" s="1364"/>
      <c r="AF159" s="1364"/>
      <c r="AG159" s="1364"/>
      <c r="AH159" s="1364"/>
      <c r="AI159" s="1364"/>
      <c r="AJ159" s="1364"/>
      <c r="AK159" s="1364"/>
      <c r="AL159" s="1364"/>
      <c r="AM159" s="1364"/>
      <c r="AN159" s="1364"/>
      <c r="AO159" s="1364"/>
      <c r="AP159" s="1364"/>
      <c r="AQ159" s="1364"/>
      <c r="AR159" s="1364"/>
      <c r="AS159" s="1364"/>
      <c r="AT159" s="1364"/>
      <c r="AU159" s="1364"/>
      <c r="AV159" s="1364"/>
      <c r="AW159" s="1364"/>
      <c r="AX159" s="1364"/>
      <c r="AY159" s="1364"/>
      <c r="AZ159" s="1364"/>
      <c r="BA159" s="1364"/>
      <c r="BB159" s="1364"/>
      <c r="BC159" s="1364"/>
      <c r="BD159" s="1364"/>
      <c r="BE159" s="1364"/>
      <c r="BF159" s="1364"/>
      <c r="BG159" s="1364"/>
      <c r="BH159" s="1364"/>
      <c r="BI159" s="1364"/>
      <c r="BJ159" s="1364"/>
      <c r="BK159" s="1364"/>
      <c r="BL159" s="1364"/>
      <c r="BM159" s="1364"/>
      <c r="BN159" s="1364"/>
      <c r="BO159" s="1364"/>
      <c r="BP159" s="1364"/>
      <c r="BQ159" s="1364"/>
      <c r="BR159" s="1364"/>
      <c r="BS159" s="1364"/>
      <c r="BT159" s="1364"/>
      <c r="BU159" s="1364"/>
      <c r="BV159" s="1364"/>
      <c r="BW159" s="1364"/>
      <c r="BX159" s="1364"/>
      <c r="BY159" s="1364"/>
      <c r="BZ159" s="1364"/>
      <c r="CA159" s="1364"/>
      <c r="CB159" s="1364"/>
      <c r="CC159" s="1364"/>
      <c r="CD159" s="1364"/>
      <c r="CE159" s="1364"/>
      <c r="CF159" s="1364"/>
      <c r="CG159" s="1364"/>
      <c r="CH159" s="1364"/>
      <c r="CI159" s="1364"/>
      <c r="CJ159" s="1364"/>
      <c r="CK159" s="1364"/>
      <c r="CL159" s="1364"/>
      <c r="CM159" s="1364"/>
      <c r="CN159" s="1364"/>
      <c r="CO159" s="1364"/>
      <c r="CP159" s="1364"/>
      <c r="CQ159" s="1364"/>
      <c r="CR159" s="1364"/>
    </row>
    <row r="160" spans="1:96">
      <c r="A160" s="1362"/>
      <c r="B160" s="1363"/>
      <c r="C160" s="1363"/>
      <c r="D160" s="1363"/>
      <c r="E160" s="1363"/>
      <c r="F160" s="1363"/>
      <c r="G160" s="1363"/>
      <c r="H160" s="1363"/>
      <c r="I160" s="1364"/>
      <c r="J160" s="1364"/>
      <c r="K160" s="1364"/>
      <c r="L160" s="1364"/>
      <c r="M160" s="1364"/>
      <c r="N160" s="1364"/>
      <c r="O160" s="1364"/>
      <c r="P160" s="1364"/>
      <c r="Q160" s="1364"/>
      <c r="R160" s="1364"/>
      <c r="S160" s="1364"/>
      <c r="T160" s="1364"/>
      <c r="U160" s="1364"/>
      <c r="V160" s="1364"/>
      <c r="W160" s="1364"/>
      <c r="X160" s="1364"/>
      <c r="Y160" s="1364"/>
      <c r="Z160" s="1364"/>
      <c r="AA160" s="1364"/>
      <c r="AB160" s="1364"/>
      <c r="AC160" s="1364"/>
      <c r="AD160" s="1364"/>
      <c r="AE160" s="1364"/>
      <c r="AF160" s="1364"/>
      <c r="AG160" s="1364"/>
      <c r="AH160" s="1364"/>
      <c r="AI160" s="1364"/>
      <c r="AJ160" s="1364"/>
      <c r="AK160" s="1364"/>
      <c r="AL160" s="1364"/>
      <c r="AM160" s="1364"/>
      <c r="AN160" s="1364"/>
      <c r="AO160" s="1364"/>
      <c r="AP160" s="1364"/>
      <c r="AQ160" s="1364"/>
      <c r="AR160" s="1364"/>
      <c r="AS160" s="1364"/>
      <c r="AT160" s="1364"/>
      <c r="AU160" s="1364"/>
      <c r="AV160" s="1364"/>
      <c r="AW160" s="1364"/>
      <c r="AX160" s="1364"/>
      <c r="AY160" s="1364"/>
      <c r="AZ160" s="1364"/>
      <c r="BA160" s="1364"/>
      <c r="BB160" s="1364"/>
      <c r="BC160" s="1364"/>
      <c r="BD160" s="1364"/>
      <c r="BE160" s="1364"/>
      <c r="BF160" s="1364"/>
      <c r="BG160" s="1364"/>
      <c r="BH160" s="1364"/>
      <c r="BI160" s="1364"/>
      <c r="BJ160" s="1364"/>
      <c r="BK160" s="1364"/>
      <c r="BL160" s="1364"/>
      <c r="BM160" s="1364"/>
      <c r="BN160" s="1364"/>
      <c r="BO160" s="1364"/>
      <c r="BP160" s="1364"/>
      <c r="BQ160" s="1364"/>
      <c r="BR160" s="1364"/>
      <c r="BS160" s="1364"/>
      <c r="BT160" s="1364"/>
      <c r="BU160" s="1364"/>
      <c r="BV160" s="1364"/>
      <c r="BW160" s="1364"/>
      <c r="BX160" s="1364"/>
      <c r="BY160" s="1364"/>
      <c r="BZ160" s="1364"/>
      <c r="CA160" s="1364"/>
      <c r="CB160" s="1364"/>
      <c r="CC160" s="1364"/>
      <c r="CD160" s="1364"/>
      <c r="CE160" s="1364"/>
      <c r="CF160" s="1364"/>
      <c r="CG160" s="1364"/>
      <c r="CH160" s="1364"/>
      <c r="CI160" s="1364"/>
      <c r="CJ160" s="1364"/>
      <c r="CK160" s="1364"/>
      <c r="CL160" s="1364"/>
      <c r="CM160" s="1364"/>
      <c r="CN160" s="1364"/>
      <c r="CO160" s="1364"/>
      <c r="CP160" s="1364"/>
      <c r="CQ160" s="1364"/>
      <c r="CR160" s="1364"/>
    </row>
    <row r="161" spans="1:96">
      <c r="A161" s="1362"/>
      <c r="B161" s="1363"/>
      <c r="C161" s="1363"/>
      <c r="D161" s="1363"/>
      <c r="E161" s="1363"/>
      <c r="F161" s="1363"/>
      <c r="G161" s="1363"/>
      <c r="H161" s="1363"/>
      <c r="I161" s="1364"/>
      <c r="J161" s="1364"/>
      <c r="K161" s="1364"/>
      <c r="L161" s="1364"/>
      <c r="M161" s="1364"/>
      <c r="N161" s="1364"/>
      <c r="O161" s="1364"/>
      <c r="P161" s="1364"/>
      <c r="Q161" s="1364"/>
      <c r="R161" s="1364"/>
      <c r="S161" s="1364"/>
      <c r="T161" s="1364"/>
      <c r="U161" s="1364"/>
      <c r="V161" s="1364"/>
      <c r="W161" s="1364"/>
      <c r="X161" s="1364"/>
      <c r="Y161" s="1364"/>
      <c r="Z161" s="1364"/>
      <c r="AA161" s="1364"/>
      <c r="AB161" s="1364"/>
      <c r="AC161" s="1364"/>
      <c r="AD161" s="1364"/>
      <c r="AE161" s="1364"/>
      <c r="AF161" s="1364"/>
      <c r="AG161" s="1364"/>
      <c r="AH161" s="1364"/>
      <c r="AI161" s="1364"/>
      <c r="AJ161" s="1364"/>
      <c r="AK161" s="1364"/>
      <c r="AL161" s="1364"/>
      <c r="AM161" s="1364"/>
      <c r="AN161" s="1364"/>
      <c r="AO161" s="1364"/>
      <c r="AP161" s="1364"/>
      <c r="AQ161" s="1364"/>
      <c r="AR161" s="1364"/>
      <c r="AS161" s="1364"/>
      <c r="AT161" s="1364"/>
      <c r="AU161" s="1364"/>
      <c r="AV161" s="1364"/>
      <c r="AW161" s="1364"/>
      <c r="AX161" s="1364"/>
      <c r="AY161" s="1364"/>
      <c r="AZ161" s="1364"/>
      <c r="BA161" s="1364"/>
      <c r="BB161" s="1364"/>
      <c r="BC161" s="1364"/>
      <c r="BD161" s="1364"/>
      <c r="BE161" s="1364"/>
      <c r="BF161" s="1364"/>
      <c r="BG161" s="1364"/>
      <c r="BH161" s="1364"/>
      <c r="BI161" s="1364"/>
      <c r="BJ161" s="1364"/>
      <c r="BK161" s="1364"/>
      <c r="BL161" s="1364"/>
      <c r="BM161" s="1364"/>
      <c r="BN161" s="1364"/>
      <c r="BO161" s="1364"/>
      <c r="BP161" s="1364"/>
      <c r="BQ161" s="1364"/>
      <c r="BR161" s="1364"/>
      <c r="BS161" s="1364"/>
      <c r="BT161" s="1364"/>
      <c r="BU161" s="1364"/>
      <c r="BV161" s="1364"/>
      <c r="BW161" s="1364"/>
      <c r="BX161" s="1364"/>
      <c r="BY161" s="1364"/>
      <c r="BZ161" s="1364"/>
      <c r="CA161" s="1364"/>
      <c r="CB161" s="1364"/>
      <c r="CC161" s="1364"/>
      <c r="CD161" s="1364"/>
      <c r="CE161" s="1364"/>
      <c r="CF161" s="1364"/>
      <c r="CG161" s="1364"/>
      <c r="CH161" s="1364"/>
      <c r="CI161" s="1364"/>
      <c r="CJ161" s="1364"/>
      <c r="CK161" s="1364"/>
      <c r="CL161" s="1364"/>
      <c r="CM161" s="1364"/>
      <c r="CN161" s="1364"/>
      <c r="CO161" s="1364"/>
      <c r="CP161" s="1364"/>
      <c r="CQ161" s="1364"/>
      <c r="CR161" s="1364"/>
    </row>
    <row r="162" spans="1:96">
      <c r="A162" s="1362"/>
      <c r="B162" s="1363"/>
      <c r="C162" s="1363"/>
      <c r="D162" s="1363"/>
      <c r="E162" s="1363"/>
      <c r="F162" s="1363"/>
      <c r="G162" s="1363"/>
      <c r="H162" s="1363"/>
      <c r="I162" s="1364"/>
      <c r="J162" s="1364"/>
      <c r="K162" s="1364"/>
      <c r="L162" s="1364"/>
      <c r="M162" s="1364"/>
      <c r="N162" s="1364"/>
      <c r="O162" s="1364"/>
      <c r="P162" s="1364"/>
      <c r="Q162" s="1364"/>
      <c r="R162" s="1364"/>
      <c r="S162" s="1364"/>
      <c r="T162" s="1364"/>
      <c r="U162" s="1364"/>
      <c r="V162" s="1364"/>
      <c r="W162" s="1364"/>
      <c r="X162" s="1364"/>
      <c r="Y162" s="1364"/>
      <c r="Z162" s="1364"/>
      <c r="AA162" s="1364"/>
      <c r="AB162" s="1364"/>
      <c r="AC162" s="1364"/>
      <c r="AD162" s="1364"/>
      <c r="AE162" s="1364"/>
      <c r="AF162" s="1364"/>
      <c r="AG162" s="1364"/>
      <c r="AH162" s="1364"/>
      <c r="AI162" s="1364"/>
      <c r="AJ162" s="1364"/>
      <c r="AK162" s="1364"/>
      <c r="AL162" s="1364"/>
      <c r="AM162" s="1364"/>
      <c r="AN162" s="1364"/>
      <c r="AO162" s="1364"/>
      <c r="AP162" s="1364"/>
      <c r="AQ162" s="1364"/>
      <c r="AR162" s="1364"/>
      <c r="AS162" s="1364"/>
      <c r="AT162" s="1364"/>
      <c r="AU162" s="1364"/>
      <c r="AV162" s="1364"/>
      <c r="AW162" s="1364"/>
      <c r="AX162" s="1364"/>
      <c r="AY162" s="1364"/>
      <c r="AZ162" s="1364"/>
      <c r="BA162" s="1364"/>
      <c r="BB162" s="1364"/>
      <c r="BC162" s="1364"/>
      <c r="BD162" s="1364"/>
      <c r="BE162" s="1364"/>
      <c r="BF162" s="1364"/>
      <c r="BG162" s="1364"/>
      <c r="BH162" s="1364"/>
      <c r="BI162" s="1364"/>
      <c r="BJ162" s="1364"/>
      <c r="BK162" s="1364"/>
      <c r="BL162" s="1364"/>
      <c r="BM162" s="1364"/>
      <c r="BN162" s="1364"/>
      <c r="BO162" s="1364"/>
      <c r="BP162" s="1364"/>
      <c r="BQ162" s="1364"/>
      <c r="BR162" s="1364"/>
      <c r="BS162" s="1364"/>
      <c r="BT162" s="1364"/>
      <c r="BU162" s="1364"/>
      <c r="BV162" s="1364"/>
      <c r="BW162" s="1364"/>
      <c r="BX162" s="1364"/>
      <c r="BY162" s="1364"/>
      <c r="BZ162" s="1364"/>
      <c r="CA162" s="1364"/>
      <c r="CB162" s="1364"/>
      <c r="CC162" s="1364"/>
      <c r="CD162" s="1364"/>
      <c r="CE162" s="1364"/>
      <c r="CF162" s="1364"/>
      <c r="CG162" s="1364"/>
      <c r="CH162" s="1364"/>
      <c r="CI162" s="1364"/>
      <c r="CJ162" s="1364"/>
      <c r="CK162" s="1364"/>
      <c r="CL162" s="1364"/>
      <c r="CM162" s="1364"/>
      <c r="CN162" s="1364"/>
      <c r="CO162" s="1364"/>
      <c r="CP162" s="1364"/>
      <c r="CQ162" s="1364"/>
      <c r="CR162" s="1364"/>
    </row>
    <row r="163" spans="1:96">
      <c r="A163" s="1362"/>
      <c r="B163" s="1363"/>
      <c r="C163" s="1363"/>
      <c r="D163" s="1363"/>
      <c r="E163" s="1363"/>
      <c r="F163" s="1363"/>
      <c r="G163" s="1363"/>
      <c r="H163" s="1363"/>
      <c r="I163" s="1364"/>
      <c r="J163" s="1364"/>
      <c r="K163" s="1364"/>
      <c r="L163" s="1364"/>
      <c r="M163" s="1364"/>
      <c r="N163" s="1364"/>
      <c r="O163" s="1364"/>
      <c r="P163" s="1364"/>
      <c r="Q163" s="1364"/>
      <c r="R163" s="1364"/>
      <c r="S163" s="1364"/>
      <c r="T163" s="1364"/>
      <c r="U163" s="1364"/>
      <c r="V163" s="1364"/>
      <c r="W163" s="1364"/>
      <c r="X163" s="1364"/>
      <c r="Y163" s="1364"/>
      <c r="Z163" s="1364"/>
      <c r="AA163" s="1364"/>
      <c r="AB163" s="1364"/>
      <c r="AC163" s="1364"/>
      <c r="AD163" s="1364"/>
      <c r="AE163" s="1364"/>
      <c r="AF163" s="1364"/>
      <c r="AG163" s="1364"/>
      <c r="AH163" s="1364"/>
      <c r="AI163" s="1364"/>
      <c r="AJ163" s="1364"/>
      <c r="AK163" s="1364"/>
      <c r="AL163" s="1364"/>
      <c r="AM163" s="1364"/>
      <c r="AN163" s="1364"/>
      <c r="AO163" s="1364"/>
      <c r="AP163" s="1364"/>
      <c r="AQ163" s="1364"/>
      <c r="AR163" s="1364"/>
      <c r="AS163" s="1364"/>
      <c r="AT163" s="1364"/>
      <c r="AU163" s="1364"/>
      <c r="AV163" s="1364"/>
      <c r="AW163" s="1364"/>
      <c r="AX163" s="1364"/>
      <c r="AY163" s="1364"/>
      <c r="AZ163" s="1364"/>
      <c r="BA163" s="1364"/>
      <c r="BB163" s="1364"/>
      <c r="BC163" s="1364"/>
      <c r="BD163" s="1364"/>
      <c r="BE163" s="1364"/>
      <c r="BF163" s="1364"/>
      <c r="BG163" s="1364"/>
      <c r="BH163" s="1364"/>
      <c r="BI163" s="1364"/>
      <c r="BJ163" s="1364"/>
      <c r="BK163" s="1364"/>
      <c r="BL163" s="1364"/>
      <c r="BM163" s="1364"/>
      <c r="BN163" s="1364"/>
      <c r="BO163" s="1364"/>
      <c r="BP163" s="1364"/>
      <c r="BQ163" s="1364"/>
      <c r="BR163" s="1364"/>
      <c r="BS163" s="1364"/>
      <c r="BT163" s="1364"/>
      <c r="BU163" s="1364"/>
      <c r="BV163" s="1364"/>
      <c r="BW163" s="1364"/>
      <c r="BX163" s="1364"/>
      <c r="BY163" s="1364"/>
      <c r="BZ163" s="1364"/>
      <c r="CA163" s="1364"/>
      <c r="CB163" s="1364"/>
      <c r="CC163" s="1364"/>
      <c r="CD163" s="1364"/>
      <c r="CE163" s="1364"/>
      <c r="CF163" s="1364"/>
      <c r="CG163" s="1364"/>
      <c r="CH163" s="1364"/>
      <c r="CI163" s="1364"/>
      <c r="CJ163" s="1364"/>
      <c r="CK163" s="1364"/>
      <c r="CL163" s="1364"/>
      <c r="CM163" s="1364"/>
      <c r="CN163" s="1364"/>
      <c r="CO163" s="1364"/>
      <c r="CP163" s="1364"/>
      <c r="CQ163" s="1364"/>
      <c r="CR163" s="1364"/>
    </row>
    <row r="164" spans="1:96">
      <c r="A164" s="1362"/>
      <c r="B164" s="1363"/>
      <c r="C164" s="1363"/>
      <c r="D164" s="1363"/>
      <c r="E164" s="1363"/>
      <c r="F164" s="1363"/>
      <c r="G164" s="1363"/>
      <c r="H164" s="1363"/>
      <c r="I164" s="1364"/>
      <c r="J164" s="1364"/>
      <c r="K164" s="1364"/>
      <c r="L164" s="1364"/>
      <c r="M164" s="1364"/>
      <c r="N164" s="1364"/>
      <c r="O164" s="1364"/>
      <c r="P164" s="1364"/>
      <c r="Q164" s="1364"/>
      <c r="R164" s="1364"/>
      <c r="S164" s="1364"/>
      <c r="T164" s="1364"/>
      <c r="U164" s="1364"/>
      <c r="V164" s="1364"/>
      <c r="W164" s="1364"/>
      <c r="X164" s="1364"/>
      <c r="Y164" s="1364"/>
      <c r="Z164" s="1364"/>
      <c r="AA164" s="1364"/>
      <c r="AB164" s="1364"/>
      <c r="AC164" s="1364"/>
      <c r="AD164" s="1364"/>
      <c r="AE164" s="1364"/>
      <c r="AF164" s="1364"/>
      <c r="AG164" s="1364"/>
      <c r="AH164" s="1364"/>
      <c r="AI164" s="1364"/>
      <c r="AJ164" s="1364"/>
      <c r="AK164" s="1364"/>
      <c r="AL164" s="1364"/>
      <c r="AM164" s="1364"/>
      <c r="AN164" s="1364"/>
      <c r="AO164" s="1364"/>
      <c r="AP164" s="1364"/>
      <c r="AQ164" s="1364"/>
      <c r="AR164" s="1364"/>
      <c r="AS164" s="1364"/>
      <c r="AT164" s="1364"/>
      <c r="AU164" s="1364"/>
      <c r="AV164" s="1364"/>
      <c r="AW164" s="1364"/>
      <c r="AX164" s="1364"/>
      <c r="AY164" s="1364"/>
      <c r="AZ164" s="1364"/>
      <c r="BA164" s="1364"/>
      <c r="BB164" s="1364"/>
      <c r="BC164" s="1364"/>
      <c r="BD164" s="1364"/>
      <c r="BE164" s="1364"/>
      <c r="BF164" s="1364"/>
      <c r="BG164" s="1364"/>
      <c r="BH164" s="1364"/>
      <c r="BI164" s="1364"/>
      <c r="BJ164" s="1364"/>
      <c r="BK164" s="1364"/>
      <c r="BL164" s="1364"/>
      <c r="BM164" s="1364"/>
      <c r="BN164" s="1364"/>
      <c r="BO164" s="1364"/>
      <c r="BP164" s="1364"/>
      <c r="BQ164" s="1364"/>
      <c r="BR164" s="1364"/>
      <c r="BS164" s="1364"/>
      <c r="BT164" s="1364"/>
      <c r="BU164" s="1364"/>
      <c r="BV164" s="1364"/>
      <c r="BW164" s="1364"/>
      <c r="BX164" s="1364"/>
      <c r="BY164" s="1364"/>
      <c r="BZ164" s="1364"/>
      <c r="CA164" s="1364"/>
      <c r="CB164" s="1364"/>
      <c r="CC164" s="1364"/>
      <c r="CD164" s="1364"/>
      <c r="CE164" s="1364"/>
      <c r="CF164" s="1364"/>
      <c r="CG164" s="1364"/>
      <c r="CH164" s="1364"/>
      <c r="CI164" s="1364"/>
      <c r="CJ164" s="1364"/>
      <c r="CK164" s="1364"/>
      <c r="CL164" s="1364"/>
      <c r="CM164" s="1364"/>
      <c r="CN164" s="1364"/>
      <c r="CO164" s="1364"/>
      <c r="CP164" s="1364"/>
      <c r="CQ164" s="1364"/>
      <c r="CR164" s="1364"/>
    </row>
    <row r="165" spans="1:96">
      <c r="A165" s="1362"/>
      <c r="B165" s="1363"/>
      <c r="C165" s="1363"/>
      <c r="D165" s="1363"/>
      <c r="E165" s="1363"/>
      <c r="F165" s="1363"/>
      <c r="G165" s="1363"/>
      <c r="H165" s="1363"/>
      <c r="I165" s="1364"/>
      <c r="J165" s="1364"/>
      <c r="K165" s="1364"/>
      <c r="L165" s="1364"/>
      <c r="M165" s="1364"/>
      <c r="N165" s="1364"/>
      <c r="O165" s="1364"/>
      <c r="P165" s="1364"/>
      <c r="Q165" s="1364"/>
      <c r="R165" s="1364"/>
      <c r="S165" s="1364"/>
      <c r="T165" s="1364"/>
      <c r="U165" s="1364"/>
      <c r="V165" s="1364"/>
      <c r="W165" s="1364"/>
      <c r="X165" s="1364"/>
      <c r="Y165" s="1364"/>
      <c r="Z165" s="1364"/>
      <c r="AA165" s="1364"/>
      <c r="AB165" s="1364"/>
      <c r="AC165" s="1364"/>
      <c r="AD165" s="1364"/>
      <c r="AE165" s="1364"/>
      <c r="AF165" s="1364"/>
      <c r="AG165" s="1364"/>
      <c r="AH165" s="1364"/>
      <c r="AI165" s="1364"/>
      <c r="AJ165" s="1364"/>
      <c r="AK165" s="1364"/>
      <c r="AL165" s="1364"/>
      <c r="AM165" s="1364"/>
      <c r="AN165" s="1364"/>
      <c r="AO165" s="1364"/>
      <c r="AP165" s="1364"/>
      <c r="AQ165" s="1364"/>
      <c r="AR165" s="1364"/>
      <c r="AS165" s="1364"/>
      <c r="AT165" s="1364"/>
      <c r="AU165" s="1364"/>
      <c r="AV165" s="1364"/>
      <c r="AW165" s="1364"/>
      <c r="AX165" s="1364"/>
      <c r="AY165" s="1364"/>
      <c r="AZ165" s="1364"/>
      <c r="BA165" s="1364"/>
      <c r="BB165" s="1364"/>
      <c r="BC165" s="1364"/>
      <c r="BD165" s="1364"/>
      <c r="BE165" s="1364"/>
      <c r="BF165" s="1364"/>
      <c r="BG165" s="1364"/>
      <c r="BH165" s="1364"/>
      <c r="BI165" s="1364"/>
      <c r="BJ165" s="1364"/>
      <c r="BK165" s="1364"/>
      <c r="BL165" s="1364"/>
      <c r="BM165" s="1364"/>
      <c r="BN165" s="1364"/>
      <c r="BO165" s="1364"/>
      <c r="BP165" s="1364"/>
      <c r="BQ165" s="1364"/>
      <c r="BR165" s="1364"/>
      <c r="BS165" s="1364"/>
      <c r="BT165" s="1364"/>
      <c r="BU165" s="1364"/>
      <c r="BV165" s="1364"/>
      <c r="BW165" s="1364"/>
      <c r="BX165" s="1364"/>
      <c r="BY165" s="1364"/>
      <c r="BZ165" s="1364"/>
      <c r="CA165" s="1364"/>
      <c r="CB165" s="1364"/>
      <c r="CC165" s="1364"/>
      <c r="CD165" s="1364"/>
      <c r="CE165" s="1364"/>
      <c r="CF165" s="1364"/>
      <c r="CG165" s="1364"/>
      <c r="CH165" s="1364"/>
      <c r="CI165" s="1364"/>
      <c r="CJ165" s="1364"/>
      <c r="CK165" s="1364"/>
      <c r="CL165" s="1364"/>
      <c r="CM165" s="1364"/>
      <c r="CN165" s="1364"/>
      <c r="CO165" s="1364"/>
      <c r="CP165" s="1364"/>
      <c r="CQ165" s="1364"/>
      <c r="CR165" s="1364"/>
    </row>
    <row r="166" spans="1:96">
      <c r="A166" s="1362"/>
      <c r="B166" s="1363"/>
      <c r="C166" s="1363"/>
      <c r="D166" s="1363"/>
      <c r="E166" s="1363"/>
      <c r="F166" s="1363"/>
      <c r="G166" s="1363"/>
      <c r="H166" s="1363"/>
      <c r="I166" s="1364"/>
      <c r="J166" s="1364"/>
      <c r="K166" s="1364"/>
      <c r="L166" s="1364"/>
      <c r="M166" s="1364"/>
      <c r="N166" s="1364"/>
      <c r="O166" s="1364"/>
      <c r="P166" s="1364"/>
      <c r="Q166" s="1364"/>
      <c r="R166" s="1364"/>
      <c r="S166" s="1364"/>
      <c r="T166" s="1364"/>
      <c r="U166" s="1364"/>
      <c r="V166" s="1364"/>
      <c r="W166" s="1364"/>
      <c r="X166" s="1364"/>
      <c r="Y166" s="1364"/>
      <c r="Z166" s="1364"/>
      <c r="AA166" s="1364"/>
      <c r="AB166" s="1364"/>
      <c r="AC166" s="1364"/>
      <c r="AD166" s="1364"/>
      <c r="AE166" s="1364"/>
      <c r="AF166" s="1364"/>
      <c r="AG166" s="1364"/>
      <c r="AH166" s="1364"/>
      <c r="AI166" s="1364"/>
      <c r="AJ166" s="1364"/>
      <c r="AK166" s="1364"/>
      <c r="AL166" s="1364"/>
      <c r="AM166" s="1364"/>
      <c r="AN166" s="1364"/>
      <c r="AO166" s="1364"/>
      <c r="AP166" s="1364"/>
      <c r="AQ166" s="1364"/>
      <c r="AR166" s="1364"/>
      <c r="AS166" s="1364"/>
      <c r="AT166" s="1364"/>
      <c r="AU166" s="1364"/>
      <c r="AV166" s="1364"/>
      <c r="AW166" s="1364"/>
      <c r="AX166" s="1364"/>
      <c r="AY166" s="1364"/>
      <c r="AZ166" s="1364"/>
      <c r="BA166" s="1364"/>
      <c r="BB166" s="1364"/>
      <c r="BC166" s="1364"/>
      <c r="BD166" s="1364"/>
      <c r="BE166" s="1364"/>
      <c r="BF166" s="1364"/>
      <c r="BG166" s="1364"/>
      <c r="BH166" s="1364"/>
      <c r="BI166" s="1364"/>
      <c r="BJ166" s="1364"/>
      <c r="BK166" s="1364"/>
      <c r="BL166" s="1364"/>
      <c r="BM166" s="1364"/>
      <c r="BN166" s="1364"/>
      <c r="BO166" s="1364"/>
      <c r="BP166" s="1364"/>
      <c r="BQ166" s="1364"/>
      <c r="BR166" s="1364"/>
      <c r="BS166" s="1364"/>
      <c r="BT166" s="1364"/>
      <c r="BU166" s="1364"/>
      <c r="BV166" s="1364"/>
      <c r="BW166" s="1364"/>
      <c r="BX166" s="1364"/>
      <c r="BY166" s="1364"/>
      <c r="BZ166" s="1364"/>
      <c r="CA166" s="1364"/>
      <c r="CB166" s="1364"/>
      <c r="CC166" s="1364"/>
      <c r="CD166" s="1364"/>
      <c r="CE166" s="1364"/>
      <c r="CF166" s="1364"/>
      <c r="CG166" s="1364"/>
      <c r="CH166" s="1364"/>
      <c r="CI166" s="1364"/>
      <c r="CJ166" s="1364"/>
      <c r="CK166" s="1364"/>
      <c r="CL166" s="1364"/>
      <c r="CM166" s="1364"/>
      <c r="CN166" s="1364"/>
      <c r="CO166" s="1364"/>
      <c r="CP166" s="1364"/>
      <c r="CQ166" s="1364"/>
      <c r="CR166" s="1364"/>
    </row>
    <row r="167" spans="1:96">
      <c r="A167" s="1362"/>
      <c r="B167" s="1363"/>
      <c r="C167" s="1363"/>
      <c r="D167" s="1363"/>
      <c r="E167" s="1363"/>
      <c r="F167" s="1363"/>
      <c r="G167" s="1363"/>
      <c r="H167" s="1363"/>
      <c r="I167" s="1364"/>
      <c r="J167" s="1364"/>
      <c r="K167" s="1364"/>
      <c r="L167" s="1364"/>
      <c r="M167" s="1364"/>
      <c r="N167" s="1364"/>
      <c r="O167" s="1364"/>
      <c r="P167" s="1364"/>
      <c r="Q167" s="1364"/>
      <c r="R167" s="1364"/>
      <c r="S167" s="1364"/>
      <c r="T167" s="1364"/>
      <c r="U167" s="1364"/>
      <c r="V167" s="1364"/>
      <c r="W167" s="1364"/>
      <c r="X167" s="1364"/>
      <c r="Y167" s="1364"/>
      <c r="Z167" s="1364"/>
      <c r="AA167" s="1364"/>
      <c r="AB167" s="1364"/>
      <c r="AC167" s="1364"/>
      <c r="AD167" s="1364"/>
      <c r="AE167" s="1364"/>
      <c r="AF167" s="1364"/>
      <c r="AG167" s="1364"/>
      <c r="AH167" s="1364"/>
      <c r="AI167" s="1364"/>
      <c r="AJ167" s="1364"/>
      <c r="AK167" s="1364"/>
      <c r="AL167" s="1364"/>
      <c r="AM167" s="1364"/>
      <c r="AN167" s="1364"/>
      <c r="AO167" s="1364"/>
      <c r="AP167" s="1364"/>
      <c r="AQ167" s="1364"/>
      <c r="AR167" s="1364"/>
      <c r="AS167" s="1364"/>
      <c r="AT167" s="1364"/>
      <c r="AU167" s="1364"/>
      <c r="AV167" s="1364"/>
      <c r="AW167" s="1364"/>
      <c r="AX167" s="1364"/>
      <c r="AY167" s="1364"/>
      <c r="AZ167" s="1364"/>
      <c r="BA167" s="1364"/>
      <c r="BB167" s="1364"/>
      <c r="BC167" s="1364"/>
      <c r="BD167" s="1364"/>
      <c r="BE167" s="1364"/>
      <c r="BF167" s="1364"/>
      <c r="BG167" s="1364"/>
      <c r="BH167" s="1364"/>
      <c r="BI167" s="1364"/>
      <c r="BJ167" s="1364"/>
      <c r="BK167" s="1364"/>
      <c r="BL167" s="1364"/>
      <c r="BM167" s="1364"/>
      <c r="BN167" s="1364"/>
      <c r="BO167" s="1364"/>
      <c r="BP167" s="1364"/>
      <c r="BQ167" s="1364"/>
      <c r="BR167" s="1364"/>
      <c r="BS167" s="1364"/>
      <c r="BT167" s="1364"/>
      <c r="BU167" s="1364"/>
      <c r="BV167" s="1364"/>
      <c r="BW167" s="1364"/>
      <c r="BX167" s="1364"/>
      <c r="BY167" s="1364"/>
      <c r="BZ167" s="1364"/>
      <c r="CA167" s="1364"/>
      <c r="CB167" s="1364"/>
      <c r="CC167" s="1364"/>
      <c r="CD167" s="1364"/>
      <c r="CE167" s="1364"/>
      <c r="CF167" s="1364"/>
      <c r="CG167" s="1364"/>
      <c r="CH167" s="1364"/>
      <c r="CI167" s="1364"/>
      <c r="CJ167" s="1364"/>
      <c r="CK167" s="1364"/>
      <c r="CL167" s="1364"/>
      <c r="CM167" s="1364"/>
      <c r="CN167" s="1364"/>
      <c r="CO167" s="1364"/>
      <c r="CP167" s="1364"/>
      <c r="CQ167" s="1364"/>
      <c r="CR167" s="1364"/>
    </row>
    <row r="168" spans="1:96">
      <c r="A168" s="1362"/>
      <c r="B168" s="1363"/>
      <c r="C168" s="1363"/>
      <c r="D168" s="1363"/>
      <c r="E168" s="1363"/>
      <c r="F168" s="1363"/>
      <c r="G168" s="1363"/>
      <c r="H168" s="1363"/>
      <c r="I168" s="1364"/>
      <c r="J168" s="1364"/>
      <c r="K168" s="1364"/>
      <c r="L168" s="1364"/>
      <c r="M168" s="1364"/>
      <c r="N168" s="1364"/>
      <c r="O168" s="1364"/>
      <c r="P168" s="1364"/>
      <c r="Q168" s="1364"/>
      <c r="R168" s="1364"/>
      <c r="S168" s="1364"/>
      <c r="T168" s="1364"/>
      <c r="U168" s="1364"/>
      <c r="V168" s="1364"/>
      <c r="W168" s="1364"/>
      <c r="X168" s="1364"/>
      <c r="Y168" s="1364"/>
      <c r="Z168" s="1364"/>
      <c r="AA168" s="1364"/>
      <c r="AB168" s="1364"/>
      <c r="AC168" s="1364"/>
      <c r="AD168" s="1364"/>
      <c r="AE168" s="1364"/>
      <c r="AF168" s="1364"/>
      <c r="AG168" s="1364"/>
      <c r="AH168" s="1364"/>
      <c r="AI168" s="1364"/>
      <c r="AJ168" s="1364"/>
      <c r="AK168" s="1364"/>
      <c r="AL168" s="1364"/>
      <c r="AM168" s="1364"/>
      <c r="AN168" s="1364"/>
      <c r="AO168" s="1364"/>
      <c r="AP168" s="1364"/>
      <c r="AQ168" s="1364"/>
      <c r="AR168" s="1364"/>
      <c r="AS168" s="1364"/>
      <c r="AT168" s="1364"/>
      <c r="AU168" s="1364"/>
      <c r="AV168" s="1364"/>
      <c r="AW168" s="1364"/>
      <c r="AX168" s="1364"/>
      <c r="AY168" s="1364"/>
      <c r="AZ168" s="1364"/>
      <c r="BA168" s="1364"/>
      <c r="BB168" s="1364"/>
      <c r="BC168" s="1364"/>
      <c r="BD168" s="1364"/>
      <c r="BE168" s="1364"/>
      <c r="BF168" s="1364"/>
      <c r="BG168" s="1364"/>
      <c r="BH168" s="1364"/>
      <c r="BI168" s="1364"/>
      <c r="BJ168" s="1364"/>
      <c r="BK168" s="1364"/>
      <c r="BL168" s="1364"/>
      <c r="BM168" s="1364"/>
      <c r="BN168" s="1364"/>
      <c r="BO168" s="1364"/>
      <c r="BP168" s="1364"/>
      <c r="BQ168" s="1364"/>
      <c r="BR168" s="1364"/>
      <c r="BS168" s="1364"/>
      <c r="BT168" s="1364"/>
      <c r="BU168" s="1364"/>
      <c r="BV168" s="1364"/>
      <c r="BW168" s="1364"/>
      <c r="BX168" s="1364"/>
      <c r="BY168" s="1364"/>
      <c r="BZ168" s="1364"/>
      <c r="CA168" s="1364"/>
      <c r="CB168" s="1364"/>
      <c r="CC168" s="1364"/>
      <c r="CD168" s="1364"/>
      <c r="CE168" s="1364"/>
      <c r="CF168" s="1364"/>
      <c r="CG168" s="1364"/>
      <c r="CH168" s="1364"/>
      <c r="CI168" s="1364"/>
      <c r="CJ168" s="1364"/>
      <c r="CK168" s="1364"/>
      <c r="CL168" s="1364"/>
      <c r="CM168" s="1364"/>
      <c r="CN168" s="1364"/>
      <c r="CO168" s="1364"/>
      <c r="CP168" s="1364"/>
      <c r="CQ168" s="1364"/>
      <c r="CR168" s="1364"/>
    </row>
    <row r="169" spans="1:96">
      <c r="A169" s="1362"/>
      <c r="B169" s="1363"/>
      <c r="C169" s="1363"/>
      <c r="D169" s="1363"/>
      <c r="E169" s="1363"/>
      <c r="F169" s="1363"/>
      <c r="G169" s="1363"/>
      <c r="H169" s="1363"/>
      <c r="I169" s="1364"/>
      <c r="J169" s="1364"/>
      <c r="K169" s="1364"/>
      <c r="L169" s="1364"/>
      <c r="M169" s="1364"/>
      <c r="N169" s="1364"/>
      <c r="O169" s="1364"/>
      <c r="P169" s="1364"/>
      <c r="Q169" s="1364"/>
      <c r="R169" s="1364"/>
      <c r="S169" s="1364"/>
      <c r="T169" s="1364"/>
      <c r="U169" s="1364"/>
      <c r="V169" s="1364"/>
      <c r="W169" s="1364"/>
      <c r="X169" s="1364"/>
      <c r="Y169" s="1364"/>
      <c r="Z169" s="1364"/>
      <c r="AA169" s="1364"/>
      <c r="AB169" s="1364"/>
      <c r="AC169" s="1364"/>
      <c r="AD169" s="1364"/>
      <c r="AE169" s="1364"/>
      <c r="AF169" s="1364"/>
      <c r="AG169" s="1364"/>
      <c r="AH169" s="1364"/>
      <c r="AI169" s="1364"/>
      <c r="AJ169" s="1364"/>
      <c r="AK169" s="1364"/>
      <c r="AL169" s="1364"/>
      <c r="AM169" s="1364"/>
      <c r="AN169" s="1364"/>
      <c r="AO169" s="1364"/>
      <c r="AP169" s="1364"/>
      <c r="AQ169" s="1364"/>
      <c r="AR169" s="1364"/>
      <c r="AS169" s="1364"/>
      <c r="AT169" s="1364"/>
      <c r="AU169" s="1364"/>
      <c r="AV169" s="1364"/>
      <c r="AW169" s="1364"/>
      <c r="AX169" s="1364"/>
      <c r="AY169" s="1364"/>
      <c r="AZ169" s="1364"/>
      <c r="BA169" s="1364"/>
      <c r="BB169" s="1364"/>
      <c r="BC169" s="1364"/>
      <c r="BD169" s="1364"/>
      <c r="BE169" s="1364"/>
      <c r="BF169" s="1364"/>
      <c r="BG169" s="1364"/>
      <c r="BH169" s="1364"/>
      <c r="BI169" s="1364"/>
      <c r="BJ169" s="1364"/>
      <c r="BK169" s="1364"/>
      <c r="BL169" s="1364"/>
      <c r="BM169" s="1364"/>
      <c r="BN169" s="1364"/>
      <c r="BO169" s="1364"/>
      <c r="BP169" s="1364"/>
      <c r="BQ169" s="1364"/>
      <c r="BR169" s="1364"/>
      <c r="BS169" s="1364"/>
      <c r="BT169" s="1364"/>
      <c r="BU169" s="1364"/>
      <c r="BV169" s="1364"/>
      <c r="BW169" s="1364"/>
      <c r="BX169" s="1364"/>
      <c r="BY169" s="1364"/>
      <c r="BZ169" s="1364"/>
      <c r="CA169" s="1364"/>
      <c r="CB169" s="1364"/>
      <c r="CC169" s="1364"/>
      <c r="CD169" s="1364"/>
      <c r="CE169" s="1364"/>
      <c r="CF169" s="1364"/>
      <c r="CG169" s="1364"/>
      <c r="CH169" s="1364"/>
      <c r="CI169" s="1364"/>
      <c r="CJ169" s="1364"/>
      <c r="CK169" s="1364"/>
      <c r="CL169" s="1364"/>
      <c r="CM169" s="1364"/>
      <c r="CN169" s="1364"/>
      <c r="CO169" s="1364"/>
      <c r="CP169" s="1364"/>
      <c r="CQ169" s="1364"/>
      <c r="CR169" s="1364"/>
    </row>
    <row r="170" spans="1:96">
      <c r="A170" s="1362"/>
      <c r="B170" s="1363"/>
      <c r="C170" s="1363"/>
      <c r="D170" s="1363"/>
      <c r="E170" s="1363"/>
      <c r="F170" s="1363"/>
      <c r="G170" s="1363"/>
      <c r="H170" s="1363"/>
      <c r="I170" s="1364"/>
      <c r="J170" s="1364"/>
      <c r="K170" s="1364"/>
      <c r="L170" s="1364"/>
      <c r="M170" s="1364"/>
      <c r="N170" s="1364"/>
      <c r="O170" s="1364"/>
      <c r="P170" s="1364"/>
      <c r="Q170" s="1364"/>
      <c r="R170" s="1364"/>
      <c r="S170" s="1364"/>
      <c r="T170" s="1364"/>
      <c r="U170" s="1364"/>
      <c r="V170" s="1364"/>
      <c r="W170" s="1364"/>
      <c r="X170" s="1364"/>
      <c r="Y170" s="1364"/>
      <c r="Z170" s="1364"/>
      <c r="AA170" s="1364"/>
      <c r="AB170" s="1364"/>
      <c r="AC170" s="1364"/>
      <c r="AD170" s="1364"/>
      <c r="AE170" s="1364"/>
      <c r="AF170" s="1364"/>
      <c r="AG170" s="1364"/>
      <c r="AH170" s="1364"/>
      <c r="AI170" s="1364"/>
      <c r="AJ170" s="1364"/>
      <c r="AK170" s="1364"/>
      <c r="AL170" s="1364"/>
      <c r="AM170" s="1364"/>
      <c r="AN170" s="1364"/>
      <c r="AO170" s="1364"/>
      <c r="AP170" s="1364"/>
      <c r="AQ170" s="1364"/>
      <c r="AR170" s="1364"/>
      <c r="AS170" s="1364"/>
      <c r="AT170" s="1364"/>
      <c r="AU170" s="1364"/>
      <c r="AV170" s="1364"/>
      <c r="AW170" s="1364"/>
      <c r="AX170" s="1364"/>
      <c r="AY170" s="1364"/>
      <c r="AZ170" s="1364"/>
      <c r="BA170" s="1364"/>
      <c r="BB170" s="1364"/>
      <c r="BC170" s="1364"/>
      <c r="BD170" s="1364"/>
      <c r="BE170" s="1364"/>
      <c r="BF170" s="1364"/>
      <c r="BG170" s="1364"/>
      <c r="BH170" s="1364"/>
      <c r="BI170" s="1364"/>
      <c r="BJ170" s="1364"/>
      <c r="BK170" s="1364"/>
      <c r="BL170" s="1364"/>
      <c r="BM170" s="1364"/>
      <c r="BN170" s="1364"/>
      <c r="BO170" s="1364"/>
      <c r="BP170" s="1364"/>
      <c r="BQ170" s="1364"/>
      <c r="BR170" s="1364"/>
      <c r="BS170" s="1364"/>
      <c r="BT170" s="1364"/>
      <c r="BU170" s="1364"/>
      <c r="BV170" s="1364"/>
      <c r="BW170" s="1364"/>
      <c r="BX170" s="1364"/>
      <c r="BY170" s="1364"/>
      <c r="BZ170" s="1364"/>
      <c r="CA170" s="1364"/>
      <c r="CB170" s="1364"/>
      <c r="CC170" s="1364"/>
      <c r="CD170" s="1364"/>
      <c r="CE170" s="1364"/>
      <c r="CF170" s="1364"/>
      <c r="CG170" s="1364"/>
      <c r="CH170" s="1364"/>
      <c r="CI170" s="1364"/>
      <c r="CJ170" s="1364"/>
      <c r="CK170" s="1364"/>
      <c r="CL170" s="1364"/>
      <c r="CM170" s="1364"/>
      <c r="CN170" s="1364"/>
      <c r="CO170" s="1364"/>
      <c r="CP170" s="1364"/>
      <c r="CQ170" s="1364"/>
      <c r="CR170" s="1364"/>
    </row>
    <row r="171" spans="1:96">
      <c r="A171" s="1362"/>
      <c r="B171" s="1363"/>
      <c r="C171" s="1363"/>
      <c r="D171" s="1363"/>
      <c r="E171" s="1363"/>
      <c r="F171" s="1363"/>
      <c r="G171" s="1363"/>
      <c r="H171" s="1363"/>
      <c r="I171" s="1364"/>
      <c r="J171" s="1364"/>
      <c r="K171" s="1364"/>
      <c r="L171" s="1364"/>
      <c r="M171" s="1364"/>
      <c r="N171" s="1364"/>
      <c r="O171" s="1364"/>
      <c r="P171" s="1364"/>
      <c r="Q171" s="1364"/>
      <c r="R171" s="1364"/>
      <c r="S171" s="1364"/>
      <c r="T171" s="1364"/>
      <c r="U171" s="1364"/>
      <c r="V171" s="1364"/>
      <c r="W171" s="1364"/>
      <c r="X171" s="1364"/>
      <c r="Y171" s="1364"/>
      <c r="Z171" s="1364"/>
      <c r="AA171" s="1364"/>
      <c r="AB171" s="1364"/>
      <c r="AC171" s="1364"/>
      <c r="AD171" s="1364"/>
      <c r="AE171" s="1364"/>
      <c r="AF171" s="1364"/>
      <c r="AG171" s="1364"/>
      <c r="AH171" s="1364"/>
      <c r="AI171" s="1364"/>
      <c r="AJ171" s="1364"/>
      <c r="AK171" s="1364"/>
      <c r="AL171" s="1364"/>
      <c r="AM171" s="1364"/>
      <c r="AN171" s="1364"/>
      <c r="AO171" s="1364"/>
      <c r="AP171" s="1364"/>
      <c r="AQ171" s="1364"/>
      <c r="AR171" s="1364"/>
      <c r="AS171" s="1364"/>
      <c r="AT171" s="1364"/>
      <c r="AU171" s="1364"/>
      <c r="AV171" s="1364"/>
      <c r="AW171" s="1364"/>
      <c r="AX171" s="1364"/>
      <c r="AY171" s="1364"/>
      <c r="AZ171" s="1364"/>
      <c r="BA171" s="1364"/>
      <c r="BB171" s="1364"/>
      <c r="BC171" s="1364"/>
      <c r="BD171" s="1364"/>
      <c r="BE171" s="1364"/>
      <c r="BF171" s="1364"/>
      <c r="BG171" s="1364"/>
      <c r="BH171" s="1364"/>
      <c r="BI171" s="1364"/>
      <c r="BJ171" s="1364"/>
      <c r="BK171" s="1364"/>
      <c r="BL171" s="1364"/>
      <c r="BM171" s="1364"/>
      <c r="BN171" s="1364"/>
      <c r="BO171" s="1364"/>
      <c r="BP171" s="1364"/>
      <c r="BQ171" s="1364"/>
      <c r="BR171" s="1364"/>
      <c r="BS171" s="1364"/>
      <c r="BT171" s="1364"/>
      <c r="BU171" s="1364"/>
      <c r="BV171" s="1364"/>
      <c r="BW171" s="1364"/>
      <c r="BX171" s="1364"/>
      <c r="BY171" s="1364"/>
      <c r="BZ171" s="1364"/>
      <c r="CA171" s="1364"/>
      <c r="CB171" s="1364"/>
      <c r="CC171" s="1364"/>
      <c r="CD171" s="1364"/>
      <c r="CE171" s="1364"/>
      <c r="CF171" s="1364"/>
      <c r="CG171" s="1364"/>
      <c r="CH171" s="1364"/>
      <c r="CI171" s="1364"/>
      <c r="CJ171" s="1364"/>
      <c r="CK171" s="1364"/>
      <c r="CL171" s="1364"/>
      <c r="CM171" s="1364"/>
      <c r="CN171" s="1364"/>
      <c r="CO171" s="1364"/>
      <c r="CP171" s="1364"/>
      <c r="CQ171" s="1364"/>
      <c r="CR171" s="1364"/>
    </row>
    <row r="172" spans="1:96">
      <c r="A172" s="1362"/>
      <c r="B172" s="1363"/>
      <c r="C172" s="1363"/>
      <c r="D172" s="1363"/>
      <c r="E172" s="1363"/>
      <c r="F172" s="1363"/>
      <c r="G172" s="1363"/>
      <c r="H172" s="1363"/>
      <c r="I172" s="1364"/>
      <c r="J172" s="1364"/>
      <c r="K172" s="1364"/>
      <c r="L172" s="1364"/>
      <c r="M172" s="1364"/>
      <c r="N172" s="1364"/>
      <c r="O172" s="1364"/>
      <c r="P172" s="1364"/>
      <c r="Q172" s="1364"/>
      <c r="R172" s="1364"/>
      <c r="S172" s="1364"/>
      <c r="T172" s="1364"/>
      <c r="U172" s="1364"/>
      <c r="V172" s="1364"/>
      <c r="W172" s="1364"/>
      <c r="X172" s="1364"/>
      <c r="Y172" s="1364"/>
      <c r="Z172" s="1364"/>
      <c r="AA172" s="1364"/>
      <c r="AB172" s="1364"/>
      <c r="AC172" s="1364"/>
      <c r="AD172" s="1364"/>
      <c r="AE172" s="1364"/>
      <c r="AF172" s="1364"/>
      <c r="AG172" s="1364"/>
      <c r="AH172" s="1364"/>
      <c r="AI172" s="1364"/>
      <c r="AJ172" s="1364"/>
      <c r="AK172" s="1364"/>
      <c r="AL172" s="1364"/>
      <c r="AM172" s="1364"/>
      <c r="AN172" s="1364"/>
      <c r="AO172" s="1364"/>
      <c r="AP172" s="1364"/>
      <c r="AQ172" s="1364"/>
      <c r="AR172" s="1364"/>
      <c r="AS172" s="1364"/>
      <c r="AT172" s="1364"/>
      <c r="AU172" s="1364"/>
      <c r="AV172" s="1364"/>
      <c r="AW172" s="1364"/>
      <c r="AX172" s="1364"/>
      <c r="AY172" s="1364"/>
      <c r="AZ172" s="1364"/>
      <c r="BA172" s="1364"/>
      <c r="BB172" s="1364"/>
      <c r="BC172" s="1364"/>
      <c r="BD172" s="1364"/>
      <c r="BE172" s="1364"/>
      <c r="BF172" s="1364"/>
      <c r="BG172" s="1364"/>
      <c r="BH172" s="1364"/>
      <c r="BI172" s="1364"/>
      <c r="BJ172" s="1364"/>
      <c r="BK172" s="1364"/>
      <c r="BL172" s="1364"/>
      <c r="BM172" s="1364"/>
      <c r="BN172" s="1364"/>
      <c r="BO172" s="1364"/>
      <c r="BP172" s="1364"/>
      <c r="BQ172" s="1364"/>
      <c r="BR172" s="1364"/>
      <c r="BS172" s="1364"/>
      <c r="BT172" s="1364"/>
      <c r="BU172" s="1364"/>
      <c r="BV172" s="1364"/>
      <c r="BW172" s="1364"/>
      <c r="BX172" s="1364"/>
      <c r="BY172" s="1364"/>
      <c r="BZ172" s="1364"/>
      <c r="CA172" s="1364"/>
      <c r="CB172" s="1364"/>
      <c r="CC172" s="1364"/>
      <c r="CD172" s="1364"/>
      <c r="CE172" s="1364"/>
      <c r="CF172" s="1364"/>
      <c r="CG172" s="1364"/>
      <c r="CH172" s="1364"/>
      <c r="CI172" s="1364"/>
      <c r="CJ172" s="1364"/>
      <c r="CK172" s="1364"/>
      <c r="CL172" s="1364"/>
      <c r="CM172" s="1364"/>
      <c r="CN172" s="1364"/>
      <c r="CO172" s="1364"/>
      <c r="CP172" s="1364"/>
      <c r="CQ172" s="1364"/>
      <c r="CR172" s="1364"/>
    </row>
    <row r="173" spans="1:96">
      <c r="A173" s="1362"/>
      <c r="B173" s="1363"/>
      <c r="C173" s="1363"/>
      <c r="D173" s="1363"/>
      <c r="E173" s="1363"/>
      <c r="F173" s="1363"/>
      <c r="G173" s="1363"/>
      <c r="H173" s="1363"/>
      <c r="I173" s="1364"/>
      <c r="J173" s="1364"/>
      <c r="K173" s="1364"/>
      <c r="L173" s="1364"/>
      <c r="M173" s="1364"/>
      <c r="N173" s="1364"/>
      <c r="O173" s="1364"/>
      <c r="P173" s="1364"/>
      <c r="Q173" s="1364"/>
      <c r="R173" s="1364"/>
      <c r="S173" s="1364"/>
      <c r="T173" s="1364"/>
      <c r="U173" s="1364"/>
      <c r="V173" s="1364"/>
      <c r="W173" s="1364"/>
      <c r="X173" s="1364"/>
      <c r="Y173" s="1364"/>
      <c r="Z173" s="1364"/>
      <c r="AA173" s="1364"/>
      <c r="AB173" s="1364"/>
      <c r="AC173" s="1364"/>
      <c r="AD173" s="1364"/>
      <c r="AE173" s="1364"/>
      <c r="AF173" s="1364"/>
      <c r="AG173" s="1364"/>
      <c r="AH173" s="1364"/>
      <c r="AI173" s="1364"/>
      <c r="AJ173" s="1364"/>
      <c r="AK173" s="1364"/>
      <c r="AL173" s="1364"/>
      <c r="AM173" s="1364"/>
      <c r="AN173" s="1364"/>
      <c r="AO173" s="1364"/>
      <c r="AP173" s="1364"/>
      <c r="AQ173" s="1364"/>
      <c r="AR173" s="1364"/>
      <c r="AS173" s="1364"/>
      <c r="AT173" s="1364"/>
      <c r="AU173" s="1364"/>
      <c r="AV173" s="1364"/>
      <c r="AW173" s="1364"/>
      <c r="AX173" s="1364"/>
      <c r="AY173" s="1364"/>
      <c r="AZ173" s="1364"/>
      <c r="BA173" s="1364"/>
      <c r="BB173" s="1364"/>
      <c r="BC173" s="1364"/>
      <c r="BD173" s="1364"/>
      <c r="BE173" s="1364"/>
      <c r="BF173" s="1364"/>
      <c r="BG173" s="1364"/>
      <c r="BH173" s="1364"/>
      <c r="BI173" s="1364"/>
      <c r="BJ173" s="1364"/>
      <c r="BK173" s="1364"/>
      <c r="BL173" s="1364"/>
      <c r="BM173" s="1364"/>
      <c r="BN173" s="1364"/>
      <c r="BO173" s="1364"/>
      <c r="BP173" s="1364"/>
      <c r="BQ173" s="1364"/>
      <c r="BR173" s="1364"/>
      <c r="BS173" s="1364"/>
      <c r="BT173" s="1364"/>
      <c r="BU173" s="1364"/>
      <c r="BV173" s="1364"/>
      <c r="BW173" s="1364"/>
      <c r="BX173" s="1364"/>
      <c r="BY173" s="1364"/>
      <c r="BZ173" s="1364"/>
      <c r="CA173" s="1364"/>
      <c r="CB173" s="1364"/>
      <c r="CC173" s="1364"/>
      <c r="CD173" s="1364"/>
      <c r="CE173" s="1364"/>
      <c r="CF173" s="1364"/>
      <c r="CG173" s="1364"/>
      <c r="CH173" s="1364"/>
      <c r="CI173" s="1364"/>
      <c r="CJ173" s="1364"/>
      <c r="CK173" s="1364"/>
      <c r="CL173" s="1364"/>
      <c r="CM173" s="1364"/>
      <c r="CN173" s="1364"/>
      <c r="CO173" s="1364"/>
      <c r="CP173" s="1364"/>
      <c r="CQ173" s="1364"/>
      <c r="CR173" s="1364"/>
    </row>
    <row r="174" spans="1:96">
      <c r="A174" s="1362"/>
      <c r="B174" s="1363"/>
      <c r="C174" s="1363"/>
      <c r="D174" s="1363"/>
      <c r="E174" s="1363"/>
      <c r="F174" s="1363"/>
      <c r="G174" s="1363"/>
      <c r="H174" s="1363"/>
      <c r="I174" s="1364"/>
      <c r="J174" s="1364"/>
      <c r="K174" s="1364"/>
      <c r="L174" s="1364"/>
      <c r="M174" s="1364"/>
      <c r="N174" s="1364"/>
      <c r="O174" s="1364"/>
      <c r="P174" s="1364"/>
      <c r="Q174" s="1364"/>
      <c r="R174" s="1364"/>
      <c r="S174" s="1364"/>
      <c r="T174" s="1364"/>
      <c r="U174" s="1364"/>
      <c r="V174" s="1364"/>
      <c r="W174" s="1364"/>
      <c r="X174" s="1364"/>
      <c r="Y174" s="1364"/>
      <c r="Z174" s="1364"/>
      <c r="AA174" s="1364"/>
      <c r="AB174" s="1364"/>
      <c r="AC174" s="1364"/>
      <c r="AD174" s="1364"/>
      <c r="AE174" s="1364"/>
      <c r="AF174" s="1364"/>
      <c r="AG174" s="1364"/>
      <c r="AH174" s="1364"/>
      <c r="AI174" s="1364"/>
      <c r="AJ174" s="1364"/>
      <c r="AK174" s="1364"/>
      <c r="AL174" s="1364"/>
      <c r="AM174" s="1364"/>
      <c r="AN174" s="1364"/>
      <c r="AO174" s="1364"/>
      <c r="AP174" s="1364"/>
      <c r="AQ174" s="1364"/>
      <c r="AR174" s="1364"/>
      <c r="AS174" s="1364"/>
      <c r="AT174" s="1364"/>
      <c r="AU174" s="1364"/>
      <c r="AV174" s="1364"/>
      <c r="AW174" s="1364"/>
      <c r="AX174" s="1364"/>
      <c r="AY174" s="1364"/>
      <c r="AZ174" s="1364"/>
      <c r="BA174" s="1364"/>
      <c r="BB174" s="1364"/>
      <c r="BC174" s="1364"/>
      <c r="BD174" s="1364"/>
      <c r="BE174" s="1364"/>
      <c r="BF174" s="1364"/>
      <c r="BG174" s="1364"/>
      <c r="BH174" s="1364"/>
      <c r="BI174" s="1364"/>
      <c r="BJ174" s="1364"/>
      <c r="BK174" s="1364"/>
      <c r="BL174" s="1364"/>
      <c r="BM174" s="1364"/>
      <c r="BN174" s="1364"/>
      <c r="BO174" s="1364"/>
      <c r="BP174" s="1364"/>
      <c r="BQ174" s="1364"/>
      <c r="BR174" s="1364"/>
      <c r="BS174" s="1364"/>
      <c r="BT174" s="1364"/>
      <c r="BU174" s="1364"/>
      <c r="BV174" s="1364"/>
      <c r="BW174" s="1364"/>
      <c r="BX174" s="1364"/>
      <c r="BY174" s="1364"/>
      <c r="BZ174" s="1364"/>
      <c r="CA174" s="1364"/>
      <c r="CB174" s="1364"/>
      <c r="CC174" s="1364"/>
      <c r="CD174" s="1364"/>
      <c r="CE174" s="1364"/>
      <c r="CF174" s="1364"/>
      <c r="CG174" s="1364"/>
      <c r="CH174" s="1364"/>
      <c r="CI174" s="1364"/>
      <c r="CJ174" s="1364"/>
      <c r="CK174" s="1364"/>
      <c r="CL174" s="1364"/>
      <c r="CM174" s="1364"/>
      <c r="CN174" s="1364"/>
      <c r="CO174" s="1364"/>
      <c r="CP174" s="1364"/>
      <c r="CQ174" s="1364"/>
      <c r="CR174" s="1364"/>
    </row>
    <row r="175" spans="1:96">
      <c r="A175" s="1362"/>
      <c r="B175" s="1363"/>
      <c r="C175" s="1363"/>
      <c r="D175" s="1363"/>
      <c r="E175" s="1363"/>
      <c r="F175" s="1363"/>
      <c r="G175" s="1363"/>
      <c r="H175" s="1363"/>
      <c r="I175" s="1364"/>
      <c r="J175" s="1364"/>
      <c r="K175" s="1364"/>
      <c r="L175" s="1364"/>
      <c r="M175" s="1364"/>
      <c r="N175" s="1364"/>
      <c r="O175" s="1364"/>
      <c r="P175" s="1364"/>
      <c r="Q175" s="1364"/>
      <c r="R175" s="1364"/>
      <c r="S175" s="1364"/>
      <c r="T175" s="1364"/>
      <c r="U175" s="1364"/>
      <c r="V175" s="1364"/>
      <c r="W175" s="1364"/>
      <c r="X175" s="1364"/>
      <c r="Y175" s="1364"/>
      <c r="Z175" s="1364"/>
      <c r="AA175" s="1364"/>
      <c r="AB175" s="1364"/>
      <c r="AC175" s="1364"/>
      <c r="AD175" s="1364"/>
      <c r="AE175" s="1364"/>
      <c r="AF175" s="1364"/>
      <c r="AG175" s="1364"/>
      <c r="AH175" s="1364"/>
      <c r="AI175" s="1364"/>
      <c r="AJ175" s="1364"/>
      <c r="AK175" s="1364"/>
      <c r="AL175" s="1364"/>
      <c r="AM175" s="1364"/>
      <c r="AN175" s="1364"/>
      <c r="AO175" s="1364"/>
      <c r="AP175" s="1364"/>
      <c r="AQ175" s="1364"/>
      <c r="AR175" s="1364"/>
      <c r="AS175" s="1364"/>
      <c r="AT175" s="1364"/>
      <c r="AU175" s="1364"/>
      <c r="AV175" s="1364"/>
      <c r="AW175" s="1364"/>
      <c r="AX175" s="1364"/>
      <c r="AY175" s="1364"/>
      <c r="AZ175" s="1364"/>
      <c r="BA175" s="1364"/>
      <c r="BB175" s="1364"/>
      <c r="BC175" s="1364"/>
      <c r="BD175" s="1364"/>
      <c r="BE175" s="1364"/>
      <c r="BF175" s="1364"/>
      <c r="BG175" s="1364"/>
      <c r="BH175" s="1364"/>
      <c r="BI175" s="1364"/>
      <c r="BJ175" s="1364"/>
      <c r="BK175" s="1364"/>
      <c r="BL175" s="1364"/>
      <c r="BM175" s="1364"/>
      <c r="BN175" s="1364"/>
      <c r="BO175" s="1364"/>
      <c r="BP175" s="1364"/>
      <c r="BQ175" s="1364"/>
      <c r="BR175" s="1364"/>
      <c r="BS175" s="1364"/>
      <c r="BT175" s="1364"/>
      <c r="BU175" s="1364"/>
      <c r="BV175" s="1364"/>
      <c r="BW175" s="1364"/>
      <c r="BX175" s="1364"/>
      <c r="BY175" s="1364"/>
      <c r="BZ175" s="1364"/>
      <c r="CA175" s="1364"/>
      <c r="CB175" s="1364"/>
      <c r="CC175" s="1364"/>
      <c r="CD175" s="1364"/>
      <c r="CE175" s="1364"/>
      <c r="CF175" s="1364"/>
      <c r="CG175" s="1364"/>
      <c r="CH175" s="1364"/>
      <c r="CI175" s="1364"/>
      <c r="CJ175" s="1364"/>
      <c r="CK175" s="1364"/>
      <c r="CL175" s="1364"/>
      <c r="CM175" s="1364"/>
      <c r="CN175" s="1364"/>
      <c r="CO175" s="1364"/>
      <c r="CP175" s="1364"/>
      <c r="CQ175" s="1364"/>
      <c r="CR175" s="1364"/>
    </row>
    <row r="176" spans="1:96">
      <c r="A176" s="1362"/>
      <c r="B176" s="1363"/>
      <c r="C176" s="1363"/>
      <c r="D176" s="1363"/>
      <c r="E176" s="1363"/>
      <c r="F176" s="1363"/>
      <c r="G176" s="1363"/>
      <c r="H176" s="1363"/>
      <c r="I176" s="1364"/>
      <c r="J176" s="1364"/>
      <c r="K176" s="1364"/>
      <c r="L176" s="1364"/>
      <c r="M176" s="1364"/>
      <c r="N176" s="1364"/>
      <c r="O176" s="1364"/>
      <c r="P176" s="1364"/>
      <c r="Q176" s="1364"/>
      <c r="R176" s="1364"/>
      <c r="S176" s="1364"/>
      <c r="T176" s="1364"/>
      <c r="U176" s="1364"/>
      <c r="V176" s="1364"/>
      <c r="W176" s="1364"/>
      <c r="X176" s="1364"/>
      <c r="Y176" s="1364"/>
      <c r="Z176" s="1364"/>
      <c r="AA176" s="1364"/>
      <c r="AB176" s="1364"/>
      <c r="AC176" s="1364"/>
      <c r="AD176" s="1364"/>
      <c r="AE176" s="1364"/>
      <c r="AF176" s="1364"/>
      <c r="AG176" s="1364"/>
      <c r="AH176" s="1364"/>
      <c r="AI176" s="1364"/>
      <c r="AJ176" s="1364"/>
      <c r="AK176" s="1364"/>
      <c r="AL176" s="1364"/>
      <c r="AM176" s="1364"/>
      <c r="AN176" s="1364"/>
      <c r="AO176" s="1364"/>
      <c r="AP176" s="1364"/>
      <c r="AQ176" s="1364"/>
      <c r="AR176" s="1364"/>
      <c r="AS176" s="1364"/>
      <c r="AT176" s="1364"/>
      <c r="AU176" s="1364"/>
      <c r="AV176" s="1364"/>
      <c r="AW176" s="1364"/>
      <c r="AX176" s="1364"/>
      <c r="AY176" s="1364"/>
      <c r="AZ176" s="1364"/>
      <c r="BA176" s="1364"/>
      <c r="BB176" s="1364"/>
      <c r="BC176" s="1364"/>
      <c r="BD176" s="1364"/>
      <c r="BE176" s="1364"/>
      <c r="BF176" s="1364"/>
      <c r="BG176" s="1364"/>
      <c r="BH176" s="1364"/>
      <c r="BI176" s="1364"/>
      <c r="BJ176" s="1364"/>
      <c r="BK176" s="1364"/>
      <c r="BL176" s="1364"/>
      <c r="BM176" s="1364"/>
      <c r="BN176" s="1364"/>
      <c r="BO176" s="1364"/>
      <c r="BP176" s="1364"/>
      <c r="BQ176" s="1364"/>
      <c r="BR176" s="1364"/>
      <c r="BS176" s="1364"/>
      <c r="BT176" s="1364"/>
      <c r="BU176" s="1364"/>
      <c r="BV176" s="1364"/>
      <c r="BW176" s="1364"/>
      <c r="BX176" s="1364"/>
      <c r="BY176" s="1364"/>
      <c r="BZ176" s="1364"/>
      <c r="CA176" s="1364"/>
      <c r="CB176" s="1364"/>
      <c r="CC176" s="1364"/>
      <c r="CD176" s="1364"/>
      <c r="CE176" s="1364"/>
      <c r="CF176" s="1364"/>
      <c r="CG176" s="1364"/>
      <c r="CH176" s="1364"/>
      <c r="CI176" s="1364"/>
      <c r="CJ176" s="1364"/>
      <c r="CK176" s="1364"/>
      <c r="CL176" s="1364"/>
      <c r="CM176" s="1364"/>
      <c r="CN176" s="1364"/>
      <c r="CO176" s="1364"/>
      <c r="CP176" s="1364"/>
      <c r="CQ176" s="1364"/>
      <c r="CR176" s="1364"/>
    </row>
    <row r="177" spans="1:96">
      <c r="A177" s="1362"/>
      <c r="B177" s="1363"/>
      <c r="C177" s="1363"/>
      <c r="D177" s="1363"/>
      <c r="E177" s="1363"/>
      <c r="F177" s="1363"/>
      <c r="G177" s="1363"/>
      <c r="H177" s="1363"/>
      <c r="I177" s="1364"/>
      <c r="J177" s="1364"/>
      <c r="K177" s="1364"/>
      <c r="L177" s="1364"/>
      <c r="M177" s="1364"/>
      <c r="N177" s="1364"/>
      <c r="O177" s="1364"/>
      <c r="P177" s="1364"/>
      <c r="Q177" s="1364"/>
      <c r="R177" s="1364"/>
      <c r="S177" s="1364"/>
      <c r="T177" s="1364"/>
      <c r="U177" s="1364"/>
      <c r="V177" s="1364"/>
      <c r="W177" s="1364"/>
      <c r="X177" s="1364"/>
      <c r="Y177" s="1364"/>
      <c r="Z177" s="1364"/>
      <c r="AA177" s="1364"/>
      <c r="AB177" s="1364"/>
      <c r="AC177" s="1364"/>
      <c r="AD177" s="1364"/>
      <c r="AE177" s="1364"/>
      <c r="AF177" s="1364"/>
      <c r="AG177" s="1364"/>
      <c r="AH177" s="1364"/>
      <c r="AI177" s="1364"/>
      <c r="AJ177" s="1364"/>
      <c r="AK177" s="1364"/>
      <c r="AL177" s="1364"/>
      <c r="AM177" s="1364"/>
      <c r="AN177" s="1364"/>
      <c r="AO177" s="1364"/>
      <c r="AP177" s="1364"/>
      <c r="AQ177" s="1364"/>
      <c r="AR177" s="1364"/>
      <c r="AS177" s="1364"/>
      <c r="AT177" s="1364"/>
      <c r="AU177" s="1364"/>
      <c r="AV177" s="1364"/>
      <c r="AW177" s="1364"/>
      <c r="AX177" s="1364"/>
      <c r="AY177" s="1364"/>
      <c r="AZ177" s="1364"/>
      <c r="BA177" s="1364"/>
      <c r="BB177" s="1364"/>
      <c r="BC177" s="1364"/>
      <c r="BD177" s="1364"/>
      <c r="BE177" s="1364"/>
      <c r="BF177" s="1364"/>
      <c r="BG177" s="1364"/>
      <c r="BH177" s="1364"/>
      <c r="BI177" s="1364"/>
      <c r="BJ177" s="1364"/>
      <c r="BK177" s="1364"/>
      <c r="BL177" s="1364"/>
      <c r="BM177" s="1364"/>
      <c r="BN177" s="1364"/>
      <c r="BO177" s="1364"/>
      <c r="BP177" s="1364"/>
      <c r="BQ177" s="1364"/>
      <c r="BR177" s="1364"/>
      <c r="BS177" s="1364"/>
      <c r="BT177" s="1364"/>
      <c r="BU177" s="1364"/>
      <c r="BV177" s="1364"/>
      <c r="BW177" s="1364"/>
      <c r="BX177" s="1364"/>
      <c r="BY177" s="1364"/>
      <c r="BZ177" s="1364"/>
      <c r="CA177" s="1364"/>
      <c r="CB177" s="1364"/>
      <c r="CC177" s="1364"/>
      <c r="CD177" s="1364"/>
      <c r="CE177" s="1364"/>
      <c r="CF177" s="1364"/>
      <c r="CG177" s="1364"/>
      <c r="CH177" s="1364"/>
      <c r="CI177" s="1364"/>
      <c r="CJ177" s="1364"/>
      <c r="CK177" s="1364"/>
      <c r="CL177" s="1364"/>
      <c r="CM177" s="1364"/>
      <c r="CN177" s="1364"/>
      <c r="CO177" s="1364"/>
      <c r="CP177" s="1364"/>
      <c r="CQ177" s="1364"/>
      <c r="CR177" s="1364"/>
    </row>
    <row r="178" spans="1:96">
      <c r="A178" s="1362"/>
      <c r="B178" s="1363"/>
      <c r="C178" s="1363"/>
      <c r="D178" s="1363"/>
      <c r="E178" s="1363"/>
      <c r="F178" s="1363"/>
      <c r="G178" s="1363"/>
      <c r="H178" s="1363"/>
      <c r="I178" s="1364"/>
      <c r="J178" s="1364"/>
      <c r="K178" s="1364"/>
      <c r="L178" s="1364"/>
      <c r="M178" s="1364"/>
      <c r="N178" s="1364"/>
      <c r="O178" s="1364"/>
      <c r="P178" s="1364"/>
      <c r="Q178" s="1364"/>
      <c r="R178" s="1364"/>
      <c r="S178" s="1364"/>
      <c r="T178" s="1364"/>
      <c r="U178" s="1364"/>
      <c r="V178" s="1364"/>
      <c r="W178" s="1364"/>
      <c r="X178" s="1364"/>
      <c r="Y178" s="1364"/>
      <c r="Z178" s="1364"/>
      <c r="AA178" s="1364"/>
      <c r="AB178" s="1364"/>
      <c r="AC178" s="1364"/>
      <c r="AD178" s="1364"/>
      <c r="AE178" s="1364"/>
      <c r="AF178" s="1364"/>
      <c r="AG178" s="1364"/>
      <c r="AH178" s="1364"/>
      <c r="AI178" s="1364"/>
      <c r="AJ178" s="1364"/>
      <c r="AK178" s="1364"/>
      <c r="AL178" s="1364"/>
      <c r="AM178" s="1364"/>
      <c r="AN178" s="1364"/>
      <c r="AO178" s="1364"/>
      <c r="AP178" s="1364"/>
      <c r="AQ178" s="1364"/>
      <c r="AR178" s="1364"/>
      <c r="AS178" s="1364"/>
      <c r="AT178" s="1364"/>
      <c r="AU178" s="1364"/>
      <c r="AV178" s="1364"/>
      <c r="AW178" s="1364"/>
      <c r="AX178" s="1364"/>
      <c r="AY178" s="1364"/>
      <c r="AZ178" s="1364"/>
      <c r="BA178" s="1364"/>
      <c r="BB178" s="1364"/>
      <c r="BC178" s="1364"/>
      <c r="BD178" s="1364"/>
      <c r="BE178" s="1364"/>
      <c r="BF178" s="1364"/>
      <c r="BG178" s="1364"/>
      <c r="BH178" s="1364"/>
      <c r="BI178" s="1364"/>
      <c r="BJ178" s="1364"/>
      <c r="BK178" s="1364"/>
      <c r="BL178" s="1364"/>
      <c r="BM178" s="1364"/>
      <c r="BN178" s="1364"/>
      <c r="BO178" s="1364"/>
      <c r="BP178" s="1364"/>
      <c r="BQ178" s="1364"/>
      <c r="BR178" s="1364"/>
      <c r="BS178" s="1364"/>
      <c r="BT178" s="1364"/>
      <c r="BU178" s="1364"/>
      <c r="BV178" s="1364"/>
      <c r="BW178" s="1364"/>
      <c r="BX178" s="1364"/>
      <c r="BY178" s="1364"/>
      <c r="BZ178" s="1364"/>
      <c r="CA178" s="1364"/>
      <c r="CB178" s="1364"/>
      <c r="CC178" s="1364"/>
      <c r="CD178" s="1364"/>
      <c r="CE178" s="1364"/>
      <c r="CF178" s="1364"/>
      <c r="CG178" s="1364"/>
      <c r="CH178" s="1364"/>
      <c r="CI178" s="1364"/>
      <c r="CJ178" s="1364"/>
      <c r="CK178" s="1364"/>
      <c r="CL178" s="1364"/>
      <c r="CM178" s="1364"/>
      <c r="CN178" s="1364"/>
      <c r="CO178" s="1364"/>
      <c r="CP178" s="1364"/>
      <c r="CQ178" s="1364"/>
      <c r="CR178" s="1364"/>
    </row>
    <row r="179" spans="1:96">
      <c r="A179" s="1362"/>
      <c r="B179" s="1363"/>
      <c r="C179" s="1363"/>
      <c r="D179" s="1363"/>
      <c r="E179" s="1363"/>
      <c r="F179" s="1363"/>
      <c r="G179" s="1363"/>
      <c r="H179" s="1363"/>
      <c r="I179" s="1364"/>
      <c r="J179" s="1364"/>
      <c r="K179" s="1364"/>
      <c r="L179" s="1364"/>
      <c r="M179" s="1364"/>
      <c r="N179" s="1364"/>
      <c r="O179" s="1364"/>
      <c r="P179" s="1364"/>
      <c r="Q179" s="1364"/>
      <c r="R179" s="1364"/>
      <c r="S179" s="1364"/>
      <c r="T179" s="1364"/>
      <c r="U179" s="1364"/>
      <c r="V179" s="1364"/>
      <c r="W179" s="1364"/>
      <c r="X179" s="1364"/>
      <c r="Y179" s="1364"/>
      <c r="Z179" s="1364"/>
      <c r="AA179" s="1364"/>
      <c r="AB179" s="1364"/>
      <c r="AC179" s="1364"/>
      <c r="AD179" s="1364"/>
      <c r="AE179" s="1364"/>
      <c r="AF179" s="1364"/>
      <c r="AG179" s="1364"/>
      <c r="AH179" s="1364"/>
      <c r="AI179" s="1364"/>
      <c r="AJ179" s="1364"/>
      <c r="AK179" s="1364"/>
      <c r="AL179" s="1364"/>
      <c r="AM179" s="1364"/>
      <c r="AN179" s="1364"/>
      <c r="AO179" s="1364"/>
      <c r="AP179" s="1364"/>
      <c r="AQ179" s="1364"/>
      <c r="AR179" s="1364"/>
      <c r="AS179" s="1364"/>
      <c r="AT179" s="1364"/>
      <c r="AU179" s="1364"/>
      <c r="AV179" s="1364"/>
      <c r="AW179" s="1364"/>
      <c r="AX179" s="1364"/>
      <c r="AY179" s="1364"/>
      <c r="AZ179" s="1364"/>
      <c r="BA179" s="1364"/>
      <c r="BB179" s="1364"/>
      <c r="BC179" s="1364"/>
      <c r="BD179" s="1364"/>
      <c r="BE179" s="1364"/>
      <c r="BF179" s="1364"/>
      <c r="BG179" s="1364"/>
      <c r="BH179" s="1364"/>
      <c r="BI179" s="1364"/>
      <c r="BJ179" s="1364"/>
      <c r="BK179" s="1364"/>
      <c r="BL179" s="1364"/>
      <c r="BM179" s="1364"/>
      <c r="BN179" s="1364"/>
      <c r="BO179" s="1364"/>
      <c r="BP179" s="1364"/>
      <c r="BQ179" s="1364"/>
      <c r="BR179" s="1364"/>
      <c r="BS179" s="1364"/>
      <c r="BT179" s="1364"/>
      <c r="BU179" s="1364"/>
      <c r="BV179" s="1364"/>
      <c r="BW179" s="1364"/>
      <c r="BX179" s="1364"/>
      <c r="BY179" s="1364"/>
      <c r="BZ179" s="1364"/>
      <c r="CA179" s="1364"/>
      <c r="CB179" s="1364"/>
      <c r="CC179" s="1364"/>
      <c r="CD179" s="1364"/>
      <c r="CE179" s="1364"/>
      <c r="CF179" s="1364"/>
      <c r="CG179" s="1364"/>
      <c r="CH179" s="1364"/>
      <c r="CI179" s="1364"/>
      <c r="CJ179" s="1364"/>
      <c r="CK179" s="1364"/>
      <c r="CL179" s="1364"/>
      <c r="CM179" s="1364"/>
      <c r="CN179" s="1364"/>
      <c r="CO179" s="1364"/>
      <c r="CP179" s="1364"/>
      <c r="CQ179" s="1364"/>
      <c r="CR179" s="1364"/>
    </row>
    <row r="180" spans="1:96">
      <c r="A180" s="1362"/>
      <c r="B180" s="1363"/>
      <c r="C180" s="1363"/>
      <c r="D180" s="1363"/>
      <c r="E180" s="1363"/>
      <c r="F180" s="1363"/>
      <c r="G180" s="1363"/>
      <c r="H180" s="1363"/>
      <c r="I180" s="1364"/>
      <c r="J180" s="1364"/>
      <c r="K180" s="1364"/>
      <c r="L180" s="1364"/>
      <c r="M180" s="1364"/>
      <c r="N180" s="1364"/>
      <c r="O180" s="1364"/>
      <c r="P180" s="1364"/>
      <c r="Q180" s="1364"/>
      <c r="R180" s="1364"/>
      <c r="S180" s="1364"/>
      <c r="T180" s="1364"/>
      <c r="U180" s="1364"/>
      <c r="V180" s="1364"/>
      <c r="W180" s="1364"/>
      <c r="X180" s="1364"/>
      <c r="Y180" s="1364"/>
      <c r="Z180" s="1364"/>
      <c r="AA180" s="1364"/>
      <c r="AB180" s="1364"/>
      <c r="AC180" s="1364"/>
      <c r="AD180" s="1364"/>
      <c r="AE180" s="1364"/>
      <c r="AF180" s="1364"/>
      <c r="AG180" s="1364"/>
      <c r="AH180" s="1364"/>
      <c r="AI180" s="1364"/>
      <c r="AJ180" s="1364"/>
      <c r="AK180" s="1364"/>
      <c r="AL180" s="1364"/>
      <c r="AM180" s="1364"/>
      <c r="AN180" s="1364"/>
      <c r="AO180" s="1364"/>
      <c r="AP180" s="1364"/>
      <c r="AQ180" s="1364"/>
      <c r="AR180" s="1364"/>
      <c r="AS180" s="1364"/>
      <c r="AT180" s="1364"/>
      <c r="AU180" s="1364"/>
      <c r="AV180" s="1364"/>
      <c r="AW180" s="1364"/>
      <c r="AX180" s="1364"/>
      <c r="AY180" s="1364"/>
      <c r="AZ180" s="1364"/>
      <c r="BA180" s="1364"/>
      <c r="BB180" s="1364"/>
      <c r="BC180" s="1364"/>
      <c r="BD180" s="1364"/>
      <c r="BE180" s="1364"/>
      <c r="BF180" s="1364"/>
      <c r="BG180" s="1364"/>
      <c r="BH180" s="1364"/>
      <c r="BI180" s="1364"/>
      <c r="BJ180" s="1364"/>
      <c r="BK180" s="1364"/>
      <c r="BL180" s="1364"/>
      <c r="BM180" s="1364"/>
      <c r="BN180" s="1364"/>
      <c r="BO180" s="1364"/>
      <c r="BP180" s="1364"/>
      <c r="BQ180" s="1364"/>
      <c r="BR180" s="1364"/>
      <c r="BS180" s="1364"/>
      <c r="BT180" s="1364"/>
      <c r="BU180" s="1364"/>
      <c r="BV180" s="1364"/>
      <c r="BW180" s="1364"/>
      <c r="BX180" s="1364"/>
      <c r="BY180" s="1364"/>
      <c r="BZ180" s="1364"/>
      <c r="CA180" s="1364"/>
      <c r="CB180" s="1364"/>
      <c r="CC180" s="1364"/>
      <c r="CD180" s="1364"/>
      <c r="CE180" s="1364"/>
      <c r="CF180" s="1364"/>
      <c r="CG180" s="1364"/>
      <c r="CH180" s="1364"/>
      <c r="CI180" s="1364"/>
      <c r="CJ180" s="1364"/>
      <c r="CK180" s="1364"/>
      <c r="CL180" s="1364"/>
      <c r="CM180" s="1364"/>
      <c r="CN180" s="1364"/>
      <c r="CO180" s="1364"/>
      <c r="CP180" s="1364"/>
      <c r="CQ180" s="1364"/>
      <c r="CR180" s="1364"/>
    </row>
    <row r="181" spans="1:96">
      <c r="A181" s="1362"/>
      <c r="B181" s="1363"/>
      <c r="C181" s="1363"/>
      <c r="D181" s="1363"/>
      <c r="E181" s="1363"/>
      <c r="F181" s="1363"/>
      <c r="G181" s="1363"/>
      <c r="H181" s="1363"/>
      <c r="I181" s="1364"/>
      <c r="J181" s="1364"/>
      <c r="K181" s="1364"/>
      <c r="L181" s="1364"/>
      <c r="M181" s="1364"/>
      <c r="N181" s="1364"/>
      <c r="O181" s="1364"/>
      <c r="P181" s="1364"/>
      <c r="Q181" s="1364"/>
      <c r="R181" s="1364"/>
      <c r="S181" s="1364"/>
      <c r="T181" s="1364"/>
      <c r="U181" s="1364"/>
      <c r="V181" s="1364"/>
      <c r="W181" s="1364"/>
      <c r="X181" s="1364"/>
      <c r="Y181" s="1364"/>
      <c r="Z181" s="1364"/>
      <c r="AA181" s="1364"/>
      <c r="AB181" s="1364"/>
      <c r="AC181" s="1364"/>
      <c r="AD181" s="1364"/>
      <c r="AE181" s="1364"/>
      <c r="AF181" s="1364"/>
      <c r="AG181" s="1364"/>
      <c r="AH181" s="1364"/>
      <c r="AI181" s="1364"/>
      <c r="AJ181" s="1364"/>
      <c r="AK181" s="1364"/>
      <c r="AL181" s="1364"/>
      <c r="AM181" s="1364"/>
      <c r="AN181" s="1364"/>
      <c r="AO181" s="1364"/>
      <c r="AP181" s="1364"/>
      <c r="AQ181" s="1364"/>
      <c r="AR181" s="1364"/>
      <c r="AS181" s="1364"/>
      <c r="AT181" s="1364"/>
      <c r="AU181" s="1364"/>
      <c r="AV181" s="1364"/>
      <c r="AW181" s="1364"/>
      <c r="AX181" s="1364"/>
      <c r="AY181" s="1364"/>
      <c r="AZ181" s="1364"/>
      <c r="BA181" s="1364"/>
      <c r="BB181" s="1364"/>
      <c r="BC181" s="1364"/>
      <c r="BD181" s="1364"/>
      <c r="BE181" s="1364"/>
      <c r="BF181" s="1364"/>
      <c r="BG181" s="1364"/>
      <c r="BH181" s="1364"/>
      <c r="BI181" s="1364"/>
      <c r="BJ181" s="1364"/>
      <c r="BK181" s="1364"/>
      <c r="BL181" s="1364"/>
      <c r="BM181" s="1364"/>
      <c r="BN181" s="1364"/>
      <c r="BO181" s="1364"/>
      <c r="BP181" s="1364"/>
      <c r="BQ181" s="1364"/>
      <c r="BR181" s="1364"/>
      <c r="BS181" s="1364"/>
      <c r="BT181" s="1364"/>
      <c r="BU181" s="1364"/>
      <c r="BV181" s="1364"/>
      <c r="BW181" s="1364"/>
      <c r="BX181" s="1364"/>
      <c r="BY181" s="1364"/>
      <c r="BZ181" s="1364"/>
      <c r="CA181" s="1364"/>
      <c r="CB181" s="1364"/>
      <c r="CC181" s="1364"/>
      <c r="CD181" s="1364"/>
      <c r="CE181" s="1364"/>
      <c r="CF181" s="1364"/>
      <c r="CG181" s="1364"/>
      <c r="CH181" s="1364"/>
      <c r="CI181" s="1364"/>
      <c r="CJ181" s="1364"/>
      <c r="CK181" s="1364"/>
      <c r="CL181" s="1364"/>
      <c r="CM181" s="1364"/>
      <c r="CN181" s="1364"/>
      <c r="CO181" s="1364"/>
      <c r="CP181" s="1364"/>
      <c r="CQ181" s="1364"/>
      <c r="CR181" s="1364"/>
    </row>
    <row r="182" spans="1:96">
      <c r="A182" s="1362"/>
      <c r="B182" s="1363"/>
      <c r="C182" s="1363"/>
      <c r="D182" s="1363"/>
      <c r="E182" s="1363"/>
      <c r="F182" s="1363"/>
      <c r="G182" s="1363"/>
      <c r="H182" s="1363"/>
      <c r="I182" s="1364"/>
      <c r="J182" s="1364"/>
      <c r="K182" s="1364"/>
      <c r="L182" s="1364"/>
      <c r="M182" s="1364"/>
      <c r="N182" s="1364"/>
      <c r="O182" s="1364"/>
      <c r="P182" s="1364"/>
      <c r="Q182" s="1364"/>
      <c r="R182" s="1364"/>
      <c r="S182" s="1364"/>
      <c r="T182" s="1364"/>
      <c r="U182" s="1364"/>
      <c r="V182" s="1364"/>
      <c r="W182" s="1364"/>
      <c r="X182" s="1364"/>
      <c r="Y182" s="1364"/>
      <c r="Z182" s="1364"/>
      <c r="AA182" s="1364"/>
      <c r="AB182" s="1364"/>
      <c r="AC182" s="1364"/>
      <c r="AD182" s="1364"/>
      <c r="AE182" s="1364"/>
      <c r="AF182" s="1364"/>
      <c r="AG182" s="1364"/>
      <c r="AH182" s="1364"/>
      <c r="AI182" s="1364"/>
      <c r="AJ182" s="1364"/>
      <c r="AK182" s="1364"/>
      <c r="AL182" s="1364"/>
      <c r="AM182" s="1364"/>
      <c r="AN182" s="1364"/>
      <c r="AO182" s="1364"/>
      <c r="AP182" s="1364"/>
      <c r="AQ182" s="1364"/>
      <c r="AR182" s="1364"/>
      <c r="AS182" s="1364"/>
      <c r="AT182" s="1364"/>
      <c r="AU182" s="1364"/>
      <c r="AV182" s="1364"/>
      <c r="AW182" s="1364"/>
      <c r="AX182" s="1364"/>
      <c r="AY182" s="1364"/>
      <c r="AZ182" s="1364"/>
      <c r="BA182" s="1364"/>
      <c r="BB182" s="1364"/>
      <c r="BC182" s="1364"/>
      <c r="BD182" s="1364"/>
      <c r="BE182" s="1364"/>
      <c r="BF182" s="1364"/>
      <c r="BG182" s="1364"/>
      <c r="BH182" s="1364"/>
      <c r="BI182" s="1364"/>
      <c r="BJ182" s="1364"/>
      <c r="BK182" s="1364"/>
      <c r="BL182" s="1364"/>
      <c r="BM182" s="1364"/>
      <c r="BN182" s="1364"/>
      <c r="BO182" s="1364"/>
      <c r="BP182" s="1364"/>
      <c r="BQ182" s="1364"/>
      <c r="BR182" s="1364"/>
      <c r="BS182" s="1364"/>
      <c r="BT182" s="1364"/>
      <c r="BU182" s="1364"/>
      <c r="BV182" s="1364"/>
      <c r="BW182" s="1364"/>
      <c r="BX182" s="1364"/>
      <c r="BY182" s="1364"/>
      <c r="BZ182" s="1364"/>
      <c r="CA182" s="1364"/>
      <c r="CB182" s="1364"/>
      <c r="CC182" s="1364"/>
      <c r="CD182" s="1364"/>
      <c r="CE182" s="1364"/>
      <c r="CF182" s="1364"/>
      <c r="CG182" s="1364"/>
      <c r="CH182" s="1364"/>
      <c r="CI182" s="1364"/>
      <c r="CJ182" s="1364"/>
      <c r="CK182" s="1364"/>
      <c r="CL182" s="1364"/>
      <c r="CM182" s="1364"/>
      <c r="CN182" s="1364"/>
      <c r="CO182" s="1364"/>
      <c r="CP182" s="1364"/>
      <c r="CQ182" s="1364"/>
      <c r="CR182" s="1364"/>
    </row>
    <row r="183" spans="1:96">
      <c r="A183" s="1362"/>
      <c r="B183" s="1363"/>
      <c r="C183" s="1363"/>
      <c r="D183" s="1363"/>
      <c r="E183" s="1363"/>
      <c r="F183" s="1363"/>
      <c r="G183" s="1363"/>
      <c r="H183" s="1363"/>
      <c r="I183" s="1364"/>
      <c r="J183" s="1364"/>
      <c r="K183" s="1364"/>
      <c r="L183" s="1364"/>
      <c r="M183" s="1364"/>
      <c r="N183" s="1364"/>
      <c r="O183" s="1364"/>
      <c r="P183" s="1364"/>
      <c r="Q183" s="1364"/>
      <c r="R183" s="1364"/>
      <c r="S183" s="1364"/>
      <c r="T183" s="1364"/>
      <c r="U183" s="1364"/>
      <c r="V183" s="1364"/>
      <c r="W183" s="1364"/>
      <c r="X183" s="1364"/>
      <c r="Y183" s="1364"/>
      <c r="Z183" s="1364"/>
      <c r="AA183" s="1364"/>
      <c r="AB183" s="1364"/>
      <c r="AC183" s="1364"/>
      <c r="AD183" s="1364"/>
      <c r="AE183" s="1364"/>
      <c r="AF183" s="1364"/>
      <c r="AG183" s="1364"/>
      <c r="AH183" s="1364"/>
      <c r="AI183" s="1364"/>
      <c r="AJ183" s="1364"/>
      <c r="AK183" s="1364"/>
      <c r="AL183" s="1364"/>
      <c r="AM183" s="1364"/>
      <c r="AN183" s="1364"/>
      <c r="AO183" s="1364"/>
      <c r="AP183" s="1364"/>
      <c r="AQ183" s="1364"/>
      <c r="AR183" s="1364"/>
      <c r="AS183" s="1364"/>
      <c r="AT183" s="1364"/>
      <c r="AU183" s="1364"/>
      <c r="AV183" s="1364"/>
      <c r="AW183" s="1364"/>
      <c r="AX183" s="1364"/>
      <c r="AY183" s="1364"/>
      <c r="AZ183" s="1364"/>
      <c r="BA183" s="1364"/>
      <c r="BB183" s="1364"/>
      <c r="BC183" s="1364"/>
      <c r="BD183" s="1364"/>
      <c r="BE183" s="1364"/>
      <c r="BF183" s="1364"/>
      <c r="BG183" s="1364"/>
      <c r="BH183" s="1364"/>
      <c r="BI183" s="1364"/>
      <c r="BJ183" s="1364"/>
      <c r="BK183" s="1364"/>
      <c r="BL183" s="1364"/>
      <c r="BM183" s="1364"/>
      <c r="BN183" s="1364"/>
      <c r="BO183" s="1364"/>
      <c r="BP183" s="1364"/>
      <c r="BQ183" s="1364"/>
      <c r="BR183" s="1364"/>
      <c r="BS183" s="1364"/>
      <c r="BT183" s="1364"/>
      <c r="BU183" s="1364"/>
      <c r="BV183" s="1364"/>
      <c r="BW183" s="1364"/>
      <c r="BX183" s="1364"/>
      <c r="BY183" s="1364"/>
      <c r="BZ183" s="1364"/>
      <c r="CA183" s="1364"/>
      <c r="CB183" s="1364"/>
      <c r="CC183" s="1364"/>
      <c r="CD183" s="1364"/>
      <c r="CE183" s="1364"/>
      <c r="CF183" s="1364"/>
      <c r="CG183" s="1364"/>
      <c r="CH183" s="1364"/>
      <c r="CI183" s="1364"/>
      <c r="CJ183" s="1364"/>
      <c r="CK183" s="1364"/>
      <c r="CL183" s="1364"/>
      <c r="CM183" s="1364"/>
      <c r="CN183" s="1364"/>
      <c r="CO183" s="1364"/>
      <c r="CP183" s="1364"/>
      <c r="CQ183" s="1364"/>
      <c r="CR183" s="1364"/>
    </row>
    <row r="184" spans="1:96">
      <c r="A184" s="1362"/>
      <c r="B184" s="1363"/>
      <c r="C184" s="1363"/>
      <c r="D184" s="1363"/>
      <c r="E184" s="1363"/>
      <c r="F184" s="1363"/>
      <c r="G184" s="1363"/>
      <c r="H184" s="1363"/>
      <c r="I184" s="1364"/>
      <c r="J184" s="1364"/>
      <c r="K184" s="1364"/>
      <c r="L184" s="1364"/>
      <c r="M184" s="1364"/>
      <c r="N184" s="1364"/>
      <c r="O184" s="1364"/>
      <c r="P184" s="1364"/>
      <c r="Q184" s="1364"/>
      <c r="R184" s="1364"/>
      <c r="S184" s="1364"/>
      <c r="T184" s="1364"/>
      <c r="U184" s="1364"/>
      <c r="V184" s="1364"/>
      <c r="W184" s="1364"/>
      <c r="X184" s="1364"/>
      <c r="Y184" s="1364"/>
      <c r="Z184" s="1364"/>
      <c r="AA184" s="1364"/>
      <c r="AB184" s="1364"/>
      <c r="AC184" s="1364"/>
      <c r="AD184" s="1364"/>
      <c r="AE184" s="1364"/>
      <c r="AF184" s="1364"/>
      <c r="AG184" s="1364"/>
      <c r="AH184" s="1364"/>
      <c r="AI184" s="1364"/>
      <c r="AJ184" s="1364"/>
      <c r="AK184" s="1364"/>
      <c r="AL184" s="1364"/>
      <c r="AM184" s="1364"/>
      <c r="AN184" s="1364"/>
      <c r="AO184" s="1364"/>
      <c r="AP184" s="1364"/>
      <c r="AQ184" s="1364"/>
      <c r="AR184" s="1364"/>
      <c r="AS184" s="1364"/>
      <c r="AT184" s="1364"/>
      <c r="AU184" s="1364"/>
      <c r="AV184" s="1364"/>
      <c r="AW184" s="1364"/>
      <c r="AX184" s="1364"/>
      <c r="AY184" s="1364"/>
      <c r="AZ184" s="1364"/>
      <c r="BA184" s="1364"/>
      <c r="BB184" s="1364"/>
      <c r="BC184" s="1364"/>
      <c r="BD184" s="1364"/>
      <c r="BE184" s="1364"/>
      <c r="BF184" s="1364"/>
      <c r="BG184" s="1364"/>
      <c r="BH184" s="1364"/>
      <c r="BI184" s="1364"/>
      <c r="BJ184" s="1364"/>
      <c r="BK184" s="1364"/>
      <c r="BL184" s="1364"/>
      <c r="BM184" s="1364"/>
      <c r="BN184" s="1364"/>
      <c r="BO184" s="1364"/>
      <c r="BP184" s="1364"/>
      <c r="BQ184" s="1364"/>
      <c r="BR184" s="1364"/>
      <c r="BS184" s="1364"/>
      <c r="BT184" s="1364"/>
      <c r="BU184" s="1364"/>
      <c r="BV184" s="1364"/>
      <c r="BW184" s="1364"/>
      <c r="BX184" s="1364"/>
      <c r="BY184" s="1364"/>
      <c r="BZ184" s="1364"/>
      <c r="CA184" s="1364"/>
      <c r="CB184" s="1364"/>
      <c r="CC184" s="1364"/>
      <c r="CD184" s="1364"/>
      <c r="CE184" s="1364"/>
      <c r="CF184" s="1364"/>
      <c r="CG184" s="1364"/>
      <c r="CH184" s="1364"/>
      <c r="CI184" s="1364"/>
      <c r="CJ184" s="1364"/>
      <c r="CK184" s="1364"/>
      <c r="CL184" s="1364"/>
      <c r="CM184" s="1364"/>
      <c r="CN184" s="1364"/>
      <c r="CO184" s="1364"/>
      <c r="CP184" s="1364"/>
      <c r="CQ184" s="1364"/>
      <c r="CR184" s="1364"/>
    </row>
    <row r="185" spans="1:96">
      <c r="A185" s="1362"/>
      <c r="B185" s="1363"/>
      <c r="C185" s="1363"/>
      <c r="D185" s="1363"/>
      <c r="E185" s="1363"/>
      <c r="F185" s="1363"/>
      <c r="G185" s="1363"/>
      <c r="H185" s="1363"/>
      <c r="I185" s="1364"/>
      <c r="J185" s="1364"/>
      <c r="K185" s="1364"/>
      <c r="L185" s="1364"/>
      <c r="M185" s="1364"/>
      <c r="N185" s="1364"/>
      <c r="O185" s="1364"/>
      <c r="P185" s="1364"/>
      <c r="Q185" s="1364"/>
      <c r="R185" s="1364"/>
      <c r="S185" s="1364"/>
      <c r="T185" s="1364"/>
      <c r="U185" s="1364"/>
      <c r="V185" s="1364"/>
      <c r="W185" s="1364"/>
      <c r="X185" s="1364"/>
      <c r="Y185" s="1364"/>
      <c r="Z185" s="1364"/>
      <c r="AA185" s="1364"/>
      <c r="AB185" s="1364"/>
      <c r="AC185" s="1364"/>
      <c r="AD185" s="1364"/>
      <c r="AE185" s="1364"/>
      <c r="AF185" s="1364"/>
      <c r="AG185" s="1364"/>
      <c r="AH185" s="1364"/>
      <c r="AI185" s="1364"/>
      <c r="AJ185" s="1364"/>
      <c r="AK185" s="1364"/>
      <c r="AL185" s="1364"/>
      <c r="AM185" s="1364"/>
      <c r="AN185" s="1364"/>
      <c r="AO185" s="1364"/>
      <c r="AP185" s="1364"/>
      <c r="AQ185" s="1364"/>
      <c r="AR185" s="1364"/>
      <c r="AS185" s="1364"/>
      <c r="AT185" s="1364"/>
      <c r="AU185" s="1364"/>
      <c r="AV185" s="1364"/>
      <c r="AW185" s="1364"/>
      <c r="AX185" s="1364"/>
      <c r="AY185" s="1364"/>
      <c r="AZ185" s="1364"/>
      <c r="BA185" s="1364"/>
      <c r="BB185" s="1364"/>
      <c r="BC185" s="1364"/>
      <c r="BD185" s="1364"/>
      <c r="BE185" s="1364"/>
      <c r="BF185" s="1364"/>
      <c r="BG185" s="1364"/>
      <c r="BH185" s="1364"/>
      <c r="BI185" s="1364"/>
      <c r="BJ185" s="1364"/>
      <c r="BK185" s="1364"/>
      <c r="BL185" s="1364"/>
      <c r="BM185" s="1364"/>
      <c r="BN185" s="1364"/>
      <c r="BO185" s="1364"/>
      <c r="BP185" s="1364"/>
      <c r="BQ185" s="1364"/>
      <c r="BR185" s="1364"/>
      <c r="BS185" s="1364"/>
      <c r="BT185" s="1364"/>
      <c r="BU185" s="1364"/>
      <c r="BV185" s="1364"/>
      <c r="BW185" s="1364"/>
      <c r="BX185" s="1364"/>
      <c r="BY185" s="1364"/>
      <c r="BZ185" s="1364"/>
      <c r="CA185" s="1364"/>
      <c r="CB185" s="1364"/>
      <c r="CC185" s="1364"/>
      <c r="CD185" s="1364"/>
      <c r="CE185" s="1364"/>
      <c r="CF185" s="1364"/>
      <c r="CG185" s="1364"/>
      <c r="CH185" s="1364"/>
      <c r="CI185" s="1364"/>
      <c r="CJ185" s="1364"/>
      <c r="CK185" s="1364"/>
      <c r="CL185" s="1364"/>
      <c r="CM185" s="1364"/>
      <c r="CN185" s="1364"/>
      <c r="CO185" s="1364"/>
      <c r="CP185" s="1364"/>
      <c r="CQ185" s="1364"/>
      <c r="CR185" s="1364"/>
    </row>
    <row r="186" spans="1:96">
      <c r="A186" s="1362"/>
      <c r="B186" s="1363"/>
      <c r="C186" s="1363"/>
      <c r="D186" s="1363"/>
      <c r="E186" s="1363"/>
      <c r="F186" s="1363"/>
      <c r="G186" s="1363"/>
      <c r="H186" s="1363"/>
      <c r="I186" s="1364"/>
      <c r="J186" s="1364"/>
      <c r="K186" s="1364"/>
      <c r="L186" s="1364"/>
      <c r="M186" s="1364"/>
      <c r="N186" s="1364"/>
      <c r="O186" s="1364"/>
      <c r="P186" s="1364"/>
      <c r="Q186" s="1364"/>
      <c r="R186" s="1364"/>
      <c r="S186" s="1364"/>
      <c r="T186" s="1364"/>
      <c r="U186" s="1364"/>
      <c r="V186" s="1364"/>
      <c r="W186" s="1364"/>
      <c r="X186" s="1364"/>
      <c r="Y186" s="1364"/>
      <c r="Z186" s="1364"/>
      <c r="AA186" s="1364"/>
      <c r="AB186" s="1364"/>
      <c r="AC186" s="1364"/>
      <c r="AD186" s="1364"/>
      <c r="AE186" s="1364"/>
      <c r="AF186" s="1364"/>
      <c r="AG186" s="1364"/>
      <c r="AH186" s="1364"/>
      <c r="AI186" s="1364"/>
      <c r="AJ186" s="1364"/>
      <c r="AK186" s="1364"/>
      <c r="AL186" s="1364"/>
      <c r="AM186" s="1364"/>
      <c r="AN186" s="1364"/>
      <c r="AO186" s="1364"/>
      <c r="AP186" s="1364"/>
      <c r="AQ186" s="1364"/>
      <c r="AR186" s="1364"/>
      <c r="AS186" s="1364"/>
      <c r="AT186" s="1364"/>
      <c r="AU186" s="1364"/>
      <c r="AV186" s="1364"/>
      <c r="AW186" s="1364"/>
      <c r="AX186" s="1364"/>
      <c r="AY186" s="1364"/>
      <c r="AZ186" s="1364"/>
      <c r="BA186" s="1364"/>
      <c r="BB186" s="1364"/>
      <c r="BC186" s="1364"/>
      <c r="BD186" s="1364"/>
      <c r="BE186" s="1364"/>
      <c r="BF186" s="1364"/>
      <c r="BG186" s="1364"/>
      <c r="BH186" s="1364"/>
      <c r="BI186" s="1364"/>
      <c r="BJ186" s="1364"/>
      <c r="BK186" s="1364"/>
      <c r="BL186" s="1364"/>
      <c r="BM186" s="1364"/>
      <c r="BN186" s="1364"/>
      <c r="BO186" s="1364"/>
      <c r="BP186" s="1364"/>
      <c r="BQ186" s="1364"/>
      <c r="BR186" s="1364"/>
      <c r="BS186" s="1364"/>
      <c r="BT186" s="1364"/>
      <c r="BU186" s="1364"/>
      <c r="BV186" s="1364"/>
      <c r="BW186" s="1364"/>
      <c r="BX186" s="1364"/>
      <c r="BY186" s="1364"/>
      <c r="BZ186" s="1364"/>
      <c r="CA186" s="1364"/>
      <c r="CB186" s="1364"/>
      <c r="CC186" s="1364"/>
      <c r="CD186" s="1364"/>
      <c r="CE186" s="1364"/>
      <c r="CF186" s="1364"/>
      <c r="CG186" s="1364"/>
      <c r="CH186" s="1364"/>
      <c r="CI186" s="1364"/>
      <c r="CJ186" s="1364"/>
      <c r="CK186" s="1364"/>
      <c r="CL186" s="1364"/>
      <c r="CM186" s="1364"/>
      <c r="CN186" s="1364"/>
      <c r="CO186" s="1364"/>
      <c r="CP186" s="1364"/>
      <c r="CQ186" s="1364"/>
      <c r="CR186" s="1364"/>
    </row>
    <row r="187" spans="1:96">
      <c r="A187" s="1362"/>
      <c r="B187" s="1363"/>
      <c r="C187" s="1363"/>
      <c r="D187" s="1363"/>
      <c r="E187" s="1363"/>
      <c r="F187" s="1363"/>
      <c r="G187" s="1363"/>
      <c r="H187" s="1363"/>
      <c r="I187" s="1364"/>
      <c r="J187" s="1364"/>
      <c r="K187" s="1364"/>
      <c r="L187" s="1364"/>
      <c r="M187" s="1364"/>
      <c r="N187" s="1364"/>
      <c r="O187" s="1364"/>
      <c r="P187" s="1364"/>
      <c r="Q187" s="1364"/>
      <c r="R187" s="1364"/>
      <c r="S187" s="1364"/>
      <c r="T187" s="1364"/>
      <c r="U187" s="1364"/>
      <c r="V187" s="1364"/>
      <c r="W187" s="1364"/>
      <c r="X187" s="1364"/>
      <c r="Y187" s="1364"/>
      <c r="Z187" s="1364"/>
      <c r="AA187" s="1364"/>
      <c r="AB187" s="1364"/>
      <c r="AC187" s="1364"/>
      <c r="AD187" s="1364"/>
      <c r="AE187" s="1364"/>
      <c r="AF187" s="1364"/>
      <c r="AG187" s="1364"/>
      <c r="AH187" s="1364"/>
      <c r="AI187" s="1364"/>
      <c r="AJ187" s="1364"/>
      <c r="AK187" s="1364"/>
      <c r="AL187" s="1364"/>
      <c r="AM187" s="1364"/>
      <c r="AN187" s="1364"/>
      <c r="AO187" s="1364"/>
      <c r="AP187" s="1364"/>
      <c r="AQ187" s="1364"/>
      <c r="AR187" s="1364"/>
      <c r="AS187" s="1364"/>
      <c r="AT187" s="1364"/>
      <c r="AU187" s="1364"/>
      <c r="AV187" s="1364"/>
      <c r="AW187" s="1364"/>
      <c r="AX187" s="1364"/>
      <c r="AY187" s="1364"/>
      <c r="AZ187" s="1364"/>
      <c r="BA187" s="1364"/>
      <c r="BB187" s="1364"/>
      <c r="BC187" s="1364"/>
      <c r="BD187" s="1364"/>
      <c r="BE187" s="1364"/>
      <c r="BF187" s="1364"/>
      <c r="BG187" s="1364"/>
      <c r="BH187" s="1364"/>
      <c r="BI187" s="1364"/>
      <c r="BJ187" s="1364"/>
      <c r="BK187" s="1364"/>
      <c r="BL187" s="1364"/>
      <c r="BM187" s="1364"/>
      <c r="BN187" s="1364"/>
      <c r="BO187" s="1364"/>
      <c r="BP187" s="1364"/>
      <c r="BQ187" s="1364"/>
      <c r="BR187" s="1364"/>
      <c r="BS187" s="1364"/>
      <c r="BT187" s="1364"/>
      <c r="BU187" s="1364"/>
      <c r="BV187" s="1364"/>
      <c r="BW187" s="1364"/>
      <c r="BX187" s="1364"/>
      <c r="BY187" s="1364"/>
      <c r="BZ187" s="1364"/>
      <c r="CA187" s="1364"/>
      <c r="CB187" s="1364"/>
      <c r="CC187" s="1364"/>
      <c r="CD187" s="1364"/>
      <c r="CE187" s="1364"/>
      <c r="CF187" s="1364"/>
      <c r="CG187" s="1364"/>
      <c r="CH187" s="1364"/>
      <c r="CI187" s="1364"/>
      <c r="CJ187" s="1364"/>
      <c r="CK187" s="1364"/>
      <c r="CL187" s="1364"/>
      <c r="CM187" s="1364"/>
      <c r="CN187" s="1364"/>
      <c r="CO187" s="1364"/>
      <c r="CP187" s="1364"/>
      <c r="CQ187" s="1364"/>
      <c r="CR187" s="1364"/>
    </row>
    <row r="188" spans="1:96">
      <c r="A188" s="1362"/>
      <c r="B188" s="1363"/>
      <c r="C188" s="1363"/>
      <c r="D188" s="1363"/>
      <c r="E188" s="1363"/>
      <c r="F188" s="1363"/>
      <c r="G188" s="1363"/>
      <c r="H188" s="1363"/>
      <c r="I188" s="1364"/>
      <c r="J188" s="1364"/>
      <c r="K188" s="1364"/>
      <c r="L188" s="1364"/>
      <c r="M188" s="1364"/>
      <c r="N188" s="1364"/>
      <c r="O188" s="1364"/>
      <c r="P188" s="1364"/>
      <c r="Q188" s="1364"/>
      <c r="R188" s="1364"/>
      <c r="S188" s="1364"/>
      <c r="T188" s="1364"/>
      <c r="U188" s="1364"/>
      <c r="V188" s="1364"/>
      <c r="W188" s="1364"/>
      <c r="X188" s="1364"/>
      <c r="Y188" s="1364"/>
      <c r="Z188" s="1364"/>
      <c r="AA188" s="1364"/>
      <c r="AB188" s="1364"/>
      <c r="AC188" s="1364"/>
      <c r="AD188" s="1364"/>
      <c r="AE188" s="1364"/>
      <c r="AF188" s="1364"/>
      <c r="AG188" s="1364"/>
      <c r="AH188" s="1364"/>
      <c r="AI188" s="1364"/>
      <c r="AJ188" s="1364"/>
      <c r="AK188" s="1364"/>
      <c r="AL188" s="1364"/>
      <c r="AM188" s="1364"/>
      <c r="AN188" s="1364"/>
      <c r="AO188" s="1364"/>
      <c r="AP188" s="1364"/>
      <c r="AQ188" s="1364"/>
      <c r="AR188" s="1364"/>
      <c r="AS188" s="1364"/>
      <c r="AT188" s="1364"/>
      <c r="AU188" s="1364"/>
      <c r="AV188" s="1364"/>
      <c r="AW188" s="1364"/>
      <c r="AX188" s="1364"/>
      <c r="AY188" s="1364"/>
      <c r="AZ188" s="1364"/>
      <c r="BA188" s="1364"/>
      <c r="BB188" s="1364"/>
      <c r="BC188" s="1364"/>
      <c r="BD188" s="1364"/>
      <c r="BE188" s="1364"/>
      <c r="BF188" s="1364"/>
      <c r="BG188" s="1364"/>
      <c r="BH188" s="1364"/>
      <c r="BI188" s="1364"/>
      <c r="BJ188" s="1364"/>
      <c r="BK188" s="1364"/>
      <c r="BL188" s="1364"/>
      <c r="BM188" s="1364"/>
      <c r="BN188" s="1364"/>
      <c r="BO188" s="1364"/>
      <c r="BP188" s="1364"/>
      <c r="BQ188" s="1364"/>
      <c r="BR188" s="1364"/>
      <c r="BS188" s="1364"/>
      <c r="BT188" s="1364"/>
      <c r="BU188" s="1364"/>
      <c r="BV188" s="1364"/>
      <c r="BW188" s="1364"/>
      <c r="BX188" s="1364"/>
      <c r="BY188" s="1364"/>
      <c r="BZ188" s="1364"/>
      <c r="CA188" s="1364"/>
      <c r="CB188" s="1364"/>
      <c r="CC188" s="1364"/>
      <c r="CD188" s="1364"/>
      <c r="CE188" s="1364"/>
      <c r="CF188" s="1364"/>
      <c r="CG188" s="1364"/>
      <c r="CH188" s="1364"/>
      <c r="CI188" s="1364"/>
      <c r="CJ188" s="1364"/>
      <c r="CK188" s="1364"/>
      <c r="CL188" s="1364"/>
      <c r="CM188" s="1364"/>
      <c r="CN188" s="1364"/>
      <c r="CO188" s="1364"/>
      <c r="CP188" s="1364"/>
      <c r="CQ188" s="1364"/>
      <c r="CR188" s="1364"/>
    </row>
    <row r="189" spans="1:96">
      <c r="A189" s="1365"/>
      <c r="B189" s="1364"/>
      <c r="C189" s="1364"/>
      <c r="D189" s="1364"/>
      <c r="E189" s="1364"/>
      <c r="F189" s="1364"/>
      <c r="G189" s="1364"/>
      <c r="H189" s="1364"/>
      <c r="I189" s="1364"/>
      <c r="J189" s="1364"/>
      <c r="K189" s="1364"/>
      <c r="L189" s="1364"/>
      <c r="M189" s="1364"/>
      <c r="N189" s="1364"/>
      <c r="O189" s="1364"/>
      <c r="P189" s="1364"/>
      <c r="Q189" s="1364"/>
      <c r="R189" s="1364"/>
      <c r="S189" s="1364"/>
      <c r="T189" s="1364"/>
      <c r="U189" s="1364"/>
      <c r="V189" s="1364"/>
      <c r="W189" s="1364"/>
      <c r="X189" s="1364"/>
      <c r="Y189" s="1364"/>
      <c r="Z189" s="1364"/>
      <c r="AA189" s="1364"/>
      <c r="AB189" s="1364"/>
      <c r="AC189" s="1364"/>
      <c r="AD189" s="1364"/>
      <c r="AE189" s="1364"/>
      <c r="AF189" s="1364"/>
      <c r="AG189" s="1364"/>
      <c r="AH189" s="1364"/>
      <c r="AI189" s="1364"/>
      <c r="AJ189" s="1364"/>
      <c r="AK189" s="1364"/>
      <c r="AL189" s="1364"/>
      <c r="AM189" s="1364"/>
      <c r="AN189" s="1364"/>
      <c r="AO189" s="1364"/>
      <c r="AP189" s="1364"/>
      <c r="AQ189" s="1364"/>
      <c r="AR189" s="1364"/>
      <c r="AS189" s="1364"/>
      <c r="AT189" s="1364"/>
      <c r="AU189" s="1364"/>
      <c r="AV189" s="1364"/>
      <c r="AW189" s="1364"/>
      <c r="AX189" s="1364"/>
      <c r="AY189" s="1364"/>
      <c r="AZ189" s="1364"/>
      <c r="BA189" s="1364"/>
      <c r="BB189" s="1364"/>
      <c r="BC189" s="1364"/>
      <c r="BD189" s="1364"/>
      <c r="BE189" s="1364"/>
      <c r="BF189" s="1364"/>
      <c r="BG189" s="1364"/>
      <c r="BH189" s="1364"/>
      <c r="BI189" s="1364"/>
      <c r="BJ189" s="1364"/>
      <c r="BK189" s="1364"/>
      <c r="BL189" s="1364"/>
      <c r="BM189" s="1364"/>
      <c r="BN189" s="1364"/>
      <c r="BO189" s="1364"/>
      <c r="BP189" s="1364"/>
      <c r="BQ189" s="1364"/>
      <c r="BR189" s="1364"/>
      <c r="BS189" s="1364"/>
      <c r="BT189" s="1364"/>
      <c r="BU189" s="1364"/>
      <c r="BV189" s="1364"/>
      <c r="BW189" s="1364"/>
      <c r="BX189" s="1364"/>
      <c r="BY189" s="1364"/>
      <c r="BZ189" s="1364"/>
      <c r="CA189" s="1364"/>
      <c r="CB189" s="1364"/>
      <c r="CC189" s="1364"/>
      <c r="CD189" s="1364"/>
      <c r="CE189" s="1364"/>
      <c r="CF189" s="1364"/>
      <c r="CG189" s="1364"/>
      <c r="CH189" s="1364"/>
      <c r="CI189" s="1364"/>
      <c r="CJ189" s="1364"/>
      <c r="CK189" s="1364"/>
      <c r="CL189" s="1364"/>
      <c r="CM189" s="1364"/>
      <c r="CN189" s="1364"/>
      <c r="CO189" s="1364"/>
      <c r="CP189" s="1364"/>
      <c r="CQ189" s="1364"/>
      <c r="CR189" s="136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BE990BE-500E-45D9-9789-813C7000810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2026-03-02T12:03:42Z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