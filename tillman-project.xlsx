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6" documentId="8_{E14B221E-02E2-46A3-8CEC-C736815F2DD5}" xr6:coauthVersionLast="47" xr6:coauthVersionMax="47" xr10:uidLastSave="{72376877-0C0B-48D1-B0E0-E8D260B2510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3555" r:id="rId12"/>
    <pivotCache cacheId="3562" r:id="rId13"/>
    <pivotCache cacheId="3567" r:id="rId14"/>
    <pivotCache cacheId="3571" r:id="rId15"/>
    <pivotCache cacheId="35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<sst xmlns="http://schemas.openxmlformats.org/spreadsheetml/2006/main" count="16276" uniqueCount="2105">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</sst>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3" fontId="1" fillId="4" borderId="20" xfId="0" applyNumberFormat="1" applyFont="1" applyFill="1" applyBorder="1" applyAlignment="1">
      <alignment horizontal="center"/>
    </xf>
    <xf numFmtId="3" fontId="46" fillId="23" borderId="20" xfId="0" applyNumberFormat="1"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82" activePane="topRight" state="frozen"/>
      <selection pane="topRight" activeCell="W94" sqref="W9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05" t="s">
        <v>179</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180</v>
      </c>
    </row>
    <row r="45" spans="1:31" ht="24.75" customHeight="1">
      <c r="A45" s="1257" t="s">
        <v>181</v>
      </c>
      <c r="B45" s="1207" t="s">
        <v>111</v>
      </c>
      <c r="C45" s="1206">
        <v>46053</v>
      </c>
      <c r="D45" s="1206"/>
      <c r="E45" s="1206"/>
      <c r="F45" s="1207" t="s">
        <v>142</v>
      </c>
      <c r="G45" s="1207" t="s">
        <v>182</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183</v>
      </c>
      <c r="B46" s="1207" t="s">
        <v>111</v>
      </c>
      <c r="C46" s="1206">
        <v>46031</v>
      </c>
      <c r="D46" s="1206" t="s">
        <v>131</v>
      </c>
      <c r="E46" s="1206">
        <v>46002</v>
      </c>
      <c r="F46" s="1207" t="s">
        <v>142</v>
      </c>
      <c r="G46" s="1207" t="s">
        <v>184</v>
      </c>
      <c r="H46" s="1208">
        <v>0</v>
      </c>
      <c r="I46" s="1208" t="s">
        <v>133</v>
      </c>
      <c r="J46" s="1208" t="s">
        <v>63</v>
      </c>
      <c r="K46" s="1208"/>
      <c r="L46" s="1206" t="s">
        <v>168</v>
      </c>
      <c r="M46" s="1208" t="s">
        <v>57</v>
      </c>
      <c r="N46" s="1209">
        <v>23475.5</v>
      </c>
      <c r="O46" s="1208" t="s">
        <v>57</v>
      </c>
      <c r="P46" s="1280" t="s">
        <v>134</v>
      </c>
      <c r="Q46" s="1211">
        <v>45999</v>
      </c>
      <c r="R46" s="1211"/>
      <c r="S46" s="1211"/>
      <c r="T46" s="1211"/>
      <c r="U46" s="1269"/>
      <c r="V46" s="1135">
        <v>1890</v>
      </c>
      <c r="W46" s="1370">
        <v>1948</v>
      </c>
      <c r="X46" s="1212">
        <f>SUM(V46-W46)</f>
        <v>-58</v>
      </c>
      <c r="Y46" s="662">
        <f t="shared" si="4"/>
        <v>1.0306878306878307</v>
      </c>
      <c r="Z46" s="1231">
        <v>46009</v>
      </c>
      <c r="AA46" s="1214">
        <v>0</v>
      </c>
      <c r="AB46" s="1214">
        <v>0</v>
      </c>
      <c r="AC46" s="645">
        <v>0</v>
      </c>
      <c r="AD46" s="1215" t="s">
        <v>185</v>
      </c>
    </row>
    <row r="47" spans="1:31" ht="24.75" customHeight="1">
      <c r="A47" s="1205" t="s">
        <v>186</v>
      </c>
      <c r="B47" s="1207" t="s">
        <v>111</v>
      </c>
      <c r="C47" s="1206">
        <v>46031</v>
      </c>
      <c r="D47" s="1206" t="s">
        <v>187</v>
      </c>
      <c r="E47" s="1206"/>
      <c r="F47" s="1207" t="s">
        <v>53</v>
      </c>
      <c r="G47" s="1207" t="s">
        <v>188</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189</v>
      </c>
    </row>
    <row r="48" spans="1:31" ht="24.75" customHeight="1">
      <c r="A48" s="1257" t="s">
        <v>190</v>
      </c>
      <c r="B48" s="1207" t="s">
        <v>111</v>
      </c>
      <c r="C48" s="1206">
        <v>46020</v>
      </c>
      <c r="D48" s="1206"/>
      <c r="E48" s="1206"/>
      <c r="F48" s="1207" t="s">
        <v>112</v>
      </c>
      <c r="G48" s="1207" t="s">
        <v>191</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192</v>
      </c>
    </row>
    <row r="49" spans="1:32" ht="24.75" customHeight="1">
      <c r="A49" s="1257" t="s">
        <v>193</v>
      </c>
      <c r="B49" s="1207" t="s">
        <v>111</v>
      </c>
      <c r="C49" s="1206">
        <v>46031</v>
      </c>
      <c r="D49" s="1206"/>
      <c r="E49" s="1206">
        <v>45866</v>
      </c>
      <c r="F49" s="1207" t="s">
        <v>112</v>
      </c>
      <c r="G49" s="1207" t="s">
        <v>194</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195</v>
      </c>
    </row>
    <row r="50" spans="1:32" ht="24.75" customHeight="1">
      <c r="A50" s="1257" t="s">
        <v>196</v>
      </c>
      <c r="B50" s="1207" t="s">
        <v>111</v>
      </c>
      <c r="C50" s="1206"/>
      <c r="D50" s="1206"/>
      <c r="E50" s="1206"/>
      <c r="F50" s="1207" t="s">
        <v>112</v>
      </c>
      <c r="G50" s="1207" t="s">
        <v>197</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198</v>
      </c>
      <c r="AF50" s="1271"/>
    </row>
    <row r="51" spans="1:32" ht="24.75" customHeight="1">
      <c r="A51" s="1205" t="s">
        <v>199</v>
      </c>
      <c r="B51" s="1207" t="s">
        <v>111</v>
      </c>
      <c r="C51" s="1206">
        <v>46010</v>
      </c>
      <c r="D51" s="1206" t="s">
        <v>158</v>
      </c>
      <c r="E51" s="1206">
        <v>46007</v>
      </c>
      <c r="F51" s="1207" t="s">
        <v>112</v>
      </c>
      <c r="G51" s="1207" t="s">
        <v>200</v>
      </c>
      <c r="H51" s="1208">
        <v>0</v>
      </c>
      <c r="I51" s="661" t="s">
        <v>55</v>
      </c>
      <c r="J51" s="1208" t="s">
        <v>63</v>
      </c>
      <c r="K51" s="1208"/>
      <c r="L51" s="1206" t="s">
        <v>168</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168</v>
      </c>
      <c r="M52" s="1208" t="s">
        <v>57</v>
      </c>
      <c r="N52" s="1209">
        <v>11500.3</v>
      </c>
      <c r="O52" s="1208" t="s">
        <v>57</v>
      </c>
      <c r="P52" s="1210" t="s">
        <v>84</v>
      </c>
      <c r="Q52" s="1211">
        <v>45994</v>
      </c>
      <c r="R52" s="1211"/>
      <c r="S52" s="1211"/>
      <c r="T52" s="1211"/>
      <c r="U52" s="1211"/>
      <c r="V52" s="788">
        <v>908</v>
      </c>
      <c r="W52" s="1371">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7">
        <v>1035</v>
      </c>
      <c r="O63" s="1228" t="s">
        <v>57</v>
      </c>
      <c r="P63" s="1241" t="s">
        <v>58</v>
      </c>
      <c r="Q63" s="1378"/>
      <c r="R63" s="1378"/>
      <c r="S63" s="1378"/>
      <c r="T63" s="1378"/>
      <c r="U63" s="1378"/>
      <c r="V63" s="1379">
        <v>0</v>
      </c>
      <c r="W63" s="1375"/>
      <c r="X63" s="1375">
        <f>SUM(V63-W63)</f>
        <v>0</v>
      </c>
      <c r="Y63" s="662">
        <f>IFERROR($W63/$V63, 0)</f>
        <v>0</v>
      </c>
      <c r="Z63" s="1380"/>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1"/>
      <c r="I77" s="829" t="s">
        <v>55</v>
      </c>
      <c r="J77" s="832" t="s">
        <v>63</v>
      </c>
      <c r="K77" s="1374"/>
      <c r="L77" s="1356"/>
      <c r="M77" s="829" t="s">
        <v>57</v>
      </c>
      <c r="N77" s="1377">
        <v>36998.550000000003</v>
      </c>
      <c r="O77" s="829" t="s">
        <v>57</v>
      </c>
      <c r="P77" s="1241" t="s">
        <v>58</v>
      </c>
      <c r="Q77" s="1378"/>
      <c r="R77" s="1378"/>
      <c r="S77" s="1378"/>
      <c r="T77" s="1378"/>
      <c r="U77" s="1378"/>
      <c r="V77" s="1379">
        <v>2944</v>
      </c>
      <c r="W77" s="1375"/>
      <c r="X77" s="1375">
        <f>SUM(V77-W77)</f>
        <v>2944</v>
      </c>
      <c r="Y77" s="662">
        <f>IFERROR($W77/$V77, 0)</f>
        <v>0</v>
      </c>
      <c r="Z77" s="1380"/>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7">
        <v>118710.8</v>
      </c>
      <c r="O86" s="1228" t="s">
        <v>57</v>
      </c>
      <c r="P86" s="1210" t="s">
        <v>58</v>
      </c>
      <c r="Q86" s="1378"/>
      <c r="R86" s="1378"/>
      <c r="S86" s="1378"/>
      <c r="T86" s="1378"/>
      <c r="U86" s="1378"/>
      <c r="V86" s="1379">
        <v>9628</v>
      </c>
      <c r="W86" s="1375"/>
      <c r="X86" s="1375">
        <f>SUM(V86-W86)</f>
        <v>9628</v>
      </c>
      <c r="Y86" s="662">
        <f>IFERROR($W86/$V86, 0)</f>
        <v>0</v>
      </c>
      <c r="Z86" s="1378"/>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76">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C57"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183</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v>154</v>
      </c>
      <c r="C1144" s="1373">
        <v>154</v>
      </c>
    </row>
    <row r="1145" spans="1:3">
      <c r="A1145" t="s">
        <v>130</v>
      </c>
      <c r="B1145" s="1373">
        <v>342</v>
      </c>
      <c r="C1145" s="1373">
        <v>342</v>
      </c>
    </row>
    <row r="1146" spans="1:3">
      <c r="A1146" t="s">
        <v>492</v>
      </c>
      <c r="B1146" s="1373"/>
      <c r="C1146" s="1373"/>
    </row>
    <row r="1147" spans="1:3">
      <c r="A1147" t="s">
        <v>339</v>
      </c>
      <c r="B1147" s="1373"/>
      <c r="C1147" s="1373"/>
    </row>
    <row r="1148" spans="1:3">
      <c r="A1148" t="s">
        <v>333</v>
      </c>
      <c r="B1148" s="1373"/>
      <c r="C1148" s="1373"/>
    </row>
    <row r="1149" spans="1:3">
      <c r="A1149" t="s">
        <v>183</v>
      </c>
      <c r="B1149" s="1373">
        <v>380</v>
      </c>
      <c r="C1149" s="1373">
        <v>380</v>
      </c>
    </row>
    <row r="1150" spans="1:3">
      <c r="A1150" t="s">
        <v>202</v>
      </c>
      <c r="B1150" s="1373">
        <v>523</v>
      </c>
      <c r="C1150" s="1373">
        <v>523</v>
      </c>
    </row>
    <row r="1151" spans="1:3">
      <c r="A1151" t="s">
        <v>1027</v>
      </c>
      <c r="B1151" s="1373">
        <v>1399</v>
      </c>
      <c r="C1151" s="1373">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183</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183</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2047</v>
      </c>
      <c r="C1" s="1366"/>
      <c r="D1" s="558"/>
      <c r="E1" s="1366" t="s">
        <v>2048</v>
      </c>
      <c r="F1" s="1366"/>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s="1373">
        <v>81486</v>
      </c>
      <c r="E4" s="44" t="s">
        <v>2049</v>
      </c>
      <c r="F4" t="s">
        <v>1030</v>
      </c>
      <c r="W4" t="s">
        <v>2053</v>
      </c>
      <c r="X4">
        <v>22</v>
      </c>
    </row>
    <row r="5" spans="1:25">
      <c r="B5" t="s">
        <v>71</v>
      </c>
      <c r="C5" s="1373">
        <v>25486</v>
      </c>
      <c r="E5" t="s">
        <v>1030</v>
      </c>
      <c r="F5" s="1373">
        <v>112340</v>
      </c>
      <c r="K5" s="44" t="s">
        <v>2054</v>
      </c>
      <c r="P5" s="44" t="s">
        <v>2054</v>
      </c>
      <c r="W5" t="s">
        <v>2055</v>
      </c>
      <c r="X5">
        <v>13</v>
      </c>
    </row>
    <row r="6" spans="1:25">
      <c r="B6" t="s">
        <v>1057</v>
      </c>
      <c r="C6" s="1373">
        <v>224648</v>
      </c>
      <c r="K6" s="44" t="s">
        <v>27</v>
      </c>
      <c r="L6" s="44" t="s">
        <v>2056</v>
      </c>
      <c r="M6" t="s">
        <v>1030</v>
      </c>
      <c r="P6" s="44" t="s">
        <v>2057</v>
      </c>
      <c r="Q6" s="44" t="s">
        <v>2056</v>
      </c>
      <c r="R6" t="s">
        <v>1030</v>
      </c>
    </row>
    <row r="7" spans="1:25">
      <c r="B7" t="s">
        <v>51</v>
      </c>
      <c r="C7" s="1373">
        <v>446</v>
      </c>
      <c r="K7" t="s">
        <v>2050</v>
      </c>
      <c r="L7" t="s">
        <v>642</v>
      </c>
      <c r="M7" s="1373">
        <v>1</v>
      </c>
      <c r="P7" t="s">
        <v>2058</v>
      </c>
      <c r="R7" s="1373">
        <v>1</v>
      </c>
      <c r="X7" t="s">
        <v>2059</v>
      </c>
      <c r="Y7" t="s">
        <v>2060</v>
      </c>
    </row>
    <row r="8" spans="1:25">
      <c r="B8" t="s">
        <v>22</v>
      </c>
      <c r="C8" s="1373">
        <v>0</v>
      </c>
      <c r="L8" t="s">
        <v>644</v>
      </c>
      <c r="M8" s="1373">
        <v>1</v>
      </c>
      <c r="P8" t="s">
        <v>2061</v>
      </c>
      <c r="R8" s="1373">
        <v>1</v>
      </c>
      <c r="V8" t="s">
        <v>2062</v>
      </c>
      <c r="W8" s="257">
        <v>203521</v>
      </c>
      <c r="X8" s="313">
        <f>X5/X4</f>
        <v>0.59090909090909094</v>
      </c>
      <c r="Y8" s="313">
        <f>W9/W8</f>
        <v>0.31446386367991508</v>
      </c>
    </row>
    <row r="9" spans="1:25">
      <c r="B9" t="s">
        <v>232</v>
      </c>
      <c r="C9" s="1373">
        <v>7128</v>
      </c>
      <c r="L9" t="s">
        <v>2063</v>
      </c>
      <c r="M9" s="1373">
        <v>1</v>
      </c>
      <c r="P9" t="s">
        <v>2064</v>
      </c>
      <c r="Q9" t="s">
        <v>2063</v>
      </c>
      <c r="R9" s="1373">
        <v>1</v>
      </c>
      <c r="V9" t="s">
        <v>2065</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2066</v>
      </c>
      <c r="R12" s="1373">
        <v>1</v>
      </c>
    </row>
    <row r="13" spans="1:25">
      <c r="B13" t="s">
        <v>187</v>
      </c>
      <c r="C13" s="1373">
        <v>3</v>
      </c>
      <c r="L13" t="s">
        <v>2067</v>
      </c>
      <c r="M13" s="1373">
        <v>1</v>
      </c>
      <c r="Q13" t="s">
        <v>979</v>
      </c>
      <c r="R13" s="1373">
        <v>1</v>
      </c>
    </row>
    <row r="14" spans="1:25">
      <c r="B14" t="s">
        <v>67</v>
      </c>
      <c r="C14" s="1373">
        <v>3796</v>
      </c>
      <c r="L14" t="s">
        <v>821</v>
      </c>
      <c r="M14" s="1373">
        <v>1</v>
      </c>
      <c r="P14" t="s">
        <v>2068</v>
      </c>
      <c r="R14" s="1373">
        <v>5</v>
      </c>
    </row>
    <row r="15" spans="1:25">
      <c r="B15" t="s">
        <v>60</v>
      </c>
      <c r="C15" s="1373">
        <v>6182</v>
      </c>
      <c r="L15" t="s">
        <v>2066</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2069</v>
      </c>
      <c r="M21" s="1373">
        <v>1</v>
      </c>
    </row>
    <row r="22" spans="2:13">
      <c r="L22" t="s">
        <v>979</v>
      </c>
      <c r="M22" s="1373">
        <v>1</v>
      </c>
    </row>
    <row r="23" spans="2:13">
      <c r="L23" t="s">
        <v>869</v>
      </c>
      <c r="M23" s="1373">
        <v>1</v>
      </c>
    </row>
    <row r="24" spans="2:13">
      <c r="L24" t="s">
        <v>890</v>
      </c>
      <c r="M24" s="1373">
        <v>1</v>
      </c>
    </row>
    <row r="25" spans="2:13">
      <c r="L25" t="s">
        <v>181</v>
      </c>
      <c r="M25" s="1373">
        <v>1</v>
      </c>
    </row>
    <row r="26" spans="2:13">
      <c r="K26" t="s">
        <v>2070</v>
      </c>
      <c r="M26" s="1373">
        <v>19</v>
      </c>
    </row>
    <row r="27" spans="2:13">
      <c r="K27" t="s">
        <v>2071</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2072</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2073</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2074</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181</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2CC872B-0BF2-4773-8F0D-F5F76783809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2025-12-22T23:16:02Z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