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6" documentId="8_{E14B221E-02E2-46A3-8CEC-C736815F2DD5}" xr6:coauthVersionLast="47" xr6:coauthVersionMax="47" xr10:uidLastSave="{97CF9BD4-8744-4AE2-ABDE-6A90FFB24E6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4831" r:id="rId12"/>
    <pivotCache cacheId="4832" r:id="rId13"/>
    <pivotCache cacheId="4833" r:id="rId14"/>
    <pivotCache cacheId="4834" r:id="rId15"/>
    <pivotCache cacheId="48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<sst xmlns="http://schemas.openxmlformats.org/spreadsheetml/2006/main" count="16605" uniqueCount="2148">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</sst>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B28" activePane="topRight" state="frozen"/>
      <selection pane="topRight" activeCell="Q30" sqref="Q30"/>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v>46021</v>
      </c>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v>46021</v>
      </c>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v>46021</v>
      </c>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8"/>
      <c r="K60" s="1438"/>
      <c r="L60" s="1347"/>
      <c r="M60" s="1226" t="s">
        <v>57</v>
      </c>
      <c r="N60" s="1439">
        <v>1035</v>
      </c>
      <c r="O60" s="1226" t="s">
        <v>57</v>
      </c>
      <c r="P60" s="1239" t="s">
        <v>58</v>
      </c>
      <c r="Q60" s="1440"/>
      <c r="R60" s="1440"/>
      <c r="S60" s="1440"/>
      <c r="T60" s="1440"/>
      <c r="U60" s="1440"/>
      <c r="V60" s="1441">
        <v>0</v>
      </c>
      <c r="W60" s="1442"/>
      <c r="X60" s="1442">
        <f>SUM(V60-W60)</f>
        <v>0</v>
      </c>
      <c r="Y60" s="662">
        <f>IFERROR($W60/$V60, 0)</f>
        <v>0</v>
      </c>
      <c r="Z60" s="1443"/>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4"/>
      <c r="I74" s="828" t="s">
        <v>55</v>
      </c>
      <c r="J74" s="831" t="s">
        <v>63</v>
      </c>
      <c r="K74" s="1438"/>
      <c r="L74" s="1349"/>
      <c r="M74" s="828" t="s">
        <v>57</v>
      </c>
      <c r="N74" s="1439">
        <v>36998.550000000003</v>
      </c>
      <c r="O74" s="828" t="s">
        <v>57</v>
      </c>
      <c r="P74" s="1239" t="s">
        <v>58</v>
      </c>
      <c r="Q74" s="1440"/>
      <c r="R74" s="1440"/>
      <c r="S74" s="1440"/>
      <c r="T74" s="1440"/>
      <c r="U74" s="1440"/>
      <c r="V74" s="1441">
        <v>2944</v>
      </c>
      <c r="W74" s="1442"/>
      <c r="X74" s="1442">
        <f>SUM(V74-W74)</f>
        <v>2944</v>
      </c>
      <c r="Y74" s="662">
        <f>IFERROR($W74/$V74, 0)</f>
        <v>0</v>
      </c>
      <c r="Z74" s="1443"/>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8"/>
      <c r="L83" s="1349"/>
      <c r="M83" s="1226" t="s">
        <v>57</v>
      </c>
      <c r="N83" s="1439">
        <v>118710.8</v>
      </c>
      <c r="O83" s="1226" t="s">
        <v>57</v>
      </c>
      <c r="P83" s="1208" t="s">
        <v>58</v>
      </c>
      <c r="Q83" s="1440"/>
      <c r="R83" s="1440"/>
      <c r="S83" s="1440"/>
      <c r="T83" s="1440"/>
      <c r="U83" s="1440"/>
      <c r="V83" s="1441">
        <v>9628</v>
      </c>
      <c r="W83" s="1442"/>
      <c r="X83" s="1442">
        <f>SUM(V83-W83)</f>
        <v>9628</v>
      </c>
      <c r="Y83" s="662">
        <f>IFERROR($W83/$V83, 0)</f>
        <v>0</v>
      </c>
      <c r="Z83" s="1440"/>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4">
        <v>109</v>
      </c>
      <c r="I90" s="828" t="s">
        <v>55</v>
      </c>
      <c r="J90" s="831" t="s">
        <v>63</v>
      </c>
      <c r="K90" s="1438"/>
      <c r="L90" s="1349"/>
      <c r="M90" s="1444" t="s">
        <v>91</v>
      </c>
      <c r="N90" s="1439"/>
      <c r="O90" s="1444" t="s">
        <v>91</v>
      </c>
      <c r="P90" s="1445" t="s">
        <v>58</v>
      </c>
      <c r="Q90" s="1440"/>
      <c r="R90" s="1440"/>
      <c r="S90" s="1440"/>
      <c r="T90" s="1440"/>
      <c r="U90" s="1440"/>
      <c r="V90" s="1441">
        <v>6825</v>
      </c>
      <c r="W90" s="1442"/>
      <c r="X90" s="1442">
        <f>SUM(V90-W90)</f>
        <v>6825</v>
      </c>
      <c r="Y90" s="662">
        <f>IFERROR($W90/$V90, 0)</f>
        <v>0</v>
      </c>
      <c r="Z90" s="1443"/>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6565</v>
      </c>
      <c r="X96" s="1268">
        <f t="shared" si="5"/>
        <v>193</v>
      </c>
      <c r="Y96" s="657">
        <f t="shared" si="6"/>
        <v>0.97144125480911514</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4">
        <v>0</v>
      </c>
      <c r="I98" s="828"/>
      <c r="J98" s="1444"/>
      <c r="K98" s="1438"/>
      <c r="L98" s="1349"/>
      <c r="M98" s="1444"/>
      <c r="N98" s="1439"/>
      <c r="O98" s="1444"/>
      <c r="P98" s="1445"/>
      <c r="Q98" s="1440"/>
      <c r="R98" s="1440"/>
      <c r="S98" s="1440"/>
      <c r="T98" s="1440"/>
      <c r="U98" s="1440"/>
      <c r="V98" s="1441">
        <v>6202</v>
      </c>
      <c r="W98" s="1442"/>
      <c r="X98" s="1442">
        <f>SUM(V98-W98)</f>
        <v>6202</v>
      </c>
      <c r="Y98" s="662">
        <f>IFERROR($W98/$V98, 0)</f>
        <v>0</v>
      </c>
      <c r="Z98" s="1443"/>
      <c r="AA98" s="1288">
        <v>0</v>
      </c>
      <c r="AB98" s="1288">
        <v>0</v>
      </c>
      <c r="AC98" s="1287">
        <v>0</v>
      </c>
      <c r="AD98" s="1213"/>
      <c r="AE98" s="1274"/>
    </row>
    <row r="99" spans="1:31" ht="24.75" customHeight="1">
      <c r="A99" s="1391" t="s">
        <v>316</v>
      </c>
      <c r="B99" s="1016" t="s">
        <v>297</v>
      </c>
      <c r="C99" s="1428">
        <v>46051</v>
      </c>
      <c r="D99" s="1348"/>
      <c r="E99" s="1349"/>
      <c r="F99" s="1348"/>
      <c r="G99" s="1225"/>
      <c r="H99" s="1444">
        <v>0</v>
      </c>
      <c r="I99" s="828"/>
      <c r="J99" s="1444"/>
      <c r="K99" s="1438"/>
      <c r="L99" s="1349"/>
      <c r="M99" s="1444"/>
      <c r="N99" s="1439"/>
      <c r="O99" s="1444"/>
      <c r="P99" s="1445"/>
      <c r="Q99" s="1440"/>
      <c r="R99" s="1440"/>
      <c r="S99" s="1440"/>
      <c r="T99" s="1440"/>
      <c r="U99" s="1440"/>
      <c r="V99" s="1446">
        <v>545</v>
      </c>
      <c r="W99" s="1447"/>
      <c r="X99" s="1447">
        <f>SUM(V99-W99)</f>
        <v>545</v>
      </c>
      <c r="Y99" s="657">
        <f>IFERROR($W99/$V99, 0)</f>
        <v>0</v>
      </c>
      <c r="Z99" s="1448"/>
      <c r="AA99" s="1288">
        <v>0</v>
      </c>
      <c r="AB99" s="1288">
        <v>0</v>
      </c>
      <c r="AC99" s="1287">
        <v>0</v>
      </c>
      <c r="AD99" s="1213"/>
      <c r="AE99" s="1274"/>
    </row>
    <row r="100" spans="1:31" ht="24.75" customHeight="1">
      <c r="A100" s="1391" t="s">
        <v>317</v>
      </c>
      <c r="B100" s="1016" t="s">
        <v>297</v>
      </c>
      <c r="C100" s="1428">
        <v>46051</v>
      </c>
      <c r="D100" s="1348"/>
      <c r="E100" s="1349"/>
      <c r="F100" s="1348"/>
      <c r="G100" s="1225"/>
      <c r="H100" s="1444">
        <v>0</v>
      </c>
      <c r="I100" s="828"/>
      <c r="J100" s="1444"/>
      <c r="K100" s="1438"/>
      <c r="L100" s="1349"/>
      <c r="M100" s="1444"/>
      <c r="N100" s="1439"/>
      <c r="O100" s="1444"/>
      <c r="P100" s="1445"/>
      <c r="Q100" s="1440"/>
      <c r="R100" s="1440"/>
      <c r="S100" s="1440"/>
      <c r="T100" s="1440"/>
      <c r="U100" s="1440"/>
      <c r="V100" s="1446">
        <v>1172</v>
      </c>
      <c r="W100" s="1447"/>
      <c r="X100" s="1447">
        <f>SUM(V100-W100)</f>
        <v>1172</v>
      </c>
      <c r="Y100" s="657">
        <f>IFERROR($W100/$V100, 0)</f>
        <v>0</v>
      </c>
      <c r="Z100" s="1448"/>
      <c r="AA100" s="1288">
        <v>0</v>
      </c>
      <c r="AB100" s="1288">
        <v>0</v>
      </c>
      <c r="AC100" s="1287">
        <v>0</v>
      </c>
      <c r="AD100" s="1213"/>
      <c r="AE100" s="1274"/>
    </row>
    <row r="101" spans="1:31" ht="24.75" customHeight="1">
      <c r="A101" s="1391" t="s">
        <v>318</v>
      </c>
      <c r="B101" s="1016" t="s">
        <v>297</v>
      </c>
      <c r="C101" s="1428">
        <v>46051</v>
      </c>
      <c r="D101" s="1348"/>
      <c r="E101" s="1349"/>
      <c r="F101" s="1348"/>
      <c r="G101" s="1225"/>
      <c r="H101" s="1444">
        <v>0</v>
      </c>
      <c r="I101" s="828"/>
      <c r="J101" s="1444"/>
      <c r="K101" s="1438"/>
      <c r="L101" s="1349"/>
      <c r="M101" s="1444"/>
      <c r="N101" s="1439"/>
      <c r="O101" s="1444"/>
      <c r="P101" s="1445"/>
      <c r="Q101" s="1440"/>
      <c r="R101" s="1440"/>
      <c r="S101" s="1440"/>
      <c r="T101" s="1440"/>
      <c r="U101" s="1440"/>
      <c r="V101" s="1446">
        <v>4184</v>
      </c>
      <c r="W101" s="1447"/>
      <c r="X101" s="1447">
        <f>SUM(V101-W101)</f>
        <v>4184</v>
      </c>
      <c r="Y101" s="657">
        <f>IFERROR($W101/$V101, 0)</f>
        <v>0</v>
      </c>
      <c r="Z101" s="1448"/>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9"/>
      <c r="R113" s="1370"/>
      <c r="S113" s="1370"/>
      <c r="T113" s="1414"/>
      <c r="U113" s="1370"/>
      <c r="V113" s="31">
        <v>5699</v>
      </c>
      <c r="W113" s="1447"/>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9"/>
      <c r="R114" s="1370"/>
      <c r="S114" s="1370"/>
      <c r="T114" s="1414"/>
      <c r="U114" s="1370"/>
      <c r="V114" s="31">
        <v>5860</v>
      </c>
      <c r="W114" s="1447"/>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9"/>
      <c r="R115" s="1370"/>
      <c r="S115" s="1370"/>
      <c r="T115" s="1414"/>
      <c r="U115" s="1370"/>
      <c r="V115" s="31">
        <v>6021</v>
      </c>
      <c r="W115" s="1447"/>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9"/>
      <c r="R116" s="1370"/>
      <c r="S116" s="1370"/>
      <c r="T116" s="1414"/>
      <c r="U116" s="1370"/>
      <c r="V116" s="31">
        <v>6432</v>
      </c>
      <c r="W116" s="1447"/>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9"/>
      <c r="R117" s="1370"/>
      <c r="S117" s="1370"/>
      <c r="T117" s="1414"/>
      <c r="U117" s="1370"/>
      <c r="V117" s="31">
        <v>4836</v>
      </c>
      <c r="W117" s="1447"/>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9"/>
      <c r="R118" s="1370"/>
      <c r="S118" s="1370"/>
      <c r="T118" s="1414"/>
      <c r="U118" s="1370"/>
      <c r="V118" s="31">
        <v>7145</v>
      </c>
      <c r="W118" s="1447"/>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50"/>
      <c r="R119" s="1372"/>
      <c r="S119" s="1372"/>
      <c r="T119" s="1415"/>
      <c r="U119" s="1370"/>
      <c r="V119" s="31">
        <v>7341</v>
      </c>
      <c r="W119" s="1447"/>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9"/>
      <c r="R120" s="1370"/>
      <c r="S120" s="1370"/>
      <c r="T120" s="1414"/>
      <c r="U120" s="1370"/>
      <c r="V120" s="31">
        <v>1284</v>
      </c>
      <c r="W120" s="1447"/>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1"/>
      <c r="R121" s="1372"/>
      <c r="S121" s="1372"/>
      <c r="T121" s="1415"/>
      <c r="U121" s="1370"/>
      <c r="V121" s="31">
        <v>4022</v>
      </c>
      <c r="W121" s="1447"/>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2"/>
      <c r="R134" s="1370"/>
      <c r="S134" s="1370"/>
      <c r="T134" s="1370"/>
      <c r="U134" s="1370"/>
      <c r="V134" s="1268">
        <v>8641</v>
      </c>
      <c r="W134" s="1447"/>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1"/>
      <c r="R135" s="1372"/>
      <c r="S135" s="1372"/>
      <c r="T135" s="1372"/>
      <c r="U135" s="1372"/>
      <c r="V135" s="1374">
        <v>7502</v>
      </c>
      <c r="W135" s="1453"/>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1"/>
      <c r="R136" s="1372"/>
      <c r="S136" s="1372"/>
      <c r="T136" s="1372"/>
      <c r="U136" s="1372"/>
      <c r="V136" s="1374">
        <v>3682</v>
      </c>
      <c r="W136" s="1453"/>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57:U103 L22:L55 Q107:U123 L129:L1048576 L57:L103 Q22:U55"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tabSelected="1" workbookViewId="0">
      <pane ySplit="1" topLeftCell="A2405" activePane="bottomLeft" state="frozen"/>
      <selection pane="bottomLeft" activeCell="A2426" sqref="A2426:XFD24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489</v>
      </c>
      <c r="B2426" s="1129" t="s">
        <v>131</v>
      </c>
      <c r="C2426" s="56">
        <v>46021</v>
      </c>
      <c r="F2426" s="1437" t="s">
        <v>2002</v>
      </c>
      <c r="G2426" t="s">
        <v>1890</v>
      </c>
    </row>
    <row r="2427" spans="1:7">
      <c r="C2427" s="56">
        <v>46022</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DB5943C-8335-4732-97E5-A4563C8D216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2025-12-31T13:00:59Z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