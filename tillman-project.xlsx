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27" documentId="8_{E14B221E-02E2-46A3-8CEC-C736815F2DD5}" xr6:coauthVersionLast="47" xr6:coauthVersionMax="47" xr10:uidLastSave="{BEFAD5FE-2A50-4A36-B69E-54501E3234E3}"/>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 name="_xlnm._FilterDatabase" localSheetId="10" hidden="1">'Project Summary '!$A$3:$Z$57</definedName>
  </definedNames>
  <calcPr calcId="191028"/>
  <pivotCaches>
    <pivotCache cacheId="4807" r:id="rId12"/>
    <pivotCache cacheId="4811" r:id="rId13"/>
    <pivotCache cacheId="4816" r:id="rId14"/>
    <pivotCache cacheId="4823" r:id="rId15"/>
    <pivotCache cacheId="4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<sst xmlns="http://schemas.openxmlformats.org/spreadsheetml/2006/main" count="14170" uniqueCount="1734">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</sst>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7" fillId="0" borderId="55"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31" activePane="topRight" state="frozen"/>
      <selection pane="topRight" activeCell="I41" sqref="I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Q1" activePane="topRight" state="frozen"/>
      <selection pane="topRight" activeCell="U24" sqref="U24:U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row>
    <row r="940" spans="1:7">
      <c r="A940" t="s">
        <v>189</v>
      </c>
    </row>
    <row r="941" spans="1:7">
      <c r="A941" t="s">
        <v>200</v>
      </c>
    </row>
    <row r="942" spans="1:7">
      <c r="A942" t="s">
        <v>235</v>
      </c>
    </row>
    <row r="943" spans="1:7">
      <c r="A943" t="s">
        <v>203</v>
      </c>
    </row>
    <row r="944" spans="1:7">
      <c r="A944" t="s">
        <v>313</v>
      </c>
    </row>
    <row r="945" spans="1:3">
      <c r="A945" t="s">
        <v>910</v>
      </c>
    </row>
    <row r="946" spans="1:3">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tabSelected="1" workbookViewId="0">
      <pane ySplit="1" topLeftCell="A1983" activePane="bottomLeft" state="frozen"/>
      <selection pane="bottomLeft" activeCell="C2003" sqref="C200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9">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G1991" t="s">
        <v>1576</v>
      </c>
    </row>
    <row r="1992" spans="1:7">
      <c r="A1992" s="319" t="s">
        <v>203</v>
      </c>
      <c r="B1992" s="319" t="s">
        <v>132</v>
      </c>
      <c r="C1992" s="56">
        <v>45971</v>
      </c>
      <c r="G1992" t="s">
        <v>1576</v>
      </c>
    </row>
    <row r="1993" spans="1:7">
      <c r="A1993" s="319" t="s">
        <v>145</v>
      </c>
      <c r="B1993" s="319" t="s">
        <v>132</v>
      </c>
      <c r="C1993" s="56">
        <v>45971</v>
      </c>
      <c r="D1993" s="43">
        <v>138</v>
      </c>
      <c r="F1993" s="43" t="s">
        <v>1598</v>
      </c>
      <c r="G1993" t="s">
        <v>1576</v>
      </c>
    </row>
    <row r="1994" spans="1:7">
      <c r="A1994" s="319" t="s">
        <v>189</v>
      </c>
      <c r="B1994" s="319" t="s">
        <v>132</v>
      </c>
      <c r="C1994" s="56">
        <v>45971</v>
      </c>
      <c r="G1994" t="s">
        <v>1576</v>
      </c>
    </row>
    <row r="1995" spans="1:7">
      <c r="A1995" s="319" t="s">
        <v>910</v>
      </c>
      <c r="B1995" s="319" t="s">
        <v>211</v>
      </c>
      <c r="C1995" s="56">
        <v>45971</v>
      </c>
      <c r="G1995" t="s">
        <v>1576</v>
      </c>
    </row>
    <row r="1996" spans="1:7">
      <c r="A1996" s="142" t="s">
        <v>232</v>
      </c>
      <c r="B1996" s="838" t="s">
        <v>233</v>
      </c>
      <c r="C1996" s="56">
        <v>45971</v>
      </c>
      <c r="G1996" t="s">
        <v>1576</v>
      </c>
    </row>
    <row r="1997" spans="1:7">
      <c r="A1997" s="308" t="s">
        <v>235</v>
      </c>
      <c r="B1997" s="360" t="s">
        <v>1575</v>
      </c>
      <c r="C1997" s="56">
        <v>45971</v>
      </c>
      <c r="G1997" t="s">
        <v>1576</v>
      </c>
    </row>
    <row r="1998" spans="1:7">
      <c r="A1998" s="1160"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1675</v>
      </c>
      <c r="C1" s="1152"/>
      <c r="D1" s="577"/>
      <c r="E1" s="1152" t="s">
        <v>1676</v>
      </c>
      <c r="F1" s="1152"/>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1702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D1D182-2428-4F0A-B8F3-1D655C1133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2025-11-10T17:57:19Z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