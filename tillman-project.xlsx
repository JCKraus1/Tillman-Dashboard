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91" documentId="8_{E14B221E-02E2-46A3-8CEC-C736815F2DD5}" xr6:coauthVersionLast="47" xr6:coauthVersionMax="47" xr10:uidLastSave="{FEEBE367-4A1F-40A1-BE9B-92F6F7A8E15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24" r:id="rId12"/>
    <pivotCache cacheId="725" r:id="rId13"/>
    <pivotCache cacheId="726" r:id="rId14"/>
    <pivotCache cacheId="727"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<sst xmlns="http://schemas.openxmlformats.org/spreadsheetml/2006/main" count="15518" uniqueCount="2004">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</sst>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2" borderId="21" xfId="0" applyFont="1" applyFill="1" applyBorder="1" applyAlignment="1">
      <alignment horizontal="left"/>
    </xf>
    <xf numFmtId="0" fontId="0" fillId="0" borderId="117" xfId="0" applyFont="1" applyBorder="1" applyAlignment="1">
      <alignment horizontal="center"/>
    </xf>
    <xf numFmtId="0" fontId="0" fillId="4" borderId="117" xfId="0" applyFont="1" applyFill="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14" fontId="0" fillId="4" borderId="100" xfId="0" applyNumberFormat="1" applyFont="1" applyFill="1" applyBorder="1" applyAlignment="1">
      <alignment horizontal="center"/>
    </xf>
    <xf numFmtId="3" fontId="0" fillId="4" borderId="100" xfId="0" applyNumberFormat="1" applyFont="1" applyFill="1" applyBorder="1" applyAlignment="1">
      <alignment horizontal="center"/>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14" fontId="0" fillId="0" borderId="9" xfId="0" applyNumberFormat="1" applyFont="1" applyBorder="1" applyAlignment="1">
      <alignment horizontal="center"/>
    </xf>
    <xf numFmtId="0" fontId="41" fillId="0" borderId="9" xfId="0" applyFont="1" applyBorder="1"/>
    <xf numFmtId="14" fontId="0" fillId="4" borderId="9" xfId="0" applyNumberFormat="1" applyFont="1" applyFill="1" applyBorder="1" applyAlignment="1">
      <alignment horizontal="center"/>
    </xf>
    <xf numFmtId="0" fontId="8" fillId="4" borderId="9" xfId="0" applyFont="1" applyFill="1" applyBorder="1"/>
    <xf numFmtId="0" fontId="0" fillId="0" borderId="9" xfId="0" applyFont="1" applyBorder="1" applyAlignment="1">
      <alignment horizontal="left"/>
    </xf>
    <xf numFmtId="3" fontId="0" fillId="4" borderId="9" xfId="0" applyNumberFormat="1" applyFont="1" applyFill="1" applyBorder="1" applyAlignment="1">
      <alignment horizontal="center"/>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0" fillId="4" borderId="94" xfId="0" applyFont="1" applyFill="1" applyBorder="1" applyAlignment="1">
      <alignment horizontal="center"/>
    </xf>
    <xf numFmtId="0" fontId="0" fillId="4" borderId="25" xfId="0" applyFont="1" applyFill="1" applyBorder="1" applyAlignment="1">
      <alignment horizontal="center"/>
    </xf>
    <xf numFmtId="164" fontId="0" fillId="0" borderId="25" xfId="0" applyNumberFormat="1" applyFont="1" applyBorder="1" applyAlignment="1">
      <alignment horizontal="center"/>
    </xf>
    <xf numFmtId="164" fontId="0" fillId="4" borderId="25" xfId="0" applyNumberFormat="1" applyFont="1" applyFill="1" applyBorder="1" applyAlignment="1">
      <alignment horizontal="center"/>
    </xf>
    <xf numFmtId="0" fontId="0" fillId="0" borderId="0" xfId="0" applyBorder="1"/>
    <xf numFmtId="0" fontId="7" fillId="0" borderId="0" xfId="0" applyFont="1" applyBorder="1"/>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3"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49">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07">
        <v>3159</v>
      </c>
      <c r="X19" s="485">
        <f>SUM(V19-W19)</f>
        <v>4836</v>
      </c>
      <c r="Y19" s="889">
        <f t="shared" si="2"/>
        <v>0.39512195121951221</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22"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48"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47"/>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47"/>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47"/>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47"/>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47"/>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47"/>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47"/>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47"/>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47"/>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47"/>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47"/>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47"/>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47"/>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47"/>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47"/>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47"/>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41">
        <v>0.99</v>
      </c>
      <c r="V83" s="168">
        <v>45722</v>
      </c>
      <c r="W83" s="145">
        <v>1</v>
      </c>
      <c r="X83" s="145">
        <v>1</v>
      </c>
      <c r="Y83" s="145">
        <v>1</v>
      </c>
      <c r="Z83" s="168">
        <v>45917</v>
      </c>
      <c r="AA83" s="149" t="s">
        <v>824</v>
      </c>
    </row>
    <row r="84" spans="1:27" ht="39.75" customHeight="1">
      <c r="A84" s="1229" t="s">
        <v>825</v>
      </c>
      <c r="B84" s="1045" t="s">
        <v>50</v>
      </c>
      <c r="C84" s="1037">
        <v>45772</v>
      </c>
      <c r="D84" s="946" t="s">
        <v>600</v>
      </c>
      <c r="E84" s="1037">
        <v>45743</v>
      </c>
      <c r="F84" s="946" t="s">
        <v>61</v>
      </c>
      <c r="G84" s="1046" t="s">
        <v>826</v>
      </c>
      <c r="H84" s="1223">
        <v>57</v>
      </c>
      <c r="I84" s="1025" t="s">
        <v>231</v>
      </c>
      <c r="J84" s="1224" t="s">
        <v>63</v>
      </c>
      <c r="K84" s="1037">
        <v>45741</v>
      </c>
      <c r="L84" s="1224" t="s">
        <v>57</v>
      </c>
      <c r="M84" s="1245">
        <v>49071</v>
      </c>
      <c r="N84" s="439">
        <v>51376.61</v>
      </c>
      <c r="O84" s="1244" t="s">
        <v>57</v>
      </c>
      <c r="P84" s="1243" t="s">
        <v>232</v>
      </c>
      <c r="Q84" s="1227">
        <v>45745</v>
      </c>
      <c r="R84" s="1228">
        <v>3967</v>
      </c>
      <c r="S84" s="1240">
        <v>3936</v>
      </c>
      <c r="T84" s="31">
        <v>0</v>
      </c>
      <c r="U84" s="1242">
        <v>0.99</v>
      </c>
      <c r="V84" s="1235">
        <v>45756</v>
      </c>
      <c r="W84" s="676">
        <v>1</v>
      </c>
      <c r="X84" s="676">
        <v>1</v>
      </c>
      <c r="Y84" s="22">
        <v>1</v>
      </c>
      <c r="Z84" s="54"/>
      <c r="AA84" s="1236" t="s">
        <v>827</v>
      </c>
    </row>
    <row r="85" spans="1:27" ht="39.75" customHeight="1">
      <c r="A85" s="1229" t="s">
        <v>828</v>
      </c>
      <c r="B85" s="1230" t="s">
        <v>50</v>
      </c>
      <c r="C85" s="943">
        <v>45688</v>
      </c>
      <c r="D85" s="943" t="s">
        <v>590</v>
      </c>
      <c r="E85" s="943">
        <v>45695</v>
      </c>
      <c r="F85" s="942" t="s">
        <v>61</v>
      </c>
      <c r="G85" s="1231" t="s">
        <v>829</v>
      </c>
      <c r="H85" s="1224">
        <v>88</v>
      </c>
      <c r="I85" s="945" t="s">
        <v>606</v>
      </c>
      <c r="J85" s="1224" t="s">
        <v>63</v>
      </c>
      <c r="K85" s="940" t="s">
        <v>232</v>
      </c>
      <c r="L85" s="945" t="s">
        <v>57</v>
      </c>
      <c r="M85" s="1246">
        <v>43130</v>
      </c>
      <c r="N85" s="439">
        <v>43560</v>
      </c>
      <c r="O85" s="686" t="s">
        <v>57</v>
      </c>
      <c r="P85" s="1243" t="s">
        <v>232</v>
      </c>
      <c r="Q85" s="1227">
        <v>45691</v>
      </c>
      <c r="R85" s="1228">
        <v>2931</v>
      </c>
      <c r="S85" s="1240">
        <v>3257</v>
      </c>
      <c r="T85" s="31">
        <v>0</v>
      </c>
      <c r="U85" s="1242">
        <v>1.1100000000000001</v>
      </c>
      <c r="V85" s="1237">
        <v>45750</v>
      </c>
      <c r="W85" s="71">
        <v>1</v>
      </c>
      <c r="X85" s="71">
        <v>1</v>
      </c>
      <c r="Y85" s="22">
        <v>1</v>
      </c>
      <c r="Z85" s="54"/>
      <c r="AA85" s="1238" t="s">
        <v>830</v>
      </c>
    </row>
    <row r="86" spans="1:27" ht="39.75" customHeight="1">
      <c r="A86" s="1229" t="s">
        <v>831</v>
      </c>
      <c r="B86" s="1045" t="s">
        <v>50</v>
      </c>
      <c r="C86" s="1232">
        <v>45688</v>
      </c>
      <c r="D86" s="1037" t="s">
        <v>71</v>
      </c>
      <c r="E86" s="1232">
        <v>45686</v>
      </c>
      <c r="F86" s="1232" t="s">
        <v>61</v>
      </c>
      <c r="G86" s="1233" t="s">
        <v>832</v>
      </c>
      <c r="H86" s="1223">
        <v>88</v>
      </c>
      <c r="I86" s="1025" t="s">
        <v>606</v>
      </c>
      <c r="J86" s="1223" t="s">
        <v>63</v>
      </c>
      <c r="K86" s="1234">
        <v>45706</v>
      </c>
      <c r="L86" s="1025" t="s">
        <v>57</v>
      </c>
      <c r="M86" s="1245">
        <v>69212.5</v>
      </c>
      <c r="N86" s="439">
        <v>70500</v>
      </c>
      <c r="O86" s="679" t="s">
        <v>57</v>
      </c>
      <c r="P86" s="1243" t="s">
        <v>232</v>
      </c>
      <c r="Q86" s="1225">
        <v>45679</v>
      </c>
      <c r="R86" s="1226">
        <v>5661</v>
      </c>
      <c r="S86" s="1240">
        <v>5752</v>
      </c>
      <c r="T86" s="31">
        <v>0</v>
      </c>
      <c r="U86" s="1242">
        <v>1.02</v>
      </c>
      <c r="V86" s="1235">
        <v>45681</v>
      </c>
      <c r="W86" s="676">
        <v>1</v>
      </c>
      <c r="X86" s="676">
        <v>1</v>
      </c>
      <c r="Y86" s="22">
        <v>1</v>
      </c>
      <c r="Z86" s="54"/>
      <c r="AA86" s="123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row>
    <row r="1050" spans="1:7">
      <c r="A1050" t="s">
        <v>1054</v>
      </c>
      <c r="B1050">
        <v>523</v>
      </c>
      <c r="G1050">
        <v>523</v>
      </c>
    </row>
    <row r="1051" spans="1:7">
      <c r="A1051" t="s">
        <v>570</v>
      </c>
      <c r="C1051">
        <v>175</v>
      </c>
      <c r="G1051">
        <v>175</v>
      </c>
    </row>
    <row r="1052" spans="1:7">
      <c r="A1052" t="s">
        <v>93</v>
      </c>
      <c r="B1052">
        <v>602</v>
      </c>
      <c r="C1052">
        <v>1069</v>
      </c>
      <c r="D1052">
        <v>1129</v>
      </c>
      <c r="E1052">
        <v>1041</v>
      </c>
      <c r="G1052">
        <v>3841</v>
      </c>
    </row>
    <row r="1053" spans="1:7">
      <c r="A1053" t="s">
        <v>343</v>
      </c>
      <c r="B1053">
        <v>1515</v>
      </c>
      <c r="G1053">
        <v>1515</v>
      </c>
    </row>
    <row r="1054" spans="1:7">
      <c r="A1054" t="s">
        <v>496</v>
      </c>
      <c r="E1054">
        <v>64</v>
      </c>
      <c r="G1054">
        <v>64</v>
      </c>
    </row>
    <row r="1055" spans="1:7">
      <c r="A1055" t="s">
        <v>438</v>
      </c>
      <c r="B1055">
        <v>1610</v>
      </c>
      <c r="G1055">
        <v>1610</v>
      </c>
    </row>
    <row r="1056" spans="1:7">
      <c r="A1056" t="s">
        <v>441</v>
      </c>
    </row>
    <row r="1057" spans="1:7">
      <c r="A1057" t="s">
        <v>501</v>
      </c>
      <c r="E1057">
        <v>52</v>
      </c>
      <c r="G1057">
        <v>52</v>
      </c>
    </row>
    <row r="1058" spans="1:7">
      <c r="A1058" t="s">
        <v>331</v>
      </c>
      <c r="E1058">
        <v>489</v>
      </c>
      <c r="G1058">
        <v>489</v>
      </c>
    </row>
    <row r="1059" spans="1:7">
      <c r="A1059" t="s">
        <v>420</v>
      </c>
      <c r="B1059">
        <v>2113</v>
      </c>
      <c r="D1059">
        <v>1677</v>
      </c>
      <c r="E1059">
        <v>1316</v>
      </c>
      <c r="G1059">
        <v>5106</v>
      </c>
    </row>
    <row r="1060" spans="1:7">
      <c r="A1060" t="s">
        <v>488</v>
      </c>
      <c r="B1060">
        <v>3084</v>
      </c>
      <c r="G1060">
        <v>3084</v>
      </c>
    </row>
    <row r="1061" spans="1:7">
      <c r="A1061" t="s">
        <v>444</v>
      </c>
      <c r="B1061">
        <v>1622</v>
      </c>
      <c r="C1061">
        <v>1131</v>
      </c>
      <c r="G1061">
        <v>2753</v>
      </c>
    </row>
    <row r="1062" spans="1:7">
      <c r="A1062" t="s">
        <v>1073</v>
      </c>
      <c r="B1062">
        <v>600</v>
      </c>
      <c r="C1062">
        <v>610</v>
      </c>
      <c r="D1062">
        <v>974</v>
      </c>
      <c r="G1062">
        <v>2184</v>
      </c>
    </row>
    <row r="1063" spans="1:7">
      <c r="A1063" t="s">
        <v>504</v>
      </c>
      <c r="B1063">
        <v>3376</v>
      </c>
      <c r="G1063">
        <v>3376</v>
      </c>
    </row>
    <row r="1064" spans="1:7">
      <c r="A1064" t="s">
        <v>1074</v>
      </c>
      <c r="B1064">
        <v>1765</v>
      </c>
      <c r="C1064">
        <v>1153</v>
      </c>
      <c r="D1064">
        <v>383</v>
      </c>
      <c r="E1064">
        <v>490</v>
      </c>
      <c r="G1064">
        <v>3791</v>
      </c>
    </row>
    <row r="1065" spans="1:7">
      <c r="A1065" t="s">
        <v>1076</v>
      </c>
      <c r="B1065">
        <v>545</v>
      </c>
      <c r="C1065">
        <v>1172</v>
      </c>
      <c r="D1065">
        <v>1256</v>
      </c>
      <c r="E1065">
        <v>272</v>
      </c>
      <c r="G1065">
        <v>3245</v>
      </c>
    </row>
    <row r="1066" spans="1:7">
      <c r="A1066" t="s">
        <v>379</v>
      </c>
      <c r="B1066">
        <v>1829</v>
      </c>
      <c r="C1066">
        <v>2302</v>
      </c>
      <c r="D1066">
        <v>694</v>
      </c>
      <c r="G1066">
        <v>4825</v>
      </c>
    </row>
    <row r="1067" spans="1:7">
      <c r="A1067" t="s">
        <v>491</v>
      </c>
      <c r="B1067">
        <v>1391</v>
      </c>
      <c r="C1067">
        <v>2916</v>
      </c>
      <c r="D1067">
        <v>2430</v>
      </c>
      <c r="G1067">
        <v>6737</v>
      </c>
    </row>
    <row r="1068" spans="1:7">
      <c r="A1068" t="s">
        <v>135</v>
      </c>
      <c r="D1068">
        <v>466</v>
      </c>
      <c r="E1068">
        <v>345</v>
      </c>
      <c r="G1068">
        <v>811</v>
      </c>
    </row>
    <row r="1069" spans="1:7">
      <c r="A1069" t="s">
        <v>160</v>
      </c>
      <c r="E1069">
        <v>1431</v>
      </c>
      <c r="G1069">
        <v>1431</v>
      </c>
    </row>
    <row r="1070" spans="1:7">
      <c r="A1070" t="s">
        <v>430</v>
      </c>
      <c r="D1070">
        <v>1379</v>
      </c>
      <c r="E1070">
        <v>1154</v>
      </c>
      <c r="G1070">
        <v>2533</v>
      </c>
    </row>
    <row r="1071" spans="1:7">
      <c r="A1071" t="s">
        <v>346</v>
      </c>
      <c r="D1071">
        <v>243</v>
      </c>
      <c r="G1071">
        <v>243</v>
      </c>
    </row>
    <row r="1072" spans="1:7">
      <c r="A1072" t="s">
        <v>1077</v>
      </c>
    </row>
    <row r="1073" spans="1:7">
      <c r="A1073" t="s">
        <v>1078</v>
      </c>
    </row>
    <row r="1074" spans="1:7">
      <c r="A1074" t="s">
        <v>1001</v>
      </c>
      <c r="B1074">
        <v>20575</v>
      </c>
      <c r="C1074">
        <v>10528</v>
      </c>
      <c r="D1074">
        <v>10631</v>
      </c>
      <c r="E1074">
        <v>6654</v>
      </c>
      <c r="G107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F2220"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G2223" t="s">
        <v>1828</v>
      </c>
    </row>
    <row r="2224" spans="1:7">
      <c r="A2224" s="987" t="s">
        <v>93</v>
      </c>
      <c r="B2224" s="987" t="s">
        <v>1695</v>
      </c>
      <c r="C2224" s="56">
        <v>45996</v>
      </c>
      <c r="G2224" t="s">
        <v>1828</v>
      </c>
    </row>
    <row r="2225" spans="1:7">
      <c r="A2225" s="987" t="s">
        <v>93</v>
      </c>
      <c r="B2225" s="987" t="s">
        <v>1534</v>
      </c>
      <c r="C2225" s="56">
        <v>45996</v>
      </c>
      <c r="G2225" t="s">
        <v>1828</v>
      </c>
    </row>
    <row r="2226" spans="1:7">
      <c r="A2226" s="779" t="s">
        <v>1045</v>
      </c>
      <c r="B2226" s="779" t="s">
        <v>1650</v>
      </c>
      <c r="C2226" s="56">
        <v>45996</v>
      </c>
      <c r="G2226" t="s">
        <v>1828</v>
      </c>
    </row>
    <row r="2227" spans="1:7">
      <c r="A2227" s="776" t="s">
        <v>1077</v>
      </c>
      <c r="B2227" s="1212" t="s">
        <v>225</v>
      </c>
      <c r="C2227" s="56">
        <v>45996</v>
      </c>
      <c r="G2227" t="s">
        <v>1828</v>
      </c>
    </row>
    <row r="2228" spans="1:7">
      <c r="A2228" s="663" t="s">
        <v>438</v>
      </c>
      <c r="B2228" s="1213" t="s">
        <v>1448</v>
      </c>
      <c r="C2228" s="56">
        <v>45996</v>
      </c>
      <c r="F2228" s="776" t="s">
        <v>1855</v>
      </c>
      <c r="G2228" t="s">
        <v>1828</v>
      </c>
    </row>
    <row r="2229" spans="1:7">
      <c r="A2229" s="663" t="s">
        <v>441</v>
      </c>
      <c r="B2229" s="1213" t="s">
        <v>1448</v>
      </c>
      <c r="C2229" s="56">
        <v>45996</v>
      </c>
      <c r="F2229" s="1199" t="s">
        <v>1855</v>
      </c>
      <c r="G2229" t="s">
        <v>1828</v>
      </c>
    </row>
    <row r="2230" spans="1:7">
      <c r="A2230" s="663" t="s">
        <v>444</v>
      </c>
      <c r="B2230" s="1213" t="s">
        <v>1448</v>
      </c>
      <c r="C2230" s="56">
        <v>45996</v>
      </c>
      <c r="F2230" s="1199" t="s">
        <v>1855</v>
      </c>
      <c r="G2230" t="s">
        <v>1828</v>
      </c>
    </row>
    <row r="2231" spans="1:7">
      <c r="A2231" s="1199" t="s">
        <v>1074</v>
      </c>
      <c r="B2231" s="1213" t="s">
        <v>229</v>
      </c>
      <c r="C2231" s="56">
        <v>45996</v>
      </c>
      <c r="F2231" s="1199" t="s">
        <v>1856</v>
      </c>
      <c r="G2231" t="s">
        <v>1828</v>
      </c>
    </row>
    <row r="2232" spans="1:7">
      <c r="A2232" s="1199" t="s">
        <v>1078</v>
      </c>
      <c r="B2232" s="1213" t="s">
        <v>1650</v>
      </c>
      <c r="C2232" s="56">
        <v>45996</v>
      </c>
      <c r="F2232" s="1199" t="s">
        <v>1857</v>
      </c>
      <c r="G2232" t="s">
        <v>1828</v>
      </c>
    </row>
    <row r="2233" spans="1:7">
      <c r="A2233" s="776" t="s">
        <v>331</v>
      </c>
      <c r="B2233" s="776" t="s">
        <v>1668</v>
      </c>
      <c r="C2233" s="56">
        <v>45996</v>
      </c>
      <c r="G2233" t="s">
        <v>1828</v>
      </c>
    </row>
    <row r="2234" spans="1:7">
      <c r="A2234" s="1200" t="s">
        <v>491</v>
      </c>
      <c r="B2234" s="1201" t="s">
        <v>161</v>
      </c>
      <c r="C2234" s="56">
        <v>45996</v>
      </c>
      <c r="F2234" s="987"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1946</v>
      </c>
      <c r="C1" s="1218"/>
      <c r="D1" s="574"/>
      <c r="E1" s="1218" t="s">
        <v>1947</v>
      </c>
      <c r="F1" s="1218"/>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144883</v>
      </c>
      <c r="E4" s="44" t="s">
        <v>1948</v>
      </c>
      <c r="F4" t="s">
        <v>1004</v>
      </c>
      <c r="W4" t="s">
        <v>1952</v>
      </c>
      <c r="X4">
        <v>22</v>
      </c>
    </row>
    <row r="5" spans="1:25">
      <c r="B5" t="s">
        <v>71</v>
      </c>
      <c r="C5">
        <v>32354</v>
      </c>
      <c r="E5" t="s">
        <v>1004</v>
      </c>
      <c r="F5">
        <v>207279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230598</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38262</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521573</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1973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E6C1EDF-7ED5-4B71-9BD9-D086CC2DCA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2025-12-05T23:10:51Z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