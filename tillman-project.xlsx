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68" documentId="8_{E14B221E-02E2-46A3-8CEC-C736815F2DD5}" xr6:coauthVersionLast="47" xr6:coauthVersionMax="47" xr10:uidLastSave="{BB72AA3A-99C0-401A-ACAA-D13AECCCEBD5}"/>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2674" r:id="rId12"/>
    <pivotCache cacheId="2675" r:id="rId13"/>
    <pivotCache cacheId="2676" r:id="rId14"/>
    <pivotCache cacheId="2677" r:id="rId15"/>
    <pivotCache cacheId="26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<sst xmlns="http://schemas.openxmlformats.org/spreadsheetml/2006/main" count="14496" uniqueCount="1786">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</sst>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8" zoomScale="80" zoomScaleNormal="80" workbookViewId="0">
      <pane xSplit="1" topLeftCell="B49"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161">
        <v>45975</v>
      </c>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334</v>
      </c>
      <c r="AE142" s="400"/>
    </row>
    <row r="143" spans="1:31" ht="24.75" customHeight="1">
      <c r="A143" s="1055" t="s">
        <v>335</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334</v>
      </c>
      <c r="AE143" s="400"/>
    </row>
    <row r="144" spans="1:31" ht="24.75" customHeight="1">
      <c r="A144" s="1055" t="s">
        <v>336</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334</v>
      </c>
      <c r="AE144" s="400"/>
    </row>
    <row r="145" spans="1:31" ht="24.75" customHeight="1">
      <c r="A145" s="1055" t="s">
        <v>337</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334</v>
      </c>
      <c r="AE145" s="400"/>
    </row>
    <row r="146" spans="1:31" ht="24.75" customHeight="1">
      <c r="A146" s="1055" t="s">
        <v>338</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334</v>
      </c>
      <c r="AE146" s="400"/>
    </row>
    <row r="147" spans="1:31" ht="24.75" customHeight="1">
      <c r="A147" s="1055" t="s">
        <v>339</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340</v>
      </c>
      <c r="AE147" s="400"/>
    </row>
    <row r="148" spans="1:31" ht="24.75" customHeight="1">
      <c r="A148" s="1055" t="s">
        <v>341</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334</v>
      </c>
      <c r="AE148" s="400"/>
    </row>
    <row r="149" spans="1:31" ht="24.75" customHeight="1">
      <c r="A149" s="1055" t="s">
        <v>342</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343</v>
      </c>
      <c r="AE149" s="400"/>
    </row>
    <row r="150" spans="1:31" ht="24.75" customHeight="1">
      <c r="A150" s="1056" t="s">
        <v>344</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345</v>
      </c>
      <c r="AE150" s="400"/>
    </row>
    <row r="151" spans="1:31" ht="24.75" customHeight="1">
      <c r="A151" s="1056" t="s">
        <v>346</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abSelected="1" zoomScale="50" zoomScaleNormal="50" workbookViewId="0">
      <pane xSplit="1" topLeftCell="AC4" activePane="topRight" state="frozen"/>
      <selection pane="topRight" activeCell="AD23" sqref="A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219</v>
      </c>
      <c r="C2" s="481">
        <v>45960</v>
      </c>
      <c r="D2" s="481" t="s">
        <v>349</v>
      </c>
      <c r="E2" s="481">
        <v>45909</v>
      </c>
      <c r="F2" s="481" t="s">
        <v>220</v>
      </c>
      <c r="G2" s="704"/>
      <c r="H2" s="483">
        <v>0</v>
      </c>
      <c r="I2" s="483" t="s">
        <v>350</v>
      </c>
      <c r="J2" s="483" t="s">
        <v>63</v>
      </c>
      <c r="K2" s="483"/>
      <c r="L2" s="481">
        <v>45905</v>
      </c>
      <c r="M2" s="483" t="s">
        <v>57</v>
      </c>
      <c r="N2" s="560">
        <v>98170.1</v>
      </c>
      <c r="O2" s="483" t="s">
        <v>57</v>
      </c>
      <c r="P2" s="644" t="s">
        <v>351</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219</v>
      </c>
      <c r="C3" s="481">
        <v>45960</v>
      </c>
      <c r="D3" s="481" t="s">
        <v>354</v>
      </c>
      <c r="E3" s="481">
        <v>45897</v>
      </c>
      <c r="F3" s="479" t="s">
        <v>246</v>
      </c>
      <c r="G3" s="704"/>
      <c r="H3" s="483">
        <v>0</v>
      </c>
      <c r="I3" s="683" t="s">
        <v>350</v>
      </c>
      <c r="J3" s="483" t="s">
        <v>63</v>
      </c>
      <c r="K3" s="483"/>
      <c r="L3" s="481">
        <v>45891</v>
      </c>
      <c r="M3" s="483" t="s">
        <v>57</v>
      </c>
      <c r="N3" s="560">
        <v>184994.5</v>
      </c>
      <c r="O3" s="483" t="s">
        <v>57</v>
      </c>
      <c r="P3" s="644" t="s">
        <v>351</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219</v>
      </c>
      <c r="C4" s="481">
        <v>45960</v>
      </c>
      <c r="D4" s="481" t="s">
        <v>243</v>
      </c>
      <c r="E4" s="481">
        <v>45852</v>
      </c>
      <c r="F4" s="661" t="s">
        <v>226</v>
      </c>
      <c r="G4" s="704" t="s">
        <v>357</v>
      </c>
      <c r="H4" s="483">
        <v>0</v>
      </c>
      <c r="I4" s="483" t="s">
        <v>350</v>
      </c>
      <c r="J4" s="483" t="s">
        <v>63</v>
      </c>
      <c r="K4" s="483"/>
      <c r="L4" s="481">
        <v>45852</v>
      </c>
      <c r="M4" s="483" t="s">
        <v>57</v>
      </c>
      <c r="N4" s="560">
        <v>42837.2</v>
      </c>
      <c r="O4" s="483" t="s">
        <v>57</v>
      </c>
      <c r="P4" s="644" t="s">
        <v>351</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219</v>
      </c>
      <c r="C5" s="481">
        <v>45960</v>
      </c>
      <c r="D5" s="481" t="s">
        <v>60</v>
      </c>
      <c r="E5" s="481">
        <v>45905</v>
      </c>
      <c r="F5" s="481" t="s">
        <v>220</v>
      </c>
      <c r="G5" s="704"/>
      <c r="H5" s="483">
        <v>0</v>
      </c>
      <c r="I5" s="683" t="s">
        <v>350</v>
      </c>
      <c r="J5" s="483" t="s">
        <v>63</v>
      </c>
      <c r="K5" s="492"/>
      <c r="L5" s="481">
        <v>45943</v>
      </c>
      <c r="M5" s="483" t="s">
        <v>57</v>
      </c>
      <c r="N5" s="560">
        <v>2167.3000000000002</v>
      </c>
      <c r="O5" s="483" t="s">
        <v>57</v>
      </c>
      <c r="P5" s="644" t="s">
        <v>351</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219</v>
      </c>
      <c r="C6" s="481">
        <v>45991</v>
      </c>
      <c r="D6" s="489" t="s">
        <v>362</v>
      </c>
      <c r="E6" s="490">
        <v>45716</v>
      </c>
      <c r="F6" s="489" t="s">
        <v>220</v>
      </c>
      <c r="G6" s="491" t="s">
        <v>363</v>
      </c>
      <c r="H6" s="492">
        <v>31</v>
      </c>
      <c r="I6" s="498" t="s">
        <v>350</v>
      </c>
      <c r="J6" s="492" t="s">
        <v>63</v>
      </c>
      <c r="K6" s="504"/>
      <c r="L6" s="481">
        <v>45716</v>
      </c>
      <c r="M6" s="492" t="s">
        <v>57</v>
      </c>
      <c r="N6" s="561">
        <v>28777</v>
      </c>
      <c r="O6" s="492" t="s">
        <v>57</v>
      </c>
      <c r="P6" s="644" t="s">
        <v>351</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219</v>
      </c>
      <c r="C7" s="481">
        <v>45991</v>
      </c>
      <c r="D7" s="489" t="s">
        <v>365</v>
      </c>
      <c r="E7" s="490">
        <v>45716</v>
      </c>
      <c r="F7" s="489" t="s">
        <v>226</v>
      </c>
      <c r="G7" s="491" t="s">
        <v>366</v>
      </c>
      <c r="H7" s="492">
        <v>44</v>
      </c>
      <c r="I7" s="498" t="s">
        <v>350</v>
      </c>
      <c r="J7" s="492" t="s">
        <v>63</v>
      </c>
      <c r="K7" s="492"/>
      <c r="L7" s="490">
        <v>45716</v>
      </c>
      <c r="M7" s="492" t="s">
        <v>57</v>
      </c>
      <c r="N7" s="561">
        <v>57973.5</v>
      </c>
      <c r="O7" s="492" t="s">
        <v>57</v>
      </c>
      <c r="P7" s="644" t="s">
        <v>351</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219</v>
      </c>
      <c r="C8" s="481">
        <v>45991</v>
      </c>
      <c r="D8" s="489" t="s">
        <v>243</v>
      </c>
      <c r="E8" s="490">
        <v>45880</v>
      </c>
      <c r="F8" s="489" t="s">
        <v>226</v>
      </c>
      <c r="G8" s="852" t="s">
        <v>368</v>
      </c>
      <c r="H8" s="492">
        <v>57</v>
      </c>
      <c r="I8" s="857" t="s">
        <v>350</v>
      </c>
      <c r="J8" s="492" t="s">
        <v>63</v>
      </c>
      <c r="K8" s="504"/>
      <c r="L8" s="490">
        <v>45863</v>
      </c>
      <c r="M8" s="492" t="s">
        <v>57</v>
      </c>
      <c r="N8" s="561">
        <v>49223.7</v>
      </c>
      <c r="O8" s="492" t="s">
        <v>57</v>
      </c>
      <c r="P8" s="644" t="s">
        <v>351</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219</v>
      </c>
      <c r="C9" s="481">
        <v>45991</v>
      </c>
      <c r="D9" s="489" t="s">
        <v>243</v>
      </c>
      <c r="E9" s="490">
        <v>45880</v>
      </c>
      <c r="F9" s="489" t="s">
        <v>226</v>
      </c>
      <c r="G9" s="852" t="s">
        <v>371</v>
      </c>
      <c r="H9" s="492">
        <v>75</v>
      </c>
      <c r="I9" s="857" t="s">
        <v>350</v>
      </c>
      <c r="J9" s="492" t="s">
        <v>63</v>
      </c>
      <c r="K9" s="504"/>
      <c r="L9" s="490">
        <v>45879</v>
      </c>
      <c r="M9" s="492" t="s">
        <v>57</v>
      </c>
      <c r="N9" s="561">
        <v>68151.75</v>
      </c>
      <c r="O9" s="492" t="s">
        <v>57</v>
      </c>
      <c r="P9" s="644" t="s">
        <v>351</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219</v>
      </c>
      <c r="C10" s="481">
        <v>45991</v>
      </c>
      <c r="D10" s="490" t="s">
        <v>243</v>
      </c>
      <c r="E10" s="490">
        <v>45950</v>
      </c>
      <c r="F10" s="489" t="s">
        <v>226</v>
      </c>
      <c r="G10" s="856"/>
      <c r="H10" s="861">
        <v>82</v>
      </c>
      <c r="I10" s="857" t="s">
        <v>350</v>
      </c>
      <c r="J10" s="861" t="s">
        <v>63</v>
      </c>
      <c r="K10" s="504"/>
      <c r="L10" s="490">
        <v>45902</v>
      </c>
      <c r="M10" s="857" t="s">
        <v>57</v>
      </c>
      <c r="N10" s="862">
        <v>87830</v>
      </c>
      <c r="O10" s="857" t="s">
        <v>57</v>
      </c>
      <c r="P10" s="644" t="s">
        <v>351</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219</v>
      </c>
      <c r="C11" s="481">
        <v>45960</v>
      </c>
      <c r="D11" s="490" t="s">
        <v>243</v>
      </c>
      <c r="E11" s="490">
        <v>45930</v>
      </c>
      <c r="F11" s="489" t="s">
        <v>226</v>
      </c>
      <c r="G11" s="856"/>
      <c r="H11" s="861">
        <v>80</v>
      </c>
      <c r="I11" s="857" t="s">
        <v>350</v>
      </c>
      <c r="J11" s="861" t="s">
        <v>63</v>
      </c>
      <c r="K11" s="857"/>
      <c r="L11" s="490">
        <v>45902</v>
      </c>
      <c r="M11" s="857" t="s">
        <v>57</v>
      </c>
      <c r="N11" s="862">
        <v>90173</v>
      </c>
      <c r="O11" s="857" t="s">
        <v>57</v>
      </c>
      <c r="P11" s="644" t="s">
        <v>351</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219</v>
      </c>
      <c r="C12" s="481">
        <v>45960</v>
      </c>
      <c r="D12" s="490" t="s">
        <v>245</v>
      </c>
      <c r="E12" s="490">
        <v>45950</v>
      </c>
      <c r="F12" s="489" t="s">
        <v>246</v>
      </c>
      <c r="G12" s="856"/>
      <c r="H12" s="861">
        <v>80</v>
      </c>
      <c r="I12" s="857" t="s">
        <v>350</v>
      </c>
      <c r="J12" s="861" t="s">
        <v>63</v>
      </c>
      <c r="K12" s="857"/>
      <c r="L12" s="490">
        <v>45905</v>
      </c>
      <c r="M12" s="857" t="s">
        <v>57</v>
      </c>
      <c r="N12" s="862">
        <v>66674.3</v>
      </c>
      <c r="O12" s="857" t="s">
        <v>57</v>
      </c>
      <c r="P12" s="644" t="s">
        <v>351</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219</v>
      </c>
      <c r="C13" s="481">
        <v>45960</v>
      </c>
      <c r="D13" s="490" t="s">
        <v>245</v>
      </c>
      <c r="E13" s="490">
        <v>45937</v>
      </c>
      <c r="F13" s="489" t="s">
        <v>246</v>
      </c>
      <c r="G13" s="856"/>
      <c r="H13" s="861">
        <v>82</v>
      </c>
      <c r="I13" s="857" t="s">
        <v>350</v>
      </c>
      <c r="J13" s="861" t="s">
        <v>63</v>
      </c>
      <c r="K13" s="483"/>
      <c r="L13" s="490">
        <v>45903</v>
      </c>
      <c r="M13" s="857" t="s">
        <v>57</v>
      </c>
      <c r="N13" s="862">
        <v>93666.75</v>
      </c>
      <c r="O13" s="857" t="s">
        <v>57</v>
      </c>
      <c r="P13" s="644" t="s">
        <v>351</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219</v>
      </c>
      <c r="C14" s="481">
        <v>45960</v>
      </c>
      <c r="D14" s="489" t="s">
        <v>245</v>
      </c>
      <c r="E14" s="490">
        <v>45966</v>
      </c>
      <c r="F14" s="489" t="s">
        <v>246</v>
      </c>
      <c r="G14" s="852"/>
      <c r="H14" s="492">
        <v>0</v>
      </c>
      <c r="I14" s="857" t="s">
        <v>350</v>
      </c>
      <c r="J14" s="492" t="s">
        <v>63</v>
      </c>
      <c r="K14" s="504"/>
      <c r="L14" s="490" t="s">
        <v>52</v>
      </c>
      <c r="M14" s="492" t="s">
        <v>57</v>
      </c>
      <c r="N14" s="561">
        <v>29960</v>
      </c>
      <c r="O14" s="492" t="s">
        <v>57</v>
      </c>
      <c r="P14" s="644" t="s">
        <v>351</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379</v>
      </c>
      <c r="B15" s="860" t="s">
        <v>219</v>
      </c>
      <c r="C15" s="481">
        <v>45960</v>
      </c>
      <c r="D15" s="489" t="s">
        <v>245</v>
      </c>
      <c r="E15" s="490">
        <v>45944</v>
      </c>
      <c r="F15" s="489" t="s">
        <v>246</v>
      </c>
      <c r="G15" s="852"/>
      <c r="H15" s="492">
        <v>0</v>
      </c>
      <c r="I15" s="857" t="s">
        <v>350</v>
      </c>
      <c r="J15" s="492" t="s">
        <v>63</v>
      </c>
      <c r="K15" s="504"/>
      <c r="L15" s="490" t="s">
        <v>52</v>
      </c>
      <c r="M15" s="492" t="s">
        <v>57</v>
      </c>
      <c r="N15" s="561">
        <v>50539.6</v>
      </c>
      <c r="O15" s="492" t="s">
        <v>57</v>
      </c>
      <c r="P15" s="644" t="s">
        <v>351</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219</v>
      </c>
      <c r="C16" s="481" t="s">
        <v>382</v>
      </c>
      <c r="D16" s="489" t="s">
        <v>60</v>
      </c>
      <c r="E16" s="490">
        <v>45964</v>
      </c>
      <c r="F16" s="489" t="s">
        <v>226</v>
      </c>
      <c r="G16" s="852"/>
      <c r="H16" s="492">
        <v>0</v>
      </c>
      <c r="I16" s="483" t="s">
        <v>350</v>
      </c>
      <c r="J16" s="492" t="s">
        <v>63</v>
      </c>
      <c r="K16" s="483"/>
      <c r="L16" s="490" t="s">
        <v>52</v>
      </c>
      <c r="M16" s="492" t="s">
        <v>57</v>
      </c>
      <c r="N16" s="561">
        <v>2670.65</v>
      </c>
      <c r="O16" s="492" t="s">
        <v>57</v>
      </c>
      <c r="P16" s="644" t="s">
        <v>351</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350</v>
      </c>
      <c r="J17" s="483" t="s">
        <v>63</v>
      </c>
      <c r="K17" s="983"/>
      <c r="L17" s="481">
        <v>45793</v>
      </c>
      <c r="M17" s="483" t="s">
        <v>57</v>
      </c>
      <c r="N17" s="560">
        <v>53589.8</v>
      </c>
      <c r="O17" s="483" t="s">
        <v>57</v>
      </c>
      <c r="P17" s="644" t="s">
        <v>351</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350</v>
      </c>
      <c r="J18" s="483" t="s">
        <v>63</v>
      </c>
      <c r="K18" s="483"/>
      <c r="L18" s="481">
        <v>45954</v>
      </c>
      <c r="M18" s="483" t="s">
        <v>57</v>
      </c>
      <c r="N18" s="560">
        <v>54228.7</v>
      </c>
      <c r="O18" s="483" t="s">
        <v>57</v>
      </c>
      <c r="P18" s="644" t="s">
        <v>351</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350</v>
      </c>
      <c r="J19" s="483" t="s">
        <v>63</v>
      </c>
      <c r="K19" s="483"/>
      <c r="L19" s="481">
        <v>45936</v>
      </c>
      <c r="M19" s="483" t="s">
        <v>57</v>
      </c>
      <c r="N19" s="560">
        <v>96748</v>
      </c>
      <c r="O19" s="483" t="s">
        <v>57</v>
      </c>
      <c r="P19" s="644" t="s">
        <v>351</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350</v>
      </c>
      <c r="J20" s="483" t="s">
        <v>63</v>
      </c>
      <c r="K20" s="483"/>
      <c r="L20" s="481" t="s">
        <v>171</v>
      </c>
      <c r="M20" s="483" t="s">
        <v>57</v>
      </c>
      <c r="N20" s="560">
        <v>51970</v>
      </c>
      <c r="O20" s="483" t="s">
        <v>57</v>
      </c>
      <c r="P20" s="644" t="s">
        <v>351</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350</v>
      </c>
      <c r="J21" s="483" t="s">
        <v>63</v>
      </c>
      <c r="K21" s="483"/>
      <c r="L21" s="481">
        <v>45790</v>
      </c>
      <c r="M21" s="483" t="s">
        <v>57</v>
      </c>
      <c r="N21" s="560">
        <v>63283</v>
      </c>
      <c r="O21" s="483" t="s">
        <v>57</v>
      </c>
      <c r="P21" s="644" t="s">
        <v>351</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350</v>
      </c>
      <c r="J22" s="483" t="s">
        <v>63</v>
      </c>
      <c r="K22" s="483"/>
      <c r="L22" s="481" t="s">
        <v>171</v>
      </c>
      <c r="M22" s="483" t="s">
        <v>57</v>
      </c>
      <c r="N22" s="560">
        <v>74164.05</v>
      </c>
      <c r="O22" s="483" t="s">
        <v>57</v>
      </c>
      <c r="P22" s="1146" t="s">
        <v>351</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350</v>
      </c>
      <c r="J23" s="483" t="s">
        <v>63</v>
      </c>
      <c r="K23" s="483"/>
      <c r="L23" s="481" t="s">
        <v>171</v>
      </c>
      <c r="M23" s="483" t="s">
        <v>57</v>
      </c>
      <c r="N23" s="560">
        <v>39221.800000000003</v>
      </c>
      <c r="O23" s="483" t="s">
        <v>57</v>
      </c>
      <c r="P23" s="1145" t="s">
        <v>351</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350</v>
      </c>
      <c r="J24" s="483" t="s">
        <v>56</v>
      </c>
      <c r="K24" s="483"/>
      <c r="L24" s="481">
        <v>45937</v>
      </c>
      <c r="M24" s="483" t="s">
        <v>57</v>
      </c>
      <c r="N24" s="560">
        <v>210533.1</v>
      </c>
      <c r="O24" s="483" t="s">
        <v>57</v>
      </c>
      <c r="P24" s="644" t="s">
        <v>351</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351</v>
      </c>
      <c r="M25" s="498" t="s">
        <v>57</v>
      </c>
      <c r="N25" s="561">
        <v>64790.5</v>
      </c>
      <c r="O25" s="498" t="s">
        <v>57</v>
      </c>
      <c r="P25" s="644" t="s">
        <v>351</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350</v>
      </c>
      <c r="J26" s="483" t="s">
        <v>63</v>
      </c>
      <c r="K26" s="853"/>
      <c r="L26" s="490">
        <v>45741</v>
      </c>
      <c r="M26" s="483" t="s">
        <v>57</v>
      </c>
      <c r="N26" s="560">
        <v>67734.5</v>
      </c>
      <c r="O26" s="483" t="s">
        <v>57</v>
      </c>
      <c r="P26" s="644" t="s">
        <v>351</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350</v>
      </c>
      <c r="J27" s="492" t="s">
        <v>63</v>
      </c>
      <c r="K27" s="492"/>
      <c r="L27" s="481">
        <v>45716</v>
      </c>
      <c r="M27" s="492" t="s">
        <v>57</v>
      </c>
      <c r="N27" s="561">
        <v>56262.5</v>
      </c>
      <c r="O27" s="492" t="s">
        <v>57</v>
      </c>
      <c r="P27" s="734" t="s">
        <v>351</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350</v>
      </c>
      <c r="J28" s="483" t="s">
        <v>63</v>
      </c>
      <c r="K28" s="853"/>
      <c r="L28" s="490">
        <v>45742</v>
      </c>
      <c r="M28" s="483" t="s">
        <v>57</v>
      </c>
      <c r="N28" s="561">
        <v>23800.25</v>
      </c>
      <c r="O28" s="483" t="s">
        <v>57</v>
      </c>
      <c r="P28" s="1023" t="s">
        <v>351</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350</v>
      </c>
      <c r="J29" s="483" t="s">
        <v>56</v>
      </c>
      <c r="K29" s="492"/>
      <c r="L29" s="490" t="s">
        <v>52</v>
      </c>
      <c r="M29" s="492" t="s">
        <v>57</v>
      </c>
      <c r="N29" s="561">
        <v>42766.5</v>
      </c>
      <c r="O29" s="492" t="s">
        <v>57</v>
      </c>
      <c r="P29" s="644" t="s">
        <v>351</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350</v>
      </c>
      <c r="J30" s="483" t="s">
        <v>56</v>
      </c>
      <c r="K30" s="504"/>
      <c r="L30" s="490" t="s">
        <v>52</v>
      </c>
      <c r="M30" s="492" t="s">
        <v>57</v>
      </c>
      <c r="N30" s="561">
        <v>86136</v>
      </c>
      <c r="O30" s="492" t="s">
        <v>57</v>
      </c>
      <c r="P30" s="644" t="s">
        <v>351</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350</v>
      </c>
      <c r="J2" s="492" t="s">
        <v>63</v>
      </c>
      <c r="K2" s="504"/>
      <c r="L2" s="481">
        <v>45716</v>
      </c>
      <c r="M2" s="492" t="s">
        <v>57</v>
      </c>
      <c r="N2" s="561">
        <v>64932.55</v>
      </c>
      <c r="O2" s="492" t="s">
        <v>57</v>
      </c>
      <c r="P2" s="830" t="s">
        <v>351</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365</v>
      </c>
      <c r="E3" s="442">
        <v>45707</v>
      </c>
      <c r="F3" s="489" t="s">
        <v>226</v>
      </c>
      <c r="G3" s="509" t="s">
        <v>427</v>
      </c>
      <c r="H3" s="498">
        <v>0</v>
      </c>
      <c r="I3" s="498" t="s">
        <v>350</v>
      </c>
      <c r="J3" s="498" t="s">
        <v>63</v>
      </c>
      <c r="K3" s="498"/>
      <c r="L3" s="490">
        <v>45708</v>
      </c>
      <c r="M3" s="498" t="s">
        <v>57</v>
      </c>
      <c r="N3" s="562">
        <v>87944.4</v>
      </c>
      <c r="O3" s="498" t="s">
        <v>57</v>
      </c>
      <c r="P3" s="830" t="s">
        <v>351</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350</v>
      </c>
      <c r="J4" s="492" t="s">
        <v>63</v>
      </c>
      <c r="K4" s="873"/>
      <c r="L4" s="481">
        <v>45716</v>
      </c>
      <c r="M4" s="492" t="s">
        <v>57</v>
      </c>
      <c r="N4" s="560">
        <v>2812.95</v>
      </c>
      <c r="O4" s="492" t="s">
        <v>57</v>
      </c>
      <c r="P4" s="830" t="s">
        <v>351</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365</v>
      </c>
      <c r="E5" s="490">
        <v>45866</v>
      </c>
      <c r="F5" s="489" t="s">
        <v>226</v>
      </c>
      <c r="G5" s="491" t="s">
        <v>432</v>
      </c>
      <c r="H5" s="492">
        <v>0</v>
      </c>
      <c r="I5" s="498" t="s">
        <v>350</v>
      </c>
      <c r="J5" s="492" t="s">
        <v>63</v>
      </c>
      <c r="K5" s="504"/>
      <c r="L5" s="490">
        <v>45863</v>
      </c>
      <c r="M5" s="492" t="s">
        <v>57</v>
      </c>
      <c r="N5" s="561">
        <v>143407.25</v>
      </c>
      <c r="O5" s="492" t="s">
        <v>57</v>
      </c>
      <c r="P5" s="830" t="s">
        <v>351</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350</v>
      </c>
      <c r="J6" s="492" t="s">
        <v>63</v>
      </c>
      <c r="K6" s="504"/>
      <c r="L6" s="490">
        <v>45881</v>
      </c>
      <c r="M6" s="492" t="s">
        <v>57</v>
      </c>
      <c r="N6" s="561">
        <v>4815.6499999999996</v>
      </c>
      <c r="O6" s="492" t="s">
        <v>57</v>
      </c>
      <c r="P6" s="830" t="s">
        <v>351</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246</v>
      </c>
      <c r="G7" s="866" t="s">
        <v>436</v>
      </c>
      <c r="H7" s="405">
        <v>0</v>
      </c>
      <c r="I7" s="867" t="s">
        <v>350</v>
      </c>
      <c r="J7" s="405" t="s">
        <v>63</v>
      </c>
      <c r="K7" s="405"/>
      <c r="L7" s="865" t="s">
        <v>52</v>
      </c>
      <c r="M7" s="405" t="s">
        <v>57</v>
      </c>
      <c r="N7" s="868">
        <v>4646.75</v>
      </c>
      <c r="O7" s="405" t="s">
        <v>95</v>
      </c>
      <c r="P7" s="956" t="s">
        <v>351</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350</v>
      </c>
      <c r="J8" s="483" t="s">
        <v>63</v>
      </c>
      <c r="K8" s="483"/>
      <c r="L8" s="490">
        <v>45918</v>
      </c>
      <c r="M8" s="492" t="s">
        <v>57</v>
      </c>
      <c r="N8" s="561">
        <v>9611.9500000000007</v>
      </c>
      <c r="O8" s="492" t="s">
        <v>57</v>
      </c>
      <c r="P8" s="830" t="s">
        <v>351</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350</v>
      </c>
      <c r="J9" s="492" t="s">
        <v>63</v>
      </c>
      <c r="K9" s="504"/>
      <c r="L9" s="490">
        <v>45888</v>
      </c>
      <c r="M9" s="492" t="s">
        <v>57</v>
      </c>
      <c r="N9" s="561">
        <v>53902</v>
      </c>
      <c r="O9" s="492" t="s">
        <v>57</v>
      </c>
      <c r="P9" s="830" t="s">
        <v>351</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350</v>
      </c>
      <c r="J10" s="483" t="s">
        <v>63</v>
      </c>
      <c r="K10" s="483"/>
      <c r="L10" s="481">
        <v>45897</v>
      </c>
      <c r="M10" s="483" t="s">
        <v>57</v>
      </c>
      <c r="N10" s="560">
        <v>44896.1</v>
      </c>
      <c r="O10" s="483" t="s">
        <v>57</v>
      </c>
      <c r="P10" s="830" t="s">
        <v>351</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350</v>
      </c>
      <c r="J11" s="483" t="s">
        <v>63</v>
      </c>
      <c r="K11" s="483"/>
      <c r="L11" s="481">
        <v>45903</v>
      </c>
      <c r="M11" s="483" t="s">
        <v>57</v>
      </c>
      <c r="N11" s="560">
        <v>59116.7</v>
      </c>
      <c r="O11" s="483" t="s">
        <v>57</v>
      </c>
      <c r="P11" s="830" t="s">
        <v>351</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350</v>
      </c>
      <c r="J12" s="483" t="s">
        <v>63</v>
      </c>
      <c r="K12" s="483"/>
      <c r="L12" s="481">
        <v>45903</v>
      </c>
      <c r="M12" s="483" t="s">
        <v>57</v>
      </c>
      <c r="N12" s="560">
        <v>40406</v>
      </c>
      <c r="O12" s="483" t="s">
        <v>57</v>
      </c>
      <c r="P12" s="830" t="s">
        <v>351</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350</v>
      </c>
      <c r="J13" s="483" t="s">
        <v>63</v>
      </c>
      <c r="K13" s="483"/>
      <c r="L13" s="481">
        <v>45933</v>
      </c>
      <c r="M13" s="483" t="s">
        <v>57</v>
      </c>
      <c r="N13" s="560">
        <v>26026</v>
      </c>
      <c r="O13" s="483" t="s">
        <v>57</v>
      </c>
      <c r="P13" s="830" t="s">
        <v>351</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350</v>
      </c>
      <c r="J14" s="483" t="s">
        <v>63</v>
      </c>
      <c r="K14" s="483"/>
      <c r="L14" s="481">
        <v>45912</v>
      </c>
      <c r="M14" s="483" t="s">
        <v>57</v>
      </c>
      <c r="N14" s="560">
        <v>82621.149999999994</v>
      </c>
      <c r="O14" s="483" t="s">
        <v>57</v>
      </c>
      <c r="P14" s="830" t="s">
        <v>351</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350</v>
      </c>
      <c r="J15" s="483" t="s">
        <v>63</v>
      </c>
      <c r="K15" s="483"/>
      <c r="L15" s="481">
        <v>45933</v>
      </c>
      <c r="M15" s="483" t="s">
        <v>57</v>
      </c>
      <c r="N15" s="560">
        <v>29646</v>
      </c>
      <c r="O15" s="483" t="s">
        <v>57</v>
      </c>
      <c r="P15" s="830" t="s">
        <v>351</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350</v>
      </c>
      <c r="J16" s="483" t="s">
        <v>63</v>
      </c>
      <c r="K16" s="483"/>
      <c r="L16" s="481">
        <v>45933</v>
      </c>
      <c r="M16" s="483" t="s">
        <v>57</v>
      </c>
      <c r="N16" s="560">
        <v>45014</v>
      </c>
      <c r="O16" s="483" t="s">
        <v>57</v>
      </c>
      <c r="P16" s="830" t="s">
        <v>351</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350</v>
      </c>
      <c r="J17" s="483" t="s">
        <v>63</v>
      </c>
      <c r="K17" s="483"/>
      <c r="L17" s="481">
        <v>45936</v>
      </c>
      <c r="M17" s="483" t="s">
        <v>57</v>
      </c>
      <c r="N17" s="560">
        <v>38796</v>
      </c>
      <c r="O17" s="483" t="s">
        <v>57</v>
      </c>
      <c r="P17" s="830" t="s">
        <v>351</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350</v>
      </c>
      <c r="J18" s="483" t="s">
        <v>63</v>
      </c>
      <c r="K18" s="483"/>
      <c r="L18" s="490">
        <v>45902</v>
      </c>
      <c r="M18" s="483" t="s">
        <v>57</v>
      </c>
      <c r="N18" s="560">
        <v>5604.6</v>
      </c>
      <c r="O18" s="483" t="s">
        <v>57</v>
      </c>
      <c r="P18" s="830" t="s">
        <v>351</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350</v>
      </c>
      <c r="J19" s="483" t="s">
        <v>56</v>
      </c>
      <c r="K19" s="483"/>
      <c r="L19" s="481">
        <v>45905</v>
      </c>
      <c r="M19" s="483" t="s">
        <v>57</v>
      </c>
      <c r="N19" s="560">
        <v>145985.5</v>
      </c>
      <c r="O19" s="483" t="s">
        <v>57</v>
      </c>
      <c r="P19" s="830" t="s">
        <v>351</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350</v>
      </c>
      <c r="J20" s="483" t="s">
        <v>56</v>
      </c>
      <c r="K20" s="483"/>
      <c r="L20" s="479" t="s">
        <v>351</v>
      </c>
      <c r="M20" s="483" t="s">
        <v>57</v>
      </c>
      <c r="N20" s="560">
        <v>30892</v>
      </c>
      <c r="O20" s="483" t="s">
        <v>57</v>
      </c>
      <c r="P20" s="830" t="s">
        <v>351</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350</v>
      </c>
      <c r="J21" s="492" t="s">
        <v>63</v>
      </c>
      <c r="K21" s="504"/>
      <c r="L21" s="490">
        <v>45728</v>
      </c>
      <c r="M21" s="492" t="s">
        <v>57</v>
      </c>
      <c r="N21" s="561">
        <v>60843.5</v>
      </c>
      <c r="O21" s="492" t="s">
        <v>57</v>
      </c>
      <c r="P21" s="830" t="s">
        <v>351</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350</v>
      </c>
      <c r="J22" s="522" t="s">
        <v>63</v>
      </c>
      <c r="K22" s="522"/>
      <c r="L22" s="529">
        <v>45714</v>
      </c>
      <c r="M22" s="522" t="s">
        <v>57</v>
      </c>
      <c r="N22" s="563">
        <v>94170.5</v>
      </c>
      <c r="O22" s="522" t="s">
        <v>57</v>
      </c>
      <c r="P22" s="971" t="s">
        <v>351</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350</v>
      </c>
      <c r="J23" s="522" t="s">
        <v>63</v>
      </c>
      <c r="K23" s="522"/>
      <c r="L23" s="529">
        <v>45695</v>
      </c>
      <c r="M23" s="522" t="s">
        <v>57</v>
      </c>
      <c r="N23" s="564">
        <v>89698.5</v>
      </c>
      <c r="O23" s="522" t="s">
        <v>57</v>
      </c>
      <c r="P23" s="971" t="s">
        <v>351</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350</v>
      </c>
      <c r="J24" s="857" t="s">
        <v>63</v>
      </c>
      <c r="K24" s="857"/>
      <c r="L24" s="854">
        <v>45686</v>
      </c>
      <c r="M24" s="857" t="s">
        <v>57</v>
      </c>
      <c r="N24" s="880">
        <v>61924</v>
      </c>
      <c r="O24" s="857" t="s">
        <v>57</v>
      </c>
      <c r="P24" s="830" t="s">
        <v>351</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350</v>
      </c>
      <c r="J25" s="857" t="s">
        <v>63</v>
      </c>
      <c r="K25" s="857"/>
      <c r="L25" s="854">
        <v>45698</v>
      </c>
      <c r="M25" s="857" t="s">
        <v>57</v>
      </c>
      <c r="N25" s="880">
        <v>63402.5</v>
      </c>
      <c r="O25" s="857" t="s">
        <v>57</v>
      </c>
      <c r="P25" s="830" t="s">
        <v>351</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351</v>
      </c>
      <c r="M26" s="683" t="s">
        <v>57</v>
      </c>
      <c r="N26" s="560">
        <v>43130</v>
      </c>
      <c r="O26" s="683" t="s">
        <v>57</v>
      </c>
      <c r="P26" s="830" t="s">
        <v>351</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351</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350</v>
      </c>
      <c r="J28" s="483" t="s">
        <v>63</v>
      </c>
      <c r="K28" s="853"/>
      <c r="L28" s="490">
        <v>45741</v>
      </c>
      <c r="M28" s="483" t="s">
        <v>57</v>
      </c>
      <c r="N28" s="561">
        <v>49071</v>
      </c>
      <c r="O28" s="483" t="s">
        <v>57</v>
      </c>
      <c r="P28" s="830" t="s">
        <v>351</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245</v>
      </c>
      <c r="E29" s="481">
        <v>45927</v>
      </c>
      <c r="F29" s="479" t="s">
        <v>102</v>
      </c>
      <c r="G29" s="704" t="s">
        <v>498</v>
      </c>
      <c r="H29" s="483">
        <v>86</v>
      </c>
      <c r="I29" s="683" t="s">
        <v>350</v>
      </c>
      <c r="J29" s="483" t="s">
        <v>63</v>
      </c>
      <c r="K29" s="492"/>
      <c r="L29" s="481">
        <v>45917</v>
      </c>
      <c r="M29" s="483" t="s">
        <v>57</v>
      </c>
      <c r="N29" s="560">
        <v>45500</v>
      </c>
      <c r="O29" s="483" t="s">
        <v>57</v>
      </c>
      <c r="P29" s="830" t="s">
        <v>351</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350</v>
      </c>
      <c r="J30" s="483" t="s">
        <v>63</v>
      </c>
      <c r="K30" s="853"/>
      <c r="L30" s="490">
        <v>45741</v>
      </c>
      <c r="M30" s="483" t="s">
        <v>57</v>
      </c>
      <c r="N30" s="561">
        <v>67735.5</v>
      </c>
      <c r="O30" s="483" t="s">
        <v>57</v>
      </c>
      <c r="P30" s="830" t="s">
        <v>351</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351</v>
      </c>
      <c r="J31" s="857" t="s">
        <v>63</v>
      </c>
      <c r="K31" s="857"/>
      <c r="L31" s="854">
        <v>45705</v>
      </c>
      <c r="M31" s="857" t="s">
        <v>57</v>
      </c>
      <c r="N31" s="880">
        <v>1295</v>
      </c>
      <c r="O31" s="857" t="s">
        <v>57</v>
      </c>
      <c r="P31" s="830" t="s">
        <v>351</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350</v>
      </c>
      <c r="J2" s="52" t="s">
        <v>63</v>
      </c>
      <c r="K2" s="51">
        <v>45701</v>
      </c>
      <c r="L2" s="391" t="s">
        <v>57</v>
      </c>
      <c r="M2" s="440">
        <v>55089</v>
      </c>
      <c r="N2" s="572">
        <v>57509</v>
      </c>
      <c r="O2" s="792" t="s">
        <v>57</v>
      </c>
      <c r="P2" s="387" t="s">
        <v>351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350</v>
      </c>
      <c r="J3" s="52" t="s">
        <v>63</v>
      </c>
      <c r="K3" s="51">
        <v>45708</v>
      </c>
      <c r="L3" s="52" t="s">
        <v>57</v>
      </c>
      <c r="M3" s="440">
        <v>62460.45</v>
      </c>
      <c r="N3" s="572">
        <v>61491.05</v>
      </c>
      <c r="O3" s="52" t="s">
        <v>57</v>
      </c>
      <c r="P3" s="52" t="s">
        <v>351</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350</v>
      </c>
      <c r="J4" s="387" t="s">
        <v>63</v>
      </c>
      <c r="K4" s="386">
        <v>45735</v>
      </c>
      <c r="L4" s="387" t="s">
        <v>57</v>
      </c>
      <c r="M4" s="443">
        <v>15690.1</v>
      </c>
      <c r="N4" s="572">
        <v>16153.75</v>
      </c>
      <c r="O4" s="387" t="s">
        <v>57</v>
      </c>
      <c r="P4" s="387" t="s">
        <v>351</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350</v>
      </c>
      <c r="J5" s="387" t="s">
        <v>63</v>
      </c>
      <c r="K5" s="386">
        <v>45782</v>
      </c>
      <c r="L5" s="387" t="s">
        <v>57</v>
      </c>
      <c r="M5" s="443">
        <v>119135.3</v>
      </c>
      <c r="N5" s="440">
        <v>121256.65</v>
      </c>
      <c r="O5" s="387" t="s">
        <v>57</v>
      </c>
      <c r="P5" s="387" t="s">
        <v>351</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350</v>
      </c>
      <c r="J6" s="52" t="s">
        <v>63</v>
      </c>
      <c r="K6" s="50" t="s">
        <v>351</v>
      </c>
      <c r="L6" s="52" t="s">
        <v>57</v>
      </c>
      <c r="M6" s="440">
        <v>12601.45</v>
      </c>
      <c r="N6" s="572">
        <v>13008.1</v>
      </c>
      <c r="O6" s="52" t="s">
        <v>57</v>
      </c>
      <c r="P6" s="52" t="s">
        <v>351</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351</v>
      </c>
      <c r="L7" s="689" t="s">
        <v>57</v>
      </c>
      <c r="M7" s="443">
        <v>47461.5</v>
      </c>
      <c r="N7" s="587">
        <v>45340</v>
      </c>
      <c r="O7" s="689" t="s">
        <v>57</v>
      </c>
      <c r="P7" s="387" t="s">
        <v>351</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351</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351</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350</v>
      </c>
      <c r="J10" s="52" t="s">
        <v>63</v>
      </c>
      <c r="K10" s="687">
        <v>45756</v>
      </c>
      <c r="L10" s="52" t="s">
        <v>57</v>
      </c>
      <c r="M10" s="440">
        <v>67171.5</v>
      </c>
      <c r="N10" s="572">
        <v>64739</v>
      </c>
      <c r="O10" s="52" t="s">
        <v>57</v>
      </c>
      <c r="P10" s="52" t="s">
        <v>351</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350</v>
      </c>
      <c r="J11" s="52" t="s">
        <v>63</v>
      </c>
      <c r="K11" s="51">
        <v>45749</v>
      </c>
      <c r="L11" s="52" t="s">
        <v>57</v>
      </c>
      <c r="M11" s="440">
        <v>72492</v>
      </c>
      <c r="N11" s="572">
        <v>73087.5</v>
      </c>
      <c r="O11" s="52" t="s">
        <v>57</v>
      </c>
      <c r="P11" s="52" t="s">
        <v>351</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350</v>
      </c>
      <c r="J12" s="52" t="s">
        <v>63</v>
      </c>
      <c r="K12" s="51">
        <v>45750</v>
      </c>
      <c r="L12" s="52" t="s">
        <v>57</v>
      </c>
      <c r="M12" s="440">
        <v>51295</v>
      </c>
      <c r="N12" s="572">
        <v>51485.5</v>
      </c>
      <c r="O12" s="52" t="s">
        <v>57</v>
      </c>
      <c r="P12" s="52" t="s">
        <v>351</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350</v>
      </c>
      <c r="J13" s="52" t="s">
        <v>63</v>
      </c>
      <c r="K13" s="50" t="s">
        <v>351</v>
      </c>
      <c r="L13" s="682" t="s">
        <v>57</v>
      </c>
      <c r="M13" s="440">
        <v>26617</v>
      </c>
      <c r="N13" s="588">
        <v>25405</v>
      </c>
      <c r="O13" s="682" t="s">
        <v>57</v>
      </c>
      <c r="P13" s="52" t="s">
        <v>351</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351</v>
      </c>
      <c r="L14" s="682" t="s">
        <v>57</v>
      </c>
      <c r="M14" s="440">
        <v>72118</v>
      </c>
      <c r="N14" s="695">
        <v>70778</v>
      </c>
      <c r="O14" s="682" t="s">
        <v>57</v>
      </c>
      <c r="P14" s="52" t="s">
        <v>351</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351</v>
      </c>
      <c r="L15" s="682" t="s">
        <v>57</v>
      </c>
      <c r="M15" s="440">
        <v>69288</v>
      </c>
      <c r="N15" s="588">
        <v>70664</v>
      </c>
      <c r="O15" s="682" t="s">
        <v>57</v>
      </c>
      <c r="P15" s="52" t="s">
        <v>351</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351</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351</v>
      </c>
      <c r="L17" s="682" t="s">
        <v>57</v>
      </c>
      <c r="M17" s="440">
        <v>83754</v>
      </c>
      <c r="N17" s="588">
        <v>80572.5</v>
      </c>
      <c r="O17" s="682" t="s">
        <v>57</v>
      </c>
      <c r="P17" s="52" t="s">
        <v>351</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351</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350</v>
      </c>
      <c r="J19" s="52" t="s">
        <v>63</v>
      </c>
      <c r="K19" s="51">
        <v>45733</v>
      </c>
      <c r="L19" s="52" t="s">
        <v>57</v>
      </c>
      <c r="M19" s="440">
        <v>50824.5</v>
      </c>
      <c r="N19" s="588">
        <v>50928.5</v>
      </c>
      <c r="O19" s="52" t="s">
        <v>57</v>
      </c>
      <c r="P19" s="52" t="s">
        <v>351</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350</v>
      </c>
      <c r="J20" s="52" t="s">
        <v>63</v>
      </c>
      <c r="K20" s="51">
        <v>45737</v>
      </c>
      <c r="L20" s="52" t="s">
        <v>57</v>
      </c>
      <c r="M20" s="440">
        <v>83462</v>
      </c>
      <c r="N20" s="588">
        <v>83033</v>
      </c>
      <c r="O20" s="52" t="s">
        <v>57</v>
      </c>
      <c r="P20" s="52" t="s">
        <v>351</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351</v>
      </c>
      <c r="L21" s="52" t="s">
        <v>57</v>
      </c>
      <c r="M21" s="440">
        <v>47414</v>
      </c>
      <c r="N21" s="588">
        <v>45744</v>
      </c>
      <c r="O21" s="52" t="s">
        <v>57</v>
      </c>
      <c r="P21" s="52" t="s">
        <v>351</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350</v>
      </c>
      <c r="J22" s="52" t="s">
        <v>63</v>
      </c>
      <c r="K22" s="51">
        <v>45736</v>
      </c>
      <c r="L22" s="52" t="s">
        <v>57</v>
      </c>
      <c r="M22" s="440">
        <v>59562.5</v>
      </c>
      <c r="N22" s="588">
        <v>52525.5</v>
      </c>
      <c r="O22" s="52" t="s">
        <v>57</v>
      </c>
      <c r="P22" s="52" t="s">
        <v>351</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350</v>
      </c>
      <c r="J23" s="52" t="s">
        <v>63</v>
      </c>
      <c r="K23" s="51">
        <v>45735</v>
      </c>
      <c r="L23" s="52" t="s">
        <v>57</v>
      </c>
      <c r="M23" s="440">
        <v>41187</v>
      </c>
      <c r="N23" s="588">
        <v>39597.5</v>
      </c>
      <c r="O23" s="52" t="s">
        <v>57</v>
      </c>
      <c r="P23" s="52" t="s">
        <v>351</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350</v>
      </c>
      <c r="J24" s="52" t="s">
        <v>63</v>
      </c>
      <c r="K24" s="50" t="s">
        <v>351</v>
      </c>
      <c r="L24" s="52" t="s">
        <v>57</v>
      </c>
      <c r="M24" s="440">
        <v>14497.5</v>
      </c>
      <c r="N24" s="588">
        <v>14042</v>
      </c>
      <c r="O24" s="52" t="s">
        <v>57</v>
      </c>
      <c r="P24" s="52" t="s">
        <v>351</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350</v>
      </c>
      <c r="J25" s="52" t="s">
        <v>63</v>
      </c>
      <c r="K25" s="51">
        <v>45762</v>
      </c>
      <c r="L25" s="52" t="s">
        <v>57</v>
      </c>
      <c r="M25" s="440">
        <v>62502</v>
      </c>
      <c r="N25" s="572">
        <v>59129.5</v>
      </c>
      <c r="O25" s="52" t="s">
        <v>57</v>
      </c>
      <c r="P25" s="52" t="s">
        <v>351</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350</v>
      </c>
      <c r="J26" s="52" t="s">
        <v>63</v>
      </c>
      <c r="K26" s="51">
        <v>45762</v>
      </c>
      <c r="L26" s="52" t="s">
        <v>57</v>
      </c>
      <c r="M26" s="440">
        <v>70705.5</v>
      </c>
      <c r="N26" s="572">
        <v>67666</v>
      </c>
      <c r="O26" s="52" t="s">
        <v>57</v>
      </c>
      <c r="P26" s="52" t="s">
        <v>351</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350</v>
      </c>
      <c r="J27" s="52" t="s">
        <v>63</v>
      </c>
      <c r="K27" s="51">
        <v>45762</v>
      </c>
      <c r="L27" s="52" t="s">
        <v>57</v>
      </c>
      <c r="M27" s="440">
        <v>66004.5</v>
      </c>
      <c r="N27" s="572">
        <v>64943.5</v>
      </c>
      <c r="O27" s="52" t="s">
        <v>57</v>
      </c>
      <c r="P27" s="52" t="s">
        <v>351</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350</v>
      </c>
      <c r="J28" s="387" t="s">
        <v>63</v>
      </c>
      <c r="K28" s="386">
        <v>45790</v>
      </c>
      <c r="L28" s="387" t="s">
        <v>57</v>
      </c>
      <c r="M28" s="443">
        <v>57237</v>
      </c>
      <c r="N28" s="586">
        <v>55777</v>
      </c>
      <c r="O28" s="52" t="s">
        <v>57</v>
      </c>
      <c r="P28" s="387" t="s">
        <v>351</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351</v>
      </c>
      <c r="J29" s="117" t="s">
        <v>63</v>
      </c>
      <c r="K29" s="527">
        <v>45673</v>
      </c>
      <c r="L29" s="522" t="s">
        <v>57</v>
      </c>
      <c r="M29" s="799">
        <v>24886.5</v>
      </c>
      <c r="N29" s="831">
        <v>7262</v>
      </c>
      <c r="O29" s="522" t="s">
        <v>57</v>
      </c>
      <c r="P29" s="837" t="s">
        <v>351</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350</v>
      </c>
      <c r="J30" s="387" t="s">
        <v>63</v>
      </c>
      <c r="K30" s="386">
        <v>45705</v>
      </c>
      <c r="L30" s="387" t="s">
        <v>57</v>
      </c>
      <c r="M30" s="443">
        <v>88491.8</v>
      </c>
      <c r="N30" s="440">
        <v>85791.25</v>
      </c>
      <c r="O30" s="387" t="s">
        <v>57</v>
      </c>
      <c r="P30" s="387" t="s">
        <v>351</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351</v>
      </c>
      <c r="J31" s="52" t="s">
        <v>63</v>
      </c>
      <c r="K31" s="50" t="s">
        <v>351</v>
      </c>
      <c r="L31" s="52" t="s">
        <v>57</v>
      </c>
      <c r="M31" s="440">
        <v>3425.55</v>
      </c>
      <c r="N31" s="572">
        <v>7741.4</v>
      </c>
      <c r="O31" s="52" t="s">
        <v>57</v>
      </c>
      <c r="P31" s="52" t="s">
        <v>351</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350</v>
      </c>
      <c r="J32" s="387" t="s">
        <v>63</v>
      </c>
      <c r="K32" s="385" t="s">
        <v>351</v>
      </c>
      <c r="L32" s="387" t="s">
        <v>57</v>
      </c>
      <c r="M32" s="443">
        <v>3707.3</v>
      </c>
      <c r="N32" s="440">
        <v>8209.69</v>
      </c>
      <c r="O32" s="387" t="s">
        <v>57</v>
      </c>
      <c r="P32" s="387" t="s">
        <v>351</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351</v>
      </c>
      <c r="L33" s="52" t="s">
        <v>57</v>
      </c>
      <c r="M33" s="440">
        <v>21648.75</v>
      </c>
      <c r="N33" s="572">
        <v>35235</v>
      </c>
      <c r="O33" s="52" t="s">
        <v>57</v>
      </c>
      <c r="P33" s="52" t="s">
        <v>351</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350</v>
      </c>
      <c r="J34" s="52" t="s">
        <v>63</v>
      </c>
      <c r="K34" s="51">
        <v>45716</v>
      </c>
      <c r="L34" s="52" t="s">
        <v>57</v>
      </c>
      <c r="M34" s="440">
        <v>64727</v>
      </c>
      <c r="N34" s="572">
        <v>68203</v>
      </c>
      <c r="O34" s="52" t="s">
        <v>57</v>
      </c>
      <c r="P34" s="387" t="s">
        <v>351</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351</v>
      </c>
      <c r="J35" s="52" t="s">
        <v>63</v>
      </c>
      <c r="K35" s="51">
        <v>45728</v>
      </c>
      <c r="L35" s="52" t="s">
        <v>57</v>
      </c>
      <c r="M35" s="440">
        <v>88033.5</v>
      </c>
      <c r="N35" s="572">
        <v>88045.5</v>
      </c>
      <c r="O35" s="52" t="s">
        <v>57</v>
      </c>
      <c r="P35" s="52" t="s">
        <v>351</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351</v>
      </c>
      <c r="J36" s="52" t="s">
        <v>63</v>
      </c>
      <c r="K36" s="51">
        <v>45728</v>
      </c>
      <c r="L36" s="52" t="s">
        <v>57</v>
      </c>
      <c r="M36" s="440">
        <v>82979.5</v>
      </c>
      <c r="N36" s="572">
        <v>78032</v>
      </c>
      <c r="O36" s="52" t="s">
        <v>57</v>
      </c>
      <c r="P36" s="387" t="s">
        <v>351</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351</v>
      </c>
      <c r="J37" s="52" t="s">
        <v>63</v>
      </c>
      <c r="K37" s="51">
        <v>45716</v>
      </c>
      <c r="L37" s="52" t="s">
        <v>57</v>
      </c>
      <c r="M37" s="440">
        <v>74446</v>
      </c>
      <c r="N37" s="586">
        <v>73894</v>
      </c>
      <c r="O37" s="52" t="s">
        <v>57</v>
      </c>
      <c r="P37" s="387" t="s">
        <v>351</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351</v>
      </c>
      <c r="J38" s="52" t="s">
        <v>63</v>
      </c>
      <c r="K38" s="630">
        <v>45716</v>
      </c>
      <c r="L38" s="52" t="s">
        <v>57</v>
      </c>
      <c r="M38" s="696">
        <v>84935.5</v>
      </c>
      <c r="N38" s="587">
        <v>81445</v>
      </c>
      <c r="O38" s="52" t="s">
        <v>57</v>
      </c>
      <c r="P38" s="387" t="s">
        <v>351</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350</v>
      </c>
      <c r="J39" s="682" t="s">
        <v>63</v>
      </c>
      <c r="K39" s="680">
        <v>45692</v>
      </c>
      <c r="L39" s="682" t="s">
        <v>57</v>
      </c>
      <c r="M39" s="685">
        <v>90302</v>
      </c>
      <c r="N39" s="440">
        <v>98764.5</v>
      </c>
      <c r="O39" s="682" t="s">
        <v>57</v>
      </c>
      <c r="P39" s="387" t="s">
        <v>351</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350</v>
      </c>
      <c r="J40" s="391" t="s">
        <v>63</v>
      </c>
      <c r="K40" s="392">
        <v>45698</v>
      </c>
      <c r="L40" s="391" t="s">
        <v>57</v>
      </c>
      <c r="M40" s="659">
        <v>71361</v>
      </c>
      <c r="N40" s="572">
        <v>72125</v>
      </c>
      <c r="O40" s="391" t="s">
        <v>57</v>
      </c>
      <c r="P40" s="52" t="s">
        <v>351</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350</v>
      </c>
      <c r="J41" s="391" t="s">
        <v>63</v>
      </c>
      <c r="K41" s="392">
        <v>45700</v>
      </c>
      <c r="L41" s="391" t="s">
        <v>57</v>
      </c>
      <c r="M41" s="659">
        <v>76139.5</v>
      </c>
      <c r="N41" s="586">
        <v>79581.5</v>
      </c>
      <c r="O41" s="391" t="s">
        <v>57</v>
      </c>
      <c r="P41" s="387" t="s">
        <v>351</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350</v>
      </c>
      <c r="J42" s="391" t="s">
        <v>63</v>
      </c>
      <c r="K42" s="392">
        <v>45699</v>
      </c>
      <c r="L42" s="391" t="s">
        <v>57</v>
      </c>
      <c r="M42" s="659">
        <v>73583.5</v>
      </c>
      <c r="N42" s="572">
        <v>84066</v>
      </c>
      <c r="O42" s="792" t="s">
        <v>57</v>
      </c>
      <c r="P42" s="387" t="s">
        <v>351</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351</v>
      </c>
      <c r="L43" s="391" t="s">
        <v>57</v>
      </c>
      <c r="M43" s="659">
        <v>51958</v>
      </c>
      <c r="N43" s="572">
        <v>20330.259999999998</v>
      </c>
      <c r="O43" s="391" t="s">
        <v>57</v>
      </c>
      <c r="P43" s="52" t="s">
        <v>351</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351</v>
      </c>
      <c r="L44" s="682" t="s">
        <v>57</v>
      </c>
      <c r="M44" s="440">
        <v>82480.5</v>
      </c>
      <c r="N44" s="440">
        <v>77870.5</v>
      </c>
      <c r="O44" s="682" t="s">
        <v>57</v>
      </c>
      <c r="P44" s="387" t="s">
        <v>351</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350</v>
      </c>
      <c r="J45" s="387" t="s">
        <v>63</v>
      </c>
      <c r="K45" s="51">
        <v>45741</v>
      </c>
      <c r="L45" s="387" t="s">
        <v>57</v>
      </c>
      <c r="M45" s="440">
        <v>74508.5</v>
      </c>
      <c r="N45" s="572">
        <v>75008.5</v>
      </c>
      <c r="O45" s="387" t="s">
        <v>57</v>
      </c>
      <c r="P45" s="387" t="s">
        <v>351</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350</v>
      </c>
      <c r="J46" s="52" t="s">
        <v>63</v>
      </c>
      <c r="K46" s="51">
        <v>45741</v>
      </c>
      <c r="L46" s="52" t="s">
        <v>57</v>
      </c>
      <c r="M46" s="440">
        <v>73070.5</v>
      </c>
      <c r="N46" s="572">
        <v>72678</v>
      </c>
      <c r="O46" s="52" t="s">
        <v>57</v>
      </c>
      <c r="P46" s="52" t="s">
        <v>351</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351</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351</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350</v>
      </c>
      <c r="J49" s="387" t="s">
        <v>63</v>
      </c>
      <c r="K49" s="51">
        <v>45741</v>
      </c>
      <c r="L49" s="387" t="s">
        <v>57</v>
      </c>
      <c r="M49" s="440">
        <v>62104</v>
      </c>
      <c r="N49" s="587">
        <v>64186</v>
      </c>
      <c r="O49" s="387" t="s">
        <v>57</v>
      </c>
      <c r="P49" s="387" t="s">
        <v>351</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350</v>
      </c>
      <c r="J50" s="387" t="s">
        <v>63</v>
      </c>
      <c r="K50" s="51">
        <v>45741</v>
      </c>
      <c r="L50" s="387" t="s">
        <v>57</v>
      </c>
      <c r="M50" s="440">
        <v>63756.5</v>
      </c>
      <c r="N50" s="587">
        <v>64902.5</v>
      </c>
      <c r="O50" s="387" t="s">
        <v>57</v>
      </c>
      <c r="P50" s="387" t="s">
        <v>351</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350</v>
      </c>
      <c r="J51" s="52" t="s">
        <v>63</v>
      </c>
      <c r="K51" s="51">
        <v>45741</v>
      </c>
      <c r="L51" s="52" t="s">
        <v>57</v>
      </c>
      <c r="M51" s="440">
        <v>67840.5</v>
      </c>
      <c r="N51" s="572">
        <v>66607.5</v>
      </c>
      <c r="O51" s="52" t="s">
        <v>57</v>
      </c>
      <c r="P51" s="52" t="s">
        <v>351</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350</v>
      </c>
      <c r="J52" s="52" t="s">
        <v>63</v>
      </c>
      <c r="K52" s="51">
        <v>45757</v>
      </c>
      <c r="L52" s="52" t="s">
        <v>57</v>
      </c>
      <c r="M52" s="440">
        <v>53906.75</v>
      </c>
      <c r="N52" s="572">
        <v>54578.5</v>
      </c>
      <c r="O52" s="52" t="s">
        <v>57</v>
      </c>
      <c r="P52" s="52" t="s">
        <v>351</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350</v>
      </c>
      <c r="J53" s="387" t="s">
        <v>63</v>
      </c>
      <c r="K53" s="386">
        <v>45757</v>
      </c>
      <c r="L53" s="387" t="s">
        <v>57</v>
      </c>
      <c r="M53" s="443">
        <v>47432.5</v>
      </c>
      <c r="N53" s="572">
        <v>54385.09</v>
      </c>
      <c r="O53" s="387" t="s">
        <v>57</v>
      </c>
      <c r="P53" s="387" t="s">
        <v>351</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351</v>
      </c>
      <c r="J54" s="52" t="s">
        <v>63</v>
      </c>
      <c r="K54" s="51">
        <v>45757</v>
      </c>
      <c r="L54" s="52" t="s">
        <v>57</v>
      </c>
      <c r="M54" s="440">
        <v>62383</v>
      </c>
      <c r="N54" s="572">
        <v>61939</v>
      </c>
      <c r="O54" s="52" t="s">
        <v>57</v>
      </c>
      <c r="P54" s="52" t="s">
        <v>351</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351</v>
      </c>
      <c r="J55" s="387" t="s">
        <v>63</v>
      </c>
      <c r="K55" s="386">
        <v>45757</v>
      </c>
      <c r="L55" s="387" t="s">
        <v>57</v>
      </c>
      <c r="M55" s="443">
        <v>80443.5</v>
      </c>
      <c r="N55" s="572">
        <v>81941</v>
      </c>
      <c r="O55" s="387" t="s">
        <v>57</v>
      </c>
      <c r="P55" s="387" t="s">
        <v>351</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350</v>
      </c>
      <c r="J56" s="387" t="s">
        <v>63</v>
      </c>
      <c r="K56" s="386">
        <v>45757</v>
      </c>
      <c r="L56" s="387" t="s">
        <v>57</v>
      </c>
      <c r="M56" s="443">
        <v>68736.5</v>
      </c>
      <c r="N56" s="572">
        <v>68249</v>
      </c>
      <c r="O56" s="387" t="s">
        <v>57</v>
      </c>
      <c r="P56" s="387" t="s">
        <v>351</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350</v>
      </c>
      <c r="J57" s="387" t="s">
        <v>63</v>
      </c>
      <c r="K57" s="51">
        <v>45741</v>
      </c>
      <c r="L57" s="387" t="s">
        <v>57</v>
      </c>
      <c r="M57" s="440">
        <v>73491.5</v>
      </c>
      <c r="N57" s="586">
        <v>202651</v>
      </c>
      <c r="O57" s="387" t="s">
        <v>57</v>
      </c>
      <c r="P57" s="387" t="s">
        <v>351</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350</v>
      </c>
      <c r="J58" s="387" t="s">
        <v>63</v>
      </c>
      <c r="K58" s="51">
        <v>45741</v>
      </c>
      <c r="L58" s="387" t="s">
        <v>57</v>
      </c>
      <c r="M58" s="440">
        <v>74961</v>
      </c>
      <c r="N58" s="440">
        <v>77123</v>
      </c>
      <c r="O58" s="387" t="s">
        <v>57</v>
      </c>
      <c r="P58" s="387" t="s">
        <v>351</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350</v>
      </c>
      <c r="J59" s="387" t="s">
        <v>63</v>
      </c>
      <c r="K59" s="51">
        <v>45741</v>
      </c>
      <c r="L59" s="387" t="s">
        <v>57</v>
      </c>
      <c r="M59" s="440">
        <v>70235</v>
      </c>
      <c r="N59" s="586">
        <v>134171.5</v>
      </c>
      <c r="O59" s="387" t="s">
        <v>57</v>
      </c>
      <c r="P59" s="387" t="s">
        <v>351</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351</v>
      </c>
      <c r="L60" s="682" t="s">
        <v>57</v>
      </c>
      <c r="M60" s="440">
        <v>60625.5</v>
      </c>
      <c r="N60" s="572">
        <v>59084</v>
      </c>
      <c r="O60" s="682" t="s">
        <v>57</v>
      </c>
      <c r="P60" s="52" t="s">
        <v>351</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350</v>
      </c>
      <c r="J61" s="52" t="s">
        <v>63</v>
      </c>
      <c r="K61" s="51">
        <v>45721</v>
      </c>
      <c r="L61" s="52" t="s">
        <v>57</v>
      </c>
      <c r="M61" s="609">
        <v>79507</v>
      </c>
      <c r="N61" s="572">
        <v>86709.5</v>
      </c>
      <c r="O61" s="52" t="s">
        <v>57</v>
      </c>
      <c r="P61" s="52" t="s">
        <v>351</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351</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350</v>
      </c>
      <c r="J63" s="52" t="s">
        <v>63</v>
      </c>
      <c r="K63" s="51">
        <v>45716</v>
      </c>
      <c r="L63" s="52" t="s">
        <v>57</v>
      </c>
      <c r="M63" s="440">
        <v>64609</v>
      </c>
      <c r="N63" s="586">
        <v>76965</v>
      </c>
      <c r="O63" s="52" t="s">
        <v>57</v>
      </c>
      <c r="P63" s="387" t="s">
        <v>351</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350</v>
      </c>
      <c r="J64" s="52" t="s">
        <v>63</v>
      </c>
      <c r="K64" s="51">
        <v>45701</v>
      </c>
      <c r="L64" s="391" t="s">
        <v>57</v>
      </c>
      <c r="M64" s="440">
        <v>48609</v>
      </c>
      <c r="N64" s="572">
        <v>48682.5</v>
      </c>
      <c r="O64" s="792" t="s">
        <v>57</v>
      </c>
      <c r="P64" s="387" t="s">
        <v>351</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350</v>
      </c>
      <c r="J65" s="52" t="s">
        <v>63</v>
      </c>
      <c r="K65" s="51">
        <v>45698</v>
      </c>
      <c r="L65" s="682" t="s">
        <v>57</v>
      </c>
      <c r="M65" s="440">
        <v>52222</v>
      </c>
      <c r="N65" s="572">
        <v>51838</v>
      </c>
      <c r="O65" s="682" t="s">
        <v>57</v>
      </c>
      <c r="P65" s="52" t="s">
        <v>351</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351</v>
      </c>
      <c r="J66" s="52" t="s">
        <v>63</v>
      </c>
      <c r="K66" s="51">
        <v>45716</v>
      </c>
      <c r="L66" s="52" t="s">
        <v>57</v>
      </c>
      <c r="M66" s="609">
        <v>67463</v>
      </c>
      <c r="N66" s="572">
        <v>69992</v>
      </c>
      <c r="O66" s="52" t="s">
        <v>57</v>
      </c>
      <c r="P66" s="52" t="s">
        <v>351</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351</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350</v>
      </c>
      <c r="J68" s="798" t="s">
        <v>63</v>
      </c>
      <c r="K68" s="57">
        <v>45707</v>
      </c>
      <c r="L68" s="798" t="s">
        <v>57</v>
      </c>
      <c r="M68" s="440" t="s">
        <v>673</v>
      </c>
      <c r="N68" s="587">
        <v>67080</v>
      </c>
      <c r="O68" s="52" t="s">
        <v>57</v>
      </c>
      <c r="P68" s="1134" t="s">
        <v>351</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350</v>
      </c>
      <c r="J69" s="815" t="s">
        <v>63</v>
      </c>
      <c r="K69" s="57">
        <v>45741</v>
      </c>
      <c r="L69" s="815" t="s">
        <v>57</v>
      </c>
      <c r="M69" s="440">
        <v>79069.5</v>
      </c>
      <c r="N69" s="586">
        <v>73300</v>
      </c>
      <c r="O69" s="387" t="s">
        <v>57</v>
      </c>
      <c r="P69" s="451" t="s">
        <v>351</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350</v>
      </c>
      <c r="J70" s="815" t="s">
        <v>63</v>
      </c>
      <c r="K70" s="57">
        <v>45741</v>
      </c>
      <c r="L70" s="815" t="s">
        <v>57</v>
      </c>
      <c r="M70" s="440">
        <v>16398</v>
      </c>
      <c r="N70" s="572">
        <v>15664</v>
      </c>
      <c r="O70" s="387" t="s">
        <v>57</v>
      </c>
      <c r="P70" s="1126" t="s">
        <v>351</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351</v>
      </c>
      <c r="J71" s="798" t="s">
        <v>63</v>
      </c>
      <c r="K71" s="57">
        <v>45708</v>
      </c>
      <c r="L71" s="798" t="s">
        <v>57</v>
      </c>
      <c r="M71" s="658">
        <v>56854</v>
      </c>
      <c r="N71" s="831">
        <v>62254</v>
      </c>
      <c r="O71" s="798" t="s">
        <v>57</v>
      </c>
      <c r="P71" s="798" t="s">
        <v>351</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351</v>
      </c>
      <c r="J72" s="76" t="s">
        <v>63</v>
      </c>
      <c r="K72" s="77">
        <v>45708</v>
      </c>
      <c r="L72" s="104" t="s">
        <v>57</v>
      </c>
      <c r="M72" s="835">
        <v>73639</v>
      </c>
      <c r="N72" s="1133">
        <v>73025</v>
      </c>
      <c r="O72" s="104" t="s">
        <v>57</v>
      </c>
      <c r="P72" s="106" t="s">
        <v>351</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351</v>
      </c>
      <c r="J73" s="76" t="s">
        <v>63</v>
      </c>
      <c r="K73" s="77">
        <v>45698</v>
      </c>
      <c r="L73" s="104" t="s">
        <v>57</v>
      </c>
      <c r="M73" s="835">
        <v>54861</v>
      </c>
      <c r="N73" s="836">
        <v>55197</v>
      </c>
      <c r="O73" s="104" t="s">
        <v>57</v>
      </c>
      <c r="P73" s="76" t="s">
        <v>351</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350</v>
      </c>
      <c r="J74" s="798" t="s">
        <v>63</v>
      </c>
      <c r="K74" s="57">
        <v>45735</v>
      </c>
      <c r="L74" s="798" t="s">
        <v>57</v>
      </c>
      <c r="M74" s="658">
        <v>41285</v>
      </c>
      <c r="N74" s="831">
        <v>40484</v>
      </c>
      <c r="O74" s="798" t="s">
        <v>57</v>
      </c>
      <c r="P74" s="815" t="s">
        <v>351</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351</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351</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350</v>
      </c>
      <c r="J77" s="804" t="s">
        <v>63</v>
      </c>
      <c r="K77" s="936" t="s">
        <v>351</v>
      </c>
      <c r="L77" s="804" t="s">
        <v>57</v>
      </c>
      <c r="M77" s="934">
        <v>289634.75</v>
      </c>
      <c r="N77" s="831">
        <v>296306.83</v>
      </c>
      <c r="O77" s="935" t="s">
        <v>57</v>
      </c>
      <c r="P77" s="815" t="s">
        <v>351</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350</v>
      </c>
      <c r="J78" s="798" t="s">
        <v>63</v>
      </c>
      <c r="K78" s="490">
        <v>45741</v>
      </c>
      <c r="L78" s="483" t="s">
        <v>57</v>
      </c>
      <c r="M78" s="800">
        <v>47849</v>
      </c>
      <c r="N78" s="658">
        <v>51778</v>
      </c>
      <c r="O78" s="483" t="s">
        <v>57</v>
      </c>
      <c r="P78" s="809" t="s">
        <v>351</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350</v>
      </c>
      <c r="J79" s="492" t="s">
        <v>63</v>
      </c>
      <c r="K79" s="490">
        <v>45698</v>
      </c>
      <c r="L79" s="498" t="s">
        <v>57</v>
      </c>
      <c r="M79" s="800">
        <v>68216.5</v>
      </c>
      <c r="N79" s="658">
        <v>65624.5</v>
      </c>
      <c r="O79" s="498" t="s">
        <v>57</v>
      </c>
      <c r="P79" s="1118" t="s">
        <v>351</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350</v>
      </c>
      <c r="J80" s="387" t="s">
        <v>63</v>
      </c>
      <c r="K80" s="386">
        <v>45757</v>
      </c>
      <c r="L80" s="405" t="s">
        <v>57</v>
      </c>
      <c r="M80" s="443">
        <v>78331</v>
      </c>
      <c r="N80" s="440">
        <v>82072.25</v>
      </c>
      <c r="O80" s="387" t="s">
        <v>57</v>
      </c>
      <c r="P80" s="451" t="s">
        <v>351</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350</v>
      </c>
      <c r="J81" s="52" t="s">
        <v>63</v>
      </c>
      <c r="K81" s="51">
        <v>45698</v>
      </c>
      <c r="L81" s="1122" t="s">
        <v>57</v>
      </c>
      <c r="M81" s="440">
        <v>67892.5</v>
      </c>
      <c r="N81" s="440">
        <v>65771.429999999993</v>
      </c>
      <c r="O81" s="391" t="s">
        <v>57</v>
      </c>
      <c r="P81" s="365" t="s">
        <v>351</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350</v>
      </c>
      <c r="J88" s="52" t="s">
        <v>63</v>
      </c>
      <c r="K88" s="51">
        <v>45701</v>
      </c>
      <c r="L88" s="52" t="s">
        <v>57</v>
      </c>
      <c r="M88" s="440">
        <v>111163</v>
      </c>
      <c r="N88" s="758"/>
      <c r="O88" s="52" t="s">
        <v>57</v>
      </c>
      <c r="P88" s="604" t="s">
        <v>351</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350</v>
      </c>
      <c r="J89" s="52" t="s">
        <v>63</v>
      </c>
      <c r="K89" s="630">
        <v>45718</v>
      </c>
      <c r="L89" s="52" t="s">
        <v>57</v>
      </c>
      <c r="M89" s="440">
        <v>200394.1</v>
      </c>
      <c r="N89" s="97"/>
      <c r="O89" s="52" t="s">
        <v>57</v>
      </c>
      <c r="P89" s="605" t="s">
        <v>351</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350</v>
      </c>
      <c r="J90" s="387" t="s">
        <v>56</v>
      </c>
      <c r="K90" s="386">
        <v>45874</v>
      </c>
      <c r="L90" s="387" t="s">
        <v>57</v>
      </c>
      <c r="M90" s="443">
        <v>11894.25</v>
      </c>
      <c r="N90" s="97"/>
      <c r="O90" s="387" t="s">
        <v>57</v>
      </c>
      <c r="P90" s="605" t="s">
        <v>351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350</v>
      </c>
      <c r="J91" s="387" t="s">
        <v>63</v>
      </c>
      <c r="K91" s="386">
        <v>45793</v>
      </c>
      <c r="L91" s="387" t="s">
        <v>57</v>
      </c>
      <c r="M91" s="443">
        <v>104070.8</v>
      </c>
      <c r="N91" s="758"/>
      <c r="O91" s="387" t="s">
        <v>57</v>
      </c>
      <c r="P91" s="605" t="s">
        <v>351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350</v>
      </c>
      <c r="J92" s="483" t="s">
        <v>63</v>
      </c>
      <c r="K92" s="481">
        <v>45786</v>
      </c>
      <c r="L92" s="483" t="s">
        <v>57</v>
      </c>
      <c r="M92" s="1068">
        <v>133172.15</v>
      </c>
      <c r="N92" s="758"/>
      <c r="O92" s="483" t="s">
        <v>57</v>
      </c>
      <c r="P92" s="772" t="s">
        <v>351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350</v>
      </c>
      <c r="J93" s="52" t="s">
        <v>63</v>
      </c>
      <c r="K93" s="386">
        <v>45826</v>
      </c>
      <c r="L93" s="387" t="s">
        <v>57</v>
      </c>
      <c r="M93" s="443">
        <v>144886</v>
      </c>
      <c r="N93" s="97"/>
      <c r="O93" s="387" t="s">
        <v>57</v>
      </c>
      <c r="P93" s="605" t="s">
        <v>351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350</v>
      </c>
      <c r="J94" s="52" t="s">
        <v>63</v>
      </c>
      <c r="K94" s="51">
        <v>45918</v>
      </c>
      <c r="L94" s="387" t="s">
        <v>57</v>
      </c>
      <c r="M94" s="443">
        <v>10840.25</v>
      </c>
      <c r="N94" s="758"/>
      <c r="O94" s="387" t="s">
        <v>57</v>
      </c>
      <c r="P94" s="762" t="s">
        <v>351</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350</v>
      </c>
      <c r="J95" s="52" t="s">
        <v>63</v>
      </c>
      <c r="K95" s="386">
        <v>45853</v>
      </c>
      <c r="L95" s="391" t="s">
        <v>57</v>
      </c>
      <c r="M95" s="443">
        <v>60849.9</v>
      </c>
      <c r="N95" s="97"/>
      <c r="O95" s="391" t="s">
        <v>57</v>
      </c>
      <c r="P95" s="762" t="s">
        <v>351</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350</v>
      </c>
      <c r="J96" s="52" t="s">
        <v>63</v>
      </c>
      <c r="K96" s="386">
        <v>45884</v>
      </c>
      <c r="L96" s="387" t="s">
        <v>57</v>
      </c>
      <c r="M96" s="443">
        <v>67441</v>
      </c>
      <c r="N96" s="97"/>
      <c r="O96" s="387" t="s">
        <v>57</v>
      </c>
      <c r="P96" s="762" t="s">
        <v>351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350</v>
      </c>
      <c r="J97" s="387" t="s">
        <v>63</v>
      </c>
      <c r="K97" s="386">
        <v>45797</v>
      </c>
      <c r="L97" s="387" t="s">
        <v>57</v>
      </c>
      <c r="M97" s="443">
        <v>43097.65</v>
      </c>
      <c r="N97" s="758"/>
      <c r="O97" s="387" t="s">
        <v>57</v>
      </c>
      <c r="P97" s="762" t="s">
        <v>351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350</v>
      </c>
      <c r="J98" s="492" t="s">
        <v>63</v>
      </c>
      <c r="K98" s="481">
        <v>45880</v>
      </c>
      <c r="L98" s="483" t="s">
        <v>57</v>
      </c>
      <c r="M98" s="1068">
        <v>56807.95</v>
      </c>
      <c r="N98" s="758"/>
      <c r="O98" s="483" t="s">
        <v>57</v>
      </c>
      <c r="P98" s="772" t="s">
        <v>351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350</v>
      </c>
      <c r="J99" s="387" t="s">
        <v>63</v>
      </c>
      <c r="K99" s="386">
        <v>45882</v>
      </c>
      <c r="L99" s="387" t="s">
        <v>57</v>
      </c>
      <c r="M99" s="443">
        <v>59869.5</v>
      </c>
      <c r="N99" s="758"/>
      <c r="O99" s="387" t="s">
        <v>57</v>
      </c>
      <c r="P99" s="605" t="s">
        <v>351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350</v>
      </c>
      <c r="J100" s="387" t="s">
        <v>63</v>
      </c>
      <c r="K100" s="386">
        <v>45897</v>
      </c>
      <c r="L100" s="387" t="s">
        <v>57</v>
      </c>
      <c r="M100" s="443">
        <v>50874.95</v>
      </c>
      <c r="N100" s="758"/>
      <c r="O100" s="387" t="s">
        <v>57</v>
      </c>
      <c r="P100" s="613" t="s">
        <v>351</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350</v>
      </c>
      <c r="J101" s="387" t="s">
        <v>63</v>
      </c>
      <c r="K101" s="386">
        <v>45840</v>
      </c>
      <c r="L101" s="387" t="s">
        <v>57</v>
      </c>
      <c r="M101" s="443">
        <v>10430.549999999999</v>
      </c>
      <c r="N101" s="758"/>
      <c r="O101" s="387" t="s">
        <v>57</v>
      </c>
      <c r="P101" s="763" t="s">
        <v>351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350</v>
      </c>
      <c r="J102" s="387" t="s">
        <v>63</v>
      </c>
      <c r="K102" s="386">
        <v>45912</v>
      </c>
      <c r="L102" s="387" t="s">
        <v>57</v>
      </c>
      <c r="M102" s="443">
        <v>60115.95</v>
      </c>
      <c r="N102" s="758"/>
      <c r="O102" s="387" t="s">
        <v>57</v>
      </c>
      <c r="P102" s="762" t="s">
        <v>351</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350</v>
      </c>
      <c r="J103" s="387" t="s">
        <v>63</v>
      </c>
      <c r="K103" s="386">
        <v>45847</v>
      </c>
      <c r="L103" s="387" t="s">
        <v>57</v>
      </c>
      <c r="M103" s="443">
        <v>71310.899999999994</v>
      </c>
      <c r="N103" s="758"/>
      <c r="O103" s="387" t="s">
        <v>57</v>
      </c>
      <c r="P103" s="605" t="s">
        <v>351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350</v>
      </c>
      <c r="J104" s="387" t="s">
        <v>63</v>
      </c>
      <c r="K104" s="386">
        <v>45840</v>
      </c>
      <c r="L104" s="387" t="s">
        <v>57</v>
      </c>
      <c r="M104" s="443">
        <v>53605.2</v>
      </c>
      <c r="N104" s="758"/>
      <c r="O104" s="387" t="s">
        <v>57</v>
      </c>
      <c r="P104" s="605" t="s">
        <v>351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350</v>
      </c>
      <c r="J105" s="387" t="s">
        <v>63</v>
      </c>
      <c r="K105" s="386">
        <v>45833</v>
      </c>
      <c r="L105" s="387" t="s">
        <v>57</v>
      </c>
      <c r="M105" s="443">
        <v>32940.449999999997</v>
      </c>
      <c r="N105" s="758"/>
      <c r="O105" s="387" t="s">
        <v>57</v>
      </c>
      <c r="P105" s="604" t="s">
        <v>351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350</v>
      </c>
      <c r="J106" s="387" t="s">
        <v>63</v>
      </c>
      <c r="K106" s="386">
        <v>45840</v>
      </c>
      <c r="L106" s="387" t="s">
        <v>57</v>
      </c>
      <c r="M106" s="443">
        <v>23404.75</v>
      </c>
      <c r="N106" s="758"/>
      <c r="O106" s="387" t="s">
        <v>57</v>
      </c>
      <c r="P106" s="762" t="s">
        <v>351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350</v>
      </c>
      <c r="J107" s="387" t="s">
        <v>63</v>
      </c>
      <c r="K107" s="386">
        <v>45903</v>
      </c>
      <c r="L107" s="387" t="s">
        <v>57</v>
      </c>
      <c r="M107" s="443">
        <v>27186</v>
      </c>
      <c r="N107" s="758"/>
      <c r="O107" s="387" t="s">
        <v>57</v>
      </c>
      <c r="P107" s="762" t="s">
        <v>351</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350</v>
      </c>
      <c r="J108" s="387" t="s">
        <v>63</v>
      </c>
      <c r="K108" s="386">
        <v>45887</v>
      </c>
      <c r="L108" s="387" t="s">
        <v>57</v>
      </c>
      <c r="M108" s="443">
        <v>37930</v>
      </c>
      <c r="N108" s="97"/>
      <c r="O108" s="387" t="s">
        <v>57</v>
      </c>
      <c r="P108" s="604" t="s">
        <v>351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350</v>
      </c>
      <c r="J109" s="52" t="s">
        <v>63</v>
      </c>
      <c r="K109" s="386">
        <v>45887</v>
      </c>
      <c r="L109" s="387" t="s">
        <v>57</v>
      </c>
      <c r="M109" s="443">
        <v>69889</v>
      </c>
      <c r="N109" s="97"/>
      <c r="O109" s="387" t="s">
        <v>57</v>
      </c>
      <c r="P109" s="605" t="s">
        <v>351</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350</v>
      </c>
      <c r="J110" s="52" t="s">
        <v>63</v>
      </c>
      <c r="K110" s="386">
        <v>45887</v>
      </c>
      <c r="L110" s="387" t="s">
        <v>57</v>
      </c>
      <c r="M110" s="443">
        <v>52110</v>
      </c>
      <c r="N110" s="758"/>
      <c r="O110" s="387" t="s">
        <v>57</v>
      </c>
      <c r="P110" s="605" t="s">
        <v>351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350</v>
      </c>
      <c r="J111" s="52" t="s">
        <v>63</v>
      </c>
      <c r="K111" s="386">
        <v>45897</v>
      </c>
      <c r="L111" s="387" t="s">
        <v>57</v>
      </c>
      <c r="M111" s="443">
        <v>52204</v>
      </c>
      <c r="N111" s="758"/>
      <c r="O111" s="387" t="s">
        <v>57</v>
      </c>
      <c r="P111" s="762" t="s">
        <v>351</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350</v>
      </c>
      <c r="J112" s="52" t="s">
        <v>63</v>
      </c>
      <c r="K112" s="386">
        <v>45912</v>
      </c>
      <c r="L112" s="387" t="s">
        <v>57</v>
      </c>
      <c r="M112" s="443">
        <v>47676</v>
      </c>
      <c r="N112" s="758"/>
      <c r="O112" s="387" t="s">
        <v>57</v>
      </c>
      <c r="P112" s="762" t="s">
        <v>351</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350</v>
      </c>
      <c r="J113" s="52" t="s">
        <v>63</v>
      </c>
      <c r="K113" s="386">
        <v>45933</v>
      </c>
      <c r="L113" s="387" t="s">
        <v>57</v>
      </c>
      <c r="M113" s="443">
        <v>44697.599999999999</v>
      </c>
      <c r="N113" s="758"/>
      <c r="O113" s="387" t="s">
        <v>57</v>
      </c>
      <c r="P113" s="762" t="s">
        <v>351</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350</v>
      </c>
      <c r="J114" s="52" t="s">
        <v>63</v>
      </c>
      <c r="K114" s="386">
        <v>45933</v>
      </c>
      <c r="L114" s="387" t="s">
        <v>57</v>
      </c>
      <c r="M114" s="443">
        <v>58864</v>
      </c>
      <c r="N114" s="758"/>
      <c r="O114" s="387" t="s">
        <v>57</v>
      </c>
      <c r="P114" s="762" t="s">
        <v>351</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350</v>
      </c>
      <c r="J115" s="52" t="s">
        <v>63</v>
      </c>
      <c r="K115" s="386">
        <v>45902</v>
      </c>
      <c r="L115" s="387" t="s">
        <v>57</v>
      </c>
      <c r="M115" s="443">
        <v>12695</v>
      </c>
      <c r="N115" s="758"/>
      <c r="O115" s="387" t="s">
        <v>57</v>
      </c>
      <c r="P115" s="762" t="s">
        <v>351</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350</v>
      </c>
      <c r="J116" s="483" t="s">
        <v>63</v>
      </c>
      <c r="K116" s="386">
        <v>45848</v>
      </c>
      <c r="L116" s="387" t="s">
        <v>57</v>
      </c>
      <c r="M116" s="443">
        <v>1206</v>
      </c>
      <c r="N116" s="758"/>
      <c r="O116" s="387" t="s">
        <v>57</v>
      </c>
      <c r="P116" s="605" t="s">
        <v>351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350</v>
      </c>
      <c r="J117" s="520" t="s">
        <v>63</v>
      </c>
      <c r="K117" s="1103">
        <v>45821</v>
      </c>
      <c r="L117" s="524" t="s">
        <v>57</v>
      </c>
      <c r="M117" s="938">
        <v>23436.55</v>
      </c>
      <c r="N117" s="758"/>
      <c r="O117" s="524" t="s">
        <v>57</v>
      </c>
      <c r="P117" s="789" t="s">
        <v>351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350</v>
      </c>
      <c r="J118" s="483" t="s">
        <v>63</v>
      </c>
      <c r="K118" s="481" t="s">
        <v>52</v>
      </c>
      <c r="L118" s="483" t="s">
        <v>57</v>
      </c>
      <c r="M118" s="1068">
        <v>18903.7</v>
      </c>
      <c r="N118" s="97"/>
      <c r="O118" s="483" t="s">
        <v>57</v>
      </c>
      <c r="P118" s="772" t="s">
        <v>351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350</v>
      </c>
      <c r="J119" s="520" t="s">
        <v>63</v>
      </c>
      <c r="K119" s="521" t="s">
        <v>793</v>
      </c>
      <c r="L119" s="520" t="s">
        <v>57</v>
      </c>
      <c r="M119" s="938">
        <v>21888.65</v>
      </c>
      <c r="N119" s="97"/>
      <c r="O119" s="520" t="s">
        <v>57</v>
      </c>
      <c r="P119" s="789" t="s">
        <v>351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350</v>
      </c>
      <c r="J120" s="1005" t="s">
        <v>63</v>
      </c>
      <c r="K120" s="987">
        <v>45876</v>
      </c>
      <c r="L120" s="1005" t="s">
        <v>57</v>
      </c>
      <c r="M120" s="1007">
        <v>1462.85</v>
      </c>
      <c r="N120" s="97"/>
      <c r="O120" s="1005" t="s">
        <v>57</v>
      </c>
      <c r="P120" s="790" t="s">
        <v>351</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350</v>
      </c>
      <c r="J122" s="520" t="s">
        <v>63</v>
      </c>
      <c r="K122" s="521">
        <v>45870</v>
      </c>
      <c r="L122" s="520" t="s">
        <v>57</v>
      </c>
      <c r="M122" s="938">
        <v>49307.5</v>
      </c>
      <c r="N122" s="97"/>
      <c r="O122" s="520" t="s">
        <v>57</v>
      </c>
      <c r="P122" s="807" t="s">
        <v>351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350</v>
      </c>
      <c r="J123" s="520" t="s">
        <v>63</v>
      </c>
      <c r="K123" s="521">
        <v>45870</v>
      </c>
      <c r="L123" s="520" t="s">
        <v>57</v>
      </c>
      <c r="M123" s="938">
        <v>12886.4</v>
      </c>
      <c r="N123" s="808"/>
      <c r="O123" s="520" t="s">
        <v>57</v>
      </c>
      <c r="P123" s="789" t="s">
        <v>351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350</v>
      </c>
      <c r="J124" s="815" t="s">
        <v>63</v>
      </c>
      <c r="K124" s="386">
        <v>45882</v>
      </c>
      <c r="L124" s="387" t="s">
        <v>57</v>
      </c>
      <c r="M124" s="443">
        <v>13056.5</v>
      </c>
      <c r="N124" s="808"/>
      <c r="O124" s="387" t="s">
        <v>57</v>
      </c>
      <c r="P124" s="605" t="s">
        <v>351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350</v>
      </c>
      <c r="J125" s="815" t="s">
        <v>63</v>
      </c>
      <c r="K125" s="521">
        <v>45868</v>
      </c>
      <c r="L125" s="520" t="s">
        <v>57</v>
      </c>
      <c r="M125" s="938">
        <v>14179.65</v>
      </c>
      <c r="N125" s="808"/>
      <c r="O125" s="520" t="s">
        <v>57</v>
      </c>
      <c r="P125" s="807" t="s">
        <v>351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350</v>
      </c>
      <c r="J126" s="815" t="s">
        <v>63</v>
      </c>
      <c r="K126" s="481">
        <v>45853</v>
      </c>
      <c r="L126" s="483" t="s">
        <v>57</v>
      </c>
      <c r="M126" s="1068">
        <v>68216.5</v>
      </c>
      <c r="N126" s="801"/>
      <c r="O126" s="483" t="s">
        <v>57</v>
      </c>
      <c r="P126" s="772" t="s">
        <v>351</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350</v>
      </c>
      <c r="J127" s="492" t="s">
        <v>63</v>
      </c>
      <c r="K127" s="527">
        <v>45838</v>
      </c>
      <c r="L127" s="1104" t="s">
        <v>57</v>
      </c>
      <c r="M127" s="800">
        <v>72566</v>
      </c>
      <c r="N127" s="758"/>
      <c r="O127" s="492" t="s">
        <v>57</v>
      </c>
      <c r="P127" s="772" t="s">
        <v>351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350</v>
      </c>
      <c r="J128" s="52" t="s">
        <v>63</v>
      </c>
      <c r="K128" s="386">
        <v>45936</v>
      </c>
      <c r="L128" s="387" t="s">
        <v>57</v>
      </c>
      <c r="M128" s="443">
        <v>4235.8</v>
      </c>
      <c r="N128" s="758"/>
      <c r="O128" s="387" t="s">
        <v>57</v>
      </c>
      <c r="P128" s="605" t="s">
        <v>351</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350</v>
      </c>
      <c r="J129" s="798" t="s">
        <v>63</v>
      </c>
      <c r="K129" s="481">
        <v>45902</v>
      </c>
      <c r="L129" s="483" t="s">
        <v>57</v>
      </c>
      <c r="M129" s="1068">
        <v>3067.9</v>
      </c>
      <c r="N129" s="808"/>
      <c r="O129" s="483" t="s">
        <v>57</v>
      </c>
      <c r="P129" s="772" t="s">
        <v>351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350</v>
      </c>
      <c r="J130" s="798" t="s">
        <v>56</v>
      </c>
      <c r="K130" s="481">
        <v>45876</v>
      </c>
      <c r="L130" s="483" t="s">
        <v>57</v>
      </c>
      <c r="M130" s="1068">
        <v>124980</v>
      </c>
      <c r="N130" s="808"/>
      <c r="O130" s="483" t="s">
        <v>57</v>
      </c>
      <c r="P130" s="772" t="s">
        <v>351</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350</v>
      </c>
      <c r="J131" s="815" t="s">
        <v>63</v>
      </c>
      <c r="K131" s="521">
        <v>45817</v>
      </c>
      <c r="L131" s="520" t="s">
        <v>57</v>
      </c>
      <c r="M131" s="938">
        <v>75953</v>
      </c>
      <c r="N131" s="1017"/>
      <c r="O131" s="520" t="s">
        <v>57</v>
      </c>
      <c r="P131" s="807" t="s">
        <v>351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350</v>
      </c>
      <c r="J132" s="798" t="s">
        <v>63</v>
      </c>
      <c r="K132" s="521">
        <v>45716</v>
      </c>
      <c r="L132" s="117" t="s">
        <v>57</v>
      </c>
      <c r="M132" s="799">
        <v>45321.5</v>
      </c>
      <c r="N132" s="808"/>
      <c r="O132" s="117" t="s">
        <v>57</v>
      </c>
      <c r="P132" s="789" t="s">
        <v>351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350</v>
      </c>
      <c r="J134" s="815" t="s">
        <v>63</v>
      </c>
      <c r="K134" s="1097">
        <v>45741</v>
      </c>
      <c r="L134" s="890" t="s">
        <v>57</v>
      </c>
      <c r="M134" s="1098">
        <v>41813</v>
      </c>
      <c r="N134" s="808"/>
      <c r="O134" s="890" t="s">
        <v>57</v>
      </c>
      <c r="P134" s="1090" t="s">
        <v>351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350</v>
      </c>
      <c r="J135" s="798" t="s">
        <v>63</v>
      </c>
      <c r="K135" s="514">
        <v>45698</v>
      </c>
      <c r="L135" s="522" t="s">
        <v>57</v>
      </c>
      <c r="M135" s="799">
        <v>71979</v>
      </c>
      <c r="N135" s="801"/>
      <c r="O135" s="522" t="s">
        <v>57</v>
      </c>
      <c r="P135" s="807" t="s">
        <v>351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350</v>
      </c>
      <c r="J136" s="815" t="s">
        <v>63</v>
      </c>
      <c r="K136" s="514">
        <v>45741</v>
      </c>
      <c r="L136" s="520" t="s">
        <v>57</v>
      </c>
      <c r="M136" s="799">
        <v>75396.5</v>
      </c>
      <c r="N136" s="801"/>
      <c r="O136" s="520" t="s">
        <v>57</v>
      </c>
      <c r="P136" s="807" t="s">
        <v>351</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351</v>
      </c>
      <c r="J137" s="492" t="s">
        <v>63</v>
      </c>
      <c r="K137" s="490">
        <v>45699</v>
      </c>
      <c r="L137" s="498" t="s">
        <v>57</v>
      </c>
      <c r="M137" s="800">
        <v>72566</v>
      </c>
      <c r="N137" s="97"/>
      <c r="O137" s="498" t="s">
        <v>57</v>
      </c>
      <c r="P137" s="772" t="s">
        <v>351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351</v>
      </c>
      <c r="J138" s="492" t="s">
        <v>63</v>
      </c>
      <c r="K138" s="490">
        <v>45712</v>
      </c>
      <c r="L138" s="492" t="s">
        <v>57</v>
      </c>
      <c r="M138" s="800">
        <v>14262</v>
      </c>
      <c r="N138" s="758"/>
      <c r="O138" s="492" t="s">
        <v>57</v>
      </c>
      <c r="P138" s="772" t="s">
        <v>351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350</v>
      </c>
      <c r="J140" s="52" t="s">
        <v>63</v>
      </c>
      <c r="K140" s="490" t="s">
        <v>52</v>
      </c>
      <c r="L140" s="498" t="s">
        <v>57</v>
      </c>
      <c r="M140" s="800">
        <v>1594</v>
      </c>
      <c r="N140" s="758"/>
      <c r="O140" s="498" t="s">
        <v>57</v>
      </c>
      <c r="P140" s="772" t="s">
        <v>351</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350</v>
      </c>
      <c r="J141" s="798" t="s">
        <v>63</v>
      </c>
      <c r="K141" s="490">
        <v>45714</v>
      </c>
      <c r="L141" s="492" t="s">
        <v>57</v>
      </c>
      <c r="M141" s="800">
        <v>93462.85</v>
      </c>
      <c r="N141" s="801"/>
      <c r="O141" s="492" t="s">
        <v>57</v>
      </c>
      <c r="P141" s="772" t="s">
        <v>351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350</v>
      </c>
      <c r="J142" s="798" t="s">
        <v>63</v>
      </c>
      <c r="K142" s="489" t="s">
        <v>52</v>
      </c>
      <c r="L142" s="483" t="s">
        <v>57</v>
      </c>
      <c r="M142" s="1068">
        <v>4397.6499999999996</v>
      </c>
      <c r="N142" s="801"/>
      <c r="O142" s="483" t="s">
        <v>57</v>
      </c>
      <c r="P142" s="772" t="s">
        <v>351</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363</v>
      </c>
      <c r="H147" s="483">
        <v>60</v>
      </c>
      <c r="I147" s="857" t="s">
        <v>350</v>
      </c>
      <c r="J147" s="492" t="s">
        <v>56</v>
      </c>
      <c r="K147" s="873"/>
      <c r="L147" s="481">
        <v>45716</v>
      </c>
      <c r="M147" s="492" t="s">
        <v>57</v>
      </c>
      <c r="N147" s="560">
        <v>2075.6999999999998</v>
      </c>
      <c r="O147" s="492" t="s">
        <v>57</v>
      </c>
      <c r="P147" s="962" t="s">
        <v>351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350</v>
      </c>
      <c r="J148" s="492" t="s">
        <v>56</v>
      </c>
      <c r="K148" s="504"/>
      <c r="L148" s="481">
        <v>45716</v>
      </c>
      <c r="M148" s="492" t="s">
        <v>57</v>
      </c>
      <c r="N148" s="561">
        <v>2947.5</v>
      </c>
      <c r="O148" s="492" t="s">
        <v>57</v>
      </c>
      <c r="P148" s="963" t="s">
        <v>351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350</v>
      </c>
      <c r="J149" s="492" t="s">
        <v>56</v>
      </c>
      <c r="K149" s="504"/>
      <c r="L149" s="481">
        <v>45716</v>
      </c>
      <c r="M149" s="492" t="s">
        <v>57</v>
      </c>
      <c r="N149" s="561">
        <v>2908.95</v>
      </c>
      <c r="O149" s="492" t="s">
        <v>57</v>
      </c>
      <c r="P149" s="963" t="s">
        <v>351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351</v>
      </c>
      <c r="J150" s="492" t="s">
        <v>56</v>
      </c>
      <c r="K150" s="492"/>
      <c r="L150" s="858">
        <v>45716</v>
      </c>
      <c r="M150" s="492" t="s">
        <v>57</v>
      </c>
      <c r="N150" s="561">
        <v>1134</v>
      </c>
      <c r="O150" s="492" t="s">
        <v>57</v>
      </c>
      <c r="P150" s="964" t="s">
        <v>351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351</v>
      </c>
      <c r="J151" s="492" t="s">
        <v>56</v>
      </c>
      <c r="K151" s="504"/>
      <c r="L151" s="481">
        <v>45716</v>
      </c>
      <c r="M151" s="492" t="s">
        <v>57</v>
      </c>
      <c r="N151" s="561">
        <v>870</v>
      </c>
      <c r="O151" s="492" t="s">
        <v>57</v>
      </c>
      <c r="P151" s="964" t="s">
        <v>351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350</v>
      </c>
      <c r="J152" s="492" t="s">
        <v>63</v>
      </c>
      <c r="K152" s="492"/>
      <c r="L152" s="858">
        <v>45716</v>
      </c>
      <c r="M152" s="857" t="s">
        <v>57</v>
      </c>
      <c r="N152" s="561">
        <v>2025.6</v>
      </c>
      <c r="O152" s="857" t="s">
        <v>57</v>
      </c>
      <c r="P152" s="964" t="s">
        <v>351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351</v>
      </c>
      <c r="J153" s="492" t="s">
        <v>56</v>
      </c>
      <c r="K153" s="492"/>
      <c r="L153" s="490">
        <v>45715</v>
      </c>
      <c r="M153" s="492" t="s">
        <v>57</v>
      </c>
      <c r="N153" s="561">
        <v>3801.75</v>
      </c>
      <c r="O153" s="492" t="s">
        <v>57</v>
      </c>
      <c r="P153" s="964" t="s">
        <v>351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351</v>
      </c>
      <c r="J156" s="952" t="s">
        <v>56</v>
      </c>
      <c r="K156" s="949"/>
      <c r="L156" s="954" t="s">
        <v>56</v>
      </c>
      <c r="M156" s="952" t="s">
        <v>95</v>
      </c>
      <c r="N156" s="955">
        <v>0</v>
      </c>
      <c r="O156" s="952" t="s">
        <v>95</v>
      </c>
      <c r="P156" s="956" t="s">
        <v>351</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351</v>
      </c>
      <c r="J157" s="890" t="s">
        <v>56</v>
      </c>
      <c r="K157" s="895"/>
      <c r="L157" s="897" t="s">
        <v>56</v>
      </c>
      <c r="M157" s="890" t="s">
        <v>95</v>
      </c>
      <c r="N157" s="891">
        <v>0</v>
      </c>
      <c r="O157" s="890" t="s">
        <v>95</v>
      </c>
      <c r="P157" s="892" t="s">
        <v>351</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364</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364</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361</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361</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361</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364</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364</v>
      </c>
      <c r="C604">
        <v>318</v>
      </c>
      <c r="G604">
        <v>318</v>
      </c>
    </row>
    <row r="605" spans="1:7">
      <c r="A605" t="s">
        <v>426</v>
      </c>
      <c r="D605">
        <v>461</v>
      </c>
      <c r="E605">
        <v>880</v>
      </c>
      <c r="F605">
        <v>585</v>
      </c>
      <c r="G605">
        <v>1926</v>
      </c>
    </row>
    <row r="606" spans="1:7">
      <c r="A606" t="s">
        <v>361</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356</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356</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364</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274</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361</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356</v>
      </c>
      <c r="C669">
        <v>430</v>
      </c>
      <c r="G669">
        <v>430</v>
      </c>
    </row>
    <row r="670" spans="1:7">
      <c r="A670" t="s">
        <v>431</v>
      </c>
      <c r="B670">
        <v>377</v>
      </c>
      <c r="C670">
        <v>408</v>
      </c>
      <c r="D670">
        <v>607</v>
      </c>
      <c r="E670">
        <v>1022</v>
      </c>
      <c r="G670">
        <v>2414</v>
      </c>
    </row>
    <row r="671" spans="1:7">
      <c r="A671" t="s">
        <v>800</v>
      </c>
    </row>
    <row r="672" spans="1:7">
      <c r="A672" t="s">
        <v>803</v>
      </c>
    </row>
    <row r="673" spans="1:7">
      <c r="A673" t="s">
        <v>274</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364</v>
      </c>
      <c r="D684">
        <v>358</v>
      </c>
      <c r="G684">
        <v>358</v>
      </c>
    </row>
    <row r="685" spans="1:7">
      <c r="A685" t="s">
        <v>426</v>
      </c>
      <c r="D685">
        <v>1241</v>
      </c>
      <c r="G685">
        <v>1241</v>
      </c>
    </row>
    <row r="686" spans="1:7">
      <c r="A686" t="s">
        <v>361</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274</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364</v>
      </c>
      <c r="E706">
        <v>99</v>
      </c>
      <c r="G706">
        <v>99</v>
      </c>
    </row>
    <row r="707" spans="1:7">
      <c r="A707" t="s">
        <v>426</v>
      </c>
    </row>
    <row r="708" spans="1:7">
      <c r="A708" t="s">
        <v>677</v>
      </c>
    </row>
    <row r="709" spans="1:7">
      <c r="A709" t="s">
        <v>361</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353</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364</v>
      </c>
    </row>
    <row r="743" spans="1:7">
      <c r="A743" t="s">
        <v>426</v>
      </c>
      <c r="D743">
        <v>139</v>
      </c>
      <c r="G743">
        <v>139</v>
      </c>
    </row>
    <row r="744" spans="1:7">
      <c r="A744" t="s">
        <v>361</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364</v>
      </c>
    </row>
    <row r="763" spans="1:7">
      <c r="A763" t="s">
        <v>426</v>
      </c>
      <c r="B763">
        <v>60</v>
      </c>
      <c r="G763">
        <v>60</v>
      </c>
    </row>
    <row r="764" spans="1:7">
      <c r="A764" t="s">
        <v>83</v>
      </c>
      <c r="E764">
        <v>175</v>
      </c>
      <c r="G764">
        <v>175</v>
      </c>
    </row>
    <row r="765" spans="1:7">
      <c r="A765" t="s">
        <v>909</v>
      </c>
      <c r="C765">
        <v>224</v>
      </c>
      <c r="G765">
        <v>224</v>
      </c>
    </row>
    <row r="766" spans="1:7">
      <c r="A766" t="s">
        <v>356</v>
      </c>
      <c r="D766">
        <v>406</v>
      </c>
      <c r="G766">
        <v>406</v>
      </c>
    </row>
    <row r="767" spans="1:7">
      <c r="A767" t="s">
        <v>274</v>
      </c>
      <c r="D767">
        <v>362</v>
      </c>
      <c r="E767">
        <v>399</v>
      </c>
      <c r="G767">
        <v>761</v>
      </c>
    </row>
    <row r="768" spans="1:7">
      <c r="A768" t="s">
        <v>773</v>
      </c>
    </row>
    <row r="769" spans="1:7">
      <c r="A769" t="s">
        <v>743</v>
      </c>
    </row>
    <row r="770" spans="1:7">
      <c r="A770" t="s">
        <v>367</v>
      </c>
      <c r="C770">
        <v>120</v>
      </c>
      <c r="D770">
        <v>190</v>
      </c>
      <c r="G770">
        <v>310</v>
      </c>
    </row>
    <row r="771" spans="1:7">
      <c r="A771" t="s">
        <v>353</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370</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364</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370</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370</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348</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274</v>
      </c>
      <c r="E838">
        <v>170</v>
      </c>
      <c r="G838">
        <v>170</v>
      </c>
    </row>
    <row r="839" spans="1:7">
      <c r="A839" t="s">
        <v>353</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358</v>
      </c>
      <c r="B847">
        <v>60</v>
      </c>
      <c r="C847">
        <v>219</v>
      </c>
      <c r="G847">
        <v>279</v>
      </c>
    </row>
    <row r="848" spans="1:7">
      <c r="A848" t="s">
        <v>817</v>
      </c>
      <c r="D848">
        <v>240</v>
      </c>
      <c r="G848">
        <v>240</v>
      </c>
    </row>
    <row r="849" spans="1:7">
      <c r="A849" t="s">
        <v>939</v>
      </c>
      <c r="C849">
        <v>1603</v>
      </c>
      <c r="D849">
        <v>791</v>
      </c>
      <c r="E849">
        <v>2803</v>
      </c>
      <c r="G849">
        <v>5197</v>
      </c>
    </row>
    <row r="850" spans="1:7">
      <c r="A850" t="s">
        <v>374</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377</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356</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374</v>
      </c>
      <c r="B867">
        <v>1100</v>
      </c>
      <c r="C867">
        <v>527</v>
      </c>
      <c r="D867">
        <v>553</v>
      </c>
      <c r="G867">
        <v>2180</v>
      </c>
    </row>
    <row r="868" spans="1:7">
      <c r="A868" t="s">
        <v>459</v>
      </c>
      <c r="C868">
        <v>230</v>
      </c>
      <c r="G868">
        <v>230</v>
      </c>
    </row>
    <row r="869" spans="1:7">
      <c r="A869" t="s">
        <v>777</v>
      </c>
      <c r="B869">
        <v>853</v>
      </c>
      <c r="G869">
        <v>853</v>
      </c>
    </row>
    <row r="870" spans="1:7">
      <c r="A870" t="s">
        <v>377</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379</v>
      </c>
      <c r="D873">
        <v>1624</v>
      </c>
      <c r="E873">
        <v>551</v>
      </c>
      <c r="G873">
        <v>2175</v>
      </c>
    </row>
    <row r="874" spans="1:7">
      <c r="A874" t="s">
        <v>375</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356</v>
      </c>
    </row>
    <row r="883" spans="1:7">
      <c r="A883" t="s">
        <v>431</v>
      </c>
      <c r="F883">
        <v>60</v>
      </c>
      <c r="G883">
        <v>60</v>
      </c>
    </row>
    <row r="884" spans="1:7">
      <c r="A884" t="s">
        <v>274</v>
      </c>
    </row>
    <row r="885" spans="1:7">
      <c r="A885" t="s">
        <v>353</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374</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372</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353</v>
      </c>
    </row>
    <row r="911" spans="1:7">
      <c r="A911" t="s">
        <v>370</v>
      </c>
      <c r="F911">
        <v>569</v>
      </c>
      <c r="G911">
        <v>569</v>
      </c>
    </row>
    <row r="912" spans="1:7">
      <c r="A912" t="s">
        <v>420</v>
      </c>
    </row>
    <row r="913" spans="1:7">
      <c r="A913" t="s">
        <v>358</v>
      </c>
      <c r="D913">
        <v>150</v>
      </c>
      <c r="G913">
        <v>150</v>
      </c>
    </row>
    <row r="914" spans="1:7">
      <c r="A914" t="s">
        <v>377</v>
      </c>
    </row>
    <row r="915" spans="1:7">
      <c r="A915" t="s">
        <v>389</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381</v>
      </c>
      <c r="B924">
        <v>207</v>
      </c>
      <c r="G924">
        <v>207</v>
      </c>
    </row>
    <row r="925" spans="1:7">
      <c r="A925" t="s">
        <v>100</v>
      </c>
      <c r="C925">
        <v>1691</v>
      </c>
      <c r="D925">
        <v>1998</v>
      </c>
      <c r="E925">
        <v>760</v>
      </c>
      <c r="F925">
        <v>3975</v>
      </c>
      <c r="G925">
        <v>8424</v>
      </c>
    </row>
    <row r="926" spans="1:7">
      <c r="A926" t="s">
        <v>400</v>
      </c>
      <c r="D926">
        <v>1031</v>
      </c>
      <c r="G926">
        <v>1031</v>
      </c>
    </row>
    <row r="927" spans="1:7">
      <c r="A927" t="s">
        <v>378</v>
      </c>
      <c r="E927">
        <v>1063</v>
      </c>
      <c r="F927">
        <v>1263</v>
      </c>
      <c r="G927">
        <v>2326</v>
      </c>
    </row>
    <row r="928" spans="1:7">
      <c r="A928" t="s">
        <v>418</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348</v>
      </c>
    </row>
    <row r="940" spans="1:7">
      <c r="A940" t="s">
        <v>420</v>
      </c>
      <c r="B940">
        <v>560</v>
      </c>
      <c r="G940">
        <v>560</v>
      </c>
    </row>
    <row r="941" spans="1:7">
      <c r="A941" t="s">
        <v>377</v>
      </c>
    </row>
    <row r="942" spans="1:7">
      <c r="A942" t="s">
        <v>389</v>
      </c>
      <c r="B942">
        <v>138</v>
      </c>
      <c r="G942">
        <v>138</v>
      </c>
    </row>
    <row r="943" spans="1:7">
      <c r="A943" t="s">
        <v>375</v>
      </c>
    </row>
    <row r="944" spans="1:7">
      <c r="A944" t="s">
        <v>372</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325</v>
      </c>
      <c r="B949">
        <v>4084</v>
      </c>
      <c r="D949">
        <v>242</v>
      </c>
      <c r="G949">
        <v>4326</v>
      </c>
    </row>
    <row r="950" spans="1:7">
      <c r="A950" t="s">
        <v>942</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943</v>
      </c>
    </row>
    <row r="959" spans="1:7">
      <c r="A959" t="s">
        <v>329</v>
      </c>
      <c r="D959">
        <v>3678</v>
      </c>
      <c r="E959">
        <v>3382</v>
      </c>
      <c r="G959">
        <v>7060</v>
      </c>
    </row>
    <row r="960" spans="1:7">
      <c r="A960" t="s">
        <v>944</v>
      </c>
      <c r="F960">
        <v>500</v>
      </c>
      <c r="G960">
        <v>500</v>
      </c>
    </row>
    <row r="961" spans="1:7">
      <c r="A961" t="s">
        <v>346</v>
      </c>
      <c r="E961">
        <v>424</v>
      </c>
      <c r="G961">
        <v>424</v>
      </c>
    </row>
    <row r="962" spans="1:7">
      <c r="A962" t="s">
        <v>331</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274</v>
      </c>
      <c r="B968">
        <v>446</v>
      </c>
      <c r="C968">
        <v>446</v>
      </c>
    </row>
    <row r="969" spans="1:7">
      <c r="A969" t="s">
        <v>397</v>
      </c>
      <c r="B969">
        <v>127</v>
      </c>
      <c r="C969">
        <v>127</v>
      </c>
    </row>
    <row r="970" spans="1:7">
      <c r="A970" t="s">
        <v>238</v>
      </c>
      <c r="B970">
        <v>420</v>
      </c>
      <c r="C970">
        <v>420</v>
      </c>
    </row>
    <row r="971" spans="1:7">
      <c r="A971" t="s">
        <v>400</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944</v>
      </c>
      <c r="B977">
        <v>907</v>
      </c>
      <c r="C977">
        <v>907</v>
      </c>
    </row>
    <row r="978" spans="1:3">
      <c r="A978" t="s">
        <v>331</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364</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364</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364</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364</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364</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364</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361</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361</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361</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361</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365</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365</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365</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361</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365</v>
      </c>
      <c r="C1331" s="56">
        <v>45849</v>
      </c>
      <c r="D1331" s="43">
        <v>198</v>
      </c>
      <c r="G1331" t="s">
        <v>1357</v>
      </c>
    </row>
    <row r="1332" spans="1:7">
      <c r="A1332" s="251" t="s">
        <v>814</v>
      </c>
      <c r="B1332" s="412" t="s">
        <v>886</v>
      </c>
      <c r="C1332" s="56">
        <v>45852</v>
      </c>
      <c r="F1332" s="43" t="s">
        <v>1020</v>
      </c>
      <c r="G1332" t="s">
        <v>1357</v>
      </c>
    </row>
    <row r="1333" spans="1:7">
      <c r="A1333" s="635" t="s">
        <v>426</v>
      </c>
      <c r="B1333" s="158" t="s">
        <v>365</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364</v>
      </c>
      <c r="B1337" s="158" t="s">
        <v>365</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364</v>
      </c>
      <c r="B1343" s="322" t="s">
        <v>365</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364</v>
      </c>
      <c r="B1354" s="158" t="s">
        <v>365</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364</v>
      </c>
      <c r="B1361" s="158" t="s">
        <v>365</v>
      </c>
      <c r="C1361" s="56">
        <v>45860</v>
      </c>
      <c r="D1361" s="43">
        <v>318</v>
      </c>
      <c r="G1361" t="s">
        <v>1357</v>
      </c>
    </row>
    <row r="1362" spans="1:7">
      <c r="A1362" s="251" t="s">
        <v>925</v>
      </c>
      <c r="B1362" s="158" t="s">
        <v>365</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365</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365</v>
      </c>
      <c r="C1378" s="56">
        <v>45862</v>
      </c>
      <c r="D1378" s="43">
        <v>880</v>
      </c>
      <c r="G1378" t="s">
        <v>1357</v>
      </c>
    </row>
    <row r="1379" spans="1:7">
      <c r="A1379" s="328" t="s">
        <v>361</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365</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365</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356</v>
      </c>
      <c r="B1402" s="322" t="s">
        <v>365</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365</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365</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365</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365</v>
      </c>
      <c r="C1418" s="56">
        <v>45875</v>
      </c>
      <c r="D1418" s="43">
        <v>840</v>
      </c>
      <c r="G1418" t="s">
        <v>1396</v>
      </c>
    </row>
    <row r="1419" spans="1:7">
      <c r="A1419" s="142" t="s">
        <v>356</v>
      </c>
      <c r="B1419" s="568" t="s">
        <v>365</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365</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365</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365</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364</v>
      </c>
      <c r="B1435" s="315" t="s">
        <v>365</v>
      </c>
      <c r="C1435" s="56">
        <v>45881</v>
      </c>
      <c r="D1435" s="43">
        <v>319</v>
      </c>
      <c r="G1435" t="s">
        <v>1396</v>
      </c>
    </row>
    <row r="1436" spans="1:7">
      <c r="A1436" s="569" t="s">
        <v>431</v>
      </c>
      <c r="B1436" s="315" t="s">
        <v>365</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365</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365</v>
      </c>
      <c r="C1447" s="56">
        <v>45883</v>
      </c>
      <c r="D1447" s="43">
        <v>554</v>
      </c>
      <c r="G1447" t="s">
        <v>1396</v>
      </c>
    </row>
    <row r="1448" spans="1:7">
      <c r="A1448" s="43" t="s">
        <v>274</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365</v>
      </c>
      <c r="C1453" s="56">
        <v>45884</v>
      </c>
      <c r="D1453" s="43">
        <v>89</v>
      </c>
      <c r="G1453" t="s">
        <v>1396</v>
      </c>
    </row>
    <row r="1454" spans="1:7">
      <c r="A1454" s="308" t="s">
        <v>274</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365</v>
      </c>
      <c r="C1460" s="56">
        <v>45887</v>
      </c>
      <c r="D1460" s="43">
        <v>377</v>
      </c>
      <c r="G1460" t="s">
        <v>1396</v>
      </c>
    </row>
    <row r="1461" spans="1:7">
      <c r="A1461" s="308" t="s">
        <v>274</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365</v>
      </c>
      <c r="C1466" s="56">
        <v>45888</v>
      </c>
      <c r="D1466" s="43">
        <v>408</v>
      </c>
      <c r="F1466" s="116"/>
      <c r="G1466" t="s">
        <v>1396</v>
      </c>
    </row>
    <row r="1467" spans="1:7">
      <c r="A1467" s="601" t="s">
        <v>361</v>
      </c>
      <c r="B1467" s="322" t="s">
        <v>886</v>
      </c>
      <c r="C1467" s="56">
        <v>45888</v>
      </c>
      <c r="F1467" s="142" t="s">
        <v>1411</v>
      </c>
      <c r="G1467" t="s">
        <v>1396</v>
      </c>
    </row>
    <row r="1468" spans="1:7">
      <c r="A1468" s="251" t="s">
        <v>356</v>
      </c>
      <c r="B1468" s="315" t="s">
        <v>365</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365</v>
      </c>
      <c r="C1474" s="56">
        <v>45889</v>
      </c>
      <c r="D1474" s="43">
        <v>607</v>
      </c>
      <c r="F1474" s="43" t="s">
        <v>1412</v>
      </c>
      <c r="G1474" t="s">
        <v>1396</v>
      </c>
    </row>
    <row r="1475" spans="1:7">
      <c r="A1475" s="601" t="s">
        <v>361</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365</v>
      </c>
      <c r="C1482" s="56">
        <v>45890</v>
      </c>
      <c r="D1482" s="156">
        <v>1022</v>
      </c>
      <c r="G1482" t="s">
        <v>1396</v>
      </c>
    </row>
    <row r="1483" spans="1:7">
      <c r="A1483" s="601" t="s">
        <v>361</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365</v>
      </c>
      <c r="C1488" s="56">
        <v>45891</v>
      </c>
      <c r="E1488" s="325">
        <v>6090</v>
      </c>
      <c r="F1488" s="43" t="s">
        <v>1416</v>
      </c>
      <c r="G1488" t="s">
        <v>1396</v>
      </c>
    </row>
    <row r="1489" spans="1:7">
      <c r="A1489" s="601" t="s">
        <v>361</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365</v>
      </c>
      <c r="C1495" s="56">
        <v>45894</v>
      </c>
      <c r="D1495" s="43">
        <v>639</v>
      </c>
      <c r="G1495" t="s">
        <v>1396</v>
      </c>
    </row>
    <row r="1496" spans="1:7">
      <c r="A1496" s="601" t="s">
        <v>361</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361</v>
      </c>
      <c r="B1504" s="650" t="s">
        <v>886</v>
      </c>
      <c r="C1504" s="56">
        <v>45895</v>
      </c>
      <c r="D1504" s="43">
        <v>295</v>
      </c>
      <c r="G1504" t="s">
        <v>1396</v>
      </c>
    </row>
    <row r="1505" spans="1:7">
      <c r="A1505" s="647" t="s">
        <v>426</v>
      </c>
      <c r="B1505" s="360" t="s">
        <v>365</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274</v>
      </c>
      <c r="B1511" s="650" t="s">
        <v>886</v>
      </c>
      <c r="C1511" s="56">
        <v>45896</v>
      </c>
      <c r="D1511" s="43">
        <v>400</v>
      </c>
      <c r="G1511" t="s">
        <v>1396</v>
      </c>
    </row>
    <row r="1512" spans="1:7">
      <c r="A1512" s="647" t="s">
        <v>364</v>
      </c>
      <c r="B1512" s="359" t="s">
        <v>365</v>
      </c>
      <c r="C1512" s="56">
        <v>45896</v>
      </c>
      <c r="D1512" s="43">
        <v>358</v>
      </c>
      <c r="F1512" s="43" t="s">
        <v>1425</v>
      </c>
      <c r="G1512" t="s">
        <v>1396</v>
      </c>
    </row>
    <row r="1513" spans="1:7">
      <c r="A1513" s="662" t="s">
        <v>426</v>
      </c>
      <c r="B1513" s="142" t="s">
        <v>365</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365</v>
      </c>
      <c r="C1518" s="56">
        <v>45897</v>
      </c>
      <c r="F1518" s="43" t="s">
        <v>1015</v>
      </c>
      <c r="G1518" t="s">
        <v>1396</v>
      </c>
    </row>
    <row r="1519" spans="1:7">
      <c r="A1519" s="601" t="s">
        <v>274</v>
      </c>
      <c r="B1519" s="650" t="s">
        <v>886</v>
      </c>
      <c r="C1519" s="56">
        <v>45897</v>
      </c>
      <c r="D1519" s="43">
        <v>320</v>
      </c>
      <c r="G1519" t="s">
        <v>1396</v>
      </c>
    </row>
    <row r="1520" spans="1:7">
      <c r="A1520" s="647" t="s">
        <v>364</v>
      </c>
      <c r="B1520" s="360" t="s">
        <v>365</v>
      </c>
      <c r="C1520" s="56">
        <v>45897</v>
      </c>
      <c r="F1520" s="315" t="s">
        <v>1153</v>
      </c>
      <c r="G1520" t="s">
        <v>1396</v>
      </c>
    </row>
    <row r="1521" spans="1:7">
      <c r="A1521" s="124" t="s">
        <v>426</v>
      </c>
      <c r="B1521" s="359" t="s">
        <v>365</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365</v>
      </c>
      <c r="C1524" s="56">
        <v>45898</v>
      </c>
      <c r="F1524" s="142" t="s">
        <v>1003</v>
      </c>
      <c r="G1524" t="s">
        <v>1396</v>
      </c>
    </row>
    <row r="1525" spans="1:7">
      <c r="A1525" s="330" t="s">
        <v>361</v>
      </c>
      <c r="B1525" s="319" t="s">
        <v>886</v>
      </c>
      <c r="C1525" s="56">
        <v>45898</v>
      </c>
      <c r="D1525" s="43">
        <v>6</v>
      </c>
      <c r="F1525" s="43" t="s">
        <v>1431</v>
      </c>
      <c r="G1525" t="s">
        <v>1396</v>
      </c>
    </row>
    <row r="1526" spans="1:7">
      <c r="A1526" s="348" t="s">
        <v>431</v>
      </c>
      <c r="B1526" s="315" t="s">
        <v>365</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361</v>
      </c>
      <c r="B1531" s="319" t="s">
        <v>886</v>
      </c>
      <c r="C1531" s="56">
        <v>45902</v>
      </c>
      <c r="D1531" s="43">
        <v>15</v>
      </c>
      <c r="F1531" s="43" t="s">
        <v>1437</v>
      </c>
      <c r="G1531" t="s">
        <v>1434</v>
      </c>
    </row>
    <row r="1532" spans="1:7">
      <c r="A1532" s="251" t="s">
        <v>426</v>
      </c>
      <c r="B1532" s="315" t="s">
        <v>365</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361</v>
      </c>
      <c r="B1539" s="322" t="s">
        <v>886</v>
      </c>
      <c r="C1539" s="56">
        <v>45903</v>
      </c>
      <c r="D1539" s="43">
        <v>65</v>
      </c>
      <c r="F1539" s="142" t="s">
        <v>1444</v>
      </c>
      <c r="G1539" t="s">
        <v>1434</v>
      </c>
    </row>
    <row r="1540" spans="1:7">
      <c r="A1540" s="667" t="s">
        <v>426</v>
      </c>
      <c r="B1540" s="359" t="s">
        <v>365</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364</v>
      </c>
      <c r="B1546" s="315" t="s">
        <v>886</v>
      </c>
      <c r="C1546" s="56">
        <v>45904</v>
      </c>
      <c r="D1546" s="43">
        <v>99</v>
      </c>
      <c r="F1546" s="43" t="s">
        <v>1448</v>
      </c>
      <c r="G1546" t="s">
        <v>1434</v>
      </c>
    </row>
    <row r="1547" spans="1:7">
      <c r="A1547" s="601" t="s">
        <v>361</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353</v>
      </c>
      <c r="B1563" s="650" t="s">
        <v>354</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353</v>
      </c>
      <c r="B1570" s="251" t="s">
        <v>354</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353</v>
      </c>
      <c r="B1574" s="251" t="s">
        <v>354</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353</v>
      </c>
      <c r="B1579" s="251" t="s">
        <v>354</v>
      </c>
      <c r="C1579" s="56">
        <v>45915</v>
      </c>
      <c r="D1579" s="43">
        <v>829</v>
      </c>
      <c r="F1579" s="69" t="s">
        <v>1317</v>
      </c>
      <c r="G1579" t="s">
        <v>1434</v>
      </c>
    </row>
    <row r="1580" spans="1:7">
      <c r="A1580" s="116" t="s">
        <v>361</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353</v>
      </c>
      <c r="B1585" s="251" t="s">
        <v>354</v>
      </c>
      <c r="C1585" s="56">
        <v>45916</v>
      </c>
      <c r="F1585" s="756" t="s">
        <v>1003</v>
      </c>
      <c r="G1585" t="s">
        <v>1434</v>
      </c>
    </row>
    <row r="1586" spans="1:7">
      <c r="A1586" s="158" t="s">
        <v>364</v>
      </c>
      <c r="B1586" s="251" t="s">
        <v>886</v>
      </c>
      <c r="C1586" s="56">
        <v>45916</v>
      </c>
      <c r="F1586" s="757" t="s">
        <v>1461</v>
      </c>
      <c r="G1586" t="s">
        <v>1434</v>
      </c>
    </row>
    <row r="1587" spans="1:7">
      <c r="A1587" s="116" t="s">
        <v>361</v>
      </c>
      <c r="B1587" s="382" t="s">
        <v>886</v>
      </c>
      <c r="C1587" s="56">
        <v>45916</v>
      </c>
      <c r="F1587" s="755" t="s">
        <v>1461</v>
      </c>
      <c r="G1587" t="s">
        <v>1434</v>
      </c>
    </row>
    <row r="1588" spans="1:7">
      <c r="A1588" s="667" t="s">
        <v>367</v>
      </c>
      <c r="B1588" s="142" t="s">
        <v>243</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353</v>
      </c>
      <c r="B1593" s="142" t="s">
        <v>354</v>
      </c>
      <c r="C1593" s="56">
        <v>45917</v>
      </c>
      <c r="D1593" s="43">
        <v>863</v>
      </c>
      <c r="F1593" s="756"/>
      <c r="G1593" t="s">
        <v>1434</v>
      </c>
    </row>
    <row r="1594" spans="1:7">
      <c r="A1594" s="760" t="s">
        <v>367</v>
      </c>
      <c r="B1594" s="309" t="s">
        <v>243</v>
      </c>
      <c r="C1594" s="56">
        <v>45917</v>
      </c>
      <c r="D1594" s="43">
        <v>253</v>
      </c>
      <c r="F1594" s="756"/>
      <c r="G1594" t="s">
        <v>1434</v>
      </c>
    </row>
    <row r="1595" spans="1:7">
      <c r="A1595" s="330" t="s">
        <v>364</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353</v>
      </c>
      <c r="B1603" s="251" t="s">
        <v>354</v>
      </c>
      <c r="C1603" s="56">
        <v>45918</v>
      </c>
      <c r="D1603" s="43">
        <v>499</v>
      </c>
      <c r="F1603" s="756"/>
      <c r="G1603" t="s">
        <v>1434</v>
      </c>
    </row>
    <row r="1604" spans="1:7">
      <c r="A1604" s="667" t="s">
        <v>367</v>
      </c>
      <c r="B1604" s="142" t="s">
        <v>243</v>
      </c>
      <c r="C1604" s="56">
        <v>45918</v>
      </c>
      <c r="D1604" s="156">
        <v>1076</v>
      </c>
      <c r="F1604" s="756"/>
      <c r="G1604" t="s">
        <v>1434</v>
      </c>
    </row>
    <row r="1605" spans="1:7">
      <c r="A1605" s="158" t="s">
        <v>364</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353</v>
      </c>
      <c r="B1608" s="251" t="s">
        <v>354</v>
      </c>
      <c r="C1608" s="56">
        <v>45919</v>
      </c>
      <c r="D1608" s="43">
        <v>475</v>
      </c>
      <c r="F1608" s="756"/>
      <c r="G1608" t="s">
        <v>1434</v>
      </c>
    </row>
    <row r="1609" spans="1:7">
      <c r="A1609" s="667" t="s">
        <v>367</v>
      </c>
      <c r="B1609" s="142" t="s">
        <v>243</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353</v>
      </c>
      <c r="B1616" s="142" t="s">
        <v>354</v>
      </c>
      <c r="C1616" s="56">
        <v>45922</v>
      </c>
      <c r="D1616" s="43">
        <v>839</v>
      </c>
      <c r="F1616" s="756"/>
      <c r="G1616" t="s">
        <v>1434</v>
      </c>
    </row>
    <row r="1617" spans="1:7">
      <c r="A1617" s="769" t="s">
        <v>367</v>
      </c>
      <c r="B1617" s="308" t="s">
        <v>243</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353</v>
      </c>
      <c r="B1625" s="251" t="s">
        <v>354</v>
      </c>
      <c r="C1625" s="56">
        <v>45923</v>
      </c>
      <c r="F1625" s="782" t="s">
        <v>1479</v>
      </c>
      <c r="G1625" t="s">
        <v>1434</v>
      </c>
    </row>
    <row r="1626" spans="1:7">
      <c r="A1626" s="667" t="s">
        <v>367</v>
      </c>
      <c r="B1626" s="779" t="s">
        <v>243</v>
      </c>
      <c r="C1626" s="56">
        <v>45923</v>
      </c>
      <c r="D1626" s="43">
        <v>120</v>
      </c>
      <c r="F1626" s="69"/>
      <c r="G1626" t="s">
        <v>1434</v>
      </c>
    </row>
    <row r="1627" spans="1:7">
      <c r="A1627" s="158" t="s">
        <v>364</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353</v>
      </c>
      <c r="B1636" s="413" t="s">
        <v>354</v>
      </c>
      <c r="C1636" s="355">
        <v>45924</v>
      </c>
      <c r="D1636" s="43">
        <v>616</v>
      </c>
      <c r="F1636" s="92"/>
      <c r="G1636" t="s">
        <v>1434</v>
      </c>
    </row>
    <row r="1637" spans="1:7">
      <c r="A1637" s="667" t="s">
        <v>367</v>
      </c>
      <c r="B1637" s="779" t="s">
        <v>243</v>
      </c>
      <c r="C1637" s="56">
        <v>45924</v>
      </c>
      <c r="D1637" s="43">
        <v>190</v>
      </c>
      <c r="F1637" s="69"/>
      <c r="G1637" t="s">
        <v>1434</v>
      </c>
    </row>
    <row r="1638" spans="1:7">
      <c r="A1638" s="158" t="s">
        <v>274</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356</v>
      </c>
      <c r="B1640" s="132" t="s">
        <v>243</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353</v>
      </c>
      <c r="B1651" s="251" t="s">
        <v>354</v>
      </c>
      <c r="C1651" s="56">
        <v>45925</v>
      </c>
      <c r="D1651" s="43">
        <v>969</v>
      </c>
      <c r="G1651" t="s">
        <v>1434</v>
      </c>
    </row>
    <row r="1652" spans="1:7">
      <c r="A1652" s="667" t="s">
        <v>367</v>
      </c>
      <c r="B1652" s="779" t="s">
        <v>243</v>
      </c>
      <c r="C1652" s="56">
        <v>45925</v>
      </c>
      <c r="F1652" s="142" t="s">
        <v>1020</v>
      </c>
      <c r="G1652" t="s">
        <v>1434</v>
      </c>
    </row>
    <row r="1653" spans="1:7">
      <c r="A1653" s="158" t="s">
        <v>274</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354</v>
      </c>
      <c r="C1657" s="56">
        <v>45926</v>
      </c>
      <c r="D1657" s="43">
        <v>300</v>
      </c>
      <c r="G1657" t="s">
        <v>1434</v>
      </c>
    </row>
    <row r="1658" spans="1:7">
      <c r="A1658" s="308" t="s">
        <v>935</v>
      </c>
      <c r="B1658" s="761" t="s">
        <v>1491</v>
      </c>
      <c r="C1658" s="56">
        <v>45926</v>
      </c>
      <c r="D1658" s="43">
        <v>364</v>
      </c>
      <c r="G1658" t="s">
        <v>1434</v>
      </c>
    </row>
    <row r="1659" spans="1:7">
      <c r="A1659" s="135" t="s">
        <v>353</v>
      </c>
      <c r="B1659" s="142" t="s">
        <v>354</v>
      </c>
      <c r="C1659" s="56">
        <v>45926</v>
      </c>
      <c r="D1659" s="43">
        <v>552</v>
      </c>
      <c r="G1659" t="s">
        <v>1434</v>
      </c>
    </row>
    <row r="1660" spans="1:7">
      <c r="A1660" s="769" t="s">
        <v>370</v>
      </c>
      <c r="B1660" s="308" t="s">
        <v>243</v>
      </c>
      <c r="C1660" s="56">
        <v>45926</v>
      </c>
      <c r="D1660" s="43">
        <v>551</v>
      </c>
      <c r="G1660" t="s">
        <v>1434</v>
      </c>
    </row>
    <row r="1661" spans="1:7">
      <c r="A1661" s="329" t="s">
        <v>274</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353</v>
      </c>
      <c r="B1669" s="142" t="s">
        <v>354</v>
      </c>
      <c r="C1669" s="56">
        <v>45929</v>
      </c>
      <c r="D1669" s="156">
        <v>1375</v>
      </c>
      <c r="G1669" t="s">
        <v>1434</v>
      </c>
    </row>
    <row r="1670" spans="1:7">
      <c r="A1670" s="769" t="s">
        <v>364</v>
      </c>
      <c r="B1670" s="308" t="s">
        <v>243</v>
      </c>
      <c r="C1670" s="56">
        <v>45929</v>
      </c>
      <c r="F1670" s="142" t="s">
        <v>1350</v>
      </c>
      <c r="G1670" t="s">
        <v>1434</v>
      </c>
    </row>
    <row r="1671" spans="1:7">
      <c r="A1671" s="309" t="s">
        <v>934</v>
      </c>
      <c r="B1671" s="309" t="s">
        <v>886</v>
      </c>
      <c r="C1671" s="56">
        <v>45929</v>
      </c>
      <c r="D1671" s="156">
        <v>1418</v>
      </c>
      <c r="G1671" t="s">
        <v>1434</v>
      </c>
    </row>
    <row r="1672" spans="1:7">
      <c r="A1672" s="43" t="s">
        <v>367</v>
      </c>
      <c r="B1672" s="322" t="s">
        <v>243</v>
      </c>
      <c r="C1672" s="56">
        <v>45929</v>
      </c>
      <c r="D1672" s="43">
        <v>479</v>
      </c>
      <c r="G1672" t="s">
        <v>1434</v>
      </c>
    </row>
    <row r="1673" spans="1:7">
      <c r="A1673" s="43" t="s">
        <v>370</v>
      </c>
      <c r="B1673" s="322" t="s">
        <v>243</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353</v>
      </c>
      <c r="B1682" s="308" t="s">
        <v>354</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370</v>
      </c>
      <c r="B1685" s="322" t="s">
        <v>243</v>
      </c>
      <c r="C1685" s="56">
        <v>45930</v>
      </c>
      <c r="D1685" s="43">
        <v>251</v>
      </c>
      <c r="G1685" t="s">
        <v>1434</v>
      </c>
    </row>
    <row r="1686" spans="1:7">
      <c r="A1686" s="543" t="s">
        <v>356</v>
      </c>
      <c r="B1686" s="360" t="s">
        <v>243</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353</v>
      </c>
      <c r="B1693" s="142" t="s">
        <v>354</v>
      </c>
      <c r="C1693" s="56">
        <v>45931</v>
      </c>
      <c r="D1693" s="43">
        <v>312</v>
      </c>
      <c r="G1693" t="s">
        <v>1500</v>
      </c>
    </row>
    <row r="1694" spans="1:7">
      <c r="A1694" s="569" t="s">
        <v>356</v>
      </c>
      <c r="B1694" s="142" t="s">
        <v>243</v>
      </c>
      <c r="C1694" s="56">
        <v>45931</v>
      </c>
      <c r="D1694" s="43">
        <v>753</v>
      </c>
      <c r="G1694" t="s">
        <v>1500</v>
      </c>
    </row>
    <row r="1695" spans="1:7">
      <c r="A1695" s="309" t="s">
        <v>370</v>
      </c>
      <c r="B1695" s="359" t="s">
        <v>243</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353</v>
      </c>
      <c r="B1703" s="142" t="s">
        <v>354</v>
      </c>
      <c r="C1703" s="56">
        <v>45932</v>
      </c>
      <c r="D1703" s="156">
        <v>1304</v>
      </c>
      <c r="G1703" t="s">
        <v>1500</v>
      </c>
    </row>
    <row r="1704" spans="1:7">
      <c r="A1704" s="309" t="s">
        <v>934</v>
      </c>
      <c r="B1704" s="309" t="s">
        <v>886</v>
      </c>
      <c r="C1704" s="56">
        <v>45932</v>
      </c>
      <c r="D1704" s="43">
        <v>614</v>
      </c>
      <c r="G1704" t="s">
        <v>1500</v>
      </c>
    </row>
    <row r="1705" spans="1:7">
      <c r="A1705" s="569" t="s">
        <v>356</v>
      </c>
      <c r="B1705" s="142" t="s">
        <v>243</v>
      </c>
      <c r="C1705" s="56">
        <v>45932</v>
      </c>
      <c r="D1705" s="43">
        <v>305</v>
      </c>
      <c r="G1705" t="s">
        <v>1500</v>
      </c>
    </row>
    <row r="1706" spans="1:7">
      <c r="A1706" s="309" t="s">
        <v>370</v>
      </c>
      <c r="B1706" s="359" t="s">
        <v>243</v>
      </c>
      <c r="C1706" s="56">
        <v>45932</v>
      </c>
      <c r="D1706" s="43">
        <v>789</v>
      </c>
      <c r="F1706" s="43" t="s">
        <v>1506</v>
      </c>
      <c r="G1706" t="s">
        <v>1500</v>
      </c>
    </row>
    <row r="1707" spans="1:7">
      <c r="A1707" s="142" t="s">
        <v>367</v>
      </c>
      <c r="B1707" s="142" t="s">
        <v>243</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353</v>
      </c>
      <c r="B1713" s="142" t="s">
        <v>354</v>
      </c>
      <c r="C1713" s="56">
        <v>45933</v>
      </c>
      <c r="D1713" s="43">
        <v>617</v>
      </c>
      <c r="G1713" t="s">
        <v>1500</v>
      </c>
    </row>
    <row r="1714" spans="1:7">
      <c r="A1714" s="309" t="s">
        <v>934</v>
      </c>
      <c r="B1714" s="309" t="s">
        <v>886</v>
      </c>
      <c r="C1714" s="56">
        <v>45933</v>
      </c>
      <c r="D1714" s="43">
        <v>486</v>
      </c>
      <c r="G1714" t="s">
        <v>1500</v>
      </c>
    </row>
    <row r="1715" spans="1:7">
      <c r="A1715" s="310" t="s">
        <v>370</v>
      </c>
      <c r="B1715" s="142" t="s">
        <v>243</v>
      </c>
      <c r="C1715" s="56">
        <v>45933</v>
      </c>
      <c r="F1715" s="43" t="s">
        <v>1509</v>
      </c>
      <c r="G1715" t="s">
        <v>1500</v>
      </c>
    </row>
    <row r="1716" spans="1:7">
      <c r="A1716" s="310" t="s">
        <v>367</v>
      </c>
      <c r="B1716" s="142" t="s">
        <v>243</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353</v>
      </c>
      <c r="B1724" s="142" t="s">
        <v>354</v>
      </c>
      <c r="C1724" s="56">
        <v>45936</v>
      </c>
      <c r="D1724" s="43">
        <v>768</v>
      </c>
      <c r="G1724" t="s">
        <v>1500</v>
      </c>
    </row>
    <row r="1725" spans="1:7">
      <c r="A1725" s="309" t="s">
        <v>934</v>
      </c>
      <c r="B1725" s="309" t="s">
        <v>639</v>
      </c>
      <c r="C1725" s="56">
        <v>45936</v>
      </c>
      <c r="D1725" s="43">
        <v>225</v>
      </c>
      <c r="G1725" t="s">
        <v>1500</v>
      </c>
    </row>
    <row r="1726" spans="1:7">
      <c r="A1726" s="567" t="s">
        <v>356</v>
      </c>
      <c r="B1726" s="310" t="s">
        <v>243</v>
      </c>
      <c r="C1726" s="56">
        <v>45936</v>
      </c>
      <c r="F1726" s="348" t="s">
        <v>1153</v>
      </c>
      <c r="G1726" t="s">
        <v>1500</v>
      </c>
    </row>
    <row r="1727" spans="1:7">
      <c r="A1727" s="315" t="s">
        <v>370</v>
      </c>
      <c r="B1727" s="315" t="s">
        <v>243</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353</v>
      </c>
      <c r="B1734" s="142" t="s">
        <v>354</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370</v>
      </c>
      <c r="B1737" s="142" t="s">
        <v>243</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370</v>
      </c>
      <c r="B1748" s="321" t="s">
        <v>243</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353</v>
      </c>
      <c r="B1755" s="251" t="s">
        <v>354</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370</v>
      </c>
      <c r="B1758" s="321" t="s">
        <v>243</v>
      </c>
      <c r="C1758" s="56">
        <v>45939</v>
      </c>
      <c r="D1758" s="43">
        <v>369</v>
      </c>
      <c r="G1758" t="s">
        <v>1500</v>
      </c>
    </row>
    <row r="1759" spans="1:7">
      <c r="A1759" s="116" t="s">
        <v>367</v>
      </c>
      <c r="B1759" s="321" t="s">
        <v>243</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348</v>
      </c>
      <c r="B1766" s="348" t="s">
        <v>886</v>
      </c>
      <c r="C1766" s="56">
        <v>45940</v>
      </c>
      <c r="F1766" s="315" t="s">
        <v>1339</v>
      </c>
      <c r="G1766" t="s">
        <v>1500</v>
      </c>
    </row>
    <row r="1767" spans="1:7">
      <c r="A1767" s="319" t="s">
        <v>356</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358</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374</v>
      </c>
      <c r="B1786" s="319" t="s">
        <v>243</v>
      </c>
      <c r="C1786" s="56">
        <v>45944</v>
      </c>
      <c r="D1786" s="43">
        <v>927</v>
      </c>
      <c r="F1786" s="43" t="s">
        <v>1507</v>
      </c>
      <c r="G1786" t="s">
        <v>1500</v>
      </c>
    </row>
    <row r="1787" spans="1:7">
      <c r="A1787" s="251" t="s">
        <v>358</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353</v>
      </c>
      <c r="B1794" s="315" t="s">
        <v>886</v>
      </c>
      <c r="C1794" s="56">
        <v>45945</v>
      </c>
      <c r="D1794" s="43">
        <v>986</v>
      </c>
      <c r="G1794" t="s">
        <v>1500</v>
      </c>
    </row>
    <row r="1795" spans="1:7">
      <c r="A1795" s="310" t="s">
        <v>377</v>
      </c>
      <c r="B1795" s="359" t="s">
        <v>1535</v>
      </c>
      <c r="C1795" s="56">
        <v>45945</v>
      </c>
      <c r="D1795" s="156">
        <v>1457</v>
      </c>
      <c r="F1795" s="43" t="s">
        <v>1536</v>
      </c>
      <c r="G1795" t="s">
        <v>1500</v>
      </c>
    </row>
    <row r="1796" spans="1:7">
      <c r="A1796" s="315" t="s">
        <v>374</v>
      </c>
      <c r="B1796" s="348" t="s">
        <v>243</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274</v>
      </c>
      <c r="B1804" s="310" t="s">
        <v>886</v>
      </c>
      <c r="C1804" s="314">
        <v>45946</v>
      </c>
      <c r="D1804" s="43">
        <v>170</v>
      </c>
      <c r="G1804" t="s">
        <v>1500</v>
      </c>
    </row>
    <row r="1805" spans="1:7">
      <c r="A1805" s="142" t="s">
        <v>377</v>
      </c>
      <c r="B1805" s="142" t="s">
        <v>1535</v>
      </c>
      <c r="C1805" s="314">
        <v>45946</v>
      </c>
      <c r="D1805" s="156">
        <v>1142</v>
      </c>
      <c r="F1805" s="43" t="s">
        <v>1541</v>
      </c>
      <c r="G1805" t="s">
        <v>1500</v>
      </c>
    </row>
    <row r="1806" spans="1:7">
      <c r="A1806" s="308" t="s">
        <v>374</v>
      </c>
      <c r="B1806" s="308" t="s">
        <v>243</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377</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356</v>
      </c>
      <c r="B1819" s="996" t="s">
        <v>886</v>
      </c>
      <c r="C1819" s="56">
        <v>45950</v>
      </c>
      <c r="D1819" s="43">
        <v>151</v>
      </c>
      <c r="G1819" t="s">
        <v>1500</v>
      </c>
    </row>
    <row r="1820" spans="1:7">
      <c r="A1820" s="782" t="s">
        <v>377</v>
      </c>
      <c r="B1820" s="782" t="s">
        <v>1535</v>
      </c>
      <c r="C1820" s="56">
        <v>45950</v>
      </c>
      <c r="D1820" s="156">
        <v>1186</v>
      </c>
      <c r="F1820" s="43" t="s">
        <v>1375</v>
      </c>
      <c r="G1820" t="s">
        <v>1500</v>
      </c>
    </row>
    <row r="1821" spans="1:7">
      <c r="A1821" s="993" t="s">
        <v>374</v>
      </c>
      <c r="B1821" s="993" t="s">
        <v>243</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356</v>
      </c>
      <c r="B1828" s="1004" t="s">
        <v>886</v>
      </c>
      <c r="C1828" s="56">
        <v>45951</v>
      </c>
      <c r="D1828" s="43">
        <v>149</v>
      </c>
      <c r="G1828" t="s">
        <v>1500</v>
      </c>
    </row>
    <row r="1829" spans="1:7">
      <c r="A1829" s="755" t="s">
        <v>377</v>
      </c>
      <c r="B1829" s="116" t="s">
        <v>1535</v>
      </c>
      <c r="C1829" s="56">
        <v>45951</v>
      </c>
      <c r="D1829" s="156">
        <v>1564</v>
      </c>
      <c r="F1829" s="43" t="s">
        <v>1553</v>
      </c>
      <c r="G1829" t="s">
        <v>1500</v>
      </c>
    </row>
    <row r="1830" spans="1:7">
      <c r="A1830" s="43" t="s">
        <v>374</v>
      </c>
      <c r="B1830" s="142" t="s">
        <v>243</v>
      </c>
      <c r="C1830" s="56">
        <v>45951</v>
      </c>
      <c r="D1830" s="43">
        <v>527</v>
      </c>
      <c r="F1830" s="43" t="s">
        <v>1542</v>
      </c>
      <c r="G1830" t="s">
        <v>1500</v>
      </c>
    </row>
    <row r="1831" spans="1:7">
      <c r="A1831" s="92" t="s">
        <v>379</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356</v>
      </c>
      <c r="B1837" s="1014" t="s">
        <v>886</v>
      </c>
      <c r="C1837" s="56">
        <v>45952</v>
      </c>
      <c r="F1837" s="310" t="s">
        <v>1558</v>
      </c>
      <c r="G1837" t="s">
        <v>1500</v>
      </c>
    </row>
    <row r="1838" spans="1:7">
      <c r="A1838" s="636" t="s">
        <v>377</v>
      </c>
      <c r="B1838" s="162" t="s">
        <v>1535</v>
      </c>
      <c r="C1838" s="56">
        <v>45952</v>
      </c>
      <c r="D1838" s="156">
        <v>1012</v>
      </c>
      <c r="F1838" s="43" t="s">
        <v>1559</v>
      </c>
      <c r="G1838" t="s">
        <v>1500</v>
      </c>
    </row>
    <row r="1839" spans="1:7">
      <c r="A1839" s="43" t="s">
        <v>374</v>
      </c>
      <c r="B1839" s="322" t="s">
        <v>243</v>
      </c>
      <c r="C1839" s="56">
        <v>45952</v>
      </c>
      <c r="D1839" s="43">
        <v>553</v>
      </c>
      <c r="G1839" t="s">
        <v>1500</v>
      </c>
    </row>
    <row r="1840" spans="1:7">
      <c r="A1840" s="69" t="s">
        <v>379</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356</v>
      </c>
      <c r="B1849" s="1014" t="s">
        <v>886</v>
      </c>
      <c r="C1849" s="56">
        <v>45953</v>
      </c>
      <c r="F1849" s="310" t="s">
        <v>1153</v>
      </c>
      <c r="G1849" t="s">
        <v>1500</v>
      </c>
    </row>
    <row r="1850" spans="1:7">
      <c r="A1850" s="636" t="s">
        <v>377</v>
      </c>
      <c r="B1850" s="162" t="s">
        <v>1535</v>
      </c>
      <c r="C1850" s="56">
        <v>45953</v>
      </c>
      <c r="D1850" s="43">
        <v>588</v>
      </c>
      <c r="F1850" s="43" t="s">
        <v>1566</v>
      </c>
      <c r="G1850" t="s">
        <v>1500</v>
      </c>
    </row>
    <row r="1851" spans="1:7">
      <c r="A1851" s="69" t="s">
        <v>379</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356</v>
      </c>
      <c r="B1857" s="1014" t="s">
        <v>886</v>
      </c>
      <c r="C1857" s="56">
        <v>45954</v>
      </c>
      <c r="F1857" s="43" t="s">
        <v>1570</v>
      </c>
      <c r="G1857" t="s">
        <v>1500</v>
      </c>
    </row>
    <row r="1858" spans="1:7">
      <c r="A1858" s="636" t="s">
        <v>375</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274</v>
      </c>
      <c r="B1869" s="1014" t="s">
        <v>886</v>
      </c>
      <c r="C1869" s="56">
        <v>45957</v>
      </c>
      <c r="F1869" s="324" t="s">
        <v>1399</v>
      </c>
      <c r="G1869" t="s">
        <v>1500</v>
      </c>
    </row>
    <row r="1870" spans="1:7">
      <c r="A1870" s="636" t="s">
        <v>375</v>
      </c>
      <c r="B1870" s="162" t="s">
        <v>1535</v>
      </c>
      <c r="C1870" s="56">
        <v>45957</v>
      </c>
      <c r="D1870" s="156">
        <v>1323</v>
      </c>
      <c r="F1870" s="43" t="s">
        <v>1578</v>
      </c>
      <c r="G1870" t="s">
        <v>1500</v>
      </c>
    </row>
    <row r="1871" spans="1:7">
      <c r="A1871" s="43" t="s">
        <v>374</v>
      </c>
      <c r="B1871" s="322" t="s">
        <v>243</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375</v>
      </c>
      <c r="B1883" s="162" t="s">
        <v>1535</v>
      </c>
      <c r="C1883" s="56">
        <v>45958</v>
      </c>
      <c r="D1883" s="156">
        <v>1516</v>
      </c>
      <c r="F1883" s="43" t="s">
        <v>1585</v>
      </c>
      <c r="G1883" t="s">
        <v>1500</v>
      </c>
    </row>
    <row r="1884" spans="1:7">
      <c r="A1884" s="43" t="s">
        <v>374</v>
      </c>
      <c r="B1884" s="322" t="s">
        <v>243</v>
      </c>
      <c r="C1884" s="56">
        <v>45958</v>
      </c>
      <c r="D1884" s="156">
        <v>1224</v>
      </c>
      <c r="G1884" t="s">
        <v>1500</v>
      </c>
    </row>
    <row r="1885" spans="1:7">
      <c r="A1885" s="43" t="s">
        <v>374</v>
      </c>
      <c r="B1885" s="677" t="s">
        <v>243</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375</v>
      </c>
      <c r="B1894" s="162" t="s">
        <v>1535</v>
      </c>
      <c r="C1894" s="56">
        <v>45959</v>
      </c>
      <c r="D1894" s="43">
        <v>790</v>
      </c>
      <c r="F1894" s="43" t="s">
        <v>1592</v>
      </c>
      <c r="G1894" t="s">
        <v>1500</v>
      </c>
    </row>
    <row r="1895" spans="1:7">
      <c r="A1895" s="43" t="s">
        <v>374</v>
      </c>
      <c r="B1895" s="677" t="s">
        <v>243</v>
      </c>
      <c r="C1895" s="56">
        <v>45959</v>
      </c>
      <c r="D1895" s="43">
        <v>343</v>
      </c>
      <c r="G1895" t="s">
        <v>1500</v>
      </c>
    </row>
    <row r="1896" spans="1:7">
      <c r="A1896" s="69" t="s">
        <v>372</v>
      </c>
      <c r="B1896" s="43" t="s">
        <v>243</v>
      </c>
      <c r="C1896" s="56">
        <v>45959</v>
      </c>
      <c r="D1896" s="156">
        <v>3179</v>
      </c>
      <c r="G1896" t="s">
        <v>1500</v>
      </c>
    </row>
    <row r="1897" spans="1:7">
      <c r="A1897" s="315" t="s">
        <v>353</v>
      </c>
      <c r="B1897" s="315" t="s">
        <v>886</v>
      </c>
      <c r="C1897" s="56">
        <v>45959</v>
      </c>
      <c r="F1897" s="43" t="s">
        <v>1593</v>
      </c>
      <c r="G1897" t="s">
        <v>1500</v>
      </c>
    </row>
    <row r="1898" spans="1:7">
      <c r="A1898" s="319" t="s">
        <v>356</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374</v>
      </c>
      <c r="B1910" s="322" t="s">
        <v>243</v>
      </c>
      <c r="C1910" s="56">
        <v>45960</v>
      </c>
      <c r="E1910" s="257"/>
      <c r="F1910" s="633" t="s">
        <v>1190</v>
      </c>
      <c r="G1910" t="s">
        <v>1500</v>
      </c>
    </row>
    <row r="1911" spans="1:7">
      <c r="A1911" s="636" t="s">
        <v>375</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353</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375</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379</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379</v>
      </c>
      <c r="B1933" s="322" t="s">
        <v>1535</v>
      </c>
      <c r="C1933" s="56">
        <v>45964</v>
      </c>
      <c r="D1933" s="43">
        <v>463</v>
      </c>
      <c r="G1933" t="s">
        <v>1610</v>
      </c>
    </row>
    <row r="1934" spans="1:7">
      <c r="A1934" s="309" t="s">
        <v>372</v>
      </c>
      <c r="B1934" s="308" t="s">
        <v>243</v>
      </c>
      <c r="C1934" s="56">
        <v>45964</v>
      </c>
      <c r="D1934" s="43">
        <v>882</v>
      </c>
      <c r="F1934" s="43" t="s">
        <v>1613</v>
      </c>
      <c r="G1934" t="s">
        <v>1610</v>
      </c>
    </row>
    <row r="1935" spans="1:7">
      <c r="A1935" s="142" t="s">
        <v>353</v>
      </c>
      <c r="B1935" s="360" t="s">
        <v>886</v>
      </c>
      <c r="C1935" s="56">
        <v>45964</v>
      </c>
      <c r="F1935" s="43" t="s">
        <v>1346</v>
      </c>
      <c r="G1935" t="s">
        <v>1610</v>
      </c>
    </row>
    <row r="1936" spans="1:7">
      <c r="A1936" s="142" t="s">
        <v>353</v>
      </c>
      <c r="B1936" s="360" t="s">
        <v>1614</v>
      </c>
      <c r="C1936" s="56">
        <v>45964</v>
      </c>
      <c r="E1936" s="325">
        <v>3846</v>
      </c>
      <c r="F1936" s="43" t="s">
        <v>1615</v>
      </c>
      <c r="G1936" t="s">
        <v>1610</v>
      </c>
    </row>
    <row r="1937" spans="1:7">
      <c r="A1937" s="142" t="s">
        <v>353</v>
      </c>
      <c r="B1937" s="360" t="s">
        <v>354</v>
      </c>
      <c r="C1937" s="56">
        <v>45964</v>
      </c>
      <c r="F1937" s="966" t="s">
        <v>1616</v>
      </c>
      <c r="G1937" t="s">
        <v>1610</v>
      </c>
    </row>
    <row r="1938" spans="1:7">
      <c r="A1938" s="142" t="s">
        <v>381</v>
      </c>
      <c r="B1938" s="1072" t="s">
        <v>886</v>
      </c>
      <c r="C1938" s="56">
        <v>45964</v>
      </c>
      <c r="D1938" s="43">
        <v>207</v>
      </c>
      <c r="G1938" t="s">
        <v>1610</v>
      </c>
    </row>
    <row r="1939" spans="1:7">
      <c r="A1939" s="142" t="s">
        <v>305</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245</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379</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372</v>
      </c>
      <c r="B1951" s="43" t="s">
        <v>243</v>
      </c>
      <c r="C1951" s="56">
        <v>45965</v>
      </c>
      <c r="D1951" s="156">
        <v>1072</v>
      </c>
      <c r="F1951" s="43" t="s">
        <v>1621</v>
      </c>
      <c r="G1951" t="s">
        <v>1610</v>
      </c>
    </row>
    <row r="1952" spans="1:7">
      <c r="A1952" s="1074" t="s">
        <v>377</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305</v>
      </c>
      <c r="B1954" s="43" t="s">
        <v>140</v>
      </c>
      <c r="C1954" s="56">
        <v>45965</v>
      </c>
      <c r="D1954" s="325">
        <v>3910</v>
      </c>
      <c r="E1954" s="43"/>
      <c r="F1954" s="155" t="s">
        <v>1622</v>
      </c>
      <c r="G1954" t="s">
        <v>1610</v>
      </c>
    </row>
    <row r="1955" spans="1:7">
      <c r="A1955" s="251" t="s">
        <v>309</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245</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379</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372</v>
      </c>
      <c r="B1965" s="308" t="s">
        <v>243</v>
      </c>
      <c r="C1965" s="56">
        <v>45966</v>
      </c>
      <c r="D1965" s="156">
        <v>1034</v>
      </c>
      <c r="G1965" t="s">
        <v>1610</v>
      </c>
    </row>
    <row r="1966" spans="1:7">
      <c r="A1966" s="315" t="s">
        <v>358</v>
      </c>
      <c r="B1966" s="1075" t="s">
        <v>1315</v>
      </c>
      <c r="C1966" s="56">
        <v>45966</v>
      </c>
      <c r="D1966" s="43">
        <v>150</v>
      </c>
      <c r="G1966" t="s">
        <v>1610</v>
      </c>
    </row>
    <row r="1967" spans="1:7">
      <c r="A1967" s="251" t="s">
        <v>353</v>
      </c>
      <c r="B1967" s="158" t="s">
        <v>1614</v>
      </c>
      <c r="C1967" s="56">
        <v>45966</v>
      </c>
      <c r="E1967" s="1087">
        <v>13112</v>
      </c>
      <c r="F1967" s="116" t="s">
        <v>1624</v>
      </c>
      <c r="G1967" t="s">
        <v>1610</v>
      </c>
    </row>
    <row r="1968" spans="1:7">
      <c r="A1968" s="251" t="s">
        <v>305</v>
      </c>
      <c r="B1968" s="308" t="s">
        <v>140</v>
      </c>
      <c r="C1968" s="56">
        <v>45966</v>
      </c>
      <c r="D1968" s="140">
        <v>346</v>
      </c>
      <c r="E1968" s="156"/>
      <c r="F1968" s="43" t="s">
        <v>1317</v>
      </c>
      <c r="G1968" t="s">
        <v>1610</v>
      </c>
    </row>
    <row r="1969" spans="1:7">
      <c r="A1969" s="382" t="s">
        <v>309</v>
      </c>
      <c r="B1969" s="308" t="s">
        <v>140</v>
      </c>
      <c r="C1969" s="56">
        <v>45966</v>
      </c>
      <c r="D1969" s="140">
        <v>656</v>
      </c>
      <c r="E1969" s="156"/>
      <c r="G1969" t="s">
        <v>1610</v>
      </c>
    </row>
    <row r="1970" spans="1:7">
      <c r="A1970" s="382" t="s">
        <v>307</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379</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372</v>
      </c>
      <c r="B1978" s="43" t="s">
        <v>243</v>
      </c>
      <c r="C1978" s="56">
        <v>45967</v>
      </c>
      <c r="D1978" s="43">
        <v>209</v>
      </c>
      <c r="G1978" t="s">
        <v>1610</v>
      </c>
    </row>
    <row r="1979" spans="1:7">
      <c r="A1979" s="636" t="s">
        <v>378</v>
      </c>
      <c r="B1979" s="779" t="s">
        <v>1535</v>
      </c>
      <c r="C1979" s="56">
        <v>45967</v>
      </c>
      <c r="D1979" s="156">
        <v>1063</v>
      </c>
      <c r="G1979" t="s">
        <v>1610</v>
      </c>
    </row>
    <row r="1980" spans="1:7">
      <c r="A1980" s="755" t="s">
        <v>307</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378</v>
      </c>
      <c r="B1985" s="308" t="s">
        <v>886</v>
      </c>
      <c r="C1985" s="56">
        <v>45968</v>
      </c>
      <c r="D1985" s="43">
        <v>350</v>
      </c>
      <c r="G1985" t="s">
        <v>1610</v>
      </c>
    </row>
    <row r="1986" spans="1:7">
      <c r="A1986" s="142" t="s">
        <v>378</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375</v>
      </c>
      <c r="B1988" s="779" t="s">
        <v>1535</v>
      </c>
      <c r="C1988" s="56">
        <v>45968</v>
      </c>
      <c r="F1988" s="315" t="s">
        <v>1260</v>
      </c>
      <c r="G1988" t="s">
        <v>1610</v>
      </c>
    </row>
    <row r="1989" spans="1:7">
      <c r="A1989" s="251" t="s">
        <v>370</v>
      </c>
      <c r="B1989" s="43" t="s">
        <v>243</v>
      </c>
      <c r="C1989" s="56">
        <v>45968</v>
      </c>
      <c r="D1989" s="43">
        <v>569</v>
      </c>
      <c r="G1989" t="s">
        <v>1610</v>
      </c>
    </row>
    <row r="1990" spans="1:7">
      <c r="A1990" s="251" t="s">
        <v>325</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372</v>
      </c>
      <c r="B1998" s="826" t="s">
        <v>243</v>
      </c>
      <c r="C1998" s="56">
        <v>45971</v>
      </c>
      <c r="D1998" s="43">
        <v>96</v>
      </c>
      <c r="G1998" t="s">
        <v>1610</v>
      </c>
    </row>
    <row r="1999" spans="1:7">
      <c r="A1999" s="308" t="s">
        <v>238</v>
      </c>
      <c r="B1999" s="360" t="s">
        <v>1609</v>
      </c>
      <c r="C1999" s="56">
        <v>45971</v>
      </c>
      <c r="D1999" s="43">
        <v>562</v>
      </c>
      <c r="G1999" t="s">
        <v>1610</v>
      </c>
    </row>
    <row r="2000" spans="1:7">
      <c r="A2000" s="142" t="s">
        <v>242</v>
      </c>
      <c r="B2000" s="826" t="s">
        <v>243</v>
      </c>
      <c r="C2000" s="56">
        <v>45971</v>
      </c>
      <c r="D2000" s="43">
        <v>435</v>
      </c>
      <c r="F2000" s="43" t="s">
        <v>1634</v>
      </c>
      <c r="G2000" t="s">
        <v>1610</v>
      </c>
    </row>
    <row r="2001" spans="1:7">
      <c r="A2001" s="1088" t="s">
        <v>325</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377</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375</v>
      </c>
      <c r="B2014" s="43" t="s">
        <v>1535</v>
      </c>
      <c r="C2014" s="56">
        <v>45973</v>
      </c>
      <c r="F2014" s="315" t="s">
        <v>1641</v>
      </c>
      <c r="G2014" t="s">
        <v>1610</v>
      </c>
    </row>
    <row r="2015" spans="1:7">
      <c r="A2015" s="636" t="s">
        <v>292</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325</v>
      </c>
      <c r="B2017" s="43" t="s">
        <v>140</v>
      </c>
      <c r="C2017" s="56">
        <v>45973</v>
      </c>
      <c r="D2017" s="43">
        <v>242</v>
      </c>
      <c r="G2017" t="s">
        <v>1610</v>
      </c>
    </row>
    <row r="2018" spans="1:7">
      <c r="A2018" s="43" t="s">
        <v>320</v>
      </c>
      <c r="B2018" s="43" t="s">
        <v>140</v>
      </c>
      <c r="C2018" s="56">
        <v>45973</v>
      </c>
      <c r="D2018" s="156">
        <v>1264</v>
      </c>
      <c r="G2018" t="s">
        <v>1610</v>
      </c>
    </row>
    <row r="2019" spans="1:7">
      <c r="A2019" s="43" t="s">
        <v>329</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239</v>
      </c>
      <c r="C2025" s="56">
        <v>45974</v>
      </c>
      <c r="D2025" s="43">
        <v>606</v>
      </c>
      <c r="G2025" t="s">
        <v>1610</v>
      </c>
    </row>
    <row r="2026" spans="1:7">
      <c r="A2026" s="1147" t="s">
        <v>242</v>
      </c>
      <c r="B2026" s="1148" t="s">
        <v>243</v>
      </c>
      <c r="C2026" s="56">
        <v>45974</v>
      </c>
      <c r="D2026" s="156">
        <v>1123</v>
      </c>
      <c r="F2026" s="43" t="s">
        <v>1645</v>
      </c>
      <c r="G2026" t="s">
        <v>1610</v>
      </c>
    </row>
    <row r="2027" spans="1:7">
      <c r="A2027" s="636" t="s">
        <v>292</v>
      </c>
      <c r="B2027" s="43" t="s">
        <v>1535</v>
      </c>
      <c r="C2027" s="56">
        <v>45974</v>
      </c>
      <c r="D2027" s="156">
        <v>2912</v>
      </c>
      <c r="G2027" t="s">
        <v>1610</v>
      </c>
    </row>
    <row r="2028" spans="1:7">
      <c r="A2028" s="636" t="s">
        <v>348</v>
      </c>
      <c r="B2028" s="43" t="s">
        <v>1315</v>
      </c>
      <c r="C2028" s="56">
        <v>45974</v>
      </c>
      <c r="F2028" s="43" t="s">
        <v>1037</v>
      </c>
      <c r="G2028" t="s">
        <v>1610</v>
      </c>
    </row>
    <row r="2029" spans="1:7">
      <c r="A2029" s="43" t="s">
        <v>329</v>
      </c>
      <c r="B2029" s="43" t="s">
        <v>140</v>
      </c>
      <c r="C2029" s="56">
        <v>45974</v>
      </c>
      <c r="D2029" s="156">
        <v>3382</v>
      </c>
      <c r="G2029" t="s">
        <v>1610</v>
      </c>
    </row>
    <row r="2030" spans="1:7">
      <c r="A2030" s="43" t="s">
        <v>320</v>
      </c>
      <c r="B2030" s="43" t="s">
        <v>140</v>
      </c>
      <c r="C2030" s="56">
        <v>45974</v>
      </c>
      <c r="D2030" s="156">
        <v>1281</v>
      </c>
      <c r="G2030" t="s">
        <v>1610</v>
      </c>
    </row>
    <row r="2031" spans="1:7">
      <c r="A2031" s="251" t="s">
        <v>346</v>
      </c>
      <c r="B2031" s="43" t="s">
        <v>140</v>
      </c>
      <c r="C2031" s="56">
        <v>45974</v>
      </c>
      <c r="D2031" s="43">
        <v>424</v>
      </c>
      <c r="G2031" t="s">
        <v>1610</v>
      </c>
    </row>
    <row r="2032" spans="1:7">
      <c r="A2032" s="251" t="s">
        <v>331</v>
      </c>
      <c r="B2032" s="43" t="s">
        <v>140</v>
      </c>
      <c r="C2032" s="56">
        <v>45974</v>
      </c>
      <c r="D2032" s="43">
        <v>598</v>
      </c>
      <c r="G2032" t="s">
        <v>1610</v>
      </c>
    </row>
    <row r="2033" spans="1:7">
      <c r="A2033" s="142" t="s">
        <v>397</v>
      </c>
      <c r="B2033" s="142" t="s">
        <v>1315</v>
      </c>
      <c r="C2033" s="56">
        <v>45975</v>
      </c>
      <c r="E2033" s="1087">
        <v>5647</v>
      </c>
      <c r="F2033" s="310" t="s">
        <v>1646</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1647</v>
      </c>
      <c r="G2035" t="s">
        <v>1610</v>
      </c>
    </row>
    <row r="2036" spans="1:7">
      <c r="A2036" s="142" t="s">
        <v>222</v>
      </c>
      <c r="B2036" s="142" t="s">
        <v>1315</v>
      </c>
      <c r="C2036" s="56">
        <v>45975</v>
      </c>
      <c r="D2036" s="43">
        <v>430</v>
      </c>
      <c r="G2036" t="s">
        <v>1610</v>
      </c>
    </row>
    <row r="2037" spans="1:7">
      <c r="A2037" s="309" t="s">
        <v>238</v>
      </c>
      <c r="B2037" s="308" t="s">
        <v>239</v>
      </c>
      <c r="C2037" s="56">
        <v>45975</v>
      </c>
      <c r="D2037" s="43">
        <v>322</v>
      </c>
      <c r="G2037" t="s">
        <v>1610</v>
      </c>
    </row>
    <row r="2038" spans="1:7">
      <c r="A2038" s="315" t="s">
        <v>292</v>
      </c>
      <c r="B2038" s="319" t="s">
        <v>1535</v>
      </c>
      <c r="C2038" s="56">
        <v>45975</v>
      </c>
      <c r="D2038" s="156">
        <v>2125</v>
      </c>
      <c r="G2038" t="s">
        <v>1610</v>
      </c>
    </row>
    <row r="2039" spans="1:7">
      <c r="A2039" s="142" t="s">
        <v>327</v>
      </c>
      <c r="B2039" s="142" t="s">
        <v>140</v>
      </c>
      <c r="C2039" s="56">
        <v>45975</v>
      </c>
      <c r="G2039" t="s">
        <v>1610</v>
      </c>
    </row>
    <row r="2040" spans="1:7">
      <c r="A2040" s="308" t="s">
        <v>320</v>
      </c>
      <c r="B2040" s="308" t="s">
        <v>140</v>
      </c>
      <c r="C2040" s="56">
        <v>45975</v>
      </c>
      <c r="G2040" t="s">
        <v>1610</v>
      </c>
    </row>
    <row r="2041" spans="1:7">
      <c r="A2041" s="308" t="s">
        <v>329</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1648</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1649</v>
      </c>
      <c r="G2048" t="s">
        <v>1610</v>
      </c>
    </row>
    <row r="2049" spans="1:7">
      <c r="A2049" s="310" t="s">
        <v>274</v>
      </c>
      <c r="B2049" s="322" t="s">
        <v>886</v>
      </c>
      <c r="C2049" s="56">
        <v>45978</v>
      </c>
      <c r="D2049" s="43">
        <v>176</v>
      </c>
      <c r="G2049" t="s">
        <v>1610</v>
      </c>
    </row>
    <row r="2050" spans="1:7">
      <c r="A2050" s="142" t="s">
        <v>274</v>
      </c>
      <c r="B2050" s="360" t="s">
        <v>886</v>
      </c>
      <c r="C2050" s="56">
        <v>45978</v>
      </c>
      <c r="D2050" s="43">
        <v>270</v>
      </c>
      <c r="G2050" t="s">
        <v>1610</v>
      </c>
    </row>
    <row r="2051" spans="1:7">
      <c r="A2051" s="142" t="s">
        <v>238</v>
      </c>
      <c r="B2051" s="360" t="s">
        <v>239</v>
      </c>
      <c r="C2051" s="56">
        <v>45978</v>
      </c>
      <c r="D2051" s="43">
        <v>420</v>
      </c>
      <c r="G2051" t="s">
        <v>1610</v>
      </c>
    </row>
    <row r="2052" spans="1:7">
      <c r="A2052" s="308" t="s">
        <v>242</v>
      </c>
      <c r="B2052" s="1072" t="s">
        <v>243</v>
      </c>
      <c r="C2052" s="56">
        <v>45978</v>
      </c>
      <c r="G2052" t="s">
        <v>1610</v>
      </c>
    </row>
    <row r="2053" spans="1:7">
      <c r="A2053" s="308" t="s">
        <v>292</v>
      </c>
      <c r="B2053" s="308" t="s">
        <v>1535</v>
      </c>
      <c r="C2053" s="56">
        <v>45978</v>
      </c>
      <c r="D2053" s="156">
        <v>1449</v>
      </c>
      <c r="G2053" t="s">
        <v>1610</v>
      </c>
    </row>
    <row r="2054" spans="1:7">
      <c r="A2054" s="142" t="s">
        <v>329</v>
      </c>
      <c r="B2054" s="142" t="s">
        <v>140</v>
      </c>
      <c r="C2054" s="56">
        <v>45978</v>
      </c>
      <c r="G2054" t="s">
        <v>1610</v>
      </c>
    </row>
    <row r="2055" spans="1:7">
      <c r="A2055" s="308" t="s">
        <v>320</v>
      </c>
      <c r="B2055" s="308" t="s">
        <v>140</v>
      </c>
      <c r="C2055" s="56">
        <v>45978</v>
      </c>
      <c r="G2055" t="s">
        <v>1610</v>
      </c>
    </row>
    <row r="2056" spans="1:7">
      <c r="A2056" s="308" t="s">
        <v>331</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1650</v>
      </c>
      <c r="Q1" s="160" t="s">
        <v>1651</v>
      </c>
      <c r="R1" s="128" t="s">
        <v>1652</v>
      </c>
      <c r="S1" s="128" t="s">
        <v>1653</v>
      </c>
      <c r="T1" s="160" t="s">
        <v>1654</v>
      </c>
      <c r="U1" s="128" t="s">
        <v>1020</v>
      </c>
      <c r="V1" s="161" t="s">
        <v>1655</v>
      </c>
      <c r="W1" s="161" t="s">
        <v>1656</v>
      </c>
      <c r="X1" s="164" t="s">
        <v>1657</v>
      </c>
      <c r="Y1" s="262" t="e" cm="1">
        <f t="array" ref="Y1">VLOOKUP(#REF!,#REF!, FALSE)</f>
        <v>#REF!</v>
      </c>
    </row>
    <row r="2" spans="1:25">
      <c r="A2" s="181" t="s">
        <v>356</v>
      </c>
      <c r="B2" s="183" t="s">
        <v>219</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351</v>
      </c>
      <c r="O3" s="54">
        <v>45721</v>
      </c>
      <c r="P3" s="87" t="s">
        <v>351</v>
      </c>
      <c r="Q3" s="69" t="s">
        <v>351</v>
      </c>
      <c r="R3" s="69" t="s">
        <v>351</v>
      </c>
      <c r="S3" s="69" t="s">
        <v>56</v>
      </c>
      <c r="T3" s="69" t="s">
        <v>351</v>
      </c>
      <c r="U3" s="69" t="s">
        <v>351</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351</v>
      </c>
      <c r="O6" s="367">
        <v>45718</v>
      </c>
      <c r="P6" s="30" t="s">
        <v>351</v>
      </c>
      <c r="Q6" s="345" t="s">
        <v>351</v>
      </c>
      <c r="R6" s="43" t="s">
        <v>1658</v>
      </c>
      <c r="S6" s="43" t="s">
        <v>351</v>
      </c>
      <c r="T6" s="43" t="s">
        <v>351</v>
      </c>
      <c r="U6" s="158" t="s">
        <v>351</v>
      </c>
      <c r="V6" s="69" t="s">
        <v>94</v>
      </c>
      <c r="W6" s="79"/>
      <c r="X6" s="69" t="s">
        <v>94</v>
      </c>
      <c r="Y6" t="e">
        <f>VLOOKUP(A6,#REF!,2,FALSE)</f>
        <v>#REF!</v>
      </c>
    </row>
    <row r="7" spans="1:25">
      <c r="A7" s="396" t="s">
        <v>854</v>
      </c>
      <c r="B7" s="708" t="s">
        <v>219</v>
      </c>
      <c r="C7" s="397">
        <v>45742</v>
      </c>
      <c r="D7" s="425" t="s">
        <v>363</v>
      </c>
      <c r="E7" s="540"/>
      <c r="F7" s="541"/>
      <c r="G7" s="541"/>
      <c r="H7" s="182">
        <v>60</v>
      </c>
      <c r="I7" s="184"/>
      <c r="J7" s="188" t="s">
        <v>57</v>
      </c>
      <c r="K7" s="188" t="s">
        <v>57</v>
      </c>
      <c r="L7" s="188" t="s">
        <v>63</v>
      </c>
      <c r="M7" s="196">
        <v>45716</v>
      </c>
      <c r="N7" s="30" t="s">
        <v>351</v>
      </c>
      <c r="O7" s="79" t="s">
        <v>351</v>
      </c>
      <c r="P7" s="30" t="s">
        <v>351</v>
      </c>
      <c r="Q7" s="345" t="s">
        <v>351</v>
      </c>
      <c r="R7" s="43" t="s">
        <v>1658</v>
      </c>
      <c r="S7" s="43" t="s">
        <v>351</v>
      </c>
      <c r="T7" s="43" t="s">
        <v>351</v>
      </c>
      <c r="U7" s="43" t="s">
        <v>351</v>
      </c>
      <c r="V7" s="69" t="s">
        <v>94</v>
      </c>
      <c r="W7" s="30"/>
      <c r="X7" s="69" t="s">
        <v>94</v>
      </c>
      <c r="Y7" t="e">
        <f>VLOOKUP(A7,#REF!,2,FALSE)</f>
        <v>#REF!</v>
      </c>
    </row>
    <row r="8" spans="1:25">
      <c r="A8" s="178" t="s">
        <v>429</v>
      </c>
      <c r="B8" s="183" t="s">
        <v>219</v>
      </c>
      <c r="C8" s="179">
        <v>45742</v>
      </c>
      <c r="D8" s="188" t="s">
        <v>1659</v>
      </c>
      <c r="E8" s="121"/>
      <c r="F8" s="109"/>
      <c r="G8" s="109"/>
      <c r="H8" s="182">
        <v>84</v>
      </c>
      <c r="I8" s="184"/>
      <c r="J8" s="188" t="s">
        <v>57</v>
      </c>
      <c r="K8" s="188" t="s">
        <v>57</v>
      </c>
      <c r="L8" s="188" t="s">
        <v>63</v>
      </c>
      <c r="M8" s="196">
        <v>45716</v>
      </c>
      <c r="N8" s="30" t="s">
        <v>351</v>
      </c>
      <c r="O8" s="30" t="s">
        <v>351</v>
      </c>
      <c r="P8" s="733" t="s">
        <v>351</v>
      </c>
      <c r="Q8" s="69" t="s">
        <v>351</v>
      </c>
      <c r="R8" s="43" t="s">
        <v>1658</v>
      </c>
      <c r="S8" s="43" t="s">
        <v>351</v>
      </c>
      <c r="T8" s="43" t="s">
        <v>351</v>
      </c>
      <c r="U8" s="43" t="s">
        <v>351</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351</v>
      </c>
      <c r="O9" s="54">
        <v>45718</v>
      </c>
      <c r="P9" s="120" t="s">
        <v>351</v>
      </c>
      <c r="Q9" s="69" t="s">
        <v>351</v>
      </c>
      <c r="R9" s="43" t="s">
        <v>1658</v>
      </c>
      <c r="S9" s="43" t="s">
        <v>351</v>
      </c>
      <c r="T9" s="43" t="s">
        <v>351</v>
      </c>
      <c r="U9" s="43" t="s">
        <v>351</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351</v>
      </c>
      <c r="O10" s="30" t="s">
        <v>351</v>
      </c>
      <c r="P10" s="30" t="s">
        <v>351</v>
      </c>
      <c r="Q10" s="43" t="s">
        <v>351</v>
      </c>
      <c r="R10" s="43" t="s">
        <v>1658</v>
      </c>
      <c r="S10" s="43" t="s">
        <v>351</v>
      </c>
      <c r="T10" s="43" t="s">
        <v>351</v>
      </c>
      <c r="U10" s="162" t="s">
        <v>351</v>
      </c>
      <c r="V10" s="345" t="s">
        <v>94</v>
      </c>
      <c r="W10" s="30"/>
      <c r="X10" s="69" t="s">
        <v>94</v>
      </c>
      <c r="Y10" t="e">
        <f>VLOOKUP(A10,#REF!,2,FALSE)</f>
        <v>#REF!</v>
      </c>
    </row>
    <row r="11" spans="1:25">
      <c r="A11" s="184" t="s">
        <v>361</v>
      </c>
      <c r="B11" s="436" t="s">
        <v>219</v>
      </c>
      <c r="C11" s="179">
        <v>45991</v>
      </c>
      <c r="D11" s="552" t="s">
        <v>363</v>
      </c>
      <c r="E11" s="121">
        <v>31</v>
      </c>
      <c r="F11" s="109"/>
      <c r="G11" s="109"/>
      <c r="H11" s="188">
        <v>31</v>
      </c>
      <c r="I11" s="184"/>
      <c r="J11" s="188" t="s">
        <v>57</v>
      </c>
      <c r="K11" s="188" t="s">
        <v>57</v>
      </c>
      <c r="L11" s="188" t="s">
        <v>63</v>
      </c>
      <c r="M11" s="198">
        <v>45716</v>
      </c>
      <c r="N11" s="30" t="s">
        <v>64</v>
      </c>
      <c r="O11" s="54">
        <v>45716</v>
      </c>
      <c r="P11" s="87" t="s">
        <v>351</v>
      </c>
      <c r="Q11" s="69" t="s">
        <v>351</v>
      </c>
      <c r="R11" s="43" t="s">
        <v>1658</v>
      </c>
      <c r="S11" s="43" t="s">
        <v>351</v>
      </c>
      <c r="T11" s="43" t="s">
        <v>351</v>
      </c>
      <c r="U11" s="345" t="s">
        <v>94</v>
      </c>
      <c r="V11" s="69" t="s">
        <v>94</v>
      </c>
      <c r="W11" s="30"/>
      <c r="X11" s="43"/>
    </row>
    <row r="12" spans="1:25">
      <c r="A12" s="178" t="s">
        <v>364</v>
      </c>
      <c r="B12" s="183" t="s">
        <v>219</v>
      </c>
      <c r="C12" s="179">
        <v>45772</v>
      </c>
      <c r="D12" s="202" t="s">
        <v>363</v>
      </c>
      <c r="E12" s="194"/>
      <c r="F12" s="139"/>
      <c r="G12" s="139"/>
      <c r="H12" s="188">
        <v>31</v>
      </c>
      <c r="I12" s="184"/>
      <c r="J12" s="188" t="s">
        <v>57</v>
      </c>
      <c r="K12" s="188" t="s">
        <v>57</v>
      </c>
      <c r="L12" s="188" t="s">
        <v>63</v>
      </c>
      <c r="M12" s="196">
        <v>45716</v>
      </c>
      <c r="N12" s="30" t="s">
        <v>64</v>
      </c>
      <c r="O12" s="54">
        <v>45716</v>
      </c>
      <c r="P12" s="87" t="s">
        <v>351</v>
      </c>
      <c r="Q12" s="69" t="s">
        <v>351</v>
      </c>
      <c r="R12" s="43" t="s">
        <v>1658</v>
      </c>
      <c r="S12" s="43" t="s">
        <v>351</v>
      </c>
      <c r="T12" s="43" t="s">
        <v>351</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367</v>
      </c>
      <c r="B14" s="183" t="s">
        <v>219</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351</v>
      </c>
      <c r="O15" s="54">
        <v>45718</v>
      </c>
      <c r="P15" s="30" t="s">
        <v>351</v>
      </c>
      <c r="Q15" s="43" t="s">
        <v>351</v>
      </c>
      <c r="R15" s="43" t="s">
        <v>351</v>
      </c>
      <c r="S15" s="43" t="s">
        <v>56</v>
      </c>
      <c r="T15" s="43" t="s">
        <v>351</v>
      </c>
      <c r="U15" s="43" t="s">
        <v>351</v>
      </c>
      <c r="V15" s="43" t="s">
        <v>351</v>
      </c>
      <c r="W15" s="54">
        <v>45856</v>
      </c>
      <c r="X15" s="69" t="s">
        <v>1660</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1661</v>
      </c>
      <c r="N16" s="30" t="s">
        <v>351</v>
      </c>
      <c r="O16" s="54" t="s">
        <v>1661</v>
      </c>
      <c r="P16" s="30" t="s">
        <v>351</v>
      </c>
      <c r="Q16" s="69" t="s">
        <v>351</v>
      </c>
      <c r="R16" s="43" t="s">
        <v>351</v>
      </c>
      <c r="S16" s="43" t="s">
        <v>56</v>
      </c>
      <c r="T16" s="43" t="s">
        <v>351</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351</v>
      </c>
      <c r="O17" s="54">
        <v>45863</v>
      </c>
      <c r="P17" s="30" t="s">
        <v>351</v>
      </c>
      <c r="Q17" s="69" t="s">
        <v>351</v>
      </c>
      <c r="R17" s="43" t="s">
        <v>351</v>
      </c>
      <c r="S17" s="43" t="s">
        <v>56</v>
      </c>
      <c r="T17" s="43" t="s">
        <v>351</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351</v>
      </c>
      <c r="O18" s="198">
        <v>45881</v>
      </c>
      <c r="P18" s="30" t="s">
        <v>351</v>
      </c>
      <c r="Q18" s="69" t="s">
        <v>351</v>
      </c>
      <c r="R18" s="43" t="s">
        <v>351</v>
      </c>
      <c r="S18" s="43" t="s">
        <v>56</v>
      </c>
      <c r="T18" s="43" t="s">
        <v>351</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351</v>
      </c>
      <c r="O19" s="54">
        <v>45873</v>
      </c>
      <c r="P19" s="87" t="s">
        <v>351</v>
      </c>
      <c r="Q19" s="69" t="s">
        <v>351</v>
      </c>
      <c r="R19" s="69" t="s">
        <v>351</v>
      </c>
      <c r="S19" s="69" t="s">
        <v>56</v>
      </c>
      <c r="T19" s="69" t="s">
        <v>351</v>
      </c>
      <c r="U19" s="69" t="s">
        <v>351</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351</v>
      </c>
      <c r="O20" s="125">
        <v>45709</v>
      </c>
      <c r="P20" s="87" t="s">
        <v>351</v>
      </c>
      <c r="Q20" s="69" t="s">
        <v>351</v>
      </c>
      <c r="R20" s="69" t="s">
        <v>351</v>
      </c>
      <c r="S20" s="69" t="s">
        <v>56</v>
      </c>
      <c r="T20" s="69" t="s">
        <v>351</v>
      </c>
      <c r="U20" s="69" t="s">
        <v>351</v>
      </c>
      <c r="V20" s="69" t="s">
        <v>351</v>
      </c>
      <c r="W20" s="54">
        <v>45811</v>
      </c>
      <c r="X20" s="69" t="s">
        <v>1660</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351</v>
      </c>
      <c r="O21" s="54">
        <v>45737</v>
      </c>
      <c r="P21" s="87" t="s">
        <v>351</v>
      </c>
      <c r="Q21" s="69" t="s">
        <v>351</v>
      </c>
      <c r="R21" s="69" t="s">
        <v>351</v>
      </c>
      <c r="S21" s="69" t="s">
        <v>56</v>
      </c>
      <c r="T21" s="69" t="s">
        <v>351</v>
      </c>
      <c r="U21" s="69" t="s">
        <v>351</v>
      </c>
      <c r="V21" s="69" t="s">
        <v>351</v>
      </c>
      <c r="W21" s="54">
        <v>45779</v>
      </c>
      <c r="X21" s="69" t="s">
        <v>1660</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351</v>
      </c>
      <c r="O22" s="54">
        <v>45814</v>
      </c>
      <c r="P22" s="87" t="s">
        <v>351</v>
      </c>
      <c r="Q22" s="69" t="s">
        <v>351</v>
      </c>
      <c r="R22" s="69" t="s">
        <v>351</v>
      </c>
      <c r="S22" s="69" t="s">
        <v>56</v>
      </c>
      <c r="T22" s="69" t="s">
        <v>351</v>
      </c>
      <c r="U22" s="69" t="s">
        <v>351</v>
      </c>
      <c r="V22" s="69" t="s">
        <v>351</v>
      </c>
      <c r="W22" s="54">
        <v>45848</v>
      </c>
      <c r="X22" s="69" t="s">
        <v>1660</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351</v>
      </c>
      <c r="O23" s="54">
        <v>45789</v>
      </c>
      <c r="P23" s="87" t="s">
        <v>351</v>
      </c>
      <c r="Q23" s="69" t="s">
        <v>351</v>
      </c>
      <c r="R23" s="69" t="s">
        <v>351</v>
      </c>
      <c r="S23" s="69" t="s">
        <v>56</v>
      </c>
      <c r="T23" s="69" t="s">
        <v>351</v>
      </c>
      <c r="U23" s="69" t="s">
        <v>351</v>
      </c>
      <c r="V23" s="69" t="s">
        <v>351</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351</v>
      </c>
      <c r="O24" s="54">
        <v>45782</v>
      </c>
      <c r="P24" s="87" t="s">
        <v>351</v>
      </c>
      <c r="Q24" s="69" t="s">
        <v>351</v>
      </c>
      <c r="R24" s="69" t="s">
        <v>351</v>
      </c>
      <c r="S24" s="69" t="s">
        <v>56</v>
      </c>
      <c r="T24" s="69" t="s">
        <v>351</v>
      </c>
      <c r="U24" s="69" t="s">
        <v>351</v>
      </c>
      <c r="V24" s="69" t="s">
        <v>351</v>
      </c>
      <c r="W24" s="54">
        <v>45826</v>
      </c>
      <c r="X24" s="69" t="s">
        <v>1660</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351</v>
      </c>
      <c r="O25" s="125">
        <v>45716</v>
      </c>
      <c r="P25" s="87" t="s">
        <v>351</v>
      </c>
      <c r="Q25" s="69" t="s">
        <v>351</v>
      </c>
      <c r="R25" s="69" t="s">
        <v>351</v>
      </c>
      <c r="S25" s="69" t="s">
        <v>56</v>
      </c>
      <c r="T25" s="69" t="s">
        <v>351</v>
      </c>
      <c r="U25" s="69" t="s">
        <v>351</v>
      </c>
      <c r="V25" s="69" t="s">
        <v>351</v>
      </c>
      <c r="W25" s="54">
        <v>45793</v>
      </c>
      <c r="X25" s="69" t="s">
        <v>1660</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351</v>
      </c>
      <c r="O26" s="54">
        <v>45840</v>
      </c>
      <c r="P26" s="87" t="s">
        <v>351</v>
      </c>
      <c r="Q26" s="69" t="s">
        <v>351</v>
      </c>
      <c r="R26" s="69" t="s">
        <v>351</v>
      </c>
      <c r="S26" s="69" t="s">
        <v>56</v>
      </c>
      <c r="T26" s="69" t="s">
        <v>351</v>
      </c>
      <c r="U26" s="69" t="s">
        <v>351</v>
      </c>
      <c r="V26" s="69" t="s">
        <v>351</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351</v>
      </c>
      <c r="O27" s="54">
        <v>45853</v>
      </c>
      <c r="P27" s="87" t="s">
        <v>351</v>
      </c>
      <c r="Q27" s="69" t="s">
        <v>351</v>
      </c>
      <c r="R27" s="69" t="s">
        <v>351</v>
      </c>
      <c r="S27" s="69" t="s">
        <v>56</v>
      </c>
      <c r="T27" s="69" t="s">
        <v>351</v>
      </c>
      <c r="U27" s="69" t="s">
        <v>351</v>
      </c>
      <c r="V27" s="69" t="s">
        <v>351</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351</v>
      </c>
      <c r="O28" s="54">
        <v>45793</v>
      </c>
      <c r="P28" s="87" t="s">
        <v>351</v>
      </c>
      <c r="Q28" s="69" t="s">
        <v>351</v>
      </c>
      <c r="R28" s="69" t="s">
        <v>351</v>
      </c>
      <c r="S28" s="69" t="s">
        <v>56</v>
      </c>
      <c r="T28" s="69" t="s">
        <v>351</v>
      </c>
      <c r="U28" s="69" t="s">
        <v>351</v>
      </c>
      <c r="V28" s="69" t="s">
        <v>351</v>
      </c>
      <c r="W28" s="30"/>
      <c r="X28" s="69"/>
    </row>
    <row r="29" spans="1:25">
      <c r="A29" s="181" t="s">
        <v>522</v>
      </c>
      <c r="B29" s="178" t="s">
        <v>115</v>
      </c>
      <c r="C29" s="179">
        <v>45711</v>
      </c>
      <c r="D29" s="202" t="s">
        <v>366</v>
      </c>
      <c r="E29" s="723"/>
      <c r="F29" s="727"/>
      <c r="G29" s="727"/>
      <c r="H29" s="182">
        <v>54</v>
      </c>
      <c r="I29" s="184"/>
      <c r="J29" s="192" t="s">
        <v>57</v>
      </c>
      <c r="K29" s="192" t="s">
        <v>57</v>
      </c>
      <c r="L29" s="182" t="s">
        <v>63</v>
      </c>
      <c r="M29" s="198">
        <v>45659</v>
      </c>
      <c r="N29" s="30" t="s">
        <v>351</v>
      </c>
      <c r="O29" s="125">
        <v>45692</v>
      </c>
      <c r="P29" s="30" t="s">
        <v>351</v>
      </c>
      <c r="Q29" s="43" t="s">
        <v>351</v>
      </c>
      <c r="R29" s="43" t="s">
        <v>351</v>
      </c>
      <c r="S29" s="43" t="s">
        <v>351</v>
      </c>
      <c r="T29" s="43" t="s">
        <v>351</v>
      </c>
      <c r="U29" s="43" t="s">
        <v>351</v>
      </c>
      <c r="V29" s="69" t="s">
        <v>351</v>
      </c>
      <c r="W29" s="54">
        <v>45789</v>
      </c>
      <c r="X29" s="69" t="s">
        <v>1660</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351</v>
      </c>
      <c r="O30" s="125">
        <v>45692</v>
      </c>
      <c r="P30" s="30" t="s">
        <v>351</v>
      </c>
      <c r="Q30" s="43" t="s">
        <v>351</v>
      </c>
      <c r="R30" s="43" t="s">
        <v>351</v>
      </c>
      <c r="S30" s="43" t="s">
        <v>351</v>
      </c>
      <c r="T30" s="43" t="s">
        <v>351</v>
      </c>
      <c r="U30" s="116" t="s">
        <v>351</v>
      </c>
      <c r="V30" s="69" t="s">
        <v>351</v>
      </c>
      <c r="W30" s="54">
        <v>45789</v>
      </c>
      <c r="X30" s="69" t="s">
        <v>1660</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351</v>
      </c>
      <c r="O31" s="54">
        <v>45707</v>
      </c>
      <c r="P31" s="87" t="s">
        <v>351</v>
      </c>
      <c r="Q31" s="43" t="s">
        <v>351</v>
      </c>
      <c r="R31" s="43" t="s">
        <v>1658</v>
      </c>
      <c r="S31" s="43" t="s">
        <v>351</v>
      </c>
      <c r="T31" s="140" t="s">
        <v>351</v>
      </c>
      <c r="U31" s="116" t="s">
        <v>351</v>
      </c>
      <c r="V31" s="69" t="s">
        <v>351</v>
      </c>
      <c r="W31" s="54">
        <v>45779</v>
      </c>
      <c r="X31" s="69" t="s">
        <v>1660</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351</v>
      </c>
      <c r="O32" s="54">
        <v>45756</v>
      </c>
      <c r="P32" s="30" t="s">
        <v>351</v>
      </c>
      <c r="Q32" s="69" t="s">
        <v>351</v>
      </c>
      <c r="R32" s="69" t="s">
        <v>1658</v>
      </c>
      <c r="S32" s="43" t="s">
        <v>351</v>
      </c>
      <c r="T32" s="140" t="s">
        <v>351</v>
      </c>
      <c r="U32" s="43" t="s">
        <v>351</v>
      </c>
      <c r="V32" s="69" t="s">
        <v>351</v>
      </c>
      <c r="W32" s="54">
        <v>45792</v>
      </c>
      <c r="X32" s="69" t="s">
        <v>1660</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351</v>
      </c>
      <c r="O33" s="125">
        <v>45749</v>
      </c>
      <c r="P33" s="30" t="s">
        <v>351</v>
      </c>
      <c r="Q33" s="69" t="s">
        <v>351</v>
      </c>
      <c r="R33" s="69" t="s">
        <v>1658</v>
      </c>
      <c r="S33" s="43" t="s">
        <v>351</v>
      </c>
      <c r="T33" s="140" t="s">
        <v>351</v>
      </c>
      <c r="U33" s="43" t="s">
        <v>351</v>
      </c>
      <c r="V33" s="345" t="s">
        <v>351</v>
      </c>
      <c r="W33" s="54">
        <v>45812</v>
      </c>
      <c r="X33" s="69" t="s">
        <v>1660</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351</v>
      </c>
      <c r="O34" s="125">
        <v>45750</v>
      </c>
      <c r="P34" s="30" t="s">
        <v>351</v>
      </c>
      <c r="Q34" s="69" t="s">
        <v>351</v>
      </c>
      <c r="R34" s="69" t="s">
        <v>1658</v>
      </c>
      <c r="S34" s="43" t="s">
        <v>351</v>
      </c>
      <c r="T34" s="140" t="s">
        <v>351</v>
      </c>
      <c r="U34" s="43" t="s">
        <v>351</v>
      </c>
      <c r="V34" s="418" t="s">
        <v>351</v>
      </c>
      <c r="W34" s="168">
        <v>45797</v>
      </c>
      <c r="X34" s="69" t="s">
        <v>1660</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351</v>
      </c>
      <c r="O35" s="125">
        <v>45659</v>
      </c>
      <c r="P35" s="87" t="s">
        <v>351</v>
      </c>
      <c r="Q35" s="43" t="s">
        <v>351</v>
      </c>
      <c r="R35" s="43" t="s">
        <v>1658</v>
      </c>
      <c r="S35" s="43" t="s">
        <v>351</v>
      </c>
      <c r="T35" s="140" t="s">
        <v>351</v>
      </c>
      <c r="U35" s="171" t="s">
        <v>351</v>
      </c>
      <c r="V35" s="69" t="s">
        <v>351</v>
      </c>
      <c r="W35" s="54">
        <v>45789</v>
      </c>
      <c r="X35" s="345" t="s">
        <v>1660</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351</v>
      </c>
      <c r="O36" s="125">
        <v>45659</v>
      </c>
      <c r="P36" s="87" t="s">
        <v>351</v>
      </c>
      <c r="Q36" s="43" t="s">
        <v>351</v>
      </c>
      <c r="R36" s="43" t="s">
        <v>1658</v>
      </c>
      <c r="S36" s="43" t="s">
        <v>351</v>
      </c>
      <c r="T36" s="140" t="s">
        <v>351</v>
      </c>
      <c r="U36" s="43" t="s">
        <v>351</v>
      </c>
      <c r="V36" s="69" t="s">
        <v>351</v>
      </c>
      <c r="W36" s="54">
        <v>45824</v>
      </c>
      <c r="X36" s="345" t="s">
        <v>1660</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351</v>
      </c>
      <c r="N37" s="30" t="s">
        <v>351</v>
      </c>
      <c r="O37" s="125">
        <v>45672</v>
      </c>
      <c r="P37" s="30" t="s">
        <v>351</v>
      </c>
      <c r="Q37" s="43" t="s">
        <v>351</v>
      </c>
      <c r="R37" s="43" t="s">
        <v>1658</v>
      </c>
      <c r="S37" s="43" t="s">
        <v>351</v>
      </c>
      <c r="T37" s="43" t="s">
        <v>351</v>
      </c>
      <c r="U37" s="171" t="s">
        <v>351</v>
      </c>
      <c r="V37" s="69" t="s">
        <v>351</v>
      </c>
      <c r="W37" s="157">
        <v>45789</v>
      </c>
      <c r="X37" s="69" t="s">
        <v>1660</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351</v>
      </c>
      <c r="O38" s="125">
        <v>45673</v>
      </c>
      <c r="P38" s="30" t="s">
        <v>351</v>
      </c>
      <c r="Q38" s="43" t="s">
        <v>351</v>
      </c>
      <c r="R38" s="43" t="s">
        <v>1658</v>
      </c>
      <c r="S38" s="43" t="s">
        <v>351</v>
      </c>
      <c r="T38" s="43" t="s">
        <v>351</v>
      </c>
      <c r="U38" s="171" t="s">
        <v>351</v>
      </c>
      <c r="V38" s="69" t="s">
        <v>351</v>
      </c>
      <c r="W38" s="54">
        <v>45789</v>
      </c>
      <c r="X38" s="69" t="s">
        <v>1660</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351</v>
      </c>
      <c r="N39" s="30" t="s">
        <v>351</v>
      </c>
      <c r="O39" s="125">
        <v>45672</v>
      </c>
      <c r="P39" s="30" t="s">
        <v>351</v>
      </c>
      <c r="Q39" s="43" t="s">
        <v>351</v>
      </c>
      <c r="R39" s="43" t="s">
        <v>1658</v>
      </c>
      <c r="S39" s="43" t="s">
        <v>351</v>
      </c>
      <c r="T39" s="43" t="s">
        <v>351</v>
      </c>
      <c r="U39" s="171" t="s">
        <v>351</v>
      </c>
      <c r="V39" s="69" t="s">
        <v>351</v>
      </c>
      <c r="W39" s="54">
        <v>45789</v>
      </c>
      <c r="X39" s="69" t="s">
        <v>1660</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351</v>
      </c>
      <c r="O40" s="125">
        <v>45715</v>
      </c>
      <c r="P40" s="30" t="s">
        <v>351</v>
      </c>
      <c r="Q40" s="43" t="s">
        <v>351</v>
      </c>
      <c r="R40" s="43" t="s">
        <v>351</v>
      </c>
      <c r="S40" s="43" t="s">
        <v>351</v>
      </c>
      <c r="T40" s="43" t="s">
        <v>351</v>
      </c>
      <c r="U40" s="43" t="s">
        <v>351</v>
      </c>
      <c r="V40" s="69" t="s">
        <v>351</v>
      </c>
      <c r="W40" s="54">
        <v>45789</v>
      </c>
      <c r="X40" s="69" t="s">
        <v>1660</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351</v>
      </c>
      <c r="O41" s="54">
        <v>45729</v>
      </c>
      <c r="P41" s="87" t="s">
        <v>351</v>
      </c>
      <c r="Q41" s="43" t="s">
        <v>351</v>
      </c>
      <c r="R41" s="43" t="s">
        <v>351</v>
      </c>
      <c r="S41" s="43" t="s">
        <v>351</v>
      </c>
      <c r="T41" s="43" t="s">
        <v>351</v>
      </c>
      <c r="U41" s="171" t="s">
        <v>351</v>
      </c>
      <c r="V41" s="69" t="s">
        <v>351</v>
      </c>
      <c r="W41" s="54">
        <v>45789</v>
      </c>
      <c r="X41" s="69" t="s">
        <v>1660</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351</v>
      </c>
      <c r="O42" s="54">
        <v>45737</v>
      </c>
      <c r="P42" s="87" t="s">
        <v>351</v>
      </c>
      <c r="Q42" s="43" t="s">
        <v>351</v>
      </c>
      <c r="R42" s="43" t="s">
        <v>351</v>
      </c>
      <c r="S42" s="43" t="s">
        <v>351</v>
      </c>
      <c r="T42" s="43" t="s">
        <v>351</v>
      </c>
      <c r="U42" s="43" t="s">
        <v>351</v>
      </c>
      <c r="V42" s="69" t="s">
        <v>351</v>
      </c>
      <c r="W42" s="54">
        <v>45789</v>
      </c>
      <c r="X42" s="69" t="s">
        <v>1660</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351</v>
      </c>
      <c r="N43" s="30" t="s">
        <v>351</v>
      </c>
      <c r="O43" s="125">
        <v>45726</v>
      </c>
      <c r="P43" s="30" t="s">
        <v>351</v>
      </c>
      <c r="Q43" s="43" t="s">
        <v>351</v>
      </c>
      <c r="R43" s="43" t="s">
        <v>351</v>
      </c>
      <c r="S43" s="43" t="s">
        <v>351</v>
      </c>
      <c r="T43" s="43" t="s">
        <v>351</v>
      </c>
      <c r="U43" s="43" t="s">
        <v>351</v>
      </c>
      <c r="V43" s="69" t="s">
        <v>351</v>
      </c>
      <c r="W43" s="54">
        <v>45786</v>
      </c>
      <c r="X43" s="69" t="s">
        <v>1660</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351</v>
      </c>
      <c r="O44" s="54">
        <v>45741</v>
      </c>
      <c r="P44" s="30" t="s">
        <v>351</v>
      </c>
      <c r="Q44" s="43" t="s">
        <v>351</v>
      </c>
      <c r="R44" s="43" t="s">
        <v>351</v>
      </c>
      <c r="S44" s="43" t="s">
        <v>351</v>
      </c>
      <c r="T44" s="43" t="s">
        <v>351</v>
      </c>
      <c r="U44" s="43" t="s">
        <v>351</v>
      </c>
      <c r="V44" s="69" t="s">
        <v>351</v>
      </c>
      <c r="W44" s="54">
        <v>45789</v>
      </c>
      <c r="X44" s="69" t="s">
        <v>1660</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351</v>
      </c>
      <c r="N45" s="30" t="s">
        <v>351</v>
      </c>
      <c r="O45" s="125">
        <v>45695</v>
      </c>
      <c r="P45" s="30" t="s">
        <v>351</v>
      </c>
      <c r="Q45" s="43" t="s">
        <v>351</v>
      </c>
      <c r="R45" s="43" t="s">
        <v>351</v>
      </c>
      <c r="S45" s="43" t="s">
        <v>351</v>
      </c>
      <c r="T45" s="43" t="s">
        <v>351</v>
      </c>
      <c r="U45" s="43" t="s">
        <v>351</v>
      </c>
      <c r="V45" s="69" t="s">
        <v>351</v>
      </c>
      <c r="W45" s="54">
        <v>45789</v>
      </c>
      <c r="X45" s="69" t="s">
        <v>1660</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351</v>
      </c>
      <c r="O46" s="125">
        <v>45810</v>
      </c>
      <c r="P46" s="30" t="s">
        <v>351</v>
      </c>
      <c r="Q46" s="43" t="s">
        <v>351</v>
      </c>
      <c r="R46" s="43" t="s">
        <v>351</v>
      </c>
      <c r="S46" s="43" t="s">
        <v>351</v>
      </c>
      <c r="T46" s="43" t="s">
        <v>351</v>
      </c>
      <c r="U46" s="43" t="s">
        <v>351</v>
      </c>
      <c r="V46" s="69" t="s">
        <v>351</v>
      </c>
      <c r="W46" s="54">
        <v>45847</v>
      </c>
      <c r="X46" s="69" t="s">
        <v>1660</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351</v>
      </c>
      <c r="O47" s="54">
        <v>45880</v>
      </c>
      <c r="P47" s="87" t="s">
        <v>351</v>
      </c>
      <c r="Q47" s="43" t="s">
        <v>351</v>
      </c>
      <c r="R47" s="43" t="s">
        <v>351</v>
      </c>
      <c r="S47" s="43" t="s">
        <v>56</v>
      </c>
      <c r="T47" s="43" t="s">
        <v>351</v>
      </c>
      <c r="U47" s="43" t="s">
        <v>351</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351</v>
      </c>
      <c r="O48" s="54">
        <v>45882</v>
      </c>
      <c r="P48" s="87" t="s">
        <v>351</v>
      </c>
      <c r="Q48" s="158" t="s">
        <v>351</v>
      </c>
      <c r="R48" s="158" t="s">
        <v>351</v>
      </c>
      <c r="S48" s="43" t="s">
        <v>351</v>
      </c>
      <c r="T48" s="43" t="s">
        <v>351</v>
      </c>
      <c r="U48" s="69" t="s">
        <v>351</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351</v>
      </c>
      <c r="O49" s="54">
        <v>45840</v>
      </c>
      <c r="P49" s="87" t="s">
        <v>351</v>
      </c>
      <c r="Q49" s="43" t="s">
        <v>351</v>
      </c>
      <c r="R49" s="43" t="s">
        <v>351</v>
      </c>
      <c r="S49" s="43" t="s">
        <v>56</v>
      </c>
      <c r="T49" s="43" t="s">
        <v>351</v>
      </c>
      <c r="U49" s="43" t="s">
        <v>351</v>
      </c>
      <c r="V49" s="69" t="s">
        <v>351</v>
      </c>
      <c r="W49" s="54">
        <v>45877</v>
      </c>
      <c r="X49" s="69" t="s">
        <v>1660</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351</v>
      </c>
      <c r="O50" s="54">
        <v>45847</v>
      </c>
      <c r="P50" s="87" t="s">
        <v>351</v>
      </c>
      <c r="Q50" s="43" t="s">
        <v>351</v>
      </c>
      <c r="R50" s="43" t="s">
        <v>351</v>
      </c>
      <c r="S50" s="43" t="s">
        <v>56</v>
      </c>
      <c r="T50" s="43" t="s">
        <v>351</v>
      </c>
      <c r="U50" s="43" t="s">
        <v>351</v>
      </c>
      <c r="V50" s="69" t="s">
        <v>351</v>
      </c>
      <c r="W50" s="54">
        <v>45895</v>
      </c>
      <c r="X50" s="69" t="s">
        <v>1660</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351</v>
      </c>
      <c r="O51" s="54">
        <v>45840</v>
      </c>
      <c r="P51" s="87" t="s">
        <v>351</v>
      </c>
      <c r="Q51" s="43" t="s">
        <v>351</v>
      </c>
      <c r="R51" s="43" t="s">
        <v>351</v>
      </c>
      <c r="S51" s="43" t="s">
        <v>56</v>
      </c>
      <c r="T51" s="43" t="s">
        <v>351</v>
      </c>
      <c r="U51" s="43" t="s">
        <v>351</v>
      </c>
      <c r="V51" s="69" t="s">
        <v>351</v>
      </c>
      <c r="W51" s="54">
        <v>45877</v>
      </c>
      <c r="X51" s="69" t="s">
        <v>1660</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351</v>
      </c>
      <c r="O52" s="54">
        <v>45833</v>
      </c>
      <c r="P52" s="30" t="s">
        <v>351</v>
      </c>
      <c r="Q52" s="43" t="s">
        <v>351</v>
      </c>
      <c r="R52" s="43" t="s">
        <v>351</v>
      </c>
      <c r="S52" s="43" t="s">
        <v>351</v>
      </c>
      <c r="T52" s="43" t="s">
        <v>351</v>
      </c>
      <c r="U52" s="43" t="s">
        <v>351</v>
      </c>
      <c r="V52" s="69" t="s">
        <v>351</v>
      </c>
      <c r="W52" s="54">
        <v>45848</v>
      </c>
      <c r="X52" s="69" t="s">
        <v>1660</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351</v>
      </c>
      <c r="O53" s="54">
        <v>45840</v>
      </c>
      <c r="P53" s="87" t="s">
        <v>351</v>
      </c>
      <c r="Q53" s="43" t="s">
        <v>56</v>
      </c>
      <c r="R53" s="43" t="s">
        <v>351</v>
      </c>
      <c r="S53" s="43" t="s">
        <v>351</v>
      </c>
      <c r="T53" s="43" t="s">
        <v>351</v>
      </c>
      <c r="U53" s="43" t="s">
        <v>351</v>
      </c>
      <c r="V53" s="69" t="s">
        <v>351</v>
      </c>
      <c r="W53" s="54">
        <v>45916</v>
      </c>
      <c r="X53" s="69" t="s">
        <v>1660</v>
      </c>
    </row>
    <row r="54" spans="1:56">
      <c r="A54" s="181" t="s">
        <v>764</v>
      </c>
      <c r="B54" s="547" t="s">
        <v>115</v>
      </c>
      <c r="C54" s="180">
        <v>45899</v>
      </c>
      <c r="D54" s="719"/>
      <c r="E54" s="194"/>
      <c r="F54" s="139"/>
      <c r="G54" s="139"/>
      <c r="H54" s="188">
        <v>73</v>
      </c>
      <c r="I54" s="184"/>
      <c r="J54" s="188" t="s">
        <v>57</v>
      </c>
      <c r="K54" s="188" t="s">
        <v>57</v>
      </c>
      <c r="L54" s="188" t="s">
        <v>63</v>
      </c>
      <c r="M54" s="198">
        <v>45887</v>
      </c>
      <c r="N54" s="87" t="s">
        <v>351</v>
      </c>
      <c r="O54" s="54">
        <v>45887</v>
      </c>
      <c r="P54" s="87" t="s">
        <v>351</v>
      </c>
      <c r="Q54" s="43" t="s">
        <v>351</v>
      </c>
      <c r="R54" s="43" t="s">
        <v>351</v>
      </c>
      <c r="S54" s="43" t="s">
        <v>351</v>
      </c>
      <c r="T54" s="43" t="s">
        <v>351</v>
      </c>
      <c r="U54" s="43" t="s">
        <v>351</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351</v>
      </c>
      <c r="O55" s="54">
        <v>45887</v>
      </c>
      <c r="P55" s="87" t="s">
        <v>351</v>
      </c>
      <c r="Q55" s="116" t="s">
        <v>351</v>
      </c>
      <c r="R55" s="116" t="s">
        <v>351</v>
      </c>
      <c r="S55" s="116" t="s">
        <v>351</v>
      </c>
      <c r="T55" s="116" t="s">
        <v>351</v>
      </c>
      <c r="U55" s="43" t="s">
        <v>351</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351</v>
      </c>
      <c r="O56" s="54">
        <v>45887</v>
      </c>
      <c r="P56" s="332" t="s">
        <v>351</v>
      </c>
      <c r="Q56" s="43" t="s">
        <v>351</v>
      </c>
      <c r="R56" s="43" t="s">
        <v>351</v>
      </c>
      <c r="S56" s="43" t="s">
        <v>351</v>
      </c>
      <c r="T56" s="43" t="s">
        <v>351</v>
      </c>
      <c r="U56" s="43" t="s">
        <v>351</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351</v>
      </c>
      <c r="O57" s="125">
        <v>45783</v>
      </c>
      <c r="P57" s="332" t="s">
        <v>351</v>
      </c>
      <c r="Q57" s="43" t="s">
        <v>351</v>
      </c>
      <c r="R57" s="43" t="s">
        <v>1658</v>
      </c>
      <c r="S57" s="43" t="s">
        <v>351</v>
      </c>
      <c r="T57" s="43" t="s">
        <v>351</v>
      </c>
      <c r="U57" s="43" t="s">
        <v>351</v>
      </c>
      <c r="V57" s="69" t="s">
        <v>351</v>
      </c>
      <c r="W57" s="54">
        <v>45813</v>
      </c>
      <c r="X57" s="69" t="s">
        <v>1660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351</v>
      </c>
      <c r="O58" s="54">
        <v>45776</v>
      </c>
      <c r="P58" s="332" t="s">
        <v>351</v>
      </c>
      <c r="Q58" s="43" t="s">
        <v>351</v>
      </c>
      <c r="R58" s="43" t="s">
        <v>1658</v>
      </c>
      <c r="S58" s="43" t="s">
        <v>351</v>
      </c>
      <c r="T58" s="43" t="s">
        <v>351</v>
      </c>
      <c r="U58" s="43" t="s">
        <v>351</v>
      </c>
      <c r="V58" s="345" t="s">
        <v>351</v>
      </c>
      <c r="W58" s="54">
        <v>45796</v>
      </c>
      <c r="X58" s="69" t="s">
        <v>1660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351</v>
      </c>
      <c r="O59" s="30" t="s">
        <v>77</v>
      </c>
      <c r="P59" s="332" t="s">
        <v>351</v>
      </c>
      <c r="Q59" s="43" t="s">
        <v>351</v>
      </c>
      <c r="R59" s="43" t="s">
        <v>1658</v>
      </c>
      <c r="S59" s="43" t="s">
        <v>351</v>
      </c>
      <c r="T59" s="43" t="s">
        <v>351</v>
      </c>
      <c r="U59" s="43" t="s">
        <v>351</v>
      </c>
      <c r="V59" s="345" t="s">
        <v>351</v>
      </c>
      <c r="W59" s="54">
        <v>45796</v>
      </c>
      <c r="X59" s="69" t="s">
        <v>1660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351</v>
      </c>
      <c r="O60" s="54">
        <v>45812</v>
      </c>
      <c r="P60" s="332" t="s">
        <v>351</v>
      </c>
      <c r="Q60" s="43" t="s">
        <v>351</v>
      </c>
      <c r="R60" s="43" t="s">
        <v>1658</v>
      </c>
      <c r="S60" s="43" t="s">
        <v>351</v>
      </c>
      <c r="T60" s="43" t="s">
        <v>351</v>
      </c>
      <c r="U60" s="43" t="s">
        <v>351</v>
      </c>
      <c r="V60" s="345" t="s">
        <v>351</v>
      </c>
      <c r="W60" s="54">
        <v>45824</v>
      </c>
      <c r="X60" s="69" t="s">
        <v>1660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351</v>
      </c>
      <c r="N61" s="87" t="s">
        <v>351</v>
      </c>
      <c r="O61" s="125">
        <v>45673</v>
      </c>
      <c r="P61" s="332" t="s">
        <v>351</v>
      </c>
      <c r="Q61" s="43" t="s">
        <v>351</v>
      </c>
      <c r="R61" s="69" t="s">
        <v>64</v>
      </c>
      <c r="S61" s="43" t="s">
        <v>56</v>
      </c>
      <c r="T61" s="43" t="s">
        <v>351</v>
      </c>
      <c r="U61" s="162" t="s">
        <v>351</v>
      </c>
      <c r="V61" s="69" t="s">
        <v>351</v>
      </c>
      <c r="W61" s="54">
        <v>45758</v>
      </c>
      <c r="X61" s="69" t="s">
        <v>1660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351</v>
      </c>
      <c r="O62" s="54">
        <v>45848</v>
      </c>
      <c r="P62" s="332" t="s">
        <v>351</v>
      </c>
      <c r="Q62" s="43" t="s">
        <v>351</v>
      </c>
      <c r="R62" s="43" t="s">
        <v>351</v>
      </c>
      <c r="S62" s="43" t="s">
        <v>56</v>
      </c>
      <c r="T62" s="43" t="s">
        <v>351</v>
      </c>
      <c r="U62" s="43" t="s">
        <v>351</v>
      </c>
      <c r="V62" s="43" t="s">
        <v>351</v>
      </c>
      <c r="W62" s="54">
        <v>45876</v>
      </c>
      <c r="X62" s="69" t="s">
        <v>1660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351</v>
      </c>
      <c r="O63" s="54">
        <v>45882</v>
      </c>
      <c r="P63" s="332" t="s">
        <v>351</v>
      </c>
      <c r="Q63" s="43" t="s">
        <v>351</v>
      </c>
      <c r="R63" s="43" t="s">
        <v>351</v>
      </c>
      <c r="S63" s="43" t="s">
        <v>56</v>
      </c>
      <c r="T63" s="43" t="s">
        <v>351</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351</v>
      </c>
      <c r="O64" s="54">
        <v>45884</v>
      </c>
      <c r="P64" s="332" t="s">
        <v>351</v>
      </c>
      <c r="Q64" s="43" t="s">
        <v>351</v>
      </c>
      <c r="R64" s="43" t="s">
        <v>351</v>
      </c>
      <c r="S64" s="43" t="s">
        <v>56</v>
      </c>
      <c r="T64" s="43" t="s">
        <v>351</v>
      </c>
      <c r="U64" s="43" t="s">
        <v>351</v>
      </c>
      <c r="V64" s="43" t="s">
        <v>351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351</v>
      </c>
      <c r="O65" s="54">
        <v>45824</v>
      </c>
      <c r="P65" s="332" t="s">
        <v>351</v>
      </c>
      <c r="Q65" s="43" t="s">
        <v>351</v>
      </c>
      <c r="R65" s="43" t="s">
        <v>351</v>
      </c>
      <c r="S65" s="43" t="s">
        <v>56</v>
      </c>
      <c r="T65" s="43" t="s">
        <v>351</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351</v>
      </c>
      <c r="O66" s="125">
        <v>45817</v>
      </c>
      <c r="P66" s="332" t="s">
        <v>351</v>
      </c>
      <c r="Q66" s="158" t="s">
        <v>351</v>
      </c>
      <c r="R66" s="43" t="s">
        <v>351</v>
      </c>
      <c r="S66" s="43" t="s">
        <v>56</v>
      </c>
      <c r="T66" s="43" t="s">
        <v>351</v>
      </c>
      <c r="U66" s="43" t="s">
        <v>351</v>
      </c>
      <c r="V66" s="43" t="s">
        <v>351</v>
      </c>
      <c r="W66" s="54">
        <v>45876</v>
      </c>
      <c r="X66" s="69" t="s">
        <v>1660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351</v>
      </c>
      <c r="O67" s="54">
        <v>45876</v>
      </c>
      <c r="P67" s="332" t="s">
        <v>351</v>
      </c>
      <c r="Q67" s="158" t="s">
        <v>351</v>
      </c>
      <c r="R67" s="158" t="s">
        <v>351</v>
      </c>
      <c r="S67" s="43" t="s">
        <v>56</v>
      </c>
      <c r="T67" s="43" t="s">
        <v>351</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351</v>
      </c>
      <c r="N68" s="87" t="s">
        <v>351</v>
      </c>
      <c r="O68" s="87" t="s">
        <v>351</v>
      </c>
      <c r="P68" s="332" t="s">
        <v>351</v>
      </c>
      <c r="Q68" s="43" t="s">
        <v>351</v>
      </c>
      <c r="R68" s="43" t="s">
        <v>351</v>
      </c>
      <c r="S68" s="43" t="s">
        <v>56</v>
      </c>
      <c r="T68" s="43" t="s">
        <v>351</v>
      </c>
      <c r="U68" s="43" t="s">
        <v>351</v>
      </c>
      <c r="V68" s="345" t="s">
        <v>351</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351</v>
      </c>
      <c r="O69" s="54">
        <v>45870</v>
      </c>
      <c r="P69" s="332" t="s">
        <v>351</v>
      </c>
      <c r="Q69" s="43" t="s">
        <v>351</v>
      </c>
      <c r="R69" s="43" t="s">
        <v>351</v>
      </c>
      <c r="S69" s="43" t="s">
        <v>56</v>
      </c>
      <c r="T69" s="43" t="s">
        <v>351</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351</v>
      </c>
      <c r="O70" s="125">
        <v>45705</v>
      </c>
      <c r="P70" s="79" t="s">
        <v>351</v>
      </c>
      <c r="Q70" s="43" t="s">
        <v>351</v>
      </c>
      <c r="R70" s="43" t="s">
        <v>351</v>
      </c>
      <c r="S70" s="43" t="s">
        <v>56</v>
      </c>
      <c r="T70" s="43" t="s">
        <v>351</v>
      </c>
      <c r="U70" s="43" t="s">
        <v>351</v>
      </c>
      <c r="V70" s="345" t="s">
        <v>351</v>
      </c>
      <c r="W70" s="558"/>
      <c r="X70" s="69" t="s">
        <v>1660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351</v>
      </c>
      <c r="O71" s="54">
        <v>45870</v>
      </c>
      <c r="P71" s="79" t="s">
        <v>351</v>
      </c>
      <c r="Q71" s="43" t="s">
        <v>351</v>
      </c>
      <c r="R71" s="43" t="s">
        <v>351</v>
      </c>
      <c r="S71" s="43" t="s">
        <v>56</v>
      </c>
      <c r="T71" s="43" t="s">
        <v>351</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351</v>
      </c>
      <c r="O72" s="54">
        <v>45882</v>
      </c>
      <c r="P72" s="332" t="s">
        <v>351</v>
      </c>
      <c r="Q72" s="158" t="s">
        <v>351</v>
      </c>
      <c r="R72" s="43" t="s">
        <v>351</v>
      </c>
      <c r="S72" s="43" t="s">
        <v>56</v>
      </c>
      <c r="T72" s="43" t="s">
        <v>351</v>
      </c>
      <c r="U72" s="43" t="s">
        <v>351</v>
      </c>
      <c r="V72" s="43" t="s">
        <v>351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351</v>
      </c>
      <c r="O73" s="125">
        <v>45790</v>
      </c>
      <c r="P73" s="79" t="s">
        <v>351</v>
      </c>
      <c r="Q73" s="43" t="s">
        <v>351</v>
      </c>
      <c r="R73" s="43" t="s">
        <v>351</v>
      </c>
      <c r="S73" s="43" t="s">
        <v>56</v>
      </c>
      <c r="T73" s="43" t="s">
        <v>351</v>
      </c>
      <c r="U73" s="43" t="s">
        <v>351</v>
      </c>
      <c r="V73" s="345" t="s">
        <v>351</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351</v>
      </c>
      <c r="O74" s="54">
        <v>45871</v>
      </c>
      <c r="P74" s="79" t="s">
        <v>351</v>
      </c>
      <c r="Q74" s="43" t="s">
        <v>351</v>
      </c>
      <c r="R74" s="43" t="s">
        <v>351</v>
      </c>
      <c r="S74" s="43" t="s">
        <v>56</v>
      </c>
      <c r="T74" s="43" t="s">
        <v>351</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351</v>
      </c>
      <c r="O75" s="54">
        <v>45853</v>
      </c>
      <c r="P75" s="79" t="s">
        <v>351</v>
      </c>
      <c r="Q75" s="43" t="s">
        <v>351</v>
      </c>
      <c r="R75" s="43" t="s">
        <v>351</v>
      </c>
      <c r="S75" s="43" t="s">
        <v>56</v>
      </c>
      <c r="T75" s="43" t="s">
        <v>351</v>
      </c>
      <c r="U75" s="43" t="s">
        <v>351</v>
      </c>
      <c r="V75" s="43" t="s">
        <v>351</v>
      </c>
      <c r="W75" s="54">
        <v>45905</v>
      </c>
      <c r="X75" s="69" t="s">
        <v>1660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351</v>
      </c>
      <c r="O76" s="54">
        <v>45838</v>
      </c>
      <c r="P76" s="87" t="s">
        <v>351</v>
      </c>
      <c r="Q76" s="171" t="s">
        <v>351</v>
      </c>
      <c r="R76" s="171" t="s">
        <v>351</v>
      </c>
      <c r="S76" s="171" t="s">
        <v>56</v>
      </c>
      <c r="T76" s="171" t="s">
        <v>351</v>
      </c>
      <c r="U76" s="43" t="s">
        <v>351</v>
      </c>
      <c r="V76" s="43" t="s">
        <v>351</v>
      </c>
      <c r="W76" s="54">
        <v>45895</v>
      </c>
      <c r="X76" s="69" t="s">
        <v>1660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351</v>
      </c>
      <c r="O77" s="54">
        <v>45902</v>
      </c>
      <c r="P77" s="332" t="s">
        <v>351</v>
      </c>
      <c r="Q77" s="43" t="s">
        <v>351</v>
      </c>
      <c r="R77" s="43" t="s">
        <v>351</v>
      </c>
      <c r="S77" s="43" t="s">
        <v>56</v>
      </c>
      <c r="T77" s="43" t="s">
        <v>351</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351</v>
      </c>
      <c r="O78" s="54">
        <v>45902</v>
      </c>
      <c r="P78" s="332" t="s">
        <v>351</v>
      </c>
      <c r="Q78" s="43" t="s">
        <v>351</v>
      </c>
      <c r="R78" s="43" t="s">
        <v>351</v>
      </c>
      <c r="S78" s="43" t="s">
        <v>56</v>
      </c>
      <c r="T78" s="43" t="s">
        <v>351</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351</v>
      </c>
      <c r="N79" s="87" t="s">
        <v>351</v>
      </c>
      <c r="O79" s="87" t="s">
        <v>351</v>
      </c>
      <c r="P79" s="87" t="s">
        <v>351</v>
      </c>
      <c r="Q79" s="43" t="s">
        <v>56</v>
      </c>
      <c r="R79" s="43" t="s">
        <v>56</v>
      </c>
      <c r="S79" s="43" t="s">
        <v>56</v>
      </c>
      <c r="T79" s="43" t="s">
        <v>351</v>
      </c>
      <c r="U79" s="43" t="s">
        <v>351</v>
      </c>
      <c r="V79" s="345" t="s">
        <v>351</v>
      </c>
      <c r="W79" s="54">
        <v>45820</v>
      </c>
      <c r="X79" s="69" t="s">
        <v>1660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351</v>
      </c>
      <c r="O80" s="30" t="s">
        <v>52</v>
      </c>
      <c r="P80" s="87" t="s">
        <v>351</v>
      </c>
      <c r="Q80" s="43" t="s">
        <v>56</v>
      </c>
      <c r="R80" s="43" t="s">
        <v>56</v>
      </c>
      <c r="S80" s="43" t="s">
        <v>56</v>
      </c>
      <c r="T80" s="43" t="s">
        <v>351</v>
      </c>
      <c r="U80" s="43" t="s">
        <v>351</v>
      </c>
      <c r="V80" s="69" t="s">
        <v>351</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1662</v>
      </c>
      <c r="B81" s="547" t="s">
        <v>115</v>
      </c>
      <c r="C81" s="179">
        <v>45688</v>
      </c>
      <c r="D81" s="637" t="s">
        <v>580</v>
      </c>
      <c r="E81" s="175"/>
      <c r="F81" s="130"/>
      <c r="G81" s="130"/>
      <c r="H81" s="182">
        <v>48</v>
      </c>
      <c r="I81" s="184"/>
      <c r="J81" s="182" t="s">
        <v>57</v>
      </c>
      <c r="K81" s="182" t="s">
        <v>57</v>
      </c>
      <c r="L81" s="182" t="s">
        <v>56</v>
      </c>
      <c r="M81" s="101" t="s">
        <v>351</v>
      </c>
      <c r="N81" s="87" t="s">
        <v>351</v>
      </c>
      <c r="O81" s="125">
        <v>45678</v>
      </c>
      <c r="P81" s="87" t="s">
        <v>351</v>
      </c>
      <c r="Q81" s="43" t="s">
        <v>351</v>
      </c>
      <c r="R81" s="43" t="s">
        <v>1658</v>
      </c>
      <c r="S81" s="43" t="s">
        <v>351</v>
      </c>
      <c r="T81" s="43" t="s">
        <v>351</v>
      </c>
      <c r="U81" s="116" t="s">
        <v>351</v>
      </c>
      <c r="V81" s="69" t="s">
        <v>351</v>
      </c>
      <c r="W81" s="54">
        <v>45789</v>
      </c>
      <c r="X81" s="69" t="s">
        <v>1660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351</v>
      </c>
      <c r="O82" s="54">
        <v>45874</v>
      </c>
      <c r="P82" s="87" t="s">
        <v>351</v>
      </c>
      <c r="Q82" s="43" t="s">
        <v>351</v>
      </c>
      <c r="R82" s="43" t="s">
        <v>1658</v>
      </c>
      <c r="S82" s="43" t="s">
        <v>351</v>
      </c>
      <c r="T82" s="43" t="s">
        <v>351</v>
      </c>
      <c r="U82" s="116" t="s">
        <v>351</v>
      </c>
      <c r="V82" s="69" t="s">
        <v>351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351</v>
      </c>
      <c r="O83" s="54">
        <v>45706</v>
      </c>
      <c r="P83" s="87" t="s">
        <v>351</v>
      </c>
      <c r="Q83" s="166" t="s">
        <v>351</v>
      </c>
      <c r="R83" s="69" t="s">
        <v>351</v>
      </c>
      <c r="S83" s="69" t="s">
        <v>56</v>
      </c>
      <c r="T83" s="69" t="s">
        <v>351</v>
      </c>
      <c r="U83" s="43" t="s">
        <v>351</v>
      </c>
      <c r="V83" s="43" t="s">
        <v>351</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351</v>
      </c>
      <c r="O84" s="54">
        <v>45728</v>
      </c>
      <c r="P84" s="30" t="s">
        <v>351</v>
      </c>
      <c r="Q84" s="171" t="s">
        <v>351</v>
      </c>
      <c r="R84" s="171" t="s">
        <v>1658</v>
      </c>
      <c r="S84" s="171" t="s">
        <v>351</v>
      </c>
      <c r="T84" s="171" t="s">
        <v>351</v>
      </c>
      <c r="U84" s="92" t="s">
        <v>351</v>
      </c>
      <c r="V84" s="69" t="s">
        <v>351</v>
      </c>
      <c r="W84" s="198">
        <v>45875</v>
      </c>
      <c r="X84" s="69" t="s">
        <v>1660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351</v>
      </c>
      <c r="O85" s="54">
        <v>45719</v>
      </c>
      <c r="P85" s="30" t="s">
        <v>351</v>
      </c>
      <c r="Q85" s="43" t="s">
        <v>351</v>
      </c>
      <c r="R85" s="171" t="s">
        <v>1658</v>
      </c>
      <c r="S85" s="171" t="s">
        <v>351</v>
      </c>
      <c r="T85" s="171" t="s">
        <v>351</v>
      </c>
      <c r="U85" s="92" t="s">
        <v>351</v>
      </c>
      <c r="V85" s="92" t="s">
        <v>351</v>
      </c>
      <c r="W85" s="198">
        <v>45874</v>
      </c>
      <c r="X85" s="69" t="s">
        <v>1660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351</v>
      </c>
      <c r="O86" s="198">
        <v>45728</v>
      </c>
      <c r="P86" s="30" t="s">
        <v>351</v>
      </c>
      <c r="Q86" s="43" t="s">
        <v>351</v>
      </c>
      <c r="R86" s="43" t="s">
        <v>1658</v>
      </c>
      <c r="S86" s="43" t="s">
        <v>351</v>
      </c>
      <c r="T86" s="43" t="s">
        <v>351</v>
      </c>
      <c r="U86" s="69" t="s">
        <v>351</v>
      </c>
      <c r="V86" s="69" t="s">
        <v>351</v>
      </c>
      <c r="W86" s="54">
        <v>45824</v>
      </c>
      <c r="X86" s="69" t="s">
        <v>1660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351</v>
      </c>
      <c r="O87" s="30" t="s">
        <v>351</v>
      </c>
      <c r="P87" s="30" t="s">
        <v>351</v>
      </c>
      <c r="Q87" s="43" t="s">
        <v>351</v>
      </c>
      <c r="R87" s="43" t="s">
        <v>1658</v>
      </c>
      <c r="S87" s="43" t="s">
        <v>351</v>
      </c>
      <c r="T87" s="43" t="s">
        <v>351</v>
      </c>
      <c r="U87" s="158" t="s">
        <v>351</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351</v>
      </c>
      <c r="O88" s="54">
        <v>45728</v>
      </c>
      <c r="P88" s="30" t="s">
        <v>351</v>
      </c>
      <c r="Q88" s="43" t="s">
        <v>351</v>
      </c>
      <c r="R88" s="43" t="s">
        <v>1658</v>
      </c>
      <c r="S88" s="43" t="s">
        <v>351</v>
      </c>
      <c r="T88" s="43" t="s">
        <v>351</v>
      </c>
      <c r="U88" s="158" t="s">
        <v>351</v>
      </c>
      <c r="V88" s="158" t="s">
        <v>351</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351</v>
      </c>
      <c r="O89" s="54">
        <v>45722</v>
      </c>
      <c r="P89" s="30" t="s">
        <v>351</v>
      </c>
      <c r="Q89" s="69" t="s">
        <v>351</v>
      </c>
      <c r="R89" s="43" t="s">
        <v>1658</v>
      </c>
      <c r="S89" s="69" t="s">
        <v>351</v>
      </c>
      <c r="T89" s="69" t="s">
        <v>351</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351</v>
      </c>
      <c r="O90" s="54">
        <v>45727</v>
      </c>
      <c r="P90" s="30" t="s">
        <v>351</v>
      </c>
      <c r="Q90" s="69" t="s">
        <v>351</v>
      </c>
      <c r="R90" s="43" t="s">
        <v>1658</v>
      </c>
      <c r="S90" s="69" t="s">
        <v>351</v>
      </c>
      <c r="T90" s="69" t="s">
        <v>351</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351</v>
      </c>
      <c r="O91" s="54">
        <v>45723</v>
      </c>
      <c r="P91" s="30" t="s">
        <v>351</v>
      </c>
      <c r="Q91" s="69" t="s">
        <v>351</v>
      </c>
      <c r="R91" s="43" t="s">
        <v>1658</v>
      </c>
      <c r="S91" s="69" t="s">
        <v>351</v>
      </c>
      <c r="T91" s="69" t="s">
        <v>351</v>
      </c>
      <c r="U91" s="69" t="s">
        <v>351</v>
      </c>
      <c r="V91" s="69" t="s">
        <v>351</v>
      </c>
      <c r="W91" s="54">
        <v>45831</v>
      </c>
      <c r="X91" s="69" t="s">
        <v>1660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351</v>
      </c>
      <c r="O92" s="54">
        <v>45726</v>
      </c>
      <c r="P92" s="30" t="s">
        <v>351</v>
      </c>
      <c r="Q92" s="149" t="s">
        <v>351</v>
      </c>
      <c r="R92" s="43" t="s">
        <v>1658</v>
      </c>
      <c r="S92" s="69" t="s">
        <v>351</v>
      </c>
      <c r="T92" s="69" t="s">
        <v>351</v>
      </c>
      <c r="U92" s="345" t="s">
        <v>351</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351</v>
      </c>
      <c r="O93" s="54">
        <v>45727</v>
      </c>
      <c r="P93" s="79" t="s">
        <v>351</v>
      </c>
      <c r="Q93" s="43" t="s">
        <v>351</v>
      </c>
      <c r="R93" s="43" t="s">
        <v>1658</v>
      </c>
      <c r="S93" s="43" t="s">
        <v>351</v>
      </c>
      <c r="T93" s="43" t="s">
        <v>351</v>
      </c>
      <c r="U93" s="345" t="s">
        <v>351</v>
      </c>
      <c r="V93" s="69" t="s">
        <v>351</v>
      </c>
      <c r="W93" s="54">
        <v>45789</v>
      </c>
      <c r="X93" s="69" t="s">
        <v>1660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351</v>
      </c>
      <c r="O94" s="54">
        <v>45693</v>
      </c>
      <c r="P94" s="79" t="s">
        <v>351</v>
      </c>
      <c r="Q94" s="69" t="s">
        <v>351</v>
      </c>
      <c r="R94" s="69" t="s">
        <v>1658</v>
      </c>
      <c r="S94" s="69" t="s">
        <v>351</v>
      </c>
      <c r="T94" s="69" t="s">
        <v>351</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351</v>
      </c>
      <c r="O95" s="198">
        <v>45694</v>
      </c>
      <c r="P95" s="79" t="s">
        <v>351</v>
      </c>
      <c r="Q95" s="69" t="s">
        <v>351</v>
      </c>
      <c r="R95" s="69" t="s">
        <v>1658</v>
      </c>
      <c r="S95" s="69" t="s">
        <v>351</v>
      </c>
      <c r="T95" s="43" t="s">
        <v>351</v>
      </c>
      <c r="U95" s="69" t="s">
        <v>351</v>
      </c>
      <c r="V95" s="69" t="s">
        <v>351</v>
      </c>
      <c r="W95" s="54">
        <v>45814</v>
      </c>
      <c r="X95" s="69" t="s">
        <v>1660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351</v>
      </c>
      <c r="O96" s="54">
        <v>45694</v>
      </c>
      <c r="P96" s="30" t="s">
        <v>351</v>
      </c>
      <c r="Q96" s="69" t="s">
        <v>351</v>
      </c>
      <c r="R96" s="92" t="s">
        <v>1658</v>
      </c>
      <c r="S96" s="69" t="s">
        <v>351</v>
      </c>
      <c r="T96" s="69" t="s">
        <v>351</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351</v>
      </c>
      <c r="O97" s="54">
        <v>45688</v>
      </c>
      <c r="P97" s="30" t="s">
        <v>351</v>
      </c>
      <c r="Q97" s="69" t="s">
        <v>351</v>
      </c>
      <c r="R97" s="69" t="s">
        <v>1658</v>
      </c>
      <c r="S97" s="69" t="s">
        <v>351</v>
      </c>
      <c r="T97" s="69" t="s">
        <v>351</v>
      </c>
      <c r="U97" s="69" t="s">
        <v>351</v>
      </c>
      <c r="V97" s="43" t="s">
        <v>351</v>
      </c>
      <c r="W97" s="54">
        <v>45824</v>
      </c>
      <c r="X97" s="69" t="s">
        <v>1660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351</v>
      </c>
      <c r="O98" s="54">
        <v>45692</v>
      </c>
      <c r="P98" s="30" t="s">
        <v>351</v>
      </c>
      <c r="Q98" s="43" t="s">
        <v>351</v>
      </c>
      <c r="R98" s="43" t="s">
        <v>1658</v>
      </c>
      <c r="S98" s="43" t="s">
        <v>351</v>
      </c>
      <c r="T98" s="43" t="s">
        <v>351</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351</v>
      </c>
      <c r="O99" s="54">
        <v>45692</v>
      </c>
      <c r="P99" s="30" t="s">
        <v>351</v>
      </c>
      <c r="Q99" s="43" t="s">
        <v>351</v>
      </c>
      <c r="R99" s="43" t="s">
        <v>1658</v>
      </c>
      <c r="S99" s="43" t="s">
        <v>351</v>
      </c>
      <c r="T99" s="116" t="s">
        <v>351</v>
      </c>
      <c r="U99" s="149" t="s">
        <v>351</v>
      </c>
      <c r="V99" s="69" t="s">
        <v>351</v>
      </c>
      <c r="W99" s="54">
        <v>45814</v>
      </c>
      <c r="X99" s="69" t="s">
        <v>1660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351</v>
      </c>
      <c r="O100" s="168">
        <v>45691</v>
      </c>
      <c r="P100" s="30" t="s">
        <v>351</v>
      </c>
      <c r="Q100" s="43" t="s">
        <v>351</v>
      </c>
      <c r="R100" s="43" t="s">
        <v>1658</v>
      </c>
      <c r="S100" s="43" t="s">
        <v>351</v>
      </c>
      <c r="T100" s="43" t="s">
        <v>351</v>
      </c>
      <c r="U100" s="69" t="s">
        <v>351</v>
      </c>
      <c r="V100" s="158" t="s">
        <v>351</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351</v>
      </c>
      <c r="O101" s="54">
        <v>45695</v>
      </c>
      <c r="P101" s="30" t="s">
        <v>351</v>
      </c>
      <c r="Q101" s="43" t="s">
        <v>351</v>
      </c>
      <c r="R101" s="43" t="s">
        <v>1658</v>
      </c>
      <c r="S101" s="43" t="s">
        <v>351</v>
      </c>
      <c r="T101" s="43" t="s">
        <v>351</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351</v>
      </c>
      <c r="N102" s="30" t="s">
        <v>351</v>
      </c>
      <c r="O102" s="54">
        <v>45699</v>
      </c>
      <c r="P102" s="87" t="s">
        <v>351</v>
      </c>
      <c r="Q102" s="88" t="s">
        <v>351</v>
      </c>
      <c r="R102" s="43" t="s">
        <v>1658</v>
      </c>
      <c r="S102" s="43" t="s">
        <v>351</v>
      </c>
      <c r="T102" s="43" t="s">
        <v>351</v>
      </c>
      <c r="U102" s="43" t="s">
        <v>351</v>
      </c>
      <c r="V102" s="166" t="s">
        <v>351</v>
      </c>
      <c r="W102" s="54">
        <v>45835</v>
      </c>
      <c r="X102" s="69" t="s">
        <v>1660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351</v>
      </c>
      <c r="O103" s="54">
        <v>45675</v>
      </c>
      <c r="P103" s="87" t="s">
        <v>351</v>
      </c>
      <c r="Q103" s="43" t="s">
        <v>351</v>
      </c>
      <c r="R103" s="43" t="s">
        <v>1658</v>
      </c>
      <c r="S103" s="43" t="s">
        <v>351</v>
      </c>
      <c r="T103" s="43" t="s">
        <v>351</v>
      </c>
      <c r="U103" s="43" t="s">
        <v>351</v>
      </c>
      <c r="V103" s="140" t="s">
        <v>351</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351</v>
      </c>
      <c r="N104" s="120" t="s">
        <v>351</v>
      </c>
      <c r="O104" s="54">
        <v>45675</v>
      </c>
      <c r="P104" s="217" t="s">
        <v>351</v>
      </c>
      <c r="Q104" s="43" t="s">
        <v>351</v>
      </c>
      <c r="R104" s="43" t="s">
        <v>1658</v>
      </c>
      <c r="S104" s="43" t="s">
        <v>351</v>
      </c>
      <c r="T104" s="43" t="s">
        <v>351</v>
      </c>
      <c r="U104" s="43" t="s">
        <v>351</v>
      </c>
      <c r="V104" s="140" t="s">
        <v>351</v>
      </c>
      <c r="W104" s="54">
        <v>45820</v>
      </c>
      <c r="X104" s="69" t="s">
        <v>1660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351</v>
      </c>
      <c r="O105" s="54">
        <v>45743</v>
      </c>
      <c r="P105" s="87" t="s">
        <v>351</v>
      </c>
      <c r="Q105" s="158" t="s">
        <v>351</v>
      </c>
      <c r="R105" s="69" t="s">
        <v>1658</v>
      </c>
      <c r="S105" s="43" t="s">
        <v>351</v>
      </c>
      <c r="T105" s="43" t="s">
        <v>351</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351</v>
      </c>
      <c r="O106" s="54">
        <v>45679</v>
      </c>
      <c r="P106" s="87" t="s">
        <v>351</v>
      </c>
      <c r="Q106" s="43" t="s">
        <v>351</v>
      </c>
      <c r="R106" s="43" t="s">
        <v>1658</v>
      </c>
      <c r="S106" s="43" t="s">
        <v>351</v>
      </c>
      <c r="T106" s="43" t="s">
        <v>351</v>
      </c>
      <c r="U106" s="43" t="s">
        <v>351</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351</v>
      </c>
      <c r="O107" s="54">
        <v>45749</v>
      </c>
      <c r="P107" s="30" t="s">
        <v>351</v>
      </c>
      <c r="Q107" s="43" t="s">
        <v>351</v>
      </c>
      <c r="R107" s="43" t="s">
        <v>1658</v>
      </c>
      <c r="S107" s="43" t="s">
        <v>351</v>
      </c>
      <c r="T107" s="43" t="s">
        <v>351</v>
      </c>
      <c r="U107" s="43" t="s">
        <v>351</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351</v>
      </c>
      <c r="O108" s="54">
        <v>45749</v>
      </c>
      <c r="P108" s="30" t="s">
        <v>351</v>
      </c>
      <c r="Q108" s="43" t="s">
        <v>351</v>
      </c>
      <c r="R108" s="345" t="s">
        <v>1658</v>
      </c>
      <c r="S108" s="43" t="s">
        <v>351</v>
      </c>
      <c r="T108" s="43" t="s">
        <v>351</v>
      </c>
      <c r="U108" s="88" t="s">
        <v>351</v>
      </c>
      <c r="V108" s="495" t="s">
        <v>351</v>
      </c>
      <c r="W108" s="367">
        <v>45798</v>
      </c>
      <c r="X108" s="69" t="s">
        <v>1660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351</v>
      </c>
      <c r="O109" s="54">
        <v>45744</v>
      </c>
      <c r="P109" s="79" t="s">
        <v>351</v>
      </c>
      <c r="Q109" s="43" t="s">
        <v>351</v>
      </c>
      <c r="R109" s="345" t="s">
        <v>1658</v>
      </c>
      <c r="S109" s="43" t="s">
        <v>351</v>
      </c>
      <c r="T109" s="43" t="s">
        <v>351</v>
      </c>
      <c r="U109" s="43" t="s">
        <v>1663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351</v>
      </c>
      <c r="O110" s="54">
        <v>45691</v>
      </c>
      <c r="P110" s="79" t="s">
        <v>351</v>
      </c>
      <c r="Q110" s="43" t="s">
        <v>351</v>
      </c>
      <c r="R110" s="345" t="s">
        <v>1658</v>
      </c>
      <c r="S110" s="43" t="s">
        <v>351</v>
      </c>
      <c r="T110" s="43" t="s">
        <v>351</v>
      </c>
      <c r="U110" s="88" t="s">
        <v>351</v>
      </c>
      <c r="V110" s="495" t="s">
        <v>351</v>
      </c>
      <c r="W110" s="367">
        <v>45902</v>
      </c>
      <c r="X110" s="69" t="s">
        <v>1660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351</v>
      </c>
      <c r="O111" s="54">
        <v>45708</v>
      </c>
      <c r="P111" s="30" t="s">
        <v>351</v>
      </c>
      <c r="Q111" s="171" t="s">
        <v>351</v>
      </c>
      <c r="R111" s="69" t="s">
        <v>1658</v>
      </c>
      <c r="S111" s="43" t="s">
        <v>351</v>
      </c>
      <c r="T111" s="43" t="s">
        <v>351</v>
      </c>
      <c r="U111" s="43" t="s">
        <v>351</v>
      </c>
      <c r="V111" s="204" t="s">
        <v>351</v>
      </c>
      <c r="W111" s="168">
        <v>45790</v>
      </c>
      <c r="X111" s="69" t="s">
        <v>1660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351</v>
      </c>
      <c r="O112" s="168">
        <v>45744</v>
      </c>
      <c r="P112" s="115" t="s">
        <v>351</v>
      </c>
      <c r="Q112" s="116" t="s">
        <v>351</v>
      </c>
      <c r="R112" s="149" t="s">
        <v>1658</v>
      </c>
      <c r="S112" s="43" t="s">
        <v>351</v>
      </c>
      <c r="T112" s="43" t="s">
        <v>351</v>
      </c>
      <c r="U112" s="43" t="s">
        <v>351</v>
      </c>
      <c r="V112" s="204" t="s">
        <v>351</v>
      </c>
      <c r="W112" s="493">
        <v>45791</v>
      </c>
      <c r="X112" s="69" t="s">
        <v>1660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351</v>
      </c>
      <c r="O113" s="168">
        <v>45755</v>
      </c>
      <c r="P113" s="115" t="s">
        <v>351</v>
      </c>
      <c r="Q113" s="116" t="s">
        <v>351</v>
      </c>
      <c r="R113" s="149" t="s">
        <v>1658</v>
      </c>
      <c r="S113" s="116" t="s">
        <v>351</v>
      </c>
      <c r="T113" s="43" t="s">
        <v>351</v>
      </c>
      <c r="U113" s="43" t="s">
        <v>351</v>
      </c>
      <c r="V113" s="204" t="s">
        <v>351</v>
      </c>
      <c r="W113" s="493">
        <v>45791</v>
      </c>
      <c r="X113" s="149" t="s">
        <v>1660</v>
      </c>
    </row>
    <row r="114" spans="1:25">
      <c r="A114" s="181" t="s">
        <v>628</v>
      </c>
      <c r="B114" s="185" t="s">
        <v>50</v>
      </c>
      <c r="C114" s="318">
        <v>45772</v>
      </c>
      <c r="D114" s="424" t="s">
        <v>629</v>
      </c>
      <c r="H114" s="188">
        <v>75</v>
      </c>
      <c r="I114" s="184"/>
      <c r="J114" s="182" t="s">
        <v>57</v>
      </c>
      <c r="K114" s="434" t="s">
        <v>57</v>
      </c>
      <c r="L114" s="182" t="s">
        <v>63</v>
      </c>
      <c r="M114" s="196">
        <v>45741</v>
      </c>
      <c r="N114" s="115" t="s">
        <v>351</v>
      </c>
      <c r="O114" s="54">
        <v>45747</v>
      </c>
      <c r="P114" s="115" t="s">
        <v>351</v>
      </c>
      <c r="Q114" s="116" t="s">
        <v>351</v>
      </c>
      <c r="R114" s="149" t="s">
        <v>1658</v>
      </c>
      <c r="S114" s="116" t="s">
        <v>351</v>
      </c>
      <c r="T114" s="43" t="s">
        <v>351</v>
      </c>
      <c r="U114" s="158" t="s">
        <v>351</v>
      </c>
      <c r="V114" s="204" t="s">
        <v>351</v>
      </c>
      <c r="W114" s="54">
        <v>45798</v>
      </c>
      <c r="X114" s="69" t="s">
        <v>1660</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351</v>
      </c>
      <c r="O115" s="125">
        <v>45757</v>
      </c>
      <c r="P115" s="30" t="s">
        <v>351</v>
      </c>
      <c r="Q115" s="43" t="s">
        <v>351</v>
      </c>
      <c r="R115" s="69" t="s">
        <v>1658</v>
      </c>
      <c r="S115" s="43" t="s">
        <v>351</v>
      </c>
      <c r="T115" s="43" t="s">
        <v>351</v>
      </c>
      <c r="U115" s="43" t="s">
        <v>351</v>
      </c>
      <c r="V115" s="88" t="s">
        <v>351</v>
      </c>
      <c r="W115" s="54">
        <v>45814</v>
      </c>
      <c r="X115" s="69" t="s">
        <v>1660</v>
      </c>
    </row>
    <row r="116" spans="1:25">
      <c r="A116" s="181" t="s">
        <v>632</v>
      </c>
      <c r="B116" s="185" t="s">
        <v>50</v>
      </c>
      <c r="C116" s="318">
        <v>45772</v>
      </c>
      <c r="D116" s="738" t="s">
        <v>634</v>
      </c>
      <c r="H116" s="182">
        <v>50</v>
      </c>
      <c r="I116" s="184"/>
      <c r="J116" s="182" t="s">
        <v>57</v>
      </c>
      <c r="K116" s="434" t="s">
        <v>57</v>
      </c>
      <c r="L116" s="182" t="s">
        <v>63</v>
      </c>
      <c r="M116" s="196">
        <v>45757</v>
      </c>
      <c r="N116" s="30" t="s">
        <v>351</v>
      </c>
      <c r="O116" s="125">
        <v>45757</v>
      </c>
      <c r="P116" s="30" t="s">
        <v>351</v>
      </c>
      <c r="Q116" s="43" t="s">
        <v>351</v>
      </c>
      <c r="R116" s="69" t="s">
        <v>1658</v>
      </c>
      <c r="S116" s="43" t="s">
        <v>351</v>
      </c>
      <c r="T116" s="43" t="s">
        <v>351</v>
      </c>
      <c r="U116" s="43" t="s">
        <v>351</v>
      </c>
      <c r="V116" s="495" t="s">
        <v>351</v>
      </c>
      <c r="W116" s="54">
        <v>45807</v>
      </c>
      <c r="X116" s="69" t="s">
        <v>1660</v>
      </c>
    </row>
    <row r="117" spans="1:25">
      <c r="A117" s="181" t="s">
        <v>636</v>
      </c>
      <c r="B117" s="185" t="s">
        <v>50</v>
      </c>
      <c r="C117" s="318">
        <v>45772</v>
      </c>
      <c r="D117" s="536" t="s">
        <v>637</v>
      </c>
      <c r="H117" s="182">
        <v>76</v>
      </c>
      <c r="I117" s="184"/>
      <c r="J117" s="182" t="s">
        <v>57</v>
      </c>
      <c r="K117" s="434" t="s">
        <v>57</v>
      </c>
      <c r="L117" s="182" t="s">
        <v>63</v>
      </c>
      <c r="M117" s="196">
        <v>45757</v>
      </c>
      <c r="N117" s="87" t="s">
        <v>351</v>
      </c>
      <c r="O117" s="125">
        <v>45757</v>
      </c>
      <c r="P117" s="30" t="s">
        <v>351</v>
      </c>
      <c r="Q117" s="43" t="s">
        <v>351</v>
      </c>
      <c r="R117" s="69" t="s">
        <v>1658</v>
      </c>
      <c r="S117" s="43" t="s">
        <v>351</v>
      </c>
      <c r="T117" s="43" t="s">
        <v>351</v>
      </c>
      <c r="U117" s="43" t="s">
        <v>351</v>
      </c>
      <c r="V117" s="88" t="s">
        <v>351</v>
      </c>
      <c r="W117" s="54">
        <v>45811</v>
      </c>
      <c r="X117" s="69" t="s">
        <v>1660</v>
      </c>
    </row>
    <row r="118" spans="1:25">
      <c r="A118" s="181" t="s">
        <v>638</v>
      </c>
      <c r="B118" s="185" t="s">
        <v>50</v>
      </c>
      <c r="C118" s="318">
        <v>45772</v>
      </c>
      <c r="D118" s="182" t="s">
        <v>640</v>
      </c>
      <c r="H118" s="188">
        <v>88</v>
      </c>
      <c r="I118" s="184"/>
      <c r="J118" s="182" t="s">
        <v>57</v>
      </c>
      <c r="K118" s="434" t="s">
        <v>57</v>
      </c>
      <c r="L118" s="182" t="s">
        <v>63</v>
      </c>
      <c r="M118" s="196">
        <v>45757</v>
      </c>
      <c r="N118" s="87" t="s">
        <v>351</v>
      </c>
      <c r="O118" s="125">
        <v>45757</v>
      </c>
      <c r="P118" s="87" t="s">
        <v>351</v>
      </c>
      <c r="Q118" s="43" t="s">
        <v>351</v>
      </c>
      <c r="R118" s="43" t="s">
        <v>1658</v>
      </c>
      <c r="S118" s="43" t="s">
        <v>351</v>
      </c>
      <c r="T118" s="43" t="s">
        <v>351</v>
      </c>
      <c r="U118" s="158" t="s">
        <v>351</v>
      </c>
      <c r="V118" s="88" t="s">
        <v>351</v>
      </c>
      <c r="W118" s="54">
        <v>45810</v>
      </c>
      <c r="X118" s="69" t="s">
        <v>1660</v>
      </c>
    </row>
    <row r="119" spans="1:25">
      <c r="A119" s="181" t="s">
        <v>642</v>
      </c>
      <c r="B119" s="185" t="s">
        <v>50</v>
      </c>
      <c r="C119" s="318">
        <v>45772</v>
      </c>
      <c r="D119" s="182" t="s">
        <v>643</v>
      </c>
      <c r="H119" s="188">
        <v>86</v>
      </c>
      <c r="I119" s="184"/>
      <c r="J119" s="182" t="s">
        <v>57</v>
      </c>
      <c r="K119" s="434" t="s">
        <v>57</v>
      </c>
      <c r="L119" s="182" t="s">
        <v>63</v>
      </c>
      <c r="M119" s="198">
        <v>45756</v>
      </c>
      <c r="N119" s="30" t="s">
        <v>351</v>
      </c>
      <c r="O119" s="125">
        <v>45757</v>
      </c>
      <c r="P119" s="30" t="s">
        <v>351</v>
      </c>
      <c r="Q119" s="69" t="s">
        <v>351</v>
      </c>
      <c r="R119" s="69" t="s">
        <v>1658</v>
      </c>
      <c r="S119" s="43" t="s">
        <v>351</v>
      </c>
      <c r="T119" s="43" t="s">
        <v>351</v>
      </c>
      <c r="U119" s="158" t="s">
        <v>351</v>
      </c>
      <c r="V119" s="88" t="s">
        <v>351</v>
      </c>
      <c r="W119" s="54">
        <v>45813</v>
      </c>
      <c r="X119" s="69" t="s">
        <v>1660</v>
      </c>
    </row>
    <row r="120" spans="1:25">
      <c r="A120" s="181" t="s">
        <v>644</v>
      </c>
      <c r="B120" s="185" t="s">
        <v>50</v>
      </c>
      <c r="C120" s="318">
        <v>45772</v>
      </c>
      <c r="D120" s="537" t="s">
        <v>645</v>
      </c>
      <c r="H120" s="188">
        <v>84</v>
      </c>
      <c r="I120" s="184"/>
      <c r="J120" s="182" t="s">
        <v>57</v>
      </c>
      <c r="K120" s="434" t="s">
        <v>57</v>
      </c>
      <c r="L120" s="182" t="s">
        <v>63</v>
      </c>
      <c r="M120" s="198">
        <v>45741</v>
      </c>
      <c r="N120" s="30" t="s">
        <v>351</v>
      </c>
      <c r="O120" s="54">
        <v>45748</v>
      </c>
      <c r="P120" s="30" t="s">
        <v>351</v>
      </c>
      <c r="Q120" s="43" t="s">
        <v>351</v>
      </c>
      <c r="R120" s="69" t="s">
        <v>1658</v>
      </c>
      <c r="S120" s="43" t="s">
        <v>351</v>
      </c>
      <c r="T120" s="43" t="s">
        <v>351</v>
      </c>
      <c r="U120" s="43" t="s">
        <v>351</v>
      </c>
      <c r="V120" s="88" t="s">
        <v>351</v>
      </c>
      <c r="W120" s="54">
        <v>45811</v>
      </c>
      <c r="X120" s="69" t="s">
        <v>1660</v>
      </c>
    </row>
    <row r="121" spans="1:25">
      <c r="A121" s="377" t="s">
        <v>703</v>
      </c>
      <c r="B121" s="710" t="s">
        <v>50</v>
      </c>
      <c r="C121" s="711">
        <v>45772</v>
      </c>
      <c r="D121" s="374" t="s">
        <v>704</v>
      </c>
      <c r="H121" s="352">
        <v>87</v>
      </c>
      <c r="I121" s="350"/>
      <c r="J121" s="374" t="s">
        <v>57</v>
      </c>
      <c r="K121" s="731" t="s">
        <v>57</v>
      </c>
      <c r="L121" s="182" t="s">
        <v>63</v>
      </c>
      <c r="M121" s="196">
        <v>45757</v>
      </c>
      <c r="N121" s="30" t="s">
        <v>351</v>
      </c>
      <c r="O121" s="125">
        <v>45757</v>
      </c>
      <c r="P121" s="30" t="s">
        <v>351</v>
      </c>
      <c r="Q121" s="69" t="s">
        <v>351</v>
      </c>
      <c r="R121" s="69" t="s">
        <v>1658</v>
      </c>
      <c r="S121" s="43" t="s">
        <v>351</v>
      </c>
      <c r="T121" s="43" t="s">
        <v>351</v>
      </c>
      <c r="U121" s="43" t="s">
        <v>351</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351</v>
      </c>
      <c r="O122" s="54">
        <v>45747</v>
      </c>
      <c r="P122" s="30" t="s">
        <v>351</v>
      </c>
      <c r="Q122" s="69" t="s">
        <v>351</v>
      </c>
      <c r="R122" s="69" t="s">
        <v>1658</v>
      </c>
      <c r="S122" s="43" t="s">
        <v>351</v>
      </c>
      <c r="T122" s="43" t="s">
        <v>351</v>
      </c>
      <c r="U122" s="158" t="s">
        <v>351</v>
      </c>
      <c r="V122" s="158" t="s">
        <v>351</v>
      </c>
      <c r="W122" s="54">
        <v>45789</v>
      </c>
      <c r="X122" s="69" t="s">
        <v>1660</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351</v>
      </c>
      <c r="O123" s="54">
        <v>45744</v>
      </c>
      <c r="P123" s="30" t="s">
        <v>351</v>
      </c>
      <c r="Q123" s="43" t="s">
        <v>351</v>
      </c>
      <c r="R123" s="69" t="s">
        <v>1658</v>
      </c>
      <c r="S123" s="43" t="s">
        <v>351</v>
      </c>
      <c r="T123" s="43" t="s">
        <v>351</v>
      </c>
      <c r="U123" s="43" t="s">
        <v>351</v>
      </c>
      <c r="V123" s="69" t="s">
        <v>351</v>
      </c>
      <c r="W123" s="54">
        <v>45811</v>
      </c>
      <c r="X123" s="69" t="s">
        <v>1660</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351</v>
      </c>
      <c r="O124" s="54">
        <v>45744</v>
      </c>
      <c r="P124" s="30" t="s">
        <v>351</v>
      </c>
      <c r="Q124" s="43" t="s">
        <v>351</v>
      </c>
      <c r="R124" s="69" t="s">
        <v>1658</v>
      </c>
      <c r="S124" s="43" t="s">
        <v>351</v>
      </c>
      <c r="T124" s="43" t="s">
        <v>351</v>
      </c>
      <c r="U124" s="43" t="s">
        <v>1663</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351</v>
      </c>
      <c r="N125" s="30" t="s">
        <v>351</v>
      </c>
      <c r="O125" s="54">
        <v>45679</v>
      </c>
      <c r="P125" s="30" t="s">
        <v>351</v>
      </c>
      <c r="Q125" s="69" t="s">
        <v>351</v>
      </c>
      <c r="R125" s="43" t="s">
        <v>1658</v>
      </c>
      <c r="S125" s="43" t="s">
        <v>351</v>
      </c>
      <c r="T125" s="43" t="s">
        <v>351</v>
      </c>
      <c r="U125" s="43" t="s">
        <v>351</v>
      </c>
      <c r="V125" s="43" t="s">
        <v>351</v>
      </c>
      <c r="W125" s="54">
        <v>45814</v>
      </c>
      <c r="X125" s="69" t="s">
        <v>1660</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351</v>
      </c>
      <c r="N126" s="30" t="s">
        <v>351</v>
      </c>
      <c r="O126" s="54">
        <v>45720</v>
      </c>
      <c r="P126" s="30" t="s">
        <v>351</v>
      </c>
      <c r="Q126" s="69" t="s">
        <v>351</v>
      </c>
      <c r="R126" s="43" t="s">
        <v>1658</v>
      </c>
      <c r="S126" s="43" t="s">
        <v>351</v>
      </c>
      <c r="T126" s="43" t="s">
        <v>351</v>
      </c>
      <c r="U126" s="43" t="s">
        <v>351</v>
      </c>
      <c r="V126" s="88" t="s">
        <v>351</v>
      </c>
      <c r="W126" s="54">
        <v>45819</v>
      </c>
      <c r="X126" s="69" t="s">
        <v>1660</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351</v>
      </c>
      <c r="O127" s="54">
        <v>45679</v>
      </c>
      <c r="P127" s="30" t="s">
        <v>351</v>
      </c>
      <c r="Q127" s="43" t="s">
        <v>351</v>
      </c>
      <c r="R127" s="43" t="s">
        <v>1658</v>
      </c>
      <c r="S127" s="43" t="s">
        <v>351</v>
      </c>
      <c r="T127" s="43" t="s">
        <v>351</v>
      </c>
      <c r="U127" s="43" t="s">
        <v>351</v>
      </c>
      <c r="V127" s="88" t="s">
        <v>351</v>
      </c>
      <c r="W127" s="54">
        <v>45812</v>
      </c>
      <c r="X127" s="69" t="s">
        <v>1660</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351</v>
      </c>
      <c r="O128" s="358">
        <v>45694</v>
      </c>
      <c r="P128" s="87" t="s">
        <v>351</v>
      </c>
      <c r="Q128" s="43" t="s">
        <v>351</v>
      </c>
      <c r="R128" s="43" t="s">
        <v>1658</v>
      </c>
      <c r="S128" s="43" t="s">
        <v>351</v>
      </c>
      <c r="T128" s="43" t="s">
        <v>351</v>
      </c>
      <c r="U128" s="43" t="s">
        <v>351</v>
      </c>
      <c r="V128" s="88" t="s">
        <v>351</v>
      </c>
      <c r="W128" s="168">
        <v>45883</v>
      </c>
      <c r="X128" s="69" t="s">
        <v>1660</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351</v>
      </c>
      <c r="O129" s="168">
        <v>45720</v>
      </c>
      <c r="P129" s="115" t="s">
        <v>351</v>
      </c>
      <c r="Q129" s="149" t="s">
        <v>351</v>
      </c>
      <c r="R129" s="43" t="s">
        <v>1658</v>
      </c>
      <c r="S129" s="43" t="s">
        <v>351</v>
      </c>
      <c r="T129" s="116" t="s">
        <v>351</v>
      </c>
      <c r="U129" s="116" t="s">
        <v>351</v>
      </c>
      <c r="V129" s="88" t="s">
        <v>351</v>
      </c>
      <c r="W129" s="168">
        <v>45814</v>
      </c>
      <c r="X129" s="69" t="s">
        <v>1660</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351</v>
      </c>
      <c r="O130" s="54">
        <v>45698</v>
      </c>
      <c r="P130" s="30" t="s">
        <v>351</v>
      </c>
      <c r="Q130" s="69" t="s">
        <v>351</v>
      </c>
      <c r="R130" s="43" t="s">
        <v>1658</v>
      </c>
      <c r="S130" s="43" t="s">
        <v>351</v>
      </c>
      <c r="T130" s="43" t="s">
        <v>351</v>
      </c>
      <c r="U130" s="43" t="s">
        <v>351</v>
      </c>
      <c r="V130" s="88" t="s">
        <v>351</v>
      </c>
      <c r="W130" s="54">
        <v>45798</v>
      </c>
      <c r="X130" s="69" t="s">
        <v>1660</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351</v>
      </c>
      <c r="N131" s="49" t="s">
        <v>351</v>
      </c>
      <c r="O131" s="30" t="s">
        <v>351</v>
      </c>
      <c r="P131" s="30" t="s">
        <v>351</v>
      </c>
      <c r="Q131" s="43" t="s">
        <v>351</v>
      </c>
      <c r="R131" s="43" t="s">
        <v>1658</v>
      </c>
      <c r="S131" s="43" t="s">
        <v>351</v>
      </c>
      <c r="T131" s="158" t="s">
        <v>351</v>
      </c>
      <c r="U131" s="158" t="s">
        <v>351</v>
      </c>
      <c r="V131" s="88" t="s">
        <v>351</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351</v>
      </c>
      <c r="O132" s="54">
        <v>45691</v>
      </c>
      <c r="P132" s="87" t="s">
        <v>351</v>
      </c>
      <c r="Q132" s="43" t="s">
        <v>351</v>
      </c>
      <c r="R132" s="43" t="s">
        <v>1658</v>
      </c>
      <c r="S132" s="43" t="s">
        <v>351</v>
      </c>
      <c r="T132" s="43" t="s">
        <v>351</v>
      </c>
      <c r="U132" s="43" t="s">
        <v>351</v>
      </c>
      <c r="V132" s="43" t="s">
        <v>351</v>
      </c>
      <c r="W132" s="54">
        <v>45820</v>
      </c>
      <c r="X132" s="69" t="s">
        <v>1660</v>
      </c>
      <c r="Y132" t="e">
        <f>VLOOKUP(A132,#REF!,2,FALSE)</f>
        <v>#REF!</v>
      </c>
    </row>
    <row r="133" spans="1:25" ht="15" customHeight="1">
      <c r="A133" s="369" t="s">
        <v>663</v>
      </c>
      <c r="B133" s="420" t="s">
        <v>50</v>
      </c>
      <c r="C133" s="378">
        <v>45742</v>
      </c>
      <c r="D133" s="433" t="s">
        <v>1664</v>
      </c>
      <c r="E133" s="372"/>
      <c r="F133" s="372"/>
      <c r="G133" s="372"/>
      <c r="H133" s="372">
        <v>38</v>
      </c>
      <c r="I133" s="371"/>
      <c r="J133" s="372" t="s">
        <v>57</v>
      </c>
      <c r="K133" s="372" t="s">
        <v>57</v>
      </c>
      <c r="L133" s="372" t="s">
        <v>63</v>
      </c>
      <c r="M133" s="49" t="s">
        <v>351</v>
      </c>
      <c r="N133" s="49" t="s">
        <v>351</v>
      </c>
      <c r="O133" s="54">
        <v>45701</v>
      </c>
      <c r="P133" s="30" t="s">
        <v>351</v>
      </c>
      <c r="Q133" s="69" t="s">
        <v>351</v>
      </c>
      <c r="R133" s="43" t="s">
        <v>1658</v>
      </c>
      <c r="S133" s="43" t="s">
        <v>351</v>
      </c>
      <c r="T133" s="43" t="s">
        <v>351</v>
      </c>
      <c r="U133" s="43" t="s">
        <v>351</v>
      </c>
      <c r="V133" s="69" t="s">
        <v>351</v>
      </c>
      <c r="W133" s="54">
        <v>45821</v>
      </c>
      <c r="X133" s="69" t="s">
        <v>1660</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351</v>
      </c>
      <c r="O134" s="54">
        <v>45709</v>
      </c>
      <c r="P134" s="30" t="s">
        <v>351</v>
      </c>
      <c r="Q134" s="43" t="s">
        <v>351</v>
      </c>
      <c r="R134" s="43" t="s">
        <v>1658</v>
      </c>
      <c r="S134" s="43" t="s">
        <v>351</v>
      </c>
      <c r="T134" s="43" t="s">
        <v>351</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351</v>
      </c>
      <c r="N135" s="49" t="s">
        <v>351</v>
      </c>
      <c r="O135" s="198">
        <v>45720</v>
      </c>
      <c r="P135" s="49" t="s">
        <v>351</v>
      </c>
      <c r="Q135" s="69" t="s">
        <v>351</v>
      </c>
      <c r="R135" s="43" t="s">
        <v>1658</v>
      </c>
      <c r="S135" s="43" t="s">
        <v>351</v>
      </c>
      <c r="T135" s="43" t="s">
        <v>351</v>
      </c>
      <c r="U135" s="158" t="s">
        <v>351</v>
      </c>
      <c r="V135" s="43" t="s">
        <v>351</v>
      </c>
      <c r="W135" s="54">
        <v>45819</v>
      </c>
      <c r="X135" s="69" t="s">
        <v>1660</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351</v>
      </c>
      <c r="O136" s="54">
        <v>45691</v>
      </c>
      <c r="P136" s="30" t="s">
        <v>351</v>
      </c>
      <c r="Q136" s="43" t="s">
        <v>351</v>
      </c>
      <c r="R136" s="43" t="s">
        <v>1658</v>
      </c>
      <c r="S136" s="43" t="s">
        <v>351</v>
      </c>
      <c r="T136" s="43" t="s">
        <v>351</v>
      </c>
      <c r="U136" s="43" t="s">
        <v>351</v>
      </c>
      <c r="V136" s="43" t="s">
        <v>351</v>
      </c>
      <c r="W136" s="54">
        <v>45791</v>
      </c>
      <c r="X136" s="69" t="s">
        <v>1660</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351</v>
      </c>
      <c r="O137" s="30" t="s">
        <v>351</v>
      </c>
      <c r="P137" s="49" t="s">
        <v>351</v>
      </c>
      <c r="Q137" s="69" t="s">
        <v>351</v>
      </c>
      <c r="R137" s="43" t="s">
        <v>1658</v>
      </c>
      <c r="S137" s="43" t="s">
        <v>351</v>
      </c>
      <c r="T137" s="43" t="s">
        <v>351</v>
      </c>
      <c r="U137" s="158" t="s">
        <v>351</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351</v>
      </c>
      <c r="O138" s="125">
        <v>45707</v>
      </c>
      <c r="P138" s="30" t="s">
        <v>351</v>
      </c>
      <c r="Q138" s="43" t="s">
        <v>351</v>
      </c>
      <c r="R138" s="43" t="s">
        <v>1658</v>
      </c>
      <c r="S138" s="43" t="s">
        <v>351</v>
      </c>
      <c r="T138" s="43" t="s">
        <v>351</v>
      </c>
      <c r="U138" s="43" t="s">
        <v>351</v>
      </c>
      <c r="V138" s="43" t="s">
        <v>351</v>
      </c>
      <c r="W138" s="54">
        <v>45790</v>
      </c>
      <c r="X138" s="69" t="s">
        <v>1660</v>
      </c>
      <c r="Y138" t="e">
        <f>VLOOKUP(A138,#REF!,2,FALSE)</f>
        <v>#REF!</v>
      </c>
    </row>
    <row r="139" spans="1:25" ht="15" customHeight="1">
      <c r="A139" s="369" t="s">
        <v>1665</v>
      </c>
      <c r="B139" s="185" t="s">
        <v>50</v>
      </c>
      <c r="C139" s="422">
        <v>45742</v>
      </c>
      <c r="D139" s="372" t="s">
        <v>1666</v>
      </c>
      <c r="E139" s="539"/>
      <c r="F139" s="372"/>
      <c r="G139" s="372"/>
      <c r="H139" s="372">
        <v>87</v>
      </c>
      <c r="I139" s="371"/>
      <c r="J139" s="372" t="s">
        <v>57</v>
      </c>
      <c r="K139" s="372" t="s">
        <v>57</v>
      </c>
      <c r="L139" s="372" t="s">
        <v>63</v>
      </c>
      <c r="M139" s="49" t="s">
        <v>351</v>
      </c>
      <c r="N139" s="30" t="s">
        <v>351</v>
      </c>
      <c r="O139" s="30" t="s">
        <v>351</v>
      </c>
      <c r="P139" s="30" t="s">
        <v>351</v>
      </c>
      <c r="Q139" s="43" t="s">
        <v>351</v>
      </c>
      <c r="R139" s="43" t="s">
        <v>1658</v>
      </c>
      <c r="S139" s="43" t="s">
        <v>351</v>
      </c>
      <c r="T139" s="43" t="s">
        <v>351</v>
      </c>
      <c r="U139" s="158" t="s">
        <v>351</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351</v>
      </c>
      <c r="O140" s="54">
        <v>45743</v>
      </c>
      <c r="P140" s="87" t="s">
        <v>351</v>
      </c>
      <c r="Q140" s="88" t="s">
        <v>351</v>
      </c>
      <c r="R140" s="43" t="s">
        <v>1658</v>
      </c>
      <c r="S140" s="43" t="s">
        <v>351</v>
      </c>
      <c r="T140" s="43" t="s">
        <v>351</v>
      </c>
      <c r="U140" s="88" t="s">
        <v>351</v>
      </c>
      <c r="V140" s="69" t="s">
        <v>351</v>
      </c>
      <c r="W140" s="54">
        <v>45819</v>
      </c>
      <c r="X140" s="69" t="s">
        <v>1660</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351</v>
      </c>
      <c r="O141" s="198">
        <v>45743</v>
      </c>
      <c r="P141" s="87" t="s">
        <v>351</v>
      </c>
      <c r="Q141" s="88" t="s">
        <v>351</v>
      </c>
      <c r="R141" s="43" t="s">
        <v>1658</v>
      </c>
      <c r="S141" s="43" t="s">
        <v>351</v>
      </c>
      <c r="T141" s="43" t="s">
        <v>351</v>
      </c>
      <c r="U141" s="88" t="s">
        <v>351</v>
      </c>
      <c r="V141" s="88" t="s">
        <v>351</v>
      </c>
      <c r="W141" s="54">
        <v>45811</v>
      </c>
      <c r="X141" s="69" t="s">
        <v>1660</v>
      </c>
      <c r="Y141" t="e">
        <f>VLOOKUP(A141,#REF!,2,FALSE)</f>
        <v>#REF!</v>
      </c>
    </row>
    <row r="142" spans="1:25" ht="15" customHeight="1">
      <c r="A142" s="369" t="s">
        <v>1667</v>
      </c>
      <c r="B142" s="420" t="s">
        <v>50</v>
      </c>
      <c r="C142" s="422">
        <v>45742</v>
      </c>
      <c r="D142" s="372" t="s">
        <v>1668</v>
      </c>
      <c r="E142" s="539"/>
      <c r="F142" s="372"/>
      <c r="G142" s="372"/>
      <c r="H142" s="372">
        <v>87</v>
      </c>
      <c r="I142" s="371"/>
      <c r="J142" s="372" t="s">
        <v>57</v>
      </c>
      <c r="K142" s="372" t="s">
        <v>57</v>
      </c>
      <c r="L142" s="372" t="s">
        <v>63</v>
      </c>
      <c r="M142" s="49" t="s">
        <v>351</v>
      </c>
      <c r="N142" s="49" t="s">
        <v>351</v>
      </c>
      <c r="O142" s="198">
        <v>45691</v>
      </c>
      <c r="P142" s="30" t="s">
        <v>351</v>
      </c>
      <c r="Q142" s="69" t="s">
        <v>351</v>
      </c>
      <c r="R142" s="43" t="s">
        <v>1658</v>
      </c>
      <c r="S142" s="43" t="s">
        <v>351</v>
      </c>
      <c r="T142" s="43" t="s">
        <v>351</v>
      </c>
      <c r="U142" s="158" t="s">
        <v>351</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351</v>
      </c>
      <c r="N143" s="49" t="s">
        <v>351</v>
      </c>
      <c r="O143" s="198">
        <v>45675</v>
      </c>
      <c r="P143" s="30" t="s">
        <v>351</v>
      </c>
      <c r="Q143" s="69" t="s">
        <v>351</v>
      </c>
      <c r="R143" s="43" t="s">
        <v>1658</v>
      </c>
      <c r="S143" s="43" t="s">
        <v>351</v>
      </c>
      <c r="T143" s="43" t="s">
        <v>351</v>
      </c>
      <c r="U143" s="158" t="s">
        <v>351</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351</v>
      </c>
      <c r="O144" s="198">
        <v>45749</v>
      </c>
      <c r="P144" s="30" t="s">
        <v>351</v>
      </c>
      <c r="Q144" s="43" t="s">
        <v>351</v>
      </c>
      <c r="R144" s="43" t="s">
        <v>351</v>
      </c>
      <c r="S144" s="43" t="s">
        <v>56</v>
      </c>
      <c r="T144" s="43" t="s">
        <v>351</v>
      </c>
      <c r="U144" s="88" t="s">
        <v>351</v>
      </c>
      <c r="V144" s="88" t="s">
        <v>351</v>
      </c>
      <c r="W144" s="54">
        <v>45888</v>
      </c>
      <c r="X144" s="69" t="s">
        <v>1660</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1669</v>
      </c>
      <c r="B146" s="420" t="s">
        <v>50</v>
      </c>
      <c r="C146" s="370">
        <v>45991</v>
      </c>
      <c r="D146" s="432" t="s">
        <v>1670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351</v>
      </c>
      <c r="O148" s="198">
        <v>45744</v>
      </c>
      <c r="P148" s="49" t="s">
        <v>351</v>
      </c>
      <c r="Q148" s="43" t="s">
        <v>351</v>
      </c>
      <c r="R148" s="43" t="s">
        <v>351</v>
      </c>
      <c r="S148" s="43" t="s">
        <v>56</v>
      </c>
      <c r="T148" s="43" t="s">
        <v>351</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1658</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351</v>
      </c>
      <c r="O150" s="198">
        <v>45744</v>
      </c>
      <c r="P150" s="101" t="s">
        <v>351</v>
      </c>
      <c r="Q150" s="69" t="s">
        <v>351</v>
      </c>
      <c r="R150" s="43" t="s">
        <v>1658</v>
      </c>
      <c r="S150" s="43" t="s">
        <v>351</v>
      </c>
      <c r="T150" s="43" t="s">
        <v>351</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351</v>
      </c>
      <c r="O151" s="198">
        <v>45698</v>
      </c>
      <c r="P151" s="101" t="s">
        <v>351</v>
      </c>
      <c r="Q151" s="69" t="s">
        <v>351</v>
      </c>
      <c r="R151" s="43" t="s">
        <v>1658</v>
      </c>
      <c r="S151" s="43" t="s">
        <v>351</v>
      </c>
      <c r="T151" s="43" t="s">
        <v>351</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351</v>
      </c>
      <c r="O153" s="198">
        <v>45696</v>
      </c>
      <c r="P153" s="30" t="s">
        <v>351</v>
      </c>
      <c r="Q153" s="69" t="s">
        <v>351</v>
      </c>
      <c r="R153" s="43" t="s">
        <v>1658</v>
      </c>
      <c r="S153" s="43" t="s">
        <v>351</v>
      </c>
      <c r="T153" s="158" t="s">
        <v>351</v>
      </c>
      <c r="U153" s="158" t="s">
        <v>351</v>
      </c>
      <c r="V153" s="43" t="s">
        <v>351</v>
      </c>
      <c r="W153" s="54">
        <v>45807</v>
      </c>
      <c r="X153" s="69" t="s">
        <v>1660</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351</v>
      </c>
      <c r="O154" s="358">
        <v>45696</v>
      </c>
      <c r="P154" s="30" t="s">
        <v>351</v>
      </c>
      <c r="Q154" s="69" t="s">
        <v>351</v>
      </c>
      <c r="R154" s="43" t="s">
        <v>1658</v>
      </c>
      <c r="S154" s="43" t="s">
        <v>351</v>
      </c>
      <c r="T154" s="158" t="s">
        <v>351</v>
      </c>
      <c r="U154" s="158" t="s">
        <v>351</v>
      </c>
      <c r="V154" s="43" t="s">
        <v>351</v>
      </c>
      <c r="W154" s="168">
        <v>45792</v>
      </c>
      <c r="X154" s="149" t="s">
        <v>1660</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351</v>
      </c>
      <c r="O155" s="54">
        <v>45699</v>
      </c>
      <c r="P155" s="49" t="s">
        <v>351</v>
      </c>
      <c r="Q155" s="69" t="s">
        <v>351</v>
      </c>
      <c r="R155" s="43" t="s">
        <v>1658</v>
      </c>
      <c r="S155" s="43" t="s">
        <v>351</v>
      </c>
      <c r="T155" s="43" t="s">
        <v>351</v>
      </c>
      <c r="U155" s="158" t="s">
        <v>351</v>
      </c>
      <c r="V155" s="43" t="s">
        <v>351</v>
      </c>
      <c r="W155" s="367">
        <v>45821</v>
      </c>
      <c r="X155" s="69" t="s">
        <v>1660</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351</v>
      </c>
      <c r="O156" s="54">
        <v>45699</v>
      </c>
      <c r="P156" s="49" t="s">
        <v>351</v>
      </c>
      <c r="Q156" s="69" t="s">
        <v>351</v>
      </c>
      <c r="R156" s="43" t="s">
        <v>1658</v>
      </c>
      <c r="S156" s="43" t="s">
        <v>351</v>
      </c>
      <c r="T156" s="43" t="s">
        <v>351</v>
      </c>
      <c r="U156" s="69" t="s">
        <v>351</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1658</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351</v>
      </c>
      <c r="O158" s="54">
        <v>45736</v>
      </c>
      <c r="P158" s="49" t="s">
        <v>351</v>
      </c>
      <c r="Q158" s="69" t="s">
        <v>351</v>
      </c>
      <c r="R158" s="43" t="s">
        <v>1658</v>
      </c>
      <c r="S158" s="43" t="s">
        <v>351</v>
      </c>
      <c r="T158" s="43" t="s">
        <v>351</v>
      </c>
      <c r="U158" s="158" t="s">
        <v>351</v>
      </c>
      <c r="V158" s="158" t="s">
        <v>351</v>
      </c>
      <c r="W158" s="367">
        <v>45817</v>
      </c>
      <c r="X158" s="69" t="s">
        <v>1660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351</v>
      </c>
      <c r="O159" s="30" t="s">
        <v>351</v>
      </c>
      <c r="P159" s="49" t="s">
        <v>351</v>
      </c>
      <c r="Q159" s="43" t="s">
        <v>351</v>
      </c>
      <c r="R159" s="43" t="s">
        <v>351</v>
      </c>
      <c r="S159" s="43" t="s">
        <v>56</v>
      </c>
      <c r="T159" s="43" t="s">
        <v>351</v>
      </c>
      <c r="U159" s="43" t="s">
        <v>351</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351</v>
      </c>
      <c r="O160" s="54">
        <v>45723</v>
      </c>
      <c r="P160" s="49" t="s">
        <v>351</v>
      </c>
      <c r="Q160" s="43" t="s">
        <v>351</v>
      </c>
      <c r="R160" s="43" t="s">
        <v>351</v>
      </c>
      <c r="S160" s="43" t="s">
        <v>56</v>
      </c>
      <c r="T160" s="43" t="s">
        <v>351</v>
      </c>
      <c r="U160" s="43" t="s">
        <v>351</v>
      </c>
      <c r="V160" s="69" t="s">
        <v>351</v>
      </c>
      <c r="W160" s="367">
        <v>45897</v>
      </c>
      <c r="X160" s="69" t="s">
        <v>1660</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351</v>
      </c>
      <c r="O161" s="157">
        <v>45726</v>
      </c>
      <c r="P161" s="49" t="s">
        <v>351</v>
      </c>
      <c r="Q161" s="43" t="s">
        <v>351</v>
      </c>
      <c r="R161" s="43" t="s">
        <v>351</v>
      </c>
      <c r="S161" s="43" t="s">
        <v>56</v>
      </c>
      <c r="T161" s="43" t="s">
        <v>351</v>
      </c>
      <c r="U161" s="43" t="s">
        <v>351</v>
      </c>
      <c r="V161" s="88" t="s">
        <v>351</v>
      </c>
      <c r="W161" s="54">
        <v>45814</v>
      </c>
      <c r="X161" s="69" t="s">
        <v>1660</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351</v>
      </c>
      <c r="O162" s="600">
        <v>45693</v>
      </c>
      <c r="P162" s="30" t="s">
        <v>351</v>
      </c>
      <c r="Q162" s="43" t="s">
        <v>351</v>
      </c>
      <c r="R162" s="43" t="s">
        <v>351</v>
      </c>
      <c r="S162" s="43" t="s">
        <v>56</v>
      </c>
      <c r="T162" s="43" t="s">
        <v>351</v>
      </c>
      <c r="U162" s="43" t="s">
        <v>351</v>
      </c>
      <c r="V162" s="88" t="s">
        <v>351</v>
      </c>
      <c r="W162" s="367">
        <v>45838</v>
      </c>
      <c r="X162" s="69" t="s">
        <v>1660</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351</v>
      </c>
      <c r="O163" s="54">
        <v>45693</v>
      </c>
      <c r="P163" s="30" t="s">
        <v>351</v>
      </c>
      <c r="Q163" s="69" t="s">
        <v>351</v>
      </c>
      <c r="R163" s="69" t="s">
        <v>351</v>
      </c>
      <c r="S163" s="43" t="s">
        <v>56</v>
      </c>
      <c r="T163" s="43" t="s">
        <v>351</v>
      </c>
      <c r="U163" s="69" t="s">
        <v>351</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351</v>
      </c>
      <c r="N164" s="30" t="s">
        <v>351</v>
      </c>
      <c r="O164" s="40" t="s">
        <v>351</v>
      </c>
      <c r="P164" s="87" t="s">
        <v>351</v>
      </c>
      <c r="Q164" s="43" t="s">
        <v>351</v>
      </c>
      <c r="R164" s="43" t="s">
        <v>351</v>
      </c>
      <c r="S164" s="43" t="s">
        <v>56</v>
      </c>
      <c r="T164" s="43" t="s">
        <v>351</v>
      </c>
      <c r="U164" s="43" t="s">
        <v>351</v>
      </c>
      <c r="V164" s="43" t="s">
        <v>351</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351</v>
      </c>
      <c r="N165" s="30" t="s">
        <v>351</v>
      </c>
      <c r="O165" s="600">
        <v>45818</v>
      </c>
      <c r="P165" s="87" t="s">
        <v>351</v>
      </c>
      <c r="Q165" s="43" t="s">
        <v>351</v>
      </c>
      <c r="R165" s="43" t="s">
        <v>351</v>
      </c>
      <c r="S165" s="43" t="s">
        <v>56</v>
      </c>
      <c r="T165" s="43" t="s">
        <v>351</v>
      </c>
      <c r="U165" s="43" t="s">
        <v>351</v>
      </c>
      <c r="V165" s="43" t="s">
        <v>351</v>
      </c>
      <c r="W165" s="367">
        <v>45854</v>
      </c>
      <c r="X165" s="69" t="s">
        <v>1660</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351</v>
      </c>
      <c r="N166" s="30" t="s">
        <v>351</v>
      </c>
      <c r="O166" s="600">
        <v>45693</v>
      </c>
      <c r="P166" s="87" t="s">
        <v>351</v>
      </c>
      <c r="Q166" s="43" t="s">
        <v>351</v>
      </c>
      <c r="R166" s="43" t="s">
        <v>351</v>
      </c>
      <c r="S166" s="43" t="s">
        <v>56</v>
      </c>
      <c r="T166" s="43" t="s">
        <v>351</v>
      </c>
      <c r="U166" s="43" t="s">
        <v>351</v>
      </c>
      <c r="V166" s="43" t="s">
        <v>351</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351</v>
      </c>
      <c r="O167" s="600">
        <v>45720</v>
      </c>
      <c r="P167" s="87" t="s">
        <v>351</v>
      </c>
      <c r="Q167" s="43" t="s">
        <v>351</v>
      </c>
      <c r="R167" s="43" t="s">
        <v>351</v>
      </c>
      <c r="S167" s="43" t="s">
        <v>56</v>
      </c>
      <c r="T167" s="43" t="s">
        <v>351</v>
      </c>
      <c r="U167" s="43" t="s">
        <v>351</v>
      </c>
      <c r="V167" s="43" t="s">
        <v>351</v>
      </c>
      <c r="W167" s="367">
        <v>45902</v>
      </c>
      <c r="X167" s="69" t="s">
        <v>1660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351</v>
      </c>
      <c r="O172" s="40" t="s">
        <v>52</v>
      </c>
      <c r="P172" s="87" t="s">
        <v>351</v>
      </c>
      <c r="Q172" s="43" t="s">
        <v>56</v>
      </c>
      <c r="R172" s="43" t="s">
        <v>56</v>
      </c>
      <c r="S172" s="43" t="s">
        <v>56</v>
      </c>
      <c r="T172" s="43" t="s">
        <v>351</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1671</v>
      </c>
      <c r="W2" s="3" t="s">
        <v>1672</v>
      </c>
      <c r="X2" s="3" t="s">
        <v>1672</v>
      </c>
      <c r="Y2" s="3" t="s">
        <v>1672</v>
      </c>
      <c r="Z2" s="3" t="s">
        <v>1672</v>
      </c>
      <c r="AA2" s="8" t="s">
        <v>1673</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1674</v>
      </c>
      <c r="T3" s="19" t="s">
        <v>1675</v>
      </c>
      <c r="U3" s="19" t="s">
        <v>1676</v>
      </c>
      <c r="V3" s="5" t="s">
        <v>1677</v>
      </c>
      <c r="W3" s="5" t="s">
        <v>44</v>
      </c>
      <c r="X3" s="5" t="s">
        <v>43</v>
      </c>
      <c r="Y3" s="5" t="s">
        <v>1678</v>
      </c>
      <c r="Z3" s="5" t="s">
        <v>46</v>
      </c>
      <c r="AA3" s="90" t="s">
        <v>505</v>
      </c>
      <c r="AB3" s="68" t="s">
        <v>48</v>
      </c>
    </row>
    <row r="4" spans="1:30" ht="24.75" customHeight="1" thickBot="1">
      <c r="A4" s="454" t="s">
        <v>1679</v>
      </c>
      <c r="B4" s="454" t="s">
        <v>1680</v>
      </c>
      <c r="C4" s="16">
        <v>45717</v>
      </c>
      <c r="D4" s="63" t="s">
        <v>1681</v>
      </c>
      <c r="E4" s="51">
        <v>45707</v>
      </c>
      <c r="F4" s="51" t="s">
        <v>220</v>
      </c>
      <c r="G4" s="393" t="s">
        <v>1682</v>
      </c>
      <c r="H4" s="98">
        <v>0</v>
      </c>
      <c r="I4" s="106"/>
      <c r="J4" s="76" t="s">
        <v>63</v>
      </c>
      <c r="K4" s="76" t="s">
        <v>1683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1684</v>
      </c>
    </row>
    <row r="5" spans="1:30" ht="24.75" customHeight="1" thickBot="1">
      <c r="A5" s="454" t="s">
        <v>1685</v>
      </c>
      <c r="B5" s="454" t="s">
        <v>1680</v>
      </c>
      <c r="C5" s="16">
        <v>45717</v>
      </c>
      <c r="D5" s="63" t="s">
        <v>1681</v>
      </c>
      <c r="E5" s="51">
        <v>45707</v>
      </c>
      <c r="F5" s="392" t="s">
        <v>220</v>
      </c>
      <c r="G5" s="393" t="s">
        <v>1686</v>
      </c>
      <c r="H5" s="98">
        <v>0</v>
      </c>
      <c r="I5" s="106"/>
      <c r="J5" s="76" t="s">
        <v>63</v>
      </c>
      <c r="K5" s="76" t="s">
        <v>1683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1687</v>
      </c>
      <c r="B6" s="454" t="s">
        <v>1680</v>
      </c>
      <c r="C6" s="16">
        <v>45717</v>
      </c>
      <c r="D6" s="63" t="s">
        <v>1681</v>
      </c>
      <c r="E6" s="51">
        <v>45707</v>
      </c>
      <c r="F6" s="392" t="s">
        <v>220</v>
      </c>
      <c r="G6" s="393" t="s">
        <v>1688</v>
      </c>
      <c r="H6" s="98">
        <v>0</v>
      </c>
      <c r="I6" s="106"/>
      <c r="J6" s="76" t="s">
        <v>63</v>
      </c>
      <c r="K6" s="76" t="s">
        <v>1683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1689</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1690</v>
      </c>
      <c r="B8" s="454" t="s">
        <v>1691</v>
      </c>
      <c r="C8" s="16">
        <v>45748</v>
      </c>
      <c r="D8" s="16" t="s">
        <v>1681</v>
      </c>
      <c r="E8" s="95" t="s">
        <v>52</v>
      </c>
      <c r="F8" s="96" t="s">
        <v>52</v>
      </c>
      <c r="G8" s="638" t="s">
        <v>1692</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1693</v>
      </c>
      <c r="AC8" s="449"/>
      <c r="AD8" s="70"/>
    </row>
    <row r="9" spans="1:30" ht="24.75" customHeight="1">
      <c r="A9" s="463" t="s">
        <v>1694</v>
      </c>
      <c r="B9" s="463" t="s">
        <v>1695</v>
      </c>
      <c r="C9" s="23">
        <v>45741</v>
      </c>
      <c r="D9" s="16" t="s">
        <v>1681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1696</v>
      </c>
    </row>
    <row r="10" spans="1:30" ht="24.75" customHeight="1" thickBot="1">
      <c r="A10" s="26" t="s">
        <v>1697</v>
      </c>
      <c r="B10" s="26" t="s">
        <v>1695</v>
      </c>
      <c r="C10" s="27">
        <v>45741</v>
      </c>
      <c r="D10" s="16" t="s">
        <v>1681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1698</v>
      </c>
      <c r="B11" s="36" t="s">
        <v>1695</v>
      </c>
      <c r="C11" s="37">
        <v>45747</v>
      </c>
      <c r="D11" s="16" t="s">
        <v>1681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1699</v>
      </c>
      <c r="B12" s="26" t="s">
        <v>1695</v>
      </c>
      <c r="C12" s="27">
        <v>45741</v>
      </c>
      <c r="D12" s="16" t="s">
        <v>1681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1696</v>
      </c>
    </row>
    <row r="13" spans="1:30" ht="24.75" customHeight="1" thickBot="1">
      <c r="A13" s="26" t="s">
        <v>1700</v>
      </c>
      <c r="B13" s="26" t="s">
        <v>1695</v>
      </c>
      <c r="C13" s="27">
        <v>45741</v>
      </c>
      <c r="D13" s="27" t="s">
        <v>1681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1696</v>
      </c>
    </row>
    <row r="14" spans="1:30" ht="24.75" customHeight="1" thickBot="1">
      <c r="A14" s="26" t="s">
        <v>1701</v>
      </c>
      <c r="B14" s="26" t="s">
        <v>1695</v>
      </c>
      <c r="C14" s="27">
        <v>45747</v>
      </c>
      <c r="D14" s="27" t="s">
        <v>1681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1702</v>
      </c>
      <c r="B15" s="26" t="s">
        <v>1695</v>
      </c>
      <c r="C15" s="27">
        <v>45741</v>
      </c>
      <c r="D15" s="27" t="s">
        <v>1681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1696</v>
      </c>
    </row>
    <row r="16" spans="1:30" ht="24.75" customHeight="1" thickBot="1">
      <c r="A16" s="26" t="s">
        <v>1703</v>
      </c>
      <c r="B16" s="26" t="s">
        <v>1695</v>
      </c>
      <c r="C16" s="27">
        <v>45741</v>
      </c>
      <c r="D16" s="27" t="s">
        <v>1681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1696</v>
      </c>
    </row>
    <row r="17" spans="1:30" ht="24.75" customHeight="1" thickBot="1">
      <c r="A17" s="36" t="s">
        <v>1704</v>
      </c>
      <c r="B17" s="36" t="s">
        <v>1695</v>
      </c>
      <c r="C17" s="37">
        <v>45747</v>
      </c>
      <c r="D17" s="37" t="s">
        <v>1681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1705</v>
      </c>
      <c r="B18" s="385" t="s">
        <v>1695</v>
      </c>
      <c r="C18" s="51">
        <v>45717</v>
      </c>
      <c r="D18" s="27" t="s">
        <v>1681</v>
      </c>
      <c r="E18" s="85">
        <v>45700</v>
      </c>
      <c r="F18" s="51"/>
      <c r="G18" s="51" t="s">
        <v>1706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1696</v>
      </c>
    </row>
    <row r="19" spans="1:30" ht="24.75" customHeight="1" thickBot="1">
      <c r="A19" s="50" t="s">
        <v>1707</v>
      </c>
      <c r="B19" s="26" t="s">
        <v>1695</v>
      </c>
      <c r="C19" s="51">
        <v>45747</v>
      </c>
      <c r="D19" s="27" t="s">
        <v>1681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1708</v>
      </c>
    </row>
    <row r="20" spans="1:30" ht="24.75" customHeight="1" thickBot="1">
      <c r="A20" s="385" t="s">
        <v>1709</v>
      </c>
      <c r="B20" s="385" t="s">
        <v>1695</v>
      </c>
      <c r="C20" s="386">
        <v>45717</v>
      </c>
      <c r="D20" s="27" t="s">
        <v>1681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1696</v>
      </c>
    </row>
    <row r="21" spans="1:30" ht="24.75" customHeight="1" thickBot="1">
      <c r="A21" s="385" t="s">
        <v>1710</v>
      </c>
      <c r="B21" s="113" t="s">
        <v>50</v>
      </c>
      <c r="C21" s="51">
        <v>45717</v>
      </c>
      <c r="D21" s="27" t="s">
        <v>1711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1712</v>
      </c>
      <c r="B22" s="389" t="s">
        <v>50</v>
      </c>
      <c r="C22" s="51">
        <v>45717</v>
      </c>
      <c r="D22" s="51" t="s">
        <v>1711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1714</v>
      </c>
      <c r="B24" s="389" t="s">
        <v>50</v>
      </c>
      <c r="C24" s="392">
        <v>45688</v>
      </c>
      <c r="D24" s="402" t="s">
        <v>1713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1715</v>
      </c>
      <c r="B25" s="114" t="s">
        <v>50</v>
      </c>
      <c r="C25" s="51">
        <v>45747</v>
      </c>
      <c r="D25" s="51" t="s">
        <v>1711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1716</v>
      </c>
    </row>
    <row r="26" spans="1:30" ht="24.75" customHeight="1">
      <c r="A26" s="102" t="s">
        <v>1717</v>
      </c>
      <c r="B26" s="103" t="s">
        <v>50</v>
      </c>
      <c r="C26" s="77">
        <v>45716</v>
      </c>
      <c r="D26" s="26" t="s">
        <v>1713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1718</v>
      </c>
      <c r="B27" s="103" t="s">
        <v>50</v>
      </c>
      <c r="C27" s="77">
        <v>45716</v>
      </c>
      <c r="D27" s="50" t="s">
        <v>1713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1719</v>
      </c>
      <c r="B28" s="103" t="s">
        <v>50</v>
      </c>
      <c r="C28" s="77">
        <v>45717</v>
      </c>
      <c r="D28" s="51" t="s">
        <v>1711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1720</v>
      </c>
      <c r="B29" s="103" t="s">
        <v>50</v>
      </c>
      <c r="C29" s="77">
        <v>45717</v>
      </c>
      <c r="D29" s="51" t="s">
        <v>1711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1721</v>
      </c>
      <c r="B30" s="389" t="s">
        <v>50</v>
      </c>
      <c r="C30" s="51">
        <v>45717</v>
      </c>
      <c r="D30" s="51" t="s">
        <v>1711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1722</v>
      </c>
      <c r="B31" s="389" t="s">
        <v>50</v>
      </c>
      <c r="C31" s="51">
        <v>45717</v>
      </c>
      <c r="D31" s="51" t="s">
        <v>1711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1669</v>
      </c>
      <c r="B32" s="1057" t="s">
        <v>50</v>
      </c>
      <c r="C32" s="950">
        <v>45991</v>
      </c>
      <c r="D32" s="950" t="s">
        <v>60</v>
      </c>
      <c r="E32" s="1049">
        <v>45734</v>
      </c>
      <c r="F32" s="954" t="s">
        <v>61</v>
      </c>
      <c r="G32" s="1058" t="s">
        <v>1670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1723</v>
      </c>
      <c r="B33" s="1057" t="s">
        <v>50</v>
      </c>
      <c r="C33" s="950">
        <v>45991</v>
      </c>
      <c r="D33" s="954" t="s">
        <v>60</v>
      </c>
      <c r="E33" s="1049">
        <v>45743</v>
      </c>
      <c r="F33" s="954" t="s">
        <v>61</v>
      </c>
      <c r="G33" s="1058" t="s">
        <v>1724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1725</v>
      </c>
    </row>
    <row r="34" spans="1:28" ht="24.75" customHeight="1">
      <c r="A34" s="948" t="s">
        <v>1726</v>
      </c>
      <c r="B34" s="1057" t="s">
        <v>50</v>
      </c>
      <c r="C34" s="950">
        <v>45989</v>
      </c>
      <c r="D34" s="950" t="s">
        <v>1727</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1728</v>
      </c>
      <c r="C1" s="1157"/>
      <c r="D1" s="576"/>
      <c r="E1" s="1157" t="s">
        <v>1729</v>
      </c>
      <c r="F1" s="1157"/>
    </row>
    <row r="2" spans="1:25">
      <c r="B2" s="44" t="s">
        <v>1730</v>
      </c>
      <c r="E2" s="44" t="s">
        <v>22</v>
      </c>
      <c r="F2" t="s">
        <v>874</v>
      </c>
      <c r="P2" s="44" t="s">
        <v>27</v>
      </c>
      <c r="Q2" t="s">
        <v>1731</v>
      </c>
    </row>
    <row r="3" spans="1:25">
      <c r="B3" s="44" t="s">
        <v>22</v>
      </c>
      <c r="C3" t="s">
        <v>880</v>
      </c>
      <c r="K3" s="44" t="s">
        <v>1732</v>
      </c>
      <c r="L3" t="s">
        <v>1733</v>
      </c>
      <c r="P3" s="44" t="s">
        <v>1732</v>
      </c>
      <c r="Q3" t="s">
        <v>1733</v>
      </c>
    </row>
    <row r="4" spans="1:25">
      <c r="B4" t="s">
        <v>140</v>
      </c>
      <c r="C4">
        <v>223696</v>
      </c>
      <c r="E4" s="44" t="s">
        <v>1730</v>
      </c>
      <c r="F4" t="s">
        <v>880</v>
      </c>
      <c r="W4" t="s">
        <v>1734</v>
      </c>
      <c r="X4">
        <v>22</v>
      </c>
    </row>
    <row r="5" spans="1:25">
      <c r="B5" t="s">
        <v>60</v>
      </c>
      <c r="C5">
        <v>53770</v>
      </c>
      <c r="E5" t="s">
        <v>880</v>
      </c>
      <c r="F5">
        <v>307508</v>
      </c>
      <c r="K5" s="44" t="s">
        <v>1735</v>
      </c>
      <c r="P5" s="44" t="s">
        <v>1735</v>
      </c>
      <c r="W5" t="s">
        <v>1736</v>
      </c>
      <c r="X5">
        <v>13</v>
      </c>
    </row>
    <row r="6" spans="1:25">
      <c r="B6" t="s">
        <v>101</v>
      </c>
      <c r="C6">
        <v>22387</v>
      </c>
      <c r="K6" s="44" t="s">
        <v>27</v>
      </c>
      <c r="L6" s="44" t="s">
        <v>1737</v>
      </c>
      <c r="M6" t="s">
        <v>880</v>
      </c>
      <c r="P6" s="44" t="s">
        <v>1738</v>
      </c>
      <c r="Q6" s="44" t="s">
        <v>1737</v>
      </c>
      <c r="R6" t="s">
        <v>880</v>
      </c>
    </row>
    <row r="7" spans="1:25">
      <c r="B7" t="s">
        <v>906</v>
      </c>
      <c r="C7">
        <v>232938</v>
      </c>
      <c r="K7" t="s">
        <v>1731</v>
      </c>
      <c r="L7" t="s">
        <v>511</v>
      </c>
      <c r="M7">
        <v>1</v>
      </c>
      <c r="P7" t="s">
        <v>1739</v>
      </c>
      <c r="R7">
        <v>1</v>
      </c>
      <c r="X7" t="s">
        <v>1740</v>
      </c>
      <c r="Y7" t="s">
        <v>1741</v>
      </c>
    </row>
    <row r="8" spans="1:25">
      <c r="B8" t="s">
        <v>51</v>
      </c>
      <c r="C8">
        <v>0</v>
      </c>
      <c r="L8" t="s">
        <v>513</v>
      </c>
      <c r="M8">
        <v>1</v>
      </c>
      <c r="P8" t="s">
        <v>1742</v>
      </c>
      <c r="R8">
        <v>1</v>
      </c>
      <c r="V8" t="s">
        <v>1743</v>
      </c>
      <c r="W8" s="261">
        <v>203521</v>
      </c>
      <c r="X8" s="317">
        <f>X5/X4</f>
        <v>0.59090909090909094</v>
      </c>
      <c r="Y8" s="317">
        <f>W9/W8</f>
        <v>0.31446386367991508</v>
      </c>
    </row>
    <row r="9" spans="1:25">
      <c r="B9" t="s">
        <v>22</v>
      </c>
      <c r="C9">
        <v>0</v>
      </c>
      <c r="L9" t="s">
        <v>1744</v>
      </c>
      <c r="M9">
        <v>1</v>
      </c>
      <c r="P9" t="s">
        <v>1745</v>
      </c>
      <c r="Q9" t="s">
        <v>1744</v>
      </c>
      <c r="R9">
        <v>1</v>
      </c>
      <c r="V9" t="s">
        <v>1746</v>
      </c>
      <c r="W9">
        <v>64000</v>
      </c>
    </row>
    <row r="10" spans="1:25">
      <c r="B10" t="s">
        <v>243</v>
      </c>
      <c r="C10">
        <v>7348</v>
      </c>
      <c r="L10" t="s">
        <v>612</v>
      </c>
      <c r="M10">
        <v>1</v>
      </c>
      <c r="Q10" t="s">
        <v>616</v>
      </c>
      <c r="R10">
        <v>1</v>
      </c>
    </row>
    <row r="11" spans="1:25">
      <c r="B11" t="s">
        <v>245</v>
      </c>
      <c r="C11">
        <v>41868</v>
      </c>
      <c r="L11" t="s">
        <v>616</v>
      </c>
      <c r="M11">
        <v>1</v>
      </c>
      <c r="Q11" t="s">
        <v>494</v>
      </c>
      <c r="R11">
        <v>1</v>
      </c>
    </row>
    <row r="12" spans="1:25">
      <c r="B12" t="s">
        <v>207</v>
      </c>
      <c r="C12">
        <v>103</v>
      </c>
      <c r="L12" t="s">
        <v>494</v>
      </c>
      <c r="M12">
        <v>1</v>
      </c>
      <c r="Q12" t="s">
        <v>1747</v>
      </c>
      <c r="R12">
        <v>1</v>
      </c>
    </row>
    <row r="13" spans="1:25">
      <c r="B13" t="s">
        <v>212</v>
      </c>
      <c r="C13">
        <v>16290</v>
      </c>
      <c r="L13" t="s">
        <v>1748</v>
      </c>
      <c r="M13">
        <v>1</v>
      </c>
      <c r="Q13" t="s">
        <v>830</v>
      </c>
      <c r="R13">
        <v>1</v>
      </c>
    </row>
    <row r="14" spans="1:25">
      <c r="B14" t="s">
        <v>239</v>
      </c>
      <c r="C14">
        <v>11123</v>
      </c>
      <c r="L14" t="s">
        <v>630</v>
      </c>
      <c r="M14">
        <v>1</v>
      </c>
      <c r="P14" t="s">
        <v>1749</v>
      </c>
      <c r="R14">
        <v>5</v>
      </c>
    </row>
    <row r="15" spans="1:25">
      <c r="B15" t="s">
        <v>215</v>
      </c>
      <c r="C15">
        <v>5576</v>
      </c>
      <c r="L15" t="s">
        <v>1747</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1750</v>
      </c>
      <c r="M21">
        <v>1</v>
      </c>
    </row>
    <row r="22" spans="2:13">
      <c r="L22" t="s">
        <v>830</v>
      </c>
      <c r="M22">
        <v>1</v>
      </c>
    </row>
    <row r="23" spans="2:13">
      <c r="L23" t="s">
        <v>674</v>
      </c>
      <c r="M23">
        <v>1</v>
      </c>
    </row>
    <row r="24" spans="2:13">
      <c r="L24" t="s">
        <v>692</v>
      </c>
      <c r="M24">
        <v>1</v>
      </c>
    </row>
    <row r="25" spans="2:13">
      <c r="L25" t="s">
        <v>181</v>
      </c>
      <c r="M25">
        <v>1</v>
      </c>
    </row>
    <row r="26" spans="2:13">
      <c r="K26" t="s">
        <v>1751</v>
      </c>
      <c r="M26">
        <v>19</v>
      </c>
    </row>
    <row r="27" spans="2:13">
      <c r="K27" t="s">
        <v>1752</v>
      </c>
      <c r="L27" t="s">
        <v>624</v>
      </c>
      <c r="M27">
        <v>1</v>
      </c>
    </row>
    <row r="28" spans="2:13">
      <c r="L28" t="s">
        <v>626</v>
      </c>
      <c r="M28">
        <v>1</v>
      </c>
    </row>
    <row r="29" spans="2:13">
      <c r="L29" t="s">
        <v>628</v>
      </c>
      <c r="M29">
        <v>1</v>
      </c>
    </row>
    <row r="30" spans="2:13">
      <c r="L30" t="s">
        <v>644</v>
      </c>
      <c r="M30">
        <v>1</v>
      </c>
    </row>
    <row r="31" spans="2:13">
      <c r="L31" t="s">
        <v>646</v>
      </c>
      <c r="M31">
        <v>1</v>
      </c>
    </row>
    <row r="32" spans="2:13">
      <c r="L32" t="s">
        <v>1753</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1754</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1756</v>
      </c>
      <c r="S2" s="3" t="s">
        <v>1671</v>
      </c>
      <c r="T2" s="268" t="s">
        <v>1672</v>
      </c>
      <c r="U2" s="268" t="s">
        <v>1672</v>
      </c>
      <c r="V2" s="268" t="s">
        <v>1672</v>
      </c>
      <c r="W2" s="268" t="s">
        <v>1672</v>
      </c>
      <c r="X2" s="268" t="s">
        <v>1673</v>
      </c>
      <c r="Y2" s="268" t="s">
        <v>1757</v>
      </c>
    </row>
    <row r="3" spans="1:26" ht="15.75" thickBot="1">
      <c r="A3" s="267" t="s">
        <v>1737</v>
      </c>
      <c r="B3" s="263" t="s">
        <v>20</v>
      </c>
      <c r="C3" s="263" t="s">
        <v>1758</v>
      </c>
      <c r="D3" s="263" t="s">
        <v>26</v>
      </c>
      <c r="E3" s="263" t="s">
        <v>1732</v>
      </c>
      <c r="F3" s="263" t="s">
        <v>1759</v>
      </c>
      <c r="G3" s="263" t="s">
        <v>27</v>
      </c>
      <c r="H3" s="211" t="s">
        <v>28</v>
      </c>
      <c r="I3" s="211" t="s">
        <v>1760</v>
      </c>
      <c r="J3" s="211" t="s">
        <v>1761</v>
      </c>
      <c r="K3" s="211" t="s">
        <v>1762</v>
      </c>
      <c r="L3" s="211" t="s">
        <v>1660</v>
      </c>
      <c r="M3" s="211" t="s">
        <v>1763</v>
      </c>
      <c r="N3" s="211" t="s">
        <v>1764</v>
      </c>
      <c r="O3" s="210" t="s">
        <v>1676</v>
      </c>
      <c r="P3" s="264" t="s">
        <v>1738</v>
      </c>
      <c r="Q3" s="265" t="s">
        <v>34</v>
      </c>
      <c r="R3" s="265" t="s">
        <v>1760</v>
      </c>
      <c r="S3" s="5" t="s">
        <v>1677</v>
      </c>
      <c r="T3" s="265" t="s">
        <v>1765</v>
      </c>
      <c r="U3" s="265" t="s">
        <v>43</v>
      </c>
      <c r="V3" s="265" t="s">
        <v>1678</v>
      </c>
      <c r="W3" s="265" t="s">
        <v>46</v>
      </c>
      <c r="X3" s="265" t="s">
        <v>505</v>
      </c>
      <c r="Y3" s="265" t="s">
        <v>1766</v>
      </c>
      <c r="Z3" s="316" t="s">
        <v>1767</v>
      </c>
    </row>
    <row r="4" spans="1:26" ht="15.75" thickBot="1">
      <c r="A4" s="122" t="s">
        <v>80</v>
      </c>
      <c r="B4" s="103" t="s">
        <v>50</v>
      </c>
      <c r="C4" s="77">
        <v>45807</v>
      </c>
      <c r="D4" s="272"/>
      <c r="E4" s="273" t="s">
        <v>1768</v>
      </c>
      <c r="F4" s="272"/>
      <c r="G4" s="274" t="s">
        <v>1731</v>
      </c>
      <c r="H4" s="272"/>
      <c r="I4" s="272"/>
      <c r="J4" s="275"/>
      <c r="K4" s="209"/>
      <c r="L4" s="209"/>
      <c r="M4" s="209"/>
      <c r="N4" s="276"/>
      <c r="O4" s="277"/>
      <c r="P4" s="278" t="s">
        <v>1769</v>
      </c>
      <c r="Q4" s="279" t="s">
        <v>68</v>
      </c>
      <c r="R4" s="132" t="s">
        <v>1770</v>
      </c>
      <c r="S4" s="132"/>
      <c r="T4" s="280"/>
      <c r="U4" s="281"/>
      <c r="V4" s="281"/>
      <c r="W4" s="281"/>
      <c r="X4" s="281"/>
      <c r="Y4" s="281"/>
      <c r="Z4" t="e">
        <f>VLOOKUP(A4,#REF!,9,FALSE)</f>
        <v>#REF!</v>
      </c>
    </row>
    <row r="5" spans="1:26" ht="15.75" thickBot="1">
      <c r="A5" s="282" t="s">
        <v>1669</v>
      </c>
      <c r="B5" s="103" t="s">
        <v>50</v>
      </c>
      <c r="C5" s="219">
        <v>45807</v>
      </c>
      <c r="D5" s="272"/>
      <c r="E5" s="273" t="s">
        <v>1768</v>
      </c>
      <c r="F5" s="272"/>
      <c r="G5" s="274" t="s">
        <v>1731</v>
      </c>
      <c r="H5" s="272"/>
      <c r="I5" s="272"/>
      <c r="J5" s="283"/>
      <c r="K5" s="209"/>
      <c r="L5" s="209"/>
      <c r="M5" s="209"/>
      <c r="N5" s="276"/>
      <c r="O5" s="277"/>
      <c r="P5" s="278" t="s">
        <v>1769</v>
      </c>
      <c r="Q5" s="279" t="s">
        <v>68</v>
      </c>
      <c r="R5" s="132" t="s">
        <v>1770</v>
      </c>
      <c r="S5" s="132"/>
      <c r="T5" s="280"/>
      <c r="U5" s="281"/>
      <c r="V5" s="281"/>
      <c r="W5" s="281"/>
      <c r="X5" s="281"/>
      <c r="Y5" s="281"/>
      <c r="Z5" t="e">
        <f>VLOOKUP(A5,#REF!,9,FALSE)</f>
        <v>#REF!</v>
      </c>
    </row>
    <row r="6" spans="1:26" ht="15.75" thickBot="1">
      <c r="A6" s="122" t="s">
        <v>903</v>
      </c>
      <c r="B6" s="103" t="s">
        <v>50</v>
      </c>
      <c r="C6" s="219">
        <v>45807</v>
      </c>
      <c r="D6" s="272"/>
      <c r="E6" s="273" t="s">
        <v>1768</v>
      </c>
      <c r="F6" s="272"/>
      <c r="G6" s="274" t="s">
        <v>1731</v>
      </c>
      <c r="H6" s="272"/>
      <c r="I6" s="272"/>
      <c r="J6" s="283"/>
      <c r="K6" s="209"/>
      <c r="L6" s="209"/>
      <c r="M6" s="209"/>
      <c r="N6" s="276"/>
      <c r="O6" s="277"/>
      <c r="P6" s="278" t="s">
        <v>1769</v>
      </c>
      <c r="Q6" s="279" t="s">
        <v>68</v>
      </c>
      <c r="R6" s="132" t="s">
        <v>1770</v>
      </c>
      <c r="S6" s="132"/>
      <c r="T6" s="280"/>
      <c r="U6" s="281"/>
      <c r="V6" s="281"/>
      <c r="W6" s="281"/>
      <c r="X6" s="281"/>
      <c r="Y6" s="281"/>
      <c r="Z6" t="e">
        <f>VLOOKUP(A6,#REF!,9,FALSE)</f>
        <v>#REF!</v>
      </c>
    </row>
    <row r="7" spans="1:26" ht="15.75" thickBot="1">
      <c r="A7" s="122" t="s">
        <v>920</v>
      </c>
      <c r="B7" s="103" t="s">
        <v>50</v>
      </c>
      <c r="C7" s="219">
        <v>45807</v>
      </c>
      <c r="D7" s="272"/>
      <c r="E7" s="273" t="s">
        <v>1768</v>
      </c>
      <c r="F7" s="272"/>
      <c r="G7" s="274" t="s">
        <v>1731</v>
      </c>
      <c r="H7" s="272"/>
      <c r="I7" s="272"/>
      <c r="J7" s="283"/>
      <c r="K7" s="209"/>
      <c r="L7" s="209"/>
      <c r="M7" s="209"/>
      <c r="N7" s="276"/>
      <c r="O7" s="277"/>
      <c r="P7" s="278" t="s">
        <v>1769</v>
      </c>
      <c r="Q7" s="279" t="s">
        <v>68</v>
      </c>
      <c r="R7" s="132" t="s">
        <v>1770</v>
      </c>
      <c r="S7" s="132"/>
      <c r="T7" s="280"/>
      <c r="U7" s="281"/>
      <c r="V7" s="281"/>
      <c r="W7" s="281"/>
      <c r="X7" s="281"/>
      <c r="Y7" s="281"/>
      <c r="Z7" t="e">
        <f>VLOOKUP(A7,#REF!,9,FALSE)</f>
        <v>#REF!</v>
      </c>
    </row>
    <row r="8" spans="1:26" ht="15.75" thickBot="1">
      <c r="A8" s="282" t="s">
        <v>1771</v>
      </c>
      <c r="B8" s="103" t="s">
        <v>50</v>
      </c>
      <c r="C8" s="219">
        <v>45807</v>
      </c>
      <c r="D8" s="272"/>
      <c r="E8" s="273" t="s">
        <v>1768</v>
      </c>
      <c r="F8" s="272"/>
      <c r="G8" s="274" t="s">
        <v>1731</v>
      </c>
      <c r="H8" s="272"/>
      <c r="I8" s="272"/>
      <c r="J8" s="283"/>
      <c r="K8" s="209"/>
      <c r="L8" s="209"/>
      <c r="M8" s="209"/>
      <c r="N8" s="276"/>
      <c r="O8" s="277"/>
      <c r="P8" s="278" t="s">
        <v>1742</v>
      </c>
      <c r="Q8" s="279" t="s">
        <v>1772</v>
      </c>
      <c r="R8" s="132" t="s">
        <v>1773</v>
      </c>
      <c r="S8" s="132"/>
      <c r="T8" s="280"/>
      <c r="U8" s="281"/>
      <c r="V8" s="281"/>
      <c r="W8" s="281"/>
      <c r="X8" s="281"/>
      <c r="Y8" s="281"/>
      <c r="Z8" t="e">
        <f>VLOOKUP(A8,#REF!,9,FALSE)</f>
        <v>#REF!</v>
      </c>
    </row>
    <row r="9" spans="1:26" ht="15.75" thickBot="1">
      <c r="A9" s="122" t="s">
        <v>929</v>
      </c>
      <c r="B9" s="103" t="s">
        <v>50</v>
      </c>
      <c r="C9" s="219">
        <v>45807</v>
      </c>
      <c r="D9" s="284"/>
      <c r="E9" s="273" t="s">
        <v>1768</v>
      </c>
      <c r="F9" s="284"/>
      <c r="G9" s="285" t="s">
        <v>1731</v>
      </c>
      <c r="H9" s="272"/>
      <c r="I9" s="272"/>
      <c r="J9" s="283"/>
      <c r="K9" s="209"/>
      <c r="L9" s="209"/>
      <c r="M9" s="209"/>
      <c r="N9" s="276"/>
      <c r="O9" s="277"/>
      <c r="P9" s="278" t="s">
        <v>1769</v>
      </c>
      <c r="Q9" s="279" t="s">
        <v>68</v>
      </c>
      <c r="R9" s="132" t="s">
        <v>1770</v>
      </c>
      <c r="S9" s="132"/>
      <c r="T9" s="280"/>
      <c r="U9" s="281"/>
      <c r="V9" s="281"/>
      <c r="W9" s="281"/>
      <c r="X9" s="281"/>
      <c r="Y9" s="281"/>
      <c r="Z9" t="e">
        <f>VLOOKUP(A9,#REF!,9,FALSE)</f>
        <v>#REF!</v>
      </c>
    </row>
    <row r="10" spans="1:26" ht="15.75" thickBot="1">
      <c r="A10" s="122" t="s">
        <v>905</v>
      </c>
      <c r="B10" s="103" t="s">
        <v>50</v>
      </c>
      <c r="C10" s="219" t="e">
        <v>#N/A</v>
      </c>
      <c r="D10" s="286"/>
      <c r="E10" s="273" t="s">
        <v>1768</v>
      </c>
      <c r="F10" s="286"/>
      <c r="G10" s="287" t="s">
        <v>1731</v>
      </c>
      <c r="H10" s="234"/>
      <c r="I10" s="234"/>
      <c r="J10" s="45"/>
      <c r="K10" s="208"/>
      <c r="L10" s="208"/>
      <c r="M10" s="208"/>
      <c r="N10" s="288"/>
      <c r="O10" s="289"/>
      <c r="P10" s="278" t="s">
        <v>1769</v>
      </c>
      <c r="Q10" s="279" t="s">
        <v>58</v>
      </c>
      <c r="R10" s="132" t="s">
        <v>1770</v>
      </c>
      <c r="S10" s="132"/>
      <c r="T10" s="280"/>
      <c r="U10" s="281"/>
      <c r="V10" s="281"/>
      <c r="W10" s="281"/>
      <c r="X10" s="281"/>
      <c r="Y10" s="281"/>
      <c r="Z10" t="e">
        <f>VLOOKUP(A10,#REF!,9,FALSE)</f>
        <v>#REF!</v>
      </c>
    </row>
    <row r="11" spans="1:26" ht="15.75" thickBot="1">
      <c r="A11" s="122" t="s">
        <v>83</v>
      </c>
      <c r="B11" s="103" t="s">
        <v>50</v>
      </c>
      <c r="C11" s="219">
        <v>45807</v>
      </c>
      <c r="D11" s="286"/>
      <c r="E11" s="273" t="s">
        <v>1768</v>
      </c>
      <c r="F11" s="286"/>
      <c r="G11" s="287" t="s">
        <v>1731</v>
      </c>
      <c r="H11" s="234"/>
      <c r="I11" s="234"/>
      <c r="J11" s="45"/>
      <c r="K11" s="208"/>
      <c r="L11" s="208"/>
      <c r="M11" s="208"/>
      <c r="N11" s="288"/>
      <c r="O11" s="289"/>
      <c r="P11" s="278" t="s">
        <v>1769</v>
      </c>
      <c r="Q11" s="279" t="s">
        <v>68</v>
      </c>
      <c r="R11" s="132" t="s">
        <v>1770</v>
      </c>
      <c r="S11" s="132"/>
      <c r="T11" s="280"/>
      <c r="U11" s="281"/>
      <c r="V11" s="281"/>
      <c r="W11" s="281"/>
      <c r="X11" s="281"/>
      <c r="Y11" s="281"/>
      <c r="Z11" t="e">
        <f>VLOOKUP(A11,#REF!,9,FALSE)</f>
        <v>#REF!</v>
      </c>
    </row>
    <row r="12" spans="1:26" ht="15.75" thickBot="1">
      <c r="A12" s="122" t="s">
        <v>901</v>
      </c>
      <c r="B12" s="103" t="s">
        <v>50</v>
      </c>
      <c r="C12" s="219" t="e">
        <v>#N/A</v>
      </c>
      <c r="D12" s="286"/>
      <c r="E12" s="273" t="s">
        <v>1768</v>
      </c>
      <c r="F12" s="286"/>
      <c r="G12" s="287" t="s">
        <v>1731</v>
      </c>
      <c r="H12" s="234"/>
      <c r="I12" s="234"/>
      <c r="J12" s="45"/>
      <c r="K12" s="208"/>
      <c r="L12" s="208"/>
      <c r="M12" s="208"/>
      <c r="N12" s="288"/>
      <c r="O12" s="289"/>
      <c r="P12" s="278" t="s">
        <v>1769</v>
      </c>
      <c r="Q12" s="279" t="s">
        <v>68</v>
      </c>
      <c r="R12" s="132" t="s">
        <v>1770</v>
      </c>
      <c r="S12" s="132"/>
      <c r="T12" s="280"/>
      <c r="U12" s="281"/>
      <c r="V12" s="281"/>
      <c r="W12" s="281"/>
      <c r="X12" s="281"/>
      <c r="Y12" s="281"/>
      <c r="Z12" t="e">
        <f>VLOOKUP(A12,#REF!,9,FALSE)</f>
        <v>#REF!</v>
      </c>
    </row>
    <row r="13" spans="1:26" ht="15.75" thickBot="1">
      <c r="A13" s="122" t="s">
        <v>927</v>
      </c>
      <c r="B13" s="103" t="s">
        <v>50</v>
      </c>
      <c r="C13" s="219" t="e">
        <v>#N/A</v>
      </c>
      <c r="D13" s="286"/>
      <c r="E13" s="273" t="s">
        <v>1768</v>
      </c>
      <c r="F13" s="286"/>
      <c r="G13" s="287" t="s">
        <v>1731</v>
      </c>
      <c r="H13" s="234"/>
      <c r="I13" s="234"/>
      <c r="J13" s="45"/>
      <c r="K13" s="208"/>
      <c r="L13" s="208"/>
      <c r="M13" s="208"/>
      <c r="N13" s="288"/>
      <c r="O13" s="289"/>
      <c r="P13" s="278" t="s">
        <v>1769</v>
      </c>
      <c r="Q13" s="279" t="s">
        <v>68</v>
      </c>
      <c r="R13" s="132" t="s">
        <v>1770</v>
      </c>
      <c r="S13" s="132"/>
      <c r="T13" s="280"/>
      <c r="U13" s="281"/>
      <c r="V13" s="281"/>
      <c r="W13" s="281"/>
      <c r="X13" s="281"/>
      <c r="Y13" s="281"/>
      <c r="Z13" t="e">
        <f>VLOOKUP(A13,#REF!,9,FALSE)</f>
        <v>#REF!</v>
      </c>
    </row>
    <row r="14" spans="1:26" ht="15.75" thickBot="1">
      <c r="A14" s="282" t="s">
        <v>411</v>
      </c>
      <c r="B14" s="103" t="s">
        <v>50</v>
      </c>
      <c r="C14" s="219">
        <v>45807</v>
      </c>
      <c r="D14" s="286"/>
      <c r="E14" s="273" t="s">
        <v>1768</v>
      </c>
      <c r="F14" s="286"/>
      <c r="G14" s="287" t="s">
        <v>1731</v>
      </c>
      <c r="H14" s="234"/>
      <c r="I14" s="234"/>
      <c r="J14" s="45"/>
      <c r="K14" s="208"/>
      <c r="L14" s="208"/>
      <c r="M14" s="208"/>
      <c r="N14" s="288"/>
      <c r="O14" s="289"/>
      <c r="P14" s="278" t="s">
        <v>1769</v>
      </c>
      <c r="Q14" s="279" t="s">
        <v>68</v>
      </c>
      <c r="R14" s="132" t="s">
        <v>1770</v>
      </c>
      <c r="S14" s="132"/>
      <c r="T14" s="280"/>
      <c r="U14" s="281"/>
      <c r="V14" s="281"/>
      <c r="W14" s="281"/>
      <c r="X14" s="281"/>
      <c r="Y14" s="281"/>
      <c r="Z14" t="e">
        <f>VLOOKUP(A14,#REF!,9,FALSE)</f>
        <v>#REF!</v>
      </c>
    </row>
    <row r="15" spans="1:26" ht="15.75" thickBot="1">
      <c r="A15" s="122" t="s">
        <v>904</v>
      </c>
      <c r="B15" s="103" t="s">
        <v>50</v>
      </c>
      <c r="C15" s="219" t="e">
        <v>#N/A</v>
      </c>
      <c r="D15" s="286"/>
      <c r="E15" s="273" t="s">
        <v>1768</v>
      </c>
      <c r="F15" s="286"/>
      <c r="G15" s="287" t="s">
        <v>1731</v>
      </c>
      <c r="H15" s="234"/>
      <c r="I15" s="234"/>
      <c r="J15" s="45"/>
      <c r="K15" s="208"/>
      <c r="L15" s="208"/>
      <c r="M15" s="208"/>
      <c r="N15" s="288"/>
      <c r="O15" s="289"/>
      <c r="P15" s="278" t="s">
        <v>1769</v>
      </c>
      <c r="Q15" s="279" t="s">
        <v>68</v>
      </c>
      <c r="R15" s="132" t="s">
        <v>1770</v>
      </c>
      <c r="S15" s="132"/>
      <c r="T15" s="280"/>
      <c r="U15" s="281"/>
      <c r="V15" s="281"/>
      <c r="W15" s="281"/>
      <c r="X15" s="281"/>
      <c r="Y15" s="281"/>
      <c r="Z15" t="e">
        <f>VLOOKUP(A15,#REF!,9,FALSE)</f>
        <v>#REF!</v>
      </c>
    </row>
    <row r="16" spans="1:26" ht="15.75" thickBot="1">
      <c r="A16" s="290" t="s">
        <v>1774</v>
      </c>
      <c r="B16" s="103" t="s">
        <v>50</v>
      </c>
      <c r="C16" s="219" t="e">
        <v>#N/A</v>
      </c>
      <c r="D16" s="286"/>
      <c r="E16" s="273" t="s">
        <v>1768</v>
      </c>
      <c r="F16" s="286"/>
      <c r="G16" s="287" t="s">
        <v>1731</v>
      </c>
      <c r="H16" s="234"/>
      <c r="I16" s="234"/>
      <c r="J16" s="45"/>
      <c r="K16" s="208"/>
      <c r="L16" s="208"/>
      <c r="M16" s="208"/>
      <c r="N16" s="288"/>
      <c r="O16" s="289"/>
      <c r="P16" s="278" t="s">
        <v>1769</v>
      </c>
      <c r="Q16" s="279" t="s">
        <v>68</v>
      </c>
      <c r="R16" s="132" t="s">
        <v>1770</v>
      </c>
      <c r="S16" s="132"/>
      <c r="T16" s="280"/>
      <c r="U16" s="281"/>
      <c r="V16" s="281"/>
      <c r="W16" s="281"/>
      <c r="X16" s="281"/>
      <c r="Y16" s="281"/>
      <c r="Z16" t="e">
        <f>VLOOKUP(A16,#REF!,9,FALSE)</f>
        <v>#REF!</v>
      </c>
    </row>
    <row r="17" spans="1:26" ht="15.75" thickBot="1">
      <c r="A17" s="279" t="s">
        <v>692</v>
      </c>
      <c r="B17" s="103" t="s">
        <v>50</v>
      </c>
      <c r="C17" s="219" t="e">
        <v>#N/A</v>
      </c>
      <c r="D17" s="286"/>
      <c r="E17" s="273" t="s">
        <v>1733</v>
      </c>
      <c r="F17" s="286"/>
      <c r="G17" s="287" t="s">
        <v>1731</v>
      </c>
      <c r="H17" s="234"/>
      <c r="I17" s="234"/>
      <c r="J17" s="45"/>
      <c r="K17" s="208"/>
      <c r="L17" s="208"/>
      <c r="M17" s="208"/>
      <c r="N17" s="288"/>
      <c r="O17" s="289"/>
      <c r="P17" s="278"/>
      <c r="Q17" s="279" t="s">
        <v>68</v>
      </c>
      <c r="R17" s="132" t="s">
        <v>1770</v>
      </c>
      <c r="S17" s="132"/>
      <c r="T17" s="280"/>
      <c r="U17" s="281"/>
      <c r="V17" s="281"/>
      <c r="W17" s="281"/>
      <c r="X17" s="281"/>
      <c r="Y17" s="281"/>
      <c r="Z17" t="e">
        <f>VLOOKUP(A17,#REF!,9,FALSE)</f>
        <v>#REF!</v>
      </c>
    </row>
    <row r="18" spans="1:26" ht="15.75" thickBot="1">
      <c r="A18" s="279" t="s">
        <v>674</v>
      </c>
      <c r="B18" s="103" t="s">
        <v>50</v>
      </c>
      <c r="C18" s="219">
        <v>45807</v>
      </c>
      <c r="D18" s="286"/>
      <c r="E18" s="273" t="s">
        <v>1733</v>
      </c>
      <c r="F18" s="286"/>
      <c r="G18" s="287" t="s">
        <v>1731</v>
      </c>
      <c r="H18" s="234"/>
      <c r="I18" s="234"/>
      <c r="J18" s="45"/>
      <c r="K18" s="208"/>
      <c r="L18" s="208"/>
      <c r="M18" s="208"/>
      <c r="N18" s="288"/>
      <c r="O18" s="289"/>
      <c r="P18" s="278" t="s">
        <v>1739</v>
      </c>
      <c r="Q18" s="279"/>
      <c r="R18" s="132" t="s">
        <v>1770</v>
      </c>
      <c r="S18" s="132"/>
      <c r="T18" s="280"/>
      <c r="U18" s="281"/>
      <c r="V18" s="281"/>
      <c r="W18" s="281"/>
      <c r="X18" s="281"/>
      <c r="Y18" s="281"/>
      <c r="Z18" t="e">
        <f>VLOOKUP(A18,#REF!,9,FALSE)</f>
        <v>#REF!</v>
      </c>
    </row>
    <row r="19" spans="1:26" ht="15.75" thickBot="1">
      <c r="A19" s="279" t="s">
        <v>677</v>
      </c>
      <c r="B19" s="103" t="s">
        <v>50</v>
      </c>
      <c r="C19" s="219" t="e">
        <v>#N/A</v>
      </c>
      <c r="D19" s="286"/>
      <c r="E19" s="273" t="s">
        <v>1733</v>
      </c>
      <c r="F19" s="286"/>
      <c r="G19" s="287" t="s">
        <v>1752</v>
      </c>
      <c r="H19" s="234"/>
      <c r="I19" s="234"/>
      <c r="J19" s="45"/>
      <c r="K19" s="208"/>
      <c r="L19" s="208"/>
      <c r="M19" s="208"/>
      <c r="N19" s="288"/>
      <c r="O19" s="289"/>
      <c r="P19" s="278"/>
      <c r="Q19" s="279" t="s">
        <v>1752</v>
      </c>
      <c r="R19" s="132" t="s">
        <v>1770</v>
      </c>
      <c r="S19" s="132"/>
      <c r="T19" s="280"/>
      <c r="U19" s="281"/>
      <c r="V19" s="281"/>
      <c r="W19" s="281"/>
      <c r="X19" s="281"/>
      <c r="Y19" s="281"/>
      <c r="Z19" t="e">
        <f>VLOOKUP(A19,#REF!,9,FALSE)</f>
        <v>#REF!</v>
      </c>
    </row>
    <row r="20" spans="1:26" ht="15.75" thickBot="1">
      <c r="A20" s="279" t="s">
        <v>624</v>
      </c>
      <c r="B20" s="103" t="s">
        <v>50</v>
      </c>
      <c r="C20" s="219" t="e">
        <v>#N/A</v>
      </c>
      <c r="D20" s="286"/>
      <c r="E20" s="273" t="s">
        <v>1733</v>
      </c>
      <c r="F20" s="286"/>
      <c r="G20" s="287" t="s">
        <v>1752</v>
      </c>
      <c r="H20" s="234"/>
      <c r="I20" s="234"/>
      <c r="J20" s="45"/>
      <c r="K20" s="208"/>
      <c r="L20" s="208"/>
      <c r="M20" s="208"/>
      <c r="N20" s="288"/>
      <c r="O20" s="289"/>
      <c r="P20" s="278"/>
      <c r="Q20" s="279" t="s">
        <v>1752</v>
      </c>
      <c r="R20" s="132" t="s">
        <v>1770</v>
      </c>
      <c r="S20" s="132"/>
      <c r="T20" s="280"/>
      <c r="U20" s="281"/>
      <c r="V20" s="281"/>
      <c r="W20" s="281"/>
      <c r="X20" s="281"/>
      <c r="Y20" s="281"/>
      <c r="Z20" t="e">
        <f>VLOOKUP(A20,#REF!,9,FALSE)</f>
        <v>#REF!</v>
      </c>
    </row>
    <row r="21" spans="1:26" s="218" customFormat="1" ht="15.75" thickBot="1">
      <c r="A21" s="266" t="s">
        <v>1748</v>
      </c>
      <c r="B21" s="103" t="e">
        <v>#N/A</v>
      </c>
      <c r="C21" s="235">
        <v>45807</v>
      </c>
      <c r="D21" s="286"/>
      <c r="E21" s="273" t="s">
        <v>1733</v>
      </c>
      <c r="F21" s="286"/>
      <c r="G21" s="287" t="s">
        <v>1731</v>
      </c>
      <c r="H21" s="234"/>
      <c r="I21" s="234"/>
      <c r="J21" s="234"/>
      <c r="K21" s="233"/>
      <c r="L21" s="233"/>
      <c r="M21" s="233"/>
      <c r="N21" s="288"/>
      <c r="O21" s="289"/>
      <c r="P21" s="278"/>
      <c r="Q21" s="229" t="s">
        <v>64</v>
      </c>
      <c r="R21" s="132" t="s">
        <v>1770</v>
      </c>
      <c r="S21" s="232"/>
      <c r="T21" s="231"/>
      <c r="U21" s="230"/>
      <c r="V21" s="230"/>
      <c r="W21" s="230"/>
      <c r="X21" s="230"/>
      <c r="Y21" s="230" t="s">
        <v>1775</v>
      </c>
      <c r="Z21" t="e">
        <f>VLOOKUP(A21,#REF!,9,FALSE)</f>
        <v>#REF!</v>
      </c>
    </row>
    <row r="22" spans="1:26" ht="15.75" thickBot="1">
      <c r="A22" s="279" t="s">
        <v>626</v>
      </c>
      <c r="B22" s="103" t="s">
        <v>50</v>
      </c>
      <c r="C22" s="219" t="e">
        <v>#N/A</v>
      </c>
      <c r="D22" s="286"/>
      <c r="E22" s="273" t="s">
        <v>1733</v>
      </c>
      <c r="F22" s="286"/>
      <c r="G22" s="287" t="s">
        <v>1752</v>
      </c>
      <c r="H22" s="234"/>
      <c r="I22" s="234"/>
      <c r="J22" s="45"/>
      <c r="K22" s="208"/>
      <c r="L22" s="208"/>
      <c r="M22" s="208"/>
      <c r="N22" s="288"/>
      <c r="O22" s="289"/>
      <c r="P22" s="278"/>
      <c r="Q22" s="279" t="s">
        <v>1752</v>
      </c>
      <c r="R22" s="132" t="s">
        <v>1770</v>
      </c>
      <c r="S22" s="132"/>
      <c r="T22" s="280"/>
      <c r="U22" s="281"/>
      <c r="V22" s="281"/>
      <c r="W22" s="281"/>
      <c r="X22" s="281"/>
      <c r="Y22" s="281"/>
      <c r="Z22" t="e">
        <f>VLOOKUP(A22,#REF!,9,FALSE)</f>
        <v>#REF!</v>
      </c>
    </row>
    <row r="23" spans="1:26" ht="15.75" thickBot="1">
      <c r="A23" s="279" t="s">
        <v>612</v>
      </c>
      <c r="B23" s="103" t="s">
        <v>50</v>
      </c>
      <c r="C23" s="219" t="e">
        <v>#N/A</v>
      </c>
      <c r="D23" s="286"/>
      <c r="E23" s="273" t="s">
        <v>1733</v>
      </c>
      <c r="F23" s="286"/>
      <c r="G23" s="287" t="s">
        <v>1731</v>
      </c>
      <c r="H23" s="234"/>
      <c r="I23" s="234"/>
      <c r="J23" s="45"/>
      <c r="K23" s="208"/>
      <c r="L23" s="208"/>
      <c r="M23" s="208"/>
      <c r="N23" s="288"/>
      <c r="O23" s="289"/>
      <c r="P23" s="278"/>
      <c r="Q23" s="279" t="s">
        <v>64</v>
      </c>
      <c r="R23" s="132" t="s">
        <v>1770</v>
      </c>
      <c r="S23" s="132"/>
      <c r="T23" s="280"/>
      <c r="U23" s="281"/>
      <c r="V23" s="281"/>
      <c r="W23" s="281"/>
      <c r="X23" s="281"/>
      <c r="Y23" s="281" t="s">
        <v>1776</v>
      </c>
      <c r="Z23" t="e">
        <f>VLOOKUP(A23,#REF!,9,FALSE)</f>
        <v>#REF!</v>
      </c>
    </row>
    <row r="24" spans="1:26" s="218" customFormat="1" ht="69.599999999999994" customHeight="1" thickBot="1">
      <c r="A24" s="229" t="s">
        <v>1744</v>
      </c>
      <c r="B24" s="236" t="e">
        <v>#N/A</v>
      </c>
      <c r="C24" s="235">
        <v>45716</v>
      </c>
      <c r="D24" s="286"/>
      <c r="E24" s="273" t="s">
        <v>1733</v>
      </c>
      <c r="F24" s="286"/>
      <c r="G24" s="287" t="s">
        <v>1731</v>
      </c>
      <c r="H24" s="234"/>
      <c r="I24" s="234"/>
      <c r="J24" s="234"/>
      <c r="K24" s="233"/>
      <c r="L24" s="233"/>
      <c r="M24" s="233"/>
      <c r="N24" s="288"/>
      <c r="O24" s="289"/>
      <c r="P24" s="278" t="s">
        <v>1745</v>
      </c>
      <c r="Q24" s="229" t="s">
        <v>64</v>
      </c>
      <c r="R24" s="132" t="s">
        <v>1770</v>
      </c>
      <c r="S24" s="232"/>
      <c r="T24" s="231"/>
      <c r="U24" s="230"/>
      <c r="V24" s="230"/>
      <c r="W24" s="230"/>
      <c r="X24" s="230"/>
      <c r="Y24" s="230" t="s">
        <v>1776</v>
      </c>
      <c r="Z24" t="e">
        <f>VLOOKUP(A24,#REF!,9,FALSE)</f>
        <v>#REF!</v>
      </c>
    </row>
    <row r="25" spans="1:26" ht="15.75" thickBot="1">
      <c r="A25" s="279" t="s">
        <v>616</v>
      </c>
      <c r="B25" s="103" t="s">
        <v>50</v>
      </c>
      <c r="C25" s="219">
        <v>45772</v>
      </c>
      <c r="D25" s="286"/>
      <c r="E25" s="273" t="s">
        <v>1733</v>
      </c>
      <c r="F25" s="286"/>
      <c r="G25" s="287" t="s">
        <v>1731</v>
      </c>
      <c r="H25" s="234"/>
      <c r="I25" s="234"/>
      <c r="J25" s="45"/>
      <c r="K25" s="208"/>
      <c r="L25" s="208"/>
      <c r="M25" s="208"/>
      <c r="N25" s="288"/>
      <c r="O25" s="289"/>
      <c r="P25" s="278" t="s">
        <v>1745</v>
      </c>
      <c r="Q25" s="279" t="s">
        <v>64</v>
      </c>
      <c r="R25" s="132" t="s">
        <v>1770</v>
      </c>
      <c r="S25" s="132"/>
      <c r="T25" s="280"/>
      <c r="U25" s="281"/>
      <c r="V25" s="281"/>
      <c r="W25" s="281"/>
      <c r="X25" s="281"/>
      <c r="Y25" s="281"/>
      <c r="Z25" t="e">
        <f>VLOOKUP(A25,#REF!,9,FALSE)</f>
        <v>#REF!</v>
      </c>
    </row>
    <row r="26" spans="1:26" ht="15.75" thickBot="1">
      <c r="A26" s="279" t="s">
        <v>494</v>
      </c>
      <c r="B26" s="103" t="s">
        <v>50</v>
      </c>
      <c r="C26" s="219">
        <v>45772</v>
      </c>
      <c r="D26" s="286"/>
      <c r="E26" s="273" t="s">
        <v>1733</v>
      </c>
      <c r="F26" s="286"/>
      <c r="G26" s="287" t="s">
        <v>1731</v>
      </c>
      <c r="H26" s="234"/>
      <c r="I26" s="234"/>
      <c r="J26" s="45"/>
      <c r="K26" s="208"/>
      <c r="L26" s="208"/>
      <c r="M26" s="208"/>
      <c r="N26" s="288"/>
      <c r="O26" s="289"/>
      <c r="P26" s="278" t="s">
        <v>1745</v>
      </c>
      <c r="Q26" s="279" t="s">
        <v>64</v>
      </c>
      <c r="R26" s="132" t="s">
        <v>1770</v>
      </c>
      <c r="S26" s="132"/>
      <c r="T26" s="280"/>
      <c r="U26" s="281"/>
      <c r="V26" s="281"/>
      <c r="W26" s="281"/>
      <c r="X26" s="281"/>
      <c r="Y26" s="281"/>
      <c r="Z26" t="e">
        <f>VLOOKUP(A26,#REF!,9,FALSE)</f>
        <v>#REF!</v>
      </c>
    </row>
    <row r="27" spans="1:26" ht="15.75" thickBot="1">
      <c r="A27" s="279" t="s">
        <v>830</v>
      </c>
      <c r="B27" s="103" t="s">
        <v>50</v>
      </c>
      <c r="C27" s="219">
        <v>45772</v>
      </c>
      <c r="D27" s="286"/>
      <c r="E27" s="273" t="s">
        <v>1733</v>
      </c>
      <c r="F27" s="286"/>
      <c r="G27" s="287" t="s">
        <v>1731</v>
      </c>
      <c r="H27" s="234"/>
      <c r="I27" s="234"/>
      <c r="J27" s="45"/>
      <c r="K27" s="208"/>
      <c r="L27" s="208"/>
      <c r="M27" s="208"/>
      <c r="N27" s="288"/>
      <c r="O27" s="289"/>
      <c r="P27" s="278" t="s">
        <v>1745</v>
      </c>
      <c r="Q27" s="279" t="s">
        <v>64</v>
      </c>
      <c r="R27" s="132" t="s">
        <v>1770</v>
      </c>
      <c r="S27" s="132"/>
      <c r="T27" s="280"/>
      <c r="U27" s="281"/>
      <c r="V27" s="281"/>
      <c r="W27" s="281"/>
      <c r="X27" s="281"/>
      <c r="Y27" s="281"/>
      <c r="Z27" t="e">
        <f>VLOOKUP(A27,#REF!,9,FALSE)</f>
        <v>#REF!</v>
      </c>
    </row>
    <row r="28" spans="1:26" ht="70.150000000000006" customHeight="1" thickBot="1">
      <c r="A28" s="229" t="s">
        <v>1747</v>
      </c>
      <c r="B28" s="236"/>
      <c r="C28" s="235"/>
      <c r="D28" s="286"/>
      <c r="E28" s="273" t="s">
        <v>1733</v>
      </c>
      <c r="F28" s="286"/>
      <c r="G28" s="287" t="s">
        <v>1731</v>
      </c>
      <c r="H28" s="234"/>
      <c r="I28" s="234"/>
      <c r="J28" s="234"/>
      <c r="K28" s="233"/>
      <c r="L28" s="233"/>
      <c r="M28" s="233"/>
      <c r="N28" s="288"/>
      <c r="O28" s="289"/>
      <c r="P28" s="278" t="s">
        <v>1745</v>
      </c>
      <c r="Q28" s="229" t="s">
        <v>64</v>
      </c>
      <c r="R28" s="132" t="s">
        <v>1770</v>
      </c>
      <c r="S28" s="232"/>
      <c r="T28" s="231"/>
      <c r="U28" s="230"/>
      <c r="V28" s="230"/>
      <c r="W28" s="230"/>
      <c r="X28" s="230"/>
      <c r="Y28" s="292" t="s">
        <v>1777</v>
      </c>
      <c r="Z28" t="e">
        <f>VLOOKUP(A28,#REF!,9,FALSE)</f>
        <v>#REF!</v>
      </c>
    </row>
    <row r="29" spans="1:26" s="218" customFormat="1" ht="69.599999999999994" customHeight="1" thickBot="1">
      <c r="A29" s="229" t="s">
        <v>1750</v>
      </c>
      <c r="B29" s="236" t="e">
        <v>#N/A</v>
      </c>
      <c r="C29" s="235" t="e">
        <v>#N/A</v>
      </c>
      <c r="D29" s="286"/>
      <c r="E29" s="273" t="s">
        <v>1733</v>
      </c>
      <c r="F29" s="286"/>
      <c r="G29" s="287" t="s">
        <v>1731</v>
      </c>
      <c r="H29" s="234"/>
      <c r="I29" s="234"/>
      <c r="J29" s="234"/>
      <c r="K29" s="233"/>
      <c r="L29" s="233"/>
      <c r="M29" s="233"/>
      <c r="N29" s="288"/>
      <c r="O29" s="289"/>
      <c r="P29" s="278"/>
      <c r="Q29" s="224" t="s">
        <v>64</v>
      </c>
      <c r="R29" s="132" t="s">
        <v>1770</v>
      </c>
      <c r="S29" s="232"/>
      <c r="T29" s="231"/>
      <c r="U29" s="230"/>
      <c r="V29" s="230"/>
      <c r="W29" s="230"/>
      <c r="X29" s="230"/>
      <c r="Y29" s="230" t="s">
        <v>1777</v>
      </c>
      <c r="Z29" t="e">
        <f>VLOOKUP(A29,#REF!,9,FALSE)</f>
        <v>#REF!</v>
      </c>
    </row>
    <row r="30" spans="1:26" ht="15.75" thickBot="1">
      <c r="A30" s="279" t="s">
        <v>644</v>
      </c>
      <c r="B30" s="103" t="s">
        <v>50</v>
      </c>
      <c r="C30" s="219">
        <v>45772</v>
      </c>
      <c r="D30" s="286"/>
      <c r="E30" s="273" t="s">
        <v>1733</v>
      </c>
      <c r="F30" s="286"/>
      <c r="G30" s="287" t="s">
        <v>1752</v>
      </c>
      <c r="H30" s="234"/>
      <c r="I30" s="234"/>
      <c r="J30" s="45"/>
      <c r="K30" s="208"/>
      <c r="L30" s="208"/>
      <c r="M30" s="208"/>
      <c r="N30" s="288"/>
      <c r="O30" s="289"/>
      <c r="P30" s="278"/>
      <c r="Q30" s="279" t="s">
        <v>1752</v>
      </c>
      <c r="R30" s="132" t="s">
        <v>1770</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1733</v>
      </c>
      <c r="F31" s="293"/>
      <c r="G31" s="294" t="s">
        <v>1752</v>
      </c>
      <c r="H31" s="226"/>
      <c r="I31" s="226"/>
      <c r="J31" s="240"/>
      <c r="K31" s="241"/>
      <c r="L31" s="241"/>
      <c r="M31" s="241"/>
      <c r="N31" s="226"/>
      <c r="O31" s="295"/>
      <c r="P31" s="278"/>
      <c r="Q31" s="237" t="s">
        <v>1752</v>
      </c>
      <c r="R31" s="132" t="s">
        <v>1770</v>
      </c>
      <c r="S31" s="242"/>
      <c r="T31" s="243"/>
      <c r="U31" s="244"/>
      <c r="V31" s="244"/>
      <c r="W31" s="244"/>
      <c r="X31" s="244"/>
      <c r="Y31" s="244" t="s">
        <v>1778</v>
      </c>
      <c r="Z31" t="e">
        <f>VLOOKUP(A31,#REF!,9,FALSE)</f>
        <v>#REF!</v>
      </c>
    </row>
    <row r="32" spans="1:26" ht="15.75" thickBot="1">
      <c r="A32" s="279" t="s">
        <v>646</v>
      </c>
      <c r="B32" s="103" t="s">
        <v>50</v>
      </c>
      <c r="C32" s="219">
        <v>45772</v>
      </c>
      <c r="D32" s="286"/>
      <c r="E32" s="273" t="s">
        <v>1733</v>
      </c>
      <c r="F32" s="286"/>
      <c r="G32" s="287" t="s">
        <v>1752</v>
      </c>
      <c r="H32" s="234"/>
      <c r="I32" s="234"/>
      <c r="J32" s="45"/>
      <c r="K32" s="208"/>
      <c r="L32" s="208"/>
      <c r="M32" s="208"/>
      <c r="N32" s="288"/>
      <c r="O32" s="289"/>
      <c r="P32" s="278"/>
      <c r="Q32" s="279" t="s">
        <v>1752</v>
      </c>
      <c r="R32" s="132" t="s">
        <v>1770</v>
      </c>
      <c r="S32" s="132"/>
      <c r="T32" s="280"/>
      <c r="U32" s="281"/>
      <c r="V32" s="281"/>
      <c r="W32" s="281"/>
      <c r="X32" s="281"/>
      <c r="Y32" s="281"/>
      <c r="Z32" t="e">
        <f>VLOOKUP(A32,#REF!,9,FALSE)</f>
        <v>#REF!</v>
      </c>
    </row>
    <row r="33" spans="1:26" ht="15.75" thickBot="1">
      <c r="A33" s="279" t="s">
        <v>636</v>
      </c>
      <c r="B33" s="103" t="s">
        <v>50</v>
      </c>
      <c r="C33" s="219">
        <v>45831</v>
      </c>
      <c r="D33" s="286"/>
      <c r="E33" s="273" t="s">
        <v>1733</v>
      </c>
      <c r="F33" s="286"/>
      <c r="G33" s="287" t="s">
        <v>1731</v>
      </c>
      <c r="H33" s="234"/>
      <c r="I33" s="234"/>
      <c r="J33" s="45"/>
      <c r="K33" s="208"/>
      <c r="L33" s="208"/>
      <c r="M33" s="208"/>
      <c r="N33" s="288"/>
      <c r="O33" s="289"/>
      <c r="P33" s="278"/>
      <c r="Q33" s="229" t="s">
        <v>64</v>
      </c>
      <c r="R33" s="132" t="s">
        <v>1770</v>
      </c>
      <c r="S33" s="132"/>
      <c r="T33" s="280"/>
      <c r="U33" s="281"/>
      <c r="V33" s="281"/>
      <c r="W33" s="281"/>
      <c r="X33" s="281"/>
      <c r="Y33" s="281"/>
      <c r="Z33" t="e">
        <f>VLOOKUP(A33,#REF!,9,FALSE)</f>
        <v>#REF!</v>
      </c>
    </row>
    <row r="34" spans="1:26" ht="15.75" thickBot="1">
      <c r="A34" s="279" t="s">
        <v>630</v>
      </c>
      <c r="B34" s="103" t="s">
        <v>50</v>
      </c>
      <c r="C34" s="219">
        <v>45831</v>
      </c>
      <c r="D34" s="286"/>
      <c r="E34" s="273" t="s">
        <v>1733</v>
      </c>
      <c r="F34" s="286"/>
      <c r="G34" s="287" t="s">
        <v>1731</v>
      </c>
      <c r="H34" s="234"/>
      <c r="I34" s="234"/>
      <c r="J34" s="45"/>
      <c r="K34" s="208"/>
      <c r="L34" s="208"/>
      <c r="M34" s="208"/>
      <c r="N34" s="288"/>
      <c r="O34" s="289"/>
      <c r="P34" s="278"/>
      <c r="Q34" s="279" t="s">
        <v>64</v>
      </c>
      <c r="R34" s="132" t="s">
        <v>1770</v>
      </c>
      <c r="S34" s="132"/>
      <c r="T34" s="280"/>
      <c r="U34" s="281"/>
      <c r="V34" s="281"/>
      <c r="W34" s="281"/>
      <c r="X34" s="281"/>
      <c r="Y34" s="281"/>
      <c r="Z34" t="e">
        <f>VLOOKUP(A34,#REF!,9,FALSE)</f>
        <v>#REF!</v>
      </c>
    </row>
    <row r="35" spans="1:26" ht="15.75" thickBot="1">
      <c r="A35" s="279" t="s">
        <v>632</v>
      </c>
      <c r="B35" s="103" t="s">
        <v>50</v>
      </c>
      <c r="C35" s="219">
        <v>45831</v>
      </c>
      <c r="D35" s="286"/>
      <c r="E35" s="273" t="s">
        <v>1733</v>
      </c>
      <c r="F35" s="286"/>
      <c r="G35" s="287" t="s">
        <v>1731</v>
      </c>
      <c r="H35" s="234"/>
      <c r="I35" s="234"/>
      <c r="J35" s="45"/>
      <c r="K35" s="208"/>
      <c r="L35" s="208"/>
      <c r="M35" s="208"/>
      <c r="N35" s="288"/>
      <c r="O35" s="289"/>
      <c r="P35" s="278"/>
      <c r="Q35" s="279" t="s">
        <v>64</v>
      </c>
      <c r="R35" s="132" t="s">
        <v>1770</v>
      </c>
      <c r="S35" s="132"/>
      <c r="T35" s="280"/>
      <c r="U35" s="281"/>
      <c r="V35" s="281"/>
      <c r="W35" s="281"/>
      <c r="X35" s="281"/>
      <c r="Y35" s="281"/>
      <c r="Z35" t="e">
        <f>VLOOKUP(A35,#REF!,9,FALSE)</f>
        <v>#REF!</v>
      </c>
    </row>
    <row r="36" spans="1:26" ht="15.75" thickBot="1">
      <c r="A36" s="279" t="s">
        <v>628</v>
      </c>
      <c r="B36" s="103" t="s">
        <v>50</v>
      </c>
      <c r="C36" s="219">
        <v>45772</v>
      </c>
      <c r="D36" s="286"/>
      <c r="E36" s="273" t="s">
        <v>1733</v>
      </c>
      <c r="F36" s="286"/>
      <c r="G36" s="287" t="s">
        <v>1752</v>
      </c>
      <c r="H36" s="234"/>
      <c r="I36" s="234"/>
      <c r="J36" s="45"/>
      <c r="K36" s="208"/>
      <c r="L36" s="208"/>
      <c r="M36" s="208"/>
      <c r="N36" s="288"/>
      <c r="O36" s="289"/>
      <c r="P36" s="278"/>
      <c r="Q36" s="279" t="s">
        <v>1752</v>
      </c>
      <c r="R36" s="132" t="s">
        <v>1770</v>
      </c>
      <c r="S36" s="132"/>
      <c r="T36" s="280"/>
      <c r="U36" s="281"/>
      <c r="V36" s="281"/>
      <c r="W36" s="281"/>
      <c r="X36" s="281"/>
      <c r="Y36" s="281"/>
      <c r="Z36" t="e">
        <f>VLOOKUP(A36,#REF!,9,FALSE)</f>
        <v>#REF!</v>
      </c>
    </row>
    <row r="37" spans="1:26" ht="15.75" thickBot="1">
      <c r="A37" s="279" t="s">
        <v>638</v>
      </c>
      <c r="B37" s="103" t="s">
        <v>50</v>
      </c>
      <c r="C37" s="219">
        <v>45831</v>
      </c>
      <c r="D37" s="286"/>
      <c r="E37" s="273" t="s">
        <v>1733</v>
      </c>
      <c r="F37" s="286"/>
      <c r="G37" s="287" t="s">
        <v>1731</v>
      </c>
      <c r="H37" s="234"/>
      <c r="I37" s="234"/>
      <c r="J37" s="45"/>
      <c r="K37" s="208"/>
      <c r="L37" s="208"/>
      <c r="M37" s="208"/>
      <c r="N37" s="288"/>
      <c r="O37" s="289"/>
      <c r="P37" s="278"/>
      <c r="Q37" s="279" t="s">
        <v>64</v>
      </c>
      <c r="R37" s="132" t="s">
        <v>1770</v>
      </c>
      <c r="S37" s="132"/>
      <c r="T37" s="280"/>
      <c r="U37" s="281"/>
      <c r="V37" s="281"/>
      <c r="W37" s="281"/>
      <c r="X37" s="281"/>
      <c r="Y37" s="281"/>
      <c r="Z37" t="e">
        <f>VLOOKUP(A37,#REF!,9,FALSE)</f>
        <v>#REF!</v>
      </c>
    </row>
    <row r="38" spans="1:26" ht="15.75" thickBot="1">
      <c r="A38" s="279" t="s">
        <v>642</v>
      </c>
      <c r="B38" s="103" t="s">
        <v>50</v>
      </c>
      <c r="C38" s="219">
        <v>45831</v>
      </c>
      <c r="D38" s="286"/>
      <c r="E38" s="273" t="s">
        <v>1733</v>
      </c>
      <c r="F38" s="286"/>
      <c r="G38" s="287" t="s">
        <v>1731</v>
      </c>
      <c r="H38" s="234"/>
      <c r="I38" s="234"/>
      <c r="J38" s="45"/>
      <c r="K38" s="208"/>
      <c r="L38" s="208"/>
      <c r="M38" s="208"/>
      <c r="N38" s="288"/>
      <c r="O38" s="289"/>
      <c r="P38" s="278"/>
      <c r="Q38" s="279" t="s">
        <v>64</v>
      </c>
      <c r="R38" s="132" t="s">
        <v>1770</v>
      </c>
      <c r="S38" s="132"/>
      <c r="T38" s="280"/>
      <c r="U38" s="281"/>
      <c r="V38" s="281"/>
      <c r="W38" s="281"/>
      <c r="X38" s="281"/>
      <c r="Y38" s="281"/>
      <c r="Z38" t="e">
        <f>VLOOKUP(A38,#REF!,9,FALSE)</f>
        <v>#REF!</v>
      </c>
    </row>
    <row r="39" spans="1:26" s="220" customFormat="1" ht="70.150000000000006" customHeight="1" thickBot="1">
      <c r="A39" s="224" t="s">
        <v>1753</v>
      </c>
      <c r="B39" s="228" t="e">
        <v>#N/A</v>
      </c>
      <c r="C39" s="227" t="e">
        <v>#N/A</v>
      </c>
      <c r="D39" s="293"/>
      <c r="E39" s="273" t="s">
        <v>1733</v>
      </c>
      <c r="F39" s="293"/>
      <c r="G39" s="294" t="s">
        <v>1752</v>
      </c>
      <c r="H39" s="226"/>
      <c r="I39" s="226"/>
      <c r="J39" s="226"/>
      <c r="K39" s="225"/>
      <c r="L39" s="225"/>
      <c r="M39" s="225"/>
      <c r="N39" s="226"/>
      <c r="O39" s="295"/>
      <c r="P39" s="278"/>
      <c r="Q39" s="224" t="s">
        <v>1752</v>
      </c>
      <c r="R39" s="132" t="s">
        <v>1770</v>
      </c>
      <c r="S39" s="223"/>
      <c r="T39" s="222"/>
      <c r="U39" s="221"/>
      <c r="V39" s="221"/>
      <c r="W39" s="221"/>
      <c r="X39" s="221"/>
      <c r="Y39" s="221" t="s">
        <v>1777</v>
      </c>
      <c r="Z39" t="e">
        <f>VLOOKUP(A39,#REF!,9,FALSE)</f>
        <v>#REF!</v>
      </c>
    </row>
    <row r="40" spans="1:26" ht="15.75" thickBot="1">
      <c r="A40" s="279" t="s">
        <v>703</v>
      </c>
      <c r="B40" s="103" t="s">
        <v>50</v>
      </c>
      <c r="C40" s="219">
        <v>45831</v>
      </c>
      <c r="D40" s="286"/>
      <c r="E40" s="273" t="s">
        <v>1733</v>
      </c>
      <c r="F40" s="286"/>
      <c r="G40" s="287" t="s">
        <v>1731</v>
      </c>
      <c r="H40" s="234"/>
      <c r="I40" s="234"/>
      <c r="J40" s="45"/>
      <c r="K40" s="208"/>
      <c r="L40" s="208"/>
      <c r="M40" s="208"/>
      <c r="N40" s="288"/>
      <c r="O40" s="289"/>
      <c r="P40" s="278"/>
      <c r="Q40" s="279" t="s">
        <v>64</v>
      </c>
      <c r="R40" s="132" t="s">
        <v>1770</v>
      </c>
      <c r="S40" s="132"/>
      <c r="T40" s="280"/>
      <c r="U40" s="281"/>
      <c r="V40" s="281"/>
      <c r="W40" s="281"/>
      <c r="X40" s="281"/>
      <c r="Y40" s="281"/>
      <c r="Z40" t="e">
        <f>VLOOKUP(A40,#REF!,9,FALSE)</f>
        <v>#REF!</v>
      </c>
    </row>
    <row r="41" spans="1:26" ht="15.75" thickBot="1">
      <c r="A41" s="279" t="s">
        <v>91</v>
      </c>
      <c r="B41" s="103" t="s">
        <v>50</v>
      </c>
      <c r="C41" s="219">
        <v>45807</v>
      </c>
      <c r="D41" s="286"/>
      <c r="E41" s="273" t="s">
        <v>1768</v>
      </c>
      <c r="F41" s="286"/>
      <c r="G41" s="287" t="s">
        <v>1731</v>
      </c>
      <c r="H41" s="234"/>
      <c r="I41" s="234"/>
      <c r="J41" s="45"/>
      <c r="K41" s="208"/>
      <c r="L41" s="208"/>
      <c r="M41" s="208"/>
      <c r="N41" s="288"/>
      <c r="O41" s="289"/>
      <c r="P41" s="278" t="s">
        <v>1769</v>
      </c>
      <c r="Q41" s="279" t="s">
        <v>58</v>
      </c>
      <c r="R41" s="132" t="s">
        <v>1770</v>
      </c>
      <c r="S41" s="132"/>
      <c r="T41" s="280"/>
      <c r="U41" s="281"/>
      <c r="V41" s="281"/>
      <c r="W41" s="281"/>
      <c r="X41" s="281"/>
      <c r="Y41" s="281"/>
      <c r="Z41" t="e">
        <f>VLOOKUP(A41,#REF!,9,FALSE)</f>
        <v>#REF!</v>
      </c>
    </row>
    <row r="42" spans="1:26" ht="15.75" thickBot="1">
      <c r="A42" s="279" t="s">
        <v>89</v>
      </c>
      <c r="B42" s="103" t="s">
        <v>50</v>
      </c>
      <c r="C42" s="219">
        <v>45807</v>
      </c>
      <c r="D42" s="286"/>
      <c r="E42" s="273" t="s">
        <v>1768</v>
      </c>
      <c r="F42" s="286"/>
      <c r="G42" s="287" t="s">
        <v>1731</v>
      </c>
      <c r="H42" s="234"/>
      <c r="I42" s="234"/>
      <c r="J42" s="45"/>
      <c r="K42" s="208"/>
      <c r="L42" s="208"/>
      <c r="M42" s="208"/>
      <c r="N42" s="288"/>
      <c r="O42" s="289"/>
      <c r="P42" s="278" t="s">
        <v>1769</v>
      </c>
      <c r="Q42" s="279" t="s">
        <v>64</v>
      </c>
      <c r="R42" s="132" t="s">
        <v>1770</v>
      </c>
      <c r="S42" s="132"/>
      <c r="T42" s="280"/>
      <c r="U42" s="281"/>
      <c r="V42" s="281"/>
      <c r="W42" s="281"/>
      <c r="X42" s="281"/>
      <c r="Y42" s="281"/>
      <c r="Z42" t="e">
        <f>VLOOKUP(A42,#REF!,9,FALSE)</f>
        <v>#REF!</v>
      </c>
    </row>
    <row r="43" spans="1:26" ht="15.75" thickBot="1">
      <c r="A43" s="279" t="s">
        <v>415</v>
      </c>
      <c r="B43" s="103" t="s">
        <v>50</v>
      </c>
      <c r="C43" s="219">
        <v>45807</v>
      </c>
      <c r="D43" s="286"/>
      <c r="E43" s="273" t="s">
        <v>1768</v>
      </c>
      <c r="F43" s="286"/>
      <c r="G43" s="287" t="s">
        <v>1731</v>
      </c>
      <c r="H43" s="234"/>
      <c r="I43" s="234"/>
      <c r="J43" s="45"/>
      <c r="K43" s="208"/>
      <c r="L43" s="208"/>
      <c r="M43" s="208"/>
      <c r="N43" s="288"/>
      <c r="O43" s="289"/>
      <c r="P43" s="278" t="s">
        <v>1769</v>
      </c>
      <c r="Q43" s="279" t="s">
        <v>58</v>
      </c>
      <c r="R43" s="132" t="s">
        <v>1770</v>
      </c>
      <c r="S43" s="132"/>
      <c r="T43" s="280"/>
      <c r="U43" s="281"/>
      <c r="V43" s="281"/>
      <c r="W43" s="281"/>
      <c r="X43" s="281"/>
      <c r="Y43" s="281"/>
      <c r="Z43" t="e">
        <f>VLOOKUP(A43,#REF!,9,FALSE)</f>
        <v>#REF!</v>
      </c>
    </row>
    <row r="44" spans="1:26" ht="15.75" thickBot="1">
      <c r="A44" s="279" t="s">
        <v>86</v>
      </c>
      <c r="B44" s="103" t="s">
        <v>50</v>
      </c>
      <c r="C44" s="219">
        <v>45807</v>
      </c>
      <c r="D44" s="286"/>
      <c r="E44" s="273" t="s">
        <v>1768</v>
      </c>
      <c r="F44" s="286"/>
      <c r="G44" s="287" t="s">
        <v>1731</v>
      </c>
      <c r="H44" s="234"/>
      <c r="I44" s="234"/>
      <c r="J44" s="45"/>
      <c r="K44" s="208"/>
      <c r="L44" s="208"/>
      <c r="M44" s="208"/>
      <c r="N44" s="288"/>
      <c r="O44" s="289"/>
      <c r="P44" s="278" t="s">
        <v>1739</v>
      </c>
      <c r="Q44" s="279" t="s">
        <v>64</v>
      </c>
      <c r="R44" s="132" t="s">
        <v>1770</v>
      </c>
      <c r="S44" s="132"/>
      <c r="T44" s="280"/>
      <c r="U44" s="281"/>
      <c r="V44" s="281"/>
      <c r="W44" s="281"/>
      <c r="X44" s="281"/>
      <c r="Y44" s="281"/>
      <c r="Z44" t="e">
        <f>VLOOKUP(A44,#REF!,9,FALSE)</f>
        <v>#REF!</v>
      </c>
    </row>
    <row r="45" spans="1:26" ht="15.75" thickBot="1">
      <c r="A45" s="346" t="s">
        <v>511</v>
      </c>
      <c r="B45" s="103" t="s">
        <v>50</v>
      </c>
      <c r="C45" s="219">
        <v>45807</v>
      </c>
      <c r="D45" s="286"/>
      <c r="E45" s="273" t="s">
        <v>1733</v>
      </c>
      <c r="F45" s="286"/>
      <c r="G45" s="287" t="s">
        <v>1731</v>
      </c>
      <c r="H45" s="234"/>
      <c r="I45" s="234"/>
      <c r="J45" s="45"/>
      <c r="K45" s="208"/>
      <c r="L45" s="208"/>
      <c r="M45" s="208"/>
      <c r="N45" s="288"/>
      <c r="O45" s="289"/>
      <c r="P45" s="278"/>
      <c r="Q45" s="279" t="s">
        <v>58</v>
      </c>
      <c r="R45" s="132" t="s">
        <v>1770</v>
      </c>
      <c r="S45" s="132"/>
      <c r="T45" s="280"/>
      <c r="U45" s="281"/>
      <c r="V45" s="281"/>
      <c r="W45" s="281"/>
      <c r="X45" s="281"/>
      <c r="Y45" s="281"/>
      <c r="Z45" t="e">
        <f>VLOOKUP(A45,#REF!,9,FALSE)</f>
        <v>#REF!</v>
      </c>
    </row>
    <row r="46" spans="1:26" ht="15.75" thickBot="1">
      <c r="A46" s="296" t="s">
        <v>513</v>
      </c>
      <c r="B46" s="103" t="s">
        <v>50</v>
      </c>
      <c r="C46" s="219">
        <v>45807</v>
      </c>
      <c r="D46" s="286"/>
      <c r="E46" s="273" t="s">
        <v>1733</v>
      </c>
      <c r="F46" s="286"/>
      <c r="G46" s="294" t="s">
        <v>1731</v>
      </c>
      <c r="H46" s="234"/>
      <c r="I46" s="234"/>
      <c r="J46" s="45"/>
      <c r="K46" s="208"/>
      <c r="L46" s="208"/>
      <c r="M46" s="208"/>
      <c r="N46" s="288"/>
      <c r="O46" s="289"/>
      <c r="P46" s="278"/>
      <c r="Q46" s="279" t="s">
        <v>58</v>
      </c>
      <c r="R46" s="132" t="s">
        <v>1770</v>
      </c>
      <c r="S46" s="132"/>
      <c r="T46" s="280"/>
      <c r="U46" s="281"/>
      <c r="V46" s="281"/>
      <c r="W46" s="281"/>
      <c r="X46" s="281"/>
      <c r="Y46" s="281"/>
      <c r="Z46" t="e">
        <f>VLOOKUP(A46,#REF!,9,FALSE)</f>
        <v>#REF!</v>
      </c>
    </row>
    <row r="47" spans="1:26" ht="15.75" thickBot="1">
      <c r="A47" s="297" t="s">
        <v>181</v>
      </c>
      <c r="B47" s="103" t="s">
        <v>50</v>
      </c>
      <c r="C47" s="219">
        <v>45807</v>
      </c>
      <c r="D47" s="286"/>
      <c r="E47" s="273" t="s">
        <v>1733</v>
      </c>
      <c r="F47" s="286"/>
      <c r="G47" s="287" t="s">
        <v>1731</v>
      </c>
      <c r="H47" s="234"/>
      <c r="I47" s="234"/>
      <c r="J47" s="45"/>
      <c r="K47" s="208"/>
      <c r="L47" s="208"/>
      <c r="M47" s="208"/>
      <c r="N47" s="288"/>
      <c r="O47" s="289"/>
      <c r="P47" s="278" t="s">
        <v>1742</v>
      </c>
      <c r="Q47" s="279" t="s">
        <v>58</v>
      </c>
      <c r="R47" s="132" t="s">
        <v>1773</v>
      </c>
      <c r="S47" s="132"/>
      <c r="T47" s="280"/>
      <c r="U47" s="281"/>
      <c r="V47" s="281"/>
      <c r="W47" s="281"/>
      <c r="X47" s="281"/>
      <c r="Y47" s="281"/>
      <c r="Z47" t="e">
        <f>VLOOKUP(A47,#REF!,9,FALSE)</f>
        <v>#REF!</v>
      </c>
    </row>
    <row r="48" spans="1:26" ht="15.75" thickBot="1">
      <c r="A48" s="296" t="s">
        <v>556</v>
      </c>
      <c r="B48" s="103" t="s">
        <v>50</v>
      </c>
      <c r="C48" s="219">
        <v>45807</v>
      </c>
      <c r="D48" s="286"/>
      <c r="E48" s="273" t="s">
        <v>1733</v>
      </c>
      <c r="F48" s="286"/>
      <c r="G48" s="294" t="s">
        <v>1752</v>
      </c>
      <c r="H48" s="234"/>
      <c r="I48" s="234"/>
      <c r="J48" s="45"/>
      <c r="K48" s="208"/>
      <c r="L48" s="208"/>
      <c r="M48" s="208"/>
      <c r="N48" s="288"/>
      <c r="O48" s="289"/>
      <c r="P48" s="278" t="s">
        <v>1779</v>
      </c>
      <c r="Q48" s="279" t="s">
        <v>1752</v>
      </c>
      <c r="R48" s="132" t="s">
        <v>1770</v>
      </c>
      <c r="S48" s="132"/>
      <c r="T48" s="280"/>
      <c r="U48" s="281"/>
      <c r="V48" s="281"/>
      <c r="W48" s="281"/>
      <c r="X48" s="281"/>
      <c r="Y48" s="281"/>
      <c r="Z48" t="e">
        <f>VLOOKUP(A48,#REF!,9,FALSE)</f>
        <v>#REF!</v>
      </c>
    </row>
    <row r="49" spans="1:26" ht="15.75" thickBot="1">
      <c r="A49" s="296" t="s">
        <v>550</v>
      </c>
      <c r="B49" s="103" t="s">
        <v>115</v>
      </c>
      <c r="C49" s="219">
        <v>45772</v>
      </c>
      <c r="D49" s="286"/>
      <c r="E49" s="273" t="s">
        <v>1733</v>
      </c>
      <c r="F49" s="286"/>
      <c r="G49" s="294" t="s">
        <v>1752</v>
      </c>
      <c r="H49" s="234"/>
      <c r="I49" s="234"/>
      <c r="J49" s="45"/>
      <c r="K49" s="208"/>
      <c r="L49" s="208"/>
      <c r="M49" s="208"/>
      <c r="N49" s="288"/>
      <c r="O49" s="289"/>
      <c r="P49" s="278" t="s">
        <v>1779</v>
      </c>
      <c r="Q49" s="279" t="s">
        <v>1752</v>
      </c>
      <c r="R49" s="132" t="s">
        <v>1770</v>
      </c>
      <c r="S49" s="132"/>
      <c r="T49" s="280"/>
      <c r="U49" s="281"/>
      <c r="V49" s="281"/>
      <c r="W49" s="281"/>
      <c r="X49" s="281"/>
      <c r="Y49" s="281"/>
      <c r="Z49" t="e">
        <f>VLOOKUP(A49,#REF!,9,FALSE)</f>
        <v>#REF!</v>
      </c>
    </row>
    <row r="50" spans="1:26" ht="15.75" thickBot="1">
      <c r="A50" s="296" t="s">
        <v>548</v>
      </c>
      <c r="B50" s="103" t="s">
        <v>115</v>
      </c>
      <c r="C50" s="219">
        <v>45772</v>
      </c>
      <c r="D50" s="286"/>
      <c r="E50" s="273" t="s">
        <v>1733</v>
      </c>
      <c r="F50" s="286"/>
      <c r="G50" s="294" t="s">
        <v>1752</v>
      </c>
      <c r="H50" s="234"/>
      <c r="I50" s="234"/>
      <c r="J50" s="45"/>
      <c r="K50" s="208"/>
      <c r="L50" s="208"/>
      <c r="M50" s="208"/>
      <c r="N50" s="288"/>
      <c r="O50" s="289"/>
      <c r="P50" s="278" t="s">
        <v>1779</v>
      </c>
      <c r="Q50" s="279" t="s">
        <v>1752</v>
      </c>
      <c r="R50" s="132" t="s">
        <v>1770</v>
      </c>
      <c r="S50" s="132"/>
      <c r="T50" s="280"/>
      <c r="U50" s="281"/>
      <c r="V50" s="281"/>
      <c r="W50" s="281"/>
      <c r="X50" s="281"/>
      <c r="Y50" s="281"/>
      <c r="Z50" t="e">
        <f>VLOOKUP(A50,#REF!,9,FALSE)</f>
        <v>#REF!</v>
      </c>
    </row>
    <row r="51" spans="1:26" ht="15.75" thickBot="1">
      <c r="A51" s="296" t="s">
        <v>554</v>
      </c>
      <c r="B51" s="103" t="e">
        <v>#N/A</v>
      </c>
      <c r="C51" s="219" t="e">
        <v>#N/A</v>
      </c>
      <c r="D51" s="286"/>
      <c r="E51" s="273" t="s">
        <v>1733</v>
      </c>
      <c r="F51" s="286"/>
      <c r="G51" s="294" t="s">
        <v>1752</v>
      </c>
      <c r="H51" s="234"/>
      <c r="I51" s="234"/>
      <c r="J51" s="45"/>
      <c r="K51" s="208"/>
      <c r="L51" s="208"/>
      <c r="M51" s="208"/>
      <c r="N51" s="288"/>
      <c r="O51" s="289"/>
      <c r="P51" s="278" t="s">
        <v>1779</v>
      </c>
      <c r="Q51" s="279" t="s">
        <v>1752</v>
      </c>
      <c r="R51" s="132" t="s">
        <v>1770</v>
      </c>
      <c r="S51" s="132"/>
      <c r="T51" s="280"/>
      <c r="U51" s="281"/>
      <c r="V51" s="281"/>
      <c r="W51" s="281"/>
      <c r="X51" s="281"/>
      <c r="Y51" s="281"/>
      <c r="Z51" t="e">
        <f>VLOOKUP(A51,#REF!,9,FALSE)</f>
        <v>#REF!</v>
      </c>
    </row>
    <row r="52" spans="1:26" ht="13.9" customHeight="1" thickBot="1">
      <c r="A52" s="296" t="s">
        <v>530</v>
      </c>
      <c r="B52" s="103" t="s">
        <v>115</v>
      </c>
      <c r="C52" s="219">
        <v>45925</v>
      </c>
      <c r="D52" s="286"/>
      <c r="E52" s="273" t="s">
        <v>1768</v>
      </c>
      <c r="F52" s="286"/>
      <c r="G52" s="287" t="s">
        <v>1731</v>
      </c>
      <c r="H52" s="234"/>
      <c r="I52" s="234"/>
      <c r="J52" s="45"/>
      <c r="K52" s="208"/>
      <c r="L52" s="208"/>
      <c r="M52" s="208"/>
      <c r="N52" s="288"/>
      <c r="O52" s="289"/>
      <c r="P52" s="278" t="s">
        <v>1769</v>
      </c>
      <c r="Q52" s="279" t="s">
        <v>64</v>
      </c>
      <c r="R52" s="132" t="s">
        <v>1770</v>
      </c>
      <c r="S52" s="132"/>
      <c r="T52" s="280"/>
      <c r="U52" s="281"/>
      <c r="V52" s="281"/>
      <c r="W52" s="281"/>
      <c r="X52" s="281"/>
      <c r="Y52" s="281"/>
      <c r="Z52" t="e">
        <f>VLOOKUP(A52,#REF!,9,FALSE)</f>
        <v>#REF!</v>
      </c>
    </row>
    <row r="53" spans="1:26" ht="15.75" thickBot="1">
      <c r="A53" s="296" t="s">
        <v>532</v>
      </c>
      <c r="B53" s="103" t="s">
        <v>115</v>
      </c>
      <c r="C53" s="219">
        <v>45925</v>
      </c>
      <c r="D53" s="286"/>
      <c r="E53" s="273" t="s">
        <v>1768</v>
      </c>
      <c r="F53" s="286"/>
      <c r="G53" s="287" t="s">
        <v>1731</v>
      </c>
      <c r="H53" s="234"/>
      <c r="I53" s="234"/>
      <c r="J53" s="45"/>
      <c r="K53" s="208"/>
      <c r="L53" s="208"/>
      <c r="M53" s="208"/>
      <c r="N53" s="288"/>
      <c r="O53" s="289"/>
      <c r="P53" s="278" t="s">
        <v>1769</v>
      </c>
      <c r="Q53" s="279" t="s">
        <v>64</v>
      </c>
      <c r="R53" s="132" t="s">
        <v>1770</v>
      </c>
      <c r="S53" s="132"/>
      <c r="T53" s="280"/>
      <c r="U53" s="281"/>
      <c r="V53" s="281"/>
      <c r="W53" s="281"/>
      <c r="X53" s="281"/>
      <c r="Y53" s="281"/>
      <c r="Z53" t="e">
        <f>VLOOKUP(A53,#REF!,9,FALSE)</f>
        <v>#REF!</v>
      </c>
    </row>
    <row r="54" spans="1:26" ht="15.75" thickBot="1">
      <c r="A54" s="296" t="s">
        <v>528</v>
      </c>
      <c r="B54" s="103" t="s">
        <v>115</v>
      </c>
      <c r="C54" s="219">
        <v>45925</v>
      </c>
      <c r="D54" s="286"/>
      <c r="E54" s="273" t="s">
        <v>1768</v>
      </c>
      <c r="F54" s="286"/>
      <c r="G54" s="287" t="s">
        <v>1731</v>
      </c>
      <c r="H54" s="234"/>
      <c r="I54" s="234"/>
      <c r="J54" s="45"/>
      <c r="K54" s="208"/>
      <c r="L54" s="208"/>
      <c r="M54" s="208"/>
      <c r="N54" s="288"/>
      <c r="O54" s="289"/>
      <c r="P54" s="278" t="s">
        <v>1769</v>
      </c>
      <c r="Q54" s="279" t="s">
        <v>64</v>
      </c>
      <c r="R54" s="132" t="s">
        <v>1770</v>
      </c>
      <c r="S54" s="132"/>
      <c r="T54" s="280"/>
      <c r="U54" s="281"/>
      <c r="V54" s="281"/>
      <c r="W54" s="281"/>
      <c r="X54" s="281"/>
      <c r="Y54" s="281"/>
      <c r="Z54" t="e">
        <f>VLOOKUP(A54,#REF!,9,FALSE)</f>
        <v>#REF!</v>
      </c>
    </row>
    <row r="55" spans="1:26" ht="15.75" thickBot="1">
      <c r="A55" s="296" t="s">
        <v>566</v>
      </c>
      <c r="B55" s="103" t="s">
        <v>115</v>
      </c>
      <c r="C55" s="219">
        <v>45862</v>
      </c>
      <c r="D55" s="286"/>
      <c r="E55" s="273" t="s">
        <v>1768</v>
      </c>
      <c r="F55" s="286"/>
      <c r="G55" s="287" t="s">
        <v>1731</v>
      </c>
      <c r="H55" s="234"/>
      <c r="I55" s="234"/>
      <c r="J55" s="45"/>
      <c r="K55" s="208"/>
      <c r="L55" s="208"/>
      <c r="M55" s="208"/>
      <c r="N55" s="288"/>
      <c r="O55" s="289"/>
      <c r="P55" s="278" t="s">
        <v>1742</v>
      </c>
      <c r="Q55" s="279" t="s">
        <v>58</v>
      </c>
      <c r="R55" s="132" t="s">
        <v>1773</v>
      </c>
      <c r="S55" s="132"/>
      <c r="T55" s="280"/>
      <c r="U55" s="281"/>
      <c r="V55" s="281"/>
      <c r="W55" s="281"/>
      <c r="X55" s="281"/>
      <c r="Y55" s="281"/>
      <c r="Z55" t="e">
        <f>VLOOKUP(A55,#REF!,9,FALSE)</f>
        <v>#REF!</v>
      </c>
    </row>
    <row r="56" spans="1:26" ht="15.75" thickBot="1">
      <c r="A56" s="296" t="s">
        <v>125</v>
      </c>
      <c r="B56" s="103"/>
      <c r="C56" s="219" t="e">
        <v>#N/A</v>
      </c>
      <c r="D56" s="286"/>
      <c r="E56" s="273" t="s">
        <v>1768</v>
      </c>
      <c r="F56" s="286"/>
      <c r="G56" s="287" t="s">
        <v>1731</v>
      </c>
      <c r="H56" s="234"/>
      <c r="I56" s="234"/>
      <c r="J56" s="45"/>
      <c r="K56" s="208"/>
      <c r="L56" s="208"/>
      <c r="M56" s="208"/>
      <c r="N56" s="288"/>
      <c r="O56" s="289"/>
      <c r="P56" s="278" t="s">
        <v>1780</v>
      </c>
      <c r="Q56" s="279" t="s">
        <v>58</v>
      </c>
      <c r="R56" s="132" t="s">
        <v>1773</v>
      </c>
      <c r="S56" s="132"/>
      <c r="T56" s="280"/>
      <c r="U56" s="281"/>
      <c r="V56" s="281"/>
      <c r="W56" s="281"/>
      <c r="X56" s="281"/>
      <c r="Y56" s="281"/>
      <c r="Z56" t="e">
        <f>VLOOKUP(A56,#REF!,9,FALSE)</f>
        <v>#REF!</v>
      </c>
    </row>
    <row r="57" spans="1:26" ht="15.75" thickBot="1">
      <c r="A57" s="163" t="s">
        <v>1781</v>
      </c>
      <c r="B57" s="103" t="s">
        <v>115</v>
      </c>
      <c r="C57" s="298">
        <v>45787</v>
      </c>
      <c r="D57" s="286"/>
      <c r="E57" s="273" t="s">
        <v>1768</v>
      </c>
      <c r="F57" s="286"/>
      <c r="G57" s="287" t="s">
        <v>1731</v>
      </c>
      <c r="H57" s="234"/>
      <c r="I57" s="234"/>
      <c r="J57" s="45"/>
      <c r="K57" s="208"/>
      <c r="L57" s="208"/>
      <c r="M57" s="208"/>
      <c r="N57" s="288"/>
      <c r="O57" s="289"/>
      <c r="P57" s="278" t="s">
        <v>1742</v>
      </c>
      <c r="Q57" s="279" t="s">
        <v>1782</v>
      </c>
      <c r="R57" s="132" t="s">
        <v>1773</v>
      </c>
      <c r="S57" s="132"/>
      <c r="T57" s="280"/>
      <c r="U57" s="281"/>
      <c r="V57" s="281"/>
      <c r="W57" s="281"/>
      <c r="X57" s="281"/>
      <c r="Y57" s="281"/>
      <c r="Z57" t="e">
        <f>VLOOKUP(A57,#REF!,9,FALSE)</f>
        <v>#REF!</v>
      </c>
    </row>
    <row r="58" spans="1:26" ht="15.75" thickBot="1">
      <c r="A58" s="640" t="s">
        <v>528</v>
      </c>
      <c r="B58" s="103" t="s">
        <v>50</v>
      </c>
      <c r="C58" s="300">
        <v>45807</v>
      </c>
      <c r="D58" s="286"/>
      <c r="E58" s="273" t="s">
        <v>1733</v>
      </c>
      <c r="F58" s="286"/>
      <c r="G58" s="287" t="s">
        <v>1731</v>
      </c>
      <c r="H58" s="234"/>
      <c r="I58" s="234"/>
      <c r="J58" s="45"/>
      <c r="K58" s="208"/>
      <c r="L58" s="208"/>
      <c r="M58" s="208"/>
      <c r="N58" s="288"/>
      <c r="O58" s="289"/>
      <c r="P58" s="291"/>
      <c r="Q58" s="279" t="s">
        <v>64</v>
      </c>
      <c r="R58" s="132" t="s">
        <v>1770</v>
      </c>
      <c r="S58" s="132"/>
      <c r="T58" s="280"/>
      <c r="U58" s="281"/>
      <c r="V58" s="281"/>
      <c r="W58" s="281"/>
      <c r="X58" s="281"/>
      <c r="Y58" s="281"/>
    </row>
    <row r="59" spans="1:26" ht="15.75" thickBot="1">
      <c r="A59" s="640" t="s">
        <v>530</v>
      </c>
      <c r="B59" s="103" t="s">
        <v>115</v>
      </c>
      <c r="C59" s="300">
        <v>45772</v>
      </c>
      <c r="D59" s="286"/>
      <c r="E59" s="273" t="s">
        <v>1733</v>
      </c>
      <c r="F59" s="286"/>
      <c r="G59" s="287" t="s">
        <v>1731</v>
      </c>
      <c r="H59" s="234"/>
      <c r="I59" s="234"/>
      <c r="J59" s="45"/>
      <c r="K59" s="208"/>
      <c r="L59" s="208"/>
      <c r="M59" s="208"/>
      <c r="N59" s="288"/>
      <c r="O59" s="289"/>
      <c r="P59" s="291"/>
      <c r="Q59" s="279" t="s">
        <v>64</v>
      </c>
      <c r="R59" s="132" t="s">
        <v>1770</v>
      </c>
      <c r="S59" s="132"/>
      <c r="T59" s="280"/>
      <c r="U59" s="281"/>
      <c r="V59" s="281"/>
      <c r="W59" s="281"/>
      <c r="X59" s="281"/>
      <c r="Y59" s="281"/>
    </row>
    <row r="60" spans="1:26" ht="15.75" thickBot="1">
      <c r="A60" s="641" t="s">
        <v>532</v>
      </c>
      <c r="B60" s="103" t="s">
        <v>115</v>
      </c>
      <c r="C60" s="300">
        <v>45772</v>
      </c>
      <c r="D60" s="286"/>
      <c r="E60" s="273" t="s">
        <v>1733</v>
      </c>
      <c r="F60" s="286"/>
      <c r="G60" s="287" t="s">
        <v>1731</v>
      </c>
      <c r="H60" s="234"/>
      <c r="I60" s="234"/>
      <c r="J60" s="45"/>
      <c r="K60" s="208"/>
      <c r="L60" s="208"/>
      <c r="M60" s="208"/>
      <c r="N60" s="288"/>
      <c r="O60" s="289"/>
      <c r="P60" s="291"/>
      <c r="Q60" s="279" t="s">
        <v>64</v>
      </c>
      <c r="R60" s="132" t="s">
        <v>1770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1762</v>
      </c>
      <c r="B70" s="305">
        <f>SUM(K4:K9)</f>
        <v>0</v>
      </c>
      <c r="C70" s="306" t="e">
        <f>B70/B73</f>
        <v>#DIV/0!</v>
      </c>
    </row>
    <row r="71" spans="1:25">
      <c r="A71" s="304" t="s">
        <v>1660</v>
      </c>
      <c r="B71" s="305">
        <f>SUM(L4:L9)</f>
        <v>0</v>
      </c>
      <c r="C71" s="306" t="e">
        <f>B71/B73</f>
        <v>#DIV/0!</v>
      </c>
    </row>
    <row r="72" spans="1:25">
      <c r="A72" s="304" t="s">
        <v>1763</v>
      </c>
      <c r="B72" s="305">
        <f>SUM(M4:M9)</f>
        <v>0</v>
      </c>
      <c r="C72" s="306" t="e">
        <f>B72/B73</f>
        <v>#DIV/0!</v>
      </c>
    </row>
    <row r="73" spans="1:25">
      <c r="A73" s="304" t="s">
        <v>880</v>
      </c>
      <c r="B73" s="305">
        <f>SUM(B70:B72)</f>
        <v>0</v>
      </c>
      <c r="C73" s="283"/>
    </row>
    <row r="80" spans="1:25">
      <c r="A80" t="s">
        <v>1783</v>
      </c>
    </row>
    <row r="81" spans="1:1">
      <c r="A81" t="s">
        <v>1784</v>
      </c>
    </row>
    <row r="82" spans="1:1">
      <c r="A82" t="s">
        <v>1769</v>
      </c>
    </row>
    <row r="83" spans="1:1">
      <c r="A83" t="s">
        <v>1785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C58B95F-EA11-42D3-874E-68F523034C9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2025-11-18T16:06:32Z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