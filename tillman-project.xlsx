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7" documentId="120_S{26355A1A-C9FF-5539-9B49-32C1F08D0326}" xr6:coauthVersionLast="47" xr6:coauthVersionMax="47" xr10:uidLastSave="{8B23B96D-51D1-4A14-924F-2CAC8051F0A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100" r:id="rId11"/>
    <pivotCache cacheId="5103" r:id="rId12"/>
    <pivotCache cacheId="5106" r:id="rId13"/>
    <pivotCache cacheId="5109" r:id="rId14"/>
    <pivotCache cacheId="51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6" i="30" l="1"/>
  <c r="U253" i="30"/>
  <c r="U263" i="30"/>
  <c r="A1" i="32" a="1"/>
  <c r="A1" i="32"/>
  <c r="U249" i="30"/>
  <c r="U179" i="30"/>
  <c r="Y25" i="31"/>
  <c r="X25" i="31"/>
  <c r="U258" i="30"/>
  <c r="U266" i="30"/>
  <c r="U51" i="30"/>
  <c r="U60" i="30"/>
  <c r="U36" i="30"/>
  <c r="T36" i="30"/>
  <c r="U7" i="30"/>
  <c r="Y8" i="31"/>
  <c r="X8" i="31"/>
  <c r="Y21" i="31"/>
  <c r="X21" i="31"/>
  <c r="U75" i="30"/>
  <c r="U59" i="30"/>
  <c r="U58" i="30"/>
  <c r="U57" i="30"/>
  <c r="U56" i="30"/>
  <c r="U55" i="30"/>
  <c r="U54" i="30"/>
  <c r="T58" i="30"/>
  <c r="U8" i="30"/>
  <c r="T8" i="30"/>
  <c r="U180" i="30"/>
  <c r="U68" i="30"/>
  <c r="U262" i="30"/>
  <c r="U49" i="30"/>
  <c r="U259" i="30"/>
  <c r="X19" i="31"/>
  <c r="Y19" i="31"/>
  <c r="U168" i="30"/>
  <c r="U257" i="30"/>
  <c r="U255" i="30"/>
  <c r="X62" i="2"/>
  <c r="Y62" i="2"/>
  <c r="U264" i="30"/>
  <c r="U254" i="30"/>
  <c r="U173" i="30"/>
  <c r="U256" i="30"/>
  <c r="Y18" i="31"/>
  <c r="X18" i="31"/>
  <c r="U280" i="30"/>
  <c r="U50" i="30"/>
  <c r="U278" i="30"/>
  <c r="U251" i="30"/>
  <c r="U182" i="30"/>
  <c r="U267" i="30"/>
  <c r="U279" i="30"/>
  <c r="X63" i="2"/>
  <c r="Y63" i="2"/>
  <c r="X64" i="2"/>
  <c r="Y64" i="2"/>
  <c r="Y74" i="2"/>
  <c r="X74" i="2"/>
  <c r="Y73" i="2"/>
  <c r="X73" i="2"/>
  <c r="Y72" i="2"/>
  <c r="X72" i="2"/>
  <c r="Y71" i="2"/>
  <c r="X71" i="2"/>
  <c r="Y70" i="2"/>
  <c r="X70" i="2"/>
  <c r="Y69" i="2"/>
  <c r="X69" i="2"/>
  <c r="Y68" i="2"/>
  <c r="X68" i="2"/>
  <c r="Y67" i="2"/>
  <c r="X67" i="2"/>
  <c r="Y66" i="2"/>
  <c r="X66" i="2"/>
  <c r="Y65" i="2"/>
  <c r="X65" i="2"/>
  <c r="U270" i="30"/>
  <c r="U260" i="30"/>
  <c r="U247" i="30"/>
  <c r="U273" i="30"/>
  <c r="U252" i="30"/>
  <c r="X26" i="31"/>
  <c r="Y26"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3" i="2"/>
  <c r="X23" i="2"/>
  <c r="U226" i="30"/>
  <c r="U165" i="30"/>
  <c r="U276" i="30"/>
  <c r="U277" i="30"/>
  <c r="U232" i="30"/>
  <c r="U187" i="30"/>
  <c r="U211" i="30"/>
  <c r="X28" i="2"/>
  <c r="Y28" i="2"/>
  <c r="U219" i="30"/>
  <c r="X27" i="2"/>
  <c r="Y27" i="2"/>
  <c r="X56" i="2"/>
  <c r="Y56" i="2"/>
  <c r="X57" i="2"/>
  <c r="Y57" i="2"/>
  <c r="U239" i="30"/>
  <c r="U175" i="30"/>
  <c r="U181" i="30"/>
  <c r="U189" i="30"/>
  <c r="U275" i="30"/>
  <c r="U190" i="30"/>
  <c r="X20" i="31"/>
  <c r="Y20" i="31"/>
  <c r="U261" i="30"/>
  <c r="X52" i="2"/>
  <c r="Y52" i="2"/>
  <c r="X53" i="2"/>
  <c r="Y53" i="2"/>
  <c r="X44" i="2"/>
  <c r="Y44" i="2"/>
  <c r="U274" i="30"/>
  <c r="Y14" i="31"/>
  <c r="X14" i="31"/>
  <c r="Y13" i="31"/>
  <c r="X13" i="31"/>
  <c r="Y10" i="31"/>
  <c r="X10" i="31"/>
  <c r="U228" i="30"/>
  <c r="U214" i="30"/>
  <c r="U213" i="30"/>
  <c r="Y15" i="2"/>
  <c r="X78" i="2"/>
  <c r="Y78" i="2"/>
  <c r="Y6" i="31"/>
  <c r="X6" i="31"/>
  <c r="Y5" i="31"/>
  <c r="X5" i="31"/>
  <c r="U225" i="30"/>
  <c r="Y61" i="2"/>
  <c r="X61" i="2"/>
  <c r="Y28" i="31"/>
  <c r="X28" i="31"/>
  <c r="U212" i="30"/>
  <c r="U203" i="30"/>
  <c r="Y12" i="31"/>
  <c r="X12" i="31"/>
  <c r="Y30" i="31"/>
  <c r="X30" i="31"/>
  <c r="U250" i="30"/>
  <c r="Y31" i="31"/>
  <c r="X31" i="31"/>
  <c r="Y17" i="31"/>
  <c r="X17" i="31"/>
  <c r="Y141" i="2"/>
  <c r="Y142" i="2"/>
  <c r="Y143" i="2"/>
  <c r="Y144" i="2"/>
  <c r="Y145" i="2"/>
  <c r="Y146" i="2"/>
  <c r="Y147" i="2"/>
  <c r="Y148" i="2"/>
  <c r="Y149" i="2"/>
  <c r="Y150" i="2"/>
  <c r="Y151" i="2"/>
  <c r="Y152" i="2"/>
  <c r="Y43" i="2"/>
  <c r="X43" i="2"/>
  <c r="Y50" i="2"/>
  <c r="X50" i="2"/>
  <c r="Y11" i="31"/>
  <c r="X11" i="31"/>
  <c r="U186" i="30"/>
  <c r="U65" i="30"/>
  <c r="U218" i="30"/>
  <c r="Y22" i="31"/>
  <c r="X22" i="31"/>
  <c r="Y16" i="31"/>
  <c r="X16" i="31"/>
  <c r="X46" i="2"/>
  <c r="Y46" i="2"/>
  <c r="X27" i="31"/>
  <c r="Y27" i="31"/>
  <c r="Y4" i="31"/>
  <c r="X4" i="31"/>
  <c r="X55" i="2"/>
  <c r="Y55" i="2"/>
  <c r="Y10" i="2"/>
  <c r="X10" i="2"/>
  <c r="Y15" i="31"/>
  <c r="X15" i="31"/>
  <c r="Y18" i="2"/>
  <c r="X18" i="2"/>
  <c r="X6" i="2"/>
  <c r="Y6" i="2"/>
  <c r="Y3" i="31"/>
  <c r="X3" i="31"/>
  <c r="Y11" i="2"/>
  <c r="X11" i="2"/>
  <c r="T243" i="30"/>
  <c r="X48" i="2"/>
  <c r="Y48" i="2"/>
  <c r="Y13" i="2"/>
  <c r="X13" i="2"/>
  <c r="Y9" i="31"/>
  <c r="X9" i="31"/>
  <c r="Y14" i="2"/>
  <c r="X14" i="2"/>
  <c r="X45" i="2"/>
  <c r="Y45" i="2"/>
  <c r="U184" i="30"/>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29" i="31"/>
  <c r="X29" i="31"/>
  <c r="Y24" i="31"/>
  <c r="X24" i="31"/>
  <c r="Y23" i="31"/>
  <c r="X23"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<sst xmlns="http://schemas.openxmlformats.org/spreadsheetml/2006/main" count="18374" uniqueCount="2317">
  <si>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</si>
  <si>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</si>
  <si>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</si>
  <si>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</si>
  <si>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</si>
  <si>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</si>
  <si>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</si>
  <si>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</si>
  <si>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</si>
  <si>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</si>
  <si>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</si>
  <si>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</si>
  <si>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</si>
  <si>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</si>
  <si>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</si>
  <si>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</si>
  <si>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</si>
  <si>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</si>
  <si>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</si>
  <si>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</si>
  <si>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</si>
  <si>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</si>
  <si>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</si>
  <si>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</si>
  <si>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</si>
  <si>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</si>
  <si>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</si>
  <si>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</si>
  <si>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</si>
  <si>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</si>
  <si>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</si>
  <si>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</si>
  <si>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</si>
  <si>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</si>
  <si>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</si>
  <si>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</si>
  <si>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</si>
  <si>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</si>
  <si>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</si>
  <si>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</si>
  <si>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</si>
  <si>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</si>
  <si>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</si>
  <si>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</si>
  <si>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</si>
  <si>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</si>
  <si>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</si>
  <si>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</si>
  <si>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</si>
  <si>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</si>
  <si>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</si>
  <si>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</si>
  <si>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</si>
  <si>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</si>
  <si>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</si>
  <si>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</si>
  <si>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</si>
  <si>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</si>
  <si>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</si>
  <si>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</si>
  <si>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</si>
  <si>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</si>
  <si>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</si>
  <si>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</si>
  <si>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</si>
  <si>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</si>
  <si>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</si>
  <si>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</si>
  <si>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</si>
  <si>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</si>
  <si>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</si>
  <si>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</si>
  <si>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</si>
  <si>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</si>
  <si>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</si>
  <si>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</si>
  <si>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</si>
  <si>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</si>
  <si>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</si>
  <si>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</si>
  <si>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</si>
  <si>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</si>
  <si>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t>
  </si>
  <si>
    <t>D-HWP108</t>
  </si>
  <si>
    <t>Brothers</t>
  </si>
  <si>
    <t>Miguel</t>
  </si>
  <si>
    <t>PLK105202</t>
  </si>
  <si>
    <t>Pending Locates</t>
  </si>
  <si>
    <t>11/11 Pending Permit./pemit rec 2-4</t>
  </si>
  <si>
    <t>D-HWP110</t>
  </si>
  <si>
    <t>PLK105391</t>
  </si>
  <si>
    <t>10/21 Pending Permit./permit rec 2-4CX starts 3-2-2026/  3/2 CX Construction Started--Progress At 17% Complete.</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</si>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</sst>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164" fontId="0" fillId="0" borderId="21" xfId="0" applyNumberFormat="1" applyFill="1" applyBorder="1"/>
    <xf numFmtId="3" fontId="0" fillId="0" borderId="9" xfId="0" applyNumberForma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2" fontId="0" fillId="0" borderId="21"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3" borderId="16" xfId="0" applyFont="1" applyFill="1" applyBorder="1" applyAlignment="1">
      <alignment horizontal="left"/>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268518" createdVersion="8" refreshedVersion="8" minRefreshableVersion="3" recordCount="2744" xr:uid="{E3D0A88A-CBD0-4D66-B171-1D8684787A19}">
  <cacheSource type="worksheet">
    <worksheetSource ref="A1:F1048576" sheet="Daily Production_RAW DATA"/>
  </cacheSource>
  <cacheFields count="6">
    <cacheField name="Project" numFmtId="0">
      <sharedItems containsBlank="1" count="3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3T00:00:00" count="2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27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125"/>
    <x v="15"/>
    <x v="275"/>
    <m/>
    <m/>
    <m/>
  </r>
  <r>
    <x v="125"/>
    <x v="15"/>
    <x v="2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x="20"/>
        <item h="1" m="1" x="278"/>
        <item x="21"/>
        <item m="1" x="2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x="15"/>
        <item x="16"/>
        <item x="17"/>
        <item x="18"/>
        <item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x="0"/>
        <item x="1"/>
        <item x="2"/>
        <item x="3"/>
        <item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x="10"/>
        <item x="11"/>
        <item x="12"/>
        <item x="13"/>
        <item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x="5"/>
        <item x="6"/>
        <item x="7"/>
        <item x="8"/>
        <item h="1" x="275"/>
        <item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C137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t="default"/>
      </items>
    </pivotField>
    <pivotField dataField="1" compact="0" outline="0" showAll="0"/>
    <pivotField compact="0" outline="0" showAll="0"/>
    <pivotField compact="0" outline="0" showAll="0"/>
  </pivotFields>
  <rowFields count="1">
    <field x="0"/>
  </rowFields>
  <rowItems count="5">
    <i>
      <x v="375"/>
    </i>
    <i>
      <x v="380"/>
    </i>
    <i>
      <x v="384"/>
    </i>
    <i>
      <x v="385"/>
    </i>
    <i t="grand">
      <x/>
    </i>
  </rowItems>
  <colFields count="1">
    <field x="2"/>
  </colFields>
  <colItems count="2">
    <i>
      <x v="2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1359">
        <v>611</v>
      </c>
      <c r="X12" s="893">
        <f t="shared" ref="X12:X22" si="3">SUM(V12-W12)</f>
        <v>3079</v>
      </c>
      <c r="Y12" s="522">
        <f t="shared" si="1"/>
        <v>0.16558265582655826</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c r="E14" s="887"/>
      <c r="F14" s="888"/>
      <c r="G14" s="888" t="s">
        <v>97</v>
      </c>
      <c r="H14" s="889">
        <v>26</v>
      </c>
      <c r="I14" s="521" t="s">
        <v>54</v>
      </c>
      <c r="J14" s="889" t="s">
        <v>94</v>
      </c>
      <c r="K14" s="889" t="s">
        <v>98</v>
      </c>
      <c r="L14" s="887"/>
      <c r="M14" s="889" t="s">
        <v>56</v>
      </c>
      <c r="N14" s="890">
        <v>12781.6</v>
      </c>
      <c r="O14" s="889" t="s">
        <v>56</v>
      </c>
      <c r="P14" s="891" t="s">
        <v>70</v>
      </c>
      <c r="Q14" s="892"/>
      <c r="R14" s="892"/>
      <c r="S14" s="892"/>
      <c r="T14" s="892"/>
      <c r="U14" s="892"/>
      <c r="V14" s="634">
        <v>937</v>
      </c>
      <c r="W14" s="893"/>
      <c r="X14" s="893">
        <f>SUM(V14-W14)</f>
        <v>937</v>
      </c>
      <c r="Y14" s="522">
        <f t="shared" ref="Y14:Y23" si="4">IFERROR($W14/$V14, 0)</f>
        <v>0</v>
      </c>
      <c r="Z14" s="894"/>
      <c r="AA14" s="895">
        <v>0</v>
      </c>
      <c r="AB14" s="895">
        <v>0</v>
      </c>
      <c r="AC14" s="854">
        <v>0</v>
      </c>
      <c r="AD14" s="929" t="s">
        <v>99</v>
      </c>
      <c r="AE14" s="928"/>
    </row>
    <row r="15" spans="1:116" ht="24.75" customHeight="1">
      <c r="A15" s="923" t="s">
        <v>100</v>
      </c>
      <c r="B15" s="888" t="s">
        <v>76</v>
      </c>
      <c r="C15" s="887">
        <v>46006</v>
      </c>
      <c r="D15" s="887" t="s">
        <v>84</v>
      </c>
      <c r="E15" s="887">
        <v>45936</v>
      </c>
      <c r="F15" s="888" t="s">
        <v>78</v>
      </c>
      <c r="G15" s="888" t="s">
        <v>101</v>
      </c>
      <c r="H15" s="889">
        <v>0</v>
      </c>
      <c r="I15" s="521" t="s">
        <v>54</v>
      </c>
      <c r="J15" s="889" t="s">
        <v>55</v>
      </c>
      <c r="K15" s="889" t="s">
        <v>98</v>
      </c>
      <c r="L15" s="887" t="s">
        <v>102</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103</v>
      </c>
      <c r="AE15" s="913"/>
    </row>
    <row r="16" spans="1:116" ht="24.75" customHeight="1">
      <c r="A16" s="923" t="s">
        <v>104</v>
      </c>
      <c r="B16" s="888" t="s">
        <v>76</v>
      </c>
      <c r="C16" s="887">
        <v>46117</v>
      </c>
      <c r="D16" s="887"/>
      <c r="E16" s="887"/>
      <c r="F16" s="508" t="s">
        <v>105</v>
      </c>
      <c r="G16" s="888" t="s">
        <v>106</v>
      </c>
      <c r="H16" s="889">
        <v>0</v>
      </c>
      <c r="I16" s="521" t="s">
        <v>54</v>
      </c>
      <c r="J16" s="889" t="s">
        <v>94</v>
      </c>
      <c r="K16" s="889" t="s">
        <v>98</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107</v>
      </c>
    </row>
    <row r="17" spans="1:32" ht="24.75" customHeight="1">
      <c r="A17" s="923" t="s">
        <v>108</v>
      </c>
      <c r="B17" s="888" t="s">
        <v>76</v>
      </c>
      <c r="C17" s="887">
        <v>46053</v>
      </c>
      <c r="D17" s="887"/>
      <c r="E17" s="887"/>
      <c r="F17" s="888" t="s">
        <v>85</v>
      </c>
      <c r="G17" s="888" t="s">
        <v>109</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110</v>
      </c>
    </row>
    <row r="18" spans="1:32" ht="24.75" customHeight="1">
      <c r="A18" s="1099" t="s">
        <v>111</v>
      </c>
      <c r="B18" s="888" t="s">
        <v>76</v>
      </c>
      <c r="C18" s="887">
        <v>46142</v>
      </c>
      <c r="D18" s="887" t="s">
        <v>112</v>
      </c>
      <c r="E18" s="887"/>
      <c r="F18" s="888" t="s">
        <v>113</v>
      </c>
      <c r="G18" s="888" t="s">
        <v>114</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115</v>
      </c>
    </row>
    <row r="19" spans="1:32" ht="24.75" customHeight="1">
      <c r="A19" s="923" t="s">
        <v>116</v>
      </c>
      <c r="B19" s="888" t="s">
        <v>76</v>
      </c>
      <c r="C19" s="887">
        <v>46020</v>
      </c>
      <c r="D19" s="887"/>
      <c r="E19" s="887"/>
      <c r="F19" s="888" t="s">
        <v>78</v>
      </c>
      <c r="G19" s="888" t="s">
        <v>117</v>
      </c>
      <c r="H19" s="889">
        <v>0</v>
      </c>
      <c r="I19" s="889" t="s">
        <v>54</v>
      </c>
      <c r="J19" s="889" t="s">
        <v>94</v>
      </c>
      <c r="K19" s="889" t="s">
        <v>98</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118</v>
      </c>
    </row>
    <row r="20" spans="1:32" ht="24.75" customHeight="1">
      <c r="A20" s="923" t="s">
        <v>119</v>
      </c>
      <c r="B20" s="888" t="s">
        <v>76</v>
      </c>
      <c r="C20" s="887">
        <v>46052</v>
      </c>
      <c r="D20" s="887"/>
      <c r="E20" s="887">
        <v>45866</v>
      </c>
      <c r="F20" s="888" t="s">
        <v>78</v>
      </c>
      <c r="G20" s="888" t="s">
        <v>120</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121</v>
      </c>
    </row>
    <row r="21" spans="1:32" ht="24.75" customHeight="1">
      <c r="A21" s="923" t="s">
        <v>122</v>
      </c>
      <c r="B21" s="888" t="s">
        <v>76</v>
      </c>
      <c r="C21" s="887">
        <v>46010</v>
      </c>
      <c r="D21" s="887" t="s">
        <v>123</v>
      </c>
      <c r="E21" s="887">
        <v>46007</v>
      </c>
      <c r="F21" s="888" t="s">
        <v>78</v>
      </c>
      <c r="G21" s="888" t="s">
        <v>124</v>
      </c>
      <c r="H21" s="889">
        <v>0</v>
      </c>
      <c r="I21" s="521" t="s">
        <v>54</v>
      </c>
      <c r="J21" s="889" t="s">
        <v>94</v>
      </c>
      <c r="K21" s="889" t="s">
        <v>64</v>
      </c>
      <c r="L21" s="887" t="s">
        <v>102</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112</v>
      </c>
      <c r="E22" s="887"/>
      <c r="F22" s="888" t="s">
        <v>113</v>
      </c>
      <c r="G22" s="888" t="s">
        <v>127</v>
      </c>
      <c r="H22" s="889">
        <v>0</v>
      </c>
      <c r="I22" s="521" t="s">
        <v>54</v>
      </c>
      <c r="J22" s="889" t="s">
        <v>63</v>
      </c>
      <c r="K22" s="889"/>
      <c r="L22" s="887" t="s">
        <v>102</v>
      </c>
      <c r="M22" s="889" t="s">
        <v>56</v>
      </c>
      <c r="N22" s="890">
        <v>388</v>
      </c>
      <c r="O22" s="889" t="s">
        <v>56</v>
      </c>
      <c r="P22" s="891" t="s">
        <v>65</v>
      </c>
      <c r="Q22" s="937" t="s">
        <v>102</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6" t="s">
        <v>129</v>
      </c>
      <c r="B23" s="888" t="s">
        <v>76</v>
      </c>
      <c r="C23" s="887">
        <v>46073</v>
      </c>
      <c r="D23" s="887" t="s">
        <v>112</v>
      </c>
      <c r="E23" s="986"/>
      <c r="F23" s="888" t="s">
        <v>113</v>
      </c>
      <c r="G23" s="888" t="s">
        <v>130</v>
      </c>
      <c r="H23" s="889">
        <v>0</v>
      </c>
      <c r="I23" s="521" t="s">
        <v>54</v>
      </c>
      <c r="J23" s="889" t="s">
        <v>55</v>
      </c>
      <c r="K23" s="1368"/>
      <c r="L23" s="986"/>
      <c r="M23" s="889" t="s">
        <v>56</v>
      </c>
      <c r="N23" s="1369">
        <v>223.8</v>
      </c>
      <c r="O23" s="889" t="s">
        <v>56</v>
      </c>
      <c r="P23" s="891" t="s">
        <v>70</v>
      </c>
      <c r="Q23" s="1370"/>
      <c r="R23" s="1370"/>
      <c r="S23" s="1370"/>
      <c r="T23" s="1370"/>
      <c r="U23" s="1370"/>
      <c r="V23" s="807">
        <v>0</v>
      </c>
      <c r="W23" s="1255"/>
      <c r="X23" s="1371">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8"/>
      <c r="L27" s="986"/>
      <c r="M27" s="889" t="s">
        <v>56</v>
      </c>
      <c r="N27" s="1369">
        <v>12404.9</v>
      </c>
      <c r="O27" s="663" t="s">
        <v>56</v>
      </c>
      <c r="P27" s="912" t="s">
        <v>65</v>
      </c>
      <c r="Q27" s="1370">
        <v>46077</v>
      </c>
      <c r="R27" s="1370"/>
      <c r="S27" s="1370"/>
      <c r="T27" s="1370"/>
      <c r="U27" s="1370"/>
      <c r="V27" s="1371">
        <v>1111</v>
      </c>
      <c r="W27" s="1371"/>
      <c r="X27" s="1371">
        <f>SUM(V27-W27)</f>
        <v>1111</v>
      </c>
      <c r="Y27" s="690">
        <f>IFERROR($W27/$V27, 0)</f>
        <v>0</v>
      </c>
      <c r="Z27" s="1372"/>
      <c r="AA27" s="895">
        <v>0</v>
      </c>
      <c r="AB27" s="895">
        <v>0</v>
      </c>
      <c r="AC27" s="904">
        <v>0</v>
      </c>
      <c r="AD27" s="896" t="s">
        <v>136</v>
      </c>
      <c r="AE27" s="938"/>
      <c r="AF27" s="936"/>
    </row>
    <row r="28" spans="1:32" ht="24.75" customHeight="1">
      <c r="A28" s="1241" t="s">
        <v>137</v>
      </c>
      <c r="B28" s="665" t="s">
        <v>133</v>
      </c>
      <c r="C28" s="986"/>
      <c r="D28" s="1039" t="s">
        <v>134</v>
      </c>
      <c r="E28" s="986">
        <v>46077</v>
      </c>
      <c r="F28" s="1039" t="s">
        <v>138</v>
      </c>
      <c r="G28" s="888" t="s">
        <v>139</v>
      </c>
      <c r="H28" s="889">
        <v>0</v>
      </c>
      <c r="I28" s="521" t="s">
        <v>54</v>
      </c>
      <c r="J28" s="889" t="s">
        <v>55</v>
      </c>
      <c r="K28" s="1368" t="s">
        <v>68</v>
      </c>
      <c r="L28" s="986"/>
      <c r="M28" s="963" t="s">
        <v>69</v>
      </c>
      <c r="N28" s="1118"/>
      <c r="O28" s="963" t="s">
        <v>69</v>
      </c>
      <c r="P28" s="953" t="s">
        <v>70</v>
      </c>
      <c r="Q28" s="1370"/>
      <c r="R28" s="1370"/>
      <c r="S28" s="1370"/>
      <c r="T28" s="1370"/>
      <c r="U28" s="1370"/>
      <c r="V28" s="1371">
        <v>311</v>
      </c>
      <c r="W28" s="1371"/>
      <c r="X28" s="1371">
        <f>SUM(V28-W28)</f>
        <v>311</v>
      </c>
      <c r="Y28" s="690">
        <f>IFERROR($W28/$V28, 0)</f>
        <v>0</v>
      </c>
      <c r="Z28" s="1372"/>
      <c r="AA28" s="895">
        <v>0</v>
      </c>
      <c r="AB28" s="895">
        <v>0</v>
      </c>
      <c r="AC28" s="904">
        <v>0</v>
      </c>
      <c r="AD28" s="896" t="s">
        <v>140</v>
      </c>
      <c r="AE28" s="938"/>
      <c r="AF28" s="936"/>
    </row>
    <row r="29" spans="1:32" ht="24.75" customHeight="1">
      <c r="A29" s="886" t="s">
        <v>141</v>
      </c>
      <c r="B29" s="665" t="s">
        <v>133</v>
      </c>
      <c r="C29" s="887">
        <v>46107</v>
      </c>
      <c r="D29" s="887" t="s">
        <v>123</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123</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893">
        <v>3667</v>
      </c>
      <c r="X31" s="893">
        <f t="shared" si="5"/>
        <v>479</v>
      </c>
      <c r="Y31" s="522">
        <f t="shared" si="6"/>
        <v>0.88446695610226722</v>
      </c>
      <c r="Z31" s="903"/>
      <c r="AA31" s="895">
        <v>0</v>
      </c>
      <c r="AB31" s="895">
        <v>0</v>
      </c>
      <c r="AC31" s="893">
        <v>0</v>
      </c>
      <c r="AD31" s="896" t="s">
        <v>152</v>
      </c>
      <c r="AE31" s="938"/>
    </row>
    <row r="32" spans="1:32" ht="24.75" customHeight="1">
      <c r="A32" s="886" t="s">
        <v>153</v>
      </c>
      <c r="B32" s="665" t="s">
        <v>133</v>
      </c>
      <c r="C32" s="887">
        <v>46107</v>
      </c>
      <c r="D32" s="887"/>
      <c r="E32" s="887"/>
      <c r="F32" s="887"/>
      <c r="G32" s="888" t="s">
        <v>154</v>
      </c>
      <c r="H32" s="889">
        <v>54</v>
      </c>
      <c r="I32" s="889" t="s">
        <v>54</v>
      </c>
      <c r="J32" s="889" t="s">
        <v>55</v>
      </c>
      <c r="K32" s="889"/>
      <c r="L32" s="887"/>
      <c r="M32" s="889" t="s">
        <v>56</v>
      </c>
      <c r="N32" s="890">
        <v>58240</v>
      </c>
      <c r="O32" s="889" t="s">
        <v>56</v>
      </c>
      <c r="P32" s="891" t="s">
        <v>65</v>
      </c>
      <c r="Q32" s="1370">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123</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73">
        <v>0</v>
      </c>
      <c r="I43" s="663" t="s">
        <v>54</v>
      </c>
      <c r="J43" s="666" t="s">
        <v>55</v>
      </c>
      <c r="K43" s="1368"/>
      <c r="L43" s="988"/>
      <c r="M43" s="663" t="s">
        <v>56</v>
      </c>
      <c r="N43" s="1374">
        <v>36998.550000000003</v>
      </c>
      <c r="O43" s="663" t="s">
        <v>56</v>
      </c>
      <c r="P43" s="912" t="s">
        <v>70</v>
      </c>
      <c r="Q43" s="1375"/>
      <c r="R43" s="1375"/>
      <c r="S43" s="1375"/>
      <c r="T43" s="1375"/>
      <c r="U43" s="1375"/>
      <c r="V43" s="1376">
        <v>2944</v>
      </c>
      <c r="W43" s="1371"/>
      <c r="X43" s="1371">
        <f>SUM(V43-W43)</f>
        <v>2944</v>
      </c>
      <c r="Y43" s="522">
        <f>IFERROR($W43/$V43, 0)</f>
        <v>0</v>
      </c>
      <c r="Z43" s="1377"/>
      <c r="AA43" s="895">
        <v>0</v>
      </c>
      <c r="AB43" s="895">
        <v>0</v>
      </c>
      <c r="AC43" s="509">
        <v>0</v>
      </c>
      <c r="AD43" s="896"/>
      <c r="AE43" s="941"/>
    </row>
    <row r="44" spans="1:56" ht="24.75" customHeight="1">
      <c r="A44" s="985" t="s">
        <v>185</v>
      </c>
      <c r="B44" s="665" t="s">
        <v>133</v>
      </c>
      <c r="C44" s="986">
        <v>46079</v>
      </c>
      <c r="D44" s="988"/>
      <c r="E44" s="988"/>
      <c r="F44" s="987"/>
      <c r="G44" s="898" t="s">
        <v>186</v>
      </c>
      <c r="H44" s="1373">
        <v>0</v>
      </c>
      <c r="I44" s="663" t="s">
        <v>54</v>
      </c>
      <c r="J44" s="666" t="s">
        <v>55</v>
      </c>
      <c r="K44" s="1368"/>
      <c r="L44" s="988"/>
      <c r="M44" s="663" t="s">
        <v>56</v>
      </c>
      <c r="N44" s="1374">
        <v>49932.800000000003</v>
      </c>
      <c r="O44" s="663" t="s">
        <v>56</v>
      </c>
      <c r="P44" s="912" t="s">
        <v>70</v>
      </c>
      <c r="Q44" s="1375"/>
      <c r="R44" s="1375"/>
      <c r="S44" s="1375"/>
      <c r="T44" s="1375"/>
      <c r="U44" s="1375"/>
      <c r="V44" s="1376">
        <v>4048</v>
      </c>
      <c r="W44" s="1371"/>
      <c r="X44" s="1371">
        <f>SUM(V44-W44)</f>
        <v>4048</v>
      </c>
      <c r="Y44" s="522">
        <f>IFERROR($W44/$V44, 0)</f>
        <v>0</v>
      </c>
      <c r="Z44" s="1377"/>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123</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123</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8"/>
      <c r="L50" s="988"/>
      <c r="M50" s="900" t="s">
        <v>56</v>
      </c>
      <c r="N50" s="1374">
        <v>118710.8</v>
      </c>
      <c r="O50" s="900" t="s">
        <v>56</v>
      </c>
      <c r="P50" s="891" t="s">
        <v>57</v>
      </c>
      <c r="Q50" s="1375">
        <v>46062</v>
      </c>
      <c r="R50" s="1375"/>
      <c r="S50" s="1375"/>
      <c r="T50" s="1375"/>
      <c r="U50" s="1375"/>
      <c r="V50" s="1376">
        <v>9628</v>
      </c>
      <c r="W50" s="1378">
        <v>6978</v>
      </c>
      <c r="X50" s="1371">
        <f>SUM(V50-W50)</f>
        <v>2650</v>
      </c>
      <c r="Y50" s="522">
        <f>IFERROR($W50/$V50, 0)</f>
        <v>0.72476111341919403</v>
      </c>
      <c r="Z50" s="1375">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123</v>
      </c>
      <c r="E52" s="898">
        <v>46077</v>
      </c>
      <c r="F52" s="987"/>
      <c r="G52" s="899" t="s">
        <v>208</v>
      </c>
      <c r="H52" s="1373">
        <v>0</v>
      </c>
      <c r="I52" s="663" t="s">
        <v>54</v>
      </c>
      <c r="J52" s="900" t="s">
        <v>55</v>
      </c>
      <c r="K52" s="1368"/>
      <c r="L52" s="988"/>
      <c r="M52" s="900" t="s">
        <v>56</v>
      </c>
      <c r="N52" s="1374">
        <v>15002.75</v>
      </c>
      <c r="O52" s="900" t="s">
        <v>56</v>
      </c>
      <c r="P52" s="912" t="s">
        <v>65</v>
      </c>
      <c r="Q52" s="1375">
        <v>46077</v>
      </c>
      <c r="R52" s="1375"/>
      <c r="S52" s="1375"/>
      <c r="T52" s="1375"/>
      <c r="U52" s="1375"/>
      <c r="V52" s="1376">
        <v>1175</v>
      </c>
      <c r="W52" s="1371"/>
      <c r="X52" s="1371">
        <f>SUM(V52-W52)</f>
        <v>1175</v>
      </c>
      <c r="Y52" s="522">
        <f>IFERROR($W52/$V52, 0)</f>
        <v>0</v>
      </c>
      <c r="Z52" s="1377"/>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73">
        <v>0</v>
      </c>
      <c r="I53" s="663" t="s">
        <v>54</v>
      </c>
      <c r="J53" s="900" t="s">
        <v>55</v>
      </c>
      <c r="K53" s="1368"/>
      <c r="L53" s="988"/>
      <c r="M53" s="900" t="s">
        <v>56</v>
      </c>
      <c r="N53" s="1374">
        <v>12977.65</v>
      </c>
      <c r="O53" s="900" t="s">
        <v>56</v>
      </c>
      <c r="P53" s="912" t="s">
        <v>70</v>
      </c>
      <c r="Q53" s="1375"/>
      <c r="R53" s="1375"/>
      <c r="S53" s="1375"/>
      <c r="T53" s="1375"/>
      <c r="U53" s="1375"/>
      <c r="V53" s="1376">
        <v>1029</v>
      </c>
      <c r="W53" s="1371"/>
      <c r="X53" s="1371">
        <f>SUM(V53-W53)</f>
        <v>1029</v>
      </c>
      <c r="Y53" s="522">
        <f>IFERROR($W53/$V53, 0)</f>
        <v>0</v>
      </c>
      <c r="Z53" s="1377"/>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216</v>
      </c>
      <c r="B56" s="665" t="s">
        <v>133</v>
      </c>
      <c r="C56" s="986">
        <v>46108</v>
      </c>
      <c r="D56" s="987"/>
      <c r="E56" s="988"/>
      <c r="F56" s="987"/>
      <c r="G56" s="899"/>
      <c r="H56" s="1373">
        <v>107</v>
      </c>
      <c r="I56" s="663" t="s">
        <v>54</v>
      </c>
      <c r="J56" s="959" t="s">
        <v>63</v>
      </c>
      <c r="K56" s="1368" t="s">
        <v>68</v>
      </c>
      <c r="L56" s="988"/>
      <c r="M56" s="963" t="s">
        <v>69</v>
      </c>
      <c r="N56" s="1118"/>
      <c r="O56" s="963" t="s">
        <v>69</v>
      </c>
      <c r="P56" s="953" t="s">
        <v>70</v>
      </c>
      <c r="Q56" s="1375"/>
      <c r="R56" s="1375"/>
      <c r="S56" s="1375"/>
      <c r="T56" s="1375"/>
      <c r="U56" s="1375"/>
      <c r="V56" s="1376">
        <v>9568</v>
      </c>
      <c r="W56" s="1371"/>
      <c r="X56" s="1371">
        <f>SUM(V56-W56)</f>
        <v>9568</v>
      </c>
      <c r="Y56" s="522">
        <f>IFERROR($W56/$V56, 0)</f>
        <v>0</v>
      </c>
      <c r="Z56" s="1377"/>
      <c r="AA56" s="895">
        <v>0</v>
      </c>
      <c r="AB56" s="895">
        <v>0</v>
      </c>
      <c r="AC56" s="904">
        <v>0</v>
      </c>
      <c r="AD56" s="896" t="s">
        <v>217</v>
      </c>
      <c r="AE56" s="941"/>
    </row>
    <row r="57" spans="1:31" ht="24.75" customHeight="1">
      <c r="A57" s="1310" t="s">
        <v>218</v>
      </c>
      <c r="B57" s="665" t="s">
        <v>133</v>
      </c>
      <c r="C57" s="986">
        <v>46174</v>
      </c>
      <c r="D57" s="987"/>
      <c r="E57" s="988"/>
      <c r="F57" s="987"/>
      <c r="G57" s="899"/>
      <c r="H57" s="1373">
        <v>115</v>
      </c>
      <c r="I57" s="663" t="s">
        <v>54</v>
      </c>
      <c r="J57" s="959" t="s">
        <v>63</v>
      </c>
      <c r="K57" s="1368"/>
      <c r="L57" s="988"/>
      <c r="M57" s="900" t="s">
        <v>56</v>
      </c>
      <c r="N57" s="1118">
        <v>125188</v>
      </c>
      <c r="O57" s="900" t="s">
        <v>56</v>
      </c>
      <c r="P57" s="912" t="s">
        <v>70</v>
      </c>
      <c r="Q57" s="1375"/>
      <c r="R57" s="1375"/>
      <c r="S57" s="1375"/>
      <c r="T57" s="1375"/>
      <c r="U57" s="1375"/>
      <c r="V57" s="1376">
        <v>11028</v>
      </c>
      <c r="W57" s="1371"/>
      <c r="X57" s="1371">
        <f>SUM(V57-W57)</f>
        <v>11028</v>
      </c>
      <c r="Y57" s="522">
        <f>IFERROR($W57/$V57, 0)</f>
        <v>0</v>
      </c>
      <c r="Z57" s="1377"/>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98</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98</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98</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6" t="s">
        <v>220</v>
      </c>
      <c r="C61" s="1020">
        <v>46081</v>
      </c>
      <c r="D61" s="1115"/>
      <c r="E61" s="1116"/>
      <c r="F61" s="1115"/>
      <c r="G61" s="1117"/>
      <c r="H61" s="1379">
        <v>0</v>
      </c>
      <c r="I61" s="520" t="s">
        <v>54</v>
      </c>
      <c r="J61" s="963" t="s">
        <v>94</v>
      </c>
      <c r="K61" s="1380" t="s">
        <v>68</v>
      </c>
      <c r="L61" s="1116"/>
      <c r="M61" s="963" t="s">
        <v>69</v>
      </c>
      <c r="N61" s="1118"/>
      <c r="O61" s="963" t="s">
        <v>69</v>
      </c>
      <c r="P61" s="953" t="s">
        <v>70</v>
      </c>
      <c r="Q61" s="1375"/>
      <c r="R61" s="1375"/>
      <c r="S61" s="1375"/>
      <c r="T61" s="1375"/>
      <c r="U61" s="1375"/>
      <c r="V61" s="1381">
        <v>6202</v>
      </c>
      <c r="W61" s="1382"/>
      <c r="X61" s="1382">
        <f>SUM(V61-W61)</f>
        <v>6202</v>
      </c>
      <c r="Y61" s="689">
        <f>IFERROR($W61/$V61, 0)</f>
        <v>0</v>
      </c>
      <c r="Z61" s="1383"/>
      <c r="AA61" s="1100">
        <v>0</v>
      </c>
      <c r="AB61" s="1129">
        <v>0</v>
      </c>
      <c r="AC61" s="950">
        <v>0</v>
      </c>
      <c r="AD61" s="896" t="s">
        <v>230</v>
      </c>
      <c r="AE61" s="941"/>
    </row>
    <row r="62" spans="1:31" ht="24.75" customHeight="1">
      <c r="A62" s="1241" t="s">
        <v>231</v>
      </c>
      <c r="B62" s="1316" t="s">
        <v>220</v>
      </c>
      <c r="C62" s="986">
        <v>46172</v>
      </c>
      <c r="D62" s="987"/>
      <c r="E62" s="988"/>
      <c r="F62" s="987"/>
      <c r="G62" s="899"/>
      <c r="H62" s="1373">
        <v>402</v>
      </c>
      <c r="I62" s="520" t="s">
        <v>54</v>
      </c>
      <c r="J62" s="963" t="s">
        <v>94</v>
      </c>
      <c r="K62" s="1380" t="s">
        <v>68</v>
      </c>
      <c r="L62" s="988"/>
      <c r="M62" s="1013" t="s">
        <v>69</v>
      </c>
      <c r="N62" s="1336"/>
      <c r="O62" s="1013" t="s">
        <v>69</v>
      </c>
      <c r="P62" s="953" t="s">
        <v>70</v>
      </c>
      <c r="Q62" s="1375"/>
      <c r="R62" s="1375"/>
      <c r="S62" s="1375"/>
      <c r="T62" s="1375"/>
      <c r="U62" s="1375"/>
      <c r="V62" s="1376">
        <v>30807</v>
      </c>
      <c r="W62" s="1371"/>
      <c r="X62" s="1371">
        <f>SUM(V62-W62)</f>
        <v>30807</v>
      </c>
      <c r="Y62" s="522">
        <f>IFERROR($W62/$V62, 0)</f>
        <v>0</v>
      </c>
      <c r="Z62" s="1375"/>
      <c r="AA62" s="1100">
        <v>0</v>
      </c>
      <c r="AB62" s="1129">
        <v>0</v>
      </c>
      <c r="AC62" s="950">
        <v>0</v>
      </c>
      <c r="AD62" s="896"/>
      <c r="AE62" s="941"/>
    </row>
    <row r="63" spans="1:31" ht="24.75" customHeight="1">
      <c r="A63" s="1117" t="s">
        <v>232</v>
      </c>
      <c r="B63" s="1317" t="s">
        <v>233</v>
      </c>
      <c r="C63" s="986">
        <v>46111</v>
      </c>
      <c r="D63" s="987"/>
      <c r="E63" s="988"/>
      <c r="F63" s="987"/>
      <c r="G63" s="899" t="s">
        <v>234</v>
      </c>
      <c r="H63" s="1379">
        <v>0</v>
      </c>
      <c r="I63" s="520" t="s">
        <v>54</v>
      </c>
      <c r="J63" s="963" t="s">
        <v>55</v>
      </c>
      <c r="K63" s="1380"/>
      <c r="L63" s="988"/>
      <c r="M63" s="963" t="s">
        <v>56</v>
      </c>
      <c r="N63" s="1118">
        <v>12316.35</v>
      </c>
      <c r="O63" s="963" t="s">
        <v>56</v>
      </c>
      <c r="P63" s="953" t="s">
        <v>70</v>
      </c>
      <c r="Q63" s="1375"/>
      <c r="R63" s="1375"/>
      <c r="S63" s="1375"/>
      <c r="T63" s="1375"/>
      <c r="U63" s="1375"/>
      <c r="V63" s="1376">
        <v>47</v>
      </c>
      <c r="W63" s="1371"/>
      <c r="X63" s="1371">
        <f>SUM(V63-W63)</f>
        <v>47</v>
      </c>
      <c r="Y63" s="522">
        <f>IFERROR($W63/$V63, 0)</f>
        <v>0</v>
      </c>
      <c r="Z63" s="1383"/>
      <c r="AA63" s="1100">
        <v>0</v>
      </c>
      <c r="AB63" s="1129">
        <v>0</v>
      </c>
      <c r="AC63" s="950">
        <v>0</v>
      </c>
      <c r="AD63" s="896" t="s">
        <v>235</v>
      </c>
      <c r="AE63" s="941"/>
    </row>
    <row r="64" spans="1:31" ht="24.75" customHeight="1">
      <c r="A64" s="1117" t="s">
        <v>236</v>
      </c>
      <c r="B64" s="1317" t="s">
        <v>233</v>
      </c>
      <c r="C64" s="986">
        <v>46111</v>
      </c>
      <c r="D64" s="987"/>
      <c r="E64" s="988"/>
      <c r="F64" s="987"/>
      <c r="G64" s="899" t="s">
        <v>237</v>
      </c>
      <c r="H64" s="1379">
        <v>0</v>
      </c>
      <c r="I64" s="520" t="s">
        <v>54</v>
      </c>
      <c r="J64" s="963" t="s">
        <v>55</v>
      </c>
      <c r="K64" s="1380"/>
      <c r="L64" s="988"/>
      <c r="M64" s="963" t="s">
        <v>56</v>
      </c>
      <c r="N64" s="1118">
        <v>151170.79999999999</v>
      </c>
      <c r="O64" s="963" t="s">
        <v>56</v>
      </c>
      <c r="P64" s="953" t="s">
        <v>70</v>
      </c>
      <c r="Q64" s="1375"/>
      <c r="R64" s="1375"/>
      <c r="S64" s="1375"/>
      <c r="T64" s="1375"/>
      <c r="U64" s="1375"/>
      <c r="V64" s="1376">
        <v>11789</v>
      </c>
      <c r="W64" s="1371"/>
      <c r="X64" s="1371">
        <f>SUM(V64-W64)</f>
        <v>11789</v>
      </c>
      <c r="Y64" s="522">
        <f>IFERROR($W64/$V64, 0)</f>
        <v>0</v>
      </c>
      <c r="Z64" s="1383"/>
      <c r="AA64" s="1100">
        <v>0</v>
      </c>
      <c r="AB64" s="1129">
        <v>0</v>
      </c>
      <c r="AC64" s="950">
        <v>0</v>
      </c>
      <c r="AD64" s="896" t="s">
        <v>235</v>
      </c>
      <c r="AE64" s="941"/>
    </row>
    <row r="65" spans="1:31" ht="24.75" customHeight="1">
      <c r="A65" s="1318" t="s">
        <v>238</v>
      </c>
      <c r="B65" s="1317" t="s">
        <v>233</v>
      </c>
      <c r="C65" s="986">
        <v>46111</v>
      </c>
      <c r="D65" s="987"/>
      <c r="E65" s="988"/>
      <c r="F65" s="987"/>
      <c r="G65" s="899" t="s">
        <v>239</v>
      </c>
      <c r="H65" s="1379">
        <v>0</v>
      </c>
      <c r="I65" s="520" t="s">
        <v>54</v>
      </c>
      <c r="J65" s="963" t="s">
        <v>55</v>
      </c>
      <c r="K65" s="1380"/>
      <c r="L65" s="988"/>
      <c r="M65" s="963" t="s">
        <v>56</v>
      </c>
      <c r="N65" s="1118">
        <v>24122.75</v>
      </c>
      <c r="O65" s="963" t="s">
        <v>56</v>
      </c>
      <c r="P65" s="953" t="s">
        <v>70</v>
      </c>
      <c r="Q65" s="1375"/>
      <c r="R65" s="1375"/>
      <c r="S65" s="1375"/>
      <c r="T65" s="1375"/>
      <c r="U65" s="1375"/>
      <c r="V65" s="1376">
        <v>1925</v>
      </c>
      <c r="W65" s="1371"/>
      <c r="X65" s="1371">
        <f>SUM(V65-W65)</f>
        <v>1925</v>
      </c>
      <c r="Y65" s="522">
        <f>IFERROR($W65/$V65, 0)</f>
        <v>0</v>
      </c>
      <c r="Z65" s="1383"/>
      <c r="AA65" s="1100">
        <v>0</v>
      </c>
      <c r="AB65" s="1129">
        <v>0</v>
      </c>
      <c r="AC65" s="950">
        <v>0</v>
      </c>
      <c r="AD65" s="896" t="s">
        <v>235</v>
      </c>
      <c r="AE65" s="941"/>
    </row>
    <row r="66" spans="1:31" ht="24.75" customHeight="1">
      <c r="A66" s="985" t="s">
        <v>240</v>
      </c>
      <c r="B66" s="1317" t="s">
        <v>233</v>
      </c>
      <c r="C66" s="986">
        <v>46111</v>
      </c>
      <c r="D66" s="987"/>
      <c r="E66" s="988"/>
      <c r="F66" s="987"/>
      <c r="G66" s="899" t="s">
        <v>241</v>
      </c>
      <c r="H66" s="1379">
        <v>0</v>
      </c>
      <c r="I66" s="520" t="s">
        <v>54</v>
      </c>
      <c r="J66" s="963" t="s">
        <v>55</v>
      </c>
      <c r="K66" s="1380"/>
      <c r="L66" s="988"/>
      <c r="M66" s="963" t="s">
        <v>56</v>
      </c>
      <c r="N66" s="1118">
        <v>26639.1</v>
      </c>
      <c r="O66" s="963" t="s">
        <v>56</v>
      </c>
      <c r="P66" s="953" t="s">
        <v>70</v>
      </c>
      <c r="Q66" s="1375"/>
      <c r="R66" s="1375"/>
      <c r="S66" s="1375"/>
      <c r="T66" s="1375"/>
      <c r="U66" s="1375"/>
      <c r="V66" s="1376">
        <v>2136</v>
      </c>
      <c r="W66" s="1371"/>
      <c r="X66" s="1371">
        <f>SUM(V66-W66)</f>
        <v>2136</v>
      </c>
      <c r="Y66" s="522">
        <f>IFERROR($W66/$V66, 0)</f>
        <v>0</v>
      </c>
      <c r="Z66" s="1383"/>
      <c r="AA66" s="1100">
        <v>0</v>
      </c>
      <c r="AB66" s="1129">
        <v>0</v>
      </c>
      <c r="AC66" s="950">
        <v>0</v>
      </c>
      <c r="AD66" s="896" t="s">
        <v>235</v>
      </c>
      <c r="AE66" s="941"/>
    </row>
    <row r="67" spans="1:31" ht="24.75" customHeight="1">
      <c r="A67" s="985" t="s">
        <v>242</v>
      </c>
      <c r="B67" s="1317" t="s">
        <v>233</v>
      </c>
      <c r="C67" s="986">
        <v>46111</v>
      </c>
      <c r="D67" s="987"/>
      <c r="E67" s="988"/>
      <c r="F67" s="987"/>
      <c r="G67" s="899" t="s">
        <v>243</v>
      </c>
      <c r="H67" s="1379">
        <v>0</v>
      </c>
      <c r="I67" s="520" t="s">
        <v>54</v>
      </c>
      <c r="J67" s="963" t="s">
        <v>55</v>
      </c>
      <c r="K67" s="1380"/>
      <c r="L67" s="988"/>
      <c r="M67" s="963" t="s">
        <v>56</v>
      </c>
      <c r="N67" s="1118">
        <v>1698.25</v>
      </c>
      <c r="O67" s="963" t="s">
        <v>56</v>
      </c>
      <c r="P67" s="953" t="s">
        <v>70</v>
      </c>
      <c r="Q67" s="1375"/>
      <c r="R67" s="1375"/>
      <c r="S67" s="1375"/>
      <c r="T67" s="1375"/>
      <c r="U67" s="1375"/>
      <c r="V67" s="1376">
        <v>105</v>
      </c>
      <c r="W67" s="1371"/>
      <c r="X67" s="1371">
        <f>SUM(V67-W67)</f>
        <v>105</v>
      </c>
      <c r="Y67" s="522">
        <f>IFERROR($W67/$V67, 0)</f>
        <v>0</v>
      </c>
      <c r="Z67" s="1383"/>
      <c r="AA67" s="1100">
        <v>0</v>
      </c>
      <c r="AB67" s="1129">
        <v>0</v>
      </c>
      <c r="AC67" s="950">
        <v>0</v>
      </c>
      <c r="AD67" s="896" t="s">
        <v>235</v>
      </c>
      <c r="AE67" s="941"/>
    </row>
    <row r="68" spans="1:31" ht="24.75" customHeight="1">
      <c r="A68" s="1241" t="s">
        <v>244</v>
      </c>
      <c r="B68" s="1317" t="s">
        <v>233</v>
      </c>
      <c r="C68" s="986">
        <v>46111</v>
      </c>
      <c r="D68" s="987"/>
      <c r="E68" s="988"/>
      <c r="F68" s="987"/>
      <c r="G68" s="899" t="s">
        <v>245</v>
      </c>
      <c r="H68" s="1379">
        <v>0</v>
      </c>
      <c r="I68" s="520" t="s">
        <v>54</v>
      </c>
      <c r="J68" s="963" t="s">
        <v>94</v>
      </c>
      <c r="K68" s="1380" t="s">
        <v>68</v>
      </c>
      <c r="L68" s="988"/>
      <c r="M68" s="963" t="s">
        <v>69</v>
      </c>
      <c r="N68" s="1118">
        <v>5779.1</v>
      </c>
      <c r="O68" s="963" t="s">
        <v>56</v>
      </c>
      <c r="P68" s="953" t="s">
        <v>70</v>
      </c>
      <c r="Q68" s="1375"/>
      <c r="R68" s="1375"/>
      <c r="S68" s="1375"/>
      <c r="T68" s="1375"/>
      <c r="U68" s="1375"/>
      <c r="V68" s="1376">
        <v>406</v>
      </c>
      <c r="W68" s="1371"/>
      <c r="X68" s="1371">
        <f>SUM(V68-W68)</f>
        <v>406</v>
      </c>
      <c r="Y68" s="522">
        <f>IFERROR($W68/$V68, 0)</f>
        <v>0</v>
      </c>
      <c r="Z68" s="1383"/>
      <c r="AA68" s="1100">
        <v>0</v>
      </c>
      <c r="AB68" s="1129">
        <v>0</v>
      </c>
      <c r="AC68" s="950">
        <v>0</v>
      </c>
      <c r="AD68" s="896" t="s">
        <v>235</v>
      </c>
      <c r="AE68" s="941"/>
    </row>
    <row r="69" spans="1:31" ht="24.75" customHeight="1">
      <c r="A69" s="1241" t="s">
        <v>246</v>
      </c>
      <c r="B69" s="1317" t="s">
        <v>233</v>
      </c>
      <c r="C69" s="986">
        <v>46111</v>
      </c>
      <c r="D69" s="987"/>
      <c r="E69" s="988"/>
      <c r="F69" s="987"/>
      <c r="G69" s="899" t="s">
        <v>247</v>
      </c>
      <c r="H69" s="1379">
        <v>0</v>
      </c>
      <c r="I69" s="520" t="s">
        <v>54</v>
      </c>
      <c r="J69" s="963" t="s">
        <v>94</v>
      </c>
      <c r="K69" s="1380" t="s">
        <v>68</v>
      </c>
      <c r="L69" s="988"/>
      <c r="M69" s="963" t="s">
        <v>69</v>
      </c>
      <c r="N69" s="1118"/>
      <c r="O69" s="963" t="s">
        <v>56</v>
      </c>
      <c r="P69" s="953" t="s">
        <v>70</v>
      </c>
      <c r="Q69" s="1375"/>
      <c r="R69" s="1375"/>
      <c r="S69" s="1375"/>
      <c r="T69" s="1375"/>
      <c r="U69" s="1375"/>
      <c r="V69" s="1376">
        <v>508</v>
      </c>
      <c r="W69" s="1371"/>
      <c r="X69" s="1371">
        <f>SUM(V69-W69)</f>
        <v>508</v>
      </c>
      <c r="Y69" s="522">
        <f>IFERROR($W69/$V69, 0)</f>
        <v>0</v>
      </c>
      <c r="Z69" s="1383"/>
      <c r="AA69" s="1100">
        <v>0</v>
      </c>
      <c r="AB69" s="1129">
        <v>0</v>
      </c>
      <c r="AC69" s="950">
        <v>0</v>
      </c>
      <c r="AD69" s="896" t="s">
        <v>248</v>
      </c>
      <c r="AE69" s="941"/>
    </row>
    <row r="70" spans="1:31" ht="24.75" customHeight="1">
      <c r="A70" s="985" t="s">
        <v>249</v>
      </c>
      <c r="B70" s="1317" t="s">
        <v>233</v>
      </c>
      <c r="C70" s="986">
        <v>46111</v>
      </c>
      <c r="D70" s="987"/>
      <c r="E70" s="988"/>
      <c r="F70" s="987"/>
      <c r="G70" s="899" t="s">
        <v>250</v>
      </c>
      <c r="H70" s="1379">
        <v>0</v>
      </c>
      <c r="I70" s="520" t="s">
        <v>54</v>
      </c>
      <c r="J70" s="963" t="s">
        <v>94</v>
      </c>
      <c r="K70" s="1380"/>
      <c r="L70" s="988"/>
      <c r="M70" s="963" t="s">
        <v>56</v>
      </c>
      <c r="N70" s="1118">
        <v>9496.2000000000007</v>
      </c>
      <c r="O70" s="963" t="s">
        <v>56</v>
      </c>
      <c r="P70" s="953" t="s">
        <v>70</v>
      </c>
      <c r="Q70" s="1375"/>
      <c r="R70" s="1375"/>
      <c r="S70" s="1375"/>
      <c r="T70" s="1375"/>
      <c r="U70" s="1375"/>
      <c r="V70" s="1376">
        <v>742</v>
      </c>
      <c r="W70" s="1371"/>
      <c r="X70" s="1371">
        <f>SUM(V70-W70)</f>
        <v>742</v>
      </c>
      <c r="Y70" s="522">
        <f>IFERROR($W70/$V70, 0)</f>
        <v>0</v>
      </c>
      <c r="Z70" s="1383"/>
      <c r="AA70" s="1100">
        <v>0</v>
      </c>
      <c r="AB70" s="1129">
        <v>0</v>
      </c>
      <c r="AC70" s="950">
        <v>0</v>
      </c>
      <c r="AD70" s="896" t="s">
        <v>235</v>
      </c>
      <c r="AE70" s="941"/>
    </row>
    <row r="71" spans="1:31" ht="24.75" customHeight="1">
      <c r="A71" s="1241" t="s">
        <v>251</v>
      </c>
      <c r="B71" s="1317" t="s">
        <v>233</v>
      </c>
      <c r="C71" s="986">
        <v>46111</v>
      </c>
      <c r="D71" s="987"/>
      <c r="E71" s="988"/>
      <c r="F71" s="987"/>
      <c r="G71" s="899" t="s">
        <v>252</v>
      </c>
      <c r="H71" s="1379">
        <v>0</v>
      </c>
      <c r="I71" s="520" t="s">
        <v>54</v>
      </c>
      <c r="J71" s="963" t="s">
        <v>94</v>
      </c>
      <c r="K71" s="1380" t="s">
        <v>68</v>
      </c>
      <c r="L71" s="988"/>
      <c r="M71" s="963" t="s">
        <v>69</v>
      </c>
      <c r="N71" s="1118">
        <v>16760.150000000001</v>
      </c>
      <c r="O71" s="963" t="s">
        <v>56</v>
      </c>
      <c r="P71" s="953" t="s">
        <v>70</v>
      </c>
      <c r="Q71" s="1375"/>
      <c r="R71" s="1375"/>
      <c r="S71" s="1375"/>
      <c r="T71" s="1375"/>
      <c r="U71" s="1375"/>
      <c r="V71" s="1376">
        <v>1329</v>
      </c>
      <c r="W71" s="1371"/>
      <c r="X71" s="1371">
        <f>SUM(V71-W71)</f>
        <v>1329</v>
      </c>
      <c r="Y71" s="522">
        <f>IFERROR($W71/$V71, 0)</f>
        <v>0</v>
      </c>
      <c r="Z71" s="1383"/>
      <c r="AA71" s="1100">
        <v>0</v>
      </c>
      <c r="AB71" s="1129">
        <v>0</v>
      </c>
      <c r="AC71" s="950">
        <v>0</v>
      </c>
      <c r="AD71" s="896" t="s">
        <v>248</v>
      </c>
      <c r="AE71" s="941"/>
    </row>
    <row r="72" spans="1:31" ht="24.75" customHeight="1">
      <c r="A72" s="1241" t="s">
        <v>253</v>
      </c>
      <c r="B72" s="1317" t="s">
        <v>233</v>
      </c>
      <c r="C72" s="986">
        <v>46111</v>
      </c>
      <c r="D72" s="987"/>
      <c r="E72" s="988"/>
      <c r="F72" s="987"/>
      <c r="G72" s="899" t="s">
        <v>247</v>
      </c>
      <c r="H72" s="1379">
        <v>0</v>
      </c>
      <c r="I72" s="520" t="s">
        <v>54</v>
      </c>
      <c r="J72" s="963" t="s">
        <v>94</v>
      </c>
      <c r="K72" s="1380" t="s">
        <v>68</v>
      </c>
      <c r="L72" s="988"/>
      <c r="M72" s="963" t="s">
        <v>69</v>
      </c>
      <c r="N72" s="1118">
        <v>14178.2</v>
      </c>
      <c r="O72" s="963" t="s">
        <v>56</v>
      </c>
      <c r="P72" s="953" t="s">
        <v>70</v>
      </c>
      <c r="Q72" s="1375"/>
      <c r="R72" s="1375"/>
      <c r="S72" s="1375"/>
      <c r="T72" s="1375"/>
      <c r="U72" s="1375"/>
      <c r="V72" s="1376">
        <v>1124</v>
      </c>
      <c r="W72" s="1371"/>
      <c r="X72" s="1371">
        <f>SUM(V72-W72)</f>
        <v>1124</v>
      </c>
      <c r="Y72" s="522">
        <f>IFERROR($W72/$V72, 0)</f>
        <v>0</v>
      </c>
      <c r="Z72" s="1383"/>
      <c r="AA72" s="1100">
        <v>0</v>
      </c>
      <c r="AB72" s="1129">
        <v>0</v>
      </c>
      <c r="AC72" s="950">
        <v>0</v>
      </c>
      <c r="AD72" s="896" t="s">
        <v>248</v>
      </c>
      <c r="AE72" s="941"/>
    </row>
    <row r="73" spans="1:31" ht="24.75" customHeight="1">
      <c r="A73" s="985" t="s">
        <v>254</v>
      </c>
      <c r="B73" s="1317" t="s">
        <v>233</v>
      </c>
      <c r="C73" s="986">
        <v>46111</v>
      </c>
      <c r="D73" s="987"/>
      <c r="E73" s="988"/>
      <c r="F73" s="987"/>
      <c r="G73" s="899"/>
      <c r="H73" s="1379">
        <v>0</v>
      </c>
      <c r="I73" s="520" t="s">
        <v>54</v>
      </c>
      <c r="J73" s="963" t="s">
        <v>94</v>
      </c>
      <c r="K73" s="1380" t="s">
        <v>68</v>
      </c>
      <c r="L73" s="988"/>
      <c r="M73" s="963" t="s">
        <v>69</v>
      </c>
      <c r="N73" s="1118"/>
      <c r="O73" s="963" t="s">
        <v>69</v>
      </c>
      <c r="P73" s="953" t="s">
        <v>70</v>
      </c>
      <c r="Q73" s="1375"/>
      <c r="R73" s="1375"/>
      <c r="S73" s="1375"/>
      <c r="T73" s="1375"/>
      <c r="U73" s="1375"/>
      <c r="V73" s="1381"/>
      <c r="W73" s="1382"/>
      <c r="X73" s="1382">
        <f>SUM(V73-W73)</f>
        <v>0</v>
      </c>
      <c r="Y73" s="689">
        <f>IFERROR($W73/$V73, 0)</f>
        <v>0</v>
      </c>
      <c r="Z73" s="1383"/>
      <c r="AA73" s="1100">
        <v>0</v>
      </c>
      <c r="AB73" s="1129">
        <v>0</v>
      </c>
      <c r="AC73" s="950">
        <v>0</v>
      </c>
      <c r="AD73" s="896" t="s">
        <v>255</v>
      </c>
      <c r="AE73" s="941"/>
    </row>
    <row r="74" spans="1:31" ht="24.75" customHeight="1">
      <c r="A74" s="985" t="s">
        <v>256</v>
      </c>
      <c r="B74" s="1317" t="s">
        <v>233</v>
      </c>
      <c r="C74" s="986">
        <v>46111</v>
      </c>
      <c r="D74" s="987"/>
      <c r="E74" s="988"/>
      <c r="F74" s="987"/>
      <c r="G74" s="899"/>
      <c r="H74" s="1379">
        <v>0</v>
      </c>
      <c r="I74" s="520" t="s">
        <v>54</v>
      </c>
      <c r="J74" s="963" t="s">
        <v>94</v>
      </c>
      <c r="K74" s="1380" t="s">
        <v>68</v>
      </c>
      <c r="L74" s="988"/>
      <c r="M74" s="963" t="s">
        <v>69</v>
      </c>
      <c r="N74" s="1118"/>
      <c r="O74" s="963" t="s">
        <v>69</v>
      </c>
      <c r="P74" s="953" t="s">
        <v>70</v>
      </c>
      <c r="Q74" s="1375"/>
      <c r="R74" s="1375"/>
      <c r="S74" s="1375"/>
      <c r="T74" s="1375"/>
      <c r="U74" s="1375"/>
      <c r="V74" s="1381"/>
      <c r="W74" s="1382"/>
      <c r="X74" s="1382">
        <f>SUM(V74-W74)</f>
        <v>0</v>
      </c>
      <c r="Y74" s="517">
        <f>IFERROR($W74/$V74, 0)</f>
        <v>0</v>
      </c>
      <c r="Z74" s="1384"/>
      <c r="AA74" s="1320">
        <v>0</v>
      </c>
      <c r="AB74" s="1129">
        <v>0</v>
      </c>
      <c r="AC74" s="950">
        <v>0</v>
      </c>
      <c r="AD74" s="896" t="s">
        <v>255</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67">
        <v>4763</v>
      </c>
      <c r="X78" s="935">
        <f>SUM(V78-W78)</f>
        <v>7479</v>
      </c>
      <c r="Y78" s="701">
        <f>IFERROR($W78/$V78, 0)</f>
        <v>0.38907041333115505</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98</v>
      </c>
      <c r="L82" s="1020"/>
      <c r="M82" s="963" t="s">
        <v>69</v>
      </c>
      <c r="N82" s="1118"/>
      <c r="O82" s="963" t="s">
        <v>69</v>
      </c>
      <c r="P82" s="953" t="s">
        <v>70</v>
      </c>
      <c r="Q82" s="1385"/>
      <c r="R82" s="1003"/>
      <c r="S82" s="1003"/>
      <c r="T82" s="1003"/>
      <c r="U82" s="1003"/>
      <c r="V82" s="972">
        <v>4564</v>
      </c>
      <c r="W82" s="935"/>
      <c r="X82" s="972">
        <v>4564</v>
      </c>
      <c r="Y82" s="866"/>
      <c r="Z82" s="1386"/>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98</v>
      </c>
      <c r="L83" s="1020"/>
      <c r="M83" s="963" t="s">
        <v>69</v>
      </c>
      <c r="N83" s="1118"/>
      <c r="O83" s="963" t="s">
        <v>69</v>
      </c>
      <c r="P83" s="953" t="s">
        <v>70</v>
      </c>
      <c r="Q83" s="1385"/>
      <c r="R83" s="1003"/>
      <c r="S83" s="1003"/>
      <c r="T83" s="1003"/>
      <c r="U83" s="1003"/>
      <c r="V83" s="972">
        <v>5936</v>
      </c>
      <c r="W83" s="935"/>
      <c r="X83" s="972">
        <v>5936</v>
      </c>
      <c r="Y83" s="866"/>
      <c r="Z83" s="1386"/>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98</v>
      </c>
      <c r="L84" s="1020"/>
      <c r="M84" s="963" t="s">
        <v>56</v>
      </c>
      <c r="N84" s="1118">
        <v>82732</v>
      </c>
      <c r="O84" s="963" t="s">
        <v>56</v>
      </c>
      <c r="P84" s="953" t="s">
        <v>70</v>
      </c>
      <c r="Q84" s="1385"/>
      <c r="R84" s="1003"/>
      <c r="S84" s="1003"/>
      <c r="T84" s="1003"/>
      <c r="U84" s="1003"/>
      <c r="V84" s="972">
        <v>7117</v>
      </c>
      <c r="W84" s="935"/>
      <c r="X84" s="972">
        <v>7117</v>
      </c>
      <c r="Y84" s="866"/>
      <c r="Z84" s="1386"/>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98</v>
      </c>
      <c r="L85" s="1020"/>
      <c r="M85" s="963" t="s">
        <v>56</v>
      </c>
      <c r="N85" s="1118">
        <v>110980</v>
      </c>
      <c r="O85" s="963" t="s">
        <v>56</v>
      </c>
      <c r="P85" s="953" t="s">
        <v>70</v>
      </c>
      <c r="Q85" s="1385"/>
      <c r="R85" s="1003"/>
      <c r="S85" s="1003"/>
      <c r="T85" s="1003"/>
      <c r="U85" s="1003"/>
      <c r="V85" s="972">
        <v>9590</v>
      </c>
      <c r="W85" s="935"/>
      <c r="X85" s="972">
        <v>9590</v>
      </c>
      <c r="Y85" s="866"/>
      <c r="Z85" s="1386"/>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98</v>
      </c>
      <c r="L86" s="1020"/>
      <c r="M86" s="963" t="s">
        <v>56</v>
      </c>
      <c r="N86" s="1118">
        <v>108948</v>
      </c>
      <c r="O86" s="963" t="s">
        <v>56</v>
      </c>
      <c r="P86" s="953" t="s">
        <v>70</v>
      </c>
      <c r="Q86" s="1385"/>
      <c r="R86" s="1003"/>
      <c r="S86" s="1003"/>
      <c r="T86" s="1003"/>
      <c r="U86" s="1003"/>
      <c r="V86" s="972">
        <v>9329</v>
      </c>
      <c r="W86" s="935"/>
      <c r="X86" s="972">
        <v>9329</v>
      </c>
      <c r="Y86" s="866"/>
      <c r="Z86" s="1386"/>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98</v>
      </c>
      <c r="L87" s="1020"/>
      <c r="M87" s="963" t="s">
        <v>56</v>
      </c>
      <c r="N87" s="1118">
        <v>116114</v>
      </c>
      <c r="O87" s="963" t="s">
        <v>56</v>
      </c>
      <c r="P87" s="953" t="s">
        <v>70</v>
      </c>
      <c r="Q87" s="1385"/>
      <c r="R87" s="1003"/>
      <c r="S87" s="1003"/>
      <c r="T87" s="1003"/>
      <c r="U87" s="1003"/>
      <c r="V87" s="972">
        <v>9709</v>
      </c>
      <c r="W87" s="935"/>
      <c r="X87" s="972">
        <v>9709</v>
      </c>
      <c r="Y87" s="866"/>
      <c r="Z87" s="1386"/>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98</v>
      </c>
      <c r="L88" s="1020"/>
      <c r="M88" s="963" t="s">
        <v>56</v>
      </c>
      <c r="N88" s="1118">
        <v>108665</v>
      </c>
      <c r="O88" s="963" t="s">
        <v>56</v>
      </c>
      <c r="P88" s="953" t="s">
        <v>70</v>
      </c>
      <c r="Q88" s="1385"/>
      <c r="R88" s="1003"/>
      <c r="S88" s="1003"/>
      <c r="T88" s="1003"/>
      <c r="U88" s="1003"/>
      <c r="V88" s="972">
        <v>9263</v>
      </c>
      <c r="W88" s="935"/>
      <c r="X88" s="972">
        <v>9263</v>
      </c>
      <c r="Y88" s="866"/>
      <c r="Z88" s="1386"/>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98</v>
      </c>
      <c r="L89" s="1020"/>
      <c r="M89" s="963" t="s">
        <v>56</v>
      </c>
      <c r="N89" s="1118">
        <v>120731</v>
      </c>
      <c r="O89" s="963" t="s">
        <v>56</v>
      </c>
      <c r="P89" s="953" t="s">
        <v>70</v>
      </c>
      <c r="Q89" s="1385"/>
      <c r="R89" s="1003"/>
      <c r="S89" s="1003"/>
      <c r="T89" s="1003"/>
      <c r="U89" s="1003"/>
      <c r="V89" s="972">
        <v>10385</v>
      </c>
      <c r="W89" s="935"/>
      <c r="X89" s="972">
        <v>10385</v>
      </c>
      <c r="Y89" s="866"/>
      <c r="Z89" s="1386"/>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98</v>
      </c>
      <c r="L90" s="1020"/>
      <c r="M90" s="963" t="s">
        <v>56</v>
      </c>
      <c r="N90" s="1118">
        <v>111864</v>
      </c>
      <c r="O90" s="963" t="s">
        <v>56</v>
      </c>
      <c r="P90" s="953" t="s">
        <v>70</v>
      </c>
      <c r="Q90" s="1385"/>
      <c r="R90" s="1003"/>
      <c r="S90" s="1003"/>
      <c r="T90" s="1003"/>
      <c r="U90" s="1003"/>
      <c r="V90" s="972">
        <v>9398</v>
      </c>
      <c r="W90" s="935"/>
      <c r="X90" s="972">
        <v>9398</v>
      </c>
      <c r="Y90" s="866"/>
      <c r="Z90" s="1386"/>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98</v>
      </c>
      <c r="L91" s="1020"/>
      <c r="M91" s="963" t="s">
        <v>56</v>
      </c>
      <c r="N91" s="1118">
        <v>88533.5</v>
      </c>
      <c r="O91" s="963" t="s">
        <v>56</v>
      </c>
      <c r="P91" s="953" t="s">
        <v>70</v>
      </c>
      <c r="Q91" s="1385"/>
      <c r="R91" s="1003"/>
      <c r="S91" s="1003"/>
      <c r="T91" s="1003"/>
      <c r="U91" s="1003"/>
      <c r="V91" s="972">
        <v>7517</v>
      </c>
      <c r="W91" s="935"/>
      <c r="X91" s="972">
        <v>7517</v>
      </c>
      <c r="Y91" s="866"/>
      <c r="Z91" s="1386"/>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98</v>
      </c>
      <c r="L92" s="1020"/>
      <c r="M92" s="963" t="s">
        <v>56</v>
      </c>
      <c r="N92" s="1118">
        <v>75143.5</v>
      </c>
      <c r="O92" s="963" t="s">
        <v>56</v>
      </c>
      <c r="P92" s="953" t="s">
        <v>70</v>
      </c>
      <c r="Q92" s="1385"/>
      <c r="R92" s="1003"/>
      <c r="S92" s="1003"/>
      <c r="T92" s="1003"/>
      <c r="U92" s="1003"/>
      <c r="V92" s="972">
        <v>5920</v>
      </c>
      <c r="W92" s="935"/>
      <c r="X92" s="972">
        <v>5920</v>
      </c>
      <c r="Y92" s="866"/>
      <c r="Z92" s="1386"/>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98</v>
      </c>
      <c r="L93" s="1020"/>
      <c r="M93" s="963" t="s">
        <v>56</v>
      </c>
      <c r="N93" s="1118">
        <v>66890</v>
      </c>
      <c r="O93" s="963" t="s">
        <v>56</v>
      </c>
      <c r="P93" s="953" t="s">
        <v>70</v>
      </c>
      <c r="Q93" s="1385"/>
      <c r="R93" s="1003"/>
      <c r="S93" s="1003"/>
      <c r="T93" s="1003"/>
      <c r="U93" s="1003"/>
      <c r="V93" s="972">
        <v>5589</v>
      </c>
      <c r="W93" s="935"/>
      <c r="X93" s="972">
        <v>5589</v>
      </c>
      <c r="Y93" s="866"/>
      <c r="Z93" s="1386"/>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98</v>
      </c>
      <c r="L94" s="1020"/>
      <c r="M94" s="963" t="s">
        <v>56</v>
      </c>
      <c r="N94" s="1118">
        <v>65974</v>
      </c>
      <c r="O94" s="963" t="s">
        <v>56</v>
      </c>
      <c r="P94" s="953" t="s">
        <v>70</v>
      </c>
      <c r="Q94" s="1385"/>
      <c r="R94" s="1003"/>
      <c r="S94" s="1003"/>
      <c r="T94" s="1003"/>
      <c r="U94" s="1003"/>
      <c r="V94" s="972">
        <v>5515</v>
      </c>
      <c r="W94" s="935"/>
      <c r="X94" s="972">
        <v>5515</v>
      </c>
      <c r="Y94" s="866"/>
      <c r="Z94" s="1386"/>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98</v>
      </c>
      <c r="L95" s="1020"/>
      <c r="M95" s="963" t="s">
        <v>56</v>
      </c>
      <c r="N95" s="1118">
        <v>63989.5</v>
      </c>
      <c r="O95" s="963" t="s">
        <v>56</v>
      </c>
      <c r="P95" s="953" t="s">
        <v>70</v>
      </c>
      <c r="Q95" s="1385"/>
      <c r="R95" s="1003"/>
      <c r="S95" s="1003"/>
      <c r="T95" s="1003"/>
      <c r="U95" s="1003"/>
      <c r="V95" s="972">
        <v>5191</v>
      </c>
      <c r="W95" s="935"/>
      <c r="X95" s="972">
        <v>5191</v>
      </c>
      <c r="Y95" s="866"/>
      <c r="Z95" s="1386"/>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98</v>
      </c>
      <c r="L96" s="1020"/>
      <c r="M96" s="963" t="s">
        <v>56</v>
      </c>
      <c r="N96" s="1118">
        <v>67355.5</v>
      </c>
      <c r="O96" s="963" t="s">
        <v>56</v>
      </c>
      <c r="P96" s="953" t="s">
        <v>70</v>
      </c>
      <c r="Q96" s="1385"/>
      <c r="R96" s="1003"/>
      <c r="S96" s="1003"/>
      <c r="T96" s="1003"/>
      <c r="U96" s="1003"/>
      <c r="V96" s="972">
        <v>5620</v>
      </c>
      <c r="W96" s="935"/>
      <c r="X96" s="972">
        <v>5620</v>
      </c>
      <c r="Y96" s="866"/>
      <c r="Z96" s="1386"/>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98</v>
      </c>
      <c r="L97" s="1020"/>
      <c r="M97" s="963" t="s">
        <v>56</v>
      </c>
      <c r="N97" s="1118">
        <v>86438.5</v>
      </c>
      <c r="O97" s="963" t="s">
        <v>56</v>
      </c>
      <c r="P97" s="953" t="s">
        <v>70</v>
      </c>
      <c r="Q97" s="1385"/>
      <c r="R97" s="1003"/>
      <c r="S97" s="1003"/>
      <c r="T97" s="1003"/>
      <c r="U97" s="1003"/>
      <c r="V97" s="972">
        <v>6864</v>
      </c>
      <c r="W97" s="935"/>
      <c r="X97" s="972">
        <v>6864</v>
      </c>
      <c r="Y97" s="866"/>
      <c r="Z97" s="1386"/>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98</v>
      </c>
      <c r="L98" s="1020"/>
      <c r="M98" s="963" t="s">
        <v>56</v>
      </c>
      <c r="N98" s="1118">
        <v>88748.5</v>
      </c>
      <c r="O98" s="963" t="s">
        <v>56</v>
      </c>
      <c r="P98" s="953" t="s">
        <v>70</v>
      </c>
      <c r="Q98" s="1385"/>
      <c r="R98" s="1003"/>
      <c r="S98" s="1003"/>
      <c r="T98" s="1003"/>
      <c r="U98" s="1003"/>
      <c r="V98" s="972">
        <v>6461</v>
      </c>
      <c r="W98" s="935"/>
      <c r="X98" s="972">
        <v>6461</v>
      </c>
      <c r="Y98" s="866"/>
      <c r="Z98" s="1386"/>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98</v>
      </c>
      <c r="L99" s="1020"/>
      <c r="M99" s="963" t="s">
        <v>56</v>
      </c>
      <c r="N99" s="1118">
        <v>33288</v>
      </c>
      <c r="O99" s="963" t="s">
        <v>56</v>
      </c>
      <c r="P99" s="953" t="s">
        <v>70</v>
      </c>
      <c r="Q99" s="1385"/>
      <c r="R99" s="1003"/>
      <c r="S99" s="1003"/>
      <c r="T99" s="1003"/>
      <c r="U99" s="1003"/>
      <c r="V99" s="972">
        <v>2790</v>
      </c>
      <c r="W99" s="935"/>
      <c r="X99" s="972">
        <v>2790</v>
      </c>
      <c r="Y99" s="866"/>
      <c r="Z99" s="1386"/>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98</v>
      </c>
      <c r="L100" s="1020"/>
      <c r="M100" s="963" t="s">
        <v>56</v>
      </c>
      <c r="N100" s="1118">
        <v>89875.5</v>
      </c>
      <c r="O100" s="963" t="s">
        <v>56</v>
      </c>
      <c r="P100" s="953" t="s">
        <v>70</v>
      </c>
      <c r="Q100" s="1385"/>
      <c r="R100" s="1003"/>
      <c r="S100" s="1003"/>
      <c r="T100" s="1003"/>
      <c r="U100" s="1003"/>
      <c r="V100" s="972">
        <v>7368</v>
      </c>
      <c r="W100" s="935"/>
      <c r="X100" s="972">
        <v>7368</v>
      </c>
      <c r="Y100" s="866"/>
      <c r="Z100" s="1386"/>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98</v>
      </c>
      <c r="L101" s="1020"/>
      <c r="M101" s="963" t="s">
        <v>56</v>
      </c>
      <c r="N101" s="1118">
        <v>95052.5</v>
      </c>
      <c r="O101" s="963" t="s">
        <v>56</v>
      </c>
      <c r="P101" s="953" t="s">
        <v>70</v>
      </c>
      <c r="Q101" s="1385"/>
      <c r="R101" s="1003"/>
      <c r="S101" s="1003"/>
      <c r="T101" s="1003"/>
      <c r="U101" s="1003"/>
      <c r="V101" s="972">
        <v>7844</v>
      </c>
      <c r="W101" s="935"/>
      <c r="X101" s="972">
        <v>7844</v>
      </c>
      <c r="Y101" s="866"/>
      <c r="Z101" s="1386"/>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98</v>
      </c>
      <c r="L102" s="1020"/>
      <c r="M102" s="963" t="s">
        <v>56</v>
      </c>
      <c r="N102" s="1118">
        <v>102476</v>
      </c>
      <c r="O102" s="963" t="s">
        <v>56</v>
      </c>
      <c r="P102" s="953" t="s">
        <v>70</v>
      </c>
      <c r="Q102" s="1385"/>
      <c r="R102" s="1003"/>
      <c r="S102" s="1003"/>
      <c r="T102" s="1003"/>
      <c r="U102" s="1003"/>
      <c r="V102" s="972">
        <v>8148</v>
      </c>
      <c r="W102" s="935"/>
      <c r="X102" s="972">
        <v>8148</v>
      </c>
      <c r="Y102" s="866"/>
      <c r="Z102" s="1386"/>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98</v>
      </c>
      <c r="L103" s="1020"/>
      <c r="M103" s="963" t="s">
        <v>56</v>
      </c>
      <c r="N103" s="1118">
        <v>80344</v>
      </c>
      <c r="O103" s="963" t="s">
        <v>56</v>
      </c>
      <c r="P103" s="953" t="s">
        <v>70</v>
      </c>
      <c r="Q103" s="1385"/>
      <c r="R103" s="1003"/>
      <c r="S103" s="1003"/>
      <c r="T103" s="1003"/>
      <c r="U103" s="1003"/>
      <c r="V103" s="972">
        <v>6829</v>
      </c>
      <c r="W103" s="935"/>
      <c r="X103" s="972">
        <v>6829</v>
      </c>
      <c r="Y103" s="866"/>
      <c r="Z103" s="1386"/>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98</v>
      </c>
      <c r="L104" s="1020"/>
      <c r="M104" s="963" t="s">
        <v>56</v>
      </c>
      <c r="N104" s="1118">
        <v>73166</v>
      </c>
      <c r="O104" s="963" t="s">
        <v>56</v>
      </c>
      <c r="P104" s="953" t="s">
        <v>70</v>
      </c>
      <c r="Q104" s="1385"/>
      <c r="R104" s="1003"/>
      <c r="S104" s="1003"/>
      <c r="T104" s="1003"/>
      <c r="U104" s="1003"/>
      <c r="V104" s="972">
        <v>6157</v>
      </c>
      <c r="W104" s="935"/>
      <c r="X104" s="972">
        <v>6157</v>
      </c>
      <c r="Y104" s="866"/>
      <c r="Z104" s="1386"/>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98</v>
      </c>
      <c r="L105" s="1020"/>
      <c r="M105" s="963" t="s">
        <v>56</v>
      </c>
      <c r="N105" s="1118">
        <v>114642</v>
      </c>
      <c r="O105" s="963" t="s">
        <v>56</v>
      </c>
      <c r="P105" s="953" t="s">
        <v>70</v>
      </c>
      <c r="Q105" s="1385"/>
      <c r="R105" s="1003"/>
      <c r="S105" s="1003"/>
      <c r="T105" s="1003"/>
      <c r="U105" s="1003"/>
      <c r="V105" s="972">
        <v>9537</v>
      </c>
      <c r="W105" s="935"/>
      <c r="X105" s="972">
        <v>9537</v>
      </c>
      <c r="Y105" s="866"/>
      <c r="Z105" s="1386"/>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98</v>
      </c>
      <c r="L106" s="1020"/>
      <c r="M106" s="963" t="s">
        <v>56</v>
      </c>
      <c r="N106" s="1118">
        <v>85589.5</v>
      </c>
      <c r="O106" s="963" t="s">
        <v>56</v>
      </c>
      <c r="P106" s="953" t="s">
        <v>70</v>
      </c>
      <c r="Q106" s="1385"/>
      <c r="R106" s="1003"/>
      <c r="S106" s="1003"/>
      <c r="T106" s="1003"/>
      <c r="U106" s="1003"/>
      <c r="V106" s="972">
        <v>6796</v>
      </c>
      <c r="W106" s="935"/>
      <c r="X106" s="972">
        <v>6796</v>
      </c>
      <c r="Y106" s="866"/>
      <c r="Z106" s="1386"/>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98</v>
      </c>
      <c r="L107" s="1020"/>
      <c r="M107" s="963" t="s">
        <v>56</v>
      </c>
      <c r="N107" s="1118">
        <v>76640</v>
      </c>
      <c r="O107" s="963" t="s">
        <v>56</v>
      </c>
      <c r="P107" s="953" t="s">
        <v>70</v>
      </c>
      <c r="Q107" s="1385"/>
      <c r="R107" s="1003"/>
      <c r="S107" s="1003"/>
      <c r="T107" s="1003"/>
      <c r="U107" s="1003"/>
      <c r="V107" s="972">
        <v>6149</v>
      </c>
      <c r="W107" s="935"/>
      <c r="X107" s="972">
        <v>6149</v>
      </c>
      <c r="Y107" s="866"/>
      <c r="Z107" s="1386"/>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98</v>
      </c>
      <c r="L108" s="1020"/>
      <c r="M108" s="963" t="s">
        <v>56</v>
      </c>
      <c r="N108" s="1118">
        <v>80780</v>
      </c>
      <c r="O108" s="963" t="s">
        <v>56</v>
      </c>
      <c r="P108" s="953" t="s">
        <v>70</v>
      </c>
      <c r="Q108" s="1385"/>
      <c r="R108" s="1003"/>
      <c r="S108" s="1003"/>
      <c r="T108" s="1003"/>
      <c r="U108" s="1003"/>
      <c r="V108" s="972">
        <v>6284</v>
      </c>
      <c r="W108" s="935"/>
      <c r="X108" s="972">
        <v>6284</v>
      </c>
      <c r="Y108" s="866"/>
      <c r="Z108" s="1386"/>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98</v>
      </c>
      <c r="L109" s="1020"/>
      <c r="M109" s="963" t="s">
        <v>56</v>
      </c>
      <c r="N109" s="1118">
        <v>95244</v>
      </c>
      <c r="O109" s="963" t="s">
        <v>56</v>
      </c>
      <c r="P109" s="953" t="s">
        <v>70</v>
      </c>
      <c r="Q109" s="1385"/>
      <c r="R109" s="1003"/>
      <c r="S109" s="1003"/>
      <c r="T109" s="1003"/>
      <c r="U109" s="1003"/>
      <c r="V109" s="972">
        <v>7743</v>
      </c>
      <c r="W109" s="935"/>
      <c r="X109" s="972">
        <v>7743</v>
      </c>
      <c r="Y109" s="866"/>
      <c r="Z109" s="1386"/>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98</v>
      </c>
      <c r="L110" s="1020"/>
      <c r="M110" s="963" t="s">
        <v>56</v>
      </c>
      <c r="N110" s="1118">
        <v>86888</v>
      </c>
      <c r="O110" s="963" t="s">
        <v>56</v>
      </c>
      <c r="P110" s="953" t="s">
        <v>70</v>
      </c>
      <c r="Q110" s="1385"/>
      <c r="R110" s="1003"/>
      <c r="S110" s="1003"/>
      <c r="T110" s="1003"/>
      <c r="U110" s="1003"/>
      <c r="V110" s="972">
        <v>6932</v>
      </c>
      <c r="W110" s="935"/>
      <c r="X110" s="972">
        <v>6932</v>
      </c>
      <c r="Y110" s="866"/>
      <c r="Z110" s="1386"/>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98</v>
      </c>
      <c r="L111" s="1020"/>
      <c r="M111" s="963" t="s">
        <v>56</v>
      </c>
      <c r="N111" s="1118">
        <v>75700</v>
      </c>
      <c r="O111" s="963" t="s">
        <v>56</v>
      </c>
      <c r="P111" s="953" t="s">
        <v>70</v>
      </c>
      <c r="Q111" s="1385"/>
      <c r="R111" s="1003"/>
      <c r="S111" s="1003"/>
      <c r="T111" s="1003"/>
      <c r="U111" s="1003"/>
      <c r="V111" s="972">
        <v>6213</v>
      </c>
      <c r="W111" s="935"/>
      <c r="X111" s="972">
        <v>6213</v>
      </c>
      <c r="Y111" s="866"/>
      <c r="Z111" s="1386"/>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98</v>
      </c>
      <c r="L112" s="1020"/>
      <c r="M112" s="963" t="s">
        <v>56</v>
      </c>
      <c r="N112" s="1118">
        <v>53698</v>
      </c>
      <c r="O112" s="963" t="s">
        <v>56</v>
      </c>
      <c r="P112" s="953" t="s">
        <v>70</v>
      </c>
      <c r="Q112" s="1385"/>
      <c r="R112" s="1003"/>
      <c r="S112" s="1003"/>
      <c r="T112" s="1003"/>
      <c r="U112" s="1003"/>
      <c r="V112" s="972">
        <v>4339</v>
      </c>
      <c r="W112" s="935"/>
      <c r="X112" s="972">
        <v>4339</v>
      </c>
      <c r="Y112" s="866"/>
      <c r="Z112" s="1386"/>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98</v>
      </c>
      <c r="L113" s="1020"/>
      <c r="M113" s="963" t="s">
        <v>56</v>
      </c>
      <c r="N113" s="1118">
        <v>48883</v>
      </c>
      <c r="O113" s="963" t="s">
        <v>56</v>
      </c>
      <c r="P113" s="953" t="s">
        <v>70</v>
      </c>
      <c r="Q113" s="1385"/>
      <c r="R113" s="1003"/>
      <c r="S113" s="1003"/>
      <c r="T113" s="1003"/>
      <c r="U113" s="1003"/>
      <c r="V113" s="972">
        <v>3940</v>
      </c>
      <c r="W113" s="935"/>
      <c r="X113" s="972">
        <v>3940</v>
      </c>
      <c r="Y113" s="866"/>
      <c r="Z113" s="1386"/>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98</v>
      </c>
      <c r="L114" s="1020"/>
      <c r="M114" s="963" t="s">
        <v>56</v>
      </c>
      <c r="N114" s="1118">
        <v>83382</v>
      </c>
      <c r="O114" s="963" t="s">
        <v>56</v>
      </c>
      <c r="P114" s="953" t="s">
        <v>70</v>
      </c>
      <c r="Q114" s="1385"/>
      <c r="R114" s="1003"/>
      <c r="S114" s="1003"/>
      <c r="T114" s="1003"/>
      <c r="U114" s="1003"/>
      <c r="V114" s="972">
        <v>6855</v>
      </c>
      <c r="W114" s="935"/>
      <c r="X114" s="972">
        <v>6855</v>
      </c>
      <c r="Y114" s="866"/>
      <c r="Z114" s="1386"/>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98</v>
      </c>
      <c r="L115" s="1020"/>
      <c r="M115" s="963" t="s">
        <v>56</v>
      </c>
      <c r="N115" s="1118">
        <v>88834</v>
      </c>
      <c r="O115" s="963" t="s">
        <v>56</v>
      </c>
      <c r="P115" s="953" t="s">
        <v>70</v>
      </c>
      <c r="Q115" s="1385"/>
      <c r="R115" s="1003"/>
      <c r="S115" s="1003"/>
      <c r="T115" s="1003"/>
      <c r="U115" s="1003"/>
      <c r="V115" s="972">
        <v>7147</v>
      </c>
      <c r="W115" s="935"/>
      <c r="X115" s="972">
        <v>7147</v>
      </c>
      <c r="Y115" s="866"/>
      <c r="Z115" s="1386"/>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98</v>
      </c>
      <c r="L116" s="1020"/>
      <c r="M116" s="963" t="s">
        <v>56</v>
      </c>
      <c r="N116" s="1118">
        <v>81027.5</v>
      </c>
      <c r="O116" s="963" t="s">
        <v>56</v>
      </c>
      <c r="P116" s="953" t="s">
        <v>70</v>
      </c>
      <c r="Q116" s="1385"/>
      <c r="R116" s="1003"/>
      <c r="S116" s="1003"/>
      <c r="T116" s="1003"/>
      <c r="U116" s="1003"/>
      <c r="V116" s="972">
        <v>6376</v>
      </c>
      <c r="W116" s="935"/>
      <c r="X116" s="972">
        <v>6376</v>
      </c>
      <c r="Y116" s="866"/>
      <c r="Z116" s="1386"/>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98</v>
      </c>
      <c r="L117" s="1020"/>
      <c r="M117" s="963" t="s">
        <v>56</v>
      </c>
      <c r="N117" s="1118">
        <v>60264</v>
      </c>
      <c r="O117" s="963" t="s">
        <v>56</v>
      </c>
      <c r="P117" s="953" t="s">
        <v>70</v>
      </c>
      <c r="Q117" s="1385"/>
      <c r="R117" s="1003"/>
      <c r="S117" s="1003"/>
      <c r="T117" s="1003"/>
      <c r="U117" s="1003"/>
      <c r="V117" s="972">
        <v>4784</v>
      </c>
      <c r="W117" s="935"/>
      <c r="X117" s="972">
        <v>4784</v>
      </c>
      <c r="Y117" s="866"/>
      <c r="Z117" s="1386"/>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98</v>
      </c>
      <c r="L118" s="1020"/>
      <c r="M118" s="963" t="s">
        <v>56</v>
      </c>
      <c r="N118" s="1118">
        <v>81096</v>
      </c>
      <c r="O118" s="963" t="s">
        <v>56</v>
      </c>
      <c r="P118" s="953" t="s">
        <v>70</v>
      </c>
      <c r="Q118" s="1385"/>
      <c r="R118" s="1003"/>
      <c r="S118" s="1003"/>
      <c r="T118" s="1003"/>
      <c r="U118" s="1003"/>
      <c r="V118" s="972">
        <v>6387</v>
      </c>
      <c r="W118" s="935"/>
      <c r="X118" s="972">
        <v>6387</v>
      </c>
      <c r="Y118" s="866"/>
      <c r="Z118" s="1386"/>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98</v>
      </c>
      <c r="L119" s="1020"/>
      <c r="M119" s="963" t="s">
        <v>56</v>
      </c>
      <c r="N119" s="1118">
        <v>79796</v>
      </c>
      <c r="O119" s="963" t="s">
        <v>56</v>
      </c>
      <c r="P119" s="953" t="s">
        <v>70</v>
      </c>
      <c r="Q119" s="1385"/>
      <c r="R119" s="1003"/>
      <c r="S119" s="1003"/>
      <c r="T119" s="1003"/>
      <c r="U119" s="1003"/>
      <c r="V119" s="972">
        <v>6372</v>
      </c>
      <c r="W119" s="935"/>
      <c r="X119" s="972">
        <v>6372</v>
      </c>
      <c r="Y119" s="866"/>
      <c r="Z119" s="1386"/>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98</v>
      </c>
      <c r="L120" s="1020"/>
      <c r="M120" s="963" t="s">
        <v>56</v>
      </c>
      <c r="N120" s="1118">
        <v>69082</v>
      </c>
      <c r="O120" s="963" t="s">
        <v>56</v>
      </c>
      <c r="P120" s="953" t="s">
        <v>70</v>
      </c>
      <c r="Q120" s="1385"/>
      <c r="R120" s="1003"/>
      <c r="S120" s="1003"/>
      <c r="T120" s="1003"/>
      <c r="U120" s="1003"/>
      <c r="V120" s="972">
        <v>5363</v>
      </c>
      <c r="W120" s="935"/>
      <c r="X120" s="972">
        <v>5363</v>
      </c>
      <c r="Y120" s="866"/>
      <c r="Z120" s="1386"/>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98</v>
      </c>
      <c r="L121" s="1020"/>
      <c r="M121" s="963" t="s">
        <v>56</v>
      </c>
      <c r="N121" s="1118">
        <v>65448</v>
      </c>
      <c r="O121" s="963" t="s">
        <v>56</v>
      </c>
      <c r="P121" s="953" t="s">
        <v>70</v>
      </c>
      <c r="Q121" s="1385"/>
      <c r="R121" s="1003"/>
      <c r="S121" s="1003"/>
      <c r="T121" s="1003"/>
      <c r="U121" s="1003"/>
      <c r="V121" s="972">
        <v>5199</v>
      </c>
      <c r="W121" s="935"/>
      <c r="X121" s="972">
        <v>5199</v>
      </c>
      <c r="Y121" s="866"/>
      <c r="Z121" s="1386"/>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98</v>
      </c>
      <c r="L122" s="1020"/>
      <c r="M122" s="963" t="s">
        <v>56</v>
      </c>
      <c r="N122" s="1118">
        <v>116020.5</v>
      </c>
      <c r="O122" s="963" t="s">
        <v>56</v>
      </c>
      <c r="P122" s="953" t="s">
        <v>70</v>
      </c>
      <c r="Q122" s="1385"/>
      <c r="R122" s="1003"/>
      <c r="S122" s="1003"/>
      <c r="T122" s="1003"/>
      <c r="U122" s="1003"/>
      <c r="V122" s="972">
        <v>9771</v>
      </c>
      <c r="W122" s="935"/>
      <c r="X122" s="972">
        <v>9771</v>
      </c>
      <c r="Y122" s="866"/>
      <c r="Z122" s="1386"/>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98</v>
      </c>
      <c r="L123" s="1020"/>
      <c r="M123" s="963" t="s">
        <v>56</v>
      </c>
      <c r="N123" s="1118">
        <v>114306</v>
      </c>
      <c r="O123" s="963" t="s">
        <v>56</v>
      </c>
      <c r="P123" s="953" t="s">
        <v>70</v>
      </c>
      <c r="Q123" s="1385"/>
      <c r="R123" s="1003"/>
      <c r="S123" s="1003"/>
      <c r="T123" s="1003"/>
      <c r="U123" s="1003"/>
      <c r="V123" s="972">
        <v>9562</v>
      </c>
      <c r="W123" s="935"/>
      <c r="X123" s="972">
        <v>9562</v>
      </c>
      <c r="Y123" s="866"/>
      <c r="Z123" s="1386"/>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98</v>
      </c>
      <c r="L124" s="1020"/>
      <c r="M124" s="963" t="s">
        <v>56</v>
      </c>
      <c r="N124" s="1118">
        <v>80784</v>
      </c>
      <c r="O124" s="963" t="s">
        <v>56</v>
      </c>
      <c r="P124" s="953" t="s">
        <v>70</v>
      </c>
      <c r="Q124" s="1385"/>
      <c r="R124" s="1003"/>
      <c r="S124" s="1003"/>
      <c r="T124" s="1003"/>
      <c r="U124" s="1003"/>
      <c r="V124" s="972">
        <v>6309</v>
      </c>
      <c r="W124" s="935"/>
      <c r="X124" s="972">
        <v>6309</v>
      </c>
      <c r="Y124" s="866"/>
      <c r="Z124" s="1386"/>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98</v>
      </c>
      <c r="L125" s="1020"/>
      <c r="M125" s="963" t="s">
        <v>56</v>
      </c>
      <c r="N125" s="1118">
        <v>125540.85</v>
      </c>
      <c r="O125" s="963" t="s">
        <v>56</v>
      </c>
      <c r="P125" s="953" t="s">
        <v>70</v>
      </c>
      <c r="Q125" s="1385"/>
      <c r="R125" s="1003"/>
      <c r="S125" s="1003"/>
      <c r="T125" s="1003"/>
      <c r="U125" s="1003"/>
      <c r="V125" s="972">
        <v>10260</v>
      </c>
      <c r="W125" s="935"/>
      <c r="X125" s="972">
        <v>10260</v>
      </c>
      <c r="Y125" s="866"/>
      <c r="Z125" s="1386"/>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98</v>
      </c>
      <c r="L126" s="1020"/>
      <c r="M126" s="963" t="s">
        <v>56</v>
      </c>
      <c r="N126" s="1118">
        <v>119327</v>
      </c>
      <c r="O126" s="963" t="s">
        <v>56</v>
      </c>
      <c r="P126" s="953" t="s">
        <v>70</v>
      </c>
      <c r="Q126" s="1385"/>
      <c r="R126" s="1003"/>
      <c r="S126" s="1003"/>
      <c r="T126" s="1003"/>
      <c r="U126" s="1003"/>
      <c r="V126" s="972">
        <v>10080</v>
      </c>
      <c r="W126" s="935"/>
      <c r="X126" s="972">
        <v>10080</v>
      </c>
      <c r="Y126" s="866"/>
      <c r="Z126" s="1386"/>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98</v>
      </c>
      <c r="L127" s="1020"/>
      <c r="M127" s="963" t="s">
        <v>56</v>
      </c>
      <c r="N127" s="1118">
        <v>85720</v>
      </c>
      <c r="O127" s="963" t="s">
        <v>56</v>
      </c>
      <c r="P127" s="953" t="s">
        <v>70</v>
      </c>
      <c r="Q127" s="1385"/>
      <c r="R127" s="1003"/>
      <c r="S127" s="1003"/>
      <c r="T127" s="1003"/>
      <c r="U127" s="1003"/>
      <c r="V127" s="972">
        <v>6859</v>
      </c>
      <c r="W127" s="935"/>
      <c r="X127" s="972">
        <v>6859</v>
      </c>
      <c r="Y127" s="866"/>
      <c r="Z127" s="1386"/>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98</v>
      </c>
      <c r="L128" s="1020"/>
      <c r="M128" s="963" t="s">
        <v>56</v>
      </c>
      <c r="N128" s="1118">
        <v>75682</v>
      </c>
      <c r="O128" s="963" t="s">
        <v>56</v>
      </c>
      <c r="P128" s="953" t="s">
        <v>70</v>
      </c>
      <c r="Q128" s="1385"/>
      <c r="R128" s="1003"/>
      <c r="S128" s="1003"/>
      <c r="T128" s="1003"/>
      <c r="U128" s="1003"/>
      <c r="V128" s="972">
        <v>5873</v>
      </c>
      <c r="W128" s="935"/>
      <c r="X128" s="972">
        <v>5873</v>
      </c>
      <c r="Y128" s="866"/>
      <c r="Z128" s="1386"/>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98</v>
      </c>
      <c r="L129" s="1020"/>
      <c r="M129" s="963" t="s">
        <v>56</v>
      </c>
      <c r="N129" s="1118">
        <v>60784</v>
      </c>
      <c r="O129" s="963" t="s">
        <v>56</v>
      </c>
      <c r="P129" s="953" t="s">
        <v>70</v>
      </c>
      <c r="Q129" s="1385"/>
      <c r="R129" s="1003"/>
      <c r="S129" s="1003"/>
      <c r="T129" s="1003"/>
      <c r="U129" s="1003"/>
      <c r="V129" s="972">
        <v>4945</v>
      </c>
      <c r="W129" s="935"/>
      <c r="X129" s="972">
        <v>4945</v>
      </c>
      <c r="Y129" s="866"/>
      <c r="Z129" s="1386"/>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98</v>
      </c>
      <c r="L130" s="1020"/>
      <c r="M130" s="963" t="s">
        <v>56</v>
      </c>
      <c r="N130" s="1118">
        <v>52670</v>
      </c>
      <c r="O130" s="963" t="s">
        <v>56</v>
      </c>
      <c r="P130" s="953" t="s">
        <v>70</v>
      </c>
      <c r="Q130" s="1385"/>
      <c r="R130" s="1003"/>
      <c r="S130" s="1003"/>
      <c r="T130" s="1003"/>
      <c r="U130" s="1003"/>
      <c r="V130" s="972">
        <v>4275</v>
      </c>
      <c r="W130" s="935"/>
      <c r="X130" s="972">
        <v>4275</v>
      </c>
      <c r="Y130" s="866"/>
      <c r="Z130" s="1386"/>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98</v>
      </c>
      <c r="L131" s="1020"/>
      <c r="M131" s="963" t="s">
        <v>69</v>
      </c>
      <c r="N131" s="1118"/>
      <c r="O131" s="963" t="s">
        <v>69</v>
      </c>
      <c r="P131" s="953" t="s">
        <v>70</v>
      </c>
      <c r="Q131" s="1385"/>
      <c r="R131" s="1003"/>
      <c r="S131" s="1003"/>
      <c r="T131" s="1003"/>
      <c r="U131" s="1003"/>
      <c r="V131" s="972">
        <v>6378</v>
      </c>
      <c r="W131" s="935"/>
      <c r="X131" s="972">
        <v>6378</v>
      </c>
      <c r="Y131" s="866"/>
      <c r="Z131" s="1386"/>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98</v>
      </c>
      <c r="L132" s="1020"/>
      <c r="M132" s="963" t="s">
        <v>69</v>
      </c>
      <c r="N132" s="1118"/>
      <c r="O132" s="963" t="s">
        <v>69</v>
      </c>
      <c r="P132" s="953" t="s">
        <v>70</v>
      </c>
      <c r="Q132" s="1385"/>
      <c r="R132" s="1003"/>
      <c r="S132" s="1003"/>
      <c r="T132" s="1003"/>
      <c r="U132" s="1003"/>
      <c r="V132" s="972">
        <v>7373</v>
      </c>
      <c r="W132" s="935"/>
      <c r="X132" s="972">
        <v>7373</v>
      </c>
      <c r="Y132" s="866"/>
      <c r="Z132" s="1386"/>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98</v>
      </c>
      <c r="L133" s="1020"/>
      <c r="M133" s="963" t="s">
        <v>69</v>
      </c>
      <c r="N133" s="1118"/>
      <c r="O133" s="963" t="s">
        <v>69</v>
      </c>
      <c r="P133" s="953" t="s">
        <v>70</v>
      </c>
      <c r="Q133" s="1385"/>
      <c r="R133" s="1003"/>
      <c r="S133" s="1003"/>
      <c r="T133" s="1003"/>
      <c r="U133" s="1003"/>
      <c r="V133" s="972">
        <v>5781</v>
      </c>
      <c r="W133" s="935"/>
      <c r="X133" s="972">
        <v>5781</v>
      </c>
      <c r="Y133" s="866"/>
      <c r="Z133" s="1386"/>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98</v>
      </c>
      <c r="L134" s="1020"/>
      <c r="M134" s="963" t="s">
        <v>69</v>
      </c>
      <c r="N134" s="1118"/>
      <c r="O134" s="963" t="s">
        <v>69</v>
      </c>
      <c r="P134" s="953" t="s">
        <v>70</v>
      </c>
      <c r="Q134" s="1385"/>
      <c r="R134" s="1003"/>
      <c r="S134" s="1003"/>
      <c r="T134" s="1003"/>
      <c r="U134" s="1003"/>
      <c r="V134" s="972">
        <v>9051</v>
      </c>
      <c r="W134" s="935"/>
      <c r="X134" s="972">
        <v>9051</v>
      </c>
      <c r="Y134" s="866"/>
      <c r="Z134" s="1386"/>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98</v>
      </c>
      <c r="L135" s="1020"/>
      <c r="M135" s="963" t="s">
        <v>69</v>
      </c>
      <c r="N135" s="1118"/>
      <c r="O135" s="963" t="s">
        <v>69</v>
      </c>
      <c r="P135" s="953" t="s">
        <v>70</v>
      </c>
      <c r="Q135" s="1385"/>
      <c r="R135" s="1003"/>
      <c r="S135" s="1003"/>
      <c r="T135" s="1003"/>
      <c r="U135" s="1003"/>
      <c r="V135" s="972">
        <v>7261</v>
      </c>
      <c r="W135" s="935"/>
      <c r="X135" s="972">
        <v>7261</v>
      </c>
      <c r="Y135" s="866"/>
      <c r="Z135" s="1386"/>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98</v>
      </c>
      <c r="L136" s="1020"/>
      <c r="M136" s="963" t="s">
        <v>69</v>
      </c>
      <c r="N136" s="1118"/>
      <c r="O136" s="963" t="s">
        <v>69</v>
      </c>
      <c r="P136" s="953" t="s">
        <v>70</v>
      </c>
      <c r="Q136" s="1385"/>
      <c r="R136" s="1003"/>
      <c r="S136" s="1003"/>
      <c r="T136" s="1003"/>
      <c r="U136" s="1003"/>
      <c r="V136" s="972">
        <v>9638</v>
      </c>
      <c r="W136" s="935"/>
      <c r="X136" s="972">
        <v>9638</v>
      </c>
      <c r="Y136" s="866"/>
      <c r="Z136" s="1386"/>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98</v>
      </c>
      <c r="L137" s="1020"/>
      <c r="M137" s="963" t="s">
        <v>69</v>
      </c>
      <c r="N137" s="1118"/>
      <c r="O137" s="963" t="s">
        <v>69</v>
      </c>
      <c r="P137" s="953" t="s">
        <v>70</v>
      </c>
      <c r="Q137" s="1385"/>
      <c r="R137" s="1003"/>
      <c r="S137" s="1003"/>
      <c r="T137" s="1003"/>
      <c r="U137" s="1003"/>
      <c r="V137" s="972">
        <v>8746</v>
      </c>
      <c r="W137" s="935"/>
      <c r="X137" s="972">
        <v>8746</v>
      </c>
      <c r="Y137" s="866"/>
      <c r="Z137" s="1386"/>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5"/>
      <c r="R138" s="1003"/>
      <c r="S138" s="1003"/>
      <c r="T138" s="1003"/>
      <c r="U138" s="1003"/>
      <c r="V138" s="1110"/>
      <c r="W138" s="935"/>
      <c r="X138" s="1110"/>
      <c r="Y138" s="866"/>
      <c r="Z138" s="1386"/>
      <c r="AA138" s="1387"/>
      <c r="AB138" s="1387"/>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5"/>
      <c r="R139" s="1003"/>
      <c r="S139" s="1003"/>
      <c r="T139" s="1003"/>
      <c r="U139" s="1003"/>
      <c r="V139" s="1110"/>
      <c r="W139" s="935"/>
      <c r="X139" s="1110"/>
      <c r="Y139" s="866"/>
      <c r="Z139" s="1386"/>
      <c r="AA139" s="1387"/>
      <c r="AB139" s="1387"/>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98</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98</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98</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98</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98</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98</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98</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98</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98</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98</v>
      </c>
      <c r="L150" s="1020"/>
      <c r="M150" s="963" t="s">
        <v>56</v>
      </c>
      <c r="N150" s="1014">
        <v>105892.05</v>
      </c>
      <c r="O150" s="963" t="s">
        <v>56</v>
      </c>
      <c r="P150" s="941" t="s">
        <v>70</v>
      </c>
      <c r="Q150" s="1385"/>
      <c r="R150" s="1003"/>
      <c r="S150" s="1003"/>
      <c r="T150" s="1003"/>
      <c r="U150" s="1003"/>
      <c r="V150" s="935">
        <v>8641</v>
      </c>
      <c r="W150" s="1382"/>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98</v>
      </c>
      <c r="L151" s="1020"/>
      <c r="M151" s="963" t="s">
        <v>56</v>
      </c>
      <c r="N151" s="1014">
        <v>88420</v>
      </c>
      <c r="O151" s="963" t="s">
        <v>56</v>
      </c>
      <c r="P151" s="941" t="s">
        <v>70</v>
      </c>
      <c r="Q151" s="1388"/>
      <c r="R151" s="1005"/>
      <c r="S151" s="1005"/>
      <c r="T151" s="1005"/>
      <c r="U151" s="1005"/>
      <c r="V151" s="1007">
        <v>7502</v>
      </c>
      <c r="W151" s="1389"/>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98</v>
      </c>
      <c r="L152" s="1020"/>
      <c r="M152" s="963" t="s">
        <v>69</v>
      </c>
      <c r="N152" s="1014"/>
      <c r="O152" s="963" t="s">
        <v>56</v>
      </c>
      <c r="P152" s="941" t="s">
        <v>70</v>
      </c>
      <c r="Q152" s="925">
        <v>45659</v>
      </c>
      <c r="R152" s="1005"/>
      <c r="S152" s="1005"/>
      <c r="T152" s="1005"/>
      <c r="U152" s="1005"/>
      <c r="V152" s="1007">
        <v>3682</v>
      </c>
      <c r="W152" s="1389"/>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U24" activePane="topRight" state="frozen"/>
      <selection pane="topRight" activeCell="A23" sqref="A23:J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123</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133</v>
      </c>
      <c r="C5" s="887">
        <v>45999</v>
      </c>
      <c r="D5" s="898" t="s">
        <v>134</v>
      </c>
      <c r="E5" s="898">
        <v>45964</v>
      </c>
      <c r="F5" s="899" t="s">
        <v>138</v>
      </c>
      <c r="G5" s="898" t="s">
        <v>352</v>
      </c>
      <c r="H5" s="666">
        <v>81</v>
      </c>
      <c r="I5" s="889" t="s">
        <v>80</v>
      </c>
      <c r="J5" s="889" t="s">
        <v>55</v>
      </c>
      <c r="K5" s="663"/>
      <c r="L5" s="898" t="s">
        <v>353</v>
      </c>
      <c r="M5" s="520" t="s">
        <v>56</v>
      </c>
      <c r="N5" s="1225">
        <v>68962</v>
      </c>
      <c r="O5" s="849" t="s">
        <v>56</v>
      </c>
      <c r="P5" s="945" t="s">
        <v>81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133</v>
      </c>
      <c r="C6" s="887">
        <v>46040</v>
      </c>
      <c r="D6" s="899" t="s">
        <v>356</v>
      </c>
      <c r="E6" s="898">
        <v>45867</v>
      </c>
      <c r="F6" s="899" t="s">
        <v>138</v>
      </c>
      <c r="G6" s="899" t="s">
        <v>357</v>
      </c>
      <c r="H6" s="900">
        <v>0</v>
      </c>
      <c r="I6" s="663" t="s">
        <v>80</v>
      </c>
      <c r="J6" s="900" t="s">
        <v>55</v>
      </c>
      <c r="K6" s="365"/>
      <c r="L6" s="898" t="s">
        <v>353</v>
      </c>
      <c r="M6" s="900" t="s">
        <v>56</v>
      </c>
      <c r="N6" s="910">
        <v>144972.5</v>
      </c>
      <c r="O6" s="900" t="s">
        <v>56</v>
      </c>
      <c r="P6" s="945" t="s">
        <v>81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133</v>
      </c>
      <c r="C7" s="363">
        <v>45991</v>
      </c>
      <c r="D7" s="370" t="s">
        <v>360</v>
      </c>
      <c r="E7" s="371">
        <v>45716</v>
      </c>
      <c r="F7" s="370" t="s">
        <v>150</v>
      </c>
      <c r="G7" s="372" t="s">
        <v>361</v>
      </c>
      <c r="H7" s="373">
        <v>44</v>
      </c>
      <c r="I7" s="377" t="s">
        <v>80</v>
      </c>
      <c r="J7" s="373" t="s">
        <v>55</v>
      </c>
      <c r="K7" s="373"/>
      <c r="L7" s="371">
        <v>45716</v>
      </c>
      <c r="M7" s="373" t="s">
        <v>56</v>
      </c>
      <c r="N7" s="777">
        <v>57973.5</v>
      </c>
      <c r="O7" s="373" t="s">
        <v>56</v>
      </c>
      <c r="P7" s="495" t="s">
        <v>81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362</v>
      </c>
      <c r="B8" s="665" t="s">
        <v>133</v>
      </c>
      <c r="C8" s="887">
        <v>46073</v>
      </c>
      <c r="D8" s="899" t="s">
        <v>134</v>
      </c>
      <c r="E8" s="898">
        <v>46055</v>
      </c>
      <c r="F8" s="899" t="s">
        <v>138</v>
      </c>
      <c r="G8" s="899" t="s">
        <v>363</v>
      </c>
      <c r="H8" s="900">
        <v>0</v>
      </c>
      <c r="I8" s="663" t="s">
        <v>80</v>
      </c>
      <c r="J8" s="900" t="s">
        <v>55</v>
      </c>
      <c r="K8" s="889"/>
      <c r="L8" s="371" t="s">
        <v>353</v>
      </c>
      <c r="M8" s="900" t="s">
        <v>56</v>
      </c>
      <c r="N8" s="910">
        <v>105558.2</v>
      </c>
      <c r="O8" s="900" t="s">
        <v>56</v>
      </c>
      <c r="P8" s="945" t="s">
        <v>81</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364</v>
      </c>
    </row>
    <row r="9" spans="1:30" ht="39.75" customHeight="1">
      <c r="A9" s="1000" t="s">
        <v>365</v>
      </c>
      <c r="B9" s="665" t="s">
        <v>133</v>
      </c>
      <c r="C9" s="363" t="s">
        <v>366</v>
      </c>
      <c r="D9" s="370" t="s">
        <v>123</v>
      </c>
      <c r="E9" s="371">
        <v>45964</v>
      </c>
      <c r="F9" s="370" t="s">
        <v>142</v>
      </c>
      <c r="G9" s="659"/>
      <c r="H9" s="373">
        <v>0</v>
      </c>
      <c r="I9" s="365" t="s">
        <v>80</v>
      </c>
      <c r="J9" s="373" t="s">
        <v>55</v>
      </c>
      <c r="K9" s="365"/>
      <c r="L9" s="371" t="s">
        <v>353</v>
      </c>
      <c r="M9" s="373" t="s">
        <v>56</v>
      </c>
      <c r="N9" s="777">
        <v>2670.65</v>
      </c>
      <c r="O9" s="373" t="s">
        <v>56</v>
      </c>
      <c r="P9" s="495" t="s">
        <v>81</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367</v>
      </c>
    </row>
    <row r="10" spans="1:30" ht="39.75" customHeight="1">
      <c r="A10" s="1062" t="s">
        <v>368</v>
      </c>
      <c r="B10" s="665" t="s">
        <v>133</v>
      </c>
      <c r="C10" s="887">
        <v>46040</v>
      </c>
      <c r="D10" s="987" t="s">
        <v>369</v>
      </c>
      <c r="E10" s="988">
        <v>46027</v>
      </c>
      <c r="F10" s="987" t="s">
        <v>138</v>
      </c>
      <c r="G10" s="899"/>
      <c r="H10" s="1373">
        <v>109</v>
      </c>
      <c r="I10" s="663" t="s">
        <v>80</v>
      </c>
      <c r="J10" s="666" t="s">
        <v>55</v>
      </c>
      <c r="K10" s="1368"/>
      <c r="L10" s="988">
        <v>45663</v>
      </c>
      <c r="M10" s="900" t="s">
        <v>56</v>
      </c>
      <c r="N10" s="1374">
        <v>123587.5</v>
      </c>
      <c r="O10" s="1373" t="s">
        <v>56</v>
      </c>
      <c r="P10" s="1390" t="s">
        <v>81</v>
      </c>
      <c r="Q10" s="1375">
        <v>46008</v>
      </c>
      <c r="R10" s="1375"/>
      <c r="S10" s="1375"/>
      <c r="T10" s="1375"/>
      <c r="U10" s="1375"/>
      <c r="V10" s="1376">
        <v>6825</v>
      </c>
      <c r="W10" s="1391">
        <v>6575</v>
      </c>
      <c r="X10" s="1371">
        <f>SUM(V10-W10)</f>
        <v>250</v>
      </c>
      <c r="Y10" s="522">
        <f>IFERROR($W10/$V10, 0)</f>
        <v>0.96336996336996339</v>
      </c>
      <c r="Z10" s="1375">
        <v>46034</v>
      </c>
      <c r="AA10" s="895">
        <v>0</v>
      </c>
      <c r="AB10" s="895">
        <v>0</v>
      </c>
      <c r="AC10" s="904">
        <v>0</v>
      </c>
      <c r="AD10" s="896" t="s">
        <v>370</v>
      </c>
    </row>
    <row r="11" spans="1:30" ht="39.75" customHeight="1">
      <c r="A11" s="944" t="s">
        <v>371</v>
      </c>
      <c r="B11" s="665" t="s">
        <v>220</v>
      </c>
      <c r="C11" s="887">
        <v>46006</v>
      </c>
      <c r="D11" s="899" t="s">
        <v>134</v>
      </c>
      <c r="E11" s="898">
        <v>45987</v>
      </c>
      <c r="F11" s="899" t="s">
        <v>150</v>
      </c>
      <c r="G11" s="899" t="s">
        <v>372</v>
      </c>
      <c r="H11" s="900">
        <v>30</v>
      </c>
      <c r="I11" s="663" t="s">
        <v>80</v>
      </c>
      <c r="J11" s="666" t="s">
        <v>55</v>
      </c>
      <c r="K11" s="889"/>
      <c r="L11" s="371" t="s">
        <v>353</v>
      </c>
      <c r="M11" s="900" t="s">
        <v>56</v>
      </c>
      <c r="N11" s="1124">
        <v>31387.05</v>
      </c>
      <c r="O11" s="900" t="s">
        <v>56</v>
      </c>
      <c r="P11" s="945" t="s">
        <v>81</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373</v>
      </c>
    </row>
    <row r="12" spans="1:30" ht="39.75" customHeight="1">
      <c r="A12" s="944" t="s">
        <v>374</v>
      </c>
      <c r="B12" s="665" t="s">
        <v>220</v>
      </c>
      <c r="C12" s="887">
        <v>46040</v>
      </c>
      <c r="D12" s="899" t="s">
        <v>134</v>
      </c>
      <c r="E12" s="898">
        <v>46031</v>
      </c>
      <c r="F12" s="899" t="s">
        <v>150</v>
      </c>
      <c r="G12" s="899" t="s">
        <v>375</v>
      </c>
      <c r="H12" s="900">
        <v>73</v>
      </c>
      <c r="I12" s="663" t="s">
        <v>80</v>
      </c>
      <c r="J12" s="666" t="s">
        <v>55</v>
      </c>
      <c r="K12" s="889"/>
      <c r="L12" s="371" t="s">
        <v>353</v>
      </c>
      <c r="M12" s="900" t="s">
        <v>56</v>
      </c>
      <c r="N12" s="910">
        <v>77814</v>
      </c>
      <c r="O12" s="900" t="s">
        <v>56</v>
      </c>
      <c r="P12" s="945" t="s">
        <v>81</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376</v>
      </c>
    </row>
    <row r="13" spans="1:30" ht="39.75" customHeight="1">
      <c r="A13" s="944" t="s">
        <v>377</v>
      </c>
      <c r="B13" s="665" t="s">
        <v>220</v>
      </c>
      <c r="C13" s="887">
        <v>46081</v>
      </c>
      <c r="D13" s="899" t="s">
        <v>123</v>
      </c>
      <c r="E13" s="898">
        <v>46001</v>
      </c>
      <c r="F13" s="899" t="s">
        <v>150</v>
      </c>
      <c r="G13" s="899" t="s">
        <v>378</v>
      </c>
      <c r="H13" s="900">
        <v>80</v>
      </c>
      <c r="I13" s="663" t="s">
        <v>80</v>
      </c>
      <c r="J13" s="666" t="s">
        <v>55</v>
      </c>
      <c r="K13" s="889"/>
      <c r="L13" s="898">
        <v>46021</v>
      </c>
      <c r="M13" s="900" t="s">
        <v>56</v>
      </c>
      <c r="N13" s="910">
        <v>65843.5</v>
      </c>
      <c r="O13" s="900" t="s">
        <v>56</v>
      </c>
      <c r="P13" s="945" t="s">
        <v>81</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379</v>
      </c>
    </row>
    <row r="14" spans="1:30" ht="39.75" customHeight="1">
      <c r="A14" s="944" t="s">
        <v>380</v>
      </c>
      <c r="B14" s="665" t="s">
        <v>220</v>
      </c>
      <c r="C14" s="887">
        <v>46081</v>
      </c>
      <c r="D14" s="899" t="s">
        <v>134</v>
      </c>
      <c r="E14" s="898">
        <v>46043</v>
      </c>
      <c r="F14" s="899" t="s">
        <v>150</v>
      </c>
      <c r="G14" s="899" t="s">
        <v>381</v>
      </c>
      <c r="H14" s="900">
        <v>61</v>
      </c>
      <c r="I14" s="663" t="s">
        <v>80</v>
      </c>
      <c r="J14" s="900" t="s">
        <v>55</v>
      </c>
      <c r="K14" s="889"/>
      <c r="L14" s="898">
        <v>46038</v>
      </c>
      <c r="M14" s="900" t="s">
        <v>56</v>
      </c>
      <c r="N14" s="910">
        <v>56650</v>
      </c>
      <c r="O14" s="900" t="s">
        <v>56</v>
      </c>
      <c r="P14" s="945" t="s">
        <v>81</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382</v>
      </c>
    </row>
    <row r="15" spans="1:30" ht="39.75" customHeight="1">
      <c r="A15" s="739" t="s">
        <v>383</v>
      </c>
      <c r="B15" s="383" t="s">
        <v>220</v>
      </c>
      <c r="C15" s="363">
        <v>46053</v>
      </c>
      <c r="D15" s="370" t="s">
        <v>134</v>
      </c>
      <c r="E15" s="371">
        <v>45964</v>
      </c>
      <c r="F15" s="370" t="s">
        <v>150</v>
      </c>
      <c r="G15" s="372"/>
      <c r="H15" s="373">
        <v>82</v>
      </c>
      <c r="I15" s="663" t="s">
        <v>80</v>
      </c>
      <c r="J15" s="373" t="s">
        <v>55</v>
      </c>
      <c r="K15" s="365"/>
      <c r="L15" s="371" t="s">
        <v>353</v>
      </c>
      <c r="M15" s="373" t="s">
        <v>56</v>
      </c>
      <c r="N15" s="777">
        <v>101871</v>
      </c>
      <c r="O15" s="373" t="s">
        <v>56</v>
      </c>
      <c r="P15" s="495" t="s">
        <v>81</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384</v>
      </c>
    </row>
    <row r="16" spans="1:30" ht="39.75" customHeight="1">
      <c r="A16" s="739" t="s">
        <v>385</v>
      </c>
      <c r="B16" s="383" t="s">
        <v>220</v>
      </c>
      <c r="C16" s="363">
        <v>46053</v>
      </c>
      <c r="D16" s="370" t="s">
        <v>134</v>
      </c>
      <c r="E16" s="371">
        <v>45974</v>
      </c>
      <c r="F16" s="370" t="s">
        <v>150</v>
      </c>
      <c r="G16" s="372" t="s">
        <v>386</v>
      </c>
      <c r="H16" s="373">
        <v>77</v>
      </c>
      <c r="I16" s="663" t="s">
        <v>80</v>
      </c>
      <c r="J16" s="373" t="s">
        <v>55</v>
      </c>
      <c r="K16" s="365"/>
      <c r="L16" s="371">
        <v>45965</v>
      </c>
      <c r="M16" s="373" t="s">
        <v>56</v>
      </c>
      <c r="N16" s="777">
        <v>90786</v>
      </c>
      <c r="O16" s="373" t="s">
        <v>56</v>
      </c>
      <c r="P16" s="495" t="s">
        <v>81</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384</v>
      </c>
    </row>
    <row r="17" spans="1:30" ht="39.75" customHeight="1">
      <c r="A17" s="1029" t="s">
        <v>387</v>
      </c>
      <c r="B17" s="794" t="s">
        <v>220</v>
      </c>
      <c r="C17" s="887">
        <v>46040</v>
      </c>
      <c r="D17" s="899" t="s">
        <v>134</v>
      </c>
      <c r="E17" s="898">
        <v>45996</v>
      </c>
      <c r="F17" s="899" t="s">
        <v>150</v>
      </c>
      <c r="G17" s="899" t="s">
        <v>388</v>
      </c>
      <c r="H17" s="900">
        <v>78</v>
      </c>
      <c r="I17" s="663" t="s">
        <v>80</v>
      </c>
      <c r="J17" s="900" t="s">
        <v>55</v>
      </c>
      <c r="K17" s="889"/>
      <c r="L17" s="371" t="s">
        <v>353</v>
      </c>
      <c r="M17" s="900" t="s">
        <v>56</v>
      </c>
      <c r="N17" s="910">
        <v>84477</v>
      </c>
      <c r="O17" s="900" t="s">
        <v>56</v>
      </c>
      <c r="P17" s="945" t="s">
        <v>81</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389</v>
      </c>
    </row>
    <row r="18" spans="1:30" ht="39.75" customHeight="1">
      <c r="A18" s="944" t="s">
        <v>390</v>
      </c>
      <c r="B18" s="888" t="s">
        <v>76</v>
      </c>
      <c r="C18" s="887">
        <v>46073</v>
      </c>
      <c r="D18" s="887" t="s">
        <v>77</v>
      </c>
      <c r="E18" s="898">
        <v>46041</v>
      </c>
      <c r="F18" s="888" t="s">
        <v>78</v>
      </c>
      <c r="G18" s="899" t="s">
        <v>391</v>
      </c>
      <c r="H18" s="889">
        <v>67</v>
      </c>
      <c r="I18" s="521" t="s">
        <v>80</v>
      </c>
      <c r="J18" s="889" t="s">
        <v>55</v>
      </c>
      <c r="K18" s="889"/>
      <c r="L18" s="898">
        <v>46038</v>
      </c>
      <c r="M18" s="900" t="s">
        <v>56</v>
      </c>
      <c r="N18" s="910">
        <v>66854</v>
      </c>
      <c r="O18" s="900" t="s">
        <v>56</v>
      </c>
      <c r="P18" s="945" t="s">
        <v>81</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392</v>
      </c>
    </row>
    <row r="19" spans="1:30" ht="39.75" customHeight="1">
      <c r="A19" s="944" t="s">
        <v>393</v>
      </c>
      <c r="B19" s="888" t="s">
        <v>76</v>
      </c>
      <c r="C19" s="887">
        <v>46073</v>
      </c>
      <c r="D19" s="887" t="s">
        <v>394</v>
      </c>
      <c r="E19" s="887">
        <v>46045</v>
      </c>
      <c r="F19" s="888" t="s">
        <v>85</v>
      </c>
      <c r="G19" s="888" t="s">
        <v>395</v>
      </c>
      <c r="H19" s="889">
        <v>87</v>
      </c>
      <c r="I19" s="521" t="s">
        <v>80</v>
      </c>
      <c r="J19" s="889" t="s">
        <v>55</v>
      </c>
      <c r="K19" s="889"/>
      <c r="L19" s="887">
        <v>46038</v>
      </c>
      <c r="M19" s="900" t="s">
        <v>56</v>
      </c>
      <c r="N19" s="890">
        <v>82790</v>
      </c>
      <c r="O19" s="900" t="s">
        <v>56</v>
      </c>
      <c r="P19" s="945" t="s">
        <v>81</v>
      </c>
      <c r="Q19" s="892">
        <v>46029</v>
      </c>
      <c r="R19" s="892"/>
      <c r="S19" s="892"/>
      <c r="T19" s="892"/>
      <c r="U19" s="892"/>
      <c r="V19" s="634">
        <v>7108</v>
      </c>
      <c r="W19" s="946">
        <v>7301</v>
      </c>
      <c r="X19" s="893">
        <f>SUM(V19-W19)</f>
        <v>-193</v>
      </c>
      <c r="Y19" s="522">
        <f>IFERROR($W19/$V19, 0)</f>
        <v>1.0271525042205965</v>
      </c>
      <c r="Z19" s="903">
        <v>46057</v>
      </c>
      <c r="AA19" s="895">
        <v>0</v>
      </c>
      <c r="AB19" s="895">
        <v>0</v>
      </c>
      <c r="AC19" s="509">
        <v>0</v>
      </c>
      <c r="AD19" s="896" t="s">
        <v>396</v>
      </c>
    </row>
    <row r="20" spans="1:30" ht="39.75" customHeight="1">
      <c r="A20" s="944" t="s">
        <v>397</v>
      </c>
      <c r="B20" s="888" t="s">
        <v>76</v>
      </c>
      <c r="C20" s="887">
        <v>46073</v>
      </c>
      <c r="D20" s="887" t="s">
        <v>77</v>
      </c>
      <c r="E20" s="887">
        <v>46045</v>
      </c>
      <c r="F20" s="888" t="s">
        <v>78</v>
      </c>
      <c r="G20" s="888"/>
      <c r="H20" s="889">
        <v>81</v>
      </c>
      <c r="I20" s="521" t="s">
        <v>54</v>
      </c>
      <c r="J20" s="889" t="s">
        <v>55</v>
      </c>
      <c r="K20" s="889"/>
      <c r="L20" s="887">
        <v>46027</v>
      </c>
      <c r="M20" s="889" t="s">
        <v>56</v>
      </c>
      <c r="N20" s="890">
        <v>53152.33</v>
      </c>
      <c r="O20" s="889" t="s">
        <v>56</v>
      </c>
      <c r="P20" s="945" t="s">
        <v>81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77</v>
      </c>
      <c r="E21" s="887"/>
      <c r="F21" s="888" t="s">
        <v>78</v>
      </c>
      <c r="G21" s="888" t="s">
        <v>400</v>
      </c>
      <c r="H21" s="889">
        <v>0</v>
      </c>
      <c r="I21" s="521" t="s">
        <v>80</v>
      </c>
      <c r="J21" s="889" t="s">
        <v>55</v>
      </c>
      <c r="K21" s="889"/>
      <c r="L21" s="957" t="s">
        <v>353</v>
      </c>
      <c r="M21" s="889" t="s">
        <v>56</v>
      </c>
      <c r="N21" s="890">
        <v>38359.1</v>
      </c>
      <c r="O21" s="889" t="s">
        <v>56</v>
      </c>
      <c r="P21" s="945" t="s">
        <v>81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353</v>
      </c>
      <c r="F22" s="361" t="s">
        <v>85</v>
      </c>
      <c r="G22" s="364" t="s">
        <v>404</v>
      </c>
      <c r="H22" s="365">
        <v>0</v>
      </c>
      <c r="I22" s="365" t="s">
        <v>80</v>
      </c>
      <c r="J22" s="365" t="s">
        <v>55</v>
      </c>
      <c r="K22" s="365"/>
      <c r="L22" s="363" t="s">
        <v>102</v>
      </c>
      <c r="M22" s="365" t="s">
        <v>56</v>
      </c>
      <c r="N22" s="726">
        <v>1931.75</v>
      </c>
      <c r="O22" s="365" t="s">
        <v>56</v>
      </c>
      <c r="P22" s="824" t="s">
        <v>81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123</v>
      </c>
      <c r="E23" s="25">
        <v>45743</v>
      </c>
      <c r="F23" s="620" t="s">
        <v>52</v>
      </c>
      <c r="G23" s="636" t="s">
        <v>407</v>
      </c>
      <c r="H23" s="624">
        <v>69</v>
      </c>
      <c r="I23" s="521" t="s">
        <v>80</v>
      </c>
      <c r="J23" s="365" t="s">
        <v>55</v>
      </c>
      <c r="K23" s="717"/>
      <c r="L23" s="20">
        <v>45741</v>
      </c>
      <c r="M23" s="303" t="s">
        <v>56</v>
      </c>
      <c r="N23" s="673">
        <v>67734.5</v>
      </c>
      <c r="O23" s="303" t="s">
        <v>56</v>
      </c>
      <c r="P23" s="828" t="s">
        <v>81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80</v>
      </c>
      <c r="J24" s="373" t="s">
        <v>55</v>
      </c>
      <c r="K24" s="21"/>
      <c r="L24" s="302">
        <v>45716</v>
      </c>
      <c r="M24" s="21" t="s">
        <v>56</v>
      </c>
      <c r="N24" s="832">
        <v>56262.5</v>
      </c>
      <c r="O24" s="21" t="s">
        <v>56</v>
      </c>
      <c r="P24" s="828" t="s">
        <v>81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80</v>
      </c>
      <c r="J25" s="900" t="s">
        <v>55</v>
      </c>
      <c r="K25" s="900"/>
      <c r="L25" s="898">
        <v>45702</v>
      </c>
      <c r="M25" s="663" t="s">
        <v>56</v>
      </c>
      <c r="N25" s="910">
        <v>70635</v>
      </c>
      <c r="O25" s="663" t="s">
        <v>56</v>
      </c>
      <c r="P25" s="945" t="s">
        <v>81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80</v>
      </c>
      <c r="J26" s="900" t="s">
        <v>55</v>
      </c>
      <c r="K26" s="900"/>
      <c r="L26" s="898">
        <v>46028</v>
      </c>
      <c r="M26" s="900" t="s">
        <v>56</v>
      </c>
      <c r="N26" s="910">
        <v>29634.15</v>
      </c>
      <c r="O26" s="900" t="s">
        <v>56</v>
      </c>
      <c r="P26" s="945" t="s">
        <v>81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123</v>
      </c>
      <c r="E27" s="371">
        <v>45748</v>
      </c>
      <c r="F27" s="370" t="s">
        <v>52</v>
      </c>
      <c r="G27" s="659" t="s">
        <v>421</v>
      </c>
      <c r="H27" s="373">
        <v>0</v>
      </c>
      <c r="I27" s="373" t="s">
        <v>80</v>
      </c>
      <c r="J27" s="365" t="s">
        <v>55</v>
      </c>
      <c r="K27" s="660"/>
      <c r="L27" s="371">
        <v>45741</v>
      </c>
      <c r="M27" s="365" t="s">
        <v>56</v>
      </c>
      <c r="N27" s="777">
        <v>17203.45</v>
      </c>
      <c r="O27" s="365" t="s">
        <v>56</v>
      </c>
      <c r="P27" s="764" t="s">
        <v>81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80</v>
      </c>
      <c r="J28" s="889" t="s">
        <v>55</v>
      </c>
      <c r="K28" s="660"/>
      <c r="L28" s="898">
        <v>45742</v>
      </c>
      <c r="M28" s="889" t="s">
        <v>56</v>
      </c>
      <c r="N28" s="910">
        <v>13442.35</v>
      </c>
      <c r="O28" s="889" t="s">
        <v>56</v>
      </c>
      <c r="P28" s="1063" t="s">
        <v>81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123</v>
      </c>
      <c r="E29" s="25">
        <v>45779</v>
      </c>
      <c r="F29" s="620" t="s">
        <v>52</v>
      </c>
      <c r="G29" s="636" t="s">
        <v>428</v>
      </c>
      <c r="H29" s="624">
        <v>0</v>
      </c>
      <c r="I29" s="373" t="s">
        <v>80</v>
      </c>
      <c r="J29" s="365" t="s">
        <v>55</v>
      </c>
      <c r="K29" s="717"/>
      <c r="L29" s="20">
        <v>45742</v>
      </c>
      <c r="M29" s="723" t="s">
        <v>56</v>
      </c>
      <c r="N29" s="832">
        <v>23800.25</v>
      </c>
      <c r="O29" s="303" t="s">
        <v>56</v>
      </c>
      <c r="P29" s="828" t="s">
        <v>81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123</v>
      </c>
      <c r="E30" s="898">
        <v>45700</v>
      </c>
      <c r="F30" s="898" t="s">
        <v>52</v>
      </c>
      <c r="G30" s="898" t="s">
        <v>431</v>
      </c>
      <c r="H30" s="900">
        <v>0</v>
      </c>
      <c r="I30" s="900" t="s">
        <v>80</v>
      </c>
      <c r="J30" s="900" t="s">
        <v>55</v>
      </c>
      <c r="K30" s="900"/>
      <c r="L30" s="898">
        <v>45700</v>
      </c>
      <c r="M30" s="900" t="s">
        <v>56</v>
      </c>
      <c r="N30" s="910">
        <v>19745.25</v>
      </c>
      <c r="O30" s="900" t="s">
        <v>56</v>
      </c>
      <c r="P30" s="1063" t="s">
        <v>81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353</v>
      </c>
      <c r="F31" s="899" t="s">
        <v>52</v>
      </c>
      <c r="G31" s="899" t="s">
        <v>435</v>
      </c>
      <c r="H31" s="900">
        <v>380</v>
      </c>
      <c r="I31" s="521" t="s">
        <v>80</v>
      </c>
      <c r="J31" s="889" t="s">
        <v>63</v>
      </c>
      <c r="K31" s="919"/>
      <c r="L31" s="898">
        <v>45964</v>
      </c>
      <c r="M31" s="900" t="s">
        <v>56</v>
      </c>
      <c r="N31" s="910">
        <v>117414</v>
      </c>
      <c r="O31" s="900" t="s">
        <v>56</v>
      </c>
      <c r="P31" s="945" t="s">
        <v>81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7:K22 K5" xr:uid="{1F77D159-87F8-4334-B8DB-1D98E9EF8F0C}">
      <formula1>"Pending Locates,Permits, SOW Pending, NTP Pending, Materials, Reassigned, Door Tags"</formula1>
    </dataValidation>
    <dataValidation type="list" allowBlank="1" showInputMessage="1" showErrorMessage="1" sqref="I30 I6 I18:I20 I10:I13" xr:uid="{FF75A226-FC7F-404C-911A-49986724D48A}">
      <formula1>"On Track, In Jeopardy, Completed on Track, Completed, Completed -Missed TSD, On Hold Per Tillman"</formula1>
    </dataValidation>
    <dataValidation type="list" allowBlank="1" showInputMessage="1" showErrorMessage="1" sqref="I31 I14:I17 I21:I29 I2:I9" xr:uid="{FAE40925-7EC8-4626-B635-D815FEB73FF5}">
      <formula1>"On Track, In Jeopardy, Completed on Track, Completed, Completed -Missed TSD"</formula1>
    </dataValidation>
    <dataValidation type="list" allowBlank="1" showInputMessage="1" showErrorMessage="1" sqref="J4:J8 J2 J14: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133</v>
      </c>
      <c r="C2" s="302">
        <v>45868</v>
      </c>
      <c r="D2" s="19" t="s">
        <v>441</v>
      </c>
      <c r="E2" s="20">
        <v>45716</v>
      </c>
      <c r="F2" s="19" t="s">
        <v>150</v>
      </c>
      <c r="G2" s="1259" t="s">
        <v>442</v>
      </c>
      <c r="H2" s="21">
        <v>0</v>
      </c>
      <c r="I2" s="520" t="s">
        <v>80</v>
      </c>
      <c r="J2" s="21" t="s">
        <v>55</v>
      </c>
      <c r="K2" s="302">
        <v>45716</v>
      </c>
      <c r="L2" s="21" t="s">
        <v>56</v>
      </c>
      <c r="M2" s="346">
        <v>64932.55</v>
      </c>
      <c r="N2" s="1052">
        <v>69110.8</v>
      </c>
      <c r="O2" s="21" t="s">
        <v>56</v>
      </c>
      <c r="P2" s="303" t="s">
        <v>81</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133</v>
      </c>
      <c r="C3" s="302">
        <v>45991</v>
      </c>
      <c r="D3" s="20" t="s">
        <v>360</v>
      </c>
      <c r="E3" s="518">
        <v>45707</v>
      </c>
      <c r="F3" s="19" t="s">
        <v>150</v>
      </c>
      <c r="G3" s="519" t="s">
        <v>445</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133</v>
      </c>
      <c r="C4" s="20">
        <v>45807</v>
      </c>
      <c r="D4" s="20" t="s">
        <v>448</v>
      </c>
      <c r="E4" s="20">
        <v>45706</v>
      </c>
      <c r="F4" s="19" t="s">
        <v>150</v>
      </c>
      <c r="G4" s="309" t="s">
        <v>449</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133</v>
      </c>
      <c r="C5" s="302">
        <v>45991</v>
      </c>
      <c r="D5" s="19" t="s">
        <v>452</v>
      </c>
      <c r="E5" s="20">
        <v>45716</v>
      </c>
      <c r="F5" s="19" t="s">
        <v>142</v>
      </c>
      <c r="G5" s="306" t="s">
        <v>453</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133</v>
      </c>
      <c r="C6" s="302">
        <v>45991</v>
      </c>
      <c r="D6" s="19" t="s">
        <v>455</v>
      </c>
      <c r="E6" s="20">
        <v>45735</v>
      </c>
      <c r="F6" s="19" t="s">
        <v>150</v>
      </c>
      <c r="G6" s="306" t="s">
        <v>456</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133</v>
      </c>
      <c r="C7" s="363">
        <v>45991</v>
      </c>
      <c r="D7" s="370" t="s">
        <v>360</v>
      </c>
      <c r="E7" s="371">
        <v>45866</v>
      </c>
      <c r="F7" s="370" t="s">
        <v>150</v>
      </c>
      <c r="G7" s="659" t="s">
        <v>458</v>
      </c>
      <c r="H7" s="373">
        <v>0</v>
      </c>
      <c r="I7" s="663" t="s">
        <v>80</v>
      </c>
      <c r="J7" s="373" t="s">
        <v>55</v>
      </c>
      <c r="K7" s="371">
        <v>45863</v>
      </c>
      <c r="L7" s="373" t="s">
        <v>56</v>
      </c>
      <c r="M7" s="626">
        <v>143407.25</v>
      </c>
      <c r="N7" s="626">
        <v>172716.95</v>
      </c>
      <c r="O7" s="373" t="s">
        <v>56</v>
      </c>
      <c r="P7" s="1325" t="s">
        <v>81</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133</v>
      </c>
      <c r="C8" s="669">
        <v>45955</v>
      </c>
      <c r="D8" s="670" t="s">
        <v>84</v>
      </c>
      <c r="E8" s="670">
        <v>45919</v>
      </c>
      <c r="F8" s="670" t="s">
        <v>138</v>
      </c>
      <c r="G8" s="671" t="s">
        <v>461</v>
      </c>
      <c r="H8" s="316">
        <v>0</v>
      </c>
      <c r="I8" s="672" t="s">
        <v>80</v>
      </c>
      <c r="J8" s="316" t="s">
        <v>55</v>
      </c>
      <c r="K8" s="670" t="s">
        <v>353</v>
      </c>
      <c r="L8" s="316" t="s">
        <v>56</v>
      </c>
      <c r="M8" s="1226">
        <v>4646.75</v>
      </c>
      <c r="N8" s="1226">
        <v>9453.74</v>
      </c>
      <c r="O8" s="316" t="s">
        <v>69</v>
      </c>
      <c r="P8" s="1341" t="s">
        <v>81</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123</v>
      </c>
      <c r="E9" s="518">
        <v>45691</v>
      </c>
      <c r="F9" s="518" t="s">
        <v>78</v>
      </c>
      <c r="G9" s="530" t="s">
        <v>463</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78</v>
      </c>
      <c r="G10" s="448" t="s">
        <v>465</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84</v>
      </c>
      <c r="E11" s="302">
        <v>45813</v>
      </c>
      <c r="F11" s="464" t="s">
        <v>105</v>
      </c>
      <c r="G11" s="448" t="s">
        <v>468</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84</v>
      </c>
      <c r="E12" s="302">
        <v>45778</v>
      </c>
      <c r="F12" s="301" t="s">
        <v>78</v>
      </c>
      <c r="G12" s="531" t="s">
        <v>471</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123</v>
      </c>
      <c r="E13" s="20">
        <v>45918</v>
      </c>
      <c r="F13" s="19" t="s">
        <v>78</v>
      </c>
      <c r="G13" s="530"/>
      <c r="H13" s="21">
        <v>0</v>
      </c>
      <c r="I13" s="520" t="s">
        <v>80</v>
      </c>
      <c r="J13" s="21" t="s">
        <v>55</v>
      </c>
      <c r="K13" s="20">
        <v>45918</v>
      </c>
      <c r="L13" s="303" t="s">
        <v>56</v>
      </c>
      <c r="M13" s="349">
        <v>10840.25</v>
      </c>
      <c r="N13" s="346">
        <v>11474.35</v>
      </c>
      <c r="O13" s="303" t="s">
        <v>56</v>
      </c>
      <c r="P13" s="1339" t="s">
        <v>81</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84</v>
      </c>
      <c r="E14" s="20">
        <v>45715</v>
      </c>
      <c r="F14" s="19" t="s">
        <v>78</v>
      </c>
      <c r="G14" s="530" t="s">
        <v>476</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84</v>
      </c>
      <c r="E15" s="20">
        <v>45828</v>
      </c>
      <c r="F15" s="308" t="s">
        <v>105</v>
      </c>
      <c r="G15" s="306" t="s">
        <v>478</v>
      </c>
      <c r="H15" s="21">
        <v>0</v>
      </c>
      <c r="I15" s="307" t="s">
        <v>80</v>
      </c>
      <c r="J15" s="21" t="s">
        <v>55</v>
      </c>
      <c r="K15" s="302">
        <v>45826</v>
      </c>
      <c r="L15" s="303" t="s">
        <v>56</v>
      </c>
      <c r="M15" s="349">
        <v>144886</v>
      </c>
      <c r="N15" s="346">
        <v>138688</v>
      </c>
      <c r="O15" s="303" t="s">
        <v>56</v>
      </c>
      <c r="P15" s="303" t="s">
        <v>81</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84</v>
      </c>
      <c r="E16" s="20">
        <v>45853</v>
      </c>
      <c r="F16" s="19" t="s">
        <v>78</v>
      </c>
      <c r="G16" s="19" t="s">
        <v>481</v>
      </c>
      <c r="H16" s="21">
        <v>0</v>
      </c>
      <c r="I16" s="21" t="s">
        <v>80</v>
      </c>
      <c r="J16" s="21" t="s">
        <v>55</v>
      </c>
      <c r="K16" s="302">
        <v>45853</v>
      </c>
      <c r="L16" s="307" t="s">
        <v>56</v>
      </c>
      <c r="M16" s="349">
        <v>60849.9</v>
      </c>
      <c r="N16" s="346">
        <v>69149.45</v>
      </c>
      <c r="O16" s="307" t="s">
        <v>56</v>
      </c>
      <c r="P16" s="1339" t="s">
        <v>81</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105</v>
      </c>
      <c r="G17" s="532" t="s">
        <v>415</v>
      </c>
      <c r="H17" s="303">
        <v>54</v>
      </c>
      <c r="I17" s="527" t="s">
        <v>485</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84</v>
      </c>
      <c r="E18" s="20">
        <v>45712</v>
      </c>
      <c r="F18" s="518" t="s">
        <v>78</v>
      </c>
      <c r="G18" s="526" t="s">
        <v>487</v>
      </c>
      <c r="H18" s="21">
        <v>49</v>
      </c>
      <c r="I18" s="21" t="s">
        <v>485</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84</v>
      </c>
      <c r="E19" s="20">
        <v>45706</v>
      </c>
      <c r="F19" s="518" t="s">
        <v>105</v>
      </c>
      <c r="G19" s="530" t="s">
        <v>489</v>
      </c>
      <c r="H19" s="21">
        <v>56</v>
      </c>
      <c r="I19" s="520" t="s">
        <v>485</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78</v>
      </c>
      <c r="G20" s="526" t="s">
        <v>492</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123</v>
      </c>
      <c r="E21" s="20">
        <v>45679</v>
      </c>
      <c r="F21" s="518" t="s">
        <v>78</v>
      </c>
      <c r="G21" s="526" t="s">
        <v>494</v>
      </c>
      <c r="H21" s="21">
        <v>70</v>
      </c>
      <c r="I21" s="520" t="s">
        <v>485</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84</v>
      </c>
      <c r="E22" s="20">
        <v>45685</v>
      </c>
      <c r="F22" s="518" t="s">
        <v>78</v>
      </c>
      <c r="G22" s="526" t="s">
        <v>496</v>
      </c>
      <c r="H22" s="21">
        <v>75</v>
      </c>
      <c r="I22" s="520" t="s">
        <v>485</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105</v>
      </c>
      <c r="G23" s="526" t="s">
        <v>499</v>
      </c>
      <c r="H23" s="21">
        <v>65</v>
      </c>
      <c r="I23" s="520" t="s">
        <v>485</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84</v>
      </c>
      <c r="E24" s="20">
        <v>45685</v>
      </c>
      <c r="F24" s="518" t="s">
        <v>78</v>
      </c>
      <c r="G24" s="526" t="s">
        <v>501</v>
      </c>
      <c r="H24" s="21">
        <v>81</v>
      </c>
      <c r="I24" s="520" t="s">
        <v>485</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84</v>
      </c>
      <c r="E25" s="20">
        <v>45708</v>
      </c>
      <c r="F25" s="518" t="s">
        <v>105</v>
      </c>
      <c r="G25" s="530" t="s">
        <v>503</v>
      </c>
      <c r="H25" s="21">
        <v>50</v>
      </c>
      <c r="I25" s="21" t="s">
        <v>485</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84</v>
      </c>
      <c r="E26" s="20">
        <v>45729</v>
      </c>
      <c r="F26" s="19" t="s">
        <v>105</v>
      </c>
      <c r="G26" s="530" t="s">
        <v>505</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84</v>
      </c>
      <c r="E27" s="20">
        <v>45735</v>
      </c>
      <c r="F27" s="518" t="s">
        <v>78</v>
      </c>
      <c r="G27" s="530" t="s">
        <v>507</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84</v>
      </c>
      <c r="E28" s="20">
        <v>45712</v>
      </c>
      <c r="F28" s="518" t="s">
        <v>105</v>
      </c>
      <c r="G28" s="530" t="s">
        <v>509</v>
      </c>
      <c r="H28" s="21">
        <v>51</v>
      </c>
      <c r="I28" s="520" t="s">
        <v>485</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84</v>
      </c>
      <c r="E29" s="20">
        <v>45735</v>
      </c>
      <c r="F29" s="518" t="s">
        <v>105</v>
      </c>
      <c r="G29" s="530" t="s">
        <v>511</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84</v>
      </c>
      <c r="E30" s="20">
        <v>45735</v>
      </c>
      <c r="F30" s="518" t="s">
        <v>78</v>
      </c>
      <c r="G30" s="530" t="s">
        <v>513</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84</v>
      </c>
      <c r="E31" s="308">
        <v>45695</v>
      </c>
      <c r="F31" s="308" t="s">
        <v>105</v>
      </c>
      <c r="G31" s="447" t="s">
        <v>515</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84</v>
      </c>
      <c r="E32" s="302">
        <v>45796</v>
      </c>
      <c r="F32" s="464" t="s">
        <v>105</v>
      </c>
      <c r="G32" s="301" t="s">
        <v>517</v>
      </c>
      <c r="H32" s="303">
        <v>58</v>
      </c>
      <c r="I32" s="303" t="s">
        <v>80</v>
      </c>
      <c r="J32" s="303" t="s">
        <v>55</v>
      </c>
      <c r="K32" s="302">
        <v>45797</v>
      </c>
      <c r="L32" s="303" t="s">
        <v>56</v>
      </c>
      <c r="M32" s="349">
        <v>43097.65</v>
      </c>
      <c r="N32" s="346">
        <v>40400</v>
      </c>
      <c r="O32" s="303" t="s">
        <v>56</v>
      </c>
      <c r="P32" s="1339" t="s">
        <v>81</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84</v>
      </c>
      <c r="E33" s="661">
        <v>45880</v>
      </c>
      <c r="F33" s="348" t="s">
        <v>105</v>
      </c>
      <c r="G33" s="370" t="s">
        <v>520</v>
      </c>
      <c r="H33" s="373">
        <v>62</v>
      </c>
      <c r="I33" s="373" t="s">
        <v>80</v>
      </c>
      <c r="J33" s="373" t="s">
        <v>55</v>
      </c>
      <c r="K33" s="363">
        <v>45880</v>
      </c>
      <c r="L33" s="365" t="s">
        <v>56</v>
      </c>
      <c r="M33" s="783">
        <v>56807.95</v>
      </c>
      <c r="N33" s="346">
        <v>56716</v>
      </c>
      <c r="O33" s="365" t="s">
        <v>56</v>
      </c>
      <c r="P33" s="1325" t="s">
        <v>81</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84</v>
      </c>
      <c r="E34" s="513">
        <v>45882</v>
      </c>
      <c r="F34" s="513" t="s">
        <v>105</v>
      </c>
      <c r="G34" s="301" t="s">
        <v>523</v>
      </c>
      <c r="H34" s="303">
        <v>85</v>
      </c>
      <c r="I34" s="303" t="s">
        <v>80</v>
      </c>
      <c r="J34" s="303" t="s">
        <v>55</v>
      </c>
      <c r="K34" s="302">
        <v>45882</v>
      </c>
      <c r="L34" s="303" t="s">
        <v>56</v>
      </c>
      <c r="M34" s="349">
        <v>59869.5</v>
      </c>
      <c r="N34" s="346">
        <v>67514</v>
      </c>
      <c r="O34" s="303" t="s">
        <v>56</v>
      </c>
      <c r="P34" s="1309" t="s">
        <v>81</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84</v>
      </c>
      <c r="E35" s="302">
        <v>45896</v>
      </c>
      <c r="F35" s="464" t="s">
        <v>105</v>
      </c>
      <c r="G35" s="301" t="s">
        <v>526</v>
      </c>
      <c r="H35" s="303">
        <v>72</v>
      </c>
      <c r="I35" s="303" t="s">
        <v>80</v>
      </c>
      <c r="J35" s="303" t="s">
        <v>55</v>
      </c>
      <c r="K35" s="302">
        <v>45897</v>
      </c>
      <c r="L35" s="303" t="s">
        <v>56</v>
      </c>
      <c r="M35" s="349">
        <v>50874.95</v>
      </c>
      <c r="N35" s="346">
        <v>40948</v>
      </c>
      <c r="O35" s="303" t="s">
        <v>56</v>
      </c>
      <c r="P35" s="44" t="s">
        <v>81</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84</v>
      </c>
      <c r="E36" s="363">
        <v>45896</v>
      </c>
      <c r="F36" s="361" t="s">
        <v>105</v>
      </c>
      <c r="G36" s="361" t="s">
        <v>529</v>
      </c>
      <c r="H36" s="365">
        <v>66</v>
      </c>
      <c r="I36" s="365" t="s">
        <v>80</v>
      </c>
      <c r="J36" s="365" t="s">
        <v>55</v>
      </c>
      <c r="K36" s="363">
        <v>45897</v>
      </c>
      <c r="L36" s="365" t="s">
        <v>56</v>
      </c>
      <c r="M36" s="783">
        <v>44896.1</v>
      </c>
      <c r="N36" s="783">
        <v>33021</v>
      </c>
      <c r="O36" s="365" t="s">
        <v>56</v>
      </c>
      <c r="P36" s="1325" t="s">
        <v>81</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84</v>
      </c>
      <c r="E37" s="464">
        <v>45839</v>
      </c>
      <c r="F37" s="301" t="s">
        <v>78</v>
      </c>
      <c r="G37" s="301" t="s">
        <v>532</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84</v>
      </c>
      <c r="E38" s="513">
        <v>45910</v>
      </c>
      <c r="F38" s="513" t="s">
        <v>105</v>
      </c>
      <c r="G38" s="301" t="s">
        <v>535</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84</v>
      </c>
      <c r="E39" s="464">
        <v>45840</v>
      </c>
      <c r="F39" s="302" t="s">
        <v>78</v>
      </c>
      <c r="G39" s="301" t="s">
        <v>526</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84</v>
      </c>
      <c r="E40" s="464">
        <v>45839</v>
      </c>
      <c r="F40" s="301" t="s">
        <v>78</v>
      </c>
      <c r="G40" s="301" t="s">
        <v>540</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84</v>
      </c>
      <c r="E41" s="513">
        <v>45833</v>
      </c>
      <c r="F41" s="301" t="s">
        <v>105</v>
      </c>
      <c r="G41" s="301" t="s">
        <v>543</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84</v>
      </c>
      <c r="E42" s="464">
        <v>45839</v>
      </c>
      <c r="F42" s="302" t="s">
        <v>78</v>
      </c>
      <c r="G42" s="301" t="s">
        <v>546</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84</v>
      </c>
      <c r="E43" s="302">
        <v>45887</v>
      </c>
      <c r="F43" s="464" t="s">
        <v>105</v>
      </c>
      <c r="G43" s="504" t="s">
        <v>549</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84</v>
      </c>
      <c r="E44" s="20">
        <v>45887</v>
      </c>
      <c r="F44" s="19" t="s">
        <v>78</v>
      </c>
      <c r="G44" s="306" t="s">
        <v>552</v>
      </c>
      <c r="H44" s="21">
        <v>84</v>
      </c>
      <c r="I44" s="307" t="s">
        <v>80</v>
      </c>
      <c r="J44" s="21" t="s">
        <v>55</v>
      </c>
      <c r="K44" s="302">
        <v>45887</v>
      </c>
      <c r="L44" s="303" t="s">
        <v>56</v>
      </c>
      <c r="M44" s="349">
        <v>52110</v>
      </c>
      <c r="N44" s="346">
        <v>44802.8</v>
      </c>
      <c r="O44" s="303" t="s">
        <v>56</v>
      </c>
      <c r="P44" s="1309" t="s">
        <v>81</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84</v>
      </c>
      <c r="E45" s="20">
        <v>45758</v>
      </c>
      <c r="F45" s="518" t="s">
        <v>78</v>
      </c>
      <c r="G45" s="448" t="s">
        <v>555</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84</v>
      </c>
      <c r="E46" s="20">
        <v>45758</v>
      </c>
      <c r="F46" s="308" t="s">
        <v>78</v>
      </c>
      <c r="G46" s="448" t="s">
        <v>557</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84</v>
      </c>
      <c r="E47" s="20">
        <v>45758</v>
      </c>
      <c r="F47" s="308" t="s">
        <v>78</v>
      </c>
      <c r="G47" s="448" t="s">
        <v>559</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84</v>
      </c>
      <c r="E48" s="20">
        <v>45786</v>
      </c>
      <c r="F48" s="464" t="s">
        <v>78</v>
      </c>
      <c r="G48" s="504" t="s">
        <v>561</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5" t="s">
        <v>81</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5" t="s">
        <v>81</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5" t="s">
        <v>81</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84</v>
      </c>
      <c r="E52" s="887">
        <v>46021</v>
      </c>
      <c r="F52" s="888" t="s">
        <v>78</v>
      </c>
      <c r="G52" s="888" t="s">
        <v>570</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85</v>
      </c>
      <c r="G53" s="888" t="s">
        <v>574</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84</v>
      </c>
      <c r="E54" s="20">
        <v>45755</v>
      </c>
      <c r="F54" s="518" t="s">
        <v>105</v>
      </c>
      <c r="G54" s="448" t="s">
        <v>577</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105</v>
      </c>
      <c r="G55" s="530" t="s">
        <v>579</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84</v>
      </c>
      <c r="E57" s="20">
        <v>45749</v>
      </c>
      <c r="F57" s="518" t="s">
        <v>78</v>
      </c>
      <c r="G57" s="530" t="s">
        <v>583</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84</v>
      </c>
      <c r="E58" s="363">
        <v>45966</v>
      </c>
      <c r="F58" s="361" t="s">
        <v>78</v>
      </c>
      <c r="G58" s="542" t="s">
        <v>585</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84</v>
      </c>
      <c r="E59" s="363">
        <v>45966</v>
      </c>
      <c r="F59" s="361" t="s">
        <v>78</v>
      </c>
      <c r="G59" s="542" t="s">
        <v>588</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84</v>
      </c>
      <c r="E60" s="363">
        <v>45966</v>
      </c>
      <c r="F60" s="361" t="s">
        <v>85</v>
      </c>
      <c r="G60" s="542" t="s">
        <v>591</v>
      </c>
      <c r="H60" s="365">
        <v>75</v>
      </c>
      <c r="I60" s="521" t="s">
        <v>80</v>
      </c>
      <c r="J60" s="365" t="s">
        <v>55</v>
      </c>
      <c r="K60" s="363">
        <v>45967</v>
      </c>
      <c r="L60" s="365" t="s">
        <v>56</v>
      </c>
      <c r="M60" s="783">
        <v>60620</v>
      </c>
      <c r="N60" s="783">
        <v>55563.8</v>
      </c>
      <c r="O60" s="365" t="s">
        <v>56</v>
      </c>
      <c r="P60" s="1223" t="s">
        <v>81</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105</v>
      </c>
      <c r="G61" s="309" t="s">
        <v>595</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123</v>
      </c>
      <c r="E63" s="744">
        <v>45876</v>
      </c>
      <c r="F63" s="744" t="s">
        <v>78</v>
      </c>
      <c r="G63" s="805" t="s">
        <v>598</v>
      </c>
      <c r="H63" s="755">
        <v>0</v>
      </c>
      <c r="I63" s="806" t="s">
        <v>80</v>
      </c>
      <c r="J63" s="755" t="s">
        <v>55</v>
      </c>
      <c r="K63" s="744">
        <v>45876</v>
      </c>
      <c r="L63" s="755" t="s">
        <v>56</v>
      </c>
      <c r="M63" s="756">
        <v>1462.85</v>
      </c>
      <c r="N63" s="346">
        <v>5035.75</v>
      </c>
      <c r="O63" s="755" t="s">
        <v>56</v>
      </c>
      <c r="P63" s="1346" t="s">
        <v>81</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84</v>
      </c>
      <c r="E64" s="986">
        <v>45961</v>
      </c>
      <c r="F64" s="1039" t="s">
        <v>85</v>
      </c>
      <c r="G64" s="888"/>
      <c r="H64" s="1368">
        <v>0</v>
      </c>
      <c r="I64" s="521" t="s">
        <v>80</v>
      </c>
      <c r="J64" s="1368" t="s">
        <v>55</v>
      </c>
      <c r="K64" s="986" t="s">
        <v>102</v>
      </c>
      <c r="L64" s="1368" t="s">
        <v>56</v>
      </c>
      <c r="M64" s="1392">
        <v>15670.45</v>
      </c>
      <c r="N64" s="346">
        <v>12965</v>
      </c>
      <c r="O64" s="1368" t="s">
        <v>56</v>
      </c>
      <c r="P64" s="1393" t="s">
        <v>81</v>
      </c>
      <c r="Q64" s="1370">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105</v>
      </c>
      <c r="G65" s="531" t="s">
        <v>604</v>
      </c>
      <c r="H65" s="303">
        <v>0</v>
      </c>
      <c r="I65" s="527" t="s">
        <v>80</v>
      </c>
      <c r="J65" s="303" t="s">
        <v>55</v>
      </c>
      <c r="K65" s="20" t="s">
        <v>353</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123</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84</v>
      </c>
      <c r="E67" s="302">
        <v>45870</v>
      </c>
      <c r="F67" s="513" t="s">
        <v>105</v>
      </c>
      <c r="G67" s="531" t="s">
        <v>609</v>
      </c>
      <c r="H67" s="303">
        <v>0</v>
      </c>
      <c r="I67" s="303" t="s">
        <v>80</v>
      </c>
      <c r="J67" s="303" t="s">
        <v>55</v>
      </c>
      <c r="K67" s="302">
        <v>45870</v>
      </c>
      <c r="L67" s="303" t="s">
        <v>56</v>
      </c>
      <c r="M67" s="349">
        <v>49307.5</v>
      </c>
      <c r="N67" s="346">
        <v>47409</v>
      </c>
      <c r="O67" s="303" t="s">
        <v>56</v>
      </c>
      <c r="P67" s="303" t="s">
        <v>81</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78</v>
      </c>
      <c r="G68" s="542" t="s">
        <v>613</v>
      </c>
      <c r="H68" s="365">
        <v>0</v>
      </c>
      <c r="I68" s="365" t="s">
        <v>80</v>
      </c>
      <c r="J68" s="365" t="s">
        <v>55</v>
      </c>
      <c r="K68" s="363">
        <v>45968</v>
      </c>
      <c r="L68" s="365" t="s">
        <v>56</v>
      </c>
      <c r="M68" s="783">
        <v>12840.7</v>
      </c>
      <c r="N68" s="783">
        <v>12272.4</v>
      </c>
      <c r="O68" s="365" t="s">
        <v>56</v>
      </c>
      <c r="P68" s="1325" t="s">
        <v>81</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84</v>
      </c>
      <c r="E70" s="513">
        <v>45695</v>
      </c>
      <c r="F70" s="513" t="s">
        <v>105</v>
      </c>
      <c r="G70" s="622" t="s">
        <v>617</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84</v>
      </c>
      <c r="E71" s="302">
        <v>45870</v>
      </c>
      <c r="F71" s="513" t="s">
        <v>105</v>
      </c>
      <c r="G71" s="531" t="s">
        <v>620</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84</v>
      </c>
      <c r="E72" s="302">
        <v>45882</v>
      </c>
      <c r="F72" s="464" t="s">
        <v>105</v>
      </c>
      <c r="G72" s="504" t="s">
        <v>623</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84</v>
      </c>
      <c r="E73" s="20">
        <v>45786</v>
      </c>
      <c r="F73" s="464" t="s">
        <v>105</v>
      </c>
      <c r="G73" s="448" t="s">
        <v>626</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123</v>
      </c>
      <c r="E74" s="302">
        <v>45868</v>
      </c>
      <c r="F74" s="301" t="s">
        <v>78</v>
      </c>
      <c r="G74" s="531" t="s">
        <v>629</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84</v>
      </c>
      <c r="E75" s="887">
        <v>46002</v>
      </c>
      <c r="F75" s="888" t="s">
        <v>85</v>
      </c>
      <c r="G75" s="888"/>
      <c r="H75" s="889">
        <v>0</v>
      </c>
      <c r="I75" s="889" t="s">
        <v>80</v>
      </c>
      <c r="J75" s="889" t="s">
        <v>55</v>
      </c>
      <c r="K75" s="887" t="s">
        <v>102</v>
      </c>
      <c r="L75" s="889" t="s">
        <v>56</v>
      </c>
      <c r="M75" s="1304">
        <v>11500.3</v>
      </c>
      <c r="N75" s="1304">
        <v>12331.25</v>
      </c>
      <c r="O75" s="941" t="s">
        <v>56</v>
      </c>
      <c r="P75" s="1342" t="s">
        <v>81</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123</v>
      </c>
      <c r="E76" s="464">
        <v>45839</v>
      </c>
      <c r="F76" s="302" t="s">
        <v>78</v>
      </c>
      <c r="G76" s="306" t="s">
        <v>634</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123</v>
      </c>
      <c r="E77" s="20">
        <v>45945</v>
      </c>
      <c r="F77" s="19" t="s">
        <v>78</v>
      </c>
      <c r="G77" s="530" t="s">
        <v>637</v>
      </c>
      <c r="H77" s="21">
        <v>0</v>
      </c>
      <c r="I77" s="21" t="s">
        <v>80</v>
      </c>
      <c r="J77" s="21" t="s">
        <v>55</v>
      </c>
      <c r="K77" s="302">
        <v>45936</v>
      </c>
      <c r="L77" s="316" t="s">
        <v>56</v>
      </c>
      <c r="M77" s="349">
        <v>4235.8</v>
      </c>
      <c r="N77" s="346">
        <v>3228.9</v>
      </c>
      <c r="O77" s="1306" t="s">
        <v>56</v>
      </c>
      <c r="P77" s="1309" t="s">
        <v>81</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123</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123</v>
      </c>
      <c r="E79" s="302">
        <v>45849</v>
      </c>
      <c r="F79" s="513" t="s">
        <v>78</v>
      </c>
      <c r="G79" s="531" t="s">
        <v>642</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123</v>
      </c>
      <c r="E80" s="513">
        <v>45882</v>
      </c>
      <c r="F80" s="301" t="s">
        <v>78</v>
      </c>
      <c r="G80" s="622" t="s">
        <v>645</v>
      </c>
      <c r="H80" s="303">
        <v>0</v>
      </c>
      <c r="I80" s="527" t="s">
        <v>80</v>
      </c>
      <c r="J80" s="303" t="s">
        <v>55</v>
      </c>
      <c r="K80" s="302" t="s">
        <v>353</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123</v>
      </c>
      <c r="E81" s="20">
        <v>45806</v>
      </c>
      <c r="F81" s="301" t="s">
        <v>78</v>
      </c>
      <c r="G81" s="622" t="s">
        <v>648</v>
      </c>
      <c r="H81" s="303">
        <v>0</v>
      </c>
      <c r="I81" s="527" t="s">
        <v>80</v>
      </c>
      <c r="J81" s="303" t="s">
        <v>55</v>
      </c>
      <c r="K81" s="302" t="s">
        <v>649</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84</v>
      </c>
      <c r="E82" s="308">
        <v>45695</v>
      </c>
      <c r="F82" s="308" t="s">
        <v>78</v>
      </c>
      <c r="G82" s="309" t="s">
        <v>652</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84</v>
      </c>
      <c r="E83" s="20">
        <v>45763</v>
      </c>
      <c r="F83" s="513" t="s">
        <v>105</v>
      </c>
      <c r="G83" s="448" t="s">
        <v>654</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78</v>
      </c>
      <c r="G84" s="448" t="s">
        <v>656</v>
      </c>
      <c r="H84" s="21">
        <v>48</v>
      </c>
      <c r="I84" s="520" t="s">
        <v>485</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84</v>
      </c>
      <c r="E88" s="20">
        <v>45727</v>
      </c>
      <c r="F88" s="19" t="s">
        <v>52</v>
      </c>
      <c r="G88" s="463" t="s">
        <v>667</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84</v>
      </c>
      <c r="E91" s="20">
        <v>45716</v>
      </c>
      <c r="F91" s="19" t="s">
        <v>52</v>
      </c>
      <c r="G91" s="306" t="s">
        <v>677</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84</v>
      </c>
      <c r="E93" s="518">
        <v>45685</v>
      </c>
      <c r="F93" s="518" t="s">
        <v>52</v>
      </c>
      <c r="G93" s="519" t="s">
        <v>683</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80</v>
      </c>
      <c r="J94" s="307" t="s">
        <v>55</v>
      </c>
      <c r="K94" s="308">
        <v>45695</v>
      </c>
      <c r="L94" s="307" t="s">
        <v>56</v>
      </c>
      <c r="M94" s="1260">
        <v>89698.5</v>
      </c>
      <c r="N94" s="429">
        <v>86876.5</v>
      </c>
      <c r="O94" s="307" t="s">
        <v>56</v>
      </c>
      <c r="P94" s="303" t="s">
        <v>81</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84</v>
      </c>
      <c r="E98" s="308">
        <v>45685</v>
      </c>
      <c r="F98" s="19" t="s">
        <v>52</v>
      </c>
      <c r="G98" s="447" t="s">
        <v>696</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142</v>
      </c>
      <c r="G102" s="519" t="s">
        <v>711</v>
      </c>
      <c r="H102" s="21">
        <v>86</v>
      </c>
      <c r="I102" s="520" t="s">
        <v>485</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123</v>
      </c>
      <c r="E104" s="518">
        <v>45686</v>
      </c>
      <c r="F104" s="518" t="s">
        <v>52</v>
      </c>
      <c r="G104" s="519" t="s">
        <v>717</v>
      </c>
      <c r="H104" s="21">
        <v>88</v>
      </c>
      <c r="I104" s="520" t="s">
        <v>485</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142</v>
      </c>
      <c r="G106" s="306" t="s">
        <v>725</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142</v>
      </c>
      <c r="G108" s="519" t="s">
        <v>730</v>
      </c>
      <c r="H108" s="21">
        <v>73</v>
      </c>
      <c r="I108" s="527" t="s">
        <v>485</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84</v>
      </c>
      <c r="E112" s="20">
        <v>45743</v>
      </c>
      <c r="F112" s="19" t="s">
        <v>52</v>
      </c>
      <c r="G112" s="306" t="s">
        <v>739</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84</v>
      </c>
      <c r="E120" s="20">
        <v>45743</v>
      </c>
      <c r="F120" s="19" t="s">
        <v>52</v>
      </c>
      <c r="G120" s="530" t="s">
        <v>759</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6" t="s">
        <v>786</v>
      </c>
      <c r="H131" s="21">
        <v>85</v>
      </c>
      <c r="I131" s="307" t="s">
        <v>80</v>
      </c>
      <c r="J131" s="21" t="s">
        <v>55</v>
      </c>
      <c r="K131" s="20">
        <v>45707</v>
      </c>
      <c r="L131" s="21" t="s">
        <v>56</v>
      </c>
      <c r="M131" s="346" t="s">
        <v>787</v>
      </c>
      <c r="N131" s="444">
        <v>67080</v>
      </c>
      <c r="O131" s="21" t="s">
        <v>56</v>
      </c>
      <c r="P131" s="303" t="s">
        <v>81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142</v>
      </c>
      <c r="G135" s="526" t="s">
        <v>796</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142</v>
      </c>
      <c r="G136" s="526" t="s">
        <v>799</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84</v>
      </c>
      <c r="E139" s="308">
        <v>45698</v>
      </c>
      <c r="F139" s="308" t="s">
        <v>52</v>
      </c>
      <c r="G139" s="309" t="s">
        <v>805</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81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353</v>
      </c>
      <c r="F144" s="308" t="s">
        <v>819</v>
      </c>
      <c r="G144" s="447" t="s">
        <v>820</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80</v>
      </c>
      <c r="J146" s="21" t="s">
        <v>55</v>
      </c>
      <c r="K146" s="20" t="s">
        <v>353</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84</v>
      </c>
      <c r="E147" s="20"/>
      <c r="F147" s="19" t="s">
        <v>831</v>
      </c>
      <c r="G147" s="306"/>
      <c r="H147" s="978">
        <v>80</v>
      </c>
      <c r="I147" s="520" t="s">
        <v>80</v>
      </c>
      <c r="J147" s="21" t="s">
        <v>55</v>
      </c>
      <c r="K147" s="20" t="s">
        <v>353</v>
      </c>
      <c r="L147" s="21" t="s">
        <v>56</v>
      </c>
      <c r="M147" s="1061">
        <v>170</v>
      </c>
      <c r="N147" s="346">
        <v>588.79999999999995</v>
      </c>
      <c r="O147" s="21" t="s">
        <v>56</v>
      </c>
      <c r="P147" s="303" t="s">
        <v>81</v>
      </c>
      <c r="Q147" s="514" t="s">
        <v>353</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84</v>
      </c>
      <c r="E148" s="20"/>
      <c r="F148" s="19" t="s">
        <v>831</v>
      </c>
      <c r="G148" s="306"/>
      <c r="H148" s="978">
        <v>89</v>
      </c>
      <c r="I148" s="520" t="s">
        <v>80</v>
      </c>
      <c r="J148" s="21" t="s">
        <v>55</v>
      </c>
      <c r="K148" s="20" t="s">
        <v>353</v>
      </c>
      <c r="L148" s="21" t="s">
        <v>56</v>
      </c>
      <c r="M148" s="1061">
        <v>26696</v>
      </c>
      <c r="N148" s="346">
        <v>499.4</v>
      </c>
      <c r="O148" s="21" t="s">
        <v>56</v>
      </c>
      <c r="P148" s="303" t="s">
        <v>81</v>
      </c>
      <c r="Q148" s="130" t="s">
        <v>353</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84</v>
      </c>
      <c r="E149" s="302">
        <v>45959</v>
      </c>
      <c r="F149" s="301" t="s">
        <v>831</v>
      </c>
      <c r="G149" s="504"/>
      <c r="H149" s="827">
        <v>77</v>
      </c>
      <c r="I149" s="520" t="s">
        <v>80</v>
      </c>
      <c r="J149" s="21" t="s">
        <v>55</v>
      </c>
      <c r="K149" s="20" t="s">
        <v>353</v>
      </c>
      <c r="L149" s="21" t="s">
        <v>56</v>
      </c>
      <c r="M149" s="1061">
        <v>4046.5</v>
      </c>
      <c r="N149" s="346">
        <v>7377.15</v>
      </c>
      <c r="O149" s="21" t="s">
        <v>56</v>
      </c>
      <c r="P149" s="303" t="s">
        <v>81</v>
      </c>
      <c r="Q149" s="745" t="s">
        <v>353</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84</v>
      </c>
      <c r="E150" s="708"/>
      <c r="F150" s="620" t="s">
        <v>831</v>
      </c>
      <c r="G150" s="802"/>
      <c r="H150" s="1330">
        <v>62</v>
      </c>
      <c r="I150" s="637" t="s">
        <v>80</v>
      </c>
      <c r="J150" s="624" t="s">
        <v>55</v>
      </c>
      <c r="K150" s="25" t="s">
        <v>353</v>
      </c>
      <c r="L150" s="624" t="s">
        <v>56</v>
      </c>
      <c r="M150" s="1331">
        <v>170</v>
      </c>
      <c r="N150" s="1327">
        <v>948</v>
      </c>
      <c r="O150" s="624" t="s">
        <v>56</v>
      </c>
      <c r="P150" s="638" t="s">
        <v>81</v>
      </c>
      <c r="Q150" s="130" t="s">
        <v>353</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84</v>
      </c>
      <c r="E151" s="302"/>
      <c r="F151" s="620" t="s">
        <v>831</v>
      </c>
      <c r="G151" s="504"/>
      <c r="H151" s="827">
        <v>80</v>
      </c>
      <c r="I151" s="766" t="s">
        <v>80</v>
      </c>
      <c r="J151" s="767" t="s">
        <v>55</v>
      </c>
      <c r="K151" s="371" t="s">
        <v>353</v>
      </c>
      <c r="L151" s="767" t="s">
        <v>56</v>
      </c>
      <c r="M151" s="1047">
        <v>25891</v>
      </c>
      <c r="N151" s="346">
        <v>618.6</v>
      </c>
      <c r="O151" s="21" t="s">
        <v>56</v>
      </c>
      <c r="P151" s="282" t="s">
        <v>81</v>
      </c>
      <c r="Q151" s="61" t="s">
        <v>353</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84</v>
      </c>
      <c r="E152" s="20"/>
      <c r="F152" s="19" t="s">
        <v>831</v>
      </c>
      <c r="G152" s="306"/>
      <c r="H152" s="978">
        <v>83</v>
      </c>
      <c r="I152" s="520" t="s">
        <v>80</v>
      </c>
      <c r="J152" s="21" t="s">
        <v>55</v>
      </c>
      <c r="K152" s="20" t="s">
        <v>353</v>
      </c>
      <c r="L152" s="21" t="s">
        <v>56</v>
      </c>
      <c r="M152" s="1061">
        <v>170</v>
      </c>
      <c r="N152" s="346">
        <v>499.4</v>
      </c>
      <c r="O152" s="21" t="s">
        <v>56</v>
      </c>
      <c r="P152" s="303" t="s">
        <v>81</v>
      </c>
      <c r="Q152" s="1332" t="s">
        <v>353</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84</v>
      </c>
      <c r="E153" s="25"/>
      <c r="F153" s="620" t="s">
        <v>831</v>
      </c>
      <c r="G153" s="623"/>
      <c r="H153" s="980">
        <v>85</v>
      </c>
      <c r="I153" s="637" t="s">
        <v>80</v>
      </c>
      <c r="J153" s="624" t="s">
        <v>55</v>
      </c>
      <c r="K153" s="371" t="s">
        <v>353</v>
      </c>
      <c r="L153" s="767" t="s">
        <v>56</v>
      </c>
      <c r="M153" s="1047">
        <v>30788</v>
      </c>
      <c r="N153" s="1327">
        <v>678.2</v>
      </c>
      <c r="O153" s="21" t="s">
        <v>56</v>
      </c>
      <c r="P153" s="282" t="s">
        <v>81</v>
      </c>
      <c r="Q153" s="367" t="s">
        <v>353</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84</v>
      </c>
      <c r="E154" s="363">
        <v>45959</v>
      </c>
      <c r="F154" s="361" t="s">
        <v>831</v>
      </c>
      <c r="G154" s="504"/>
      <c r="H154" s="827">
        <v>88</v>
      </c>
      <c r="I154" s="766" t="s">
        <v>80</v>
      </c>
      <c r="J154" s="767" t="s">
        <v>55</v>
      </c>
      <c r="K154" s="371" t="s">
        <v>353</v>
      </c>
      <c r="L154" s="767" t="s">
        <v>56</v>
      </c>
      <c r="M154" s="1047">
        <v>5668</v>
      </c>
      <c r="N154" s="346">
        <v>588.79999999999995</v>
      </c>
      <c r="O154" s="21" t="s">
        <v>56</v>
      </c>
      <c r="P154" s="282" t="s">
        <v>81</v>
      </c>
      <c r="Q154" s="367" t="s">
        <v>353</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84</v>
      </c>
      <c r="E155" s="363">
        <v>45959</v>
      </c>
      <c r="F155" s="361" t="s">
        <v>831</v>
      </c>
      <c r="G155" s="504"/>
      <c r="H155" s="827">
        <v>30</v>
      </c>
      <c r="I155" s="766" t="s">
        <v>80</v>
      </c>
      <c r="J155" s="767" t="s">
        <v>55</v>
      </c>
      <c r="K155" s="371" t="s">
        <v>353</v>
      </c>
      <c r="L155" s="767" t="s">
        <v>56</v>
      </c>
      <c r="M155" s="1047">
        <v>170</v>
      </c>
      <c r="N155" s="346">
        <v>499.4</v>
      </c>
      <c r="O155" s="21" t="s">
        <v>56</v>
      </c>
      <c r="P155" s="282" t="s">
        <v>81</v>
      </c>
      <c r="Q155" s="367" t="s">
        <v>353</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133</v>
      </c>
      <c r="C162" s="363">
        <v>45960</v>
      </c>
      <c r="D162" s="363" t="s">
        <v>149</v>
      </c>
      <c r="E162" s="363">
        <v>45852</v>
      </c>
      <c r="F162" s="508" t="s">
        <v>150</v>
      </c>
      <c r="G162" s="542" t="s">
        <v>851</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133</v>
      </c>
      <c r="C163" s="363">
        <v>45960</v>
      </c>
      <c r="D163" s="363" t="s">
        <v>853</v>
      </c>
      <c r="E163" s="363">
        <v>45897</v>
      </c>
      <c r="F163" s="361" t="s">
        <v>138</v>
      </c>
      <c r="G163" s="542"/>
      <c r="H163" s="365">
        <v>0</v>
      </c>
      <c r="I163" s="521" t="s">
        <v>80</v>
      </c>
      <c r="J163" s="365" t="s">
        <v>55</v>
      </c>
      <c r="K163" s="363">
        <v>45891</v>
      </c>
      <c r="L163" s="303" t="s">
        <v>56</v>
      </c>
      <c r="M163" s="349">
        <v>184994.5</v>
      </c>
      <c r="N163" s="1290"/>
      <c r="O163" s="365" t="s">
        <v>56</v>
      </c>
      <c r="P163" s="603" t="s">
        <v>81</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133</v>
      </c>
      <c r="C164" s="363">
        <v>45960</v>
      </c>
      <c r="D164" s="363" t="s">
        <v>856</v>
      </c>
      <c r="E164" s="363">
        <v>45909</v>
      </c>
      <c r="F164" s="363" t="s">
        <v>142</v>
      </c>
      <c r="G164" s="542" t="s">
        <v>857</v>
      </c>
      <c r="H164" s="365">
        <v>0</v>
      </c>
      <c r="I164" s="365" t="s">
        <v>80</v>
      </c>
      <c r="J164" s="365" t="s">
        <v>55</v>
      </c>
      <c r="K164" s="363">
        <v>45905</v>
      </c>
      <c r="L164" s="365" t="s">
        <v>56</v>
      </c>
      <c r="M164" s="871">
        <v>98170.1</v>
      </c>
      <c r="N164" s="1348"/>
      <c r="O164" s="365" t="s">
        <v>56</v>
      </c>
      <c r="P164" s="603" t="s">
        <v>81</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133</v>
      </c>
      <c r="C165" s="721">
        <v>45999</v>
      </c>
      <c r="D165" s="725" t="s">
        <v>123</v>
      </c>
      <c r="E165" s="775">
        <v>45975</v>
      </c>
      <c r="F165" s="725" t="s">
        <v>142</v>
      </c>
      <c r="G165" s="776" t="s">
        <v>860</v>
      </c>
      <c r="H165" s="767">
        <v>0</v>
      </c>
      <c r="I165" s="724" t="s">
        <v>80</v>
      </c>
      <c r="J165" s="723" t="s">
        <v>55</v>
      </c>
      <c r="K165" s="670">
        <v>45960</v>
      </c>
      <c r="L165" s="21" t="s">
        <v>56</v>
      </c>
      <c r="M165" s="346">
        <v>4911.8999999999996</v>
      </c>
      <c r="N165" s="1291"/>
      <c r="O165" s="767" t="s">
        <v>56</v>
      </c>
      <c r="P165" s="1285" t="s">
        <v>81</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133</v>
      </c>
      <c r="C166" s="363">
        <v>45960</v>
      </c>
      <c r="D166" s="371" t="s">
        <v>149</v>
      </c>
      <c r="E166" s="371">
        <v>45930</v>
      </c>
      <c r="F166" s="370" t="s">
        <v>150</v>
      </c>
      <c r="G166" s="662"/>
      <c r="H166" s="666">
        <v>80</v>
      </c>
      <c r="I166" s="663" t="s">
        <v>80</v>
      </c>
      <c r="J166" s="666" t="s">
        <v>55</v>
      </c>
      <c r="K166" s="670">
        <v>45902</v>
      </c>
      <c r="L166" s="520" t="s">
        <v>56</v>
      </c>
      <c r="M166" s="1295">
        <v>90173</v>
      </c>
      <c r="N166" s="1364"/>
      <c r="O166" s="849" t="s">
        <v>56</v>
      </c>
      <c r="P166" s="603" t="s">
        <v>81</v>
      </c>
      <c r="Q166" s="374">
        <v>45898</v>
      </c>
      <c r="R166" s="773">
        <v>7009</v>
      </c>
      <c r="S166" s="1126">
        <v>6948</v>
      </c>
      <c r="T166" s="1361">
        <v>0</v>
      </c>
      <c r="U166" s="1365">
        <f>IFERROR(Table5[[#This Row],[Actual Redline Completed Footage UG]]/Table5[[#This Row],[Footage UG]], 0)</f>
        <v>0.99129690398059633</v>
      </c>
      <c r="V166" s="538">
        <v>45944</v>
      </c>
      <c r="W166" s="473">
        <v>1</v>
      </c>
      <c r="X166" s="473">
        <v>1</v>
      </c>
      <c r="Y166" s="473">
        <v>1</v>
      </c>
      <c r="Z166" s="379" t="s">
        <v>459</v>
      </c>
      <c r="AA166" s="1366" t="s">
        <v>347</v>
      </c>
    </row>
    <row r="167" spans="1:27" ht="39.75" customHeight="1">
      <c r="A167" s="601" t="s">
        <v>863</v>
      </c>
      <c r="B167" s="665" t="s">
        <v>133</v>
      </c>
      <c r="C167" s="363">
        <v>45960</v>
      </c>
      <c r="D167" s="371" t="s">
        <v>134</v>
      </c>
      <c r="E167" s="371">
        <v>45950</v>
      </c>
      <c r="F167" s="370" t="s">
        <v>138</v>
      </c>
      <c r="G167" s="662"/>
      <c r="H167" s="666">
        <v>80</v>
      </c>
      <c r="I167" s="663" t="s">
        <v>80</v>
      </c>
      <c r="J167" s="666" t="s">
        <v>55</v>
      </c>
      <c r="K167" s="850">
        <v>45905</v>
      </c>
      <c r="L167" s="520" t="s">
        <v>56</v>
      </c>
      <c r="M167" s="1295">
        <v>66674.3</v>
      </c>
      <c r="N167" s="1292"/>
      <c r="O167" s="663" t="s">
        <v>56</v>
      </c>
      <c r="P167" s="603" t="s">
        <v>81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133</v>
      </c>
      <c r="C168" s="363">
        <v>45960</v>
      </c>
      <c r="D168" s="371" t="s">
        <v>134</v>
      </c>
      <c r="E168" s="371">
        <v>45937</v>
      </c>
      <c r="F168" s="370" t="s">
        <v>138</v>
      </c>
      <c r="G168" s="662"/>
      <c r="H168" s="666">
        <v>82</v>
      </c>
      <c r="I168" s="663" t="s">
        <v>80</v>
      </c>
      <c r="J168" s="666" t="s">
        <v>55</v>
      </c>
      <c r="K168" s="371">
        <v>45903</v>
      </c>
      <c r="L168" s="663" t="s">
        <v>56</v>
      </c>
      <c r="M168" s="1335">
        <v>93666.75</v>
      </c>
      <c r="N168" s="1289"/>
      <c r="O168" s="663" t="s">
        <v>56</v>
      </c>
      <c r="P168" s="603" t="s">
        <v>81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347</v>
      </c>
    </row>
    <row r="169" spans="1:27" ht="39.75" customHeight="1">
      <c r="A169" s="795" t="s">
        <v>866</v>
      </c>
      <c r="B169" s="665" t="s">
        <v>133</v>
      </c>
      <c r="C169" s="371">
        <v>45807</v>
      </c>
      <c r="D169" s="361" t="s">
        <v>441</v>
      </c>
      <c r="E169" s="370" t="s">
        <v>353</v>
      </c>
      <c r="F169" s="361" t="s">
        <v>150</v>
      </c>
      <c r="G169" s="659" t="s">
        <v>867</v>
      </c>
      <c r="H169" s="365">
        <v>84</v>
      </c>
      <c r="I169" s="663" t="s">
        <v>80</v>
      </c>
      <c r="J169" s="373" t="s">
        <v>55</v>
      </c>
      <c r="K169" s="363">
        <v>45716</v>
      </c>
      <c r="L169" s="1293" t="s">
        <v>56</v>
      </c>
      <c r="M169" s="1294">
        <v>2812.95</v>
      </c>
      <c r="N169" s="421"/>
      <c r="O169" s="373" t="s">
        <v>56</v>
      </c>
      <c r="P169" s="603" t="s">
        <v>81</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133</v>
      </c>
      <c r="C170" s="363">
        <v>45991</v>
      </c>
      <c r="D170" s="370" t="s">
        <v>149</v>
      </c>
      <c r="E170" s="371">
        <v>45880</v>
      </c>
      <c r="F170" s="370" t="s">
        <v>150</v>
      </c>
      <c r="G170" s="659" t="s">
        <v>869</v>
      </c>
      <c r="H170" s="373">
        <v>57</v>
      </c>
      <c r="I170" s="663" t="s">
        <v>80</v>
      </c>
      <c r="J170" s="373" t="s">
        <v>55</v>
      </c>
      <c r="K170" s="371">
        <v>45863</v>
      </c>
      <c r="L170" s="373" t="s">
        <v>56</v>
      </c>
      <c r="M170" s="1237">
        <v>49223.7</v>
      </c>
      <c r="N170" s="1289"/>
      <c r="O170" s="373" t="s">
        <v>56</v>
      </c>
      <c r="P170" s="603" t="s">
        <v>81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133</v>
      </c>
      <c r="C171" s="363">
        <v>45991</v>
      </c>
      <c r="D171" s="370" t="s">
        <v>149</v>
      </c>
      <c r="E171" s="371">
        <v>45880</v>
      </c>
      <c r="F171" s="370" t="s">
        <v>150</v>
      </c>
      <c r="G171" s="659" t="s">
        <v>872</v>
      </c>
      <c r="H171" s="373">
        <v>75</v>
      </c>
      <c r="I171" s="663" t="s">
        <v>80</v>
      </c>
      <c r="J171" s="373" t="s">
        <v>55</v>
      </c>
      <c r="K171" s="371">
        <v>45879</v>
      </c>
      <c r="L171" s="373" t="s">
        <v>56</v>
      </c>
      <c r="M171" s="1237">
        <v>68151.75</v>
      </c>
      <c r="N171" s="1289"/>
      <c r="O171" s="373" t="s">
        <v>56</v>
      </c>
      <c r="P171" s="603" t="s">
        <v>81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133</v>
      </c>
      <c r="C172" s="887">
        <v>46079</v>
      </c>
      <c r="D172" s="899" t="s">
        <v>134</v>
      </c>
      <c r="E172" s="898">
        <v>46055</v>
      </c>
      <c r="F172" s="899" t="s">
        <v>138</v>
      </c>
      <c r="G172" s="898" t="s">
        <v>874</v>
      </c>
      <c r="H172" s="900">
        <v>0</v>
      </c>
      <c r="I172" s="889" t="s">
        <v>80</v>
      </c>
      <c r="J172" s="666" t="s">
        <v>55</v>
      </c>
      <c r="K172" s="898" t="s">
        <v>353</v>
      </c>
      <c r="L172" s="900" t="s">
        <v>56</v>
      </c>
      <c r="M172" s="1239">
        <v>11518.95</v>
      </c>
      <c r="N172" s="1289"/>
      <c r="O172" s="900" t="s">
        <v>56</v>
      </c>
      <c r="P172" s="1080" t="s">
        <v>81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133</v>
      </c>
      <c r="C173" s="898">
        <v>46011</v>
      </c>
      <c r="D173" s="899" t="s">
        <v>134</v>
      </c>
      <c r="E173" s="898">
        <v>45923</v>
      </c>
      <c r="F173" s="899" t="s">
        <v>138</v>
      </c>
      <c r="G173" s="899" t="s">
        <v>877</v>
      </c>
      <c r="H173" s="900">
        <v>0</v>
      </c>
      <c r="I173" s="663" t="s">
        <v>80</v>
      </c>
      <c r="J173" s="900" t="s">
        <v>55</v>
      </c>
      <c r="K173" s="898" t="s">
        <v>353</v>
      </c>
      <c r="L173" s="900" t="s">
        <v>56</v>
      </c>
      <c r="M173" s="1239">
        <v>139581.6</v>
      </c>
      <c r="N173" s="1289"/>
      <c r="O173" s="900" t="s">
        <v>56</v>
      </c>
      <c r="P173" s="1080" t="s">
        <v>81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133</v>
      </c>
      <c r="C174" s="20">
        <v>45711</v>
      </c>
      <c r="D174" s="19" t="s">
        <v>84</v>
      </c>
      <c r="E174" s="20">
        <v>45707</v>
      </c>
      <c r="F174" s="19" t="s">
        <v>880</v>
      </c>
      <c r="G174" s="306" t="s">
        <v>881</v>
      </c>
      <c r="H174" s="21">
        <v>0</v>
      </c>
      <c r="I174" s="307" t="s">
        <v>80</v>
      </c>
      <c r="J174" s="21" t="s">
        <v>55</v>
      </c>
      <c r="K174" s="20">
        <v>45701</v>
      </c>
      <c r="L174" s="21" t="s">
        <v>56</v>
      </c>
      <c r="M174" s="346">
        <v>111163</v>
      </c>
      <c r="N174" s="595"/>
      <c r="O174" s="21" t="s">
        <v>56</v>
      </c>
      <c r="P174" s="461" t="s">
        <v>81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133</v>
      </c>
      <c r="C175" s="363">
        <v>45960</v>
      </c>
      <c r="D175" s="370" t="s">
        <v>134</v>
      </c>
      <c r="E175" s="371">
        <v>45966</v>
      </c>
      <c r="F175" s="370" t="s">
        <v>138</v>
      </c>
      <c r="G175" s="659"/>
      <c r="H175" s="373">
        <v>0</v>
      </c>
      <c r="I175" s="663" t="s">
        <v>80</v>
      </c>
      <c r="J175" s="373" t="s">
        <v>55</v>
      </c>
      <c r="K175" s="371" t="s">
        <v>353</v>
      </c>
      <c r="L175" s="373" t="s">
        <v>56</v>
      </c>
      <c r="M175" s="1237">
        <v>29960</v>
      </c>
      <c r="N175" s="595"/>
      <c r="O175" s="373" t="s">
        <v>56</v>
      </c>
      <c r="P175" s="603" t="s">
        <v>81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133</v>
      </c>
      <c r="C176" s="363">
        <v>45960</v>
      </c>
      <c r="D176" s="370" t="s">
        <v>134</v>
      </c>
      <c r="E176" s="371">
        <v>45944</v>
      </c>
      <c r="F176" s="370" t="s">
        <v>138</v>
      </c>
      <c r="G176" s="659"/>
      <c r="H176" s="373">
        <v>0</v>
      </c>
      <c r="I176" s="663" t="s">
        <v>80</v>
      </c>
      <c r="J176" s="373" t="s">
        <v>55</v>
      </c>
      <c r="K176" s="371" t="s">
        <v>353</v>
      </c>
      <c r="L176" s="373" t="s">
        <v>56</v>
      </c>
      <c r="M176" s="626">
        <v>50539.6</v>
      </c>
      <c r="N176" s="595"/>
      <c r="O176" s="373" t="s">
        <v>56</v>
      </c>
      <c r="P176" s="603" t="s">
        <v>81</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133</v>
      </c>
      <c r="C177" s="363">
        <v>45991</v>
      </c>
      <c r="D177" s="370" t="s">
        <v>123</v>
      </c>
      <c r="E177" s="371">
        <v>45880</v>
      </c>
      <c r="F177" s="370" t="s">
        <v>142</v>
      </c>
      <c r="G177" s="659" t="s">
        <v>887</v>
      </c>
      <c r="H177" s="373">
        <v>0</v>
      </c>
      <c r="I177" s="663" t="s">
        <v>80</v>
      </c>
      <c r="J177" s="373" t="s">
        <v>55</v>
      </c>
      <c r="K177" s="371">
        <v>45881</v>
      </c>
      <c r="L177" s="373" t="s">
        <v>56</v>
      </c>
      <c r="M177" s="626">
        <v>4815.6499999999996</v>
      </c>
      <c r="N177" s="422"/>
      <c r="O177" s="373" t="s">
        <v>56</v>
      </c>
      <c r="P177" s="603" t="s">
        <v>81</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133</v>
      </c>
      <c r="C178" s="887">
        <v>46040</v>
      </c>
      <c r="D178" s="899" t="s">
        <v>149</v>
      </c>
      <c r="E178" s="898">
        <v>46042</v>
      </c>
      <c r="F178" s="899" t="s">
        <v>138</v>
      </c>
      <c r="G178" s="899"/>
      <c r="H178" s="900">
        <v>0</v>
      </c>
      <c r="I178" s="663" t="s">
        <v>80</v>
      </c>
      <c r="J178" s="900" t="s">
        <v>55</v>
      </c>
      <c r="K178" s="898" t="s">
        <v>353</v>
      </c>
      <c r="L178" s="900" t="s">
        <v>56</v>
      </c>
      <c r="M178" s="1239">
        <v>45312.55</v>
      </c>
      <c r="N178" s="1289"/>
      <c r="O178" s="900" t="s">
        <v>56</v>
      </c>
      <c r="P178" s="1080" t="s">
        <v>81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133</v>
      </c>
      <c r="C179" s="887">
        <v>46040</v>
      </c>
      <c r="D179" s="899" t="s">
        <v>260</v>
      </c>
      <c r="E179" s="898">
        <v>46034</v>
      </c>
      <c r="F179" s="899" t="s">
        <v>138</v>
      </c>
      <c r="G179" s="899"/>
      <c r="H179" s="900">
        <v>76</v>
      </c>
      <c r="I179" s="663" t="s">
        <v>80</v>
      </c>
      <c r="J179" s="666" t="s">
        <v>55</v>
      </c>
      <c r="K179" s="898">
        <v>46036</v>
      </c>
      <c r="L179" s="900" t="s">
        <v>56</v>
      </c>
      <c r="M179" s="1239">
        <v>64325</v>
      </c>
      <c r="N179" s="1289"/>
      <c r="O179" s="900" t="s">
        <v>56</v>
      </c>
      <c r="P179" s="1080" t="s">
        <v>81</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220</v>
      </c>
      <c r="C180" s="363">
        <v>46006</v>
      </c>
      <c r="D180" s="370" t="s">
        <v>134</v>
      </c>
      <c r="E180" s="371">
        <v>45987</v>
      </c>
      <c r="F180" s="370" t="s">
        <v>150</v>
      </c>
      <c r="G180" s="659" t="s">
        <v>894</v>
      </c>
      <c r="H180" s="373">
        <v>35</v>
      </c>
      <c r="I180" s="663" t="s">
        <v>80</v>
      </c>
      <c r="J180" s="373" t="s">
        <v>55</v>
      </c>
      <c r="K180" s="371" t="s">
        <v>353</v>
      </c>
      <c r="L180" s="373" t="s">
        <v>56</v>
      </c>
      <c r="M180" s="1237">
        <v>35942</v>
      </c>
      <c r="N180" s="1289"/>
      <c r="O180" s="373" t="s">
        <v>56</v>
      </c>
      <c r="P180" s="603" t="s">
        <v>81</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389</v>
      </c>
    </row>
    <row r="181" spans="1:27" ht="39.75" customHeight="1">
      <c r="A181" s="601" t="s">
        <v>895</v>
      </c>
      <c r="B181" s="665" t="s">
        <v>220</v>
      </c>
      <c r="C181" s="363">
        <v>46006</v>
      </c>
      <c r="D181" s="370" t="s">
        <v>134</v>
      </c>
      <c r="E181" s="371">
        <v>45975</v>
      </c>
      <c r="F181" s="370" t="s">
        <v>150</v>
      </c>
      <c r="G181" s="659" t="s">
        <v>896</v>
      </c>
      <c r="H181" s="373">
        <v>86</v>
      </c>
      <c r="I181" s="663" t="s">
        <v>80</v>
      </c>
      <c r="J181" s="666" t="s">
        <v>55</v>
      </c>
      <c r="K181" s="371" t="s">
        <v>353</v>
      </c>
      <c r="L181" s="373" t="s">
        <v>56</v>
      </c>
      <c r="M181" s="1237">
        <v>111432</v>
      </c>
      <c r="N181" s="595"/>
      <c r="O181" s="373" t="s">
        <v>56</v>
      </c>
      <c r="P181" s="603" t="s">
        <v>81</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220</v>
      </c>
      <c r="C182" s="363">
        <v>46006</v>
      </c>
      <c r="D182" s="370" t="s">
        <v>134</v>
      </c>
      <c r="E182" s="371">
        <v>45980</v>
      </c>
      <c r="F182" s="370" t="s">
        <v>150</v>
      </c>
      <c r="G182" s="659" t="s">
        <v>899</v>
      </c>
      <c r="H182" s="373">
        <v>75</v>
      </c>
      <c r="I182" s="663" t="s">
        <v>80</v>
      </c>
      <c r="J182" s="373" t="s">
        <v>55</v>
      </c>
      <c r="K182" s="371" t="s">
        <v>353</v>
      </c>
      <c r="L182" s="373" t="s">
        <v>56</v>
      </c>
      <c r="M182" s="1237">
        <v>82330</v>
      </c>
      <c r="N182" s="595"/>
      <c r="O182" s="373" t="s">
        <v>56</v>
      </c>
      <c r="P182" s="603" t="s">
        <v>81</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389</v>
      </c>
    </row>
    <row r="183" spans="1:27" ht="39.75" customHeight="1">
      <c r="A183" s="300" t="s">
        <v>900</v>
      </c>
      <c r="B183" s="301" t="s">
        <v>76</v>
      </c>
      <c r="C183" s="20">
        <v>45899</v>
      </c>
      <c r="D183" s="302" t="s">
        <v>84</v>
      </c>
      <c r="E183" s="302">
        <v>45873</v>
      </c>
      <c r="F183" s="464" t="s">
        <v>105</v>
      </c>
      <c r="G183" s="504"/>
      <c r="H183" s="303">
        <v>50</v>
      </c>
      <c r="I183" s="304" t="s">
        <v>80</v>
      </c>
      <c r="J183" s="303" t="s">
        <v>63</v>
      </c>
      <c r="K183" s="302">
        <v>45874</v>
      </c>
      <c r="L183" s="303" t="s">
        <v>56</v>
      </c>
      <c r="M183" s="349">
        <v>11894.25</v>
      </c>
      <c r="N183" s="43"/>
      <c r="O183" s="303" t="s">
        <v>56</v>
      </c>
      <c r="P183" s="462" t="s">
        <v>81</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84</v>
      </c>
      <c r="E184" s="363">
        <v>45786</v>
      </c>
      <c r="F184" s="381" t="s">
        <v>78</v>
      </c>
      <c r="G184" s="361" t="s">
        <v>902</v>
      </c>
      <c r="H184" s="365">
        <v>0</v>
      </c>
      <c r="I184" s="365" t="s">
        <v>80</v>
      </c>
      <c r="J184" s="365" t="s">
        <v>55</v>
      </c>
      <c r="K184" s="363">
        <v>45786</v>
      </c>
      <c r="L184" s="365" t="s">
        <v>56</v>
      </c>
      <c r="M184" s="783">
        <v>133172.15</v>
      </c>
      <c r="N184" s="595"/>
      <c r="O184" s="365" t="s">
        <v>56</v>
      </c>
      <c r="P184" s="603" t="s">
        <v>81</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123</v>
      </c>
      <c r="E185" s="371">
        <v>45918</v>
      </c>
      <c r="F185" s="361" t="s">
        <v>78</v>
      </c>
      <c r="G185" s="19" t="s">
        <v>905</v>
      </c>
      <c r="H185" s="780">
        <v>0</v>
      </c>
      <c r="I185" s="521" t="s">
        <v>80</v>
      </c>
      <c r="J185" s="365" t="s">
        <v>55</v>
      </c>
      <c r="K185" s="371">
        <v>45918</v>
      </c>
      <c r="L185" s="373" t="s">
        <v>56</v>
      </c>
      <c r="M185" s="626">
        <v>9611.9500000000007</v>
      </c>
      <c r="N185" s="422"/>
      <c r="O185" s="373" t="s">
        <v>56</v>
      </c>
      <c r="P185" s="603" t="s">
        <v>81</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123</v>
      </c>
      <c r="E186" s="363">
        <v>45793</v>
      </c>
      <c r="F186" s="381" t="s">
        <v>78</v>
      </c>
      <c r="G186" s="781" t="s">
        <v>908</v>
      </c>
      <c r="H186" s="365">
        <v>0</v>
      </c>
      <c r="I186" s="365" t="s">
        <v>80</v>
      </c>
      <c r="J186" s="365" t="s">
        <v>55</v>
      </c>
      <c r="K186" s="363">
        <v>45793</v>
      </c>
      <c r="L186" s="365" t="s">
        <v>56</v>
      </c>
      <c r="M186" s="783">
        <v>53589.8</v>
      </c>
      <c r="N186" s="346"/>
      <c r="O186" s="365" t="s">
        <v>56</v>
      </c>
      <c r="P186" s="603" t="s">
        <v>81</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123</v>
      </c>
      <c r="E187" s="887">
        <v>46042</v>
      </c>
      <c r="F187" s="888" t="s">
        <v>85</v>
      </c>
      <c r="G187" s="888" t="s">
        <v>911</v>
      </c>
      <c r="H187" s="889">
        <v>11</v>
      </c>
      <c r="I187" s="521" t="s">
        <v>80</v>
      </c>
      <c r="J187" s="889" t="s">
        <v>55</v>
      </c>
      <c r="K187" s="887">
        <v>46029</v>
      </c>
      <c r="L187" s="889" t="s">
        <v>56</v>
      </c>
      <c r="M187" s="1079">
        <v>10772</v>
      </c>
      <c r="N187" s="43"/>
      <c r="O187" s="889" t="s">
        <v>56</v>
      </c>
      <c r="P187" s="1080" t="s">
        <v>81</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84</v>
      </c>
      <c r="E188" s="20">
        <v>45884</v>
      </c>
      <c r="F188" s="19" t="s">
        <v>105</v>
      </c>
      <c r="G188" s="306"/>
      <c r="H188" s="21">
        <v>69</v>
      </c>
      <c r="I188" s="307" t="s">
        <v>80</v>
      </c>
      <c r="J188" s="21" t="s">
        <v>55</v>
      </c>
      <c r="K188" s="302">
        <v>45884</v>
      </c>
      <c r="L188" s="303" t="s">
        <v>56</v>
      </c>
      <c r="M188" s="349">
        <v>67441</v>
      </c>
      <c r="N188" s="43"/>
      <c r="O188" s="303" t="s">
        <v>56</v>
      </c>
      <c r="P188" s="599" t="s">
        <v>81</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84</v>
      </c>
      <c r="E189" s="363">
        <v>45966</v>
      </c>
      <c r="F189" s="361" t="s">
        <v>78</v>
      </c>
      <c r="G189" s="542" t="s">
        <v>916</v>
      </c>
      <c r="H189" s="365">
        <v>83</v>
      </c>
      <c r="I189" s="521" t="s">
        <v>80</v>
      </c>
      <c r="J189" s="365" t="s">
        <v>55</v>
      </c>
      <c r="K189" s="363">
        <v>45969</v>
      </c>
      <c r="L189" s="365" t="s">
        <v>56</v>
      </c>
      <c r="M189" s="871">
        <v>66402</v>
      </c>
      <c r="N189" s="43"/>
      <c r="O189" s="365" t="s">
        <v>56</v>
      </c>
      <c r="P189" s="603" t="s">
        <v>81</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84</v>
      </c>
      <c r="E190" s="363">
        <v>45966</v>
      </c>
      <c r="F190" s="361" t="s">
        <v>78</v>
      </c>
      <c r="G190" s="542" t="s">
        <v>919</v>
      </c>
      <c r="H190" s="365">
        <v>77</v>
      </c>
      <c r="I190" s="521" t="s">
        <v>80</v>
      </c>
      <c r="J190" s="365" t="s">
        <v>55</v>
      </c>
      <c r="K190" s="363">
        <v>45967</v>
      </c>
      <c r="L190" s="365" t="s">
        <v>56</v>
      </c>
      <c r="M190" s="871">
        <v>63997.35</v>
      </c>
      <c r="N190" s="43"/>
      <c r="O190" s="365" t="s">
        <v>56</v>
      </c>
      <c r="P190" s="603" t="s">
        <v>81</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84</v>
      </c>
      <c r="E191" s="887">
        <v>46001</v>
      </c>
      <c r="F191" s="888" t="s">
        <v>85</v>
      </c>
      <c r="G191" s="888"/>
      <c r="H191" s="889">
        <v>49</v>
      </c>
      <c r="I191" s="521" t="s">
        <v>80</v>
      </c>
      <c r="J191" s="889" t="s">
        <v>55</v>
      </c>
      <c r="K191" s="887">
        <v>45994</v>
      </c>
      <c r="L191" s="900" t="s">
        <v>56</v>
      </c>
      <c r="M191" s="1079">
        <v>42150</v>
      </c>
      <c r="N191" s="890"/>
      <c r="O191" s="900" t="s">
        <v>56</v>
      </c>
      <c r="P191" s="1080" t="s">
        <v>81</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105</v>
      </c>
      <c r="G192" s="659"/>
      <c r="H192" s="373">
        <v>76</v>
      </c>
      <c r="I192" s="663" t="s">
        <v>80</v>
      </c>
      <c r="J192" s="373" t="s">
        <v>55</v>
      </c>
      <c r="K192" s="371">
        <v>45888</v>
      </c>
      <c r="L192" s="373" t="s">
        <v>56</v>
      </c>
      <c r="M192" s="626">
        <v>53902</v>
      </c>
      <c r="N192" s="422"/>
      <c r="O192" s="373" t="s">
        <v>56</v>
      </c>
      <c r="P192" s="603" t="s">
        <v>81</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84</v>
      </c>
      <c r="E193" s="508">
        <v>45910</v>
      </c>
      <c r="F193" s="361" t="s">
        <v>78</v>
      </c>
      <c r="G193" s="361" t="s">
        <v>926</v>
      </c>
      <c r="H193" s="365">
        <v>80</v>
      </c>
      <c r="I193" s="365" t="s">
        <v>80</v>
      </c>
      <c r="J193" s="365" t="s">
        <v>55</v>
      </c>
      <c r="K193" s="363">
        <v>45903</v>
      </c>
      <c r="L193" s="365" t="s">
        <v>56</v>
      </c>
      <c r="M193" s="783">
        <v>59116.7</v>
      </c>
      <c r="N193" s="421"/>
      <c r="O193" s="365" t="s">
        <v>56</v>
      </c>
      <c r="P193" s="603" t="s">
        <v>81</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78</v>
      </c>
      <c r="G194" s="888" t="s">
        <v>929</v>
      </c>
      <c r="H194" s="889">
        <v>67</v>
      </c>
      <c r="I194" s="521" t="s">
        <v>80</v>
      </c>
      <c r="J194" s="889" t="s">
        <v>55</v>
      </c>
      <c r="K194" s="887">
        <v>45936</v>
      </c>
      <c r="L194" s="889" t="s">
        <v>56</v>
      </c>
      <c r="M194" s="1079">
        <v>38192</v>
      </c>
      <c r="N194" s="890"/>
      <c r="O194" s="889" t="s">
        <v>56</v>
      </c>
      <c r="P194" s="1080" t="s">
        <v>81</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84</v>
      </c>
      <c r="E195" s="508">
        <v>45910</v>
      </c>
      <c r="F195" s="508" t="s">
        <v>105</v>
      </c>
      <c r="G195" s="542" t="s">
        <v>932</v>
      </c>
      <c r="H195" s="365">
        <v>67</v>
      </c>
      <c r="I195" s="521" t="s">
        <v>80</v>
      </c>
      <c r="J195" s="365" t="s">
        <v>55</v>
      </c>
      <c r="K195" s="363">
        <v>45903</v>
      </c>
      <c r="L195" s="365" t="s">
        <v>56</v>
      </c>
      <c r="M195" s="783">
        <v>40406</v>
      </c>
      <c r="N195" s="421"/>
      <c r="O195" s="365" t="s">
        <v>56</v>
      </c>
      <c r="P195" s="603" t="s">
        <v>81</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78</v>
      </c>
      <c r="G196" s="888" t="s">
        <v>935</v>
      </c>
      <c r="H196" s="889">
        <v>68</v>
      </c>
      <c r="I196" s="521" t="s">
        <v>80</v>
      </c>
      <c r="J196" s="889" t="s">
        <v>55</v>
      </c>
      <c r="K196" s="887">
        <v>45936</v>
      </c>
      <c r="L196" s="889" t="s">
        <v>56</v>
      </c>
      <c r="M196" s="1079">
        <v>37755.599999999999</v>
      </c>
      <c r="N196" s="890"/>
      <c r="O196" s="889" t="s">
        <v>56</v>
      </c>
      <c r="P196" s="1080" t="s">
        <v>81</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78</v>
      </c>
      <c r="G197" s="888" t="s">
        <v>938</v>
      </c>
      <c r="H197" s="889">
        <v>28</v>
      </c>
      <c r="I197" s="521" t="s">
        <v>80</v>
      </c>
      <c r="J197" s="889" t="s">
        <v>55</v>
      </c>
      <c r="K197" s="887">
        <v>45972</v>
      </c>
      <c r="L197" s="889" t="s">
        <v>56</v>
      </c>
      <c r="M197" s="1079">
        <v>27615.5</v>
      </c>
      <c r="N197" s="890"/>
      <c r="O197" s="889" t="s">
        <v>56</v>
      </c>
      <c r="P197" s="1080" t="s">
        <v>81</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84</v>
      </c>
      <c r="E198" s="513">
        <v>45910</v>
      </c>
      <c r="F198" s="301" t="s">
        <v>78</v>
      </c>
      <c r="G198" s="531"/>
      <c r="H198" s="303">
        <v>54</v>
      </c>
      <c r="I198" s="527" t="s">
        <v>80</v>
      </c>
      <c r="J198" s="303" t="s">
        <v>55</v>
      </c>
      <c r="K198" s="302">
        <v>45903</v>
      </c>
      <c r="L198" s="303" t="s">
        <v>56</v>
      </c>
      <c r="M198" s="349">
        <v>27186</v>
      </c>
      <c r="N198" s="595"/>
      <c r="O198" s="303" t="s">
        <v>56</v>
      </c>
      <c r="P198" s="599" t="s">
        <v>81</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105</v>
      </c>
      <c r="G199" s="306" t="s">
        <v>943</v>
      </c>
      <c r="H199" s="21">
        <v>70</v>
      </c>
      <c r="I199" s="307" t="s">
        <v>80</v>
      </c>
      <c r="J199" s="21" t="s">
        <v>55</v>
      </c>
      <c r="K199" s="302">
        <v>45887</v>
      </c>
      <c r="L199" s="303" t="s">
        <v>56</v>
      </c>
      <c r="M199" s="349">
        <v>69889</v>
      </c>
      <c r="N199" s="43"/>
      <c r="O199" s="303" t="s">
        <v>56</v>
      </c>
      <c r="P199" s="462" t="s">
        <v>81</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84</v>
      </c>
      <c r="E200" s="20">
        <v>45896</v>
      </c>
      <c r="F200" s="308" t="s">
        <v>105</v>
      </c>
      <c r="G200" s="306"/>
      <c r="H200" s="21">
        <v>87</v>
      </c>
      <c r="I200" s="307" t="s">
        <v>80</v>
      </c>
      <c r="J200" s="21" t="s">
        <v>55</v>
      </c>
      <c r="K200" s="302">
        <v>45897</v>
      </c>
      <c r="L200" s="303" t="s">
        <v>56</v>
      </c>
      <c r="M200" s="349">
        <v>52204</v>
      </c>
      <c r="N200" s="595"/>
      <c r="O200" s="303" t="s">
        <v>56</v>
      </c>
      <c r="P200" s="599" t="s">
        <v>81</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84</v>
      </c>
      <c r="E201" s="887">
        <v>45999</v>
      </c>
      <c r="F201" s="888" t="s">
        <v>78</v>
      </c>
      <c r="G201" s="888" t="s">
        <v>948</v>
      </c>
      <c r="H201" s="889">
        <v>87</v>
      </c>
      <c r="I201" s="521" t="s">
        <v>80</v>
      </c>
      <c r="J201" s="889" t="s">
        <v>55</v>
      </c>
      <c r="K201" s="887">
        <v>45999</v>
      </c>
      <c r="L201" s="889" t="s">
        <v>56</v>
      </c>
      <c r="M201" s="1079">
        <v>74384</v>
      </c>
      <c r="N201" s="890"/>
      <c r="O201" s="889" t="s">
        <v>56</v>
      </c>
      <c r="P201" s="1080" t="s">
        <v>81</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84</v>
      </c>
      <c r="E202" s="363">
        <v>45979</v>
      </c>
      <c r="F202" s="361" t="s">
        <v>105</v>
      </c>
      <c r="G202" s="542" t="s">
        <v>951</v>
      </c>
      <c r="H202" s="365">
        <v>28</v>
      </c>
      <c r="I202" s="521" t="s">
        <v>80</v>
      </c>
      <c r="J202" s="365" t="s">
        <v>55</v>
      </c>
      <c r="K202" s="363">
        <v>45979</v>
      </c>
      <c r="L202" s="365" t="s">
        <v>56</v>
      </c>
      <c r="M202" s="783">
        <v>29683</v>
      </c>
      <c r="N202" s="421"/>
      <c r="O202" s="365" t="s">
        <v>56</v>
      </c>
      <c r="P202" s="603" t="s">
        <v>81</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84</v>
      </c>
      <c r="E203" s="887">
        <v>46006</v>
      </c>
      <c r="F203" s="888" t="s">
        <v>78</v>
      </c>
      <c r="G203" s="888" t="s">
        <v>954</v>
      </c>
      <c r="H203" s="889">
        <v>21</v>
      </c>
      <c r="I203" s="521" t="s">
        <v>80</v>
      </c>
      <c r="J203" s="889" t="s">
        <v>55</v>
      </c>
      <c r="K203" s="887">
        <v>46006</v>
      </c>
      <c r="L203" s="889" t="s">
        <v>56</v>
      </c>
      <c r="M203" s="1079">
        <v>20891</v>
      </c>
      <c r="N203" s="595"/>
      <c r="O203" s="889" t="s">
        <v>56</v>
      </c>
      <c r="P203" s="1080" t="s">
        <v>81</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84</v>
      </c>
      <c r="E204" s="20">
        <v>45915</v>
      </c>
      <c r="F204" s="518" t="s">
        <v>105</v>
      </c>
      <c r="G204" s="530"/>
      <c r="H204" s="21">
        <v>53</v>
      </c>
      <c r="I204" s="520" t="s">
        <v>80</v>
      </c>
      <c r="J204" s="21" t="s">
        <v>55</v>
      </c>
      <c r="K204" s="302">
        <v>45912</v>
      </c>
      <c r="L204" s="303" t="s">
        <v>56</v>
      </c>
      <c r="M204" s="349">
        <v>47676</v>
      </c>
      <c r="N204" s="595"/>
      <c r="O204" s="303" t="s">
        <v>56</v>
      </c>
      <c r="P204" s="599" t="s">
        <v>81</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84</v>
      </c>
      <c r="E205" s="20">
        <v>45945</v>
      </c>
      <c r="F205" s="19" t="s">
        <v>85</v>
      </c>
      <c r="G205" s="530"/>
      <c r="H205" s="21">
        <v>59</v>
      </c>
      <c r="I205" s="520" t="s">
        <v>80</v>
      </c>
      <c r="J205" s="21" t="s">
        <v>55</v>
      </c>
      <c r="K205" s="302">
        <v>45933</v>
      </c>
      <c r="L205" s="303" t="s">
        <v>56</v>
      </c>
      <c r="M205" s="349">
        <v>44697.599999999999</v>
      </c>
      <c r="N205" s="595"/>
      <c r="O205" s="303" t="s">
        <v>56</v>
      </c>
      <c r="P205" s="599" t="s">
        <v>81</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84</v>
      </c>
      <c r="E206" s="363">
        <v>45915</v>
      </c>
      <c r="F206" s="508" t="s">
        <v>105</v>
      </c>
      <c r="G206" s="542"/>
      <c r="H206" s="365">
        <v>82</v>
      </c>
      <c r="I206" s="521" t="s">
        <v>80</v>
      </c>
      <c r="J206" s="365" t="s">
        <v>55</v>
      </c>
      <c r="K206" s="363">
        <v>45912</v>
      </c>
      <c r="L206" s="365" t="s">
        <v>56</v>
      </c>
      <c r="M206" s="783">
        <v>82621.149999999994</v>
      </c>
      <c r="N206" s="421"/>
      <c r="O206" s="365" t="s">
        <v>56</v>
      </c>
      <c r="P206" s="603" t="s">
        <v>81</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84</v>
      </c>
      <c r="E207" s="363">
        <v>45936</v>
      </c>
      <c r="F207" s="361" t="s">
        <v>85</v>
      </c>
      <c r="G207" s="542"/>
      <c r="H207" s="365">
        <v>35</v>
      </c>
      <c r="I207" s="521" t="s">
        <v>80</v>
      </c>
      <c r="J207" s="365" t="s">
        <v>55</v>
      </c>
      <c r="K207" s="363">
        <v>45933</v>
      </c>
      <c r="L207" s="365" t="s">
        <v>56</v>
      </c>
      <c r="M207" s="783">
        <v>26026</v>
      </c>
      <c r="N207" s="421"/>
      <c r="O207" s="365" t="s">
        <v>56</v>
      </c>
      <c r="P207" s="603" t="s">
        <v>81</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77</v>
      </c>
      <c r="E208" s="20">
        <v>45950</v>
      </c>
      <c r="F208" s="19" t="s">
        <v>85</v>
      </c>
      <c r="G208" s="530"/>
      <c r="H208" s="21">
        <v>82</v>
      </c>
      <c r="I208" s="520" t="s">
        <v>80</v>
      </c>
      <c r="J208" s="21" t="s">
        <v>55</v>
      </c>
      <c r="K208" s="302">
        <v>45933</v>
      </c>
      <c r="L208" s="303" t="s">
        <v>56</v>
      </c>
      <c r="M208" s="349">
        <v>58864</v>
      </c>
      <c r="N208" s="595"/>
      <c r="O208" s="303" t="s">
        <v>56</v>
      </c>
      <c r="P208" s="599" t="s">
        <v>81</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84</v>
      </c>
      <c r="E209" s="363">
        <v>45932</v>
      </c>
      <c r="F209" s="361" t="s">
        <v>105</v>
      </c>
      <c r="G209" s="542"/>
      <c r="H209" s="365">
        <v>34</v>
      </c>
      <c r="I209" s="521" t="s">
        <v>80</v>
      </c>
      <c r="J209" s="365" t="s">
        <v>55</v>
      </c>
      <c r="K209" s="363">
        <v>45933</v>
      </c>
      <c r="L209" s="365" t="s">
        <v>56</v>
      </c>
      <c r="M209" s="783">
        <v>29646</v>
      </c>
      <c r="N209" s="421"/>
      <c r="O209" s="365" t="s">
        <v>56</v>
      </c>
      <c r="P209" s="603" t="s">
        <v>81</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77</v>
      </c>
      <c r="E210" s="363">
        <v>45932</v>
      </c>
      <c r="F210" s="361" t="s">
        <v>78</v>
      </c>
      <c r="G210" s="542"/>
      <c r="H210" s="365">
        <v>79</v>
      </c>
      <c r="I210" s="521" t="s">
        <v>80</v>
      </c>
      <c r="J210" s="365" t="s">
        <v>55</v>
      </c>
      <c r="K210" s="363">
        <v>45933</v>
      </c>
      <c r="L210" s="365" t="s">
        <v>56</v>
      </c>
      <c r="M210" s="783">
        <v>45014</v>
      </c>
      <c r="N210" s="421"/>
      <c r="O210" s="365" t="s">
        <v>56</v>
      </c>
      <c r="P210" s="603" t="s">
        <v>81</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84</v>
      </c>
      <c r="E211" s="363">
        <v>45959</v>
      </c>
      <c r="F211" s="361" t="s">
        <v>971</v>
      </c>
      <c r="G211" s="542"/>
      <c r="H211" s="365">
        <v>69</v>
      </c>
      <c r="I211" s="521" t="s">
        <v>80</v>
      </c>
      <c r="J211" s="365" t="s">
        <v>55</v>
      </c>
      <c r="K211" s="363">
        <v>45962</v>
      </c>
      <c r="L211" s="365" t="s">
        <v>56</v>
      </c>
      <c r="M211" s="871">
        <v>37418</v>
      </c>
      <c r="N211" s="595"/>
      <c r="O211" s="365" t="s">
        <v>56</v>
      </c>
      <c r="P211" s="603" t="s">
        <v>81</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84</v>
      </c>
      <c r="E212" s="887">
        <v>46021</v>
      </c>
      <c r="F212" s="888" t="s">
        <v>78</v>
      </c>
      <c r="G212" s="888" t="s">
        <v>974</v>
      </c>
      <c r="H212" s="889">
        <v>87</v>
      </c>
      <c r="I212" s="521" t="s">
        <v>80</v>
      </c>
      <c r="J212" s="889" t="s">
        <v>55</v>
      </c>
      <c r="K212" s="887">
        <v>46027</v>
      </c>
      <c r="L212" s="889" t="s">
        <v>56</v>
      </c>
      <c r="M212" s="1079">
        <v>63322.45</v>
      </c>
      <c r="N212" s="595"/>
      <c r="O212" s="889" t="s">
        <v>56</v>
      </c>
      <c r="P212" s="1080" t="s">
        <v>81</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77</v>
      </c>
      <c r="E213" s="887">
        <v>46021</v>
      </c>
      <c r="F213" s="888" t="s">
        <v>85</v>
      </c>
      <c r="G213" s="888" t="s">
        <v>977</v>
      </c>
      <c r="H213" s="889">
        <v>88</v>
      </c>
      <c r="I213" s="521" t="s">
        <v>80</v>
      </c>
      <c r="J213" s="889" t="s">
        <v>55</v>
      </c>
      <c r="K213" s="887">
        <v>46021</v>
      </c>
      <c r="L213" s="889" t="s">
        <v>56</v>
      </c>
      <c r="M213" s="1079">
        <v>77109.5</v>
      </c>
      <c r="N213" s="595"/>
      <c r="O213" s="889" t="s">
        <v>56</v>
      </c>
      <c r="P213" s="1080" t="s">
        <v>81</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77</v>
      </c>
      <c r="E214" s="887">
        <v>46045</v>
      </c>
      <c r="F214" s="888" t="s">
        <v>85</v>
      </c>
      <c r="G214" s="888" t="s">
        <v>980</v>
      </c>
      <c r="H214" s="889">
        <v>69</v>
      </c>
      <c r="I214" s="521" t="s">
        <v>80</v>
      </c>
      <c r="J214" s="889" t="s">
        <v>55</v>
      </c>
      <c r="K214" s="887">
        <v>46027</v>
      </c>
      <c r="L214" s="889" t="s">
        <v>56</v>
      </c>
      <c r="M214" s="890">
        <v>41834.75</v>
      </c>
      <c r="N214" s="595"/>
      <c r="O214" s="889" t="s">
        <v>56</v>
      </c>
      <c r="P214" s="1080" t="s">
        <v>81</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84</v>
      </c>
      <c r="E215" s="887">
        <v>46009</v>
      </c>
      <c r="F215" s="888" t="s">
        <v>78</v>
      </c>
      <c r="G215" s="888" t="s">
        <v>983</v>
      </c>
      <c r="H215" s="889">
        <v>48</v>
      </c>
      <c r="I215" s="521" t="s">
        <v>80</v>
      </c>
      <c r="J215" s="889" t="s">
        <v>55</v>
      </c>
      <c r="K215" s="887">
        <v>45965</v>
      </c>
      <c r="L215" s="889" t="s">
        <v>56</v>
      </c>
      <c r="M215" s="1079">
        <v>18021.7</v>
      </c>
      <c r="N215" s="890"/>
      <c r="O215" s="889" t="s">
        <v>56</v>
      </c>
      <c r="P215" s="1080" t="s">
        <v>81</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84</v>
      </c>
      <c r="E216" s="887">
        <v>46009</v>
      </c>
      <c r="F216" s="888" t="s">
        <v>78</v>
      </c>
      <c r="G216" s="888" t="s">
        <v>986</v>
      </c>
      <c r="H216" s="889">
        <v>56</v>
      </c>
      <c r="I216" s="521" t="s">
        <v>80</v>
      </c>
      <c r="J216" s="889" t="s">
        <v>55</v>
      </c>
      <c r="K216" s="887">
        <v>45965</v>
      </c>
      <c r="L216" s="889" t="s">
        <v>56</v>
      </c>
      <c r="M216" s="1079">
        <v>20705</v>
      </c>
      <c r="N216" s="890"/>
      <c r="O216" s="889" t="s">
        <v>56</v>
      </c>
      <c r="P216" s="1080" t="s">
        <v>81</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123</v>
      </c>
      <c r="E217" s="20">
        <v>45902</v>
      </c>
      <c r="F217" s="19" t="s">
        <v>78</v>
      </c>
      <c r="G217" s="19"/>
      <c r="H217" s="21">
        <v>0</v>
      </c>
      <c r="I217" s="21" t="s">
        <v>80</v>
      </c>
      <c r="J217" s="21" t="s">
        <v>55</v>
      </c>
      <c r="K217" s="302">
        <v>45902</v>
      </c>
      <c r="L217" s="303" t="s">
        <v>56</v>
      </c>
      <c r="M217" s="349">
        <v>12695</v>
      </c>
      <c r="N217" s="595"/>
      <c r="O217" s="303" t="s">
        <v>56</v>
      </c>
      <c r="P217" s="599" t="s">
        <v>81</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84</v>
      </c>
      <c r="E218" s="744">
        <v>45817</v>
      </c>
      <c r="F218" s="869" t="s">
        <v>78</v>
      </c>
      <c r="G218" s="874" t="s">
        <v>990</v>
      </c>
      <c r="H218" s="755">
        <v>0</v>
      </c>
      <c r="I218" s="806" t="s">
        <v>80</v>
      </c>
      <c r="J218" s="755" t="s">
        <v>55</v>
      </c>
      <c r="K218" s="875">
        <v>45821</v>
      </c>
      <c r="L218" s="806" t="s">
        <v>56</v>
      </c>
      <c r="M218" s="756">
        <v>23436.55</v>
      </c>
      <c r="N218" s="595"/>
      <c r="O218" s="806" t="s">
        <v>56</v>
      </c>
      <c r="P218" s="616" t="s">
        <v>81</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78</v>
      </c>
      <c r="G219" s="542"/>
      <c r="H219" s="365">
        <v>0</v>
      </c>
      <c r="I219" s="365" t="s">
        <v>80</v>
      </c>
      <c r="J219" s="365" t="s">
        <v>55</v>
      </c>
      <c r="K219" s="363" t="s">
        <v>102</v>
      </c>
      <c r="L219" s="365" t="s">
        <v>56</v>
      </c>
      <c r="M219" s="871">
        <v>74164.05</v>
      </c>
      <c r="N219" s="595"/>
      <c r="O219" s="365" t="s">
        <v>56</v>
      </c>
      <c r="P219" s="1242" t="s">
        <v>81</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77</v>
      </c>
      <c r="E220" s="363">
        <v>45961</v>
      </c>
      <c r="F220" s="361" t="s">
        <v>78</v>
      </c>
      <c r="G220" s="542"/>
      <c r="H220" s="365">
        <v>0</v>
      </c>
      <c r="I220" s="365" t="s">
        <v>80</v>
      </c>
      <c r="J220" s="365" t="s">
        <v>55</v>
      </c>
      <c r="K220" s="363" t="s">
        <v>102</v>
      </c>
      <c r="L220" s="365" t="s">
        <v>56</v>
      </c>
      <c r="M220" s="783">
        <v>39221.800000000003</v>
      </c>
      <c r="N220" s="1251"/>
      <c r="O220" s="1034" t="s">
        <v>56</v>
      </c>
      <c r="P220" s="1286" t="s">
        <v>81</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84</v>
      </c>
      <c r="E221" s="708">
        <v>45882</v>
      </c>
      <c r="F221" s="797" t="s">
        <v>105</v>
      </c>
      <c r="G221" s="802" t="s">
        <v>623</v>
      </c>
      <c r="H221" s="638">
        <v>0</v>
      </c>
      <c r="I221" s="647" t="s">
        <v>80</v>
      </c>
      <c r="J221" s="638" t="s">
        <v>55</v>
      </c>
      <c r="K221" s="302">
        <v>45882</v>
      </c>
      <c r="L221" s="303" t="s">
        <v>56</v>
      </c>
      <c r="M221" s="1307">
        <v>13056.5</v>
      </c>
      <c r="N221" s="632"/>
      <c r="O221" s="303" t="s">
        <v>56</v>
      </c>
      <c r="P221" s="462" t="s">
        <v>81</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123</v>
      </c>
      <c r="E222" s="708">
        <v>45853</v>
      </c>
      <c r="F222" s="796" t="s">
        <v>78</v>
      </c>
      <c r="G222" s="804" t="s">
        <v>998</v>
      </c>
      <c r="H222" s="638">
        <v>0</v>
      </c>
      <c r="I222" s="638" t="s">
        <v>80</v>
      </c>
      <c r="J222" s="638" t="s">
        <v>55</v>
      </c>
      <c r="K222" s="363">
        <v>45853</v>
      </c>
      <c r="L222" s="365" t="s">
        <v>56</v>
      </c>
      <c r="M222" s="349">
        <v>68216.5</v>
      </c>
      <c r="N222" s="595"/>
      <c r="O222" s="848" t="s">
        <v>56</v>
      </c>
      <c r="P222" s="603" t="s">
        <v>81</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84</v>
      </c>
      <c r="E223" s="887">
        <v>46002</v>
      </c>
      <c r="F223" s="888" t="s">
        <v>85</v>
      </c>
      <c r="G223" s="888" t="s">
        <v>1001</v>
      </c>
      <c r="H223" s="889">
        <v>0</v>
      </c>
      <c r="I223" s="889" t="s">
        <v>80</v>
      </c>
      <c r="J223" s="889" t="s">
        <v>55</v>
      </c>
      <c r="K223" s="887" t="s">
        <v>102</v>
      </c>
      <c r="L223" s="889" t="s">
        <v>56</v>
      </c>
      <c r="M223" s="1304">
        <v>23475.5</v>
      </c>
      <c r="N223" s="1014"/>
      <c r="O223" s="941" t="s">
        <v>56</v>
      </c>
      <c r="P223" s="1287" t="s">
        <v>81</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77</v>
      </c>
      <c r="E224" s="363">
        <v>45953</v>
      </c>
      <c r="F224" s="361" t="s">
        <v>85</v>
      </c>
      <c r="G224" s="542" t="s">
        <v>1004</v>
      </c>
      <c r="H224" s="365">
        <v>0</v>
      </c>
      <c r="I224" s="365" t="s">
        <v>80</v>
      </c>
      <c r="J224" s="365" t="s">
        <v>55</v>
      </c>
      <c r="K224" s="363" t="s">
        <v>102</v>
      </c>
      <c r="L224" s="365" t="s">
        <v>56</v>
      </c>
      <c r="M224" s="349">
        <v>51970</v>
      </c>
      <c r="N224" s="1305"/>
      <c r="O224" s="44" t="s">
        <v>56</v>
      </c>
      <c r="P224" s="1288" t="s">
        <v>81</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105</v>
      </c>
      <c r="G225" s="542"/>
      <c r="H225" s="365">
        <v>385</v>
      </c>
      <c r="I225" s="521" t="s">
        <v>80</v>
      </c>
      <c r="J225" s="365" t="s">
        <v>63</v>
      </c>
      <c r="K225" s="363">
        <v>45937</v>
      </c>
      <c r="L225" s="365" t="s">
        <v>56</v>
      </c>
      <c r="M225" s="1294">
        <v>210533.1</v>
      </c>
      <c r="N225" s="1308"/>
      <c r="O225" s="365" t="s">
        <v>56</v>
      </c>
      <c r="P225" s="603" t="s">
        <v>81</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85</v>
      </c>
      <c r="G226" s="888" t="s">
        <v>1011</v>
      </c>
      <c r="H226" s="889">
        <v>197</v>
      </c>
      <c r="I226" s="521" t="s">
        <v>80</v>
      </c>
      <c r="J226" s="889" t="s">
        <v>63</v>
      </c>
      <c r="K226" s="887">
        <v>45978</v>
      </c>
      <c r="L226" s="889" t="s">
        <v>56</v>
      </c>
      <c r="M226" s="1253">
        <v>87807.5</v>
      </c>
      <c r="N226" s="595"/>
      <c r="O226" s="889" t="s">
        <v>56</v>
      </c>
      <c r="P226" s="1254" t="s">
        <v>81</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85</v>
      </c>
      <c r="G227" s="542" t="s">
        <v>1014</v>
      </c>
      <c r="H227" s="365">
        <v>303</v>
      </c>
      <c r="I227" s="521" t="s">
        <v>80</v>
      </c>
      <c r="J227" s="365" t="s">
        <v>63</v>
      </c>
      <c r="K227" s="363">
        <v>45953</v>
      </c>
      <c r="L227" s="365" t="s">
        <v>56</v>
      </c>
      <c r="M227" s="783">
        <v>168480.8</v>
      </c>
      <c r="N227" s="421"/>
      <c r="O227" s="365" t="s">
        <v>56</v>
      </c>
      <c r="P227" s="603" t="s">
        <v>81</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80</v>
      </c>
      <c r="J228" s="365" t="s">
        <v>63</v>
      </c>
      <c r="K228" s="363">
        <v>45905</v>
      </c>
      <c r="L228" s="365" t="s">
        <v>56</v>
      </c>
      <c r="M228" s="783">
        <v>145985.5</v>
      </c>
      <c r="N228" s="595"/>
      <c r="O228" s="365" t="s">
        <v>56</v>
      </c>
      <c r="P228" s="1242" t="s">
        <v>81</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78</v>
      </c>
      <c r="G229" s="542"/>
      <c r="H229" s="365">
        <v>84</v>
      </c>
      <c r="I229" s="521" t="s">
        <v>80</v>
      </c>
      <c r="J229" s="365" t="s">
        <v>63</v>
      </c>
      <c r="K229" s="361" t="s">
        <v>81</v>
      </c>
      <c r="L229" s="365" t="s">
        <v>56</v>
      </c>
      <c r="M229" s="783">
        <v>30892</v>
      </c>
      <c r="N229" s="421"/>
      <c r="O229" s="365" t="s">
        <v>56</v>
      </c>
      <c r="P229" s="603" t="s">
        <v>81</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78</v>
      </c>
      <c r="G230" s="542"/>
      <c r="H230" s="365">
        <v>157</v>
      </c>
      <c r="I230" s="521" t="s">
        <v>80</v>
      </c>
      <c r="J230" s="365" t="s">
        <v>63</v>
      </c>
      <c r="K230" s="363">
        <v>45943</v>
      </c>
      <c r="L230" s="365" t="s">
        <v>56</v>
      </c>
      <c r="M230" s="783">
        <v>64059.5</v>
      </c>
      <c r="N230" s="421"/>
      <c r="O230" s="365" t="s">
        <v>56</v>
      </c>
      <c r="P230" s="792" t="s">
        <v>81</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84</v>
      </c>
      <c r="E231" s="25">
        <v>45874</v>
      </c>
      <c r="F231" s="621" t="s">
        <v>105</v>
      </c>
      <c r="G231" s="623"/>
      <c r="H231" s="624">
        <v>208</v>
      </c>
      <c r="I231" s="629" t="s">
        <v>80</v>
      </c>
      <c r="J231" s="624" t="s">
        <v>63</v>
      </c>
      <c r="K231" s="363">
        <v>45876</v>
      </c>
      <c r="L231" s="365" t="s">
        <v>56</v>
      </c>
      <c r="M231" s="783">
        <v>124980</v>
      </c>
      <c r="N231" s="632"/>
      <c r="O231" s="365" t="s">
        <v>56</v>
      </c>
      <c r="P231" s="1125" t="s">
        <v>81</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77</v>
      </c>
      <c r="E232" s="887">
        <v>45965</v>
      </c>
      <c r="F232" s="888" t="s">
        <v>78</v>
      </c>
      <c r="G232" s="888" t="s">
        <v>1027</v>
      </c>
      <c r="H232" s="889">
        <v>0</v>
      </c>
      <c r="I232" s="521" t="s">
        <v>80</v>
      </c>
      <c r="J232" s="889" t="s">
        <v>55</v>
      </c>
      <c r="K232" s="887" t="s">
        <v>353</v>
      </c>
      <c r="L232" s="889" t="s">
        <v>56</v>
      </c>
      <c r="M232" s="1079">
        <v>4773.8</v>
      </c>
      <c r="N232" s="43"/>
      <c r="O232" s="889" t="s">
        <v>56</v>
      </c>
      <c r="P232" s="1080" t="s">
        <v>81</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123</v>
      </c>
      <c r="E233" s="661">
        <v>45701</v>
      </c>
      <c r="F233" s="370" t="s">
        <v>52</v>
      </c>
      <c r="G233" s="679" t="s">
        <v>445</v>
      </c>
      <c r="H233" s="663">
        <v>0</v>
      </c>
      <c r="I233" s="663" t="s">
        <v>81</v>
      </c>
      <c r="J233" s="663" t="s">
        <v>55</v>
      </c>
      <c r="K233" s="661">
        <v>45705</v>
      </c>
      <c r="L233" s="663" t="s">
        <v>56</v>
      </c>
      <c r="M233" s="1051">
        <v>1295</v>
      </c>
      <c r="N233" s="680"/>
      <c r="O233" s="663" t="s">
        <v>56</v>
      </c>
      <c r="P233" s="603" t="s">
        <v>81</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80</v>
      </c>
      <c r="J234" s="624" t="s">
        <v>55</v>
      </c>
      <c r="K234" s="391">
        <v>45716</v>
      </c>
      <c r="L234" s="53" t="s">
        <v>56</v>
      </c>
      <c r="M234" s="625">
        <v>45321.5</v>
      </c>
      <c r="N234" s="632"/>
      <c r="O234" s="53" t="s">
        <v>56</v>
      </c>
      <c r="P234" s="615" t="s">
        <v>81</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80</v>
      </c>
      <c r="J235" s="638" t="s">
        <v>55</v>
      </c>
      <c r="K235" s="798">
        <v>45741</v>
      </c>
      <c r="L235" s="686" t="s">
        <v>56</v>
      </c>
      <c r="M235" s="799">
        <v>41813</v>
      </c>
      <c r="N235" s="632"/>
      <c r="O235" s="686" t="s">
        <v>56</v>
      </c>
      <c r="P235" s="792" t="s">
        <v>81</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80</v>
      </c>
      <c r="J236" s="624" t="s">
        <v>55</v>
      </c>
      <c r="K236" s="387">
        <v>45698</v>
      </c>
      <c r="L236" s="392" t="s">
        <v>56</v>
      </c>
      <c r="M236" s="625">
        <v>71979</v>
      </c>
      <c r="N236" s="627"/>
      <c r="O236" s="392" t="s">
        <v>56</v>
      </c>
      <c r="P236" s="631" t="s">
        <v>81</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81</v>
      </c>
      <c r="L237" s="520" t="s">
        <v>56</v>
      </c>
      <c r="M237" s="1252">
        <v>64790.5</v>
      </c>
      <c r="N237" s="832"/>
      <c r="O237" s="520" t="s">
        <v>56</v>
      </c>
      <c r="P237" s="1048" t="s">
        <v>81</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134</v>
      </c>
      <c r="E238" s="363">
        <v>45927</v>
      </c>
      <c r="F238" s="361" t="s">
        <v>1042</v>
      </c>
      <c r="G238" s="542" t="s">
        <v>1043</v>
      </c>
      <c r="H238" s="365">
        <v>86</v>
      </c>
      <c r="I238" s="521" t="s">
        <v>80</v>
      </c>
      <c r="J238" s="365" t="s">
        <v>55</v>
      </c>
      <c r="K238" s="363">
        <v>45917</v>
      </c>
      <c r="L238" s="365" t="s">
        <v>56</v>
      </c>
      <c r="M238" s="783">
        <v>45500</v>
      </c>
      <c r="N238" s="421"/>
      <c r="O238" s="365" t="s">
        <v>56</v>
      </c>
      <c r="P238" s="603" t="s">
        <v>81</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80</v>
      </c>
      <c r="J239" s="889" t="s">
        <v>55</v>
      </c>
      <c r="K239" s="898">
        <v>45741</v>
      </c>
      <c r="L239" s="889" t="s">
        <v>56</v>
      </c>
      <c r="M239" s="1239">
        <v>45215.5</v>
      </c>
      <c r="N239" s="595"/>
      <c r="O239" s="889" t="s">
        <v>56</v>
      </c>
      <c r="P239" s="1240" t="s">
        <v>81</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123</v>
      </c>
      <c r="E240" s="371">
        <v>45743</v>
      </c>
      <c r="F240" s="370" t="s">
        <v>52</v>
      </c>
      <c r="G240" s="659" t="s">
        <v>1048</v>
      </c>
      <c r="H240" s="373">
        <v>70</v>
      </c>
      <c r="I240" s="521" t="s">
        <v>80</v>
      </c>
      <c r="J240" s="365" t="s">
        <v>55</v>
      </c>
      <c r="K240" s="371">
        <v>45741</v>
      </c>
      <c r="L240" s="365" t="s">
        <v>56</v>
      </c>
      <c r="M240" s="626">
        <v>67735.5</v>
      </c>
      <c r="N240" s="595"/>
      <c r="O240" s="365" t="s">
        <v>56</v>
      </c>
      <c r="P240" s="603" t="s">
        <v>81</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81</v>
      </c>
      <c r="J241" s="373" t="s">
        <v>55</v>
      </c>
      <c r="K241" s="371">
        <v>45712</v>
      </c>
      <c r="L241" s="373" t="s">
        <v>56</v>
      </c>
      <c r="M241" s="626">
        <v>14262</v>
      </c>
      <c r="N241" s="595"/>
      <c r="O241" s="373" t="s">
        <v>56</v>
      </c>
      <c r="P241" s="603" t="s">
        <v>81</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142</v>
      </c>
      <c r="G242" s="623" t="s">
        <v>1053</v>
      </c>
      <c r="H242" s="624">
        <v>0</v>
      </c>
      <c r="I242" s="624" t="s">
        <v>80</v>
      </c>
      <c r="J242" s="624" t="s">
        <v>55</v>
      </c>
      <c r="K242" s="371">
        <v>45714</v>
      </c>
      <c r="L242" s="373" t="s">
        <v>56</v>
      </c>
      <c r="M242" s="626">
        <v>93462.85</v>
      </c>
      <c r="N242" s="627"/>
      <c r="O242" s="373" t="s">
        <v>56</v>
      </c>
      <c r="P242" s="603" t="s">
        <v>81</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84</v>
      </c>
      <c r="E243" s="25">
        <v>45772</v>
      </c>
      <c r="F243" s="620" t="s">
        <v>52</v>
      </c>
      <c r="G243" s="620" t="s">
        <v>1055</v>
      </c>
      <c r="H243" s="624">
        <v>0</v>
      </c>
      <c r="I243" s="624" t="s">
        <v>80</v>
      </c>
      <c r="J243" s="624" t="s">
        <v>55</v>
      </c>
      <c r="K243" s="370" t="s">
        <v>353</v>
      </c>
      <c r="L243" s="365" t="s">
        <v>56</v>
      </c>
      <c r="M243" s="783">
        <v>4397.6499999999996</v>
      </c>
      <c r="N243" s="627"/>
      <c r="O243" s="365" t="s">
        <v>56</v>
      </c>
      <c r="P243" s="603" t="s">
        <v>81</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80</v>
      </c>
      <c r="J244" s="365" t="s">
        <v>63</v>
      </c>
      <c r="K244" s="661">
        <v>46303</v>
      </c>
      <c r="L244" s="686" t="s">
        <v>56</v>
      </c>
      <c r="M244" s="1252">
        <v>86136</v>
      </c>
      <c r="N244" s="595"/>
      <c r="O244" s="686" t="s">
        <v>56</v>
      </c>
      <c r="P244" s="792" t="s">
        <v>81</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80</v>
      </c>
      <c r="J245" s="365" t="s">
        <v>63</v>
      </c>
      <c r="K245" s="25" t="s">
        <v>353</v>
      </c>
      <c r="L245" s="767" t="s">
        <v>56</v>
      </c>
      <c r="M245" s="1252">
        <v>42766.5</v>
      </c>
      <c r="N245" s="595"/>
      <c r="O245" s="21" t="s">
        <v>56</v>
      </c>
      <c r="P245" s="1048" t="s">
        <v>81</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81</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84</v>
      </c>
      <c r="E247" s="363">
        <v>45959</v>
      </c>
      <c r="F247" s="361" t="s">
        <v>831</v>
      </c>
      <c r="G247" s="364" t="s">
        <v>1065</v>
      </c>
      <c r="H247" s="831">
        <v>78</v>
      </c>
      <c r="I247" s="663" t="s">
        <v>80</v>
      </c>
      <c r="J247" s="373" t="s">
        <v>55</v>
      </c>
      <c r="K247" s="363">
        <v>45964</v>
      </c>
      <c r="L247" s="373" t="s">
        <v>56</v>
      </c>
      <c r="M247" s="1315">
        <v>170</v>
      </c>
      <c r="N247" s="1118"/>
      <c r="O247" s="373" t="s">
        <v>56</v>
      </c>
      <c r="P247" s="603" t="s">
        <v>81</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84</v>
      </c>
      <c r="E248" s="302">
        <v>45959</v>
      </c>
      <c r="F248" s="301" t="s">
        <v>831</v>
      </c>
      <c r="G248" s="531" t="s">
        <v>1068</v>
      </c>
      <c r="H248" s="827">
        <v>89</v>
      </c>
      <c r="I248" s="766" t="s">
        <v>80</v>
      </c>
      <c r="J248" s="767" t="s">
        <v>55</v>
      </c>
      <c r="K248" s="302">
        <v>45964</v>
      </c>
      <c r="L248" s="767" t="s">
        <v>56</v>
      </c>
      <c r="M248" s="1047">
        <v>62937.05</v>
      </c>
      <c r="N248" s="595"/>
      <c r="O248" s="21" t="s">
        <v>56</v>
      </c>
      <c r="P248" s="1048" t="s">
        <v>81</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84</v>
      </c>
      <c r="E249" s="957">
        <v>45959</v>
      </c>
      <c r="F249" s="958" t="s">
        <v>831</v>
      </c>
      <c r="G249" s="958" t="s">
        <v>1071</v>
      </c>
      <c r="H249" s="971">
        <v>83</v>
      </c>
      <c r="I249" s="766" t="s">
        <v>80</v>
      </c>
      <c r="J249" s="947" t="s">
        <v>55</v>
      </c>
      <c r="K249" s="957" t="s">
        <v>353</v>
      </c>
      <c r="L249" s="947" t="s">
        <v>56</v>
      </c>
      <c r="M249" s="1322">
        <v>45545.15</v>
      </c>
      <c r="N249" s="595"/>
      <c r="O249" s="963" t="s">
        <v>56</v>
      </c>
      <c r="P249" s="1134" t="s">
        <v>81</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84</v>
      </c>
      <c r="E250" s="25"/>
      <c r="F250" s="620" t="s">
        <v>831</v>
      </c>
      <c r="G250" s="623"/>
      <c r="H250" s="980">
        <v>85</v>
      </c>
      <c r="I250" s="637" t="s">
        <v>80</v>
      </c>
      <c r="J250" s="624" t="s">
        <v>55</v>
      </c>
      <c r="K250" s="371" t="s">
        <v>353</v>
      </c>
      <c r="L250" s="373" t="s">
        <v>56</v>
      </c>
      <c r="M250" s="1046">
        <v>29180.45</v>
      </c>
      <c r="N250" s="627"/>
      <c r="O250" s="373" t="s">
        <v>56</v>
      </c>
      <c r="P250" s="603" t="s">
        <v>81</v>
      </c>
      <c r="Q250" s="61" t="s">
        <v>353</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84</v>
      </c>
      <c r="E251" s="957">
        <v>45993</v>
      </c>
      <c r="F251" s="958" t="s">
        <v>105</v>
      </c>
      <c r="G251" s="958" t="s">
        <v>1076</v>
      </c>
      <c r="H251" s="971">
        <v>89</v>
      </c>
      <c r="I251" s="766" t="s">
        <v>80</v>
      </c>
      <c r="J251" s="947" t="s">
        <v>55</v>
      </c>
      <c r="K251" s="957">
        <v>45993</v>
      </c>
      <c r="L251" s="947" t="s">
        <v>56</v>
      </c>
      <c r="M251" s="1322">
        <v>93349.5</v>
      </c>
      <c r="N251" s="595"/>
      <c r="O251" s="963" t="s">
        <v>56</v>
      </c>
      <c r="P251" s="1302" t="s">
        <v>81</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84</v>
      </c>
      <c r="E252" s="302">
        <v>45959</v>
      </c>
      <c r="F252" s="301" t="s">
        <v>105</v>
      </c>
      <c r="G252" s="504"/>
      <c r="H252" s="303">
        <v>89</v>
      </c>
      <c r="I252" s="766" t="s">
        <v>80</v>
      </c>
      <c r="J252" s="767" t="s">
        <v>55</v>
      </c>
      <c r="K252" s="20">
        <v>45964</v>
      </c>
      <c r="L252" s="21" t="s">
        <v>56</v>
      </c>
      <c r="M252" s="1226">
        <v>84750.5</v>
      </c>
      <c r="N252" s="595"/>
      <c r="O252" s="21" t="s">
        <v>56</v>
      </c>
      <c r="P252" s="1048" t="s">
        <v>81</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84</v>
      </c>
      <c r="E253" s="302">
        <v>45959</v>
      </c>
      <c r="F253" s="301" t="s">
        <v>105</v>
      </c>
      <c r="G253" s="531" t="s">
        <v>1080</v>
      </c>
      <c r="H253" s="303">
        <v>59</v>
      </c>
      <c r="I253" s="766" t="s">
        <v>80</v>
      </c>
      <c r="J253" s="767" t="s">
        <v>55</v>
      </c>
      <c r="K253" s="20">
        <v>45964</v>
      </c>
      <c r="L253" s="767" t="s">
        <v>56</v>
      </c>
      <c r="M253" s="1226">
        <v>65066.5</v>
      </c>
      <c r="N253" s="1360"/>
      <c r="O253" s="21" t="s">
        <v>56</v>
      </c>
      <c r="P253" s="1048" t="s">
        <v>81</v>
      </c>
      <c r="Q253" s="22">
        <v>45964</v>
      </c>
      <c r="R253" s="46">
        <v>5421</v>
      </c>
      <c r="S253" s="1049">
        <v>5466</v>
      </c>
      <c r="T253" s="1362">
        <v>0</v>
      </c>
      <c r="U253" s="1363">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84</v>
      </c>
      <c r="E254" s="302">
        <v>45959</v>
      </c>
      <c r="F254" s="301" t="s">
        <v>105</v>
      </c>
      <c r="G254" s="504" t="s">
        <v>1083</v>
      </c>
      <c r="H254" s="303">
        <v>89</v>
      </c>
      <c r="I254" s="766" t="s">
        <v>80</v>
      </c>
      <c r="J254" s="767" t="s">
        <v>55</v>
      </c>
      <c r="K254" s="20">
        <v>45964</v>
      </c>
      <c r="L254" s="767" t="s">
        <v>56</v>
      </c>
      <c r="M254" s="1226">
        <v>81602</v>
      </c>
      <c r="N254" s="595"/>
      <c r="O254" s="21" t="s">
        <v>56</v>
      </c>
      <c r="P254" s="1048" t="s">
        <v>81</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84</v>
      </c>
      <c r="E255" s="302">
        <v>45959</v>
      </c>
      <c r="F255" s="301" t="s">
        <v>105</v>
      </c>
      <c r="G255" s="504"/>
      <c r="H255" s="303">
        <v>88</v>
      </c>
      <c r="I255" s="766" t="s">
        <v>80</v>
      </c>
      <c r="J255" s="767" t="s">
        <v>55</v>
      </c>
      <c r="K255" s="20">
        <v>45961</v>
      </c>
      <c r="L255" s="21" t="s">
        <v>56</v>
      </c>
      <c r="M255" s="1226">
        <v>88231.9</v>
      </c>
      <c r="N255" s="595"/>
      <c r="O255" s="21" t="s">
        <v>56</v>
      </c>
      <c r="P255" s="1048" t="s">
        <v>81</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84</v>
      </c>
      <c r="E256" s="302">
        <v>45959</v>
      </c>
      <c r="F256" s="301" t="s">
        <v>105</v>
      </c>
      <c r="G256" s="504" t="s">
        <v>1088</v>
      </c>
      <c r="H256" s="303">
        <v>87</v>
      </c>
      <c r="I256" s="766" t="s">
        <v>80</v>
      </c>
      <c r="J256" s="767" t="s">
        <v>55</v>
      </c>
      <c r="K256" s="20">
        <v>45964</v>
      </c>
      <c r="L256" s="767" t="s">
        <v>56</v>
      </c>
      <c r="M256" s="1226">
        <v>93578</v>
      </c>
      <c r="N256" s="595"/>
      <c r="O256" s="21" t="s">
        <v>56</v>
      </c>
      <c r="P256" s="1048" t="s">
        <v>81</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84</v>
      </c>
      <c r="E257" s="302">
        <v>45959</v>
      </c>
      <c r="F257" s="301" t="s">
        <v>105</v>
      </c>
      <c r="G257" s="504"/>
      <c r="H257" s="303">
        <v>90</v>
      </c>
      <c r="I257" s="766" t="s">
        <v>80</v>
      </c>
      <c r="J257" s="767" t="s">
        <v>55</v>
      </c>
      <c r="K257" s="20">
        <v>45964</v>
      </c>
      <c r="L257" s="21" t="s">
        <v>56</v>
      </c>
      <c r="M257" s="1226">
        <v>84896</v>
      </c>
      <c r="N257" s="595"/>
      <c r="O257" s="21" t="s">
        <v>56</v>
      </c>
      <c r="P257" s="1048" t="s">
        <v>81</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84</v>
      </c>
      <c r="E258" s="957">
        <v>45959</v>
      </c>
      <c r="F258" s="958" t="s">
        <v>105</v>
      </c>
      <c r="G258" s="958" t="s">
        <v>1092</v>
      </c>
      <c r="H258" s="959">
        <v>90</v>
      </c>
      <c r="I258" s="766" t="s">
        <v>80</v>
      </c>
      <c r="J258" s="947" t="s">
        <v>55</v>
      </c>
      <c r="K258" s="961">
        <v>45961</v>
      </c>
      <c r="L258" s="947" t="s">
        <v>56</v>
      </c>
      <c r="M258" s="1133">
        <v>91897</v>
      </c>
      <c r="N258" s="595"/>
      <c r="O258" s="963" t="s">
        <v>56</v>
      </c>
      <c r="P258" s="1134" t="s">
        <v>81</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84</v>
      </c>
      <c r="E259" s="302">
        <v>45959</v>
      </c>
      <c r="F259" s="301" t="s">
        <v>105</v>
      </c>
      <c r="G259" s="504" t="s">
        <v>1095</v>
      </c>
      <c r="H259" s="303">
        <v>90</v>
      </c>
      <c r="I259" s="766" t="s">
        <v>80</v>
      </c>
      <c r="J259" s="767" t="s">
        <v>55</v>
      </c>
      <c r="K259" s="20">
        <v>45964</v>
      </c>
      <c r="L259" s="767" t="s">
        <v>56</v>
      </c>
      <c r="M259" s="1226">
        <v>96685</v>
      </c>
      <c r="N259" s="595"/>
      <c r="O259" s="21" t="s">
        <v>56</v>
      </c>
      <c r="P259" s="1048" t="s">
        <v>81</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84</v>
      </c>
      <c r="E260" s="957">
        <v>45959</v>
      </c>
      <c r="F260" s="958" t="s">
        <v>105</v>
      </c>
      <c r="G260" s="958" t="s">
        <v>1098</v>
      </c>
      <c r="H260" s="959">
        <v>90</v>
      </c>
      <c r="I260" s="766" t="s">
        <v>80</v>
      </c>
      <c r="J260" s="947" t="s">
        <v>55</v>
      </c>
      <c r="K260" s="961">
        <v>45964</v>
      </c>
      <c r="L260" s="947" t="s">
        <v>56</v>
      </c>
      <c r="M260" s="1133">
        <v>85815</v>
      </c>
      <c r="N260" s="595"/>
      <c r="O260" s="963" t="s">
        <v>56</v>
      </c>
      <c r="P260" s="1134" t="s">
        <v>81</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84</v>
      </c>
      <c r="E261" s="302">
        <v>45959</v>
      </c>
      <c r="F261" s="301" t="s">
        <v>105</v>
      </c>
      <c r="G261" s="504" t="s">
        <v>1101</v>
      </c>
      <c r="H261" s="303">
        <v>89</v>
      </c>
      <c r="I261" s="766" t="s">
        <v>80</v>
      </c>
      <c r="J261" s="767" t="s">
        <v>55</v>
      </c>
      <c r="K261" s="20">
        <v>45961</v>
      </c>
      <c r="L261" s="767" t="s">
        <v>56</v>
      </c>
      <c r="M261" s="1226">
        <v>83615</v>
      </c>
      <c r="N261" s="595"/>
      <c r="O261" s="21" t="s">
        <v>56</v>
      </c>
      <c r="P261" s="1048" t="s">
        <v>81</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84</v>
      </c>
      <c r="E262" s="957">
        <v>45959</v>
      </c>
      <c r="F262" s="958" t="s">
        <v>105</v>
      </c>
      <c r="G262" s="958" t="s">
        <v>1104</v>
      </c>
      <c r="H262" s="959">
        <v>88</v>
      </c>
      <c r="I262" s="766" t="s">
        <v>80</v>
      </c>
      <c r="J262" s="947" t="s">
        <v>55</v>
      </c>
      <c r="K262" s="961">
        <v>45964</v>
      </c>
      <c r="L262" s="947" t="s">
        <v>56</v>
      </c>
      <c r="M262" s="1133">
        <v>78736.5</v>
      </c>
      <c r="N262" s="595"/>
      <c r="O262" s="963" t="s">
        <v>56</v>
      </c>
      <c r="P262" s="1134" t="s">
        <v>81</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84</v>
      </c>
      <c r="E263" s="957">
        <v>45959</v>
      </c>
      <c r="F263" s="958" t="s">
        <v>105</v>
      </c>
      <c r="G263" s="958" t="s">
        <v>1107</v>
      </c>
      <c r="H263" s="959">
        <v>86</v>
      </c>
      <c r="I263" s="766" t="s">
        <v>80</v>
      </c>
      <c r="J263" s="947" t="s">
        <v>55</v>
      </c>
      <c r="K263" s="961">
        <v>45964</v>
      </c>
      <c r="L263" s="947" t="s">
        <v>56</v>
      </c>
      <c r="M263" s="1133">
        <v>80698</v>
      </c>
      <c r="N263" s="595"/>
      <c r="O263" s="963" t="s">
        <v>56</v>
      </c>
      <c r="P263" s="1134" t="s">
        <v>81</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84</v>
      </c>
      <c r="E264" s="957">
        <v>45959</v>
      </c>
      <c r="F264" s="958" t="s">
        <v>105</v>
      </c>
      <c r="G264" s="958" t="s">
        <v>1110</v>
      </c>
      <c r="H264" s="959">
        <v>87</v>
      </c>
      <c r="I264" s="766" t="s">
        <v>80</v>
      </c>
      <c r="J264" s="947" t="s">
        <v>55</v>
      </c>
      <c r="K264" s="961">
        <v>45964</v>
      </c>
      <c r="L264" s="947" t="s">
        <v>56</v>
      </c>
      <c r="M264" s="1133">
        <v>79552</v>
      </c>
      <c r="N264" s="595"/>
      <c r="O264" s="963" t="s">
        <v>56</v>
      </c>
      <c r="P264" s="1134" t="s">
        <v>81</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84</v>
      </c>
      <c r="E265" s="957">
        <v>45959</v>
      </c>
      <c r="F265" s="958" t="s">
        <v>105</v>
      </c>
      <c r="G265" s="958" t="s">
        <v>1113</v>
      </c>
      <c r="H265" s="959">
        <v>85</v>
      </c>
      <c r="I265" s="766" t="s">
        <v>80</v>
      </c>
      <c r="J265" s="947" t="s">
        <v>55</v>
      </c>
      <c r="K265" s="961">
        <v>45964</v>
      </c>
      <c r="L265" s="947" t="s">
        <v>56</v>
      </c>
      <c r="M265" s="1133">
        <v>84770</v>
      </c>
      <c r="N265" s="595"/>
      <c r="O265" s="963" t="s">
        <v>56</v>
      </c>
      <c r="P265" s="1134" t="s">
        <v>81</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84</v>
      </c>
      <c r="E266" s="957">
        <v>45959</v>
      </c>
      <c r="F266" s="958" t="s">
        <v>105</v>
      </c>
      <c r="G266" s="958" t="s">
        <v>1116</v>
      </c>
      <c r="H266" s="959">
        <v>87</v>
      </c>
      <c r="I266" s="766" t="s">
        <v>80</v>
      </c>
      <c r="J266" s="947" t="s">
        <v>55</v>
      </c>
      <c r="K266" s="961">
        <v>45964</v>
      </c>
      <c r="L266" s="947" t="s">
        <v>56</v>
      </c>
      <c r="M266" s="1133">
        <v>87875</v>
      </c>
      <c r="N266" s="595"/>
      <c r="O266" s="963" t="s">
        <v>56</v>
      </c>
      <c r="P266" s="1134" t="s">
        <v>81</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84</v>
      </c>
      <c r="E267" s="957">
        <v>45987</v>
      </c>
      <c r="F267" s="958" t="s">
        <v>105</v>
      </c>
      <c r="G267" s="958" t="s">
        <v>1119</v>
      </c>
      <c r="H267" s="959">
        <v>85</v>
      </c>
      <c r="I267" s="766" t="s">
        <v>80</v>
      </c>
      <c r="J267" s="947" t="s">
        <v>55</v>
      </c>
      <c r="K267" s="961">
        <v>45987</v>
      </c>
      <c r="L267" s="947" t="s">
        <v>56</v>
      </c>
      <c r="M267" s="1133">
        <v>84092.5</v>
      </c>
      <c r="N267" s="595"/>
      <c r="O267" s="963" t="s">
        <v>56</v>
      </c>
      <c r="P267" s="1302" t="s">
        <v>81</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84</v>
      </c>
      <c r="E268" s="957">
        <v>45987</v>
      </c>
      <c r="F268" s="958" t="s">
        <v>105</v>
      </c>
      <c r="G268" s="958" t="s">
        <v>1122</v>
      </c>
      <c r="H268" s="959">
        <v>76</v>
      </c>
      <c r="I268" s="766" t="s">
        <v>80</v>
      </c>
      <c r="J268" s="947" t="s">
        <v>55</v>
      </c>
      <c r="K268" s="961">
        <v>45987</v>
      </c>
      <c r="L268" s="947" t="s">
        <v>56</v>
      </c>
      <c r="M268" s="1133">
        <v>74892.5</v>
      </c>
      <c r="N268" s="595"/>
      <c r="O268" s="963" t="s">
        <v>56</v>
      </c>
      <c r="P268" s="1302" t="s">
        <v>81</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84</v>
      </c>
      <c r="E269" s="957">
        <v>45987</v>
      </c>
      <c r="F269" s="958" t="s">
        <v>105</v>
      </c>
      <c r="G269" s="1010" t="s">
        <v>1125</v>
      </c>
      <c r="H269" s="1011">
        <v>86</v>
      </c>
      <c r="I269" s="663" t="s">
        <v>80</v>
      </c>
      <c r="J269" s="900" t="s">
        <v>55</v>
      </c>
      <c r="K269" s="961">
        <v>45987</v>
      </c>
      <c r="L269" s="947" t="s">
        <v>56</v>
      </c>
      <c r="M269" s="1133">
        <v>90841</v>
      </c>
      <c r="N269" s="595"/>
      <c r="O269" s="963" t="s">
        <v>56</v>
      </c>
      <c r="P269" s="1302" t="s">
        <v>81</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84</v>
      </c>
      <c r="E270" s="957">
        <v>45987</v>
      </c>
      <c r="F270" s="1024" t="s">
        <v>105</v>
      </c>
      <c r="G270" s="958" t="s">
        <v>1128</v>
      </c>
      <c r="H270" s="959">
        <v>78</v>
      </c>
      <c r="I270" s="520" t="s">
        <v>80</v>
      </c>
      <c r="J270" s="963" t="s">
        <v>55</v>
      </c>
      <c r="K270" s="961">
        <v>45987</v>
      </c>
      <c r="L270" s="947" t="s">
        <v>56</v>
      </c>
      <c r="M270" s="1133">
        <v>60606.5</v>
      </c>
      <c r="N270" s="595"/>
      <c r="O270" s="963" t="s">
        <v>56</v>
      </c>
      <c r="P270" s="1302" t="s">
        <v>81</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84</v>
      </c>
      <c r="E271" s="956">
        <v>45987</v>
      </c>
      <c r="F271" s="888" t="s">
        <v>105</v>
      </c>
      <c r="G271" s="958" t="s">
        <v>1131</v>
      </c>
      <c r="H271" s="959">
        <v>73</v>
      </c>
      <c r="I271" s="520" t="s">
        <v>80</v>
      </c>
      <c r="J271" s="963" t="s">
        <v>55</v>
      </c>
      <c r="K271" s="1012">
        <v>45987</v>
      </c>
      <c r="L271" s="900" t="s">
        <v>56</v>
      </c>
      <c r="M271" s="1079">
        <v>71371</v>
      </c>
      <c r="N271" s="595"/>
      <c r="O271" s="1013" t="s">
        <v>56</v>
      </c>
      <c r="P271" s="1134" t="s">
        <v>81</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84</v>
      </c>
      <c r="E272" s="957">
        <v>45959</v>
      </c>
      <c r="F272" s="958" t="s">
        <v>105</v>
      </c>
      <c r="G272" s="958" t="s">
        <v>1134</v>
      </c>
      <c r="H272" s="959">
        <v>0</v>
      </c>
      <c r="I272" s="766" t="s">
        <v>80</v>
      </c>
      <c r="J272" s="947" t="s">
        <v>55</v>
      </c>
      <c r="K272" s="961">
        <v>45961</v>
      </c>
      <c r="L272" s="947" t="s">
        <v>56</v>
      </c>
      <c r="M272" s="1133">
        <v>64985.65</v>
      </c>
      <c r="N272" s="595"/>
      <c r="O272" s="963" t="s">
        <v>56</v>
      </c>
      <c r="P272" s="1302" t="s">
        <v>81</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84</v>
      </c>
      <c r="E273" s="957">
        <v>45959</v>
      </c>
      <c r="F273" s="958" t="s">
        <v>105</v>
      </c>
      <c r="G273" s="958" t="s">
        <v>1137</v>
      </c>
      <c r="H273" s="959">
        <v>0</v>
      </c>
      <c r="I273" s="766" t="s">
        <v>80</v>
      </c>
      <c r="J273" s="947" t="s">
        <v>55</v>
      </c>
      <c r="K273" s="961">
        <v>45961</v>
      </c>
      <c r="L273" s="947" t="s">
        <v>56</v>
      </c>
      <c r="M273" s="1133">
        <v>54043.5</v>
      </c>
      <c r="N273" s="595"/>
      <c r="O273" s="963" t="s">
        <v>56</v>
      </c>
      <c r="P273" s="1134" t="s">
        <v>81</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84</v>
      </c>
      <c r="E274" s="1012">
        <v>46027</v>
      </c>
      <c r="F274" s="1131" t="s">
        <v>971</v>
      </c>
      <c r="G274" s="1131"/>
      <c r="H274" s="624">
        <v>68</v>
      </c>
      <c r="I274" s="637" t="s">
        <v>80</v>
      </c>
      <c r="J274" s="1013" t="s">
        <v>55</v>
      </c>
      <c r="K274" s="956">
        <v>46027</v>
      </c>
      <c r="L274" s="900" t="s">
        <v>56</v>
      </c>
      <c r="M274" s="1133">
        <v>68608</v>
      </c>
      <c r="N274" s="627"/>
      <c r="O274" s="1013" t="s">
        <v>56</v>
      </c>
      <c r="P274" s="1134" t="s">
        <v>81</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84</v>
      </c>
      <c r="E275" s="1012">
        <v>46027</v>
      </c>
      <c r="F275" s="1234" t="s">
        <v>971</v>
      </c>
      <c r="G275" s="1131"/>
      <c r="H275" s="624">
        <v>85</v>
      </c>
      <c r="I275" s="637" t="s">
        <v>80</v>
      </c>
      <c r="J275" s="1013" t="s">
        <v>55</v>
      </c>
      <c r="K275" s="956">
        <v>46027</v>
      </c>
      <c r="L275" s="900" t="s">
        <v>56</v>
      </c>
      <c r="M275" s="1133">
        <v>73334</v>
      </c>
      <c r="N275" s="627"/>
      <c r="O275" s="1013" t="s">
        <v>56</v>
      </c>
      <c r="P275" s="1134" t="s">
        <v>81</v>
      </c>
      <c r="Q275" s="925">
        <v>46027</v>
      </c>
      <c r="R275" s="6">
        <v>5860</v>
      </c>
      <c r="S275" s="1394">
        <v>5883</v>
      </c>
      <c r="T275" s="1045">
        <v>0</v>
      </c>
      <c r="U275" s="81">
        <f>IFERROR(Table5[[#This Row],[Actual Redline Completed Footage UG]]/Table5[[#This Row],[Footage UG]], 0)</f>
        <v>1.0039249146757678</v>
      </c>
      <c r="V275" s="1385">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84</v>
      </c>
      <c r="E276" s="956">
        <v>46027</v>
      </c>
      <c r="F276" s="1024" t="s">
        <v>971</v>
      </c>
      <c r="G276" s="958"/>
      <c r="H276" s="21">
        <v>81</v>
      </c>
      <c r="I276" s="520" t="s">
        <v>80</v>
      </c>
      <c r="J276" s="963" t="s">
        <v>55</v>
      </c>
      <c r="K276" s="956">
        <v>46027</v>
      </c>
      <c r="L276" s="900" t="s">
        <v>56</v>
      </c>
      <c r="M276" s="1133">
        <v>73885</v>
      </c>
      <c r="N276" s="595"/>
      <c r="O276" s="1013" t="s">
        <v>56</v>
      </c>
      <c r="P276" s="1134" t="s">
        <v>81</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84</v>
      </c>
      <c r="E277" s="1012">
        <v>46027</v>
      </c>
      <c r="F277" s="1234" t="s">
        <v>971</v>
      </c>
      <c r="G277" s="1131"/>
      <c r="H277" s="624">
        <v>87</v>
      </c>
      <c r="I277" s="637" t="s">
        <v>80</v>
      </c>
      <c r="J277" s="1013" t="s">
        <v>55</v>
      </c>
      <c r="K277" s="956">
        <v>46027</v>
      </c>
      <c r="L277" s="900" t="s">
        <v>56</v>
      </c>
      <c r="M277" s="1133">
        <v>78025</v>
      </c>
      <c r="N277" s="627"/>
      <c r="O277" s="1013" t="s">
        <v>56</v>
      </c>
      <c r="P277" s="1134" t="s">
        <v>81</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84</v>
      </c>
      <c r="E278" s="956">
        <v>46027</v>
      </c>
      <c r="F278" s="1025" t="s">
        <v>971</v>
      </c>
      <c r="G278" s="958"/>
      <c r="H278" s="21">
        <v>68</v>
      </c>
      <c r="I278" s="520" t="s">
        <v>80</v>
      </c>
      <c r="J278" s="963" t="s">
        <v>55</v>
      </c>
      <c r="K278" s="956">
        <v>46027</v>
      </c>
      <c r="L278" s="900" t="s">
        <v>56</v>
      </c>
      <c r="M278" s="1133">
        <v>59114.5</v>
      </c>
      <c r="N278" s="595"/>
      <c r="O278" s="1013" t="s">
        <v>56</v>
      </c>
      <c r="P278" s="1134" t="s">
        <v>81</v>
      </c>
      <c r="Q278" s="925">
        <v>46027</v>
      </c>
      <c r="R278" s="6">
        <v>4836</v>
      </c>
      <c r="S278" s="1394">
        <v>4894</v>
      </c>
      <c r="T278" s="1044">
        <v>0</v>
      </c>
      <c r="U278" s="4">
        <f>IFERROR(Table5[[#This Row],[Actual Redline Completed Footage UG]]/Table5[[#This Row],[Footage UG]], 0)</f>
        <v>1.011993382961125</v>
      </c>
      <c r="V278" s="1388">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84</v>
      </c>
      <c r="E279" s="956">
        <v>46027</v>
      </c>
      <c r="F279" s="1024" t="s">
        <v>971</v>
      </c>
      <c r="G279" s="958"/>
      <c r="H279" s="21">
        <v>90</v>
      </c>
      <c r="I279" s="520" t="s">
        <v>80</v>
      </c>
      <c r="J279" s="963" t="s">
        <v>55</v>
      </c>
      <c r="K279" s="956">
        <v>46027</v>
      </c>
      <c r="L279" s="900" t="s">
        <v>56</v>
      </c>
      <c r="M279" s="1133">
        <v>88362</v>
      </c>
      <c r="N279" s="595"/>
      <c r="O279" s="1013" t="s">
        <v>56</v>
      </c>
      <c r="P279" s="1134" t="s">
        <v>81</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84</v>
      </c>
      <c r="E280" s="1023">
        <v>46027</v>
      </c>
      <c r="F280" s="1024" t="s">
        <v>971</v>
      </c>
      <c r="G280" s="958"/>
      <c r="H280" s="21">
        <v>90</v>
      </c>
      <c r="I280" s="520" t="s">
        <v>80</v>
      </c>
      <c r="J280" s="963" t="s">
        <v>55</v>
      </c>
      <c r="K280" s="956">
        <v>46027</v>
      </c>
      <c r="L280" s="900" t="s">
        <v>56</v>
      </c>
      <c r="M280" s="1079">
        <v>86984</v>
      </c>
      <c r="N280" s="595"/>
      <c r="O280" s="1013" t="s">
        <v>56</v>
      </c>
      <c r="P280" s="1134" t="s">
        <v>81</v>
      </c>
      <c r="Q280" s="925">
        <v>46027</v>
      </c>
      <c r="R280" s="6">
        <v>7341</v>
      </c>
      <c r="S280" s="1395">
        <v>7212</v>
      </c>
      <c r="T280" s="1044">
        <v>0</v>
      </c>
      <c r="U280" s="4">
        <f>IFERROR(Table5[[#This Row],[Actual Redline Completed Footage UG]]/Table5[[#This Row],[Footage UG]], 0)</f>
        <v>0.98242746219861055</v>
      </c>
      <c r="V280" s="1385">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84</v>
      </c>
      <c r="E281" s="1116">
        <v>46027</v>
      </c>
      <c r="F281" s="1117" t="s">
        <v>105</v>
      </c>
      <c r="G281" s="1117"/>
      <c r="H281" s="963">
        <v>0</v>
      </c>
      <c r="I281" s="520" t="s">
        <v>80</v>
      </c>
      <c r="J281" s="963" t="s">
        <v>55</v>
      </c>
      <c r="K281" s="956">
        <v>46027</v>
      </c>
      <c r="L281" s="900" t="s">
        <v>56</v>
      </c>
      <c r="M281" s="1079">
        <v>54261.05</v>
      </c>
      <c r="N281" s="595"/>
      <c r="O281" s="1013" t="s">
        <v>56</v>
      </c>
      <c r="P281" s="1134" t="s">
        <v>81</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84</v>
      </c>
      <c r="E282" s="1012">
        <v>46027</v>
      </c>
      <c r="F282" s="1131" t="s">
        <v>105</v>
      </c>
      <c r="G282" s="1131"/>
      <c r="H282" s="1013">
        <v>0</v>
      </c>
      <c r="I282" s="637" t="s">
        <v>80</v>
      </c>
      <c r="J282" s="1013" t="s">
        <v>55</v>
      </c>
      <c r="K282" s="956">
        <v>46027</v>
      </c>
      <c r="L282" s="900" t="s">
        <v>56</v>
      </c>
      <c r="M282" s="1133">
        <v>18078.28</v>
      </c>
      <c r="N282" s="627"/>
      <c r="O282" s="1013" t="s">
        <v>56</v>
      </c>
      <c r="P282" s="1134" t="s">
        <v>81</v>
      </c>
      <c r="Q282" s="925">
        <v>46027</v>
      </c>
      <c r="R282" s="6">
        <v>1284</v>
      </c>
      <c r="S282" s="1395">
        <v>1277</v>
      </c>
      <c r="T282" s="1045">
        <v>0</v>
      </c>
      <c r="U282" s="81">
        <f>IFERROR(Table5[[#This Row],[Actual Redline Completed Footage UG]]/Table5[[#This Row],[Footage UG]], 0)</f>
        <v>0.99454828660436134</v>
      </c>
      <c r="V282" s="1385">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342</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133</v>
      </c>
      <c r="C287" s="371">
        <v>45807</v>
      </c>
      <c r="D287" s="361" t="s">
        <v>403</v>
      </c>
      <c r="E287" s="370" t="s">
        <v>353</v>
      </c>
      <c r="F287" s="361" t="s">
        <v>707</v>
      </c>
      <c r="G287" s="542" t="s">
        <v>453</v>
      </c>
      <c r="H287" s="365">
        <v>60</v>
      </c>
      <c r="I287" s="663" t="s">
        <v>80</v>
      </c>
      <c r="J287" s="373" t="s">
        <v>63</v>
      </c>
      <c r="K287" s="676"/>
      <c r="L287" s="363">
        <v>45716</v>
      </c>
      <c r="M287" s="373" t="s">
        <v>56</v>
      </c>
      <c r="N287" s="421">
        <v>2075.6999999999998</v>
      </c>
      <c r="O287" s="373" t="s">
        <v>56</v>
      </c>
      <c r="P287" s="733" t="s">
        <v>81</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133</v>
      </c>
      <c r="C288" s="371">
        <v>45807</v>
      </c>
      <c r="D288" s="370" t="s">
        <v>403</v>
      </c>
      <c r="E288" s="370" t="s">
        <v>353</v>
      </c>
      <c r="F288" s="370" t="s">
        <v>707</v>
      </c>
      <c r="G288" s="659" t="s">
        <v>1161</v>
      </c>
      <c r="H288" s="373">
        <v>79</v>
      </c>
      <c r="I288" s="663" t="s">
        <v>80</v>
      </c>
      <c r="J288" s="373" t="s">
        <v>63</v>
      </c>
      <c r="K288" s="380"/>
      <c r="L288" s="363">
        <v>45716</v>
      </c>
      <c r="M288" s="373" t="s">
        <v>56</v>
      </c>
      <c r="N288" s="422">
        <v>2947.5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133</v>
      </c>
      <c r="C289" s="371">
        <v>45807</v>
      </c>
      <c r="D289" s="370" t="s">
        <v>403</v>
      </c>
      <c r="E289" s="370" t="s">
        <v>353</v>
      </c>
      <c r="F289" s="370" t="s">
        <v>707</v>
      </c>
      <c r="G289" s="659" t="s">
        <v>1163</v>
      </c>
      <c r="H289" s="373">
        <v>83</v>
      </c>
      <c r="I289" s="663" t="s">
        <v>80</v>
      </c>
      <c r="J289" s="373" t="s">
        <v>63</v>
      </c>
      <c r="K289" s="380"/>
      <c r="L289" s="363">
        <v>45716</v>
      </c>
      <c r="M289" s="373" t="s">
        <v>56</v>
      </c>
      <c r="N289" s="422">
        <v>2908.95</v>
      </c>
      <c r="O289" s="373" t="s">
        <v>56</v>
      </c>
      <c r="P289" s="734" t="s">
        <v>81</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353</v>
      </c>
      <c r="F290" s="370" t="s">
        <v>113</v>
      </c>
      <c r="G290" s="659" t="s">
        <v>1165</v>
      </c>
      <c r="H290" s="373">
        <v>68</v>
      </c>
      <c r="I290" s="373" t="s">
        <v>81</v>
      </c>
      <c r="J290" s="373" t="s">
        <v>63</v>
      </c>
      <c r="K290" s="373"/>
      <c r="L290" s="664">
        <v>45716</v>
      </c>
      <c r="M290" s="373" t="s">
        <v>56</v>
      </c>
      <c r="N290" s="422">
        <v>1134</v>
      </c>
      <c r="O290" s="373" t="s">
        <v>56</v>
      </c>
      <c r="P290" s="735" t="s">
        <v>81</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353</v>
      </c>
      <c r="F291" s="370" t="s">
        <v>113</v>
      </c>
      <c r="G291" s="677" t="s">
        <v>1167</v>
      </c>
      <c r="H291" s="373">
        <v>38</v>
      </c>
      <c r="I291" s="373" t="s">
        <v>81</v>
      </c>
      <c r="J291" s="373" t="s">
        <v>63</v>
      </c>
      <c r="K291" s="380"/>
      <c r="L291" s="363">
        <v>45716</v>
      </c>
      <c r="M291" s="373" t="s">
        <v>56</v>
      </c>
      <c r="N291" s="422">
        <v>870</v>
      </c>
      <c r="O291" s="373" t="s">
        <v>56</v>
      </c>
      <c r="P291" s="735" t="s">
        <v>81</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80</v>
      </c>
      <c r="J292" s="373" t="s">
        <v>55</v>
      </c>
      <c r="K292" s="373"/>
      <c r="L292" s="664">
        <v>45716</v>
      </c>
      <c r="M292" s="663" t="s">
        <v>56</v>
      </c>
      <c r="N292" s="422">
        <v>2025.6</v>
      </c>
      <c r="O292" s="663" t="s">
        <v>56</v>
      </c>
      <c r="P292" s="735" t="s">
        <v>81</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113</v>
      </c>
      <c r="G293" s="659" t="s">
        <v>1173</v>
      </c>
      <c r="H293" s="373">
        <v>84</v>
      </c>
      <c r="I293" s="373" t="s">
        <v>81</v>
      </c>
      <c r="J293" s="373" t="s">
        <v>63</v>
      </c>
      <c r="K293" s="373"/>
      <c r="L293" s="371">
        <v>45715</v>
      </c>
      <c r="M293" s="373" t="s">
        <v>56</v>
      </c>
      <c r="N293" s="422">
        <v>3801.75</v>
      </c>
      <c r="O293" s="373" t="s">
        <v>56</v>
      </c>
      <c r="P293" s="735" t="s">
        <v>81</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123</v>
      </c>
      <c r="E296" s="721">
        <v>45768</v>
      </c>
      <c r="F296" s="722" t="s">
        <v>105</v>
      </c>
      <c r="G296" s="719"/>
      <c r="H296" s="723">
        <v>0</v>
      </c>
      <c r="I296" s="724" t="s">
        <v>81</v>
      </c>
      <c r="J296" s="723" t="s">
        <v>63</v>
      </c>
      <c r="K296" s="720"/>
      <c r="L296" s="725" t="s">
        <v>63</v>
      </c>
      <c r="M296" s="723" t="s">
        <v>69</v>
      </c>
      <c r="N296" s="726">
        <v>0</v>
      </c>
      <c r="O296" s="723" t="s">
        <v>69</v>
      </c>
      <c r="P296" s="727" t="s">
        <v>81</v>
      </c>
      <c r="Q296" s="728" t="s">
        <v>63</v>
      </c>
      <c r="R296" s="729" t="s">
        <v>102</v>
      </c>
      <c r="S296" s="729" t="s">
        <v>102</v>
      </c>
      <c r="T296" s="729" t="s">
        <v>102</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123</v>
      </c>
      <c r="E297" s="684">
        <v>45768</v>
      </c>
      <c r="F297" s="683" t="s">
        <v>105</v>
      </c>
      <c r="G297" s="685"/>
      <c r="H297" s="686">
        <v>0</v>
      </c>
      <c r="I297" s="692" t="s">
        <v>81</v>
      </c>
      <c r="J297" s="686" t="s">
        <v>63</v>
      </c>
      <c r="K297" s="691"/>
      <c r="L297" s="693" t="s">
        <v>63</v>
      </c>
      <c r="M297" s="686" t="s">
        <v>69</v>
      </c>
      <c r="N297" s="687">
        <v>0</v>
      </c>
      <c r="O297" s="686" t="s">
        <v>69</v>
      </c>
      <c r="P297" s="688" t="s">
        <v>81</v>
      </c>
      <c r="Q297" s="36" t="s">
        <v>63</v>
      </c>
      <c r="R297" s="258" t="s">
        <v>102</v>
      </c>
      <c r="S297" s="258" t="s">
        <v>102</v>
      </c>
      <c r="T297" s="258" t="s">
        <v>102</v>
      </c>
      <c r="U297" s="36"/>
      <c r="V297" s="258">
        <v>3</v>
      </c>
      <c r="W297" s="258">
        <v>3</v>
      </c>
      <c r="X297" s="386">
        <f t="shared" si="2"/>
        <v>0</v>
      </c>
      <c r="Y297" s="695">
        <f t="shared" si="3"/>
        <v>1</v>
      </c>
      <c r="Z297" s="284">
        <v>45768</v>
      </c>
      <c r="AA297" s="27">
        <v>0</v>
      </c>
    </row>
    <row r="298" spans="1:30" ht="39.75" customHeight="1">
      <c r="A298" s="1301" t="s">
        <v>1177</v>
      </c>
      <c r="B298" s="1037" t="s">
        <v>133</v>
      </c>
      <c r="C298" s="1296">
        <v>46053</v>
      </c>
      <c r="D298" s="1297" t="s">
        <v>1178</v>
      </c>
      <c r="E298" s="1298">
        <v>46030</v>
      </c>
      <c r="F298" s="725" t="s">
        <v>138</v>
      </c>
      <c r="G298" s="1299"/>
      <c r="H298" s="947">
        <v>0</v>
      </c>
      <c r="I298" s="724" t="s">
        <v>80</v>
      </c>
      <c r="J298" s="1396" t="s">
        <v>55</v>
      </c>
      <c r="K298" s="43"/>
      <c r="L298" s="693" t="s">
        <v>63</v>
      </c>
      <c r="M298" s="767" t="s">
        <v>56</v>
      </c>
      <c r="N298" s="1397">
        <v>1035</v>
      </c>
      <c r="O298" s="947" t="s">
        <v>56</v>
      </c>
      <c r="P298" s="1300" t="s">
        <v>81</v>
      </c>
      <c r="Q298" s="1398">
        <v>46030</v>
      </c>
      <c r="R298" s="258" t="s">
        <v>102</v>
      </c>
      <c r="S298" s="258" t="s">
        <v>102</v>
      </c>
      <c r="T298" s="258" t="s">
        <v>102</v>
      </c>
      <c r="U298" s="36"/>
      <c r="V298" s="1399">
        <v>0</v>
      </c>
      <c r="W298" s="1400">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133</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440</v>
      </c>
      <c r="B3" s="409" t="s">
        <v>133</v>
      </c>
      <c r="C3" s="549">
        <v>45742</v>
      </c>
      <c r="D3" s="550" t="s">
        <v>442</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444</v>
      </c>
      <c r="B5" s="327" t="s">
        <v>133</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447</v>
      </c>
      <c r="B6" s="327" t="s">
        <v>133</v>
      </c>
      <c r="C6" s="328">
        <v>45747</v>
      </c>
      <c r="D6" s="553" t="s">
        <v>449</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453</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451</v>
      </c>
      <c r="B11" s="342" t="s">
        <v>133</v>
      </c>
      <c r="C11" s="113">
        <v>45991</v>
      </c>
      <c r="D11" s="413" t="s">
        <v>453</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359</v>
      </c>
      <c r="B12" s="117" t="s">
        <v>133</v>
      </c>
      <c r="C12" s="113">
        <v>45772</v>
      </c>
      <c r="D12" s="136" t="s">
        <v>453</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355</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454</v>
      </c>
      <c r="B16" s="117" t="s">
        <v>133</v>
      </c>
      <c r="C16" s="246">
        <v>45742</v>
      </c>
      <c r="D16" s="559" t="s">
        <v>456</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457</v>
      </c>
      <c r="B17" s="117" t="s">
        <v>133</v>
      </c>
      <c r="C17" s="114">
        <v>45991</v>
      </c>
      <c r="D17" s="573" t="s">
        <v>458</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483</v>
      </c>
      <c r="B29" s="112" t="s">
        <v>76</v>
      </c>
      <c r="C29" s="113">
        <v>45711</v>
      </c>
      <c r="D29" s="136" t="s">
        <v>361</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353</v>
      </c>
      <c r="N80" s="39" t="s">
        <v>81</v>
      </c>
      <c r="O80" s="5" t="s">
        <v>353</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353</v>
      </c>
      <c r="N172" s="39" t="s">
        <v>81</v>
      </c>
      <c r="O172" s="9" t="s">
        <v>353</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1220</v>
      </c>
      <c r="C1" s="1354"/>
      <c r="D1" s="433"/>
      <c r="E1" s="1354" t="s">
        <v>1221</v>
      </c>
      <c r="F1" s="1354"/>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v>12656</v>
      </c>
      <c r="E4" s="13" t="s">
        <v>1222</v>
      </c>
      <c r="F4" t="s">
        <v>1225</v>
      </c>
      <c r="W4" t="s">
        <v>1228</v>
      </c>
      <c r="X4">
        <v>22</v>
      </c>
    </row>
    <row r="5" spans="1:25">
      <c r="B5" t="s">
        <v>123</v>
      </c>
      <c r="C5">
        <v>17110</v>
      </c>
      <c r="E5" t="s">
        <v>1225</v>
      </c>
      <c r="F5">
        <v>29766</v>
      </c>
      <c r="K5" s="13" t="s">
        <v>1229</v>
      </c>
      <c r="P5" s="13" t="s">
        <v>1229</v>
      </c>
      <c r="W5" t="s">
        <v>1230</v>
      </c>
      <c r="X5">
        <v>13</v>
      </c>
    </row>
    <row r="6" spans="1:25">
      <c r="B6" t="s">
        <v>1231</v>
      </c>
      <c r="C6">
        <v>173402</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149</v>
      </c>
      <c r="C8">
        <v>16756</v>
      </c>
      <c r="L8" t="s">
        <v>464</v>
      </c>
      <c r="M8">
        <v>1</v>
      </c>
      <c r="P8" t="s">
        <v>1237</v>
      </c>
      <c r="R8">
        <v>1</v>
      </c>
      <c r="V8" t="s">
        <v>1238</v>
      </c>
      <c r="W8" s="189">
        <v>203521</v>
      </c>
      <c r="X8" s="245">
        <f>X5/X4</f>
        <v>0.59090909090909094</v>
      </c>
      <c r="Y8" s="245">
        <f>W9/W8</f>
        <v>0.31446386367991508</v>
      </c>
    </row>
    <row r="9" spans="1:25">
      <c r="B9" t="s">
        <v>134</v>
      </c>
      <c r="C9">
        <v>25873</v>
      </c>
      <c r="L9" t="s">
        <v>1239</v>
      </c>
      <c r="M9">
        <v>1</v>
      </c>
      <c r="P9" t="s">
        <v>1240</v>
      </c>
      <c r="Q9" t="s">
        <v>1239</v>
      </c>
      <c r="R9">
        <v>1</v>
      </c>
      <c r="V9" t="s">
        <v>1241</v>
      </c>
      <c r="W9">
        <v>64000</v>
      </c>
    </row>
    <row r="10" spans="1:25">
      <c r="B10" t="s">
        <v>77</v>
      </c>
      <c r="C10">
        <v>4907</v>
      </c>
      <c r="L10" t="s">
        <v>719</v>
      </c>
      <c r="M10">
        <v>1</v>
      </c>
      <c r="Q10" t="s">
        <v>723</v>
      </c>
      <c r="R10">
        <v>1</v>
      </c>
    </row>
    <row r="11" spans="1:25">
      <c r="B11" t="s">
        <v>112</v>
      </c>
      <c r="C11">
        <v>3</v>
      </c>
      <c r="L11" t="s">
        <v>723</v>
      </c>
      <c r="M11">
        <v>1</v>
      </c>
      <c r="Q11" t="s">
        <v>726</v>
      </c>
      <c r="R11">
        <v>1</v>
      </c>
    </row>
    <row r="12" spans="1:25">
      <c r="B12" t="s">
        <v>51</v>
      </c>
      <c r="C12">
        <v>8185</v>
      </c>
      <c r="L12" t="s">
        <v>726</v>
      </c>
      <c r="M12">
        <v>1</v>
      </c>
      <c r="Q12" t="s">
        <v>1242</v>
      </c>
      <c r="R12">
        <v>1</v>
      </c>
    </row>
    <row r="13" spans="1:25">
      <c r="B13" t="s">
        <v>260</v>
      </c>
      <c r="C13">
        <v>12242</v>
      </c>
      <c r="L13" t="s">
        <v>1243</v>
      </c>
      <c r="M13">
        <v>1</v>
      </c>
      <c r="Q13" t="s">
        <v>1033</v>
      </c>
      <c r="R13">
        <v>1</v>
      </c>
    </row>
    <row r="14" spans="1:25">
      <c r="B14" t="s">
        <v>1244</v>
      </c>
      <c r="C14">
        <v>271134</v>
      </c>
      <c r="L14" t="s">
        <v>740</v>
      </c>
      <c r="M14">
        <v>1</v>
      </c>
      <c r="P14" t="s">
        <v>1245</v>
      </c>
      <c r="R14">
        <v>5</v>
      </c>
    </row>
    <row r="15" spans="1:25">
      <c r="L15" t="s">
        <v>1242</v>
      </c>
      <c r="M15">
        <v>1</v>
      </c>
      <c r="P15" t="s">
        <v>1231</v>
      </c>
      <c r="R15">
        <v>12</v>
      </c>
    </row>
    <row r="16" spans="1:25">
      <c r="L16" t="s">
        <v>742</v>
      </c>
      <c r="M16">
        <v>1</v>
      </c>
      <c r="P16" t="s">
        <v>1244</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108</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1244</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1251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108</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1"/>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692</v>
      </c>
      <c r="F4">
        <v>1049</v>
      </c>
      <c r="G4">
        <v>1049</v>
      </c>
      <c r="J4" s="13" t="s">
        <v>1295</v>
      </c>
      <c r="K4" t="s">
        <v>1225</v>
      </c>
      <c r="N4" s="13" t="s">
        <v>1295</v>
      </c>
      <c r="O4" t="s">
        <v>1296</v>
      </c>
      <c r="P4" t="s">
        <v>1297</v>
      </c>
      <c r="Q4" t="s">
        <v>1298</v>
      </c>
      <c r="R4" t="s">
        <v>1244</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84</v>
      </c>
      <c r="K6">
        <v>22274</v>
      </c>
      <c r="N6" t="s">
        <v>84</v>
      </c>
      <c r="O6">
        <v>24798</v>
      </c>
      <c r="P6">
        <v>44426</v>
      </c>
      <c r="Q6">
        <v>33743</v>
      </c>
      <c r="R6">
        <v>102967</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1244</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1244</v>
      </c>
      <c r="O13">
        <v>50898</v>
      </c>
      <c r="P13">
        <v>140140</v>
      </c>
      <c r="Q13">
        <v>113546</v>
      </c>
      <c r="R13">
        <v>304584</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1244</v>
      </c>
      <c r="J16" t="s">
        <v>699</v>
      </c>
      <c r="K16">
        <v>6718</v>
      </c>
    </row>
    <row r="17" spans="1:11">
      <c r="A17" t="s">
        <v>692</v>
      </c>
      <c r="E17">
        <v>547</v>
      </c>
      <c r="F17">
        <v>792</v>
      </c>
      <c r="G17">
        <v>1339</v>
      </c>
      <c r="J17" t="s">
        <v>441</v>
      </c>
    </row>
    <row r="18" spans="1:11">
      <c r="A18" t="s">
        <v>695</v>
      </c>
      <c r="F18">
        <v>823</v>
      </c>
      <c r="G18">
        <v>823</v>
      </c>
      <c r="J18" t="s">
        <v>1244</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1244</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1244</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1244</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1244</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1244</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1244</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1244</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359</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1244</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359</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1244</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1244</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1244</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1244</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1244</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1244</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1244</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1244</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1244</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1244</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1244</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1244</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1244</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1244</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1244</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1244</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359</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1244</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359</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1244</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1244</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1244</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359</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355</v>
      </c>
      <c r="F659">
        <v>391</v>
      </c>
      <c r="G659">
        <v>391</v>
      </c>
    </row>
    <row r="660" spans="1:7">
      <c r="A660" t="s">
        <v>1244</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355</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1244</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359</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355</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1244</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row>
    <row r="706" spans="1:7">
      <c r="A706" t="s">
        <v>359</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1244</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1244</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359</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1244</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359</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355</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1244</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359</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1244</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100</v>
      </c>
      <c r="D829">
        <v>1282</v>
      </c>
      <c r="E829">
        <v>980</v>
      </c>
      <c r="G829">
        <v>2262</v>
      </c>
    </row>
    <row r="830" spans="1:7">
      <c r="A830" t="s">
        <v>855</v>
      </c>
    </row>
    <row r="831" spans="1:7">
      <c r="A831" t="s">
        <v>1244</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C836">
        <v>163</v>
      </c>
      <c r="D836">
        <v>535</v>
      </c>
      <c r="E836">
        <v>570</v>
      </c>
      <c r="G836">
        <v>1268</v>
      </c>
    </row>
    <row r="837" spans="1:7">
      <c r="A837" t="s">
        <v>1214</v>
      </c>
    </row>
    <row r="838" spans="1:7">
      <c r="A838" t="s">
        <v>355</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100</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343</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1244</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1244</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355</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346</v>
      </c>
      <c r="D899">
        <v>3179</v>
      </c>
      <c r="G899">
        <v>3179</v>
      </c>
    </row>
    <row r="900" spans="1:7">
      <c r="A900" t="s">
        <v>1003</v>
      </c>
      <c r="E900">
        <v>978</v>
      </c>
      <c r="G900">
        <v>978</v>
      </c>
    </row>
    <row r="901" spans="1:7">
      <c r="A901" t="s">
        <v>992</v>
      </c>
      <c r="E901">
        <v>502</v>
      </c>
      <c r="G901">
        <v>502</v>
      </c>
    </row>
    <row r="902" spans="1:7">
      <c r="A902" t="s">
        <v>156</v>
      </c>
      <c r="E902">
        <v>346</v>
      </c>
      <c r="G902">
        <v>346</v>
      </c>
    </row>
    <row r="903" spans="1:7">
      <c r="A903" t="s">
        <v>1244</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row>
    <row r="909" spans="1:7">
      <c r="A909" t="s">
        <v>886</v>
      </c>
    </row>
    <row r="910" spans="1:7">
      <c r="A910" t="s">
        <v>852</v>
      </c>
    </row>
    <row r="911" spans="1:7">
      <c r="A911" t="s">
        <v>871</v>
      </c>
      <c r="F911">
        <v>569</v>
      </c>
      <c r="G911">
        <v>569</v>
      </c>
    </row>
    <row r="912" spans="1:7">
      <c r="A912" t="s">
        <v>1057</v>
      </c>
    </row>
    <row r="913" spans="1:7">
      <c r="A913" t="s">
        <v>343</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346</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156</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365</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1244</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346</v>
      </c>
      <c r="B944">
        <v>96</v>
      </c>
      <c r="G944">
        <v>96</v>
      </c>
    </row>
    <row r="945" spans="1:7">
      <c r="A945" t="s">
        <v>1003</v>
      </c>
      <c r="B945">
        <v>632</v>
      </c>
      <c r="G945">
        <v>632</v>
      </c>
    </row>
    <row r="946" spans="1:7">
      <c r="A946" t="s">
        <v>992</v>
      </c>
      <c r="B946">
        <v>558</v>
      </c>
      <c r="G946">
        <v>558</v>
      </c>
    </row>
    <row r="947" spans="1:7">
      <c r="A947" t="s">
        <v>156</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348</v>
      </c>
      <c r="B951">
        <v>435</v>
      </c>
      <c r="E951">
        <v>1123</v>
      </c>
      <c r="G951">
        <v>1558</v>
      </c>
    </row>
    <row r="952" spans="1:7">
      <c r="A952" t="s">
        <v>970</v>
      </c>
      <c r="D952">
        <v>1580</v>
      </c>
      <c r="E952">
        <v>1258</v>
      </c>
      <c r="G952">
        <v>2838</v>
      </c>
    </row>
    <row r="953" spans="1:7">
      <c r="A953" t="s">
        <v>565</v>
      </c>
      <c r="D953">
        <v>877</v>
      </c>
      <c r="E953">
        <v>814</v>
      </c>
      <c r="G953">
        <v>1691</v>
      </c>
    </row>
    <row r="954" spans="1:7">
      <c r="A954" t="s">
        <v>145</v>
      </c>
      <c r="D954">
        <v>711</v>
      </c>
      <c r="E954">
        <v>325</v>
      </c>
      <c r="F954">
        <v>430</v>
      </c>
      <c r="G954">
        <v>1466</v>
      </c>
    </row>
    <row r="955" spans="1:7">
      <c r="A955" t="s">
        <v>383</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1244</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430</v>
      </c>
      <c r="E968">
        <v>170</v>
      </c>
      <c r="F968">
        <v>271</v>
      </c>
      <c r="G968">
        <v>441</v>
      </c>
    </row>
    <row r="969" spans="1:7">
      <c r="A969" t="s">
        <v>355</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156</v>
      </c>
      <c r="B973">
        <v>420</v>
      </c>
      <c r="G973">
        <v>420</v>
      </c>
    </row>
    <row r="974" spans="1:7">
      <c r="A974" t="s">
        <v>995</v>
      </c>
    </row>
    <row r="975" spans="1:7">
      <c r="A975" t="s">
        <v>348</v>
      </c>
      <c r="C975">
        <v>1917</v>
      </c>
      <c r="E975">
        <v>272</v>
      </c>
      <c r="G975">
        <v>2189</v>
      </c>
    </row>
    <row r="976" spans="1:7">
      <c r="A976" t="s">
        <v>565</v>
      </c>
      <c r="B976">
        <v>956</v>
      </c>
      <c r="G976">
        <v>956</v>
      </c>
    </row>
    <row r="977" spans="1:7">
      <c r="A977" t="s">
        <v>145</v>
      </c>
      <c r="E977">
        <v>195</v>
      </c>
      <c r="G977">
        <v>195</v>
      </c>
    </row>
    <row r="978" spans="1:7">
      <c r="A978" t="s">
        <v>383</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385</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1244</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346</v>
      </c>
    </row>
    <row r="1011" spans="1:7">
      <c r="A1011" t="s">
        <v>156</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348</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1244</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1244</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371</v>
      </c>
      <c r="D1100">
        <v>817</v>
      </c>
      <c r="E1100">
        <v>1820</v>
      </c>
      <c r="G1100">
        <v>2637</v>
      </c>
    </row>
    <row r="1101" spans="1:7">
      <c r="A1101" t="s">
        <v>928</v>
      </c>
      <c r="E1101">
        <v>1351</v>
      </c>
      <c r="G1101">
        <v>1351</v>
      </c>
    </row>
    <row r="1102" spans="1:7">
      <c r="A1102" t="s">
        <v>377</v>
      </c>
      <c r="F1102">
        <v>1832</v>
      </c>
      <c r="G1102">
        <v>1832</v>
      </c>
    </row>
    <row r="1103" spans="1:7">
      <c r="A1103" t="s">
        <v>1244</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377</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148</v>
      </c>
      <c r="C1129">
        <v>890</v>
      </c>
      <c r="D1129">
        <v>1810</v>
      </c>
      <c r="E1129">
        <v>967</v>
      </c>
      <c r="G1129">
        <v>3667</v>
      </c>
    </row>
    <row r="1130" spans="1:7">
      <c r="A1130" t="s">
        <v>387</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1244</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377</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1244</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377</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1244</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362</v>
      </c>
      <c r="F1196">
        <v>0</v>
      </c>
      <c r="G1196">
        <v>0</v>
      </c>
    </row>
    <row r="1197" spans="1:7">
      <c r="A1197" t="s">
        <v>374</v>
      </c>
      <c r="F1197">
        <v>1319</v>
      </c>
      <c r="G1197">
        <v>1319</v>
      </c>
    </row>
    <row r="1198" spans="1:7">
      <c r="A1198" t="s">
        <v>1244</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716</v>
      </c>
      <c r="F1203">
        <v>50</v>
      </c>
      <c r="G1203">
        <v>50</v>
      </c>
    </row>
    <row r="1204" spans="1:7">
      <c r="A1204" t="s">
        <v>430</v>
      </c>
      <c r="C1204">
        <v>312</v>
      </c>
      <c r="G1204">
        <v>312</v>
      </c>
    </row>
    <row r="1205" spans="1:7">
      <c r="A1205" t="s">
        <v>1207</v>
      </c>
      <c r="E1205">
        <v>142</v>
      </c>
      <c r="G1205">
        <v>142</v>
      </c>
    </row>
    <row r="1206" spans="1:7">
      <c r="A1206" t="s">
        <v>355</v>
      </c>
      <c r="D1206">
        <v>1200</v>
      </c>
      <c r="E1206">
        <v>445</v>
      </c>
      <c r="F1206">
        <v>686</v>
      </c>
      <c r="G1206">
        <v>2331</v>
      </c>
    </row>
    <row r="1207" spans="1:7">
      <c r="A1207" t="s">
        <v>886</v>
      </c>
    </row>
    <row r="1208" spans="1:7">
      <c r="A1208" t="s">
        <v>855</v>
      </c>
    </row>
    <row r="1209" spans="1:7">
      <c r="A1209" t="s">
        <v>365</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374</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368</v>
      </c>
      <c r="B1229">
        <v>607</v>
      </c>
      <c r="C1229">
        <v>662</v>
      </c>
      <c r="D1229">
        <v>877</v>
      </c>
      <c r="E1229">
        <v>499</v>
      </c>
      <c r="F1229">
        <v>186</v>
      </c>
      <c r="G1229">
        <v>2831</v>
      </c>
    </row>
    <row r="1230" spans="1:7">
      <c r="A1230" t="s">
        <v>1244</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v>0</v>
      </c>
      <c r="G1235">
        <v>0</v>
      </c>
    </row>
    <row r="1236" spans="1:7">
      <c r="A1236" t="s">
        <v>1207</v>
      </c>
      <c r="F1236">
        <v>57</v>
      </c>
      <c r="G1236">
        <v>57</v>
      </c>
    </row>
    <row r="1237" spans="1:7">
      <c r="A1237" t="s">
        <v>355</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219</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226</v>
      </c>
      <c r="D1256">
        <v>2000</v>
      </c>
      <c r="E1256">
        <v>970</v>
      </c>
      <c r="G1256">
        <v>2970</v>
      </c>
    </row>
    <row r="1257" spans="1:7">
      <c r="A1257" t="s">
        <v>351</v>
      </c>
      <c r="E1257">
        <v>2031</v>
      </c>
      <c r="F1257">
        <v>845</v>
      </c>
      <c r="G1257">
        <v>2876</v>
      </c>
    </row>
    <row r="1258" spans="1:7">
      <c r="A1258" t="s">
        <v>1244</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355</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351</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380</v>
      </c>
      <c r="E1290">
        <v>1468</v>
      </c>
      <c r="F1290">
        <v>1637</v>
      </c>
      <c r="G1290">
        <v>3105</v>
      </c>
    </row>
    <row r="1291" spans="1:7">
      <c r="A1291" t="s">
        <v>1244</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355</v>
      </c>
      <c r="B1296">
        <v>859</v>
      </c>
      <c r="G1296">
        <v>859</v>
      </c>
    </row>
    <row r="1297" spans="1:7">
      <c r="A1297" t="s">
        <v>1277</v>
      </c>
      <c r="B1297">
        <v>251</v>
      </c>
      <c r="G1297">
        <v>251</v>
      </c>
    </row>
    <row r="1298" spans="1:7">
      <c r="A1298" t="s">
        <v>156</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219</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380</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1244</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355</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202</v>
      </c>
      <c r="D1328">
        <v>753</v>
      </c>
      <c r="E1328">
        <v>1289</v>
      </c>
      <c r="G1328">
        <v>2042</v>
      </c>
    </row>
    <row r="1329" spans="1:7">
      <c r="A1329" t="s">
        <v>223</v>
      </c>
      <c r="D1329">
        <v>2073</v>
      </c>
      <c r="E1329">
        <v>1342</v>
      </c>
      <c r="F1329">
        <v>1601</v>
      </c>
      <c r="G1329">
        <v>5016</v>
      </c>
    </row>
    <row r="1330" spans="1:7">
      <c r="A1330" t="s">
        <v>1244</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362</v>
      </c>
      <c r="C1339">
        <v>1340</v>
      </c>
      <c r="D1339">
        <v>1529</v>
      </c>
      <c r="E1339">
        <v>1168</v>
      </c>
      <c r="F1339">
        <v>1008</v>
      </c>
      <c r="G1339">
        <v>5045</v>
      </c>
    </row>
    <row r="1340" spans="1:7">
      <c r="A1340" t="s">
        <v>393</v>
      </c>
      <c r="B1340">
        <v>669</v>
      </c>
      <c r="C1340">
        <v>467</v>
      </c>
      <c r="D1340">
        <v>1133</v>
      </c>
      <c r="E1340">
        <v>448</v>
      </c>
      <c r="G1340">
        <v>2717</v>
      </c>
    </row>
    <row r="1341" spans="1:7">
      <c r="A1341" t="s">
        <v>390</v>
      </c>
      <c r="B1341">
        <v>1564</v>
      </c>
      <c r="C1341">
        <v>1532</v>
      </c>
      <c r="D1341">
        <v>1447</v>
      </c>
      <c r="E1341">
        <v>864</v>
      </c>
      <c r="G1341">
        <v>5407</v>
      </c>
    </row>
    <row r="1342" spans="1:7">
      <c r="A1342" t="s">
        <v>1360</v>
      </c>
      <c r="C1342">
        <v>199</v>
      </c>
      <c r="D1342">
        <v>361</v>
      </c>
      <c r="E1342">
        <v>652</v>
      </c>
      <c r="F1342">
        <v>379</v>
      </c>
      <c r="G1342">
        <v>1591</v>
      </c>
    </row>
    <row r="1343" spans="1:7">
      <c r="A1343" t="s">
        <v>75</v>
      </c>
      <c r="E1343">
        <v>538</v>
      </c>
      <c r="G1343">
        <v>538</v>
      </c>
    </row>
    <row r="1344" spans="1:7">
      <c r="A1344" t="s">
        <v>1361</v>
      </c>
      <c r="F1344">
        <v>45</v>
      </c>
      <c r="G1344">
        <v>45</v>
      </c>
    </row>
    <row r="1345" spans="1:7">
      <c r="A1345" t="s">
        <v>1362</v>
      </c>
      <c r="D1345">
        <v>187</v>
      </c>
      <c r="E1345">
        <v>300</v>
      </c>
      <c r="G1345">
        <v>487</v>
      </c>
    </row>
    <row r="1346" spans="1:7">
      <c r="A1346" t="s">
        <v>1244</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v>837</v>
      </c>
      <c r="F1350">
        <v>199</v>
      </c>
      <c r="G1350">
        <v>1036</v>
      </c>
    </row>
    <row r="1351" spans="1:7">
      <c r="A1351" t="s">
        <v>362</v>
      </c>
      <c r="B1351">
        <v>1274</v>
      </c>
      <c r="C1351">
        <v>1073</v>
      </c>
      <c r="D1351">
        <v>271</v>
      </c>
      <c r="G1351">
        <v>2618</v>
      </c>
    </row>
    <row r="1352" spans="1:7">
      <c r="A1352" t="s">
        <v>399</v>
      </c>
      <c r="E1352">
        <v>1033</v>
      </c>
      <c r="G1352">
        <v>1033</v>
      </c>
    </row>
    <row r="1353" spans="1:7">
      <c r="A1353" t="s">
        <v>219</v>
      </c>
      <c r="D1353">
        <v>667</v>
      </c>
      <c r="G1353">
        <v>667</v>
      </c>
    </row>
    <row r="1354" spans="1:7">
      <c r="A1354" t="s">
        <v>393</v>
      </c>
      <c r="B1354">
        <v>1044</v>
      </c>
      <c r="G1354">
        <v>1044</v>
      </c>
    </row>
    <row r="1355" spans="1:7">
      <c r="A1355" t="s">
        <v>202</v>
      </c>
      <c r="C1355">
        <v>1062</v>
      </c>
      <c r="D1355">
        <v>1318</v>
      </c>
      <c r="E1355">
        <v>1165</v>
      </c>
      <c r="G1355">
        <v>3545</v>
      </c>
    </row>
    <row r="1356" spans="1:7">
      <c r="A1356" t="s">
        <v>223</v>
      </c>
      <c r="B1356">
        <v>1099</v>
      </c>
      <c r="D1356">
        <v>2025</v>
      </c>
      <c r="G1356">
        <v>3124</v>
      </c>
    </row>
    <row r="1357" spans="1:7">
      <c r="A1357" t="s">
        <v>390</v>
      </c>
    </row>
    <row r="1358" spans="1:7">
      <c r="A1358" t="s">
        <v>1360</v>
      </c>
      <c r="B1358">
        <v>534</v>
      </c>
      <c r="D1358">
        <v>223</v>
      </c>
      <c r="G1358">
        <v>757</v>
      </c>
    </row>
    <row r="1359" spans="1:7">
      <c r="A1359" t="s">
        <v>75</v>
      </c>
      <c r="C1359">
        <v>1056</v>
      </c>
      <c r="D1359">
        <v>2018</v>
      </c>
      <c r="G1359">
        <v>3074</v>
      </c>
    </row>
    <row r="1360" spans="1:7">
      <c r="A1360" t="s">
        <v>1362</v>
      </c>
      <c r="B1360">
        <v>201</v>
      </c>
      <c r="D1360">
        <v>200</v>
      </c>
      <c r="G1360">
        <v>401</v>
      </c>
    </row>
    <row r="1361" spans="1:7">
      <c r="A1361" t="s">
        <v>1363</v>
      </c>
      <c r="F1361">
        <v>1187</v>
      </c>
      <c r="G1361">
        <v>1187</v>
      </c>
    </row>
    <row r="1362" spans="1:7">
      <c r="A1362" t="s">
        <v>1244</v>
      </c>
      <c r="B1362">
        <v>4989</v>
      </c>
      <c r="C1362">
        <v>3191</v>
      </c>
      <c r="D1362">
        <v>6722</v>
      </c>
      <c r="E1362">
        <v>2198</v>
      </c>
      <c r="F1362">
        <v>1386</v>
      </c>
      <c r="G1362">
        <v>18486</v>
      </c>
    </row>
    <row r="1365" spans="1:7">
      <c r="A1365" s="13" t="s">
        <v>1292</v>
      </c>
      <c r="B1365" s="13" t="s">
        <v>1291</v>
      </c>
    </row>
    <row r="1366" spans="1:7">
      <c r="A1366" s="13" t="s">
        <v>1293</v>
      </c>
      <c r="B1366" s="50">
        <v>46083</v>
      </c>
      <c r="C1366" t="s">
        <v>1244</v>
      </c>
    </row>
    <row r="1367" spans="1:7">
      <c r="A1367" t="s">
        <v>202</v>
      </c>
      <c r="B1367">
        <v>1391</v>
      </c>
      <c r="C1367">
        <v>1391</v>
      </c>
    </row>
    <row r="1368" spans="1:7">
      <c r="A1368" t="s">
        <v>75</v>
      </c>
      <c r="B1368">
        <v>1016</v>
      </c>
      <c r="C1368">
        <v>1016</v>
      </c>
    </row>
    <row r="1369" spans="1:7">
      <c r="A1369" t="s">
        <v>1363</v>
      </c>
      <c r="B1369">
        <v>1287</v>
      </c>
      <c r="C1369">
        <v>1287</v>
      </c>
    </row>
    <row r="1370" spans="1:7">
      <c r="A1370" t="s">
        <v>89</v>
      </c>
      <c r="B1370">
        <v>611</v>
      </c>
      <c r="C1370">
        <v>611</v>
      </c>
    </row>
    <row r="1371" spans="1:7">
      <c r="A1371" t="s">
        <v>1244</v>
      </c>
      <c r="B1371">
        <v>4305</v>
      </c>
      <c r="C1371">
        <v>4305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3"/>
  <sheetViews>
    <sheetView workbookViewId="0">
      <pane ySplit="1" topLeftCell="A2734" activePane="bottomLeft" state="frozen"/>
      <selection pane="bottomLeft" activeCell="A2740" sqref="A274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84</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84</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84</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84</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84</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84</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84</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84</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84</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84</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84</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84</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84</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84</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84</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84</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84</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84</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84</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84</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84</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84</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84</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84</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84</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84</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84</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84</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84</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84</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84</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84</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84</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84</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84</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84</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84</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84</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84</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84</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84</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84</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84</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84</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84</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84</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84</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84</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84</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84</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84</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84</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84</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84</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84</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84</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84</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84</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84</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84</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84</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84</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84</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84</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84</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84</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84</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84</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84</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84</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84</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84</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84</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84</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84</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84</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84</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84</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84</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84</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84</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84</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84</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84</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84</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84</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84</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84</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84</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84</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84</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84</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84</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84</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84</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84</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84</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84</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84</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84</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84</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84</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84</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84</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84</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84</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84</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84</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84</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84</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84</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84</v>
      </c>
      <c r="C621" s="24">
        <v>45734</v>
      </c>
      <c r="E621" s="12"/>
      <c r="F621" s="71" t="s">
        <v>1451</v>
      </c>
      <c r="G621" t="str">
        <f t="shared" si="9"/>
        <v>March</v>
      </c>
    </row>
    <row r="622" spans="1:7" ht="15.75">
      <c r="A622" s="1151" t="s">
        <v>804</v>
      </c>
      <c r="B622" s="1145" t="s">
        <v>84</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84</v>
      </c>
      <c r="C677" s="24">
        <v>45740</v>
      </c>
      <c r="D677" s="79">
        <v>1430</v>
      </c>
      <c r="E677" s="49" t="s">
        <v>1374</v>
      </c>
      <c r="F677" s="49" t="s">
        <v>1481</v>
      </c>
      <c r="G677" t="str">
        <f t="shared" si="10"/>
        <v>March</v>
      </c>
    </row>
    <row r="678" spans="1:7" ht="15.75">
      <c r="A678" s="78" t="s">
        <v>676</v>
      </c>
      <c r="B678" s="178" t="s">
        <v>84</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84</v>
      </c>
      <c r="C690" s="24">
        <v>45741</v>
      </c>
      <c r="D690" s="79">
        <v>1383</v>
      </c>
      <c r="E690" s="49" t="s">
        <v>1489</v>
      </c>
      <c r="F690" s="49" t="s">
        <v>1490</v>
      </c>
      <c r="G690" t="str">
        <f t="shared" si="10"/>
        <v>March</v>
      </c>
    </row>
    <row r="691" spans="1:7" ht="15.75">
      <c r="A691" s="78" t="s">
        <v>676</v>
      </c>
      <c r="B691" s="178" t="s">
        <v>84</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84</v>
      </c>
      <c r="C706" s="24">
        <v>45741</v>
      </c>
      <c r="D706" s="92">
        <v>1740</v>
      </c>
      <c r="E706" s="12"/>
      <c r="G706" t="str">
        <f t="shared" si="10"/>
        <v>March</v>
      </c>
    </row>
    <row r="707" spans="1:7">
      <c r="A707" s="71" t="s">
        <v>359</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84</v>
      </c>
      <c r="C713" s="24">
        <v>45742</v>
      </c>
      <c r="D713" s="145">
        <v>1334</v>
      </c>
      <c r="E713" s="49" t="s">
        <v>1412</v>
      </c>
      <c r="F713" s="49" t="s">
        <v>1374</v>
      </c>
      <c r="G713" t="str">
        <f t="shared" si="11"/>
        <v>March</v>
      </c>
    </row>
    <row r="714" spans="1:7" ht="15.75">
      <c r="A714" s="78" t="s">
        <v>676</v>
      </c>
      <c r="B714" s="178" t="s">
        <v>84</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84</v>
      </c>
      <c r="C725" s="24">
        <v>45742</v>
      </c>
      <c r="D725" s="145">
        <v>2934</v>
      </c>
      <c r="E725" s="12"/>
      <c r="F725" s="49" t="s">
        <v>1504</v>
      </c>
      <c r="G725" t="str">
        <f t="shared" si="11"/>
        <v>March</v>
      </c>
    </row>
    <row r="726" spans="1:7">
      <c r="A726" s="71" t="s">
        <v>359</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84</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84</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84</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84</v>
      </c>
      <c r="C758" s="24">
        <v>45744</v>
      </c>
      <c r="D758" s="146"/>
      <c r="E758" s="12"/>
      <c r="F758" s="146" t="s">
        <v>1514</v>
      </c>
      <c r="G758" t="str">
        <f t="shared" si="11"/>
        <v>March</v>
      </c>
    </row>
    <row r="759" spans="1:13">
      <c r="A759" s="71" t="s">
        <v>359</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84</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84</v>
      </c>
      <c r="C775" s="24">
        <v>45747</v>
      </c>
      <c r="D775" s="78">
        <v>418</v>
      </c>
      <c r="E775" s="12"/>
      <c r="G775" t="str">
        <f t="shared" si="12"/>
        <v>March</v>
      </c>
      <c r="H775" s="186"/>
      <c r="I775" s="186"/>
      <c r="J775" s="186"/>
      <c r="K775" s="101"/>
    </row>
    <row r="776" spans="1:11">
      <c r="A776" s="71" t="s">
        <v>359</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84</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84</v>
      </c>
      <c r="C789" s="24">
        <v>45748</v>
      </c>
      <c r="D789" s="78" t="s">
        <v>1531</v>
      </c>
      <c r="E789" s="12"/>
      <c r="G789" t="str">
        <f t="shared" si="12"/>
        <v>April</v>
      </c>
      <c r="H789" s="101"/>
      <c r="I789" s="101"/>
      <c r="J789" s="101"/>
      <c r="K789" s="101"/>
    </row>
    <row r="790" spans="1:11" ht="15.75">
      <c r="A790" s="78" t="s">
        <v>454</v>
      </c>
      <c r="B790" s="178" t="s">
        <v>84</v>
      </c>
      <c r="C790" s="24">
        <v>45748</v>
      </c>
      <c r="D790" s="78"/>
      <c r="E790" s="12"/>
      <c r="F790" s="78" t="s">
        <v>1532</v>
      </c>
      <c r="G790" t="str">
        <f t="shared" si="12"/>
        <v>April</v>
      </c>
      <c r="H790" s="101"/>
      <c r="I790" s="101"/>
      <c r="J790" s="101"/>
      <c r="K790" s="101"/>
    </row>
    <row r="791" spans="1:11">
      <c r="A791" s="741" t="s">
        <v>359</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84</v>
      </c>
      <c r="C803" s="24">
        <v>45749</v>
      </c>
      <c r="D803" s="79">
        <v>1394</v>
      </c>
      <c r="E803" s="12"/>
      <c r="F803" s="12" t="s">
        <v>1373</v>
      </c>
      <c r="G803" t="str">
        <f t="shared" si="12"/>
        <v>April</v>
      </c>
    </row>
    <row r="804" spans="1:11" ht="15.75">
      <c r="A804" s="78" t="s">
        <v>454</v>
      </c>
      <c r="B804" s="178" t="s">
        <v>84</v>
      </c>
      <c r="C804" s="24">
        <v>45749</v>
      </c>
      <c r="D804" s="78">
        <v>0</v>
      </c>
      <c r="E804" s="12"/>
      <c r="F804" s="78" t="s">
        <v>1532</v>
      </c>
      <c r="G804" t="str">
        <f t="shared" si="12"/>
        <v>April</v>
      </c>
    </row>
    <row r="805" spans="1:11">
      <c r="A805" s="741" t="s">
        <v>359</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84</v>
      </c>
      <c r="C816" s="24">
        <v>45750</v>
      </c>
      <c r="D816" s="92">
        <v>1334</v>
      </c>
      <c r="E816" s="12"/>
      <c r="F816" s="12" t="s">
        <v>1540</v>
      </c>
      <c r="G816" t="str">
        <f t="shared" si="12"/>
        <v>April</v>
      </c>
    </row>
    <row r="817" spans="1:7" ht="15.75">
      <c r="A817" s="78" t="s">
        <v>504</v>
      </c>
      <c r="B817" s="178" t="s">
        <v>84</v>
      </c>
      <c r="C817" s="24">
        <v>45750</v>
      </c>
      <c r="D817" s="92">
        <v>1970</v>
      </c>
      <c r="E817" s="12"/>
      <c r="F817" s="12" t="s">
        <v>1541</v>
      </c>
      <c r="G817" t="str">
        <f t="shared" si="12"/>
        <v>April</v>
      </c>
    </row>
    <row r="818" spans="1:7" ht="15.75">
      <c r="A818" s="78" t="s">
        <v>454</v>
      </c>
      <c r="B818" s="178" t="s">
        <v>84</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84</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84</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84</v>
      </c>
      <c r="C845" s="24">
        <v>45754</v>
      </c>
      <c r="D845" s="12">
        <v>618</v>
      </c>
      <c r="E845" s="12"/>
      <c r="F845" s="12" t="s">
        <v>1552</v>
      </c>
      <c r="G845" t="str">
        <f t="shared" si="13"/>
        <v>April</v>
      </c>
    </row>
    <row r="846" spans="1:7" ht="15.75">
      <c r="A846" s="78" t="s">
        <v>506</v>
      </c>
      <c r="B846" s="178" t="s">
        <v>84</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84</v>
      </c>
      <c r="C851" s="24">
        <v>45755</v>
      </c>
      <c r="D851" s="12">
        <v>700</v>
      </c>
      <c r="E851" s="12"/>
      <c r="F851" s="12" t="s">
        <v>1378</v>
      </c>
      <c r="G851" t="str">
        <f t="shared" si="13"/>
        <v>April</v>
      </c>
    </row>
    <row r="852" spans="1:7" ht="15.75">
      <c r="A852" s="78" t="s">
        <v>506</v>
      </c>
      <c r="B852" s="178" t="s">
        <v>84</v>
      </c>
      <c r="C852" s="24">
        <v>45755</v>
      </c>
      <c r="D852" s="92">
        <v>1520</v>
      </c>
      <c r="E852" s="12"/>
      <c r="F852" s="12" t="s">
        <v>1457</v>
      </c>
      <c r="G852" t="str">
        <f t="shared" si="13"/>
        <v>April</v>
      </c>
    </row>
    <row r="853" spans="1:7" ht="15.75">
      <c r="A853" s="78" t="s">
        <v>616</v>
      </c>
      <c r="B853" s="178" t="s">
        <v>84</v>
      </c>
      <c r="C853" s="24">
        <v>45755</v>
      </c>
      <c r="D853" s="12">
        <v>150</v>
      </c>
      <c r="E853" s="12"/>
      <c r="G853" t="str">
        <f t="shared" si="13"/>
        <v>April</v>
      </c>
    </row>
    <row r="854" spans="1:7" ht="15.75">
      <c r="A854" s="78" t="s">
        <v>454</v>
      </c>
      <c r="B854" s="178" t="s">
        <v>84</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84</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84</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84</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84</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84</v>
      </c>
      <c r="C890" s="24">
        <v>45761</v>
      </c>
      <c r="D890" s="92">
        <v>1335</v>
      </c>
      <c r="E890" s="12"/>
      <c r="F890" s="12" t="s">
        <v>1373</v>
      </c>
      <c r="G890" t="str">
        <f t="shared" si="13"/>
        <v>April</v>
      </c>
    </row>
    <row r="891" spans="1:7" ht="15.75">
      <c r="A891" s="238" t="s">
        <v>758</v>
      </c>
      <c r="B891" s="1145" t="s">
        <v>84</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84</v>
      </c>
      <c r="C900" s="24">
        <v>45762</v>
      </c>
      <c r="D900" s="92">
        <v>1133</v>
      </c>
      <c r="E900" s="12"/>
      <c r="F900" s="12" t="s">
        <v>1572</v>
      </c>
      <c r="G900" t="str">
        <f t="shared" si="14"/>
        <v>April</v>
      </c>
    </row>
    <row r="901" spans="1:7" ht="15.75">
      <c r="A901" s="238" t="s">
        <v>758</v>
      </c>
      <c r="B901" s="1145" t="s">
        <v>84</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84</v>
      </c>
      <c r="C914" s="24">
        <v>45763</v>
      </c>
      <c r="D914" s="92">
        <v>1624</v>
      </c>
      <c r="E914" s="12"/>
      <c r="F914" s="12" t="s">
        <v>1580</v>
      </c>
      <c r="G914" t="str">
        <f t="shared" si="14"/>
        <v>April</v>
      </c>
    </row>
    <row r="915" spans="1:7" ht="15.75">
      <c r="A915" s="238" t="s">
        <v>758</v>
      </c>
      <c r="B915" s="1145" t="s">
        <v>84</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84</v>
      </c>
      <c r="C928" s="24">
        <v>45764</v>
      </c>
      <c r="E928" s="12"/>
      <c r="F928" s="78" t="s">
        <v>1587</v>
      </c>
      <c r="G928" t="str">
        <f t="shared" si="14"/>
        <v>April</v>
      </c>
    </row>
    <row r="929" spans="1:7">
      <c r="A929" s="238" t="s">
        <v>758</v>
      </c>
      <c r="B929" s="238" t="s">
        <v>84</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84</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84</v>
      </c>
      <c r="C940" s="24">
        <v>45765</v>
      </c>
      <c r="D940" s="12">
        <v>350</v>
      </c>
      <c r="E940" s="12"/>
      <c r="F940" s="12" t="s">
        <v>1375</v>
      </c>
      <c r="G940" t="str">
        <f t="shared" si="14"/>
        <v>April</v>
      </c>
    </row>
    <row r="941" spans="1:7">
      <c r="A941" s="78" t="s">
        <v>758</v>
      </c>
      <c r="B941" s="78" t="s">
        <v>84</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84</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84</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84</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84</v>
      </c>
      <c r="C973" s="251">
        <v>45769</v>
      </c>
      <c r="D973" s="12">
        <v>932</v>
      </c>
      <c r="F973" s="12" t="s">
        <v>1376</v>
      </c>
      <c r="G973" t="str">
        <f t="shared" si="15"/>
        <v>April</v>
      </c>
    </row>
    <row r="974" spans="1:7">
      <c r="A974" s="248" t="s">
        <v>653</v>
      </c>
      <c r="B974" s="238" t="s">
        <v>84</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84</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84</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84</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84</v>
      </c>
      <c r="C1029" s="24">
        <v>45776</v>
      </c>
      <c r="D1029" s="92">
        <v>1520</v>
      </c>
      <c r="F1029" s="12" t="s">
        <v>1373</v>
      </c>
      <c r="G1029" t="str">
        <f t="shared" si="16"/>
        <v>April</v>
      </c>
    </row>
    <row r="1030" spans="1:7">
      <c r="A1030" s="243" t="s">
        <v>582</v>
      </c>
      <c r="B1030" s="243" t="s">
        <v>84</v>
      </c>
      <c r="C1030" s="24">
        <v>45776</v>
      </c>
      <c r="D1030" s="12">
        <v>470</v>
      </c>
      <c r="F1030" s="12" t="s">
        <v>1367</v>
      </c>
      <c r="G1030" t="str">
        <f t="shared" si="16"/>
        <v>April</v>
      </c>
    </row>
    <row r="1031" spans="1:7">
      <c r="A1031" s="181" t="s">
        <v>556</v>
      </c>
      <c r="B1031" s="243" t="s">
        <v>84</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84</v>
      </c>
      <c r="C1040" s="24">
        <v>45777</v>
      </c>
      <c r="D1040" s="92">
        <v>1216</v>
      </c>
      <c r="E1040" s="12"/>
      <c r="F1040" s="12" t="s">
        <v>1388</v>
      </c>
      <c r="G1040" t="str">
        <f t="shared" si="16"/>
        <v>April</v>
      </c>
    </row>
    <row r="1041" spans="1:7">
      <c r="A1041" s="78" t="s">
        <v>556</v>
      </c>
      <c r="B1041" s="78" t="s">
        <v>84</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84</v>
      </c>
      <c r="C1051" s="24">
        <v>45778</v>
      </c>
      <c r="D1051" s="92">
        <v>1098</v>
      </c>
      <c r="E1051" s="12"/>
      <c r="F1051" s="12" t="s">
        <v>1662</v>
      </c>
      <c r="G1051" t="str">
        <f t="shared" si="16"/>
        <v>May</v>
      </c>
    </row>
    <row r="1052" spans="1:7">
      <c r="A1052" s="91" t="s">
        <v>556</v>
      </c>
      <c r="B1052" s="78" t="s">
        <v>84</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84</v>
      </c>
      <c r="C1067" s="24">
        <v>45782</v>
      </c>
      <c r="D1067" s="92">
        <v>1053</v>
      </c>
      <c r="F1067" s="12" t="s">
        <v>1672</v>
      </c>
      <c r="G1067" t="str">
        <f t="shared" si="17"/>
        <v>May</v>
      </c>
    </row>
    <row r="1068" spans="1:7">
      <c r="A1068" s="91" t="s">
        <v>558</v>
      </c>
      <c r="B1068" s="250" t="s">
        <v>84</v>
      </c>
      <c r="C1068" s="24">
        <v>45782</v>
      </c>
      <c r="D1068" s="12">
        <v>575</v>
      </c>
      <c r="F1068" s="12" t="s">
        <v>1673</v>
      </c>
      <c r="G1068" t="str">
        <f t="shared" si="17"/>
        <v>May</v>
      </c>
    </row>
    <row r="1069" spans="1:7">
      <c r="A1069" s="292" t="s">
        <v>582</v>
      </c>
      <c r="B1069" s="276" t="s">
        <v>84</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84</v>
      </c>
      <c r="C1078" s="24">
        <v>45783</v>
      </c>
      <c r="D1078" s="12">
        <v>812</v>
      </c>
      <c r="F1078" s="12" t="s">
        <v>1679</v>
      </c>
      <c r="G1078" t="str">
        <f t="shared" si="18"/>
        <v>May</v>
      </c>
    </row>
    <row r="1079" spans="1:7">
      <c r="A1079" s="91" t="s">
        <v>558</v>
      </c>
      <c r="B1079" s="250" t="s">
        <v>84</v>
      </c>
      <c r="C1079" s="24">
        <v>45783</v>
      </c>
      <c r="D1079" s="92">
        <v>1847</v>
      </c>
      <c r="F1079" s="12" t="s">
        <v>1680</v>
      </c>
      <c r="G1079" t="str">
        <f t="shared" si="18"/>
        <v>May</v>
      </c>
    </row>
    <row r="1080" spans="1:7">
      <c r="A1080" s="292" t="s">
        <v>554</v>
      </c>
      <c r="B1080" s="276" t="s">
        <v>84</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84</v>
      </c>
      <c r="C1089" s="24">
        <v>45784</v>
      </c>
      <c r="D1089" s="92">
        <v>1052</v>
      </c>
      <c r="F1089" s="12" t="s">
        <v>1684</v>
      </c>
      <c r="G1089" t="str">
        <f>TEXT(C1089,"mmmm")</f>
        <v>May</v>
      </c>
    </row>
    <row r="1090" spans="1:7">
      <c r="A1090" s="292" t="s">
        <v>554</v>
      </c>
      <c r="B1090" s="276" t="s">
        <v>84</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84</v>
      </c>
      <c r="C1100" s="24">
        <v>45785</v>
      </c>
      <c r="D1100" s="92">
        <v>1483</v>
      </c>
      <c r="F1100" s="12" t="s">
        <v>1689</v>
      </c>
      <c r="G1100" t="str">
        <f t="shared" si="19"/>
        <v>May</v>
      </c>
    </row>
    <row r="1101" spans="1:7">
      <c r="A1101" s="273" t="s">
        <v>558</v>
      </c>
      <c r="B1101" s="236" t="s">
        <v>84</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84</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84</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84</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84</v>
      </c>
      <c r="C1148" s="24">
        <v>45796</v>
      </c>
      <c r="D1148" s="12">
        <v>270</v>
      </c>
      <c r="F1148" s="12" t="s">
        <v>1433</v>
      </c>
      <c r="G1148" t="str">
        <f t="shared" si="21"/>
        <v>May</v>
      </c>
    </row>
    <row r="1149" spans="1:7">
      <c r="A1149" s="273" t="s">
        <v>625</v>
      </c>
      <c r="B1149" s="236" t="s">
        <v>84</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84</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84</v>
      </c>
      <c r="C1164" s="24">
        <v>45798</v>
      </c>
      <c r="D1164" s="12">
        <v>678</v>
      </c>
      <c r="E1164" s="253">
        <v>2850</v>
      </c>
      <c r="F1164" s="12" t="s">
        <v>1720</v>
      </c>
      <c r="G1164" t="str">
        <f t="shared" si="21"/>
        <v>May</v>
      </c>
    </row>
    <row r="1165" spans="1:7">
      <c r="A1165" s="273" t="s">
        <v>625</v>
      </c>
      <c r="B1165" s="236" t="s">
        <v>84</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84</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84</v>
      </c>
      <c r="C1183" s="24">
        <v>45804</v>
      </c>
      <c r="D1183" s="12">
        <v>948</v>
      </c>
      <c r="F1183" s="12" t="s">
        <v>1728</v>
      </c>
      <c r="G1183" t="str">
        <f t="shared" si="21"/>
        <v>May</v>
      </c>
    </row>
    <row r="1184" spans="1:7">
      <c r="A1184" s="237" t="s">
        <v>470</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84</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84</v>
      </c>
      <c r="C1195" s="24">
        <v>45806</v>
      </c>
      <c r="D1195" s="92">
        <v>2248</v>
      </c>
      <c r="F1195" s="12" t="s">
        <v>1733</v>
      </c>
      <c r="G1195" t="str">
        <f t="shared" si="22"/>
        <v>May</v>
      </c>
    </row>
    <row r="1196" spans="1:7">
      <c r="A1196" s="250" t="s">
        <v>625</v>
      </c>
      <c r="B1196" s="239" t="s">
        <v>84</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625</v>
      </c>
      <c r="B1205" s="236" t="s">
        <v>84</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84</v>
      </c>
      <c r="C1220" s="24">
        <v>45812</v>
      </c>
      <c r="D1220" s="12">
        <v>610</v>
      </c>
      <c r="F1220" s="12" t="s">
        <v>1742</v>
      </c>
      <c r="G1220" t="s">
        <v>1736</v>
      </c>
    </row>
    <row r="1221" spans="1:7">
      <c r="A1221" s="273" t="s">
        <v>625</v>
      </c>
      <c r="B1221" s="236" t="s">
        <v>84</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84</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84</v>
      </c>
      <c r="C1230" s="24">
        <v>45817</v>
      </c>
      <c r="D1230" s="92">
        <v>1100</v>
      </c>
      <c r="G1230" t="s">
        <v>1736</v>
      </c>
    </row>
    <row r="1231" spans="1:7">
      <c r="A1231" s="237" t="s">
        <v>653</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84</v>
      </c>
      <c r="C1238" s="24">
        <v>45819</v>
      </c>
      <c r="D1238" s="92">
        <v>1975</v>
      </c>
      <c r="F1238" s="12" t="s">
        <v>1734</v>
      </c>
      <c r="G1238" t="s">
        <v>1736</v>
      </c>
    </row>
    <row r="1239" spans="1:7">
      <c r="A1239" s="292" t="s">
        <v>470</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84</v>
      </c>
      <c r="C1241" s="24">
        <v>45820</v>
      </c>
      <c r="D1241" s="92">
        <v>1395</v>
      </c>
      <c r="F1241" s="12" t="s">
        <v>1734</v>
      </c>
      <c r="G1241" t="s">
        <v>1736</v>
      </c>
    </row>
    <row r="1242" spans="1:7">
      <c r="A1242" s="738" t="s">
        <v>616</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84</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84</v>
      </c>
      <c r="C1256" s="24">
        <v>45825</v>
      </c>
      <c r="D1256" s="92">
        <v>1465</v>
      </c>
      <c r="F1256" s="12" t="s">
        <v>1753</v>
      </c>
      <c r="G1256" t="s">
        <v>1736</v>
      </c>
    </row>
    <row r="1257" spans="1:7">
      <c r="A1257" s="243" t="s">
        <v>470</v>
      </c>
      <c r="B1257" s="243" t="s">
        <v>84</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84</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84</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84</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84</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84</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84</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84</v>
      </c>
      <c r="C1293" s="24">
        <v>45834</v>
      </c>
      <c r="D1293" s="92">
        <v>1296</v>
      </c>
      <c r="F1293" s="12" t="s">
        <v>1753</v>
      </c>
      <c r="G1293" t="s">
        <v>1736</v>
      </c>
    </row>
    <row r="1294" spans="1:7">
      <c r="A1294" s="236" t="s">
        <v>596</v>
      </c>
      <c r="B1294" s="236" t="s">
        <v>84</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360</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84</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84</v>
      </c>
      <c r="C1306" s="24">
        <v>45839</v>
      </c>
      <c r="E1306" s="76">
        <v>53</v>
      </c>
      <c r="F1306" s="12" t="s">
        <v>1770</v>
      </c>
      <c r="G1306" t="s">
        <v>1769</v>
      </c>
    </row>
    <row r="1307" spans="1:7">
      <c r="A1307" s="274" t="s">
        <v>467</v>
      </c>
      <c r="B1307" s="247" t="s">
        <v>84</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84</v>
      </c>
      <c r="C1312" s="24">
        <v>45840</v>
      </c>
      <c r="D1312" s="12">
        <v>355</v>
      </c>
      <c r="F1312" s="12" t="s">
        <v>1376</v>
      </c>
      <c r="G1312" t="s">
        <v>1769</v>
      </c>
    </row>
    <row r="1313" spans="1:7">
      <c r="A1313" s="236" t="s">
        <v>467</v>
      </c>
      <c r="B1313" s="236" t="s">
        <v>84</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360</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84</v>
      </c>
      <c r="C1320" s="24">
        <v>45845</v>
      </c>
      <c r="D1320" s="12">
        <v>846</v>
      </c>
      <c r="G1320" t="s">
        <v>1769</v>
      </c>
    </row>
    <row r="1321" spans="1:7">
      <c r="A1321" s="236" t="s">
        <v>477</v>
      </c>
      <c r="B1321" s="236" t="s">
        <v>84</v>
      </c>
      <c r="C1321" s="24">
        <v>45845</v>
      </c>
      <c r="D1321" s="92">
        <v>1644</v>
      </c>
      <c r="E1321" s="138"/>
      <c r="G1321" t="s">
        <v>1769</v>
      </c>
    </row>
    <row r="1322" spans="1:7">
      <c r="A1322" s="238" t="s">
        <v>440</v>
      </c>
      <c r="B1322" s="656" t="s">
        <v>360</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84</v>
      </c>
      <c r="C1324" s="24">
        <v>45846</v>
      </c>
      <c r="D1324" s="12">
        <v>827</v>
      </c>
      <c r="F1324" s="12" t="s">
        <v>1776</v>
      </c>
      <c r="G1324" t="s">
        <v>1769</v>
      </c>
    </row>
    <row r="1325" spans="1:7">
      <c r="A1325" s="1154" t="s">
        <v>477</v>
      </c>
      <c r="B1325" s="1155" t="s">
        <v>84</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360</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360</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84</v>
      </c>
      <c r="C1336" s="24">
        <v>45853</v>
      </c>
      <c r="D1336" s="92">
        <v>1210</v>
      </c>
      <c r="F1336" s="12" t="s">
        <v>1779</v>
      </c>
      <c r="G1336" t="s">
        <v>1769</v>
      </c>
    </row>
    <row r="1337" spans="1:7">
      <c r="A1337" s="741" t="s">
        <v>359</v>
      </c>
      <c r="B1337" s="656" t="s">
        <v>360</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84</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84</v>
      </c>
      <c r="C1342" s="24">
        <v>45854</v>
      </c>
      <c r="D1342" s="12">
        <v>426</v>
      </c>
      <c r="F1342" s="12" t="s">
        <v>1375</v>
      </c>
      <c r="G1342" t="s">
        <v>1769</v>
      </c>
    </row>
    <row r="1343" spans="1:7">
      <c r="A1343" s="741" t="s">
        <v>359</v>
      </c>
      <c r="B1343" s="249" t="s">
        <v>360</v>
      </c>
      <c r="C1343" s="24">
        <v>45854</v>
      </c>
      <c r="D1343" s="12">
        <v>39</v>
      </c>
      <c r="G1343" t="s">
        <v>1769</v>
      </c>
    </row>
    <row r="1344" spans="1:7" ht="15.75">
      <c r="A1344" s="78" t="s">
        <v>907</v>
      </c>
      <c r="B1344" s="178" t="s">
        <v>1300</v>
      </c>
      <c r="C1344" s="242">
        <v>45855</v>
      </c>
      <c r="D1344" s="92">
        <v>1972</v>
      </c>
      <c r="G1344" t="s">
        <v>1769</v>
      </c>
    </row>
    <row r="1345" spans="1:7">
      <c r="A1345" s="274" t="s">
        <v>537</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84</v>
      </c>
      <c r="C1352" s="24">
        <v>45859</v>
      </c>
      <c r="D1352" s="92">
        <v>1070</v>
      </c>
      <c r="F1352" s="12" t="s">
        <v>1374</v>
      </c>
      <c r="G1352" t="s">
        <v>1769</v>
      </c>
    </row>
    <row r="1353" spans="1:7">
      <c r="A1353" s="334" t="s">
        <v>537</v>
      </c>
      <c r="B1353" s="335" t="s">
        <v>84</v>
      </c>
      <c r="C1353" s="24">
        <v>45859</v>
      </c>
      <c r="D1353" s="92">
        <v>1843</v>
      </c>
      <c r="F1353" s="12" t="s">
        <v>1783</v>
      </c>
      <c r="G1353" t="s">
        <v>1769</v>
      </c>
    </row>
    <row r="1354" spans="1:7">
      <c r="A1354" s="741" t="s">
        <v>359</v>
      </c>
      <c r="B1354" s="656" t="s">
        <v>360</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84</v>
      </c>
      <c r="C1356" s="24">
        <v>45860</v>
      </c>
      <c r="D1356" s="92">
        <v>1224</v>
      </c>
      <c r="F1356" s="12" t="s">
        <v>1785</v>
      </c>
      <c r="G1356" t="s">
        <v>1769</v>
      </c>
    </row>
    <row r="1357" spans="1:7">
      <c r="A1357" s="237" t="s">
        <v>537</v>
      </c>
      <c r="B1357" s="237" t="s">
        <v>84</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359</v>
      </c>
      <c r="B1361" s="1038" t="s">
        <v>360</v>
      </c>
      <c r="C1361" s="24">
        <v>45860</v>
      </c>
      <c r="D1361" s="12">
        <v>318</v>
      </c>
      <c r="G1361" t="s">
        <v>1769</v>
      </c>
    </row>
    <row r="1362" spans="1:7">
      <c r="A1362" s="299" t="s">
        <v>1329</v>
      </c>
      <c r="B1362" s="656" t="s">
        <v>360</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84</v>
      </c>
      <c r="C1365" s="24">
        <v>45861</v>
      </c>
      <c r="D1365" s="12">
        <v>235</v>
      </c>
      <c r="F1365" s="12" t="s">
        <v>1787</v>
      </c>
      <c r="G1365" t="s">
        <v>1769</v>
      </c>
    </row>
    <row r="1366" spans="1:7">
      <c r="A1366" s="237" t="s">
        <v>537</v>
      </c>
      <c r="B1366" s="237" t="s">
        <v>84</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6" t="s">
        <v>444</v>
      </c>
      <c r="B1370" s="656" t="s">
        <v>360</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84</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84</v>
      </c>
      <c r="C1377" s="24">
        <v>45862</v>
      </c>
      <c r="D1377" s="92">
        <v>1279</v>
      </c>
      <c r="F1377" s="12" t="s">
        <v>1421</v>
      </c>
      <c r="G1377" t="s">
        <v>1769</v>
      </c>
    </row>
    <row r="1378" spans="1:7">
      <c r="A1378" s="60" t="s">
        <v>444</v>
      </c>
      <c r="B1378" s="250" t="s">
        <v>360</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84</v>
      </c>
      <c r="C1382" s="24">
        <v>45863</v>
      </c>
      <c r="F1382" s="236" t="s">
        <v>1798</v>
      </c>
      <c r="G1382" t="s">
        <v>1769</v>
      </c>
    </row>
    <row r="1383" spans="1:7">
      <c r="A1383" s="78" t="s">
        <v>531</v>
      </c>
      <c r="B1383" s="236" t="s">
        <v>84</v>
      </c>
      <c r="C1383" s="24">
        <v>45863</v>
      </c>
      <c r="F1383" s="239" t="s">
        <v>1798</v>
      </c>
      <c r="G1383" t="s">
        <v>1769</v>
      </c>
    </row>
    <row r="1384" spans="1:7">
      <c r="A1384" s="237" t="s">
        <v>545</v>
      </c>
      <c r="B1384" s="237" t="s">
        <v>84</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360</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539</v>
      </c>
      <c r="B1389" s="237" t="s">
        <v>84</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360</v>
      </c>
      <c r="C1392" s="24">
        <v>45866</v>
      </c>
      <c r="D1392" s="12">
        <v>345</v>
      </c>
      <c r="G1392" t="s">
        <v>1769</v>
      </c>
    </row>
    <row r="1393" spans="1:7">
      <c r="A1393" s="489" t="s">
        <v>477</v>
      </c>
      <c r="B1393" s="179" t="s">
        <v>573</v>
      </c>
      <c r="C1393" s="242">
        <v>45867</v>
      </c>
      <c r="D1393" s="92">
        <v>1933</v>
      </c>
      <c r="G1393" t="s">
        <v>1769</v>
      </c>
    </row>
    <row r="1394" spans="1:7">
      <c r="A1394" s="319" t="s">
        <v>901</v>
      </c>
      <c r="B1394" s="320" t="s">
        <v>84</v>
      </c>
      <c r="C1394" s="24">
        <v>45867</v>
      </c>
      <c r="E1394" s="253">
        <v>5590</v>
      </c>
      <c r="F1394" s="12" t="s">
        <v>1801</v>
      </c>
      <c r="G1394" t="s">
        <v>1769</v>
      </c>
    </row>
    <row r="1395" spans="1:7">
      <c r="A1395" s="1157" t="s">
        <v>539</v>
      </c>
      <c r="B1395" s="1158" t="s">
        <v>84</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369</v>
      </c>
      <c r="C1401" s="24">
        <v>45868</v>
      </c>
      <c r="E1401" s="253">
        <v>6067</v>
      </c>
      <c r="G1401" t="s">
        <v>1769</v>
      </c>
    </row>
    <row r="1402" spans="1:7">
      <c r="A1402" s="741" t="s">
        <v>850</v>
      </c>
      <c r="B1402" s="249" t="s">
        <v>360</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84</v>
      </c>
      <c r="C1405" s="24">
        <v>45869</v>
      </c>
      <c r="D1405" s="12">
        <v>862</v>
      </c>
      <c r="G1405" t="s">
        <v>1769</v>
      </c>
    </row>
    <row r="1406" spans="1:7">
      <c r="A1406" s="243" t="s">
        <v>907</v>
      </c>
      <c r="B1406" s="243" t="s">
        <v>369</v>
      </c>
      <c r="C1406" s="24">
        <v>45869</v>
      </c>
      <c r="E1406" s="253">
        <v>2691</v>
      </c>
      <c r="G1406" t="s">
        <v>1769</v>
      </c>
    </row>
    <row r="1407" spans="1:7">
      <c r="A1407" s="274" t="s">
        <v>457</v>
      </c>
      <c r="B1407" s="656" t="s">
        <v>360</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369</v>
      </c>
      <c r="C1410" s="24">
        <v>45870</v>
      </c>
      <c r="F1410" s="12" t="s">
        <v>1808</v>
      </c>
      <c r="G1410" t="s">
        <v>1806</v>
      </c>
    </row>
    <row r="1411" spans="1:7">
      <c r="A1411" s="71" t="s">
        <v>457</v>
      </c>
      <c r="B1411" s="94" t="s">
        <v>360</v>
      </c>
      <c r="C1411" s="24">
        <v>45870</v>
      </c>
      <c r="D1411" s="92">
        <v>1377</v>
      </c>
      <c r="G1411" t="s">
        <v>1806</v>
      </c>
    </row>
    <row r="1412" spans="1:7">
      <c r="A1412" s="489" t="s">
        <v>477</v>
      </c>
      <c r="B1412" s="243" t="s">
        <v>369</v>
      </c>
      <c r="C1412" s="24">
        <v>45873</v>
      </c>
      <c r="E1412" s="253">
        <v>13125</v>
      </c>
      <c r="G1412" t="s">
        <v>1806</v>
      </c>
    </row>
    <row r="1413" spans="1:7">
      <c r="A1413" s="352" t="s">
        <v>608</v>
      </c>
      <c r="B1413" s="356" t="s">
        <v>84</v>
      </c>
      <c r="C1413" s="24">
        <v>45873</v>
      </c>
      <c r="D1413" s="12">
        <v>918</v>
      </c>
      <c r="G1413" t="s">
        <v>1806</v>
      </c>
    </row>
    <row r="1414" spans="1:7">
      <c r="A1414" s="243" t="s">
        <v>480</v>
      </c>
      <c r="B1414" s="243" t="s">
        <v>84</v>
      </c>
      <c r="C1414" s="24">
        <v>45874</v>
      </c>
      <c r="D1414" s="92">
        <v>2675</v>
      </c>
      <c r="G1414" t="s">
        <v>1806</v>
      </c>
    </row>
    <row r="1415" spans="1:7">
      <c r="A1415" s="266" t="s">
        <v>457</v>
      </c>
      <c r="B1415" s="266" t="s">
        <v>360</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84</v>
      </c>
      <c r="C1417" s="24">
        <v>45875</v>
      </c>
      <c r="D1417" s="92">
        <v>1964</v>
      </c>
      <c r="G1417" t="s">
        <v>1806</v>
      </c>
    </row>
    <row r="1418" spans="1:7">
      <c r="A1418" s="425" t="s">
        <v>457</v>
      </c>
      <c r="B1418" s="243" t="s">
        <v>360</v>
      </c>
      <c r="C1418" s="24">
        <v>45875</v>
      </c>
      <c r="D1418" s="12">
        <v>840</v>
      </c>
      <c r="G1418" t="s">
        <v>1806</v>
      </c>
    </row>
    <row r="1419" spans="1:7">
      <c r="A1419" s="78" t="s">
        <v>850</v>
      </c>
      <c r="B1419" s="426" t="s">
        <v>360</v>
      </c>
      <c r="C1419" s="24">
        <v>45875</v>
      </c>
      <c r="F1419" s="12" t="s">
        <v>1809</v>
      </c>
      <c r="G1419" t="s">
        <v>1806</v>
      </c>
    </row>
    <row r="1420" spans="1:7">
      <c r="A1420" s="312" t="s">
        <v>480</v>
      </c>
      <c r="B1420" s="335" t="s">
        <v>84</v>
      </c>
      <c r="C1420" s="242">
        <v>45876</v>
      </c>
      <c r="D1420" s="12">
        <v>377</v>
      </c>
      <c r="E1420" s="253"/>
      <c r="F1420" s="12" t="s">
        <v>1810</v>
      </c>
      <c r="G1420" t="s">
        <v>1806</v>
      </c>
    </row>
    <row r="1421" spans="1:7">
      <c r="A1421" s="312" t="s">
        <v>480</v>
      </c>
      <c r="B1421" s="243" t="s">
        <v>369</v>
      </c>
      <c r="C1421" s="242">
        <v>45876</v>
      </c>
      <c r="E1421" s="253">
        <v>5289</v>
      </c>
      <c r="F1421" s="12" t="s">
        <v>1811</v>
      </c>
      <c r="G1421" t="s">
        <v>1806</v>
      </c>
    </row>
    <row r="1422" spans="1:7">
      <c r="A1422" s="78" t="s">
        <v>619</v>
      </c>
      <c r="B1422" s="404" t="s">
        <v>84</v>
      </c>
      <c r="C1422" s="24">
        <v>45876</v>
      </c>
      <c r="D1422" s="12">
        <v>674</v>
      </c>
      <c r="G1422" t="s">
        <v>1806</v>
      </c>
    </row>
    <row r="1423" spans="1:7">
      <c r="A1423" s="426" t="s">
        <v>457</v>
      </c>
      <c r="B1423" s="426" t="s">
        <v>360</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84</v>
      </c>
      <c r="C1425" s="24">
        <v>45877</v>
      </c>
      <c r="F1425" s="243" t="s">
        <v>1185</v>
      </c>
      <c r="G1425" t="s">
        <v>1806</v>
      </c>
    </row>
    <row r="1426" spans="1:7">
      <c r="A1426" s="425" t="s">
        <v>457</v>
      </c>
      <c r="B1426" s="266" t="s">
        <v>360</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84</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360</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84</v>
      </c>
      <c r="C1432" s="24">
        <v>45881</v>
      </c>
      <c r="D1432" s="92">
        <v>1154</v>
      </c>
      <c r="G1432" t="s">
        <v>1806</v>
      </c>
    </row>
    <row r="1433" spans="1:7" ht="15.75">
      <c r="A1433" s="28" t="s">
        <v>628</v>
      </c>
      <c r="B1433" s="178" t="s">
        <v>1300</v>
      </c>
      <c r="C1433" s="242">
        <v>45881</v>
      </c>
      <c r="D1433" s="12">
        <v>380</v>
      </c>
      <c r="G1433" t="s">
        <v>1806</v>
      </c>
    </row>
    <row r="1434" spans="1:7">
      <c r="A1434" s="41" t="s">
        <v>619</v>
      </c>
      <c r="B1434" s="106" t="s">
        <v>84</v>
      </c>
      <c r="C1434" s="24">
        <v>45881</v>
      </c>
      <c r="D1434" s="12">
        <v>111</v>
      </c>
      <c r="F1434" s="12" t="s">
        <v>1758</v>
      </c>
      <c r="G1434" t="s">
        <v>1806</v>
      </c>
    </row>
    <row r="1435" spans="1:7">
      <c r="A1435" s="181" t="s">
        <v>359</v>
      </c>
      <c r="B1435" s="243" t="s">
        <v>360</v>
      </c>
      <c r="C1435" s="24">
        <v>45881</v>
      </c>
      <c r="D1435" s="12">
        <v>319</v>
      </c>
      <c r="G1435" t="s">
        <v>1806</v>
      </c>
    </row>
    <row r="1436" spans="1:7">
      <c r="A1436" s="427" t="s">
        <v>457</v>
      </c>
      <c r="B1436" s="243" t="s">
        <v>360</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84</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619</v>
      </c>
      <c r="B1442" s="237" t="s">
        <v>84</v>
      </c>
      <c r="C1442" s="24">
        <v>45882</v>
      </c>
      <c r="D1442" s="12">
        <v>12</v>
      </c>
      <c r="F1442" s="237" t="s">
        <v>1729</v>
      </c>
      <c r="G1442" t="s">
        <v>1806</v>
      </c>
    </row>
    <row r="1443" spans="1:7">
      <c r="A1443" s="299" t="s">
        <v>457</v>
      </c>
      <c r="B1443" s="266" t="s">
        <v>360</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84</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360</v>
      </c>
      <c r="C1447" s="24">
        <v>45883</v>
      </c>
      <c r="D1447" s="12">
        <v>554</v>
      </c>
      <c r="G1447" t="s">
        <v>1806</v>
      </c>
    </row>
    <row r="1448" spans="1:7" ht="15.75">
      <c r="A1448" s="12" t="s">
        <v>355</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369</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369</v>
      </c>
      <c r="C1452" s="24">
        <v>45884</v>
      </c>
      <c r="E1452" s="253">
        <v>1297</v>
      </c>
      <c r="F1452" s="12" t="s">
        <v>1815</v>
      </c>
      <c r="G1452" t="s">
        <v>1806</v>
      </c>
    </row>
    <row r="1453" spans="1:7">
      <c r="A1453" s="425" t="s">
        <v>457</v>
      </c>
      <c r="B1453" s="266" t="s">
        <v>360</v>
      </c>
      <c r="C1453" s="24">
        <v>45884</v>
      </c>
      <c r="D1453" s="12">
        <v>89</v>
      </c>
      <c r="G1453" t="s">
        <v>1806</v>
      </c>
    </row>
    <row r="1454" spans="1:7" ht="15.75">
      <c r="A1454" s="78" t="s">
        <v>355</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369</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369</v>
      </c>
      <c r="C1458" s="24">
        <v>45887</v>
      </c>
      <c r="E1458" s="253">
        <v>2145</v>
      </c>
      <c r="F1458" s="12" t="s">
        <v>1817</v>
      </c>
      <c r="G1458" t="s">
        <v>1806</v>
      </c>
    </row>
    <row r="1459" spans="1:7">
      <c r="A1459" s="455" t="s">
        <v>622</v>
      </c>
      <c r="B1459" s="254" t="s">
        <v>84</v>
      </c>
      <c r="C1459" s="24">
        <v>45887</v>
      </c>
      <c r="D1459" s="92">
        <v>1109</v>
      </c>
      <c r="F1459" s="12" t="s">
        <v>1818</v>
      </c>
      <c r="G1459" t="s">
        <v>1806</v>
      </c>
    </row>
    <row r="1460" spans="1:7">
      <c r="A1460" s="425" t="s">
        <v>457</v>
      </c>
      <c r="B1460" s="266" t="s">
        <v>360</v>
      </c>
      <c r="C1460" s="24">
        <v>45887</v>
      </c>
      <c r="D1460" s="12">
        <v>377</v>
      </c>
      <c r="G1460" t="s">
        <v>1806</v>
      </c>
    </row>
    <row r="1461" spans="1:7" ht="15.75">
      <c r="A1461" s="78" t="s">
        <v>355</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84</v>
      </c>
      <c r="C1465" s="24">
        <v>45888</v>
      </c>
      <c r="D1465" s="92">
        <v>1460</v>
      </c>
      <c r="F1465" s="12" t="s">
        <v>1819</v>
      </c>
      <c r="G1465" t="s">
        <v>1806</v>
      </c>
    </row>
    <row r="1466" spans="1:7">
      <c r="A1466" s="425" t="s">
        <v>457</v>
      </c>
      <c r="B1466" s="266" t="s">
        <v>360</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360</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84</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84</v>
      </c>
      <c r="C1473" s="24">
        <v>45889</v>
      </c>
      <c r="D1473" s="92">
        <v>1428</v>
      </c>
      <c r="F1473" s="12" t="s">
        <v>1729</v>
      </c>
      <c r="G1473" t="s">
        <v>1806</v>
      </c>
    </row>
    <row r="1474" spans="1:7">
      <c r="A1474" s="425" t="s">
        <v>457</v>
      </c>
      <c r="B1474" s="266" t="s">
        <v>360</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84</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84</v>
      </c>
      <c r="C1480" s="24">
        <v>45890</v>
      </c>
      <c r="D1480" s="92">
        <v>1654</v>
      </c>
      <c r="G1480" t="s">
        <v>1806</v>
      </c>
    </row>
    <row r="1481" spans="1:7">
      <c r="A1481" s="28" t="s">
        <v>622</v>
      </c>
      <c r="B1481" s="164" t="s">
        <v>369</v>
      </c>
      <c r="C1481" s="24">
        <v>45890</v>
      </c>
      <c r="E1481" s="253">
        <v>1109</v>
      </c>
      <c r="F1481" s="12" t="s">
        <v>1822</v>
      </c>
      <c r="G1481" t="s">
        <v>1806</v>
      </c>
    </row>
    <row r="1482" spans="1:7">
      <c r="A1482" s="425" t="s">
        <v>457</v>
      </c>
      <c r="B1482" s="266" t="s">
        <v>360</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84</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360</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84</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84</v>
      </c>
      <c r="C1494" s="24">
        <v>45894</v>
      </c>
      <c r="D1494" s="12">
        <v>735</v>
      </c>
      <c r="F1494" s="12" t="s">
        <v>1827</v>
      </c>
      <c r="G1494" t="s">
        <v>1806</v>
      </c>
    </row>
    <row r="1495" spans="1:7">
      <c r="A1495" s="425" t="s">
        <v>457</v>
      </c>
      <c r="B1495" s="266" t="s">
        <v>360</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84</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84</v>
      </c>
      <c r="C1502" s="24">
        <v>45895</v>
      </c>
      <c r="D1502" s="12">
        <v>558</v>
      </c>
      <c r="F1502" s="266" t="s">
        <v>1372</v>
      </c>
      <c r="G1502" t="s">
        <v>1806</v>
      </c>
    </row>
    <row r="1503" spans="1:7">
      <c r="A1503" s="592" t="s">
        <v>548</v>
      </c>
      <c r="B1503" s="52" t="s">
        <v>84</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360</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84</v>
      </c>
      <c r="C1509" s="24">
        <v>45896</v>
      </c>
      <c r="D1509" s="92">
        <v>1248</v>
      </c>
      <c r="F1509" s="12" t="s">
        <v>1832</v>
      </c>
      <c r="G1509" t="s">
        <v>1806</v>
      </c>
    </row>
    <row r="1510" spans="1:7">
      <c r="A1510" s="592" t="s">
        <v>548</v>
      </c>
      <c r="B1510" s="52" t="s">
        <v>84</v>
      </c>
      <c r="C1510" s="24">
        <v>45896</v>
      </c>
      <c r="D1510" s="12">
        <v>967</v>
      </c>
      <c r="F1510" s="12" t="s">
        <v>1833</v>
      </c>
      <c r="G1510" t="s">
        <v>1806</v>
      </c>
    </row>
    <row r="1511" spans="1:7" ht="15.75">
      <c r="A1511" s="71" t="s">
        <v>355</v>
      </c>
      <c r="B1511" s="178" t="s">
        <v>1300</v>
      </c>
      <c r="C1511" s="242">
        <v>45896</v>
      </c>
      <c r="D1511" s="12">
        <v>400</v>
      </c>
      <c r="G1511" t="s">
        <v>1806</v>
      </c>
    </row>
    <row r="1512" spans="1:7">
      <c r="A1512" s="497" t="s">
        <v>359</v>
      </c>
      <c r="B1512" s="276" t="s">
        <v>360</v>
      </c>
      <c r="C1512" s="24">
        <v>45896</v>
      </c>
      <c r="D1512" s="12">
        <v>358</v>
      </c>
      <c r="F1512" s="12" t="s">
        <v>1834</v>
      </c>
      <c r="G1512" t="s">
        <v>1806</v>
      </c>
    </row>
    <row r="1513" spans="1:7">
      <c r="A1513" s="1159" t="s">
        <v>444</v>
      </c>
      <c r="B1513" s="238" t="s">
        <v>360</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84</v>
      </c>
      <c r="C1516" s="24">
        <v>45897</v>
      </c>
      <c r="D1516" s="92">
        <v>1453</v>
      </c>
      <c r="F1516" s="12" t="s">
        <v>1836</v>
      </c>
      <c r="G1516" t="s">
        <v>1806</v>
      </c>
    </row>
    <row r="1517" spans="1:7">
      <c r="A1517" s="28" t="s">
        <v>551</v>
      </c>
      <c r="B1517" s="12" t="s">
        <v>84</v>
      </c>
      <c r="C1517" s="24">
        <v>45897</v>
      </c>
      <c r="D1517" s="92">
        <v>1260</v>
      </c>
      <c r="F1517" s="12" t="s">
        <v>1837</v>
      </c>
      <c r="G1517" t="s">
        <v>1806</v>
      </c>
    </row>
    <row r="1518" spans="1:7">
      <c r="A1518" s="425" t="s">
        <v>457</v>
      </c>
      <c r="B1518" s="266" t="s">
        <v>360</v>
      </c>
      <c r="C1518" s="24">
        <v>45897</v>
      </c>
      <c r="F1518" s="12" t="s">
        <v>1433</v>
      </c>
      <c r="G1518" t="s">
        <v>1806</v>
      </c>
    </row>
    <row r="1519" spans="1:7" ht="15.75">
      <c r="A1519" s="71" t="s">
        <v>355</v>
      </c>
      <c r="B1519" s="178" t="s">
        <v>1300</v>
      </c>
      <c r="C1519" s="242">
        <v>45897</v>
      </c>
      <c r="D1519" s="12">
        <v>320</v>
      </c>
      <c r="G1519" t="s">
        <v>1806</v>
      </c>
    </row>
    <row r="1520" spans="1:7">
      <c r="A1520" s="497" t="s">
        <v>359</v>
      </c>
      <c r="B1520" s="277" t="s">
        <v>360</v>
      </c>
      <c r="C1520" s="24">
        <v>45897</v>
      </c>
      <c r="F1520" s="243" t="s">
        <v>1570</v>
      </c>
      <c r="G1520" t="s">
        <v>1806</v>
      </c>
    </row>
    <row r="1521" spans="1:7">
      <c r="A1521" s="1156" t="s">
        <v>444</v>
      </c>
      <c r="B1521" s="276" t="s">
        <v>360</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360</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360</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84</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360</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84</v>
      </c>
      <c r="C1535" s="24">
        <v>45903</v>
      </c>
      <c r="D1535" s="92">
        <v>1491</v>
      </c>
      <c r="F1535" s="12" t="s">
        <v>1848</v>
      </c>
      <c r="G1535" t="s">
        <v>1842</v>
      </c>
    </row>
    <row r="1536" spans="1:7">
      <c r="A1536" s="596" t="s">
        <v>522</v>
      </c>
      <c r="B1536" s="596" t="s">
        <v>84</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360</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359</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84</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84</v>
      </c>
      <c r="C1553" s="24">
        <v>45908</v>
      </c>
      <c r="D1553" s="92">
        <v>2498</v>
      </c>
      <c r="G1553" t="s">
        <v>1842</v>
      </c>
    </row>
    <row r="1554" spans="1:7">
      <c r="A1554" s="85" t="s">
        <v>913</v>
      </c>
      <c r="B1554" s="1161" t="s">
        <v>84</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84</v>
      </c>
      <c r="C1556" s="24">
        <v>45909</v>
      </c>
      <c r="D1556" s="92">
        <v>1192</v>
      </c>
      <c r="F1556" s="12" t="s">
        <v>1862</v>
      </c>
      <c r="G1556" t="s">
        <v>1842</v>
      </c>
    </row>
    <row r="1557" spans="1:7">
      <c r="A1557" s="85" t="s">
        <v>639</v>
      </c>
      <c r="B1557" s="1161" t="s">
        <v>84</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84</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84</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84</v>
      </c>
      <c r="C1584" s="24">
        <v>45916</v>
      </c>
      <c r="D1584" s="92">
        <v>1808</v>
      </c>
      <c r="F1584" s="593"/>
      <c r="G1584" t="s">
        <v>1842</v>
      </c>
    </row>
    <row r="1585" spans="1:7">
      <c r="A1585" s="741" t="s">
        <v>852</v>
      </c>
      <c r="B1585" s="299" t="s">
        <v>853</v>
      </c>
      <c r="C1585" s="24">
        <v>45916</v>
      </c>
      <c r="F1585" s="593" t="s">
        <v>1421</v>
      </c>
      <c r="G1585" t="s">
        <v>1842</v>
      </c>
    </row>
    <row r="1586" spans="1:7" ht="15.75">
      <c r="A1586" s="94" t="s">
        <v>359</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84</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359</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84</v>
      </c>
      <c r="C1599" s="24">
        <v>45918</v>
      </c>
      <c r="D1599" s="12">
        <v>361</v>
      </c>
      <c r="F1599" s="593" t="s">
        <v>1875</v>
      </c>
      <c r="G1599" t="s">
        <v>1842</v>
      </c>
    </row>
    <row r="1600" spans="1:7">
      <c r="A1600" s="28" t="s">
        <v>525</v>
      </c>
      <c r="B1600" s="544" t="s">
        <v>84</v>
      </c>
      <c r="C1600" s="24">
        <v>45918</v>
      </c>
      <c r="D1600" s="92">
        <v>1204</v>
      </c>
      <c r="F1600" s="593" t="s">
        <v>1876</v>
      </c>
      <c r="G1600" t="s">
        <v>1842</v>
      </c>
    </row>
    <row r="1601" spans="1:7">
      <c r="A1601" s="28" t="s">
        <v>528</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359</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149</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84</v>
      </c>
      <c r="C1622" s="24">
        <v>45923</v>
      </c>
      <c r="D1622" s="12">
        <v>675</v>
      </c>
      <c r="F1622" s="28"/>
      <c r="G1622" t="s">
        <v>1842</v>
      </c>
    </row>
    <row r="1623" spans="1:7">
      <c r="A1623" s="85" t="s">
        <v>925</v>
      </c>
      <c r="B1623" s="1162" t="s">
        <v>84</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149</v>
      </c>
      <c r="C1626" s="24">
        <v>45923</v>
      </c>
      <c r="D1626" s="12">
        <v>120</v>
      </c>
      <c r="F1626" s="28"/>
      <c r="G1626" t="s">
        <v>1842</v>
      </c>
    </row>
    <row r="1627" spans="1:7" ht="15.75">
      <c r="A1627" s="94" t="s">
        <v>359</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84</v>
      </c>
      <c r="C1634" s="24">
        <v>45924</v>
      </c>
      <c r="D1634" s="98"/>
      <c r="F1634" s="266" t="s">
        <v>1890</v>
      </c>
      <c r="G1634" t="s">
        <v>1842</v>
      </c>
    </row>
    <row r="1635" spans="1:7">
      <c r="A1635" s="28" t="s">
        <v>528</v>
      </c>
      <c r="B1635" s="604" t="s">
        <v>84</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355</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2" t="s">
        <v>84</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149</v>
      </c>
      <c r="C1652" s="24">
        <v>45925</v>
      </c>
      <c r="F1652" s="78" t="s">
        <v>1185</v>
      </c>
      <c r="G1652" t="s">
        <v>1842</v>
      </c>
    </row>
    <row r="1653" spans="1:7" ht="15.75">
      <c r="A1653" s="94" t="s">
        <v>355</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149</v>
      </c>
      <c r="C1660" s="24">
        <v>45926</v>
      </c>
      <c r="D1660" s="12">
        <v>551</v>
      </c>
      <c r="G1660" t="s">
        <v>1842</v>
      </c>
    </row>
    <row r="1661" spans="1:7" ht="15.75">
      <c r="A1661" s="71" t="s">
        <v>355</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852</v>
      </c>
      <c r="B1669" s="78" t="s">
        <v>853</v>
      </c>
      <c r="C1669" s="24">
        <v>45929</v>
      </c>
      <c r="D1669" s="92">
        <v>1375</v>
      </c>
      <c r="G1669" t="s">
        <v>1842</v>
      </c>
    </row>
    <row r="1670" spans="1:7">
      <c r="A1670" s="597" t="s">
        <v>359</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134</v>
      </c>
      <c r="C1676" s="24">
        <v>45930</v>
      </c>
      <c r="D1676" s="92">
        <v>1253</v>
      </c>
      <c r="G1676" t="s">
        <v>1842</v>
      </c>
    </row>
    <row r="1677" spans="1:7">
      <c r="A1677" s="645" t="s">
        <v>534</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850</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134</v>
      </c>
      <c r="C1688" s="24">
        <v>45931</v>
      </c>
      <c r="D1688" s="92">
        <v>1351</v>
      </c>
      <c r="G1688" t="s">
        <v>1905</v>
      </c>
    </row>
    <row r="1689" spans="1:7">
      <c r="A1689" s="646" t="s">
        <v>534</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852</v>
      </c>
      <c r="B1693" s="78" t="s">
        <v>853</v>
      </c>
      <c r="C1693" s="24">
        <v>45931</v>
      </c>
      <c r="D1693" s="12">
        <v>312</v>
      </c>
      <c r="G1693" t="s">
        <v>1905</v>
      </c>
    </row>
    <row r="1694" spans="1:7">
      <c r="A1694" s="427" t="s">
        <v>850</v>
      </c>
      <c r="B1694" s="78" t="s">
        <v>149</v>
      </c>
      <c r="C1694" s="24">
        <v>45931</v>
      </c>
      <c r="D1694" s="12">
        <v>753</v>
      </c>
      <c r="G1694" t="s">
        <v>1905</v>
      </c>
    </row>
    <row r="1695" spans="1:7">
      <c r="A1695" s="237" t="s">
        <v>871</v>
      </c>
      <c r="B1695" s="276" t="s">
        <v>149</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534</v>
      </c>
      <c r="B1702" s="78" t="s">
        <v>84</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134</v>
      </c>
      <c r="C1740" s="24">
        <v>45938</v>
      </c>
      <c r="F1740" s="248" t="s">
        <v>1919</v>
      </c>
      <c r="G1740" t="s">
        <v>1905</v>
      </c>
    </row>
    <row r="1741" spans="1:7">
      <c r="A1741" s="266" t="s">
        <v>100</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100</v>
      </c>
      <c r="B1751" s="1203" t="s">
        <v>84</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100</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100</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563</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100</v>
      </c>
      <c r="B1803" s="238" t="s">
        <v>84</v>
      </c>
      <c r="C1803" s="242">
        <v>45946</v>
      </c>
      <c r="D1803" s="12">
        <v>688</v>
      </c>
      <c r="F1803" s="12" t="s">
        <v>1753</v>
      </c>
      <c r="G1803" t="s">
        <v>1905</v>
      </c>
    </row>
    <row r="1804" spans="1:7" ht="15.75">
      <c r="A1804" s="71" t="s">
        <v>355</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149</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580</v>
      </c>
      <c r="B1827" s="52" t="s">
        <v>84</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149</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84</v>
      </c>
      <c r="C1835" s="24">
        <v>45952</v>
      </c>
      <c r="D1835" s="92">
        <v>1604</v>
      </c>
      <c r="F1835" s="12" t="s">
        <v>1958</v>
      </c>
      <c r="G1835" t="s">
        <v>1905</v>
      </c>
    </row>
    <row r="1836" spans="1:7">
      <c r="A1836" s="1166" t="s">
        <v>964</v>
      </c>
      <c r="B1836" s="334" t="s">
        <v>84</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84</v>
      </c>
      <c r="C1846" s="24">
        <v>45953</v>
      </c>
      <c r="D1846" s="92">
        <v>1268</v>
      </c>
      <c r="F1846" s="12" t="s">
        <v>1966</v>
      </c>
      <c r="G1846" t="s">
        <v>1905</v>
      </c>
    </row>
    <row r="1847" spans="1:7">
      <c r="A1847" s="1167"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369</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580</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355</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369</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7"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149</v>
      </c>
      <c r="C1884" s="24">
        <v>45958</v>
      </c>
      <c r="D1884" s="92">
        <v>1224</v>
      </c>
      <c r="G1884" t="s">
        <v>1905</v>
      </c>
    </row>
    <row r="1885" spans="1:7">
      <c r="A1885" s="52" t="s">
        <v>862</v>
      </c>
      <c r="B1885" s="852" t="s">
        <v>149</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369</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149</v>
      </c>
      <c r="C1895" s="24">
        <v>45959</v>
      </c>
      <c r="D1895" s="12">
        <v>343</v>
      </c>
      <c r="G1895" t="s">
        <v>1905</v>
      </c>
    </row>
    <row r="1896" spans="1:7">
      <c r="A1896" s="85" t="s">
        <v>346</v>
      </c>
      <c r="B1896" s="52" t="s">
        <v>149</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369</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8"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862</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369</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580</v>
      </c>
      <c r="B1929" s="277" t="s">
        <v>84</v>
      </c>
      <c r="C1929" s="24">
        <v>45964</v>
      </c>
      <c r="D1929" s="12">
        <v>701</v>
      </c>
      <c r="F1929" s="12" t="s">
        <v>1851</v>
      </c>
      <c r="G1929" t="s">
        <v>2012</v>
      </c>
    </row>
    <row r="1930" spans="1:7">
      <c r="A1930" s="78" t="s">
        <v>567</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365</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369</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567</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369</v>
      </c>
      <c r="C1956" s="242">
        <v>45966</v>
      </c>
      <c r="D1956" s="92">
        <v>1113</v>
      </c>
      <c r="E1956" s="185"/>
      <c r="F1956" s="106"/>
      <c r="G1956" t="s">
        <v>2012</v>
      </c>
    </row>
    <row r="1957" spans="1:7">
      <c r="A1957" s="247" t="s">
        <v>1061</v>
      </c>
      <c r="B1957" s="247" t="s">
        <v>134</v>
      </c>
      <c r="C1957" s="24">
        <v>45966</v>
      </c>
      <c r="D1957" s="12">
        <v>885</v>
      </c>
      <c r="G1957" t="s">
        <v>2012</v>
      </c>
    </row>
    <row r="1958" spans="1:7">
      <c r="A1958" s="78" t="s">
        <v>567</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369</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369</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580</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69"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565</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383</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565</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383</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383</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84</v>
      </c>
      <c r="C2044" s="24">
        <v>45978</v>
      </c>
      <c r="D2044" s="12">
        <v>762</v>
      </c>
      <c r="G2044" t="s">
        <v>2012</v>
      </c>
    </row>
    <row r="2045" spans="1:7">
      <c r="A2045" s="238" t="s">
        <v>565</v>
      </c>
      <c r="B2045" s="276" t="s">
        <v>84</v>
      </c>
      <c r="C2045" s="24">
        <v>45978</v>
      </c>
      <c r="D2045" s="12">
        <v>956</v>
      </c>
      <c r="F2045" s="12" t="s">
        <v>2048</v>
      </c>
      <c r="G2045" t="s">
        <v>2012</v>
      </c>
    </row>
    <row r="2046" spans="1:7" ht="15.75">
      <c r="A2046" s="78" t="s">
        <v>355</v>
      </c>
      <c r="B2046" s="178" t="s">
        <v>1300</v>
      </c>
      <c r="C2046" s="242">
        <v>45978</v>
      </c>
      <c r="D2046" s="12">
        <v>176</v>
      </c>
      <c r="G2046" t="s">
        <v>2012</v>
      </c>
    </row>
    <row r="2047" spans="1:7" ht="15.75">
      <c r="A2047" s="78" t="s">
        <v>355</v>
      </c>
      <c r="B2047" s="178" t="s">
        <v>1300</v>
      </c>
      <c r="C2047" s="242">
        <v>45978</v>
      </c>
      <c r="D2047" s="12">
        <v>270</v>
      </c>
      <c r="G2047" t="s">
        <v>2012</v>
      </c>
    </row>
    <row r="2048" spans="1:7">
      <c r="A2048" s="236" t="s">
        <v>156</v>
      </c>
      <c r="B2048" s="106" t="s">
        <v>2005</v>
      </c>
      <c r="C2048" s="24">
        <v>45978</v>
      </c>
      <c r="D2048" s="12">
        <v>420</v>
      </c>
      <c r="G2048" t="s">
        <v>2012</v>
      </c>
    </row>
    <row r="2049" spans="1:7">
      <c r="A2049" s="236" t="s">
        <v>383</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84</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355</v>
      </c>
      <c r="B2061" s="178" t="s">
        <v>1300</v>
      </c>
      <c r="C2061" s="242">
        <v>45979</v>
      </c>
      <c r="D2061" s="12">
        <v>120</v>
      </c>
      <c r="F2061" s="28"/>
      <c r="G2061" t="s">
        <v>2012</v>
      </c>
    </row>
    <row r="2062" spans="1:7">
      <c r="A2062" s="1191" t="s">
        <v>348</v>
      </c>
      <c r="B2062" s="785" t="s">
        <v>149</v>
      </c>
      <c r="C2062" s="24">
        <v>45979</v>
      </c>
      <c r="D2062" s="92">
        <v>1917</v>
      </c>
      <c r="F2062" s="28"/>
      <c r="G2062" t="s">
        <v>2012</v>
      </c>
    </row>
    <row r="2063" spans="1:7">
      <c r="A2063" s="12" t="s">
        <v>385</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369</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84</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355</v>
      </c>
      <c r="B2073" s="178" t="s">
        <v>1300</v>
      </c>
      <c r="C2073" s="242">
        <v>45980</v>
      </c>
      <c r="D2073" s="12">
        <v>550</v>
      </c>
      <c r="F2073" s="28"/>
      <c r="G2073" t="s">
        <v>2012</v>
      </c>
    </row>
    <row r="2074" spans="1:7">
      <c r="A2074" s="237" t="s">
        <v>385</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369</v>
      </c>
      <c r="C2076" s="24">
        <v>45981</v>
      </c>
      <c r="F2076" s="28" t="s">
        <v>2058</v>
      </c>
      <c r="G2076" t="s">
        <v>2012</v>
      </c>
    </row>
    <row r="2077" spans="1:7">
      <c r="A2077" s="243" t="s">
        <v>584</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355</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383</v>
      </c>
      <c r="B2084" s="12" t="s">
        <v>1937</v>
      </c>
      <c r="C2084" s="24">
        <v>45982</v>
      </c>
      <c r="E2084" s="185"/>
      <c r="F2084" s="243" t="s">
        <v>2064</v>
      </c>
      <c r="G2084" t="s">
        <v>2012</v>
      </c>
    </row>
    <row r="2085" spans="1:7">
      <c r="A2085" s="236" t="s">
        <v>385</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369</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385</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369</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84</v>
      </c>
      <c r="C2111" s="24">
        <v>45985</v>
      </c>
      <c r="D2111" s="12">
        <v>805</v>
      </c>
      <c r="F2111" s="28" t="s">
        <v>2072</v>
      </c>
      <c r="G2111" t="s">
        <v>2012</v>
      </c>
    </row>
    <row r="2112" spans="1:7">
      <c r="A2112" s="12" t="s">
        <v>587</v>
      </c>
      <c r="B2112" s="843" t="s">
        <v>84</v>
      </c>
      <c r="C2112" s="24">
        <v>45985</v>
      </c>
      <c r="D2112" s="12">
        <v>665</v>
      </c>
      <c r="F2112" s="28"/>
      <c r="G2112" t="s">
        <v>2012</v>
      </c>
    </row>
    <row r="2113" spans="1:7">
      <c r="A2113" s="52" t="s">
        <v>915</v>
      </c>
      <c r="B2113" s="1170" t="s">
        <v>84</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369</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84</v>
      </c>
      <c r="C2128" s="24">
        <v>45986</v>
      </c>
      <c r="D2128" s="92">
        <v>1100</v>
      </c>
      <c r="G2128" t="s">
        <v>2012</v>
      </c>
    </row>
    <row r="2129" spans="1:7">
      <c r="A2129" s="12" t="s">
        <v>587</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369</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84</v>
      </c>
      <c r="C2147" s="24">
        <v>45987</v>
      </c>
      <c r="D2147" s="92">
        <v>1024</v>
      </c>
      <c r="F2147" s="12" t="s">
        <v>2083</v>
      </c>
      <c r="G2147" t="s">
        <v>2012</v>
      </c>
    </row>
    <row r="2148" spans="1:7">
      <c r="A2148" s="238" t="s">
        <v>590</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369</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84</v>
      </c>
      <c r="C2176" s="24">
        <v>45992</v>
      </c>
      <c r="D2176" s="92">
        <v>1610</v>
      </c>
      <c r="F2176" s="12" t="s">
        <v>2095</v>
      </c>
      <c r="G2176" t="s">
        <v>2092</v>
      </c>
    </row>
    <row r="2177" spans="1:7">
      <c r="A2177" s="844" t="s">
        <v>590</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369</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369</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369</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369</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369</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369</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369</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371</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0"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369</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371</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369</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377</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369</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587</v>
      </c>
      <c r="B2309" s="12" t="s">
        <v>84</v>
      </c>
      <c r="C2309" s="242">
        <v>46006</v>
      </c>
      <c r="F2309" s="608" t="s">
        <v>1593</v>
      </c>
      <c r="G2309" t="s">
        <v>2092</v>
      </c>
    </row>
    <row r="2310" spans="1:7">
      <c r="A2310" s="85" t="s">
        <v>387</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377</v>
      </c>
      <c r="B2322" s="178" t="s">
        <v>1300</v>
      </c>
      <c r="C2322" s="242">
        <v>46007</v>
      </c>
      <c r="D2322" s="92">
        <v>1164</v>
      </c>
      <c r="G2322" t="s">
        <v>2092</v>
      </c>
    </row>
    <row r="2323" spans="1:7">
      <c r="A2323" s="455" t="s">
        <v>387</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369</v>
      </c>
      <c r="C2328" s="24">
        <v>46008</v>
      </c>
      <c r="D2328" s="12">
        <v>467</v>
      </c>
      <c r="G2328" t="s">
        <v>2092</v>
      </c>
    </row>
    <row r="2329" spans="1:7">
      <c r="A2329" s="85" t="s">
        <v>1061</v>
      </c>
      <c r="B2329" s="52" t="s">
        <v>1897</v>
      </c>
      <c r="C2329" s="24">
        <v>46008</v>
      </c>
      <c r="F2329" s="738" t="s">
        <v>2173</v>
      </c>
      <c r="G2329" t="s">
        <v>2092</v>
      </c>
    </row>
    <row r="2330" spans="1:7">
      <c r="A2330" s="85" t="s">
        <v>1061</v>
      </c>
      <c r="B2330" s="85" t="s">
        <v>369</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148</v>
      </c>
      <c r="B2336" s="1155" t="s">
        <v>149</v>
      </c>
      <c r="C2336" s="24">
        <v>46008</v>
      </c>
      <c r="D2336" s="92">
        <v>1810</v>
      </c>
      <c r="F2336" s="12" t="s">
        <v>2178</v>
      </c>
      <c r="G2336" t="s">
        <v>2092</v>
      </c>
    </row>
    <row r="2337" spans="1:7" ht="15.75">
      <c r="A2337" s="12" t="s">
        <v>377</v>
      </c>
      <c r="B2337" s="178" t="s">
        <v>1300</v>
      </c>
      <c r="C2337" s="242">
        <v>46008</v>
      </c>
      <c r="D2337" s="12">
        <v>308</v>
      </c>
      <c r="F2337" s="12" t="s">
        <v>2179</v>
      </c>
      <c r="G2337" t="s">
        <v>2092</v>
      </c>
    </row>
    <row r="2338" spans="1:7">
      <c r="A2338" s="455" t="s">
        <v>387</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369</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369</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84</v>
      </c>
      <c r="C2357" s="24">
        <v>46009</v>
      </c>
      <c r="D2357" s="92">
        <v>1568</v>
      </c>
      <c r="G2357" t="s">
        <v>2092</v>
      </c>
    </row>
    <row r="2358" spans="1:7" ht="15.75">
      <c r="A2358" s="78" t="s">
        <v>377</v>
      </c>
      <c r="B2358" s="178" t="s">
        <v>1300</v>
      </c>
      <c r="C2358" s="242">
        <v>46009</v>
      </c>
      <c r="D2358" s="12">
        <v>892</v>
      </c>
      <c r="F2358" s="12" t="s">
        <v>2183</v>
      </c>
      <c r="G2358" t="s">
        <v>2092</v>
      </c>
    </row>
    <row r="2359" spans="1:7">
      <c r="A2359" s="237" t="s">
        <v>387</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369</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369</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377</v>
      </c>
      <c r="B2378" s="1177" t="s">
        <v>1300</v>
      </c>
      <c r="C2378" s="242">
        <v>46010</v>
      </c>
      <c r="D2378" s="12">
        <v>366</v>
      </c>
      <c r="F2378" s="12" t="s">
        <v>2191</v>
      </c>
      <c r="G2378" t="s">
        <v>2092</v>
      </c>
    </row>
    <row r="2379" spans="1:7">
      <c r="A2379" s="455" t="s">
        <v>387</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369</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631</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377</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1" t="s">
        <v>631</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84</v>
      </c>
      <c r="C2404" s="24">
        <v>46014</v>
      </c>
      <c r="E2404" s="253">
        <v>14727</v>
      </c>
      <c r="F2404" s="350" t="s">
        <v>2198</v>
      </c>
      <c r="G2404" t="s">
        <v>2092</v>
      </c>
    </row>
    <row r="2405" spans="1:7">
      <c r="A2405" s="299" t="s">
        <v>1124</v>
      </c>
      <c r="B2405" s="1172"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377</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569</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362</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374</v>
      </c>
      <c r="B2466" s="94" t="s">
        <v>134</v>
      </c>
      <c r="C2466" s="24">
        <v>46031</v>
      </c>
      <c r="D2466" s="1050">
        <v>1319</v>
      </c>
      <c r="E2466" s="40"/>
      <c r="F2466" s="1057" t="s">
        <v>2213</v>
      </c>
      <c r="G2466" t="s">
        <v>2204</v>
      </c>
    </row>
    <row r="2467" spans="1:7">
      <c r="A2467" s="181" t="s">
        <v>569</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365</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368</v>
      </c>
      <c r="B2475" s="94" t="s">
        <v>369</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614</v>
      </c>
      <c r="B2477" s="94" t="s">
        <v>84</v>
      </c>
      <c r="C2477" s="24">
        <v>46034</v>
      </c>
      <c r="D2477" s="1050">
        <v>1314</v>
      </c>
      <c r="E2477" s="40"/>
      <c r="F2477" s="1057" t="s">
        <v>1794</v>
      </c>
      <c r="G2477" t="s">
        <v>2204</v>
      </c>
    </row>
    <row r="2478" spans="1:7">
      <c r="A2478" s="299" t="s">
        <v>374</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368</v>
      </c>
      <c r="B2489" s="94" t="s">
        <v>369</v>
      </c>
      <c r="C2489" s="24">
        <v>46035</v>
      </c>
      <c r="D2489" s="40">
        <v>662</v>
      </c>
      <c r="E2489" s="40"/>
      <c r="F2489" s="1057"/>
      <c r="G2489" t="s">
        <v>2204</v>
      </c>
    </row>
    <row r="2490" spans="1:7">
      <c r="A2490" s="299" t="s">
        <v>374</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368</v>
      </c>
      <c r="B2496" s="94" t="s">
        <v>369</v>
      </c>
      <c r="C2496" s="24">
        <v>46036</v>
      </c>
      <c r="D2496" s="40">
        <v>877</v>
      </c>
      <c r="E2496" s="12"/>
      <c r="F2496" s="1057" t="s">
        <v>2222</v>
      </c>
      <c r="G2496" t="s">
        <v>2204</v>
      </c>
    </row>
    <row r="2497" spans="1:7">
      <c r="A2497" s="181" t="s">
        <v>355</v>
      </c>
      <c r="B2497" s="94" t="s">
        <v>134</v>
      </c>
      <c r="C2497" s="24">
        <v>46036</v>
      </c>
      <c r="D2497" s="1050">
        <v>1200</v>
      </c>
      <c r="E2497" s="12"/>
      <c r="F2497" s="1057"/>
      <c r="G2497" t="s">
        <v>2204</v>
      </c>
    </row>
    <row r="2498" spans="1:7">
      <c r="A2498" s="181" t="s">
        <v>374</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355</v>
      </c>
      <c r="B2509" s="94" t="s">
        <v>134</v>
      </c>
      <c r="C2509" s="24">
        <v>46037</v>
      </c>
      <c r="D2509" s="40">
        <v>445</v>
      </c>
      <c r="E2509" s="12"/>
      <c r="F2509" s="1057"/>
      <c r="G2509" t="s">
        <v>2204</v>
      </c>
    </row>
    <row r="2510" spans="1:7">
      <c r="A2510" s="181" t="s">
        <v>368</v>
      </c>
      <c r="B2510" s="94" t="s">
        <v>369</v>
      </c>
      <c r="C2510" s="24">
        <v>46037</v>
      </c>
      <c r="D2510" s="40">
        <v>499</v>
      </c>
      <c r="E2510" s="12"/>
      <c r="F2510" s="1057" t="s">
        <v>2228</v>
      </c>
      <c r="G2510" t="s">
        <v>2204</v>
      </c>
    </row>
    <row r="2511" spans="1:7">
      <c r="A2511" s="299" t="s">
        <v>374</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368</v>
      </c>
      <c r="B2517" s="94" t="s">
        <v>369</v>
      </c>
      <c r="C2517" s="24">
        <v>46038</v>
      </c>
      <c r="D2517" s="40">
        <v>186</v>
      </c>
      <c r="F2517" s="1057" t="s">
        <v>2225</v>
      </c>
      <c r="G2517" t="s">
        <v>2204</v>
      </c>
    </row>
    <row r="2518" spans="1:7">
      <c r="A2518" s="181" t="s">
        <v>355</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374</v>
      </c>
      <c r="B2522" s="1188"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399</v>
      </c>
      <c r="B2526" s="94" t="s">
        <v>84</v>
      </c>
      <c r="C2526" s="24">
        <v>46042</v>
      </c>
      <c r="D2526" s="92">
        <v>1344</v>
      </c>
      <c r="F2526" s="1055" t="s">
        <v>1729</v>
      </c>
      <c r="G2526" t="s">
        <v>2204</v>
      </c>
    </row>
    <row r="2527" spans="1:7">
      <c r="A2527" s="243" t="s">
        <v>355</v>
      </c>
      <c r="B2527" s="243" t="s">
        <v>134</v>
      </c>
      <c r="C2527" s="24">
        <v>46042</v>
      </c>
      <c r="D2527" s="12">
        <v>0</v>
      </c>
      <c r="F2527" s="243" t="s">
        <v>2030</v>
      </c>
      <c r="G2527" t="s">
        <v>2204</v>
      </c>
    </row>
    <row r="2528" spans="1:7">
      <c r="A2528" s="247" t="s">
        <v>1357</v>
      </c>
      <c r="B2528" s="247" t="s">
        <v>369</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369</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84</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369</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369</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369</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351</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369</v>
      </c>
      <c r="C2559" s="24">
        <v>46045</v>
      </c>
      <c r="D2559" s="12">
        <v>274</v>
      </c>
      <c r="F2559" s="1055"/>
      <c r="G2559" t="s">
        <v>2204</v>
      </c>
    </row>
    <row r="2560" spans="1:7">
      <c r="A2560" s="243" t="s">
        <v>1357</v>
      </c>
      <c r="B2560" s="243" t="s">
        <v>369</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351</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369</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399</v>
      </c>
      <c r="B2570" s="656" t="s">
        <v>84</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369</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351</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369</v>
      </c>
      <c r="C2577" s="265">
        <v>46049</v>
      </c>
      <c r="D2577" s="52">
        <v>343</v>
      </c>
      <c r="E2577" s="138"/>
      <c r="F2577" s="52"/>
      <c r="G2577" t="s">
        <v>2204</v>
      </c>
    </row>
    <row r="2578" spans="1:7">
      <c r="A2578" s="749" t="s">
        <v>351</v>
      </c>
      <c r="B2578" s="749" t="s">
        <v>134</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84</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369</v>
      </c>
      <c r="C2583" s="24">
        <v>46049</v>
      </c>
      <c r="D2583" s="12">
        <v>647</v>
      </c>
      <c r="F2583" s="12" t="s">
        <v>2261</v>
      </c>
      <c r="G2583" t="s">
        <v>2204</v>
      </c>
    </row>
    <row r="2584" spans="1:7">
      <c r="A2584" s="747" t="s">
        <v>1358</v>
      </c>
      <c r="B2584" s="747" t="s">
        <v>1964</v>
      </c>
      <c r="C2584" s="24">
        <v>46049</v>
      </c>
      <c r="D2584" s="12">
        <v>843</v>
      </c>
      <c r="G2584" t="s">
        <v>2204</v>
      </c>
    </row>
    <row r="2585" spans="1:7">
      <c r="A2585" s="747" t="s">
        <v>355</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369</v>
      </c>
      <c r="C2592" s="24">
        <v>46050</v>
      </c>
      <c r="D2592" s="12">
        <v>62</v>
      </c>
      <c r="G2592" t="s">
        <v>2204</v>
      </c>
    </row>
    <row r="2593" spans="1:7">
      <c r="A2593" s="266" t="s">
        <v>976</v>
      </c>
      <c r="B2593" s="656" t="s">
        <v>84</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369</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355</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369</v>
      </c>
      <c r="C2607" s="24">
        <v>46051</v>
      </c>
      <c r="D2607" s="12">
        <v>329</v>
      </c>
      <c r="F2607" s="12" t="s">
        <v>2268</v>
      </c>
      <c r="G2607" t="s">
        <v>2204</v>
      </c>
    </row>
    <row r="2608" spans="1:7">
      <c r="A2608" s="78" t="s">
        <v>572</v>
      </c>
      <c r="B2608" s="179" t="s">
        <v>573</v>
      </c>
      <c r="C2608" s="242">
        <v>46051</v>
      </c>
      <c r="G2608" t="s">
        <v>2204</v>
      </c>
    </row>
    <row r="2609" spans="1:7">
      <c r="A2609" s="247" t="s">
        <v>1357</v>
      </c>
      <c r="B2609" s="247" t="s">
        <v>369</v>
      </c>
      <c r="C2609" s="24">
        <v>46051</v>
      </c>
      <c r="D2609" s="12">
        <v>222</v>
      </c>
      <c r="G2609" t="s">
        <v>2204</v>
      </c>
    </row>
    <row r="2610" spans="1:7">
      <c r="A2610" s="247" t="s">
        <v>1358</v>
      </c>
      <c r="B2610" s="747" t="s">
        <v>1964</v>
      </c>
      <c r="C2610" s="24">
        <v>46051</v>
      </c>
      <c r="D2610" s="12">
        <v>410</v>
      </c>
      <c r="F2610" s="12" t="s">
        <v>2269</v>
      </c>
      <c r="G2610" t="s">
        <v>2204</v>
      </c>
    </row>
    <row r="2611" spans="1:7">
      <c r="A2611" s="1094" t="s">
        <v>355</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380</v>
      </c>
      <c r="B2613" s="78" t="s">
        <v>134</v>
      </c>
      <c r="C2613" s="242">
        <v>46051</v>
      </c>
      <c r="D2613" s="92">
        <v>1468</v>
      </c>
      <c r="E2613" s="12"/>
      <c r="F2613" s="12" t="s">
        <v>2270</v>
      </c>
      <c r="G2613" t="s">
        <v>2204</v>
      </c>
    </row>
    <row r="2614" spans="1:7">
      <c r="A2614" s="71" t="s">
        <v>351</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84</v>
      </c>
      <c r="C2618" s="24">
        <v>46051</v>
      </c>
      <c r="F2618" s="12" t="s">
        <v>2271</v>
      </c>
      <c r="G2618" t="s">
        <v>2204</v>
      </c>
    </row>
    <row r="2619" spans="1:7">
      <c r="A2619" s="243" t="s">
        <v>1357</v>
      </c>
      <c r="B2619" s="243" t="s">
        <v>369</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380</v>
      </c>
      <c r="B2622" s="247" t="s">
        <v>134</v>
      </c>
      <c r="C2622" s="24">
        <v>46052</v>
      </c>
      <c r="D2622" s="92">
        <v>1637</v>
      </c>
      <c r="F2622" s="12" t="s">
        <v>2274</v>
      </c>
      <c r="G2622" t="s">
        <v>2204</v>
      </c>
    </row>
    <row r="2623" spans="1:7">
      <c r="A2623" s="1094" t="s">
        <v>355</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369</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369</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355</v>
      </c>
      <c r="B2634" s="606" t="s">
        <v>134</v>
      </c>
      <c r="C2634" s="24">
        <v>46055</v>
      </c>
      <c r="D2634" s="12">
        <v>859</v>
      </c>
      <c r="E2634" s="12"/>
      <c r="G2634" t="s">
        <v>1296</v>
      </c>
    </row>
    <row r="2635" spans="1:7">
      <c r="A2635" s="238" t="s">
        <v>397</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369</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380</v>
      </c>
      <c r="B2640" s="1038" t="s">
        <v>134</v>
      </c>
      <c r="C2640" s="24">
        <v>46056</v>
      </c>
      <c r="D2640" s="92">
        <v>1646</v>
      </c>
      <c r="E2640" s="12"/>
      <c r="F2640" s="12" t="s">
        <v>2279</v>
      </c>
      <c r="G2640" t="s">
        <v>1296</v>
      </c>
    </row>
    <row r="2641" spans="1:7">
      <c r="A2641" s="266" t="s">
        <v>397</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369</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3" t="s">
        <v>219</v>
      </c>
      <c r="B2646" s="656" t="s">
        <v>134</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355</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397</v>
      </c>
      <c r="B2655" s="608" t="s">
        <v>84</v>
      </c>
      <c r="C2655" s="24">
        <v>46059</v>
      </c>
      <c r="F2655" s="608" t="s">
        <v>1734</v>
      </c>
      <c r="G2655" t="s">
        <v>1296</v>
      </c>
    </row>
    <row r="2656" spans="1:7">
      <c r="A2656" s="1222" t="s">
        <v>1358</v>
      </c>
      <c r="B2656" s="747" t="s">
        <v>1964</v>
      </c>
      <c r="C2656" s="24">
        <v>46059</v>
      </c>
      <c r="F2656" s="243" t="s">
        <v>2288</v>
      </c>
      <c r="G2656" t="s">
        <v>1296</v>
      </c>
    </row>
    <row r="2657" spans="1:7">
      <c r="A2657" s="1222" t="s">
        <v>219</v>
      </c>
      <c r="B2657" s="747" t="s">
        <v>134</v>
      </c>
      <c r="C2657" s="24">
        <v>46059</v>
      </c>
      <c r="D2657" s="12">
        <v>3</v>
      </c>
      <c r="F2657" s="12" t="s">
        <v>2289</v>
      </c>
      <c r="G2657" t="s">
        <v>1296</v>
      </c>
    </row>
    <row r="2658" spans="1:7">
      <c r="A2658" s="1222" t="s">
        <v>380</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84</v>
      </c>
      <c r="C2660" s="24">
        <v>46062</v>
      </c>
      <c r="E2660" s="253">
        <v>1049</v>
      </c>
      <c r="F2660" s="12" t="s">
        <v>2291</v>
      </c>
      <c r="G2660" t="s">
        <v>1296</v>
      </c>
    </row>
    <row r="2661" spans="1:7">
      <c r="A2661" s="247" t="s">
        <v>393</v>
      </c>
      <c r="B2661" s="247" t="s">
        <v>1007</v>
      </c>
      <c r="C2661" s="24">
        <v>46062</v>
      </c>
      <c r="D2661" s="12">
        <v>712</v>
      </c>
      <c r="G2661" t="s">
        <v>1296</v>
      </c>
    </row>
    <row r="2662" spans="1:7">
      <c r="A2662" s="243" t="s">
        <v>355</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397</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393</v>
      </c>
      <c r="B2688" s="608" t="s">
        <v>1007</v>
      </c>
      <c r="C2688" s="24">
        <v>46069</v>
      </c>
      <c r="D2688" s="92">
        <v>669</v>
      </c>
      <c r="G2688" t="s">
        <v>1296</v>
      </c>
    </row>
    <row r="2689" spans="1:7">
      <c r="A2689" s="747" t="s">
        <v>390</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390</v>
      </c>
      <c r="B2694" s="247" t="s">
        <v>84</v>
      </c>
      <c r="C2694" s="24">
        <v>46070</v>
      </c>
      <c r="D2694" s="92">
        <v>1532</v>
      </c>
      <c r="F2694" s="12" t="s">
        <v>2302</v>
      </c>
      <c r="G2694" t="s">
        <v>1296</v>
      </c>
    </row>
    <row r="2695" spans="1:7">
      <c r="A2695" s="243" t="s">
        <v>362</v>
      </c>
      <c r="B2695" s="243" t="s">
        <v>134</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390</v>
      </c>
      <c r="B2701" s="247" t="s">
        <v>84</v>
      </c>
      <c r="C2701" s="24">
        <v>46071</v>
      </c>
      <c r="D2701" s="92">
        <v>1447</v>
      </c>
      <c r="F2701" s="12" t="s">
        <v>2305</v>
      </c>
      <c r="G2701" t="s">
        <v>1296</v>
      </c>
    </row>
    <row r="2702" spans="1:7">
      <c r="A2702" s="243" t="s">
        <v>362</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390</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362</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362</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390</v>
      </c>
      <c r="B2718" s="247" t="s">
        <v>84</v>
      </c>
      <c r="C2718" s="24">
        <v>46076</v>
      </c>
      <c r="F2718" s="12" t="s">
        <v>1674</v>
      </c>
      <c r="G2718" t="s">
        <v>1296</v>
      </c>
    </row>
    <row r="2719" spans="1:7">
      <c r="A2719" s="243" t="s">
        <v>393</v>
      </c>
      <c r="B2719" s="243" t="s">
        <v>1007</v>
      </c>
      <c r="C2719" s="24">
        <v>46076</v>
      </c>
      <c r="D2719" s="92">
        <v>1044</v>
      </c>
      <c r="F2719" s="12" t="s">
        <v>2311</v>
      </c>
      <c r="G2719" t="s">
        <v>1296</v>
      </c>
    </row>
    <row r="2720" spans="1:7">
      <c r="A2720" s="243" t="s">
        <v>362</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362</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362</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399</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D2741" s="12">
        <v>611</v>
      </c>
      <c r="G2741" t="s">
        <v>1297</v>
      </c>
    </row>
    <row r="2742" spans="1:7">
      <c r="A2742" s="181" t="s">
        <v>202</v>
      </c>
      <c r="B2742" s="94" t="s">
        <v>149</v>
      </c>
      <c r="C2742" s="24">
        <v>46083</v>
      </c>
      <c r="D2742" s="92">
        <v>1391</v>
      </c>
      <c r="G2742" t="s">
        <v>1297</v>
      </c>
    </row>
    <row r="2743" spans="1:7">
      <c r="A2743" s="181" t="s">
        <v>1363</v>
      </c>
      <c r="B2743" s="243" t="s">
        <v>1964</v>
      </c>
      <c r="C2743" s="24">
        <v>46083</v>
      </c>
      <c r="D2743" s="92">
        <v>1287</v>
      </c>
      <c r="G274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3"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3"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
      </c>
      <c r="B23" s="1353" t="str">
        <v/>
      </c>
      <c r="C23" s="1353" t="str">
        <v/>
      </c>
      <c r="D23" s="1353" t="str">
        <v/>
      </c>
      <c r="E23" s="1353" t="str">
        <v/>
      </c>
      <c r="F23" s="1353" t="str">
        <v/>
      </c>
      <c r="G23" s="1353" t="str">
        <v/>
      </c>
      <c r="H23" s="1353" t="str">
        <v/>
      </c>
      <c r="I23" s="1353" t="str">
        <v/>
      </c>
      <c r="J23" s="135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3">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3"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3">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0"/>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0"/>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0"/>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0"/>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0"/>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0"/>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0"/>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0"/>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0"/>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0"/>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0"/>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0"/>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0"/>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0"/>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0"/>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0"/>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0"/>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0"/>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0"/>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0"/>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0"/>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0"/>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0"/>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0"/>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0"/>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0"/>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0"/>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0"/>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0"/>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0"/>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0"/>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0"/>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0"/>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0"/>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0"/>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1"/>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7A5F645-8640-4410-90FD-502824439AB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2026-03-03T00:11:11Z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