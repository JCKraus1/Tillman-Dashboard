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21" documentId="8_{E14B221E-02E2-46A3-8CEC-C736815F2DD5}" xr6:coauthVersionLast="47" xr6:coauthVersionMax="47" xr10:uidLastSave="{A5720124-1E80-4683-82A0-7C569018F21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08" r:id="rId12"/>
    <pivotCache cacheId="3311" r:id="rId13"/>
    <pivotCache cacheId="3314" r:id="rId14"/>
    <pivotCache cacheId="3317" r:id="rId15"/>
    <pivotCache cacheId="3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<sst xmlns="http://schemas.openxmlformats.org/spreadsheetml/2006/main" count="16501" uniqueCount="2129">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</sst>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96" activePane="topRight" state="frozen"/>
      <selection pane="topRight" activeCell="AD104" sqref="AD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2"/>
      <c r="K60" s="1412"/>
      <c r="L60" s="1354"/>
      <c r="M60" s="1228" t="s">
        <v>57</v>
      </c>
      <c r="N60" s="1413">
        <v>1035</v>
      </c>
      <c r="O60" s="1228" t="s">
        <v>57</v>
      </c>
      <c r="P60" s="1241" t="s">
        <v>58</v>
      </c>
      <c r="Q60" s="1414"/>
      <c r="R60" s="1414"/>
      <c r="S60" s="1414"/>
      <c r="T60" s="1414"/>
      <c r="U60" s="1414"/>
      <c r="V60" s="1415">
        <v>0</v>
      </c>
      <c r="W60" s="1416"/>
      <c r="X60" s="1416">
        <f>SUM(V60-W60)</f>
        <v>0</v>
      </c>
      <c r="Y60" s="662">
        <f>IFERROR($W60/$V60, 0)</f>
        <v>0</v>
      </c>
      <c r="Z60" s="1417"/>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8"/>
      <c r="I74" s="829" t="s">
        <v>55</v>
      </c>
      <c r="J74" s="832" t="s">
        <v>63</v>
      </c>
      <c r="K74" s="1412"/>
      <c r="L74" s="1356"/>
      <c r="M74" s="829" t="s">
        <v>57</v>
      </c>
      <c r="N74" s="1413">
        <v>36998.550000000003</v>
      </c>
      <c r="O74" s="829" t="s">
        <v>57</v>
      </c>
      <c r="P74" s="1241" t="s">
        <v>58</v>
      </c>
      <c r="Q74" s="1414"/>
      <c r="R74" s="1414"/>
      <c r="S74" s="1414"/>
      <c r="T74" s="1414"/>
      <c r="U74" s="1414"/>
      <c r="V74" s="1415">
        <v>2944</v>
      </c>
      <c r="W74" s="1416"/>
      <c r="X74" s="1416">
        <f>SUM(V74-W74)</f>
        <v>2944</v>
      </c>
      <c r="Y74" s="662">
        <f>IFERROR($W74/$V74, 0)</f>
        <v>0</v>
      </c>
      <c r="Z74" s="1417"/>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2"/>
      <c r="L83" s="1356"/>
      <c r="M83" s="1228" t="s">
        <v>57</v>
      </c>
      <c r="N83" s="1413">
        <v>118710.8</v>
      </c>
      <c r="O83" s="1228" t="s">
        <v>57</v>
      </c>
      <c r="P83" s="1210" t="s">
        <v>58</v>
      </c>
      <c r="Q83" s="1414"/>
      <c r="R83" s="1414"/>
      <c r="S83" s="1414"/>
      <c r="T83" s="1414"/>
      <c r="U83" s="1414"/>
      <c r="V83" s="1415">
        <v>9628</v>
      </c>
      <c r="W83" s="1416"/>
      <c r="X83" s="1416">
        <f>SUM(V83-W83)</f>
        <v>9628</v>
      </c>
      <c r="Y83" s="662">
        <f>IFERROR($W83/$V83, 0)</f>
        <v>0</v>
      </c>
      <c r="Z83" s="1414"/>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11">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9"/>
      <c r="R120" s="1389"/>
      <c r="S120" s="1389"/>
      <c r="T120" s="1389"/>
      <c r="U120" s="1389"/>
      <c r="V120" s="1270">
        <v>8641</v>
      </c>
      <c r="W120" s="1420"/>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21"/>
      <c r="R121" s="1393"/>
      <c r="S121" s="1393"/>
      <c r="T121" s="1393"/>
      <c r="U121" s="1393"/>
      <c r="V121" s="1399">
        <v>7502</v>
      </c>
      <c r="W121" s="1422"/>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21"/>
      <c r="R122" s="1393"/>
      <c r="S122" s="1393"/>
      <c r="T122" s="1393"/>
      <c r="U122" s="1393"/>
      <c r="V122" s="1399">
        <v>3682</v>
      </c>
      <c r="W122" s="1422"/>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2"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3" t="s">
        <v>358</v>
      </c>
      <c r="Q11" s="1211">
        <v>45994</v>
      </c>
      <c r="R11" s="1211"/>
      <c r="S11" s="1211"/>
      <c r="T11" s="1211"/>
      <c r="U11" s="486" t="s">
        <v>545</v>
      </c>
      <c r="V11" s="788">
        <v>3885</v>
      </c>
      <c r="W11" s="1401">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475</v>
      </c>
    </row>
    <row r="1162" spans="1:7">
      <c r="A1162" t="s">
        <v>477</v>
      </c>
    </row>
    <row r="1163" spans="1:7">
      <c r="A1163" t="s">
        <v>480</v>
      </c>
    </row>
    <row r="1164" spans="1:7">
      <c r="A1164" t="s">
        <v>317</v>
      </c>
    </row>
    <row r="1165" spans="1:7">
      <c r="A1165" t="s">
        <v>511</v>
      </c>
    </row>
    <row r="1166" spans="1:7">
      <c r="A1166" t="s">
        <v>296</v>
      </c>
    </row>
    <row r="1167" spans="1:7">
      <c r="A1167" t="s">
        <v>323</v>
      </c>
    </row>
    <row r="1168" spans="1:7">
      <c r="A1168" t="s">
        <v>433</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10" t="s">
        <v>155</v>
      </c>
      <c r="B2412" s="1146" t="s">
        <v>131</v>
      </c>
      <c r="C2412" s="56">
        <v>46020</v>
      </c>
      <c r="G2412" t="s">
        <v>1873</v>
      </c>
    </row>
    <row r="2413" spans="1:7">
      <c r="A2413" s="745" t="s">
        <v>433</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475</v>
      </c>
      <c r="B2419" s="1131" t="s">
        <v>131</v>
      </c>
      <c r="C2419" s="56">
        <v>46020</v>
      </c>
      <c r="F2419" s="1131" t="s">
        <v>1785</v>
      </c>
      <c r="G2419" t="s">
        <v>1873</v>
      </c>
    </row>
    <row r="2420" spans="1:7">
      <c r="A2420" s="1131" t="s">
        <v>477</v>
      </c>
      <c r="B2420" s="1131" t="s">
        <v>131</v>
      </c>
      <c r="C2420" s="56">
        <v>46020</v>
      </c>
      <c r="F2420" s="1131" t="s">
        <v>1785</v>
      </c>
      <c r="G2420" t="s">
        <v>1873</v>
      </c>
    </row>
    <row r="2421" spans="1:7">
      <c r="A2421" s="1131" t="s">
        <v>480</v>
      </c>
      <c r="B2421" s="1131" t="s">
        <v>131</v>
      </c>
      <c r="C2421" s="56">
        <v>46020</v>
      </c>
      <c r="F2421" s="1131" t="s">
        <v>1785</v>
      </c>
      <c r="G2421" t="s">
        <v>1873</v>
      </c>
    </row>
    <row r="2422" spans="1:7">
      <c r="A2422" s="1131" t="s">
        <v>511</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2071</v>
      </c>
      <c r="C1" s="1406"/>
      <c r="D1" s="558"/>
      <c r="E1" s="1406" t="s">
        <v>2072</v>
      </c>
      <c r="F1" s="1406"/>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660</v>
      </c>
      <c r="M7">
        <v>1</v>
      </c>
      <c r="P7" t="s">
        <v>2082</v>
      </c>
      <c r="R7">
        <v>1</v>
      </c>
      <c r="X7" t="s">
        <v>2083</v>
      </c>
      <c r="Y7" t="s">
        <v>2084</v>
      </c>
    </row>
    <row r="8" spans="1:25">
      <c r="B8" t="s">
        <v>22</v>
      </c>
      <c r="C8">
        <v>0</v>
      </c>
      <c r="L8" t="s">
        <v>662</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2090</v>
      </c>
      <c r="R12">
        <v>1</v>
      </c>
    </row>
    <row r="13" spans="1:25">
      <c r="B13" t="s">
        <v>178</v>
      </c>
      <c r="C13">
        <v>3</v>
      </c>
      <c r="L13" t="s">
        <v>2091</v>
      </c>
      <c r="M13">
        <v>1</v>
      </c>
      <c r="Q13" t="s">
        <v>997</v>
      </c>
      <c r="R13">
        <v>1</v>
      </c>
    </row>
    <row r="14" spans="1:25">
      <c r="B14" t="s">
        <v>67</v>
      </c>
      <c r="C14">
        <v>3796</v>
      </c>
      <c r="L14" t="s">
        <v>839</v>
      </c>
      <c r="M14">
        <v>1</v>
      </c>
      <c r="P14" t="s">
        <v>2092</v>
      </c>
      <c r="R14">
        <v>5</v>
      </c>
    </row>
    <row r="15" spans="1:25">
      <c r="B15" t="s">
        <v>60</v>
      </c>
      <c r="C15">
        <v>6182</v>
      </c>
      <c r="L15" t="s">
        <v>2090</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2093</v>
      </c>
      <c r="M21">
        <v>1</v>
      </c>
    </row>
    <row r="22" spans="2:13">
      <c r="L22" t="s">
        <v>997</v>
      </c>
      <c r="M22">
        <v>1</v>
      </c>
    </row>
    <row r="23" spans="2:13">
      <c r="L23" t="s">
        <v>887</v>
      </c>
      <c r="M23">
        <v>1</v>
      </c>
    </row>
    <row r="24" spans="2:13">
      <c r="L24" t="s">
        <v>908</v>
      </c>
      <c r="M24">
        <v>1</v>
      </c>
    </row>
    <row r="25" spans="2:13">
      <c r="L25" t="s">
        <v>175</v>
      </c>
      <c r="M25">
        <v>1</v>
      </c>
    </row>
    <row r="26" spans="2:13">
      <c r="K26" t="s">
        <v>2094</v>
      </c>
      <c r="M26">
        <v>19</v>
      </c>
    </row>
    <row r="27" spans="2:13">
      <c r="K27" t="s">
        <v>2095</v>
      </c>
      <c r="L27" t="s">
        <v>833</v>
      </c>
      <c r="M27">
        <v>1</v>
      </c>
    </row>
    <row r="28" spans="2:13">
      <c r="L28" t="s">
        <v>835</v>
      </c>
      <c r="M28">
        <v>1</v>
      </c>
    </row>
    <row r="29" spans="2:13">
      <c r="L29" t="s">
        <v>837</v>
      </c>
      <c r="M29">
        <v>1</v>
      </c>
    </row>
    <row r="30" spans="2:13">
      <c r="L30" t="s">
        <v>853</v>
      </c>
      <c r="M30">
        <v>1</v>
      </c>
    </row>
    <row r="31" spans="2:13">
      <c r="L31" t="s">
        <v>857</v>
      </c>
      <c r="M31">
        <v>1</v>
      </c>
    </row>
    <row r="32" spans="2:13">
      <c r="L32" t="s">
        <v>2096</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2098</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45E62E-6C5E-41F9-8A18-63033AD414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2025-12-29T16:58:51Z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