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08" documentId="8_{E14B221E-02E2-46A3-8CEC-C736815F2DD5}" xr6:coauthVersionLast="47" xr6:coauthVersionMax="47" xr10:uidLastSave="{33949510-D20F-4BBD-9651-0322DF1A6477}"/>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2" l="1"/>
  <c r="X37" i="32"/>
  <c r="Y31" i="32"/>
  <c r="X31" i="32"/>
  <c r="Y17" i="32"/>
  <c r="X17" i="32"/>
  <c r="Y67" i="31"/>
  <c r="X67" i="31"/>
  <c r="Y49" i="32"/>
  <c r="X49" i="32"/>
  <c r="Y16" i="32"/>
  <c r="X16" i="32"/>
  <c r="Y34" i="32"/>
  <c r="X34" i="32"/>
  <c r="Y33" i="32"/>
  <c r="X33" i="32"/>
  <c r="Y22" i="31"/>
  <c r="X22" i="31"/>
  <c r="Y27" i="31"/>
  <c r="X27" i="31"/>
  <c r="X97" i="2"/>
  <c r="Y97" i="2"/>
  <c r="X96" i="2"/>
  <c r="Y96" i="2"/>
  <c r="X94" i="2"/>
  <c r="Y94" i="2"/>
  <c r="Y95" i="2"/>
  <c r="X95" i="2"/>
  <c r="X87" i="2"/>
  <c r="Y87" i="2"/>
  <c r="Y18" i="32"/>
  <c r="X18"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9" i="31"/>
  <c r="X59" i="31"/>
  <c r="Y40" i="2"/>
  <c r="X40" i="2"/>
  <c r="Y56" i="31"/>
  <c r="X56" i="31"/>
  <c r="Y33" i="31"/>
  <c r="X33" i="31"/>
  <c r="Y60" i="31"/>
  <c r="X60" i="31"/>
  <c r="Y66" i="31"/>
  <c r="X66" i="31"/>
  <c r="Y58" i="31"/>
  <c r="X58" i="31"/>
  <c r="Y23" i="31"/>
  <c r="X23" i="31"/>
  <c r="Y53" i="31"/>
  <c r="X53" i="31"/>
  <c r="X57" i="2"/>
  <c r="Y57" i="2"/>
  <c r="Y71" i="2"/>
  <c r="X71" i="2"/>
  <c r="Y80" i="2"/>
  <c r="X80" i="2"/>
  <c r="Y29" i="32"/>
  <c r="X29" i="32"/>
  <c r="Y17" i="31"/>
  <c r="X17" i="31"/>
  <c r="U118" i="30"/>
  <c r="Y28" i="32"/>
  <c r="X28" i="32"/>
  <c r="Y19" i="32"/>
  <c r="X19" i="32"/>
  <c r="X57" i="31"/>
  <c r="Y57" i="31"/>
  <c r="X55" i="31"/>
  <c r="Y55" i="31"/>
  <c r="X51" i="31"/>
  <c r="Y51" i="31"/>
  <c r="X101" i="2"/>
  <c r="X102" i="2"/>
  <c r="X103" i="2"/>
  <c r="X104" i="2"/>
  <c r="X105" i="2"/>
  <c r="X106" i="2"/>
  <c r="X107" i="2"/>
  <c r="X108" i="2"/>
  <c r="U39" i="30"/>
  <c r="U134" i="30"/>
  <c r="X30" i="32"/>
  <c r="Y30" i="32"/>
  <c r="X21" i="31"/>
  <c r="Y21" i="31"/>
  <c r="Y86" i="2"/>
  <c r="X86" i="2"/>
  <c r="X35" i="32"/>
  <c r="Y35" i="32"/>
  <c r="X35" i="31"/>
  <c r="Y35" i="31"/>
  <c r="X16" i="31"/>
  <c r="Y16" i="31"/>
  <c r="X26" i="31"/>
  <c r="Y26" i="31"/>
  <c r="Y34" i="2"/>
  <c r="X34" i="2"/>
  <c r="Y52" i="31"/>
  <c r="X52" i="31"/>
  <c r="Y49" i="31"/>
  <c r="X49" i="31"/>
  <c r="Y18" i="31"/>
  <c r="X18" i="31"/>
  <c r="Y30" i="31"/>
  <c r="X30" i="31"/>
  <c r="Y25" i="32"/>
  <c r="X25" i="32"/>
  <c r="Y47" i="31"/>
  <c r="X47" i="31"/>
  <c r="Y79" i="2"/>
  <c r="X79" i="2"/>
  <c r="T31" i="8"/>
  <c r="U31" i="8"/>
  <c r="T29" i="8"/>
  <c r="U29" i="8"/>
  <c r="Y36" i="32"/>
  <c r="X36" i="32"/>
  <c r="Y54" i="31"/>
  <c r="X54" i="31"/>
  <c r="Y46" i="31"/>
  <c r="X46" i="31"/>
  <c r="Y20" i="31"/>
  <c r="X20" i="31"/>
  <c r="Y2" i="32"/>
  <c r="X2" i="32"/>
  <c r="Y78" i="2"/>
  <c r="X78" i="2"/>
  <c r="Y6" i="32"/>
  <c r="X6" i="32"/>
  <c r="Y102" i="2"/>
  <c r="X74" i="2"/>
  <c r="Y74" i="2"/>
  <c r="Y27" i="32"/>
  <c r="X27" i="32"/>
  <c r="Y26" i="32"/>
  <c r="X26" i="32"/>
  <c r="Y45" i="32"/>
  <c r="X45" i="32"/>
  <c r="X28" i="31"/>
  <c r="Y28" i="31"/>
  <c r="X63" i="31"/>
  <c r="Y63" i="31"/>
  <c r="Y48" i="2"/>
  <c r="X48" i="2"/>
  <c r="Y7" i="31"/>
  <c r="X7" i="31"/>
  <c r="Y5" i="31"/>
  <c r="X5" i="31"/>
  <c r="Y25" i="31"/>
  <c r="X25" i="31"/>
  <c r="Y104" i="2"/>
  <c r="Y105" i="2"/>
  <c r="Y106" i="2"/>
  <c r="Y107" i="2"/>
  <c r="Y108" i="2"/>
  <c r="X85" i="2"/>
  <c r="Y85" i="2"/>
  <c r="Y39" i="31"/>
  <c r="X39" i="31"/>
  <c r="Y22" i="2"/>
  <c r="X22"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4" i="31"/>
  <c r="X24" i="31"/>
  <c r="Y42" i="2"/>
  <c r="X42" i="2"/>
  <c r="X14" i="2"/>
  <c r="Y14" i="2"/>
  <c r="X17" i="2"/>
  <c r="Y17" i="2"/>
  <c r="Y6" i="31"/>
  <c r="X6" i="31"/>
  <c r="Y31" i="31"/>
  <c r="X31" i="31"/>
  <c r="X12" i="2"/>
  <c r="Y12" i="2"/>
  <c r="X13" i="2"/>
  <c r="Y13" i="2"/>
  <c r="Y23" i="2"/>
  <c r="X23" i="2"/>
  <c r="T148" i="30"/>
  <c r="X76" i="2"/>
  <c r="Y76" i="2"/>
  <c r="Y26" i="2"/>
  <c r="X26" i="2"/>
  <c r="Y23" i="32"/>
  <c r="X23" i="32"/>
  <c r="Y14" i="31"/>
  <c r="X14" i="31"/>
  <c r="Y24" i="32"/>
  <c r="X24" i="32"/>
  <c r="Y65" i="31"/>
  <c r="X65" i="31"/>
  <c r="Y24" i="2"/>
  <c r="X24" i="2"/>
  <c r="Y9" i="31"/>
  <c r="X9" i="31"/>
  <c r="Y15" i="31"/>
  <c r="X15" i="31"/>
  <c r="Y22" i="32"/>
  <c r="X22" i="32"/>
  <c r="Y28" i="2"/>
  <c r="X28" i="2"/>
  <c r="Y50" i="2"/>
  <c r="Y49" i="2"/>
  <c r="X49" i="2"/>
  <c r="Y20" i="32"/>
  <c r="X20" i="32"/>
  <c r="Y101" i="2"/>
  <c r="X73" i="2"/>
  <c r="Y73" i="2"/>
  <c r="X81" i="2"/>
  <c r="Y81" i="2"/>
  <c r="Y10" i="32"/>
  <c r="X10" i="32"/>
  <c r="Y13" i="32"/>
  <c r="X13" i="32"/>
  <c r="U122" i="30"/>
  <c r="Y7" i="32"/>
  <c r="X7" i="32"/>
  <c r="X39" i="32"/>
  <c r="Y39" i="32"/>
  <c r="X50" i="2"/>
  <c r="X56" i="2"/>
  <c r="Y56" i="2"/>
  <c r="U115" i="30"/>
  <c r="Y8" i="31"/>
  <c r="X8" i="31"/>
  <c r="Y32" i="31"/>
  <c r="X32"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8" i="32"/>
  <c r="X48" i="32"/>
  <c r="Y47" i="32"/>
  <c r="X47" i="32"/>
  <c r="Y46" i="32"/>
  <c r="X46" i="32"/>
  <c r="Y44" i="32"/>
  <c r="X44" i="32"/>
  <c r="Y43" i="32"/>
  <c r="X43" i="32"/>
  <c r="Y42" i="32"/>
  <c r="X42" i="32"/>
  <c r="Y41" i="32"/>
  <c r="X41" i="32"/>
  <c r="Y40" i="32"/>
  <c r="X40" i="32"/>
  <c r="Y38" i="32"/>
  <c r="X38" i="32"/>
  <c r="Y32" i="32"/>
  <c r="X32" i="32"/>
  <c r="Y21" i="32"/>
  <c r="X21" i="32"/>
  <c r="Y15" i="32"/>
  <c r="X15" i="32"/>
  <c r="Y14" i="32"/>
  <c r="X14" i="32"/>
  <c r="Y12" i="32"/>
  <c r="X12" i="32"/>
  <c r="Y9" i="32"/>
  <c r="X9" i="32"/>
  <c r="Y8" i="32"/>
  <c r="X8" i="32"/>
  <c r="Y5" i="32"/>
  <c r="X5" i="32"/>
  <c r="Y4" i="32"/>
  <c r="X4" i="32"/>
  <c r="Y3" i="32"/>
  <c r="X3" i="32"/>
  <c r="Y64" i="31"/>
  <c r="X64" i="31"/>
  <c r="Y62" i="31"/>
  <c r="X62" i="31"/>
  <c r="Y61" i="31"/>
  <c r="X61"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7"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5"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7" authorId="32"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8" authorId="33"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8" authorId="34"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9" authorId="35"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9" authorId="36"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6" authorId="5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7" authorId="5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7" authorId="5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7" authorId="5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8" authorId="55"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0" authorId="6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1" authorId="61"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2" authorId="6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3" authorId="65"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6"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7"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8"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7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3"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4"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8" authorId="7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9" authorId="7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9" authorId="7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0" authorId="7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0" authorId="8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1" authorId="8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1" authorId="8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2" authorId="8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2" authorId="8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3" authorId="8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3" authorId="8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3" authorId="8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4" authorId="8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4" authorId="8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5" authorId="9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5" authorId="9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6" authorId="9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6" authorId="9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7" authorId="9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7" authorId="9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8" authorId="9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8" authorId="9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8" authorId="9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9" authorId="9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10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9" authorId="10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<sst xmlns="http://schemas.openxmlformats.org/spreadsheetml/2006/main" count="16659" uniqueCount="2150">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</sst>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16" fillId="4" borderId="15"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8">
    <sortCondition ref="B168:B20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7" dT="2025-12-29T20:55:01.56" personId="{79160F3F-A2CD-4B5D-ACD4-80E02EA51DFF}" id="{439876D3-1E7F-4214-AB31-23A511AA7DE0}">
    <text>12-29-2025 Sheet 9 and Sheet 10 Were Captured Under A Previous Project.</text>
  </threadedComment>
  <threadedComment ref="W29" dT="2025-09-02T21:15:59.59" personId="{79160F3F-A2CD-4B5D-ACD4-80E02EA51DFF}" id="{7D00E9B9-78AC-43E4-ABEC-B78672B0E7C0}">
    <text>9-2-2025 Change Order Submitted For Addition Conduit Placement---New Total Is 5,776'.</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6-01-02T14:23:09.06" personId="{79160F3F-A2CD-4B5D-ACD4-80E02EA51DFF}" id="{B979C436-1A25-4B48-B3DC-959F69A63648}">
    <text>1-2-2025 Confirmed Actual Completed Footage.</text>
  </threadedComment>
  <threadedComment ref="Y17" dT="2026-01-02T14:23:35.69" personId="{79160F3F-A2CD-4B5D-ACD4-80E02EA51DFF}" id="{ADEA4BCB-4E9C-43B1-B3C5-A55E54539FF1}">
    <text>1-2-2025 Conduit Placement Confirmed Completed.</text>
  </threadedComment>
  <threadedComment ref="W18" dT="2025-12-30T19:50:11.83" personId="{79160F3F-A2CD-4B5D-ACD4-80E02EA51DFF}" id="{7D55B1DB-67C1-4C72-8ECC-E2D60F0D8E60}">
    <text>12-30-2025 Confirmed Actual Completed Footage.</text>
  </threadedComment>
  <threadedComment ref="Y18" dT="2025-12-30T19:50:40.82" personId="{79160F3F-A2CD-4B5D-ACD4-80E02EA51DFF}" id="{D4C3B7FE-6389-4F34-A551-D2213B09E7D9}">
    <text>12-30-2025 Conduit Placement Confirmed Completed.</text>
  </threadedComment>
  <threadedComment ref="W19" dT="2025-12-15T18:59:44.76" personId="{79160F3F-A2CD-4B5D-ACD4-80E02EA51DFF}" id="{3D28ABA0-FC08-49E2-A212-359855E05A39}">
    <text>12-15-2025 Confirmed Actual Completed Footage.</text>
  </threadedComment>
  <threadedComment ref="Y19" dT="2025-12-15T19:00:15.51" personId="{79160F3F-A2CD-4B5D-ACD4-80E02EA51DFF}" id="{E92C1B94-7DD2-4A10-9DF5-9B805106DE4E}">
    <text>12-15-2025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2-04T19:26:30.80" personId="{79160F3F-A2CD-4B5D-ACD4-80E02EA51DFF}" id="{0C95F6B4-8B91-4161-B06E-21D72043565E}">
    <text>12-4-2025 Confirmed Actual Completed Footage.</text>
  </threadedComment>
  <threadedComment ref="Y25" dT="2025-12-04T19:27:03.17" personId="{79160F3F-A2CD-4B5D-ACD4-80E02EA51DFF}" id="{8C01FA11-9C23-43E9-BCC5-121B79375EB5}">
    <text>12-4-2025 Conduit Placement Confirmed Completed.</text>
  </threadedComment>
  <threadedComment ref="W26" dT="2025-11-28T18:51:56.92" personId="{79160F3F-A2CD-4B5D-ACD4-80E02EA51DFF}" id="{D31C4FDD-71C5-48A1-AF7B-D00DAF9BBE9A}">
    <text>12-4-2025 Confirmed Actual Completed Footage.</text>
  </threadedComment>
  <threadedComment ref="Y26" dT="2025-11-28T18:52:25.95" personId="{79160F3F-A2CD-4B5D-ACD4-80E02EA51DFF}" id="{F54E00BC-6DB3-4AC5-BC14-56EB60B697A2}">
    <text>12-4-2025 Conduit Placement Confirmed Completed.</text>
  </threadedComment>
  <threadedComment ref="V27" dT="2025-11-03T19:15:59.17" personId="{79160F3F-A2CD-4B5D-ACD4-80E02EA51DFF}" id="{441BC127-1C9E-43FC-87FE-A134C45FF164}">
    <text>11-3-2025 Additional Footage Has Been Added From D-HWP1305 As Per Tillman.</text>
  </threadedComment>
  <threadedComment ref="W27" dT="2025-11-28T18:58:22.35" personId="{79160F3F-A2CD-4B5D-ACD4-80E02EA51DFF}" id="{C6A508DD-AA83-4E5C-8506-BA13B3B84D12}">
    <text>11-28-2025 Confirmed Actual Completed Footage.</text>
  </threadedComment>
  <threadedComment ref="Y27" dT="2025-11-28T18:58:44.10" personId="{79160F3F-A2CD-4B5D-ACD4-80E02EA51DFF}" id="{5578B82B-78E5-44A8-862A-2388345A8514}">
    <text>11-28-2025 Conduit Placement Confirmed Completed.</text>
  </threadedComment>
  <threadedComment ref="W28" dT="2025-12-16T15:47:09.70" personId="{79160F3F-A2CD-4B5D-ACD4-80E02EA51DFF}" id="{E0C01A57-3B7E-44F1-B8F9-F8EE72230F70}">
    <text>12-16-2025 Confirmed Actual Completed Footage.</text>
  </threadedComment>
  <threadedComment ref="Y28" dT="2025-12-16T15:47:35.16" personId="{79160F3F-A2CD-4B5D-ACD4-80E02EA51DFF}" id="{5C8B43E7-105A-473B-81D7-BDA042E3213F}">
    <text>12-16-2025 Conduit Placement Confirmed Completed.</text>
  </threadedComment>
  <threadedComment ref="W29" dT="2025-12-16T17:15:51.97" personId="{79160F3F-A2CD-4B5D-ACD4-80E02EA51DFF}" id="{BFD4229F-4186-45D9-BBE5-E2BC9507D21B}">
    <text>12-16-2025 Confirmed Actual Completed Footage.</text>
  </threadedComment>
  <threadedComment ref="Y29" dT="2025-12-16T17:16:16.21" personId="{79160F3F-A2CD-4B5D-ACD4-80E02EA51DFF}" id="{68258D12-88CD-4F51-84DD-12272B66ECF8}">
    <text>12-16-2025 Conduit Placement Confirmed Completed.</text>
  </threadedComment>
  <threadedComment ref="W30" dT="2025-12-12T19:42:03.57" personId="{79160F3F-A2CD-4B5D-ACD4-80E02EA51DFF}" id="{9F71BBED-3BF7-4251-B0D8-5ED80195A951}">
    <text>12-12-2025 Confirmed Actual Completed Footage.</text>
  </threadedComment>
  <threadedComment ref="Y30" dT="2025-12-12T19:42:25.87" personId="{79160F3F-A2CD-4B5D-ACD4-80E02EA51DFF}" id="{E2AD0DE0-B8AB-4B59-A8BB-B322FAECCC1B}">
    <text>12-12-2025 Conduit Placement Confirmed Completed.</text>
  </threadedComment>
  <threadedComment ref="W31" dT="2026-01-02T16:54:27.94" personId="{79160F3F-A2CD-4B5D-ACD4-80E02EA51DFF}" id="{63DC2BF7-E3BD-4A3B-925E-9AA3DEFB9F74}">
    <text>1-2-2025 Confirmed Actual Completed Footage.</text>
  </threadedComment>
  <threadedComment ref="Y31" dT="2026-01-02T16:54:54.19" personId="{79160F3F-A2CD-4B5D-ACD4-80E02EA51DFF}" id="{C6C45427-57B3-409D-8284-3E56620EF7B5}">
    <text>1-2-2025 Conduit Placement Confirmed Completed.</text>
  </threadedComment>
  <threadedComment ref="W32" dT="2025-10-10T15:05:39.13" personId="{79160F3F-A2CD-4B5D-ACD4-80E02EA51DFF}" id="{2CBEF4AA-DB26-413B-B382-8494B31407AA}">
    <text>10-10-2025 Confirmed Actual Completed Footage.</text>
  </threadedComment>
  <threadedComment ref="Y32" dT="2025-10-10T15:06:03.69" personId="{79160F3F-A2CD-4B5D-ACD4-80E02EA51DFF}" id="{19039741-B302-4595-A60C-2B6369D1C9D3}">
    <text>10-10-2025 Conduit Placement Confirmed Completed.</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0-16T19:26:29.89" personId="{79160F3F-A2CD-4B5D-ACD4-80E02EA51DFF}" id="{B415638A-B245-48EC-9F9A-1A0A6CF82D5B}">
    <text>10-16-2025 Confirmed Actual Completed Footage.</text>
  </threadedComment>
  <threadedComment ref="Y38" dT="2025-10-16T19:26:55.50" personId="{79160F3F-A2CD-4B5D-ACD4-80E02EA51DFF}" id="{6B879B61-5261-4F7B-AAB1-C4C3AEF9B2BB}">
    <text>10-15-2025 Conduit Placement Confirmed Completed.</text>
  </threadedComment>
  <threadedComment ref="W39" dT="2025-11-03T17:53:22.59" personId="{79160F3F-A2CD-4B5D-ACD4-80E02EA51DFF}" id="{80F46166-46B8-4CC4-B4F1-DE8A1B54C9A7}">
    <text>11-3-2025 Confirmed Actual Completed Footage.</text>
  </threadedComment>
  <threadedComment ref="Y39" dT="2025-11-03T17:53:44.56" personId="{79160F3F-A2CD-4B5D-ACD4-80E02EA51DFF}" id="{4EF3C94F-8140-47F7-AD49-85A28B6A33FE}">
    <text>11-3-2025 Conduit Placement Confirmed Completed.</text>
  </threadedComment>
  <threadedComment ref="W40" dT="2025-06-20T19:39:03.06" personId="{79160F3F-A2CD-4B5D-ACD4-80E02EA51DFF}" id="{CC40A7D8-5906-42FB-A5D9-69120FF4A2C4}">
    <text xml:space="preserve">6-20-2025 Confirmed Actual Completed Footage. </text>
  </threadedComment>
  <threadedComment ref="Y40" dT="2025-06-20T19:39:32.58" personId="{79160F3F-A2CD-4B5D-ACD4-80E02EA51DFF}" id="{B2589FCF-3DBB-41F2-81E7-5D592AA39CF7}">
    <text>6-20-2025 Conduit Placement Confirmed Completed.</text>
  </threadedComment>
  <threadedComment ref="W41" dT="2025-10-14T17:33:08.90" personId="{79160F3F-A2CD-4B5D-ACD4-80E02EA51DFF}" id="{A629BC0A-38F4-473C-90B1-DC6F2336AEA2}">
    <text>10-14-2025 Confirmed Actual Completed Footage.</text>
  </threadedComment>
  <threadedComment ref="Y41" dT="2025-10-14T17:33:44.26" personId="{79160F3F-A2CD-4B5D-ACD4-80E02EA51DFF}" id="{3E90AFEE-A70F-43C0-AF5B-F86CA685DC46}">
    <text>10-14-2025 Conduit Placement Confirmed Completed.</text>
  </threadedComment>
  <threadedComment ref="W42" dT="2025-10-14T20:26:45.59" personId="{79160F3F-A2CD-4B5D-ACD4-80E02EA51DFF}" id="{465A2905-A329-4503-8DEC-2EEA8A79B006}">
    <text>10-14-2025 Confirmed Actual Completed Footage.</text>
  </threadedComment>
  <threadedComment ref="Y42" dT="2025-10-14T20:26:23.39" personId="{79160F3F-A2CD-4B5D-ACD4-80E02EA51DFF}" id="{9A691B37-CE82-42F2-AC43-8EFA55092A3E}">
    <text>10-14-2025 Conduit Placement Confirmed Completed.</text>
  </threadedComment>
  <threadedComment ref="P43" dT="2025-01-29T22:12:53.88" personId="{79160F3F-A2CD-4B5D-ACD4-80E02EA51DFF}" id="{FEDD3394-1D13-4A84-B4CA-D64C2F1A7CAB}">
    <text>Assigned To Barlett Fiber Per Curtis On 1/29/2025.</text>
  </threadedComment>
  <threadedComment ref="W43" dT="2025-07-02T15:20:11.02" personId="{79160F3F-A2CD-4B5D-ACD4-80E02EA51DFF}" id="{F9C7EC11-2ACF-424E-B1CB-BBA75BB5AE0F}">
    <text xml:space="preserve">7-2-2025 Confirmed Actual Completed Footage. </text>
  </threadedComment>
  <threadedComment ref="Y43" dT="2025-07-02T15:21:07.16" personId="{79160F3F-A2CD-4B5D-ACD4-80E02EA51DFF}" id="{8B30C9D1-0B10-468F-B8EF-8A57CF0F1B2E}">
    <text>7-2-2025 Conduit Placement Confirmed Completed.</text>
  </threadedComment>
  <threadedComment ref="W44" dT="2025-06-03T12:08:03.03" personId="{79160F3F-A2CD-4B5D-ACD4-80E02EA51DFF}" id="{0E9D3056-B2CB-4555-A6EA-6981A3B7EDC8}">
    <text>6-2-2025 Confirmed Actual Completed Footage.</text>
  </threadedComment>
  <threadedComment ref="Y44" dT="2025-06-03T12:08:42.40" personId="{79160F3F-A2CD-4B5D-ACD4-80E02EA51DFF}" id="{62805672-66FB-4CF4-A06E-C7004853B84B}">
    <text>6-2-2025 Conduit Placement Confirmed Completed.</text>
  </threadedComment>
  <threadedComment ref="W45" dT="2025-11-28T18:42:32.18" personId="{79160F3F-A2CD-4B5D-ACD4-80E02EA51DFF}" id="{701A48F9-EDD0-4CB3-A929-E6D59A39DAA8}">
    <text>11-28-2025 Confirmed Actual Completed Footage.</text>
  </threadedComment>
  <threadedComment ref="Y45" dT="2025-11-28T18:43:28.34" personId="{79160F3F-A2CD-4B5D-ACD4-80E02EA51DFF}" id="{691A965F-3A5A-411A-916D-815F4C9B4A40}">
    <text>11-28-2025 Conduit Placement Confirmed Completed.</text>
  </threadedComment>
  <threadedComment ref="W46" dT="2025-10-17T13:31:43.96" personId="{79160F3F-A2CD-4B5D-ACD4-80E02EA51DFF}" id="{D1FC0BD7-5584-4035-B3C3-6F9772CFA6DD}">
    <text>10-17-2025 Confirmed Actual Completed Footage.</text>
  </threadedComment>
  <threadedComment ref="Y46" dT="2025-10-17T13:32:09.39" personId="{79160F3F-A2CD-4B5D-ACD4-80E02EA51DFF}" id="{8E21C142-2456-41D1-ACC8-4D2719DA9603}">
    <text>10-17-2025 Conduit Placement Confirmed Completed.</text>
  </threadedComment>
  <threadedComment ref="W47" dT="2025-10-24T14:15:47.33" personId="{79160F3F-A2CD-4B5D-ACD4-80E02EA51DFF}" id="{D9303B93-D173-4366-BDEB-3E4266DB3DC6}">
    <text>10-24-2025 Confirmed Actual Completed Footage.</text>
  </threadedComment>
  <threadedComment ref="Y47" dT="2025-10-24T14:16:13.77" personId="{79160F3F-A2CD-4B5D-ACD4-80E02EA51DFF}" id="{80B7A6D2-194F-4CF2-9190-798BE5CAAEA9}">
    <text>10-23-2025 Conduit Placement Confirmed Completed.</text>
  </threadedComment>
  <threadedComment ref="J48" dT="2025-02-27T00:46:40.49" personId="{79160F3F-A2CD-4B5D-ACD4-80E02EA51DFF}" id="{48EBFF3E-0BF6-40E0-A12C-5A78A9D29B13}">
    <text>2-26-2025 FDOT Permit Activated As Per Dustin From Tillman.</text>
  </threadedComment>
  <threadedComment ref="W48" dT="2025-04-07T20:33:57.07" personId="{79160F3F-A2CD-4B5D-ACD4-80E02EA51DFF}" id="{85AB2E0A-D06B-460A-863C-34180CAFD107}">
    <text>4-7-2025 Design Change Per Tillman.</text>
  </threadedComment>
  <threadedComment ref="W48" dT="2025-06-10T13:50:44.48" personId="{79160F3F-A2CD-4B5D-ACD4-80E02EA51DFF}" id="{400DB249-F4D0-43E5-B954-DD2140CC1901}" parentId="{85AB2E0A-D06B-460A-863C-34180CAFD107}">
    <text>6-10-2025 Confirmed Actual Completed Footage.</text>
  </threadedComment>
  <threadedComment ref="Y48" dT="2025-06-10T13:51:26.28" personId="{79160F3F-A2CD-4B5D-ACD4-80E02EA51DFF}" id="{25A21FEB-3AC3-4FB8-BD25-D15DADCFCD79}">
    <text>6-10-2025 Conduit Placement Confirmed Completed.</text>
  </threadedComment>
  <threadedComment ref="V49" dT="2025-11-07T21:20:51.48" personId="{79160F3F-A2CD-4B5D-ACD4-80E02EA51DFF}" id="{524601F9-9485-4572-9107-E3D89DEA946B}">
    <text>11-7-2025 Additional Footage Added For Connection Conduit That Was Not Completed By The MDU Vendor.</text>
  </threadedComment>
  <threadedComment ref="W49" dT="2025-11-07T21:28:03.34" personId="{79160F3F-A2CD-4B5D-ACD4-80E02EA51DFF}" id="{9180AE7E-5480-41AD-845D-C2A6E8B4A96A}">
    <text>11-7-2025 Additional Footage Added For Connection Conduit That Was Not Completed By The MDU Vendor.</text>
  </threadedComment>
  <threadedComment ref="W49" dT="2025-12-31T16:43:31.93" personId="{79160F3F-A2CD-4B5D-ACD4-80E02EA51DFF}" id="{14E241FF-9181-45E5-86D5-F36CBCA464AE}" parentId="{9180AE7E-5480-41AD-845D-C2A6E8B4A96A}">
    <text>12-31-2025 Confirmed Actual Completed Footage.</text>
  </threadedComment>
  <threadedComment ref="Y49"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4" activePane="topRight" state="frozen"/>
      <selection pane="topRight" activeCell="M94" sqref="M94:O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1"/>
      <c r="K57" s="1451"/>
      <c r="L57" s="1346"/>
      <c r="M57" s="1226" t="s">
        <v>57</v>
      </c>
      <c r="N57" s="1452">
        <v>1035</v>
      </c>
      <c r="O57" s="1226" t="s">
        <v>57</v>
      </c>
      <c r="P57" s="1239" t="s">
        <v>58</v>
      </c>
      <c r="Q57" s="1453"/>
      <c r="R57" s="1453"/>
      <c r="S57" s="1453"/>
      <c r="T57" s="1453"/>
      <c r="U57" s="1453"/>
      <c r="V57" s="1454">
        <v>0</v>
      </c>
      <c r="W57" s="1455"/>
      <c r="X57" s="1455">
        <f>SUM(V57-W57)</f>
        <v>0</v>
      </c>
      <c r="Y57" s="662">
        <f>IFERROR($W57/$V57, 0)</f>
        <v>0</v>
      </c>
      <c r="Z57" s="1456"/>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7"/>
      <c r="I71" s="828" t="s">
        <v>55</v>
      </c>
      <c r="J71" s="831" t="s">
        <v>63</v>
      </c>
      <c r="K71" s="1451"/>
      <c r="L71" s="1348"/>
      <c r="M71" s="828" t="s">
        <v>57</v>
      </c>
      <c r="N71" s="1452">
        <v>36998.550000000003</v>
      </c>
      <c r="O71" s="828" t="s">
        <v>57</v>
      </c>
      <c r="P71" s="1239" t="s">
        <v>58</v>
      </c>
      <c r="Q71" s="1453"/>
      <c r="R71" s="1453"/>
      <c r="S71" s="1453"/>
      <c r="T71" s="1453"/>
      <c r="U71" s="1453"/>
      <c r="V71" s="1454">
        <v>2944</v>
      </c>
      <c r="W71" s="1455"/>
      <c r="X71" s="1455">
        <f>SUM(V71-W71)</f>
        <v>2944</v>
      </c>
      <c r="Y71" s="662">
        <f>IFERROR($W71/$V71, 0)</f>
        <v>0</v>
      </c>
      <c r="Z71" s="1456"/>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1"/>
      <c r="L80" s="1348"/>
      <c r="M80" s="1226" t="s">
        <v>57</v>
      </c>
      <c r="N80" s="1452">
        <v>118710.8</v>
      </c>
      <c r="O80" s="1226" t="s">
        <v>57</v>
      </c>
      <c r="P80" s="1208" t="s">
        <v>58</v>
      </c>
      <c r="Q80" s="1453"/>
      <c r="R80" s="1453"/>
      <c r="S80" s="1453"/>
      <c r="T80" s="1453"/>
      <c r="U80" s="1453"/>
      <c r="V80" s="1454">
        <v>9628</v>
      </c>
      <c r="W80" s="1455"/>
      <c r="X80" s="1455">
        <f>SUM(V80-W80)</f>
        <v>9628</v>
      </c>
      <c r="Y80" s="662">
        <f>IFERROR($W80/$V80, 0)</f>
        <v>0</v>
      </c>
      <c r="Z80" s="1453"/>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7">
        <v>109</v>
      </c>
      <c r="I87" s="828" t="s">
        <v>55</v>
      </c>
      <c r="J87" s="831" t="s">
        <v>63</v>
      </c>
      <c r="K87" s="1451"/>
      <c r="L87" s="1348"/>
      <c r="M87" s="1457" t="s">
        <v>91</v>
      </c>
      <c r="N87" s="1452"/>
      <c r="O87" s="1457" t="s">
        <v>91</v>
      </c>
      <c r="P87" s="1458" t="s">
        <v>58</v>
      </c>
      <c r="Q87" s="1453"/>
      <c r="R87" s="1453"/>
      <c r="S87" s="1453"/>
      <c r="T87" s="1453"/>
      <c r="U87" s="1453"/>
      <c r="V87" s="1454">
        <v>6825</v>
      </c>
      <c r="W87" s="1455"/>
      <c r="X87" s="1455">
        <f>SUM(V87-W87)</f>
        <v>6825</v>
      </c>
      <c r="Y87" s="662">
        <f>IFERROR($W87/$V87, 0)</f>
        <v>0</v>
      </c>
      <c r="Z87" s="1456"/>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7">
        <v>0</v>
      </c>
      <c r="I94" s="828" t="s">
        <v>55</v>
      </c>
      <c r="J94" s="1206" t="s">
        <v>90</v>
      </c>
      <c r="K94" s="1206" t="s">
        <v>76</v>
      </c>
      <c r="L94" s="1348"/>
      <c r="M94" s="1226" t="s">
        <v>91</v>
      </c>
      <c r="N94" s="1237"/>
      <c r="O94" s="1226" t="s">
        <v>91</v>
      </c>
      <c r="P94" s="1239" t="s">
        <v>58</v>
      </c>
      <c r="Q94" s="1453"/>
      <c r="R94" s="1453"/>
      <c r="S94" s="1453"/>
      <c r="T94" s="1453"/>
      <c r="U94" s="1453"/>
      <c r="V94" s="1454">
        <v>6202</v>
      </c>
      <c r="W94" s="1455"/>
      <c r="X94" s="1455">
        <f>SUM(V94-W94)</f>
        <v>6202</v>
      </c>
      <c r="Y94" s="662">
        <f>IFERROR($W94/$V94, 0)</f>
        <v>0</v>
      </c>
      <c r="Z94" s="1456"/>
      <c r="AA94" s="1288">
        <v>0</v>
      </c>
      <c r="AB94" s="1288">
        <v>0</v>
      </c>
      <c r="AC94" s="1287">
        <v>0</v>
      </c>
      <c r="AD94" s="1213" t="s">
        <v>302</v>
      </c>
      <c r="AE94" s="1274"/>
    </row>
    <row r="95" spans="1:31" ht="24.75" customHeight="1">
      <c r="A95" s="1442" t="s">
        <v>303</v>
      </c>
      <c r="B95" s="1016" t="s">
        <v>286</v>
      </c>
      <c r="C95" s="1425">
        <v>46051</v>
      </c>
      <c r="D95" s="1347"/>
      <c r="E95" s="1348"/>
      <c r="F95" s="1347"/>
      <c r="G95" s="1225"/>
      <c r="H95" s="1457">
        <v>0</v>
      </c>
      <c r="I95" s="828" t="s">
        <v>55</v>
      </c>
      <c r="J95" s="1206" t="s">
        <v>90</v>
      </c>
      <c r="K95" s="1206" t="s">
        <v>76</v>
      </c>
      <c r="L95" s="1348"/>
      <c r="M95" s="1226" t="s">
        <v>91</v>
      </c>
      <c r="N95" s="1237"/>
      <c r="O95" s="1226" t="s">
        <v>91</v>
      </c>
      <c r="P95" s="1239" t="s">
        <v>58</v>
      </c>
      <c r="Q95" s="1453"/>
      <c r="R95" s="1453"/>
      <c r="S95" s="1453"/>
      <c r="T95" s="1453"/>
      <c r="U95" s="1453"/>
      <c r="V95" s="1459">
        <v>545</v>
      </c>
      <c r="W95" s="1460"/>
      <c r="X95" s="1460">
        <f>SUM(V95-W95)</f>
        <v>545</v>
      </c>
      <c r="Y95" s="657">
        <f>IFERROR($W95/$V95, 0)</f>
        <v>0</v>
      </c>
      <c r="Z95" s="1461"/>
      <c r="AA95" s="1288">
        <v>0</v>
      </c>
      <c r="AB95" s="1288">
        <v>0</v>
      </c>
      <c r="AC95" s="1287">
        <v>0</v>
      </c>
      <c r="AD95" s="1213" t="s">
        <v>302</v>
      </c>
      <c r="AE95" s="1274"/>
    </row>
    <row r="96" spans="1:31" ht="24.75" customHeight="1">
      <c r="A96" s="1442" t="s">
        <v>304</v>
      </c>
      <c r="B96" s="1016" t="s">
        <v>286</v>
      </c>
      <c r="C96" s="1425">
        <v>46051</v>
      </c>
      <c r="D96" s="1347"/>
      <c r="E96" s="1348"/>
      <c r="F96" s="1347"/>
      <c r="G96" s="1225"/>
      <c r="H96" s="1457">
        <v>0</v>
      </c>
      <c r="I96" s="828" t="s">
        <v>55</v>
      </c>
      <c r="J96" s="1206" t="s">
        <v>90</v>
      </c>
      <c r="K96" s="1206" t="s">
        <v>76</v>
      </c>
      <c r="L96" s="1348"/>
      <c r="M96" s="1226" t="s">
        <v>91</v>
      </c>
      <c r="N96" s="1237"/>
      <c r="O96" s="1226" t="s">
        <v>91</v>
      </c>
      <c r="P96" s="1239" t="s">
        <v>58</v>
      </c>
      <c r="Q96" s="1453"/>
      <c r="R96" s="1453"/>
      <c r="S96" s="1453"/>
      <c r="T96" s="1453"/>
      <c r="U96" s="1453"/>
      <c r="V96" s="1459">
        <v>1172</v>
      </c>
      <c r="W96" s="1460"/>
      <c r="X96" s="1460">
        <f>SUM(V96-W96)</f>
        <v>1172</v>
      </c>
      <c r="Y96" s="657">
        <f>IFERROR($W96/$V96, 0)</f>
        <v>0</v>
      </c>
      <c r="Z96" s="1461"/>
      <c r="AA96" s="1288">
        <v>0</v>
      </c>
      <c r="AB96" s="1288">
        <v>0</v>
      </c>
      <c r="AC96" s="1287">
        <v>0</v>
      </c>
      <c r="AD96" s="1213" t="s">
        <v>302</v>
      </c>
      <c r="AE96" s="1274"/>
    </row>
    <row r="97" spans="1:31" ht="24.75" customHeight="1">
      <c r="A97" s="1442" t="s">
        <v>305</v>
      </c>
      <c r="B97" s="1016" t="s">
        <v>286</v>
      </c>
      <c r="C97" s="1425">
        <v>46051</v>
      </c>
      <c r="D97" s="1347"/>
      <c r="E97" s="1348"/>
      <c r="F97" s="1347"/>
      <c r="G97" s="1225"/>
      <c r="H97" s="1457">
        <v>0</v>
      </c>
      <c r="I97" s="828" t="s">
        <v>55</v>
      </c>
      <c r="J97" s="1206" t="s">
        <v>90</v>
      </c>
      <c r="K97" s="1206" t="s">
        <v>76</v>
      </c>
      <c r="L97" s="1348"/>
      <c r="M97" s="1226" t="s">
        <v>91</v>
      </c>
      <c r="N97" s="1237"/>
      <c r="O97" s="1226" t="s">
        <v>91</v>
      </c>
      <c r="P97" s="1239" t="s">
        <v>58</v>
      </c>
      <c r="Q97" s="1453"/>
      <c r="R97" s="1453"/>
      <c r="S97" s="1453"/>
      <c r="T97" s="1453"/>
      <c r="U97" s="1453"/>
      <c r="V97" s="1459">
        <v>4184</v>
      </c>
      <c r="W97" s="1460"/>
      <c r="X97" s="1460">
        <f>SUM(V97-W97)</f>
        <v>4184</v>
      </c>
      <c r="Y97" s="657">
        <f>IFERROR($W97/$V97, 0)</f>
        <v>0</v>
      </c>
      <c r="Z97" s="1461"/>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2"/>
      <c r="R109" s="1368"/>
      <c r="S109" s="1368"/>
      <c r="T109" s="1412"/>
      <c r="U109" s="1368"/>
      <c r="V109" s="31">
        <v>5699</v>
      </c>
      <c r="W109" s="1460"/>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2"/>
      <c r="R110" s="1368"/>
      <c r="S110" s="1368"/>
      <c r="T110" s="1412"/>
      <c r="U110" s="1368"/>
      <c r="V110" s="31">
        <v>5860</v>
      </c>
      <c r="W110" s="1460"/>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2"/>
      <c r="R111" s="1368"/>
      <c r="S111" s="1368"/>
      <c r="T111" s="1412"/>
      <c r="U111" s="1368"/>
      <c r="V111" s="31">
        <v>6021</v>
      </c>
      <c r="W111" s="1460"/>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2"/>
      <c r="R112" s="1368"/>
      <c r="S112" s="1368"/>
      <c r="T112" s="1412"/>
      <c r="U112" s="1368"/>
      <c r="V112" s="31">
        <v>6432</v>
      </c>
      <c r="W112" s="1460"/>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2"/>
      <c r="R113" s="1368"/>
      <c r="S113" s="1368"/>
      <c r="T113" s="1412"/>
      <c r="U113" s="1368"/>
      <c r="V113" s="31">
        <v>4836</v>
      </c>
      <c r="W113" s="1460"/>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2"/>
      <c r="R114" s="1368"/>
      <c r="S114" s="1368"/>
      <c r="T114" s="1412"/>
      <c r="U114" s="1368"/>
      <c r="V114" s="31">
        <v>7145</v>
      </c>
      <c r="W114" s="1460"/>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3"/>
      <c r="R115" s="1370"/>
      <c r="S115" s="1370"/>
      <c r="T115" s="1413"/>
      <c r="U115" s="1368"/>
      <c r="V115" s="31">
        <v>7341</v>
      </c>
      <c r="W115" s="1460"/>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2"/>
      <c r="R116" s="1368"/>
      <c r="S116" s="1368"/>
      <c r="T116" s="1412"/>
      <c r="U116" s="1368"/>
      <c r="V116" s="31">
        <v>1284</v>
      </c>
      <c r="W116" s="1460"/>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4"/>
      <c r="R117" s="1370"/>
      <c r="S117" s="1370"/>
      <c r="T117" s="1413"/>
      <c r="U117" s="1368"/>
      <c r="V117" s="31">
        <v>4022</v>
      </c>
      <c r="W117" s="1460"/>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5"/>
      <c r="R130" s="1368"/>
      <c r="S130" s="1368"/>
      <c r="T130" s="1368"/>
      <c r="U130" s="1368"/>
      <c r="V130" s="1268">
        <v>8641</v>
      </c>
      <c r="W130" s="1460"/>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4"/>
      <c r="R131" s="1370"/>
      <c r="S131" s="1370"/>
      <c r="T131" s="1370"/>
      <c r="U131" s="1370"/>
      <c r="V131" s="1372">
        <v>7502</v>
      </c>
      <c r="W131" s="1466"/>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4"/>
      <c r="R132" s="1370"/>
      <c r="S132" s="1370"/>
      <c r="T132" s="1370"/>
      <c r="U132" s="1370"/>
      <c r="V132" s="1372">
        <v>3682</v>
      </c>
      <c r="W132" s="1466"/>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25" activePane="topRight" state="frozen"/>
      <selection pane="topRight" activeCell="A34" sqref="A34:XF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4" si="6">SUM(V14-W14)</f>
        <v>46</v>
      </c>
      <c r="Y14" s="662">
        <f t="shared" ref="Y14:Y24"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926" t="s">
        <v>414</v>
      </c>
      <c r="B24" s="465" t="s">
        <v>107</v>
      </c>
      <c r="C24" s="476">
        <v>45976</v>
      </c>
      <c r="D24" s="467" t="s">
        <v>127</v>
      </c>
      <c r="E24" s="467">
        <v>45959</v>
      </c>
      <c r="F24" s="465" t="s">
        <v>415</v>
      </c>
      <c r="G24" s="682"/>
      <c r="H24" s="469">
        <v>69</v>
      </c>
      <c r="I24" s="661" t="s">
        <v>363</v>
      </c>
      <c r="J24" s="469" t="s">
        <v>63</v>
      </c>
      <c r="K24" s="469"/>
      <c r="L24" s="467">
        <v>45962</v>
      </c>
      <c r="M24" s="469" t="s">
        <v>57</v>
      </c>
      <c r="N24" s="542">
        <v>37418</v>
      </c>
      <c r="O24" s="469" t="s">
        <v>57</v>
      </c>
      <c r="P24" s="626" t="s">
        <v>364</v>
      </c>
      <c r="Q24" s="471">
        <v>45961</v>
      </c>
      <c r="R24" s="552"/>
      <c r="S24" s="552"/>
      <c r="T24" s="552"/>
      <c r="U24" s="552"/>
      <c r="V24" s="472">
        <v>2851</v>
      </c>
      <c r="W24" s="627">
        <v>2838</v>
      </c>
      <c r="X24" s="472">
        <f t="shared" si="6"/>
        <v>13</v>
      </c>
      <c r="Y24" s="662">
        <f t="shared" si="7"/>
        <v>0.99544019642230797</v>
      </c>
      <c r="Z24" s="479">
        <v>45973</v>
      </c>
      <c r="AA24" s="355">
        <v>1</v>
      </c>
      <c r="AB24" s="355">
        <v>1</v>
      </c>
      <c r="AC24" s="787">
        <v>0</v>
      </c>
      <c r="AD24" s="43" t="s">
        <v>416</v>
      </c>
    </row>
    <row r="25" spans="1:30" ht="39.75" customHeight="1">
      <c r="A25" s="926" t="s">
        <v>417</v>
      </c>
      <c r="B25" s="465" t="s">
        <v>107</v>
      </c>
      <c r="C25" s="467">
        <v>45991</v>
      </c>
      <c r="D25" s="467" t="s">
        <v>127</v>
      </c>
      <c r="E25" s="467">
        <v>45966</v>
      </c>
      <c r="F25" s="465" t="s">
        <v>108</v>
      </c>
      <c r="G25" s="682" t="s">
        <v>418</v>
      </c>
      <c r="H25" s="469">
        <v>83</v>
      </c>
      <c r="I25" s="661" t="s">
        <v>363</v>
      </c>
      <c r="J25" s="469" t="s">
        <v>63</v>
      </c>
      <c r="K25" s="469"/>
      <c r="L25" s="467">
        <v>45969</v>
      </c>
      <c r="M25" s="469" t="s">
        <v>57</v>
      </c>
      <c r="N25" s="542">
        <v>66402</v>
      </c>
      <c r="O25" s="469" t="s">
        <v>57</v>
      </c>
      <c r="P25" s="626" t="s">
        <v>364</v>
      </c>
      <c r="Q25" s="471">
        <v>45969</v>
      </c>
      <c r="R25" s="552"/>
      <c r="S25" s="552"/>
      <c r="T25" s="552"/>
      <c r="U25" s="552"/>
      <c r="V25" s="472">
        <v>5324</v>
      </c>
      <c r="W25" s="627">
        <v>5304</v>
      </c>
      <c r="X25" s="472">
        <f t="shared" ref="X25" si="14">SUM(V25-W25)</f>
        <v>20</v>
      </c>
      <c r="Y25" s="662">
        <f t="shared" ref="Y25" si="15">IFERROR($W25/$V25, 0)</f>
        <v>0.99624342599549209</v>
      </c>
      <c r="Z25" s="479">
        <v>45979</v>
      </c>
      <c r="AA25" s="355">
        <v>1</v>
      </c>
      <c r="AB25" s="355">
        <v>1</v>
      </c>
      <c r="AC25" s="787">
        <v>0</v>
      </c>
      <c r="AD25" s="474" t="s">
        <v>419</v>
      </c>
    </row>
    <row r="26" spans="1:30" ht="39.75" customHeight="1">
      <c r="A26" s="926" t="s">
        <v>420</v>
      </c>
      <c r="B26" s="465" t="s">
        <v>107</v>
      </c>
      <c r="C26" s="467">
        <v>46001</v>
      </c>
      <c r="D26" s="467" t="s">
        <v>127</v>
      </c>
      <c r="E26" s="467">
        <v>45966</v>
      </c>
      <c r="F26" s="465" t="s">
        <v>108</v>
      </c>
      <c r="G26" s="682" t="s">
        <v>421</v>
      </c>
      <c r="H26" s="469">
        <v>77</v>
      </c>
      <c r="I26" s="661" t="s">
        <v>363</v>
      </c>
      <c r="J26" s="469" t="s">
        <v>63</v>
      </c>
      <c r="K26" s="469"/>
      <c r="L26" s="467">
        <v>45967</v>
      </c>
      <c r="M26" s="469" t="s">
        <v>57</v>
      </c>
      <c r="N26" s="542">
        <v>63997.35</v>
      </c>
      <c r="O26" s="469" t="s">
        <v>57</v>
      </c>
      <c r="P26" s="626" t="s">
        <v>364</v>
      </c>
      <c r="Q26" s="471">
        <v>45967</v>
      </c>
      <c r="R26" s="552"/>
      <c r="S26" s="552"/>
      <c r="T26" s="552"/>
      <c r="U26" s="552"/>
      <c r="V26" s="472">
        <v>5053</v>
      </c>
      <c r="W26" s="627">
        <v>4915</v>
      </c>
      <c r="X26" s="472">
        <f>SUM(V26-W26)</f>
        <v>138</v>
      </c>
      <c r="Y26" s="662">
        <f>IFERROR($W26/$V26, 0)</f>
        <v>0.97268949139125271</v>
      </c>
      <c r="Z26" s="479">
        <v>45995</v>
      </c>
      <c r="AA26" s="355">
        <v>1</v>
      </c>
      <c r="AB26" s="355">
        <v>0</v>
      </c>
      <c r="AC26" s="787">
        <v>0</v>
      </c>
      <c r="AD26" s="757" t="s">
        <v>422</v>
      </c>
    </row>
    <row r="27" spans="1:30" ht="39.75" customHeight="1">
      <c r="A27" s="1277" t="s">
        <v>423</v>
      </c>
      <c r="B27" s="1205" t="s">
        <v>107</v>
      </c>
      <c r="C27" s="1204">
        <v>46001</v>
      </c>
      <c r="D27" s="1204" t="s">
        <v>127</v>
      </c>
      <c r="E27" s="1204">
        <v>46009</v>
      </c>
      <c r="F27" s="1205" t="s">
        <v>108</v>
      </c>
      <c r="G27" s="1205" t="s">
        <v>424</v>
      </c>
      <c r="H27" s="1206">
        <v>56</v>
      </c>
      <c r="I27" s="661" t="s">
        <v>363</v>
      </c>
      <c r="J27" s="1206" t="s">
        <v>63</v>
      </c>
      <c r="K27" s="1206"/>
      <c r="L27" s="1204">
        <v>45965</v>
      </c>
      <c r="M27" s="1206" t="s">
        <v>57</v>
      </c>
      <c r="N27" s="1207">
        <v>20705</v>
      </c>
      <c r="O27" s="1206" t="s">
        <v>57</v>
      </c>
      <c r="P27" s="1278" t="s">
        <v>364</v>
      </c>
      <c r="Q27" s="1209">
        <v>45965</v>
      </c>
      <c r="R27" s="1256"/>
      <c r="S27" s="1256"/>
      <c r="T27" s="1256"/>
      <c r="U27" s="1256"/>
      <c r="V27" s="1210">
        <v>900</v>
      </c>
      <c r="W27" s="1279">
        <v>900</v>
      </c>
      <c r="X27" s="1210">
        <f t="shared" ref="X27" si="16">SUM(V27-W27)</f>
        <v>0</v>
      </c>
      <c r="Y27" s="662">
        <f t="shared" ref="Y27" si="17">IFERROR($W27/$V27, 0)</f>
        <v>1</v>
      </c>
      <c r="Z27" s="1229">
        <v>46020</v>
      </c>
      <c r="AA27" s="1212">
        <v>1</v>
      </c>
      <c r="AB27" s="1212">
        <v>0</v>
      </c>
      <c r="AC27" s="645">
        <v>0</v>
      </c>
      <c r="AD27" s="1213" t="s">
        <v>425</v>
      </c>
    </row>
    <row r="28" spans="1:30" ht="39.75" customHeight="1">
      <c r="A28" s="926" t="s">
        <v>426</v>
      </c>
      <c r="B28" s="465" t="s">
        <v>107</v>
      </c>
      <c r="C28" s="467">
        <v>45975</v>
      </c>
      <c r="D28" s="467" t="s">
        <v>427</v>
      </c>
      <c r="E28" s="467">
        <v>45982</v>
      </c>
      <c r="F28" s="642" t="s">
        <v>108</v>
      </c>
      <c r="G28" s="682" t="s">
        <v>428</v>
      </c>
      <c r="H28" s="469">
        <v>0</v>
      </c>
      <c r="I28" s="469" t="s">
        <v>363</v>
      </c>
      <c r="J28" s="469" t="s">
        <v>63</v>
      </c>
      <c r="K28" s="469"/>
      <c r="L28" s="467">
        <v>45968</v>
      </c>
      <c r="M28" s="469" t="s">
        <v>57</v>
      </c>
      <c r="N28" s="542">
        <v>12840.7</v>
      </c>
      <c r="O28" s="469" t="s">
        <v>57</v>
      </c>
      <c r="P28" s="626" t="s">
        <v>364</v>
      </c>
      <c r="Q28" s="124">
        <v>45937</v>
      </c>
      <c r="R28" s="652"/>
      <c r="S28" s="471"/>
      <c r="T28" s="124"/>
      <c r="U28" s="124"/>
      <c r="V28" s="1032">
        <v>911</v>
      </c>
      <c r="W28" s="1096">
        <v>974</v>
      </c>
      <c r="X28" s="106">
        <f>SUM(V28-W28)</f>
        <v>-63</v>
      </c>
      <c r="Y28" s="1366">
        <f>IFERROR($W28/$V28, 0)</f>
        <v>1.0691547749725576</v>
      </c>
      <c r="Z28" s="479">
        <v>45985</v>
      </c>
      <c r="AA28" s="355">
        <v>1</v>
      </c>
      <c r="AB28" s="355">
        <v>1</v>
      </c>
      <c r="AC28" s="963">
        <v>0</v>
      </c>
      <c r="AD28" s="757" t="s">
        <v>429</v>
      </c>
    </row>
    <row r="29" spans="1:30" ht="39.75" customHeight="1">
      <c r="A29" s="926" t="s">
        <v>430</v>
      </c>
      <c r="B29" s="465" t="s">
        <v>107</v>
      </c>
      <c r="C29" s="488">
        <v>45838</v>
      </c>
      <c r="D29" s="488" t="s">
        <v>127</v>
      </c>
      <c r="E29" s="476">
        <v>45786</v>
      </c>
      <c r="F29" s="488" t="s">
        <v>158</v>
      </c>
      <c r="G29" s="937" t="s">
        <v>431</v>
      </c>
      <c r="H29" s="469">
        <v>0</v>
      </c>
      <c r="I29" s="470" t="s">
        <v>363</v>
      </c>
      <c r="J29" s="469" t="s">
        <v>63</v>
      </c>
      <c r="K29" s="469"/>
      <c r="L29" s="467">
        <v>45790</v>
      </c>
      <c r="M29" s="469" t="s">
        <v>57</v>
      </c>
      <c r="N29" s="542">
        <v>63283</v>
      </c>
      <c r="O29" s="469" t="s">
        <v>57</v>
      </c>
      <c r="P29" s="626" t="s">
        <v>364</v>
      </c>
      <c r="Q29" s="471">
        <v>45790</v>
      </c>
      <c r="R29" s="471">
        <v>45813</v>
      </c>
      <c r="S29" s="471">
        <v>45814</v>
      </c>
      <c r="T29" s="124">
        <v>45828</v>
      </c>
      <c r="U29" s="124">
        <v>45846</v>
      </c>
      <c r="V29" s="106">
        <v>5776</v>
      </c>
      <c r="W29" s="1010">
        <v>5776</v>
      </c>
      <c r="X29" s="106">
        <f t="shared" ref="X29:X66" si="18">SUM(V29-W29)</f>
        <v>0</v>
      </c>
      <c r="Y29" s="84">
        <f t="shared" ref="Y29:Y67" si="19">IFERROR($W29/$V29, 0)</f>
        <v>1</v>
      </c>
      <c r="Z29" s="652">
        <v>45796</v>
      </c>
      <c r="AA29" s="355">
        <v>1</v>
      </c>
      <c r="AB29" s="355">
        <v>1</v>
      </c>
      <c r="AC29" s="645">
        <v>0</v>
      </c>
      <c r="AD29" s="323" t="s">
        <v>432</v>
      </c>
    </row>
    <row r="30" spans="1:30" ht="39.75" customHeight="1">
      <c r="A30" s="926" t="s">
        <v>433</v>
      </c>
      <c r="B30" s="465" t="s">
        <v>107</v>
      </c>
      <c r="C30" s="467">
        <v>46021</v>
      </c>
      <c r="D30" s="465" t="s">
        <v>51</v>
      </c>
      <c r="E30" s="467" t="s">
        <v>52</v>
      </c>
      <c r="F30" s="465" t="s">
        <v>140</v>
      </c>
      <c r="G30" s="468" t="s">
        <v>434</v>
      </c>
      <c r="H30" s="469">
        <v>0</v>
      </c>
      <c r="I30" s="469" t="s">
        <v>363</v>
      </c>
      <c r="J30" s="469" t="s">
        <v>63</v>
      </c>
      <c r="K30" s="469"/>
      <c r="L30" s="467" t="s">
        <v>155</v>
      </c>
      <c r="M30" s="469" t="s">
        <v>57</v>
      </c>
      <c r="N30" s="542">
        <v>1931.75</v>
      </c>
      <c r="O30" s="469" t="s">
        <v>57</v>
      </c>
      <c r="P30" s="1061" t="s">
        <v>364</v>
      </c>
      <c r="Q30" s="124"/>
      <c r="R30" s="652"/>
      <c r="S30" s="471"/>
      <c r="T30" s="471"/>
      <c r="U30" s="471"/>
      <c r="V30" s="416">
        <v>0</v>
      </c>
      <c r="W30" s="581">
        <v>0</v>
      </c>
      <c r="X30" s="472">
        <f>SUM(V30-W30)</f>
        <v>0</v>
      </c>
      <c r="Y30" s="662">
        <f t="shared" si="19"/>
        <v>0</v>
      </c>
      <c r="Z30" s="479">
        <v>45996</v>
      </c>
      <c r="AA30" s="355">
        <v>0</v>
      </c>
      <c r="AB30" s="355">
        <v>1</v>
      </c>
      <c r="AC30" s="472">
        <v>0</v>
      </c>
      <c r="AD30" s="170" t="s">
        <v>435</v>
      </c>
    </row>
    <row r="31" spans="1:30" ht="39.75" customHeight="1">
      <c r="A31" s="926" t="s">
        <v>436</v>
      </c>
      <c r="B31" s="681" t="s">
        <v>107</v>
      </c>
      <c r="C31" s="476">
        <v>45991</v>
      </c>
      <c r="D31" s="465" t="s">
        <v>437</v>
      </c>
      <c r="E31" s="467">
        <v>45936</v>
      </c>
      <c r="F31" s="465" t="s">
        <v>108</v>
      </c>
      <c r="G31" s="682"/>
      <c r="H31" s="469">
        <v>0</v>
      </c>
      <c r="I31" s="469" t="s">
        <v>363</v>
      </c>
      <c r="J31" s="469" t="s">
        <v>63</v>
      </c>
      <c r="K31" s="469"/>
      <c r="L31" s="467" t="s">
        <v>155</v>
      </c>
      <c r="M31" s="469" t="s">
        <v>57</v>
      </c>
      <c r="N31" s="542">
        <v>74164.05</v>
      </c>
      <c r="O31" s="469" t="s">
        <v>57</v>
      </c>
      <c r="P31" s="1061" t="s">
        <v>364</v>
      </c>
      <c r="Q31" s="124">
        <v>45939</v>
      </c>
      <c r="R31" s="652"/>
      <c r="S31" s="471"/>
      <c r="T31" s="471"/>
      <c r="U31" s="471"/>
      <c r="V31" s="416">
        <v>5613</v>
      </c>
      <c r="W31" s="581">
        <v>5774</v>
      </c>
      <c r="X31" s="472">
        <f t="shared" si="18"/>
        <v>-161</v>
      </c>
      <c r="Y31" s="662">
        <f t="shared" si="19"/>
        <v>1.0286834135043648</v>
      </c>
      <c r="Z31" s="479">
        <v>45960</v>
      </c>
      <c r="AA31" s="355">
        <v>1</v>
      </c>
      <c r="AB31" s="355">
        <v>1</v>
      </c>
      <c r="AC31" s="472">
        <v>0</v>
      </c>
      <c r="AD31" s="170" t="s">
        <v>438</v>
      </c>
    </row>
    <row r="32" spans="1:30" ht="39.75" customHeight="1">
      <c r="A32" s="926" t="s">
        <v>439</v>
      </c>
      <c r="B32" s="465" t="s">
        <v>107</v>
      </c>
      <c r="C32" s="476">
        <v>45960</v>
      </c>
      <c r="D32" s="467" t="s">
        <v>440</v>
      </c>
      <c r="E32" s="467">
        <v>45939</v>
      </c>
      <c r="F32" s="465" t="s">
        <v>158</v>
      </c>
      <c r="G32" s="682"/>
      <c r="H32" s="469">
        <v>385</v>
      </c>
      <c r="I32" s="661" t="s">
        <v>363</v>
      </c>
      <c r="J32" s="469" t="s">
        <v>56</v>
      </c>
      <c r="K32" s="469"/>
      <c r="L32" s="467">
        <v>45937</v>
      </c>
      <c r="M32" s="469" t="s">
        <v>57</v>
      </c>
      <c r="N32" s="542">
        <v>210533.1</v>
      </c>
      <c r="O32" s="469" t="s">
        <v>57</v>
      </c>
      <c r="P32" s="626" t="s">
        <v>364</v>
      </c>
      <c r="Q32" s="471">
        <v>45936</v>
      </c>
      <c r="R32" s="471"/>
      <c r="S32" s="471"/>
      <c r="T32" s="471"/>
      <c r="U32" s="471"/>
      <c r="V32" s="416">
        <v>18693</v>
      </c>
      <c r="W32" s="581">
        <v>18693</v>
      </c>
      <c r="X32" s="472">
        <f t="shared" si="18"/>
        <v>0</v>
      </c>
      <c r="Y32" s="662">
        <f t="shared" si="19"/>
        <v>1</v>
      </c>
      <c r="Z32" s="479">
        <v>45944</v>
      </c>
      <c r="AA32" s="355">
        <v>1</v>
      </c>
      <c r="AB32" s="355">
        <v>1</v>
      </c>
      <c r="AC32" s="472">
        <v>0</v>
      </c>
      <c r="AD32" s="170" t="s">
        <v>441</v>
      </c>
    </row>
    <row r="33" spans="1:30" ht="39.75" customHeight="1">
      <c r="A33" s="1277" t="s">
        <v>442</v>
      </c>
      <c r="B33" s="681" t="s">
        <v>107</v>
      </c>
      <c r="C33" s="1204">
        <v>46020</v>
      </c>
      <c r="D33" s="1204" t="s">
        <v>443</v>
      </c>
      <c r="E33" s="1204">
        <v>45978</v>
      </c>
      <c r="F33" s="1205" t="s">
        <v>140</v>
      </c>
      <c r="G33" s="1205" t="s">
        <v>444</v>
      </c>
      <c r="H33" s="1206">
        <v>197</v>
      </c>
      <c r="I33" s="661" t="s">
        <v>363</v>
      </c>
      <c r="J33" s="1206" t="s">
        <v>56</v>
      </c>
      <c r="K33" s="469"/>
      <c r="L33" s="1204">
        <v>45978</v>
      </c>
      <c r="M33" s="1206" t="s">
        <v>57</v>
      </c>
      <c r="N33" s="1207">
        <v>87807.5</v>
      </c>
      <c r="O33" s="1206" t="s">
        <v>57</v>
      </c>
      <c r="P33" s="1278" t="s">
        <v>364</v>
      </c>
      <c r="Q33" s="1209">
        <v>45978</v>
      </c>
      <c r="R33" s="1209"/>
      <c r="S33" s="1209"/>
      <c r="T33" s="1209"/>
      <c r="U33" s="1209"/>
      <c r="V33" s="787">
        <v>10187</v>
      </c>
      <c r="W33" s="1013">
        <v>10172</v>
      </c>
      <c r="X33" s="1210">
        <f>SUM(V33-W33)</f>
        <v>15</v>
      </c>
      <c r="Y33" s="862">
        <f t="shared" si="19"/>
        <v>0.99852753509374692</v>
      </c>
      <c r="Z33" s="1229">
        <v>45985</v>
      </c>
      <c r="AA33" s="1212">
        <v>0</v>
      </c>
      <c r="AB33" s="1212">
        <v>0</v>
      </c>
      <c r="AC33" s="1210">
        <v>0</v>
      </c>
      <c r="AD33" s="1213" t="s">
        <v>445</v>
      </c>
    </row>
    <row r="34" spans="1:30" ht="39.75" customHeight="1">
      <c r="A34" s="926" t="s">
        <v>446</v>
      </c>
      <c r="B34" s="465" t="s">
        <v>107</v>
      </c>
      <c r="C34" s="467">
        <v>46017</v>
      </c>
      <c r="D34" s="467" t="s">
        <v>443</v>
      </c>
      <c r="E34" s="467">
        <v>45936</v>
      </c>
      <c r="F34" s="465" t="s">
        <v>108</v>
      </c>
      <c r="G34" s="468"/>
      <c r="H34" s="469">
        <v>157</v>
      </c>
      <c r="I34" s="661" t="s">
        <v>363</v>
      </c>
      <c r="J34" s="469" t="s">
        <v>56</v>
      </c>
      <c r="K34" s="469"/>
      <c r="L34" s="467">
        <v>45943</v>
      </c>
      <c r="M34" s="469" t="s">
        <v>57</v>
      </c>
      <c r="N34" s="542">
        <v>64059.5</v>
      </c>
      <c r="O34" s="469" t="s">
        <v>57</v>
      </c>
      <c r="P34" s="626" t="s">
        <v>364</v>
      </c>
      <c r="Q34" s="471">
        <v>45943</v>
      </c>
      <c r="R34" s="471"/>
      <c r="S34" s="471"/>
      <c r="T34" s="471"/>
      <c r="U34" s="471"/>
      <c r="V34" s="472">
        <v>4725</v>
      </c>
      <c r="W34" s="627">
        <v>4725</v>
      </c>
      <c r="X34" s="106">
        <f t="shared" si="18"/>
        <v>0</v>
      </c>
      <c r="Y34" s="657">
        <f t="shared" si="19"/>
        <v>1</v>
      </c>
      <c r="Z34" s="678">
        <v>45971</v>
      </c>
      <c r="AA34" s="355">
        <v>1</v>
      </c>
      <c r="AB34" s="355">
        <v>1</v>
      </c>
      <c r="AC34" s="472">
        <v>0</v>
      </c>
      <c r="AD34" s="757" t="s">
        <v>447</v>
      </c>
    </row>
    <row r="35" spans="1:30" ht="39.75" customHeight="1">
      <c r="A35" s="1149" t="s">
        <v>448</v>
      </c>
      <c r="B35" s="1150" t="s">
        <v>308</v>
      </c>
      <c r="C35" s="375">
        <v>46019</v>
      </c>
      <c r="D35" s="975" t="s">
        <v>127</v>
      </c>
      <c r="E35" s="375">
        <v>45959</v>
      </c>
      <c r="F35" s="374" t="s">
        <v>309</v>
      </c>
      <c r="G35" s="671" t="s">
        <v>449</v>
      </c>
      <c r="H35" s="1065">
        <v>89</v>
      </c>
      <c r="I35" s="976" t="s">
        <v>363</v>
      </c>
      <c r="J35" s="977" t="s">
        <v>63</v>
      </c>
      <c r="K35" s="469"/>
      <c r="L35" s="375">
        <v>45964</v>
      </c>
      <c r="M35" s="977" t="s">
        <v>57</v>
      </c>
      <c r="N35" s="1066">
        <v>62937.05</v>
      </c>
      <c r="O35" s="52" t="s">
        <v>57</v>
      </c>
      <c r="P35" s="1068" t="s">
        <v>364</v>
      </c>
      <c r="Q35" s="124">
        <v>45964</v>
      </c>
      <c r="R35" s="651"/>
      <c r="S35" s="651"/>
      <c r="T35" s="651"/>
      <c r="U35" s="124">
        <v>46002</v>
      </c>
      <c r="V35" s="1009">
        <v>8523</v>
      </c>
      <c r="W35" s="1010">
        <v>8457</v>
      </c>
      <c r="X35" s="1450">
        <f>SUM(V35-W35)</f>
        <v>66</v>
      </c>
      <c r="Y35" s="1151">
        <f>IFERROR($W35/$V35, 0)</f>
        <v>0.99225624780007038</v>
      </c>
      <c r="Z35" s="124">
        <v>45966</v>
      </c>
      <c r="AA35" s="601">
        <v>1</v>
      </c>
      <c r="AB35" s="601">
        <v>0</v>
      </c>
      <c r="AC35" s="472">
        <v>0</v>
      </c>
      <c r="AD35" s="1034" t="s">
        <v>450</v>
      </c>
    </row>
    <row r="36" spans="1:30" ht="39.75" customHeight="1">
      <c r="A36" s="1084" t="s">
        <v>451</v>
      </c>
      <c r="B36" s="979" t="s">
        <v>308</v>
      </c>
      <c r="C36" s="467">
        <v>46045</v>
      </c>
      <c r="D36" s="642" t="s">
        <v>127</v>
      </c>
      <c r="E36" s="467"/>
      <c r="F36" s="465"/>
      <c r="G36" s="468"/>
      <c r="H36" s="1073">
        <v>77</v>
      </c>
      <c r="I36" s="828" t="s">
        <v>363</v>
      </c>
      <c r="J36" s="478" t="s">
        <v>63</v>
      </c>
      <c r="K36" s="1074"/>
      <c r="L36" s="476" t="s">
        <v>52</v>
      </c>
      <c r="M36" s="478" t="s">
        <v>57</v>
      </c>
      <c r="N36" s="1075">
        <v>4046.5</v>
      </c>
      <c r="O36" s="478" t="s">
        <v>57</v>
      </c>
      <c r="P36" s="626" t="s">
        <v>364</v>
      </c>
      <c r="Q36" s="471" t="s">
        <v>52</v>
      </c>
      <c r="R36" s="552"/>
      <c r="S36" s="552"/>
      <c r="T36" s="552"/>
      <c r="U36" s="471">
        <v>45999</v>
      </c>
      <c r="V36" s="1079">
        <v>5136</v>
      </c>
      <c r="W36" s="627">
        <v>5136</v>
      </c>
      <c r="X36" s="1009">
        <f t="shared" si="18"/>
        <v>0</v>
      </c>
      <c r="Y36" s="71">
        <f t="shared" si="19"/>
        <v>1</v>
      </c>
      <c r="Z36" s="652">
        <v>45964</v>
      </c>
      <c r="AA36" s="355">
        <v>1</v>
      </c>
      <c r="AB36" s="355">
        <v>0</v>
      </c>
      <c r="AC36" s="41">
        <v>0</v>
      </c>
      <c r="AD36" s="873" t="s">
        <v>452</v>
      </c>
    </row>
    <row r="37" spans="1:30" ht="39.75" customHeight="1">
      <c r="A37" s="1070" t="s">
        <v>453</v>
      </c>
      <c r="B37" s="979" t="s">
        <v>308</v>
      </c>
      <c r="C37" s="467">
        <v>46045</v>
      </c>
      <c r="D37" s="642" t="s">
        <v>127</v>
      </c>
      <c r="E37" s="467"/>
      <c r="F37" s="465"/>
      <c r="G37" s="468"/>
      <c r="H37" s="1073">
        <v>85</v>
      </c>
      <c r="I37" s="828" t="s">
        <v>363</v>
      </c>
      <c r="J37" s="478" t="s">
        <v>63</v>
      </c>
      <c r="K37" s="1074"/>
      <c r="L37" s="476" t="s">
        <v>52</v>
      </c>
      <c r="M37" s="478" t="s">
        <v>57</v>
      </c>
      <c r="N37" s="1075">
        <v>29180.45</v>
      </c>
      <c r="O37" s="478" t="s">
        <v>57</v>
      </c>
      <c r="P37" s="626" t="s">
        <v>364</v>
      </c>
      <c r="Q37" s="471" t="s">
        <v>52</v>
      </c>
      <c r="R37" s="552"/>
      <c r="S37" s="552"/>
      <c r="T37" s="552"/>
      <c r="U37" s="124">
        <v>46002</v>
      </c>
      <c r="V37" s="1079">
        <v>6249</v>
      </c>
      <c r="W37" s="627">
        <v>6183</v>
      </c>
      <c r="X37" s="1009">
        <f t="shared" si="18"/>
        <v>66</v>
      </c>
      <c r="Y37" s="71">
        <f t="shared" si="19"/>
        <v>0.98943831012962069</v>
      </c>
      <c r="Z37" s="652">
        <v>45964</v>
      </c>
      <c r="AA37" s="355">
        <v>1</v>
      </c>
      <c r="AB37" s="355">
        <v>0</v>
      </c>
      <c r="AC37" s="41">
        <v>0</v>
      </c>
      <c r="AD37" s="1080" t="s">
        <v>454</v>
      </c>
    </row>
    <row r="38" spans="1:30" ht="39.75" customHeight="1">
      <c r="A38" s="1085" t="s">
        <v>455</v>
      </c>
      <c r="B38" s="979" t="s">
        <v>308</v>
      </c>
      <c r="C38" s="467">
        <v>46045</v>
      </c>
      <c r="D38" s="642" t="s">
        <v>127</v>
      </c>
      <c r="E38" s="467"/>
      <c r="F38" s="465"/>
      <c r="G38" s="468"/>
      <c r="H38" s="1073">
        <v>62</v>
      </c>
      <c r="I38" s="828" t="s">
        <v>363</v>
      </c>
      <c r="J38" s="478" t="s">
        <v>63</v>
      </c>
      <c r="K38" s="1074"/>
      <c r="L38" s="476" t="s">
        <v>52</v>
      </c>
      <c r="M38" s="478" t="s">
        <v>57</v>
      </c>
      <c r="N38" s="1075">
        <v>170</v>
      </c>
      <c r="O38" s="478" t="s">
        <v>57</v>
      </c>
      <c r="P38" s="712" t="s">
        <v>364</v>
      </c>
      <c r="Q38" s="471" t="s">
        <v>52</v>
      </c>
      <c r="R38" s="552"/>
      <c r="S38" s="552"/>
      <c r="T38" s="552"/>
      <c r="U38" s="124">
        <v>46002</v>
      </c>
      <c r="V38" s="1089">
        <v>4095</v>
      </c>
      <c r="W38" s="627">
        <v>4088</v>
      </c>
      <c r="X38" s="1009">
        <f t="shared" si="18"/>
        <v>7</v>
      </c>
      <c r="Y38" s="71">
        <f t="shared" si="19"/>
        <v>0.9982905982905983</v>
      </c>
      <c r="Z38" s="652">
        <v>45964</v>
      </c>
      <c r="AA38" s="355">
        <v>1</v>
      </c>
      <c r="AB38" s="355">
        <v>0</v>
      </c>
      <c r="AC38" s="41">
        <v>0</v>
      </c>
      <c r="AD38" s="873" t="s">
        <v>456</v>
      </c>
    </row>
    <row r="39" spans="1:30" ht="39.75" customHeight="1">
      <c r="A39" s="1070" t="s">
        <v>457</v>
      </c>
      <c r="B39" s="979" t="s">
        <v>308</v>
      </c>
      <c r="C39" s="467">
        <v>46045</v>
      </c>
      <c r="D39" s="642" t="s">
        <v>127</v>
      </c>
      <c r="E39" s="467">
        <v>45959</v>
      </c>
      <c r="F39" s="465" t="s">
        <v>309</v>
      </c>
      <c r="G39" s="468" t="s">
        <v>458</v>
      </c>
      <c r="H39" s="1073">
        <v>78</v>
      </c>
      <c r="I39" s="828" t="s">
        <v>363</v>
      </c>
      <c r="J39" s="478" t="s">
        <v>63</v>
      </c>
      <c r="K39" s="1074"/>
      <c r="L39" s="467">
        <v>45964</v>
      </c>
      <c r="M39" s="478" t="s">
        <v>57</v>
      </c>
      <c r="N39" s="1075">
        <v>170</v>
      </c>
      <c r="O39" s="478" t="s">
        <v>57</v>
      </c>
      <c r="P39" s="626" t="s">
        <v>364</v>
      </c>
      <c r="Q39" s="471">
        <v>45964</v>
      </c>
      <c r="R39" s="552"/>
      <c r="S39" s="552"/>
      <c r="T39" s="552"/>
      <c r="U39" s="471">
        <v>45999</v>
      </c>
      <c r="V39" s="1079">
        <v>7522</v>
      </c>
      <c r="W39" s="627">
        <v>7522</v>
      </c>
      <c r="X39" s="1079">
        <f t="shared" si="18"/>
        <v>0</v>
      </c>
      <c r="Y39" s="498">
        <f t="shared" si="19"/>
        <v>1</v>
      </c>
      <c r="Z39" s="471">
        <v>45964</v>
      </c>
      <c r="AA39" s="355">
        <v>1</v>
      </c>
      <c r="AB39" s="355">
        <v>1</v>
      </c>
      <c r="AC39" s="41">
        <v>0</v>
      </c>
      <c r="AD39" s="474" t="s">
        <v>459</v>
      </c>
    </row>
    <row r="40" spans="1:30" ht="39.75" customHeight="1">
      <c r="A40" s="1069" t="s">
        <v>460</v>
      </c>
      <c r="B40" s="450" t="s">
        <v>308</v>
      </c>
      <c r="C40" s="375">
        <v>46045</v>
      </c>
      <c r="D40" s="975" t="s">
        <v>127</v>
      </c>
      <c r="E40" s="375"/>
      <c r="F40" s="374"/>
      <c r="G40" s="637"/>
      <c r="H40" s="1065">
        <v>80</v>
      </c>
      <c r="I40" s="976" t="s">
        <v>363</v>
      </c>
      <c r="J40" s="977" t="s">
        <v>63</v>
      </c>
      <c r="K40" s="1007"/>
      <c r="L40" s="476" t="s">
        <v>52</v>
      </c>
      <c r="M40" s="977" t="s">
        <v>57</v>
      </c>
      <c r="N40" s="1066">
        <v>25891</v>
      </c>
      <c r="O40" s="52" t="s">
        <v>57</v>
      </c>
      <c r="P40" s="1068" t="s">
        <v>364</v>
      </c>
      <c r="Q40" s="471" t="s">
        <v>52</v>
      </c>
      <c r="R40" s="651"/>
      <c r="S40" s="651"/>
      <c r="T40" s="651"/>
      <c r="U40" s="124">
        <v>46002</v>
      </c>
      <c r="V40" s="1009">
        <v>5254</v>
      </c>
      <c r="W40" s="1010">
        <v>5254</v>
      </c>
      <c r="X40" s="1009">
        <f t="shared" si="18"/>
        <v>0</v>
      </c>
      <c r="Y40" s="870">
        <f t="shared" si="19"/>
        <v>1</v>
      </c>
      <c r="Z40" s="124">
        <v>45964</v>
      </c>
      <c r="AA40" s="355">
        <v>1</v>
      </c>
      <c r="AB40" s="355">
        <v>0</v>
      </c>
      <c r="AC40" s="41">
        <v>0</v>
      </c>
      <c r="AD40" s="436" t="s">
        <v>456</v>
      </c>
    </row>
    <row r="41" spans="1:30" ht="39.75" customHeight="1">
      <c r="A41" s="1069" t="s">
        <v>461</v>
      </c>
      <c r="B41" s="450" t="s">
        <v>308</v>
      </c>
      <c r="C41" s="375">
        <v>46045</v>
      </c>
      <c r="D41" s="975" t="s">
        <v>127</v>
      </c>
      <c r="E41" s="375"/>
      <c r="F41" s="374"/>
      <c r="G41" s="637"/>
      <c r="H41" s="1065">
        <v>83</v>
      </c>
      <c r="I41" s="976" t="s">
        <v>363</v>
      </c>
      <c r="J41" s="977" t="s">
        <v>63</v>
      </c>
      <c r="K41" s="1007"/>
      <c r="L41" s="476" t="s">
        <v>52</v>
      </c>
      <c r="M41" s="977" t="s">
        <v>57</v>
      </c>
      <c r="N41" s="1066">
        <v>170</v>
      </c>
      <c r="O41" s="52" t="s">
        <v>57</v>
      </c>
      <c r="P41" s="1068" t="s">
        <v>364</v>
      </c>
      <c r="Q41" s="471" t="s">
        <v>52</v>
      </c>
      <c r="R41" s="651"/>
      <c r="S41" s="651"/>
      <c r="T41" s="651"/>
      <c r="U41" s="124">
        <v>46002</v>
      </c>
      <c r="V41" s="1009">
        <v>5947</v>
      </c>
      <c r="W41" s="1010">
        <v>5947</v>
      </c>
      <c r="X41" s="1009">
        <f t="shared" si="18"/>
        <v>0</v>
      </c>
      <c r="Y41" s="870">
        <f t="shared" si="19"/>
        <v>1</v>
      </c>
      <c r="Z41" s="124">
        <v>45964</v>
      </c>
      <c r="AA41" s="355">
        <v>1</v>
      </c>
      <c r="AB41" s="355">
        <v>0</v>
      </c>
      <c r="AC41" s="41">
        <v>0</v>
      </c>
      <c r="AD41" s="436" t="s">
        <v>462</v>
      </c>
    </row>
    <row r="42" spans="1:30" ht="39.75" customHeight="1">
      <c r="A42" s="1069" t="s">
        <v>463</v>
      </c>
      <c r="B42" s="450" t="s">
        <v>308</v>
      </c>
      <c r="C42" s="375">
        <v>46045</v>
      </c>
      <c r="D42" s="975" t="s">
        <v>127</v>
      </c>
      <c r="E42" s="375"/>
      <c r="F42" s="374"/>
      <c r="G42" s="637"/>
      <c r="H42" s="1065">
        <v>85</v>
      </c>
      <c r="I42" s="976" t="s">
        <v>363</v>
      </c>
      <c r="J42" s="977" t="s">
        <v>63</v>
      </c>
      <c r="K42" s="1007"/>
      <c r="L42" s="476" t="s">
        <v>52</v>
      </c>
      <c r="M42" s="977" t="s">
        <v>57</v>
      </c>
      <c r="N42" s="1066">
        <v>30788</v>
      </c>
      <c r="O42" s="52" t="s">
        <v>57</v>
      </c>
      <c r="P42" s="1068" t="s">
        <v>364</v>
      </c>
      <c r="Q42" s="471" t="s">
        <v>52</v>
      </c>
      <c r="R42" s="651"/>
      <c r="S42" s="651"/>
      <c r="T42" s="651"/>
      <c r="U42" s="471">
        <v>45999</v>
      </c>
      <c r="V42" s="1009">
        <v>5599</v>
      </c>
      <c r="W42" s="1010">
        <v>5599</v>
      </c>
      <c r="X42" s="1009">
        <f t="shared" si="18"/>
        <v>0</v>
      </c>
      <c r="Y42" s="870">
        <f t="shared" si="19"/>
        <v>1</v>
      </c>
      <c r="Z42" s="124">
        <v>45964</v>
      </c>
      <c r="AA42" s="355">
        <v>1</v>
      </c>
      <c r="AB42" s="601">
        <v>0</v>
      </c>
      <c r="AC42" s="978">
        <v>0</v>
      </c>
      <c r="AD42" s="436" t="s">
        <v>464</v>
      </c>
    </row>
    <row r="43" spans="1:30" ht="39.75" customHeight="1">
      <c r="A43" s="1069" t="s">
        <v>465</v>
      </c>
      <c r="B43" s="450" t="s">
        <v>308</v>
      </c>
      <c r="C43" s="375">
        <v>46045</v>
      </c>
      <c r="D43" s="975" t="s">
        <v>127</v>
      </c>
      <c r="E43" s="375"/>
      <c r="F43" s="374"/>
      <c r="G43" s="637"/>
      <c r="H43" s="1065">
        <v>88</v>
      </c>
      <c r="I43" s="976" t="s">
        <v>363</v>
      </c>
      <c r="J43" s="977" t="s">
        <v>63</v>
      </c>
      <c r="K43" s="1007"/>
      <c r="L43" s="476" t="s">
        <v>52</v>
      </c>
      <c r="M43" s="977" t="s">
        <v>57</v>
      </c>
      <c r="N43" s="1066">
        <v>5668</v>
      </c>
      <c r="O43" s="52" t="s">
        <v>57</v>
      </c>
      <c r="P43" s="1068" t="s">
        <v>364</v>
      </c>
      <c r="Q43" s="471" t="s">
        <v>52</v>
      </c>
      <c r="R43" s="651"/>
      <c r="S43" s="651"/>
      <c r="T43" s="651"/>
      <c r="U43" s="471">
        <v>45999</v>
      </c>
      <c r="V43" s="1009">
        <v>6646</v>
      </c>
      <c r="W43" s="1010">
        <v>6623</v>
      </c>
      <c r="X43" s="1009">
        <f t="shared" si="18"/>
        <v>23</v>
      </c>
      <c r="Y43" s="870">
        <f t="shared" si="19"/>
        <v>0.99653927174240142</v>
      </c>
      <c r="Z43" s="124">
        <v>45964</v>
      </c>
      <c r="AA43" s="355">
        <v>1</v>
      </c>
      <c r="AB43" s="355">
        <v>0</v>
      </c>
      <c r="AC43" s="41">
        <v>0</v>
      </c>
      <c r="AD43" s="436" t="s">
        <v>456</v>
      </c>
    </row>
    <row r="44" spans="1:30" ht="39.75" customHeight="1">
      <c r="A44" s="1069" t="s">
        <v>466</v>
      </c>
      <c r="B44" s="450" t="s">
        <v>308</v>
      </c>
      <c r="C44" s="375">
        <v>46045</v>
      </c>
      <c r="D44" s="975" t="s">
        <v>127</v>
      </c>
      <c r="E44" s="375"/>
      <c r="F44" s="374"/>
      <c r="G44" s="637"/>
      <c r="H44" s="1065">
        <v>30</v>
      </c>
      <c r="I44" s="976" t="s">
        <v>363</v>
      </c>
      <c r="J44" s="977" t="s">
        <v>63</v>
      </c>
      <c r="K44" s="1007"/>
      <c r="L44" s="476" t="s">
        <v>52</v>
      </c>
      <c r="M44" s="977" t="s">
        <v>57</v>
      </c>
      <c r="N44" s="1066">
        <v>170</v>
      </c>
      <c r="O44" s="52" t="s">
        <v>57</v>
      </c>
      <c r="P44" s="1068" t="s">
        <v>364</v>
      </c>
      <c r="Q44" s="471" t="s">
        <v>52</v>
      </c>
      <c r="R44" s="651"/>
      <c r="S44" s="651"/>
      <c r="T44" s="651"/>
      <c r="U44" s="124">
        <v>46002</v>
      </c>
      <c r="V44" s="1009">
        <v>2136</v>
      </c>
      <c r="W44" s="1010">
        <v>2136</v>
      </c>
      <c r="X44" s="1009">
        <f t="shared" si="18"/>
        <v>0</v>
      </c>
      <c r="Y44" s="870">
        <f t="shared" si="19"/>
        <v>1</v>
      </c>
      <c r="Z44" s="124">
        <v>45964</v>
      </c>
      <c r="AA44" s="355">
        <v>1</v>
      </c>
      <c r="AB44" s="355">
        <v>0</v>
      </c>
      <c r="AC44" s="41">
        <v>0</v>
      </c>
      <c r="AD44" s="436" t="s">
        <v>456</v>
      </c>
    </row>
    <row r="45" spans="1:30" ht="39.75" customHeight="1">
      <c r="A45" s="1069" t="s">
        <v>467</v>
      </c>
      <c r="B45" s="450" t="s">
        <v>308</v>
      </c>
      <c r="C45" s="375">
        <v>46045</v>
      </c>
      <c r="D45" s="975" t="s">
        <v>127</v>
      </c>
      <c r="E45" s="375">
        <v>45959</v>
      </c>
      <c r="F45" s="374" t="s">
        <v>158</v>
      </c>
      <c r="G45" s="637"/>
      <c r="H45" s="376">
        <v>89</v>
      </c>
      <c r="I45" s="976" t="s">
        <v>363</v>
      </c>
      <c r="J45" s="977" t="s">
        <v>63</v>
      </c>
      <c r="K45" s="650"/>
      <c r="L45" s="51">
        <v>45964</v>
      </c>
      <c r="M45" s="52" t="s">
        <v>57</v>
      </c>
      <c r="N45" s="838">
        <v>84750.5</v>
      </c>
      <c r="O45" s="52" t="s">
        <v>57</v>
      </c>
      <c r="P45" s="1068" t="s">
        <v>364</v>
      </c>
      <c r="Q45" s="54">
        <v>45964</v>
      </c>
      <c r="R45" s="651"/>
      <c r="S45" s="651"/>
      <c r="T45" s="651"/>
      <c r="U45" s="651"/>
      <c r="V45" s="106">
        <v>6935</v>
      </c>
      <c r="W45" s="1010">
        <v>6942</v>
      </c>
      <c r="X45" s="106">
        <f t="shared" si="18"/>
        <v>-7</v>
      </c>
      <c r="Y45" s="982">
        <f t="shared" si="19"/>
        <v>1.0010093727469358</v>
      </c>
      <c r="Z45" s="124">
        <v>45973</v>
      </c>
      <c r="AA45" s="355">
        <v>0</v>
      </c>
      <c r="AB45" s="355">
        <v>0</v>
      </c>
      <c r="AC45" s="41">
        <v>0</v>
      </c>
      <c r="AD45" s="436" t="s">
        <v>468</v>
      </c>
    </row>
    <row r="46" spans="1:30" ht="39.75" customHeight="1">
      <c r="A46" s="1069" t="s">
        <v>469</v>
      </c>
      <c r="B46" s="450" t="s">
        <v>308</v>
      </c>
      <c r="C46" s="375">
        <v>45989</v>
      </c>
      <c r="D46" s="975" t="s">
        <v>127</v>
      </c>
      <c r="E46" s="375">
        <v>45959</v>
      </c>
      <c r="F46" s="374" t="s">
        <v>158</v>
      </c>
      <c r="G46" s="637" t="s">
        <v>470</v>
      </c>
      <c r="H46" s="376">
        <v>59</v>
      </c>
      <c r="I46" s="976" t="s">
        <v>363</v>
      </c>
      <c r="J46" s="977" t="s">
        <v>63</v>
      </c>
      <c r="K46" s="650"/>
      <c r="L46" s="51">
        <v>45964</v>
      </c>
      <c r="M46" s="977" t="s">
        <v>57</v>
      </c>
      <c r="N46" s="838">
        <v>65066.5</v>
      </c>
      <c r="O46" s="52" t="s">
        <v>57</v>
      </c>
      <c r="P46" s="1068" t="s">
        <v>364</v>
      </c>
      <c r="Q46" s="54">
        <v>45964</v>
      </c>
      <c r="R46" s="1000"/>
      <c r="S46" s="651"/>
      <c r="T46" s="651"/>
      <c r="U46" s="651"/>
      <c r="V46" s="106">
        <v>5421</v>
      </c>
      <c r="W46" s="1010">
        <v>5466</v>
      </c>
      <c r="X46" s="472">
        <f t="shared" si="18"/>
        <v>-45</v>
      </c>
      <c r="Y46" s="870">
        <f t="shared" si="19"/>
        <v>1.0083010514665192</v>
      </c>
      <c r="Z46" s="124">
        <v>45985</v>
      </c>
      <c r="AA46" s="601">
        <v>0</v>
      </c>
      <c r="AB46" s="601">
        <v>0</v>
      </c>
      <c r="AC46" s="978">
        <v>0</v>
      </c>
      <c r="AD46" s="436" t="s">
        <v>471</v>
      </c>
    </row>
    <row r="47" spans="1:30" ht="39.75" customHeight="1">
      <c r="A47" s="1069" t="s">
        <v>472</v>
      </c>
      <c r="B47" s="450" t="s">
        <v>308</v>
      </c>
      <c r="C47" s="375">
        <v>46010</v>
      </c>
      <c r="D47" s="975" t="s">
        <v>127</v>
      </c>
      <c r="E47" s="375">
        <v>45959</v>
      </c>
      <c r="F47" s="374" t="s">
        <v>158</v>
      </c>
      <c r="G47" s="637" t="s">
        <v>473</v>
      </c>
      <c r="H47" s="376">
        <v>89</v>
      </c>
      <c r="I47" s="976" t="s">
        <v>363</v>
      </c>
      <c r="J47" s="977" t="s">
        <v>63</v>
      </c>
      <c r="K47" s="650"/>
      <c r="L47" s="51">
        <v>45964</v>
      </c>
      <c r="M47" s="977" t="s">
        <v>57</v>
      </c>
      <c r="N47" s="838">
        <v>81602</v>
      </c>
      <c r="O47" s="52" t="s">
        <v>57</v>
      </c>
      <c r="P47" s="1068" t="s">
        <v>364</v>
      </c>
      <c r="Q47" s="54">
        <v>45964</v>
      </c>
      <c r="R47" s="1000"/>
      <c r="S47" s="651"/>
      <c r="T47" s="651"/>
      <c r="U47" s="651"/>
      <c r="V47" s="106">
        <v>6752</v>
      </c>
      <c r="W47" s="1010">
        <v>6737</v>
      </c>
      <c r="X47" s="472">
        <f t="shared" si="18"/>
        <v>15</v>
      </c>
      <c r="Y47" s="870">
        <f t="shared" si="19"/>
        <v>0.99777843601895733</v>
      </c>
      <c r="Z47" s="124">
        <v>45992</v>
      </c>
      <c r="AA47" s="601">
        <v>0</v>
      </c>
      <c r="AB47" s="601">
        <v>0</v>
      </c>
      <c r="AC47" s="978">
        <v>0</v>
      </c>
      <c r="AD47" s="436" t="s">
        <v>474</v>
      </c>
    </row>
    <row r="48" spans="1:30" ht="39.75" customHeight="1">
      <c r="A48" s="1069" t="s">
        <v>475</v>
      </c>
      <c r="B48" s="450" t="s">
        <v>308</v>
      </c>
      <c r="C48" s="375">
        <v>46045</v>
      </c>
      <c r="D48" s="975" t="s">
        <v>127</v>
      </c>
      <c r="E48" s="375">
        <v>45959</v>
      </c>
      <c r="F48" s="374" t="s">
        <v>158</v>
      </c>
      <c r="G48" s="637"/>
      <c r="H48" s="376">
        <v>88</v>
      </c>
      <c r="I48" s="976" t="s">
        <v>363</v>
      </c>
      <c r="J48" s="977" t="s">
        <v>63</v>
      </c>
      <c r="K48" s="650"/>
      <c r="L48" s="51">
        <v>45961</v>
      </c>
      <c r="M48" s="52" t="s">
        <v>57</v>
      </c>
      <c r="N48" s="838">
        <v>88231.9</v>
      </c>
      <c r="O48" s="52" t="s">
        <v>57</v>
      </c>
      <c r="P48" s="1068" t="s">
        <v>364</v>
      </c>
      <c r="Q48" s="54">
        <v>45961</v>
      </c>
      <c r="R48" s="651"/>
      <c r="S48" s="651"/>
      <c r="T48" s="651"/>
      <c r="U48" s="651"/>
      <c r="V48" s="106">
        <v>7274</v>
      </c>
      <c r="W48" s="1010">
        <v>7274</v>
      </c>
      <c r="X48" s="106">
        <f t="shared" si="18"/>
        <v>0</v>
      </c>
      <c r="Y48" s="870">
        <f t="shared" si="19"/>
        <v>1</v>
      </c>
      <c r="Z48" s="124">
        <v>45968</v>
      </c>
      <c r="AA48" s="355">
        <v>1</v>
      </c>
      <c r="AB48" s="355">
        <v>0</v>
      </c>
      <c r="AC48" s="41">
        <v>0</v>
      </c>
      <c r="AD48" s="436" t="s">
        <v>476</v>
      </c>
    </row>
    <row r="49" spans="1:30" ht="39.75" customHeight="1">
      <c r="A49" s="1069" t="s">
        <v>477</v>
      </c>
      <c r="B49" s="450" t="s">
        <v>308</v>
      </c>
      <c r="C49" s="375">
        <v>45989</v>
      </c>
      <c r="D49" s="975" t="s">
        <v>127</v>
      </c>
      <c r="E49" s="375">
        <v>45959</v>
      </c>
      <c r="F49" s="374" t="s">
        <v>158</v>
      </c>
      <c r="G49" s="637" t="s">
        <v>478</v>
      </c>
      <c r="H49" s="376">
        <v>87</v>
      </c>
      <c r="I49" s="976" t="s">
        <v>363</v>
      </c>
      <c r="J49" s="977" t="s">
        <v>63</v>
      </c>
      <c r="K49" s="650"/>
      <c r="L49" s="51">
        <v>45964</v>
      </c>
      <c r="M49" s="977" t="s">
        <v>57</v>
      </c>
      <c r="N49" s="838">
        <v>93578</v>
      </c>
      <c r="O49" s="52" t="s">
        <v>57</v>
      </c>
      <c r="P49" s="1068" t="s">
        <v>364</v>
      </c>
      <c r="Q49" s="54">
        <v>45964</v>
      </c>
      <c r="R49" s="1000"/>
      <c r="S49" s="651"/>
      <c r="T49" s="651"/>
      <c r="U49" s="651"/>
      <c r="V49" s="106">
        <v>7782</v>
      </c>
      <c r="W49" s="1010">
        <v>7782</v>
      </c>
      <c r="X49" s="472">
        <f t="shared" si="18"/>
        <v>0</v>
      </c>
      <c r="Y49" s="870">
        <f t="shared" si="19"/>
        <v>1</v>
      </c>
      <c r="Z49" s="124">
        <v>45975</v>
      </c>
      <c r="AA49" s="601">
        <v>1</v>
      </c>
      <c r="AB49" s="601">
        <v>0</v>
      </c>
      <c r="AC49" s="978">
        <v>0</v>
      </c>
      <c r="AD49" s="436" t="s">
        <v>479</v>
      </c>
    </row>
    <row r="50" spans="1:30" ht="39.75" customHeight="1">
      <c r="A50" s="1069" t="s">
        <v>480</v>
      </c>
      <c r="B50" s="450" t="s">
        <v>308</v>
      </c>
      <c r="C50" s="375">
        <v>46045</v>
      </c>
      <c r="D50" s="975" t="s">
        <v>127</v>
      </c>
      <c r="E50" s="375">
        <v>45959</v>
      </c>
      <c r="F50" s="374" t="s">
        <v>158</v>
      </c>
      <c r="G50" s="637"/>
      <c r="H50" s="376">
        <v>90</v>
      </c>
      <c r="I50" s="976" t="s">
        <v>363</v>
      </c>
      <c r="J50" s="977" t="s">
        <v>63</v>
      </c>
      <c r="K50" s="650"/>
      <c r="L50" s="51">
        <v>45964</v>
      </c>
      <c r="M50" s="52" t="s">
        <v>57</v>
      </c>
      <c r="N50" s="838">
        <v>84896</v>
      </c>
      <c r="O50" s="52" t="s">
        <v>57</v>
      </c>
      <c r="P50" s="1068" t="s">
        <v>364</v>
      </c>
      <c r="Q50" s="54">
        <v>45964</v>
      </c>
      <c r="R50" s="651"/>
      <c r="S50" s="651"/>
      <c r="T50" s="651"/>
      <c r="U50" s="651"/>
      <c r="V50" s="106">
        <v>7060</v>
      </c>
      <c r="W50" s="1010">
        <v>7060</v>
      </c>
      <c r="X50" s="106">
        <f t="shared" si="18"/>
        <v>0</v>
      </c>
      <c r="Y50" s="870">
        <f t="shared" si="19"/>
        <v>1</v>
      </c>
      <c r="Z50" s="124">
        <v>45973</v>
      </c>
      <c r="AA50" s="355">
        <v>0</v>
      </c>
      <c r="AB50" s="355">
        <v>0</v>
      </c>
      <c r="AC50" s="41">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650"/>
      <c r="L51" s="1299">
        <v>45961</v>
      </c>
      <c r="M51" s="1282" t="s">
        <v>57</v>
      </c>
      <c r="N51" s="1325">
        <v>91897</v>
      </c>
      <c r="O51" s="1301" t="s">
        <v>57</v>
      </c>
      <c r="P51" s="1326" t="s">
        <v>364</v>
      </c>
      <c r="Q51" s="1327">
        <v>45961</v>
      </c>
      <c r="R51" s="1328"/>
      <c r="S51" s="1303"/>
      <c r="T51" s="1303"/>
      <c r="U51" s="1303"/>
      <c r="V51" s="1268">
        <v>7457</v>
      </c>
      <c r="W51" s="1329">
        <v>7468</v>
      </c>
      <c r="X51" s="1210">
        <f>SUM(V51-W51)</f>
        <v>-11</v>
      </c>
      <c r="Y51" s="1151">
        <f>IFERROR($W51/$V51, 0)</f>
        <v>1.0014751240445219</v>
      </c>
      <c r="Z51" s="1257">
        <v>45974</v>
      </c>
      <c r="AA51" s="1288">
        <v>0</v>
      </c>
      <c r="AB51" s="1288">
        <v>0</v>
      </c>
      <c r="AC51" s="1287">
        <v>0</v>
      </c>
      <c r="AD51" s="1259" t="s">
        <v>484</v>
      </c>
    </row>
    <row r="52" spans="1:30" ht="39.75" customHeight="1">
      <c r="A52" s="1069" t="s">
        <v>485</v>
      </c>
      <c r="B52" s="450" t="s">
        <v>308</v>
      </c>
      <c r="C52" s="375">
        <v>45989</v>
      </c>
      <c r="D52" s="975" t="s">
        <v>127</v>
      </c>
      <c r="E52" s="375">
        <v>45959</v>
      </c>
      <c r="F52" s="374" t="s">
        <v>158</v>
      </c>
      <c r="G52" s="637" t="s">
        <v>486</v>
      </c>
      <c r="H52" s="376">
        <v>90</v>
      </c>
      <c r="I52" s="976" t="s">
        <v>363</v>
      </c>
      <c r="J52" s="977" t="s">
        <v>63</v>
      </c>
      <c r="K52" s="650"/>
      <c r="L52" s="51">
        <v>45964</v>
      </c>
      <c r="M52" s="977" t="s">
        <v>57</v>
      </c>
      <c r="N52" s="838">
        <v>96685</v>
      </c>
      <c r="O52" s="52" t="s">
        <v>57</v>
      </c>
      <c r="P52" s="1068" t="s">
        <v>364</v>
      </c>
      <c r="Q52" s="54">
        <v>45964</v>
      </c>
      <c r="R52" s="1000"/>
      <c r="S52" s="651"/>
      <c r="T52" s="651"/>
      <c r="U52" s="651"/>
      <c r="V52" s="106">
        <v>7926</v>
      </c>
      <c r="W52" s="1010">
        <v>7926</v>
      </c>
      <c r="X52" s="472">
        <f t="shared" si="18"/>
        <v>0</v>
      </c>
      <c r="Y52" s="870">
        <f t="shared" si="19"/>
        <v>1</v>
      </c>
      <c r="Z52" s="124">
        <v>45981</v>
      </c>
      <c r="AA52" s="601">
        <v>1</v>
      </c>
      <c r="AB52" s="601">
        <v>0</v>
      </c>
      <c r="AC52" s="978">
        <v>0</v>
      </c>
      <c r="AD52" s="436" t="s">
        <v>487</v>
      </c>
    </row>
    <row r="53" spans="1:30" ht="39.75" customHeight="1">
      <c r="A53" s="1324" t="s">
        <v>488</v>
      </c>
      <c r="B53" s="1150" t="s">
        <v>308</v>
      </c>
      <c r="C53" s="1295">
        <v>46019</v>
      </c>
      <c r="D53" s="975" t="s">
        <v>127</v>
      </c>
      <c r="E53" s="1295">
        <v>45959</v>
      </c>
      <c r="F53" s="1296" t="s">
        <v>158</v>
      </c>
      <c r="G53" s="1296" t="s">
        <v>489</v>
      </c>
      <c r="H53" s="1297">
        <v>90</v>
      </c>
      <c r="I53" s="976" t="s">
        <v>363</v>
      </c>
      <c r="J53" s="1282" t="s">
        <v>63</v>
      </c>
      <c r="K53" s="1298"/>
      <c r="L53" s="1299">
        <v>45964</v>
      </c>
      <c r="M53" s="1282" t="s">
        <v>57</v>
      </c>
      <c r="N53" s="1325">
        <v>85815</v>
      </c>
      <c r="O53" s="1301" t="s">
        <v>57</v>
      </c>
      <c r="P53" s="1326" t="s">
        <v>364</v>
      </c>
      <c r="Q53" s="1327">
        <v>45964</v>
      </c>
      <c r="R53" s="1328"/>
      <c r="S53" s="1303"/>
      <c r="T53" s="1303"/>
      <c r="U53" s="1303"/>
      <c r="V53" s="1268">
        <v>6981</v>
      </c>
      <c r="W53" s="1329">
        <v>6991</v>
      </c>
      <c r="X53" s="1210">
        <f>SUM(V53-W53)</f>
        <v>-10</v>
      </c>
      <c r="Y53" s="1151">
        <f t="shared" si="19"/>
        <v>1.0014324595330182</v>
      </c>
      <c r="Z53" s="1257">
        <v>45981</v>
      </c>
      <c r="AA53" s="1288">
        <v>1</v>
      </c>
      <c r="AB53" s="1288">
        <v>0</v>
      </c>
      <c r="AC53" s="1287">
        <v>0</v>
      </c>
      <c r="AD53" s="1259" t="s">
        <v>490</v>
      </c>
    </row>
    <row r="54" spans="1:30" ht="39.75" customHeight="1">
      <c r="A54" s="1069" t="s">
        <v>491</v>
      </c>
      <c r="B54" s="450" t="s">
        <v>308</v>
      </c>
      <c r="C54" s="375">
        <v>46021</v>
      </c>
      <c r="D54" s="975" t="s">
        <v>127</v>
      </c>
      <c r="E54" s="375">
        <v>45959</v>
      </c>
      <c r="F54" s="374" t="s">
        <v>158</v>
      </c>
      <c r="G54" s="637" t="s">
        <v>492</v>
      </c>
      <c r="H54" s="376">
        <v>89</v>
      </c>
      <c r="I54" s="976" t="s">
        <v>363</v>
      </c>
      <c r="J54" s="977" t="s">
        <v>63</v>
      </c>
      <c r="K54" s="650"/>
      <c r="L54" s="51">
        <v>45961</v>
      </c>
      <c r="M54" s="977" t="s">
        <v>57</v>
      </c>
      <c r="N54" s="838">
        <v>83615</v>
      </c>
      <c r="O54" s="52" t="s">
        <v>57</v>
      </c>
      <c r="P54" s="1068" t="s">
        <v>364</v>
      </c>
      <c r="Q54" s="54">
        <v>45961</v>
      </c>
      <c r="R54" s="1000"/>
      <c r="S54" s="651"/>
      <c r="T54" s="651"/>
      <c r="U54" s="651"/>
      <c r="V54" s="106">
        <v>7010</v>
      </c>
      <c r="W54" s="1010">
        <v>7010</v>
      </c>
      <c r="X54" s="472">
        <f t="shared" si="18"/>
        <v>0</v>
      </c>
      <c r="Y54" s="870">
        <f t="shared" si="19"/>
        <v>1</v>
      </c>
      <c r="Z54" s="124">
        <v>45986</v>
      </c>
      <c r="AA54" s="601">
        <v>0</v>
      </c>
      <c r="AB54" s="601">
        <v>0</v>
      </c>
      <c r="AC54" s="978">
        <v>0</v>
      </c>
      <c r="AD54" s="436" t="s">
        <v>493</v>
      </c>
    </row>
    <row r="55" spans="1:30" ht="39.75" customHeight="1">
      <c r="A55" s="1324" t="s">
        <v>494</v>
      </c>
      <c r="B55" s="1150" t="s">
        <v>308</v>
      </c>
      <c r="C55" s="1295">
        <v>46021</v>
      </c>
      <c r="D55" s="975" t="s">
        <v>127</v>
      </c>
      <c r="E55" s="1295">
        <v>45959</v>
      </c>
      <c r="F55" s="1296" t="s">
        <v>158</v>
      </c>
      <c r="G55" s="1296" t="s">
        <v>495</v>
      </c>
      <c r="H55" s="1297">
        <v>88</v>
      </c>
      <c r="I55" s="976" t="s">
        <v>363</v>
      </c>
      <c r="J55" s="1282" t="s">
        <v>63</v>
      </c>
      <c r="K55" s="650"/>
      <c r="L55" s="1299">
        <v>45964</v>
      </c>
      <c r="M55" s="1282" t="s">
        <v>57</v>
      </c>
      <c r="N55" s="1325">
        <v>78736.5</v>
      </c>
      <c r="O55" s="1301" t="s">
        <v>57</v>
      </c>
      <c r="P55" s="1326" t="s">
        <v>364</v>
      </c>
      <c r="Q55" s="1327">
        <v>45964</v>
      </c>
      <c r="R55" s="1328"/>
      <c r="S55" s="1303"/>
      <c r="T55" s="1303"/>
      <c r="U55" s="1303"/>
      <c r="V55" s="1268">
        <v>6403</v>
      </c>
      <c r="W55" s="1329">
        <v>6432</v>
      </c>
      <c r="X55" s="1210">
        <f>SUM(V55-W55)</f>
        <v>-29</v>
      </c>
      <c r="Y55" s="1151">
        <f>IFERROR($W55/$V55, 0)</f>
        <v>1.004529126971732</v>
      </c>
      <c r="Z55" s="1257">
        <v>46000</v>
      </c>
      <c r="AA55" s="1288">
        <v>0</v>
      </c>
      <c r="AB55" s="1288">
        <v>0</v>
      </c>
      <c r="AC55" s="1287">
        <v>0</v>
      </c>
      <c r="AD55" s="1259" t="s">
        <v>496</v>
      </c>
    </row>
    <row r="56" spans="1:30" ht="39.75" customHeight="1">
      <c r="A56" s="1324" t="s">
        <v>497</v>
      </c>
      <c r="B56" s="1150" t="s">
        <v>308</v>
      </c>
      <c r="C56" s="1295">
        <v>46021</v>
      </c>
      <c r="D56" s="975" t="s">
        <v>127</v>
      </c>
      <c r="E56" s="1295">
        <v>45959</v>
      </c>
      <c r="F56" s="1296" t="s">
        <v>158</v>
      </c>
      <c r="G56" s="1296" t="s">
        <v>498</v>
      </c>
      <c r="H56" s="1297">
        <v>86</v>
      </c>
      <c r="I56" s="976" t="s">
        <v>363</v>
      </c>
      <c r="J56" s="1282" t="s">
        <v>63</v>
      </c>
      <c r="K56" s="650"/>
      <c r="L56" s="1299">
        <v>45964</v>
      </c>
      <c r="M56" s="1282" t="s">
        <v>57</v>
      </c>
      <c r="N56" s="1325">
        <v>80698</v>
      </c>
      <c r="O56" s="1301" t="s">
        <v>57</v>
      </c>
      <c r="P56" s="1326" t="s">
        <v>364</v>
      </c>
      <c r="Q56" s="1327">
        <v>45964</v>
      </c>
      <c r="R56" s="1328"/>
      <c r="S56" s="1303"/>
      <c r="T56" s="1303"/>
      <c r="U56" s="1303"/>
      <c r="V56" s="1268">
        <v>6739</v>
      </c>
      <c r="W56" s="1329">
        <v>6669</v>
      </c>
      <c r="X56" s="1210">
        <f>SUM(V56-W56)</f>
        <v>70</v>
      </c>
      <c r="Y56" s="1151">
        <f t="shared" ref="Y56" si="20">IFERROR($W56/$V56, 0)</f>
        <v>0.98961270218133257</v>
      </c>
      <c r="Z56" s="1257">
        <v>46008</v>
      </c>
      <c r="AA56" s="1288">
        <v>0</v>
      </c>
      <c r="AB56" s="1288">
        <v>0</v>
      </c>
      <c r="AC56" s="1287">
        <v>0</v>
      </c>
      <c r="AD56" s="1259" t="s">
        <v>499</v>
      </c>
    </row>
    <row r="57" spans="1:30" ht="39.75" customHeight="1">
      <c r="A57" s="1324" t="s">
        <v>500</v>
      </c>
      <c r="B57" s="1150" t="s">
        <v>308</v>
      </c>
      <c r="C57" s="1295">
        <v>46021</v>
      </c>
      <c r="D57" s="975" t="s">
        <v>127</v>
      </c>
      <c r="E57" s="1295">
        <v>45959</v>
      </c>
      <c r="F57" s="1296" t="s">
        <v>158</v>
      </c>
      <c r="G57" s="1296" t="s">
        <v>501</v>
      </c>
      <c r="H57" s="1297">
        <v>85</v>
      </c>
      <c r="I57" s="976" t="s">
        <v>363</v>
      </c>
      <c r="J57" s="1282" t="s">
        <v>63</v>
      </c>
      <c r="K57" s="650"/>
      <c r="L57" s="1299">
        <v>45964</v>
      </c>
      <c r="M57" s="1282" t="s">
        <v>57</v>
      </c>
      <c r="N57" s="1325">
        <v>84770</v>
      </c>
      <c r="O57" s="1301" t="s">
        <v>57</v>
      </c>
      <c r="P57" s="1326" t="s">
        <v>364</v>
      </c>
      <c r="Q57" s="1327">
        <v>45964</v>
      </c>
      <c r="R57" s="1328"/>
      <c r="S57" s="1303"/>
      <c r="T57" s="1303"/>
      <c r="U57" s="1303"/>
      <c r="V57" s="1268">
        <v>6965</v>
      </c>
      <c r="W57" s="1329">
        <v>7129</v>
      </c>
      <c r="X57" s="1210">
        <f>SUM(V57-W57)</f>
        <v>-164</v>
      </c>
      <c r="Y57" s="1151">
        <f>IFERROR($W57/$V57, 0)</f>
        <v>1.0235463029432879</v>
      </c>
      <c r="Z57" s="1257">
        <v>45999</v>
      </c>
      <c r="AA57" s="1288">
        <v>0</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87</v>
      </c>
      <c r="I58" s="976" t="s">
        <v>363</v>
      </c>
      <c r="J58" s="1282" t="s">
        <v>63</v>
      </c>
      <c r="K58" s="1298"/>
      <c r="L58" s="1299">
        <v>45964</v>
      </c>
      <c r="M58" s="1282" t="s">
        <v>57</v>
      </c>
      <c r="N58" s="1325">
        <v>87875</v>
      </c>
      <c r="O58" s="1301" t="s">
        <v>57</v>
      </c>
      <c r="P58" s="1326" t="s">
        <v>364</v>
      </c>
      <c r="Q58" s="1327">
        <v>45964</v>
      </c>
      <c r="R58" s="1328"/>
      <c r="S58" s="1303"/>
      <c r="T58" s="1303"/>
      <c r="U58" s="1303"/>
      <c r="V58" s="1268">
        <v>7319</v>
      </c>
      <c r="W58" s="1329">
        <v>7319</v>
      </c>
      <c r="X58" s="1210">
        <f>SUM(V58-W58)</f>
        <v>0</v>
      </c>
      <c r="Y58" s="1151">
        <f t="shared" ref="Y58:Y60" si="21">IFERROR($W58/$V58, 0)</f>
        <v>1</v>
      </c>
      <c r="Z58" s="1257">
        <v>46000</v>
      </c>
      <c r="AA58" s="1288">
        <v>0</v>
      </c>
      <c r="AB58" s="1288">
        <v>0</v>
      </c>
      <c r="AC58" s="1287">
        <v>0</v>
      </c>
      <c r="AD58" s="1259" t="s">
        <v>505</v>
      </c>
    </row>
    <row r="59" spans="1:30" ht="39.75" customHeight="1">
      <c r="A59" s="1324" t="s">
        <v>506</v>
      </c>
      <c r="B59" s="1150" t="s">
        <v>308</v>
      </c>
      <c r="C59" s="1295">
        <v>46019</v>
      </c>
      <c r="D59" s="975" t="s">
        <v>127</v>
      </c>
      <c r="E59" s="1295">
        <v>45959</v>
      </c>
      <c r="F59" s="1296" t="s">
        <v>158</v>
      </c>
      <c r="G59" s="1296" t="s">
        <v>507</v>
      </c>
      <c r="H59" s="1297">
        <v>0</v>
      </c>
      <c r="I59" s="976" t="s">
        <v>363</v>
      </c>
      <c r="J59" s="1282" t="s">
        <v>63</v>
      </c>
      <c r="K59" s="1298"/>
      <c r="L59" s="1299">
        <v>45961</v>
      </c>
      <c r="M59" s="1282" t="s">
        <v>57</v>
      </c>
      <c r="N59" s="1325">
        <v>64985.65</v>
      </c>
      <c r="O59" s="1301" t="s">
        <v>57</v>
      </c>
      <c r="P59" s="1364" t="s">
        <v>364</v>
      </c>
      <c r="Q59" s="1327">
        <v>45964</v>
      </c>
      <c r="R59" s="1303"/>
      <c r="S59" s="1303"/>
      <c r="T59" s="1303"/>
      <c r="U59" s="1303"/>
      <c r="V59" s="1268">
        <v>5155</v>
      </c>
      <c r="W59" s="1329">
        <v>5155</v>
      </c>
      <c r="X59" s="1268">
        <f>SUM(V59-W59)</f>
        <v>0</v>
      </c>
      <c r="Y59" s="1151">
        <f t="shared" si="21"/>
        <v>1</v>
      </c>
      <c r="Z59" s="1257">
        <v>45992</v>
      </c>
      <c r="AA59" s="1288">
        <v>1</v>
      </c>
      <c r="AB59" s="1288">
        <v>0</v>
      </c>
      <c r="AC59" s="1287">
        <v>0</v>
      </c>
      <c r="AD59" s="1259" t="s">
        <v>508</v>
      </c>
    </row>
    <row r="60" spans="1:30" ht="39.75" customHeight="1">
      <c r="A60" s="1324" t="s">
        <v>509</v>
      </c>
      <c r="B60" s="1150" t="s">
        <v>308</v>
      </c>
      <c r="C60" s="1295">
        <v>46019</v>
      </c>
      <c r="D60" s="975" t="s">
        <v>127</v>
      </c>
      <c r="E60" s="1295">
        <v>45959</v>
      </c>
      <c r="F60" s="1296" t="s">
        <v>158</v>
      </c>
      <c r="G60" s="1296" t="s">
        <v>510</v>
      </c>
      <c r="H60" s="1297">
        <v>0</v>
      </c>
      <c r="I60" s="976" t="s">
        <v>363</v>
      </c>
      <c r="J60" s="1282" t="s">
        <v>63</v>
      </c>
      <c r="K60" s="1298"/>
      <c r="L60" s="1299">
        <v>45961</v>
      </c>
      <c r="M60" s="1282" t="s">
        <v>57</v>
      </c>
      <c r="N60" s="1325">
        <v>54043.5</v>
      </c>
      <c r="O60" s="1301" t="s">
        <v>57</v>
      </c>
      <c r="P60" s="1326" t="s">
        <v>364</v>
      </c>
      <c r="Q60" s="1327">
        <v>45961</v>
      </c>
      <c r="R60" s="1328"/>
      <c r="S60" s="1303"/>
      <c r="T60" s="1303"/>
      <c r="U60" s="1303"/>
      <c r="V60" s="1268">
        <v>4140</v>
      </c>
      <c r="W60" s="1329">
        <v>4140</v>
      </c>
      <c r="X60" s="1210">
        <f>SUM(V60-W60)</f>
        <v>0</v>
      </c>
      <c r="Y60" s="1151">
        <f t="shared" si="21"/>
        <v>1</v>
      </c>
      <c r="Z60" s="1257">
        <v>45974</v>
      </c>
      <c r="AA60" s="1288">
        <v>1</v>
      </c>
      <c r="AB60" s="1288">
        <v>0</v>
      </c>
      <c r="AC60" s="1287">
        <v>0</v>
      </c>
      <c r="AD60" s="1259" t="s">
        <v>511</v>
      </c>
    </row>
    <row r="61" spans="1:30" ht="39.75" customHeight="1">
      <c r="A61" s="1071" t="s">
        <v>512</v>
      </c>
      <c r="B61" s="788" t="s">
        <v>50</v>
      </c>
      <c r="C61" s="887">
        <v>45991</v>
      </c>
      <c r="D61" s="1087" t="s">
        <v>71</v>
      </c>
      <c r="E61" s="57">
        <v>45743</v>
      </c>
      <c r="F61" s="771" t="s">
        <v>61</v>
      </c>
      <c r="G61" s="789" t="s">
        <v>513</v>
      </c>
      <c r="H61" s="775">
        <v>69</v>
      </c>
      <c r="I61" s="661" t="s">
        <v>363</v>
      </c>
      <c r="J61" s="469" t="s">
        <v>63</v>
      </c>
      <c r="K61" s="903"/>
      <c r="L61" s="51">
        <v>45741</v>
      </c>
      <c r="M61" s="376" t="s">
        <v>57</v>
      </c>
      <c r="N61" s="838">
        <v>67734.5</v>
      </c>
      <c r="O61" s="376" t="s">
        <v>57</v>
      </c>
      <c r="P61" s="1068" t="s">
        <v>364</v>
      </c>
      <c r="Q61" s="54">
        <v>45744</v>
      </c>
      <c r="R61" s="54"/>
      <c r="S61" s="54"/>
      <c r="T61" s="54"/>
      <c r="U61" s="54"/>
      <c r="V61" s="31">
        <v>4822</v>
      </c>
      <c r="W61" s="1010">
        <v>4816</v>
      </c>
      <c r="X61" s="106">
        <f t="shared" si="18"/>
        <v>6</v>
      </c>
      <c r="Y61" s="982">
        <f t="shared" si="19"/>
        <v>0.99875570302778927</v>
      </c>
      <c r="Z61" s="54">
        <v>45784</v>
      </c>
      <c r="AA61" s="355">
        <v>0</v>
      </c>
      <c r="AB61" s="355">
        <v>0</v>
      </c>
      <c r="AC61" s="645">
        <v>0</v>
      </c>
      <c r="AD61" s="69" t="s">
        <v>514</v>
      </c>
    </row>
    <row r="62" spans="1:30" ht="39.75" customHeight="1">
      <c r="A62" s="1071" t="s">
        <v>515</v>
      </c>
      <c r="B62" s="770" t="s">
        <v>50</v>
      </c>
      <c r="C62" s="887">
        <v>45991</v>
      </c>
      <c r="D62" s="1072" t="s">
        <v>516</v>
      </c>
      <c r="E62" s="772">
        <v>45735</v>
      </c>
      <c r="F62" s="771" t="s">
        <v>61</v>
      </c>
      <c r="G62" s="774" t="s">
        <v>517</v>
      </c>
      <c r="H62" s="775">
        <v>70</v>
      </c>
      <c r="I62" s="470" t="s">
        <v>363</v>
      </c>
      <c r="J62" s="478" t="s">
        <v>63</v>
      </c>
      <c r="K62" s="52"/>
      <c r="L62" s="375">
        <v>45716</v>
      </c>
      <c r="M62" s="52" t="s">
        <v>57</v>
      </c>
      <c r="N62" s="1076">
        <v>56262.5</v>
      </c>
      <c r="O62" s="52" t="s">
        <v>57</v>
      </c>
      <c r="P62" s="1068" t="s">
        <v>364</v>
      </c>
      <c r="Q62" s="54">
        <v>45744</v>
      </c>
      <c r="R62" s="54">
        <v>45917</v>
      </c>
      <c r="S62" s="54">
        <v>45930</v>
      </c>
      <c r="T62" s="54"/>
      <c r="U62" s="54"/>
      <c r="V62" s="31">
        <v>4870</v>
      </c>
      <c r="W62" s="1010">
        <v>5044</v>
      </c>
      <c r="X62" s="106">
        <f t="shared" si="18"/>
        <v>-174</v>
      </c>
      <c r="Y62" s="982">
        <f t="shared" si="19"/>
        <v>1.0357289527720739</v>
      </c>
      <c r="Z62" s="54">
        <v>45754</v>
      </c>
      <c r="AA62" s="355">
        <v>0</v>
      </c>
      <c r="AB62" s="355">
        <v>0</v>
      </c>
      <c r="AC62" s="41">
        <v>0</v>
      </c>
      <c r="AD62" s="1024" t="s">
        <v>518</v>
      </c>
    </row>
    <row r="63" spans="1:30" ht="39.75" customHeight="1">
      <c r="A63" s="926" t="s">
        <v>519</v>
      </c>
      <c r="B63" s="823" t="s">
        <v>50</v>
      </c>
      <c r="C63" s="467">
        <v>45991</v>
      </c>
      <c r="D63" s="467" t="s">
        <v>71</v>
      </c>
      <c r="E63" s="476">
        <v>45748</v>
      </c>
      <c r="F63" s="475" t="s">
        <v>61</v>
      </c>
      <c r="G63" s="824" t="s">
        <v>520</v>
      </c>
      <c r="H63" s="478">
        <v>0</v>
      </c>
      <c r="I63" s="478" t="s">
        <v>363</v>
      </c>
      <c r="J63" s="469" t="s">
        <v>63</v>
      </c>
      <c r="K63" s="825"/>
      <c r="L63" s="476">
        <v>45741</v>
      </c>
      <c r="M63" s="469" t="s">
        <v>57</v>
      </c>
      <c r="N63" s="543">
        <v>17203.45</v>
      </c>
      <c r="O63" s="469" t="s">
        <v>57</v>
      </c>
      <c r="P63" s="974" t="s">
        <v>364</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521</v>
      </c>
    </row>
    <row r="64" spans="1:30" ht="39.75" customHeight="1">
      <c r="A64" s="1071" t="s">
        <v>522</v>
      </c>
      <c r="B64" s="788" t="s">
        <v>50</v>
      </c>
      <c r="C64" s="887">
        <v>45991</v>
      </c>
      <c r="D64" s="1087" t="s">
        <v>71</v>
      </c>
      <c r="E64" s="57">
        <v>45779</v>
      </c>
      <c r="F64" s="771" t="s">
        <v>61</v>
      </c>
      <c r="G64" s="789" t="s">
        <v>523</v>
      </c>
      <c r="H64" s="775">
        <v>0</v>
      </c>
      <c r="I64" s="478" t="s">
        <v>363</v>
      </c>
      <c r="J64" s="469" t="s">
        <v>63</v>
      </c>
      <c r="K64" s="903"/>
      <c r="L64" s="51">
        <v>45742</v>
      </c>
      <c r="M64" s="909" t="s">
        <v>57</v>
      </c>
      <c r="N64" s="1076">
        <v>23800.25</v>
      </c>
      <c r="O64" s="376" t="s">
        <v>57</v>
      </c>
      <c r="P64" s="1068" t="s">
        <v>364</v>
      </c>
      <c r="Q64" s="54">
        <v>45743</v>
      </c>
      <c r="R64" s="195"/>
      <c r="S64" s="54"/>
      <c r="T64" s="54"/>
      <c r="U64" s="54"/>
      <c r="V64" s="31">
        <v>1697</v>
      </c>
      <c r="W64" s="1010">
        <v>1815</v>
      </c>
      <c r="X64" s="472">
        <f t="shared" si="18"/>
        <v>-118</v>
      </c>
      <c r="Y64" s="861">
        <f t="shared" si="19"/>
        <v>1.0695344725987035</v>
      </c>
      <c r="Z64" s="54">
        <v>45791</v>
      </c>
      <c r="AA64" s="601">
        <v>1</v>
      </c>
      <c r="AB64" s="601">
        <v>0</v>
      </c>
      <c r="AC64" s="1090">
        <v>0</v>
      </c>
      <c r="AD64" s="1024" t="s">
        <v>524</v>
      </c>
    </row>
    <row r="65" spans="1:30" ht="39.75" customHeight="1">
      <c r="A65" s="1071" t="s">
        <v>525</v>
      </c>
      <c r="B65" s="788" t="s">
        <v>50</v>
      </c>
      <c r="C65" s="887">
        <v>46008</v>
      </c>
      <c r="D65" s="1087" t="s">
        <v>526</v>
      </c>
      <c r="E65" s="57">
        <v>45938</v>
      </c>
      <c r="F65" s="771" t="s">
        <v>527</v>
      </c>
      <c r="G65" s="789"/>
      <c r="H65" s="775">
        <v>193</v>
      </c>
      <c r="I65" s="661" t="s">
        <v>363</v>
      </c>
      <c r="J65" s="469" t="s">
        <v>56</v>
      </c>
      <c r="K65" s="96"/>
      <c r="L65" s="51" t="s">
        <v>52</v>
      </c>
      <c r="M65" s="977" t="s">
        <v>57</v>
      </c>
      <c r="N65" s="1076">
        <v>86136</v>
      </c>
      <c r="O65" s="52" t="s">
        <v>57</v>
      </c>
      <c r="P65" s="1068" t="s">
        <v>364</v>
      </c>
      <c r="Q65" s="54">
        <v>45938</v>
      </c>
      <c r="R65" s="195"/>
      <c r="S65" s="54"/>
      <c r="T65" s="54"/>
      <c r="U65" s="54"/>
      <c r="V65" s="31">
        <v>7655</v>
      </c>
      <c r="W65" s="1010">
        <v>8289</v>
      </c>
      <c r="X65" s="472">
        <f t="shared" si="18"/>
        <v>-634</v>
      </c>
      <c r="Y65" s="982">
        <f t="shared" si="19"/>
        <v>1.0828216851730894</v>
      </c>
      <c r="Z65" s="54">
        <v>45943</v>
      </c>
      <c r="AA65" s="601">
        <v>1</v>
      </c>
      <c r="AB65" s="601">
        <v>1</v>
      </c>
      <c r="AC65" s="1090">
        <v>0</v>
      </c>
      <c r="AD65" s="900"/>
    </row>
    <row r="66" spans="1:30" ht="39.75" customHeight="1">
      <c r="A66" s="1277" t="s">
        <v>528</v>
      </c>
      <c r="B66" s="823" t="s">
        <v>50</v>
      </c>
      <c r="C66" s="1204">
        <v>46008</v>
      </c>
      <c r="D66" s="1204" t="s">
        <v>529</v>
      </c>
      <c r="E66" s="1224">
        <v>45958</v>
      </c>
      <c r="F66" s="1225" t="s">
        <v>527</v>
      </c>
      <c r="G66" s="1225" t="s">
        <v>530</v>
      </c>
      <c r="H66" s="1226">
        <v>517</v>
      </c>
      <c r="I66" s="661" t="s">
        <v>531</v>
      </c>
      <c r="J66" s="1206" t="s">
        <v>56</v>
      </c>
      <c r="K66" s="1251"/>
      <c r="L66" s="1224">
        <v>45964</v>
      </c>
      <c r="M66" s="1226" t="s">
        <v>57</v>
      </c>
      <c r="N66" s="1237">
        <v>215088</v>
      </c>
      <c r="O66" s="1226" t="s">
        <v>57</v>
      </c>
      <c r="P66" s="1278" t="s">
        <v>364</v>
      </c>
      <c r="Q66" s="1229">
        <v>45960</v>
      </c>
      <c r="R66" s="1229"/>
      <c r="S66" s="1229"/>
      <c r="T66" s="1229"/>
      <c r="U66" s="1229"/>
      <c r="V66" s="1230">
        <v>22238</v>
      </c>
      <c r="W66" s="1279">
        <v>22238</v>
      </c>
      <c r="X66" s="1210">
        <f t="shared" si="18"/>
        <v>0</v>
      </c>
      <c r="Y66" s="862">
        <f t="shared" si="19"/>
        <v>1</v>
      </c>
      <c r="Z66" s="1229">
        <v>45965</v>
      </c>
      <c r="AA66" s="355">
        <v>1</v>
      </c>
      <c r="AB66" s="355">
        <v>1</v>
      </c>
      <c r="AC66" s="645">
        <v>0</v>
      </c>
      <c r="AD66" s="1244" t="s">
        <v>532</v>
      </c>
    </row>
    <row r="67" spans="1:30" ht="39.75" customHeight="1">
      <c r="A67" s="1277" t="s">
        <v>533</v>
      </c>
      <c r="B67" s="823" t="s">
        <v>50</v>
      </c>
      <c r="C67" s="1204">
        <v>46218</v>
      </c>
      <c r="D67" s="1204" t="s">
        <v>534</v>
      </c>
      <c r="E67" s="51" t="s">
        <v>52</v>
      </c>
      <c r="F67" s="1225" t="s">
        <v>61</v>
      </c>
      <c r="G67" s="1225" t="s">
        <v>535</v>
      </c>
      <c r="H67" s="1226">
        <v>380</v>
      </c>
      <c r="I67" s="661" t="s">
        <v>363</v>
      </c>
      <c r="J67" s="1206" t="s">
        <v>56</v>
      </c>
      <c r="K67" s="1251"/>
      <c r="L67" s="1224">
        <v>45964</v>
      </c>
      <c r="M67" s="1226" t="s">
        <v>57</v>
      </c>
      <c r="N67" s="1237">
        <v>117414</v>
      </c>
      <c r="O67" s="1226" t="s">
        <v>57</v>
      </c>
      <c r="P67" s="1278" t="s">
        <v>364</v>
      </c>
      <c r="Q67" s="1229">
        <v>45964</v>
      </c>
      <c r="R67" s="1229"/>
      <c r="S67" s="1229"/>
      <c r="T67" s="1229"/>
      <c r="U67" s="1229"/>
      <c r="V67" s="1230">
        <v>9181</v>
      </c>
      <c r="W67" s="1279">
        <v>9179</v>
      </c>
      <c r="X67" s="1210">
        <f>SUM(V67-W67)</f>
        <v>2</v>
      </c>
      <c r="Y67" s="862">
        <f t="shared" si="19"/>
        <v>0.99978215880623023</v>
      </c>
      <c r="Z67" s="1209">
        <v>45992</v>
      </c>
      <c r="AA67" s="1212">
        <v>1</v>
      </c>
      <c r="AB67" s="1212">
        <v>0</v>
      </c>
      <c r="AC67" s="645">
        <v>0</v>
      </c>
      <c r="AD67" s="1244" t="s">
        <v>536</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6:K47 K49 K52:K60 K63:K67 K14:K39" xr:uid="{1F77D159-87F8-4334-B8DB-1D98E9EF8F0C}">
      <formula1>"Pending Locates,Permits, SOW Pending, NTP Pending, Materials, Reassigned, Door Tags"</formula1>
    </dataValidation>
    <dataValidation type="list" allowBlank="1" showInputMessage="1" showErrorMessage="1" sqref="I37 I17:I18 I29 I23:I27" xr:uid="{FF75A226-FC7F-404C-911A-49986724D48A}">
      <formula1>"On Track, In Jeopardy, Completed on Track, Completed, Completed -Missed TSD, On Hold Per Tillman"</formula1>
    </dataValidation>
    <dataValidation type="list" allowBlank="1" showInputMessage="1" showErrorMessage="1" sqref="I28 I2:I16 I19:I22 I38:I67 I30:I36" xr:uid="{FAE40925-7EC8-4626-B635-D815FEB73FF5}">
      <formula1>"On Track, In Jeopardy, Completed on Track, Completed, Completed -Missed TSD"</formula1>
    </dataValidation>
    <dataValidation type="list" allowBlank="1" showInputMessage="1" showErrorMessage="1" sqref="J7 J2:J5 J9:J14 J16 J19:J67" xr:uid="{ECCD296E-320E-42DF-8A21-19E7E0361B1B}">
      <formula1>"Received, Pending, Not Required"</formula1>
    </dataValidation>
    <dataValidation allowBlank="1" showInputMessage="1" showErrorMessage="1" sqref="Q46:U47 L46:L47 U42:U43 Q49:U49 L49 D35 R36:T38 U36 R39:U39 L36:L44 Q36:Q44 D40:D62 Q51:U60 L51:L60 D64:D65 L63:L67 Q64:U67 E67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2"/>
  <sheetViews>
    <sheetView tabSelected="1" zoomScale="80" zoomScaleNormal="80" workbookViewId="0">
      <pane xSplit="1" topLeftCell="N27" activePane="topRight" state="frozen"/>
      <selection pane="topRight" activeCell="P37" sqref="P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537</v>
      </c>
      <c r="B2" s="830" t="s">
        <v>200</v>
      </c>
      <c r="C2" s="467">
        <v>45960</v>
      </c>
      <c r="D2" s="467" t="s">
        <v>214</v>
      </c>
      <c r="E2" s="467">
        <v>45852</v>
      </c>
      <c r="F2" s="642" t="s">
        <v>215</v>
      </c>
      <c r="G2" s="682" t="s">
        <v>538</v>
      </c>
      <c r="H2" s="469">
        <v>0</v>
      </c>
      <c r="I2" s="469" t="s">
        <v>363</v>
      </c>
      <c r="J2" s="469" t="s">
        <v>63</v>
      </c>
      <c r="K2" s="469"/>
      <c r="L2" s="467">
        <v>45852</v>
      </c>
      <c r="M2" s="469" t="s">
        <v>57</v>
      </c>
      <c r="N2" s="542">
        <v>42837.2</v>
      </c>
      <c r="O2" s="469" t="s">
        <v>57</v>
      </c>
      <c r="P2" s="806" t="s">
        <v>364</v>
      </c>
      <c r="Q2" s="471">
        <v>45852</v>
      </c>
      <c r="R2" s="869"/>
      <c r="S2" s="869"/>
      <c r="T2" s="869"/>
      <c r="U2" s="87" t="s">
        <v>539</v>
      </c>
      <c r="V2" s="490">
        <v>3432</v>
      </c>
      <c r="W2" s="741">
        <v>3519</v>
      </c>
      <c r="X2" s="106">
        <f>SUM(V2-W2)</f>
        <v>-87</v>
      </c>
      <c r="Y2" s="657">
        <f>IFERROR($W2/$V2, 0)</f>
        <v>1.0253496503496504</v>
      </c>
      <c r="Z2" s="678">
        <v>45866</v>
      </c>
      <c r="AA2" s="355">
        <v>1</v>
      </c>
      <c r="AB2" s="355">
        <v>1</v>
      </c>
      <c r="AC2" s="1002">
        <v>0</v>
      </c>
      <c r="AD2" s="541"/>
    </row>
    <row r="3" spans="1:30" ht="39.75" customHeight="1">
      <c r="A3" s="842" t="s">
        <v>540</v>
      </c>
      <c r="B3" s="491" t="s">
        <v>200</v>
      </c>
      <c r="C3" s="467">
        <v>45868</v>
      </c>
      <c r="D3" s="475" t="s">
        <v>541</v>
      </c>
      <c r="E3" s="476">
        <v>45716</v>
      </c>
      <c r="F3" s="475" t="s">
        <v>215</v>
      </c>
      <c r="G3" s="597" t="s">
        <v>542</v>
      </c>
      <c r="H3" s="478">
        <v>0</v>
      </c>
      <c r="I3" s="483" t="s">
        <v>363</v>
      </c>
      <c r="J3" s="478" t="s">
        <v>63</v>
      </c>
      <c r="K3" s="487"/>
      <c r="L3" s="467">
        <v>45716</v>
      </c>
      <c r="M3" s="478" t="s">
        <v>57</v>
      </c>
      <c r="N3" s="543">
        <v>64932.55</v>
      </c>
      <c r="O3" s="478" t="s">
        <v>57</v>
      </c>
      <c r="P3" s="806" t="s">
        <v>364</v>
      </c>
      <c r="Q3" s="479">
        <v>45721</v>
      </c>
      <c r="R3" s="54"/>
      <c r="S3" s="54"/>
      <c r="T3" s="54"/>
      <c r="U3" s="87" t="s">
        <v>539</v>
      </c>
      <c r="V3" s="1101">
        <v>5151</v>
      </c>
      <c r="W3" s="742">
        <v>5207</v>
      </c>
      <c r="X3" s="106">
        <f>SUM(V3-W3)</f>
        <v>-56</v>
      </c>
      <c r="Y3" s="22">
        <f>IFERROR($W3/$V3, 0)</f>
        <v>1.0108716754028344</v>
      </c>
      <c r="Z3" s="678">
        <v>45748</v>
      </c>
      <c r="AA3" s="355">
        <v>1</v>
      </c>
      <c r="AB3" s="355">
        <v>1</v>
      </c>
      <c r="AC3" s="41">
        <v>0</v>
      </c>
      <c r="AD3" s="871"/>
    </row>
    <row r="4" spans="1:30" ht="39.75" customHeight="1">
      <c r="A4" s="878" t="s">
        <v>543</v>
      </c>
      <c r="B4" s="491" t="s">
        <v>200</v>
      </c>
      <c r="C4" s="467">
        <v>45991</v>
      </c>
      <c r="D4" s="476" t="s">
        <v>384</v>
      </c>
      <c r="E4" s="428">
        <v>45707</v>
      </c>
      <c r="F4" s="475" t="s">
        <v>215</v>
      </c>
      <c r="G4" s="492" t="s">
        <v>544</v>
      </c>
      <c r="H4" s="483">
        <v>0</v>
      </c>
      <c r="I4" s="483" t="s">
        <v>363</v>
      </c>
      <c r="J4" s="483" t="s">
        <v>63</v>
      </c>
      <c r="K4" s="483"/>
      <c r="L4" s="476">
        <v>45708</v>
      </c>
      <c r="M4" s="483" t="s">
        <v>57</v>
      </c>
      <c r="N4" s="544">
        <v>87944.4</v>
      </c>
      <c r="O4" s="483" t="s">
        <v>57</v>
      </c>
      <c r="P4" s="806" t="s">
        <v>364</v>
      </c>
      <c r="Q4" s="479">
        <v>45709</v>
      </c>
      <c r="R4" s="1102"/>
      <c r="S4" s="1102"/>
      <c r="T4" s="1102"/>
      <c r="U4" s="1103" t="s">
        <v>539</v>
      </c>
      <c r="V4" s="493">
        <v>7008</v>
      </c>
      <c r="W4" s="741">
        <v>7258</v>
      </c>
      <c r="X4" s="106">
        <f t="shared" ref="X4" si="0">SUM(V4-W4)</f>
        <v>-250</v>
      </c>
      <c r="Y4" s="22">
        <f t="shared" ref="Y4" si="1">IFERROR($W4/$V4, 0)</f>
        <v>1.0356735159817352</v>
      </c>
      <c r="Z4" s="678">
        <v>45747</v>
      </c>
      <c r="AA4" s="473">
        <v>1</v>
      </c>
      <c r="AB4" s="473">
        <v>1</v>
      </c>
      <c r="AC4" s="815">
        <v>0</v>
      </c>
      <c r="AD4" s="872" t="s">
        <v>545</v>
      </c>
    </row>
    <row r="5" spans="1:30" ht="39.75" customHeight="1">
      <c r="A5" s="842" t="s">
        <v>546</v>
      </c>
      <c r="B5" s="830" t="s">
        <v>200</v>
      </c>
      <c r="C5" s="476">
        <v>45807</v>
      </c>
      <c r="D5" s="465" t="s">
        <v>541</v>
      </c>
      <c r="E5" s="475" t="s">
        <v>52</v>
      </c>
      <c r="F5" s="465" t="s">
        <v>215</v>
      </c>
      <c r="G5" s="824" t="s">
        <v>547</v>
      </c>
      <c r="H5" s="469">
        <v>84</v>
      </c>
      <c r="I5" s="828" t="s">
        <v>363</v>
      </c>
      <c r="J5" s="478" t="s">
        <v>63</v>
      </c>
      <c r="K5" s="843"/>
      <c r="L5" s="467">
        <v>45716</v>
      </c>
      <c r="M5" s="478" t="s">
        <v>57</v>
      </c>
      <c r="N5" s="542">
        <v>2812.95</v>
      </c>
      <c r="O5" s="478" t="s">
        <v>57</v>
      </c>
      <c r="P5" s="806" t="s">
        <v>364</v>
      </c>
      <c r="Q5" s="479">
        <v>45792</v>
      </c>
      <c r="R5" s="479">
        <v>45947</v>
      </c>
      <c r="S5" s="352"/>
      <c r="T5" s="352"/>
      <c r="U5" s="486" t="s">
        <v>539</v>
      </c>
      <c r="V5" s="41">
        <v>285</v>
      </c>
      <c r="W5" s="844">
        <v>285</v>
      </c>
      <c r="X5" s="472">
        <f>SUM(V5-W5)</f>
        <v>0</v>
      </c>
      <c r="Y5" s="662">
        <f>IFERROR($W5/$V5, 0)</f>
        <v>1</v>
      </c>
      <c r="Z5" s="479">
        <v>45798</v>
      </c>
      <c r="AA5" s="662">
        <v>1</v>
      </c>
      <c r="AB5" s="662">
        <v>1</v>
      </c>
      <c r="AC5" s="472">
        <v>3451</v>
      </c>
      <c r="AD5" s="664"/>
    </row>
    <row r="6" spans="1:30" ht="39.75" customHeight="1">
      <c r="A6" s="929" t="s">
        <v>548</v>
      </c>
      <c r="B6" s="491" t="s">
        <v>200</v>
      </c>
      <c r="C6" s="467">
        <v>45991</v>
      </c>
      <c r="D6" s="475" t="s">
        <v>549</v>
      </c>
      <c r="E6" s="476">
        <v>45716</v>
      </c>
      <c r="F6" s="475" t="s">
        <v>201</v>
      </c>
      <c r="G6" s="477" t="s">
        <v>550</v>
      </c>
      <c r="H6" s="478">
        <v>31</v>
      </c>
      <c r="I6" s="483" t="s">
        <v>363</v>
      </c>
      <c r="J6" s="478" t="s">
        <v>63</v>
      </c>
      <c r="K6" s="487"/>
      <c r="L6" s="467">
        <v>45716</v>
      </c>
      <c r="M6" s="478" t="s">
        <v>57</v>
      </c>
      <c r="N6" s="543">
        <v>28777</v>
      </c>
      <c r="O6" s="478" t="s">
        <v>57</v>
      </c>
      <c r="P6" s="806" t="s">
        <v>364</v>
      </c>
      <c r="Q6" s="479">
        <v>45716</v>
      </c>
      <c r="R6" s="479">
        <v>45992</v>
      </c>
      <c r="S6" s="479"/>
      <c r="T6" s="479"/>
      <c r="U6" s="486" t="s">
        <v>539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551</v>
      </c>
      <c r="B7" s="491" t="s">
        <v>200</v>
      </c>
      <c r="C7" s="467">
        <v>45991</v>
      </c>
      <c r="D7" s="475" t="s">
        <v>384</v>
      </c>
      <c r="E7" s="476">
        <v>45866</v>
      </c>
      <c r="F7" s="475" t="s">
        <v>215</v>
      </c>
      <c r="G7" s="477" t="s">
        <v>552</v>
      </c>
      <c r="H7" s="478">
        <v>0</v>
      </c>
      <c r="I7" s="483" t="s">
        <v>363</v>
      </c>
      <c r="J7" s="478" t="s">
        <v>63</v>
      </c>
      <c r="K7" s="487"/>
      <c r="L7" s="476">
        <v>45863</v>
      </c>
      <c r="M7" s="478" t="s">
        <v>57</v>
      </c>
      <c r="N7" s="543">
        <v>143407.25</v>
      </c>
      <c r="O7" s="478" t="s">
        <v>57</v>
      </c>
      <c r="P7" s="806" t="s">
        <v>364</v>
      </c>
      <c r="Q7" s="479">
        <v>45863</v>
      </c>
      <c r="R7" s="479"/>
      <c r="S7" s="479"/>
      <c r="T7" s="479"/>
      <c r="U7" s="486" t="s">
        <v>539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553</v>
      </c>
      <c r="B8" s="491" t="s">
        <v>200</v>
      </c>
      <c r="C8" s="467">
        <v>45991</v>
      </c>
      <c r="D8" s="475" t="s">
        <v>71</v>
      </c>
      <c r="E8" s="476">
        <v>45880</v>
      </c>
      <c r="F8" s="475" t="s">
        <v>201</v>
      </c>
      <c r="G8" s="477" t="s">
        <v>554</v>
      </c>
      <c r="H8" s="478">
        <v>0</v>
      </c>
      <c r="I8" s="483" t="s">
        <v>363</v>
      </c>
      <c r="J8" s="478" t="s">
        <v>63</v>
      </c>
      <c r="K8" s="487"/>
      <c r="L8" s="476">
        <v>45881</v>
      </c>
      <c r="M8" s="478" t="s">
        <v>57</v>
      </c>
      <c r="N8" s="543">
        <v>4815.6499999999996</v>
      </c>
      <c r="O8" s="478" t="s">
        <v>57</v>
      </c>
      <c r="P8" s="806" t="s">
        <v>364</v>
      </c>
      <c r="Q8" s="479">
        <v>45881</v>
      </c>
      <c r="R8" s="479">
        <v>45947</v>
      </c>
      <c r="S8" s="479"/>
      <c r="T8" s="479"/>
      <c r="U8" s="486" t="s">
        <v>539</v>
      </c>
      <c r="V8" s="41">
        <v>321</v>
      </c>
      <c r="W8" s="742">
        <v>367</v>
      </c>
      <c r="X8" s="106">
        <f>SUM(V8-W8)</f>
        <v>-46</v>
      </c>
      <c r="Y8" s="22">
        <f>IFERROR($W8/$V8, 0)</f>
        <v>1.1433021806853583</v>
      </c>
      <c r="Z8" s="678">
        <v>45905</v>
      </c>
      <c r="AA8" s="355">
        <v>0</v>
      </c>
      <c r="AB8" s="355">
        <v>0</v>
      </c>
      <c r="AC8" s="41">
        <v>0</v>
      </c>
      <c r="AD8" s="515"/>
    </row>
    <row r="9" spans="1:30" ht="39.75" customHeight="1">
      <c r="A9" s="939" t="s">
        <v>555</v>
      </c>
      <c r="B9" s="833" t="s">
        <v>200</v>
      </c>
      <c r="C9" s="834">
        <v>45955</v>
      </c>
      <c r="D9" s="835" t="s">
        <v>127</v>
      </c>
      <c r="E9" s="835">
        <v>45919</v>
      </c>
      <c r="F9" s="835" t="s">
        <v>226</v>
      </c>
      <c r="G9" s="836" t="s">
        <v>556</v>
      </c>
      <c r="H9" s="393">
        <v>0</v>
      </c>
      <c r="I9" s="837" t="s">
        <v>363</v>
      </c>
      <c r="J9" s="393" t="s">
        <v>63</v>
      </c>
      <c r="K9" s="393"/>
      <c r="L9" s="835" t="s">
        <v>52</v>
      </c>
      <c r="M9" s="393" t="s">
        <v>57</v>
      </c>
      <c r="N9" s="838">
        <v>4646.75</v>
      </c>
      <c r="O9" s="393" t="s">
        <v>91</v>
      </c>
      <c r="P9" s="913" t="s">
        <v>364</v>
      </c>
      <c r="Q9" s="598"/>
      <c r="R9" s="598">
        <v>45947</v>
      </c>
      <c r="S9" s="598"/>
      <c r="T9" s="598"/>
      <c r="U9" s="486" t="s">
        <v>539</v>
      </c>
      <c r="V9" s="936">
        <v>117</v>
      </c>
      <c r="W9" s="940">
        <v>117</v>
      </c>
      <c r="X9" s="106">
        <f t="shared" ref="X9:X49" si="6">SUM(V9-W9)</f>
        <v>0</v>
      </c>
      <c r="Y9" s="657">
        <f t="shared" ref="Y9:Y49" si="7">IFERROR($W9/$V9, 0)</f>
        <v>1</v>
      </c>
      <c r="Z9" s="877">
        <v>45946</v>
      </c>
      <c r="AA9" s="601">
        <v>0</v>
      </c>
      <c r="AB9" s="601">
        <v>0</v>
      </c>
      <c r="AC9" s="839">
        <v>0</v>
      </c>
      <c r="AD9" s="840"/>
    </row>
    <row r="10" spans="1:30" ht="39.75" customHeight="1">
      <c r="A10" s="929" t="s">
        <v>557</v>
      </c>
      <c r="B10" s="465" t="s">
        <v>107</v>
      </c>
      <c r="C10" s="476">
        <v>45960</v>
      </c>
      <c r="D10" s="467" t="s">
        <v>71</v>
      </c>
      <c r="E10" s="476">
        <v>45918</v>
      </c>
      <c r="F10" s="465" t="s">
        <v>108</v>
      </c>
      <c r="G10" s="50" t="s">
        <v>558</v>
      </c>
      <c r="H10" s="996">
        <v>0</v>
      </c>
      <c r="I10" s="661" t="s">
        <v>363</v>
      </c>
      <c r="J10" s="469" t="s">
        <v>63</v>
      </c>
      <c r="K10" s="469"/>
      <c r="L10" s="476">
        <v>45918</v>
      </c>
      <c r="M10" s="478" t="s">
        <v>57</v>
      </c>
      <c r="N10" s="543">
        <v>9611.9500000000007</v>
      </c>
      <c r="O10" s="478" t="s">
        <v>57</v>
      </c>
      <c r="P10" s="806" t="s">
        <v>364</v>
      </c>
      <c r="Q10" s="479">
        <v>45918</v>
      </c>
      <c r="R10" s="479"/>
      <c r="S10" s="479"/>
      <c r="T10" s="479"/>
      <c r="U10" s="486" t="s">
        <v>539</v>
      </c>
      <c r="V10" s="41">
        <v>807</v>
      </c>
      <c r="W10" s="742">
        <v>896</v>
      </c>
      <c r="X10" s="106">
        <f t="shared" si="6"/>
        <v>-89</v>
      </c>
      <c r="Y10" s="657">
        <f t="shared" si="7"/>
        <v>1.110285006195787</v>
      </c>
      <c r="Z10" s="678">
        <v>45938</v>
      </c>
      <c r="AA10" s="662">
        <v>1</v>
      </c>
      <c r="AB10" s="662">
        <v>1</v>
      </c>
      <c r="AC10" s="645">
        <v>0</v>
      </c>
      <c r="AD10" s="474" t="s">
        <v>559</v>
      </c>
    </row>
    <row r="11" spans="1:30" ht="39.75" customHeight="1">
      <c r="A11" s="1374" t="s">
        <v>560</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539</v>
      </c>
      <c r="V11" s="787">
        <v>3885</v>
      </c>
      <c r="W11" s="1373">
        <v>3910</v>
      </c>
      <c r="X11" s="1210">
        <f>SUM(V11-W11)</f>
        <v>-25</v>
      </c>
      <c r="Y11" s="662">
        <f t="shared" si="7"/>
        <v>1.0064350064350065</v>
      </c>
      <c r="Z11" s="1229">
        <v>46006</v>
      </c>
      <c r="AA11" s="1212">
        <v>1</v>
      </c>
      <c r="AB11" s="1212">
        <v>0</v>
      </c>
      <c r="AC11" s="645">
        <v>0</v>
      </c>
      <c r="AD11" s="1213" t="s">
        <v>561</v>
      </c>
    </row>
    <row r="12" spans="1:30" ht="39.75" customHeight="1">
      <c r="A12" s="845" t="s">
        <v>562</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539</v>
      </c>
      <c r="V12" s="41">
        <v>3566</v>
      </c>
      <c r="W12" s="742">
        <v>3704</v>
      </c>
      <c r="X12" s="106">
        <f t="shared" si="6"/>
        <v>-138</v>
      </c>
      <c r="Y12" s="22">
        <f t="shared" si="7"/>
        <v>1.0386988222097588</v>
      </c>
      <c r="Z12" s="678">
        <v>45904</v>
      </c>
      <c r="AA12" s="355">
        <v>1</v>
      </c>
      <c r="AB12" s="355">
        <v>1</v>
      </c>
      <c r="AC12" s="645">
        <v>0</v>
      </c>
      <c r="AD12" s="515" t="s">
        <v>563</v>
      </c>
    </row>
    <row r="13" spans="1:30" ht="39.75" customHeight="1">
      <c r="A13" s="845" t="s">
        <v>564</v>
      </c>
      <c r="B13" s="465" t="s">
        <v>107</v>
      </c>
      <c r="C13" s="476">
        <v>45930</v>
      </c>
      <c r="D13" s="467" t="s">
        <v>127</v>
      </c>
      <c r="E13" s="467">
        <v>45896</v>
      </c>
      <c r="F13" s="465" t="s">
        <v>158</v>
      </c>
      <c r="G13" s="465" t="s">
        <v>565</v>
      </c>
      <c r="H13" s="469">
        <v>66</v>
      </c>
      <c r="I13" s="469" t="s">
        <v>363</v>
      </c>
      <c r="J13" s="469" t="s">
        <v>63</v>
      </c>
      <c r="K13" s="469"/>
      <c r="L13" s="467">
        <v>45897</v>
      </c>
      <c r="M13" s="469" t="s">
        <v>57</v>
      </c>
      <c r="N13" s="542">
        <v>44896.1</v>
      </c>
      <c r="O13" s="469" t="s">
        <v>57</v>
      </c>
      <c r="P13" s="806" t="s">
        <v>364</v>
      </c>
      <c r="Q13" s="471">
        <v>45897</v>
      </c>
      <c r="R13" s="482"/>
      <c r="S13" s="482"/>
      <c r="T13" s="482"/>
      <c r="U13" s="486" t="s">
        <v>539</v>
      </c>
      <c r="V13" s="472">
        <v>2385</v>
      </c>
      <c r="W13" s="742">
        <v>2385</v>
      </c>
      <c r="X13" s="106">
        <f t="shared" si="6"/>
        <v>0</v>
      </c>
      <c r="Y13" s="22">
        <f t="shared" si="7"/>
        <v>1</v>
      </c>
      <c r="Z13" s="678">
        <v>45918</v>
      </c>
      <c r="AA13" s="355">
        <v>1</v>
      </c>
      <c r="AB13" s="355">
        <v>1</v>
      </c>
      <c r="AC13" s="645">
        <v>0</v>
      </c>
      <c r="AD13" s="413" t="s">
        <v>566</v>
      </c>
    </row>
    <row r="14" spans="1:30" ht="39.75" customHeight="1">
      <c r="A14" s="845" t="s">
        <v>567</v>
      </c>
      <c r="B14" s="465" t="s">
        <v>107</v>
      </c>
      <c r="C14" s="476">
        <v>45930</v>
      </c>
      <c r="D14" s="467" t="s">
        <v>127</v>
      </c>
      <c r="E14" s="642">
        <v>45910</v>
      </c>
      <c r="F14" s="465" t="s">
        <v>108</v>
      </c>
      <c r="G14" s="465" t="s">
        <v>568</v>
      </c>
      <c r="H14" s="469">
        <v>80</v>
      </c>
      <c r="I14" s="469" t="s">
        <v>363</v>
      </c>
      <c r="J14" s="469" t="s">
        <v>63</v>
      </c>
      <c r="K14" s="469"/>
      <c r="L14" s="467">
        <v>45903</v>
      </c>
      <c r="M14" s="469" t="s">
        <v>57</v>
      </c>
      <c r="N14" s="542">
        <v>59116.7</v>
      </c>
      <c r="O14" s="469" t="s">
        <v>57</v>
      </c>
      <c r="P14" s="806" t="s">
        <v>364</v>
      </c>
      <c r="Q14" s="471">
        <v>45903</v>
      </c>
      <c r="R14" s="482"/>
      <c r="S14" s="482"/>
      <c r="T14" s="471"/>
      <c r="U14" s="486" t="s">
        <v>539</v>
      </c>
      <c r="V14" s="472">
        <v>4833</v>
      </c>
      <c r="W14" s="742">
        <v>4446</v>
      </c>
      <c r="X14" s="106">
        <f t="shared" si="6"/>
        <v>387</v>
      </c>
      <c r="Y14" s="22">
        <f t="shared" si="7"/>
        <v>0.91992551210428308</v>
      </c>
      <c r="Z14" s="678">
        <v>45923</v>
      </c>
      <c r="AA14" s="355">
        <v>1</v>
      </c>
      <c r="AB14" s="355">
        <v>1</v>
      </c>
      <c r="AC14" s="645">
        <v>0</v>
      </c>
      <c r="AD14" s="413" t="s">
        <v>569</v>
      </c>
    </row>
    <row r="15" spans="1:30" ht="39.75" customHeight="1">
      <c r="A15" s="842" t="s">
        <v>570</v>
      </c>
      <c r="B15" s="465" t="s">
        <v>107</v>
      </c>
      <c r="C15" s="476">
        <v>45930</v>
      </c>
      <c r="D15" s="467" t="s">
        <v>127</v>
      </c>
      <c r="E15" s="642">
        <v>45910</v>
      </c>
      <c r="F15" s="642" t="s">
        <v>158</v>
      </c>
      <c r="G15" s="682" t="s">
        <v>571</v>
      </c>
      <c r="H15" s="469">
        <v>67</v>
      </c>
      <c r="I15" s="661" t="s">
        <v>363</v>
      </c>
      <c r="J15" s="469" t="s">
        <v>63</v>
      </c>
      <c r="K15" s="469"/>
      <c r="L15" s="467">
        <v>45903</v>
      </c>
      <c r="M15" s="469" t="s">
        <v>57</v>
      </c>
      <c r="N15" s="542">
        <v>40406</v>
      </c>
      <c r="O15" s="469" t="s">
        <v>57</v>
      </c>
      <c r="P15" s="806" t="s">
        <v>364</v>
      </c>
      <c r="Q15" s="471">
        <v>45903</v>
      </c>
      <c r="R15" s="552"/>
      <c r="S15" s="552"/>
      <c r="T15" s="552"/>
      <c r="U15" s="486" t="s">
        <v>539</v>
      </c>
      <c r="V15" s="472">
        <v>3895</v>
      </c>
      <c r="W15" s="742">
        <v>3809</v>
      </c>
      <c r="X15" s="106">
        <f t="shared" si="6"/>
        <v>86</v>
      </c>
      <c r="Y15" s="657">
        <f t="shared" si="7"/>
        <v>0.97792041078305525</v>
      </c>
      <c r="Z15" s="678">
        <v>45924</v>
      </c>
      <c r="AA15" s="355">
        <v>1</v>
      </c>
      <c r="AB15" s="355">
        <v>1</v>
      </c>
      <c r="AC15" s="645">
        <v>0</v>
      </c>
      <c r="AD15" s="873" t="s">
        <v>572</v>
      </c>
    </row>
    <row r="16" spans="1:30" ht="39.75" customHeight="1">
      <c r="A16" s="1374" t="s">
        <v>573</v>
      </c>
      <c r="B16" s="1205" t="s">
        <v>107</v>
      </c>
      <c r="C16" s="1204">
        <v>46010</v>
      </c>
      <c r="D16" s="1204" t="s">
        <v>139</v>
      </c>
      <c r="E16" s="1204">
        <v>45974</v>
      </c>
      <c r="F16" s="1205" t="s">
        <v>108</v>
      </c>
      <c r="G16" s="1205" t="s">
        <v>574</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539</v>
      </c>
      <c r="V16" s="1210">
        <v>2584</v>
      </c>
      <c r="W16" s="1373">
        <v>2584</v>
      </c>
      <c r="X16" s="1210">
        <f t="shared" si="6"/>
        <v>0</v>
      </c>
      <c r="Y16" s="662">
        <f t="shared" si="7"/>
        <v>1</v>
      </c>
      <c r="Z16" s="1229">
        <v>46000</v>
      </c>
      <c r="AA16" s="1212">
        <v>1</v>
      </c>
      <c r="AB16" s="1212">
        <v>0</v>
      </c>
      <c r="AC16" s="645">
        <v>0</v>
      </c>
      <c r="AD16" s="1213" t="s">
        <v>575</v>
      </c>
    </row>
    <row r="17" spans="1:30" ht="39.75" customHeight="1">
      <c r="A17" s="1374" t="s">
        <v>576</v>
      </c>
      <c r="B17" s="1205" t="s">
        <v>107</v>
      </c>
      <c r="C17" s="1204">
        <v>46010</v>
      </c>
      <c r="D17" s="1204" t="s">
        <v>139</v>
      </c>
      <c r="E17" s="1204">
        <v>45974</v>
      </c>
      <c r="F17" s="1205" t="s">
        <v>108</v>
      </c>
      <c r="G17" s="1205" t="s">
        <v>577</v>
      </c>
      <c r="H17" s="1206">
        <v>28</v>
      </c>
      <c r="I17" s="661" t="s">
        <v>363</v>
      </c>
      <c r="J17" s="1206" t="s">
        <v>63</v>
      </c>
      <c r="K17" s="1206"/>
      <c r="L17" s="1204">
        <v>45972</v>
      </c>
      <c r="M17" s="1206" t="s">
        <v>57</v>
      </c>
      <c r="N17" s="1207">
        <v>27615.5</v>
      </c>
      <c r="O17" s="1206" t="s">
        <v>57</v>
      </c>
      <c r="P17" s="1375" t="s">
        <v>364</v>
      </c>
      <c r="Q17" s="1257">
        <v>45979</v>
      </c>
      <c r="R17" s="1258"/>
      <c r="S17" s="1256"/>
      <c r="T17" s="1256"/>
      <c r="U17" s="486" t="s">
        <v>539</v>
      </c>
      <c r="V17" s="1210">
        <v>2027</v>
      </c>
      <c r="W17" s="1373">
        <v>2146</v>
      </c>
      <c r="X17" s="1210">
        <f t="shared" si="6"/>
        <v>-119</v>
      </c>
      <c r="Y17" s="862">
        <f t="shared" si="7"/>
        <v>1.0587074494326592</v>
      </c>
      <c r="Z17" s="1209">
        <v>45994</v>
      </c>
      <c r="AA17" s="1212">
        <v>1</v>
      </c>
      <c r="AB17" s="1212">
        <v>0</v>
      </c>
      <c r="AC17" s="645">
        <v>0</v>
      </c>
      <c r="AD17" s="1213" t="s">
        <v>578</v>
      </c>
    </row>
    <row r="18" spans="1:30" ht="39.75" customHeight="1">
      <c r="A18" s="1374" t="s">
        <v>579</v>
      </c>
      <c r="B18" s="1205" t="s">
        <v>107</v>
      </c>
      <c r="C18" s="1204">
        <v>46006</v>
      </c>
      <c r="D18" s="1204" t="s">
        <v>127</v>
      </c>
      <c r="E18" s="1204">
        <v>45999</v>
      </c>
      <c r="F18" s="1205" t="s">
        <v>108</v>
      </c>
      <c r="G18" s="1205" t="s">
        <v>580</v>
      </c>
      <c r="H18" s="1206">
        <v>87</v>
      </c>
      <c r="I18" s="661" t="s">
        <v>363</v>
      </c>
      <c r="J18" s="1206" t="s">
        <v>63</v>
      </c>
      <c r="K18" s="469"/>
      <c r="L18" s="1204">
        <v>45999</v>
      </c>
      <c r="M18" s="1206" t="s">
        <v>57</v>
      </c>
      <c r="N18" s="1207">
        <v>74384</v>
      </c>
      <c r="O18" s="1206" t="s">
        <v>57</v>
      </c>
      <c r="P18" s="1375" t="s">
        <v>364</v>
      </c>
      <c r="Q18" s="1257">
        <v>45999</v>
      </c>
      <c r="R18" s="552"/>
      <c r="S18" s="552"/>
      <c r="T18" s="552"/>
      <c r="U18" s="486" t="s">
        <v>539</v>
      </c>
      <c r="V18" s="1210">
        <v>6130</v>
      </c>
      <c r="W18" s="1373">
        <v>5915</v>
      </c>
      <c r="X18" s="1210">
        <f t="shared" si="6"/>
        <v>215</v>
      </c>
      <c r="Y18" s="662">
        <f t="shared" si="7"/>
        <v>0.96492659053833607</v>
      </c>
      <c r="Z18" s="1229">
        <v>46006</v>
      </c>
      <c r="AA18" s="1212">
        <v>1</v>
      </c>
      <c r="AB18" s="1212">
        <v>1</v>
      </c>
      <c r="AC18" s="645">
        <v>0</v>
      </c>
      <c r="AD18" s="1213" t="s">
        <v>581</v>
      </c>
    </row>
    <row r="19" spans="1:30" ht="39.75" customHeight="1">
      <c r="A19" s="929" t="s">
        <v>582</v>
      </c>
      <c r="B19" s="465" t="s">
        <v>107</v>
      </c>
      <c r="C19" s="467">
        <v>46006</v>
      </c>
      <c r="D19" s="467" t="s">
        <v>127</v>
      </c>
      <c r="E19" s="467">
        <v>45979</v>
      </c>
      <c r="F19" s="465" t="s">
        <v>158</v>
      </c>
      <c r="G19" s="682" t="s">
        <v>583</v>
      </c>
      <c r="H19" s="469">
        <v>28</v>
      </c>
      <c r="I19" s="661" t="s">
        <v>363</v>
      </c>
      <c r="J19" s="469" t="s">
        <v>63</v>
      </c>
      <c r="K19" s="469"/>
      <c r="L19" s="467">
        <v>45979</v>
      </c>
      <c r="M19" s="469" t="s">
        <v>57</v>
      </c>
      <c r="N19" s="542">
        <v>29683</v>
      </c>
      <c r="O19" s="469" t="s">
        <v>57</v>
      </c>
      <c r="P19" s="806" t="s">
        <v>364</v>
      </c>
      <c r="Q19" s="1001">
        <v>45979</v>
      </c>
      <c r="R19" s="552"/>
      <c r="S19" s="552"/>
      <c r="T19" s="552"/>
      <c r="U19" s="486" t="s">
        <v>539</v>
      </c>
      <c r="V19" s="472">
        <v>2416</v>
      </c>
      <c r="W19" s="742">
        <v>2533</v>
      </c>
      <c r="X19" s="472">
        <f t="shared" si="6"/>
        <v>-117</v>
      </c>
      <c r="Y19" s="862">
        <f t="shared" si="7"/>
        <v>1.0484271523178808</v>
      </c>
      <c r="Z19" s="471">
        <v>45994</v>
      </c>
      <c r="AA19" s="355">
        <v>1</v>
      </c>
      <c r="AB19" s="355">
        <v>0</v>
      </c>
      <c r="AC19" s="645">
        <v>0</v>
      </c>
      <c r="AD19" s="474" t="s">
        <v>584</v>
      </c>
    </row>
    <row r="20" spans="1:30" ht="39.75" customHeight="1">
      <c r="A20" s="929" t="s">
        <v>585</v>
      </c>
      <c r="B20" s="465" t="s">
        <v>107</v>
      </c>
      <c r="C20" s="476">
        <v>45960</v>
      </c>
      <c r="D20" s="467" t="s">
        <v>127</v>
      </c>
      <c r="E20" s="467">
        <v>45936</v>
      </c>
      <c r="F20" s="465" t="s">
        <v>140</v>
      </c>
      <c r="G20" s="682"/>
      <c r="H20" s="469">
        <v>35</v>
      </c>
      <c r="I20" s="661" t="s">
        <v>363</v>
      </c>
      <c r="J20" s="469" t="s">
        <v>63</v>
      </c>
      <c r="K20" s="469"/>
      <c r="L20" s="467">
        <v>45933</v>
      </c>
      <c r="M20" s="469" t="s">
        <v>57</v>
      </c>
      <c r="N20" s="542">
        <v>26026</v>
      </c>
      <c r="O20" s="469" t="s">
        <v>57</v>
      </c>
      <c r="P20" s="806" t="s">
        <v>364</v>
      </c>
      <c r="Q20" s="471">
        <v>45933</v>
      </c>
      <c r="R20" s="552"/>
      <c r="S20" s="552"/>
      <c r="T20" s="552"/>
      <c r="U20" s="486" t="s">
        <v>539</v>
      </c>
      <c r="V20" s="472">
        <v>2071</v>
      </c>
      <c r="W20" s="742">
        <v>2072</v>
      </c>
      <c r="X20" s="472">
        <f>SUM(V20-W20)</f>
        <v>-1</v>
      </c>
      <c r="Y20" s="662">
        <f t="shared" ref="Y20" si="8">IFERROR($W20/$V20, 0)</f>
        <v>1.000482858522453</v>
      </c>
      <c r="Z20" s="479">
        <v>45958</v>
      </c>
      <c r="AA20" s="355">
        <v>1</v>
      </c>
      <c r="AB20" s="355">
        <v>1</v>
      </c>
      <c r="AC20" s="787">
        <v>0</v>
      </c>
      <c r="AD20" s="474" t="s">
        <v>586</v>
      </c>
    </row>
    <row r="21" spans="1:30" ht="39.75" customHeight="1">
      <c r="A21" s="845" t="s">
        <v>587</v>
      </c>
      <c r="B21" s="465" t="s">
        <v>107</v>
      </c>
      <c r="C21" s="476">
        <v>45960</v>
      </c>
      <c r="D21" s="467" t="s">
        <v>127</v>
      </c>
      <c r="E21" s="467">
        <v>45915</v>
      </c>
      <c r="F21" s="642" t="s">
        <v>158</v>
      </c>
      <c r="G21" s="682"/>
      <c r="H21" s="469">
        <v>82</v>
      </c>
      <c r="I21" s="661" t="s">
        <v>363</v>
      </c>
      <c r="J21" s="469" t="s">
        <v>63</v>
      </c>
      <c r="K21" s="469"/>
      <c r="L21" s="467">
        <v>45912</v>
      </c>
      <c r="M21" s="469" t="s">
        <v>57</v>
      </c>
      <c r="N21" s="542">
        <v>82621.149999999994</v>
      </c>
      <c r="O21" s="469" t="s">
        <v>57</v>
      </c>
      <c r="P21" s="806" t="s">
        <v>364</v>
      </c>
      <c r="Q21" s="471">
        <v>45912</v>
      </c>
      <c r="R21" s="471"/>
      <c r="S21" s="471"/>
      <c r="T21" s="471"/>
      <c r="U21" s="486" t="s">
        <v>539</v>
      </c>
      <c r="V21" s="472">
        <v>5653</v>
      </c>
      <c r="W21" s="742">
        <v>5653</v>
      </c>
      <c r="X21" s="106">
        <f t="shared" si="6"/>
        <v>0</v>
      </c>
      <c r="Y21" s="657">
        <f t="shared" si="7"/>
        <v>1</v>
      </c>
      <c r="Z21" s="678">
        <v>45932</v>
      </c>
      <c r="AA21" s="355">
        <v>1</v>
      </c>
      <c r="AB21" s="355">
        <v>1</v>
      </c>
      <c r="AC21" s="787">
        <v>0</v>
      </c>
      <c r="AD21" s="873" t="s">
        <v>588</v>
      </c>
    </row>
    <row r="22" spans="1:30" ht="39.75" customHeight="1">
      <c r="A22" s="842" t="s">
        <v>589</v>
      </c>
      <c r="B22" s="465" t="s">
        <v>107</v>
      </c>
      <c r="C22" s="476">
        <v>45945</v>
      </c>
      <c r="D22" s="467" t="s">
        <v>127</v>
      </c>
      <c r="E22" s="467">
        <v>45932</v>
      </c>
      <c r="F22" s="465" t="s">
        <v>158</v>
      </c>
      <c r="G22" s="682"/>
      <c r="H22" s="469">
        <v>34</v>
      </c>
      <c r="I22" s="661" t="s">
        <v>363</v>
      </c>
      <c r="J22" s="469" t="s">
        <v>63</v>
      </c>
      <c r="K22" s="469"/>
      <c r="L22" s="467">
        <v>45933</v>
      </c>
      <c r="M22" s="469" t="s">
        <v>57</v>
      </c>
      <c r="N22" s="542">
        <v>29646</v>
      </c>
      <c r="O22" s="469" t="s">
        <v>57</v>
      </c>
      <c r="P22" s="806" t="s">
        <v>364</v>
      </c>
      <c r="Q22" s="471">
        <v>45933</v>
      </c>
      <c r="R22" s="552"/>
      <c r="S22" s="552"/>
      <c r="T22" s="552"/>
      <c r="U22" s="486" t="s">
        <v>539</v>
      </c>
      <c r="V22" s="472">
        <v>2188</v>
      </c>
      <c r="W22" s="742">
        <v>2278</v>
      </c>
      <c r="X22" s="106">
        <f>SUM(V22-W22)</f>
        <v>-90</v>
      </c>
      <c r="Y22" s="657">
        <f>IFERROR($W22/$V22, 0)</f>
        <v>1.0411334552102376</v>
      </c>
      <c r="Z22" s="678">
        <v>45931</v>
      </c>
      <c r="AA22" s="355">
        <v>1</v>
      </c>
      <c r="AB22" s="355">
        <v>1</v>
      </c>
      <c r="AC22" s="787">
        <v>0</v>
      </c>
      <c r="AD22" s="873" t="s">
        <v>590</v>
      </c>
    </row>
    <row r="23" spans="1:30" ht="39.75" customHeight="1">
      <c r="A23" s="929" t="s">
        <v>591</v>
      </c>
      <c r="B23" s="465" t="s">
        <v>107</v>
      </c>
      <c r="C23" s="476">
        <v>45960</v>
      </c>
      <c r="D23" s="467" t="s">
        <v>195</v>
      </c>
      <c r="E23" s="467">
        <v>45932</v>
      </c>
      <c r="F23" s="465" t="s">
        <v>108</v>
      </c>
      <c r="G23" s="682"/>
      <c r="H23" s="469">
        <v>79</v>
      </c>
      <c r="I23" s="661" t="s">
        <v>363</v>
      </c>
      <c r="J23" s="469" t="s">
        <v>63</v>
      </c>
      <c r="K23" s="469"/>
      <c r="L23" s="467">
        <v>45933</v>
      </c>
      <c r="M23" s="469" t="s">
        <v>57</v>
      </c>
      <c r="N23" s="542">
        <v>45014</v>
      </c>
      <c r="O23" s="469" t="s">
        <v>57</v>
      </c>
      <c r="P23" s="806" t="s">
        <v>364</v>
      </c>
      <c r="Q23" s="471">
        <v>45933</v>
      </c>
      <c r="R23" s="552"/>
      <c r="S23" s="552"/>
      <c r="T23" s="552"/>
      <c r="U23" s="486" t="s">
        <v>539</v>
      </c>
      <c r="V23" s="472">
        <v>3378</v>
      </c>
      <c r="W23" s="742">
        <v>3372</v>
      </c>
      <c r="X23" s="472">
        <f>SUM(V23-W23)</f>
        <v>6</v>
      </c>
      <c r="Y23" s="662">
        <f t="shared" ref="Y23" si="9">IFERROR($W23/$V23, 0)</f>
        <v>0.9982238010657194</v>
      </c>
      <c r="Z23" s="479">
        <v>45958</v>
      </c>
      <c r="AA23" s="355">
        <v>1</v>
      </c>
      <c r="AB23" s="355">
        <v>1</v>
      </c>
      <c r="AC23" s="787">
        <v>0</v>
      </c>
      <c r="AD23" s="952" t="s">
        <v>592</v>
      </c>
    </row>
    <row r="24" spans="1:30" ht="39.75" customHeight="1">
      <c r="A24" s="929" t="s">
        <v>593</v>
      </c>
      <c r="B24" s="465" t="s">
        <v>107</v>
      </c>
      <c r="C24" s="476">
        <v>45960</v>
      </c>
      <c r="D24" s="467" t="s">
        <v>127</v>
      </c>
      <c r="E24" s="467">
        <v>45936</v>
      </c>
      <c r="F24" s="465" t="s">
        <v>108</v>
      </c>
      <c r="G24" s="682"/>
      <c r="H24" s="469">
        <v>75</v>
      </c>
      <c r="I24" s="661" t="s">
        <v>363</v>
      </c>
      <c r="J24" s="469" t="s">
        <v>63</v>
      </c>
      <c r="K24" s="469"/>
      <c r="L24" s="467">
        <v>45936</v>
      </c>
      <c r="M24" s="469" t="s">
        <v>57</v>
      </c>
      <c r="N24" s="542">
        <v>38796</v>
      </c>
      <c r="O24" s="469" t="s">
        <v>57</v>
      </c>
      <c r="P24" s="806" t="s">
        <v>364</v>
      </c>
      <c r="Q24" s="471">
        <v>45936</v>
      </c>
      <c r="R24" s="552"/>
      <c r="S24" s="552"/>
      <c r="T24" s="552"/>
      <c r="U24" s="486" t="s">
        <v>539</v>
      </c>
      <c r="V24" s="416">
        <v>2874</v>
      </c>
      <c r="W24" s="951">
        <v>2875</v>
      </c>
      <c r="X24" s="106">
        <f t="shared" ref="X24:X29" si="10">SUM(V24-W24)</f>
        <v>-1</v>
      </c>
      <c r="Y24" s="657">
        <f t="shared" ref="Y24:Y29" si="11">IFERROR($W24/$V24, 0)</f>
        <v>1.0003479471120389</v>
      </c>
      <c r="Z24" s="678">
        <v>45944</v>
      </c>
      <c r="AA24" s="355">
        <v>1</v>
      </c>
      <c r="AB24" s="355">
        <v>1</v>
      </c>
      <c r="AC24" s="472">
        <v>0</v>
      </c>
      <c r="AD24" s="170" t="s">
        <v>594</v>
      </c>
    </row>
    <row r="25" spans="1:30" ht="39.75" customHeight="1">
      <c r="A25" s="929" t="s">
        <v>595</v>
      </c>
      <c r="B25" s="465" t="s">
        <v>107</v>
      </c>
      <c r="C25" s="476">
        <v>45976</v>
      </c>
      <c r="D25" s="467" t="s">
        <v>127</v>
      </c>
      <c r="E25" s="467">
        <v>45959</v>
      </c>
      <c r="F25" s="465" t="s">
        <v>140</v>
      </c>
      <c r="G25" s="682"/>
      <c r="H25" s="469">
        <v>61</v>
      </c>
      <c r="I25" s="661" t="s">
        <v>363</v>
      </c>
      <c r="J25" s="469" t="s">
        <v>63</v>
      </c>
      <c r="K25" s="469"/>
      <c r="L25" s="467">
        <v>45962</v>
      </c>
      <c r="M25" s="469" t="s">
        <v>57</v>
      </c>
      <c r="N25" s="542">
        <v>35050</v>
      </c>
      <c r="O25" s="469" t="s">
        <v>57</v>
      </c>
      <c r="P25" s="806" t="s">
        <v>364</v>
      </c>
      <c r="Q25" s="471">
        <v>45961</v>
      </c>
      <c r="R25" s="552"/>
      <c r="S25" s="552"/>
      <c r="T25" s="552"/>
      <c r="U25" s="486" t="s">
        <v>539</v>
      </c>
      <c r="V25" s="472">
        <v>2527</v>
      </c>
      <c r="W25" s="742">
        <v>2647</v>
      </c>
      <c r="X25" s="472">
        <f t="shared" si="10"/>
        <v>-120</v>
      </c>
      <c r="Y25" s="662">
        <f t="shared" si="11"/>
        <v>1.0474871388998812</v>
      </c>
      <c r="Z25" s="479">
        <v>45973</v>
      </c>
      <c r="AA25" s="355">
        <v>1</v>
      </c>
      <c r="AB25" s="355">
        <v>1</v>
      </c>
      <c r="AC25" s="787">
        <v>0</v>
      </c>
      <c r="AD25" s="436" t="s">
        <v>596</v>
      </c>
    </row>
    <row r="26" spans="1:30" ht="39.75" customHeight="1">
      <c r="A26" s="929" t="s">
        <v>597</v>
      </c>
      <c r="B26" s="465" t="s">
        <v>107</v>
      </c>
      <c r="C26" s="476">
        <v>45976</v>
      </c>
      <c r="D26" s="467" t="s">
        <v>127</v>
      </c>
      <c r="E26" s="467">
        <v>45958</v>
      </c>
      <c r="F26" s="465" t="s">
        <v>140</v>
      </c>
      <c r="G26" s="682"/>
      <c r="H26" s="469">
        <v>48</v>
      </c>
      <c r="I26" s="661" t="s">
        <v>363</v>
      </c>
      <c r="J26" s="469" t="s">
        <v>63</v>
      </c>
      <c r="K26" s="469"/>
      <c r="L26" s="467">
        <v>45954</v>
      </c>
      <c r="M26" s="469" t="s">
        <v>57</v>
      </c>
      <c r="N26" s="542">
        <v>54228.7</v>
      </c>
      <c r="O26" s="469" t="s">
        <v>57</v>
      </c>
      <c r="P26" s="806" t="s">
        <v>364</v>
      </c>
      <c r="Q26" s="471">
        <v>45953</v>
      </c>
      <c r="R26" s="552"/>
      <c r="S26" s="552"/>
      <c r="T26" s="552"/>
      <c r="U26" s="486" t="s">
        <v>539</v>
      </c>
      <c r="V26" s="472">
        <v>4141</v>
      </c>
      <c r="W26" s="742">
        <v>4316</v>
      </c>
      <c r="X26" s="472">
        <f t="shared" si="10"/>
        <v>-175</v>
      </c>
      <c r="Y26" s="662">
        <f t="shared" si="11"/>
        <v>1.042260323593335</v>
      </c>
      <c r="Z26" s="479">
        <v>45964</v>
      </c>
      <c r="AA26" s="355">
        <v>1</v>
      </c>
      <c r="AB26" s="355">
        <v>1</v>
      </c>
      <c r="AC26" s="787">
        <v>0</v>
      </c>
      <c r="AD26" s="436" t="s">
        <v>598</v>
      </c>
    </row>
    <row r="27" spans="1:30" ht="39.75" customHeight="1">
      <c r="A27" s="929" t="s">
        <v>599</v>
      </c>
      <c r="B27" s="465" t="s">
        <v>107</v>
      </c>
      <c r="C27" s="476">
        <v>45991</v>
      </c>
      <c r="D27" s="467" t="s">
        <v>195</v>
      </c>
      <c r="E27" s="467">
        <v>45936</v>
      </c>
      <c r="F27" s="465" t="s">
        <v>140</v>
      </c>
      <c r="G27" s="682"/>
      <c r="H27" s="469">
        <v>83</v>
      </c>
      <c r="I27" s="661" t="s">
        <v>363</v>
      </c>
      <c r="J27" s="469" t="s">
        <v>63</v>
      </c>
      <c r="K27" s="469"/>
      <c r="L27" s="467">
        <v>45936</v>
      </c>
      <c r="M27" s="469" t="s">
        <v>57</v>
      </c>
      <c r="N27" s="542">
        <v>96748</v>
      </c>
      <c r="O27" s="469" t="s">
        <v>57</v>
      </c>
      <c r="P27" s="844" t="s">
        <v>364</v>
      </c>
      <c r="Q27" s="347">
        <v>45936</v>
      </c>
      <c r="R27" s="1343"/>
      <c r="S27" s="1004"/>
      <c r="T27" s="552"/>
      <c r="U27" s="486" t="s">
        <v>539</v>
      </c>
      <c r="V27" s="472">
        <v>6240</v>
      </c>
      <c r="W27" s="742">
        <v>6203</v>
      </c>
      <c r="X27" s="472">
        <f t="shared" si="10"/>
        <v>37</v>
      </c>
      <c r="Y27" s="662">
        <f t="shared" si="11"/>
        <v>0.99407051282051284</v>
      </c>
      <c r="Z27" s="479">
        <v>45951</v>
      </c>
      <c r="AA27" s="355">
        <v>1</v>
      </c>
      <c r="AB27" s="355">
        <v>0</v>
      </c>
      <c r="AC27" s="645">
        <v>0</v>
      </c>
      <c r="AD27" s="1067" t="s">
        <v>600</v>
      </c>
    </row>
    <row r="28" spans="1:30" ht="39.75" customHeight="1">
      <c r="A28" s="929" t="s">
        <v>601</v>
      </c>
      <c r="B28" s="465" t="s">
        <v>107</v>
      </c>
      <c r="C28" s="467">
        <v>45991</v>
      </c>
      <c r="D28" s="467" t="s">
        <v>127</v>
      </c>
      <c r="E28" s="467">
        <v>45966</v>
      </c>
      <c r="F28" s="465" t="s">
        <v>108</v>
      </c>
      <c r="G28" s="468" t="s">
        <v>602</v>
      </c>
      <c r="H28" s="469">
        <v>69</v>
      </c>
      <c r="I28" s="661" t="s">
        <v>363</v>
      </c>
      <c r="J28" s="469" t="s">
        <v>63</v>
      </c>
      <c r="K28" s="469"/>
      <c r="L28" s="467">
        <v>45969</v>
      </c>
      <c r="M28" s="469" t="s">
        <v>57</v>
      </c>
      <c r="N28" s="542">
        <v>75672.100000000006</v>
      </c>
      <c r="O28" s="469" t="s">
        <v>57</v>
      </c>
      <c r="P28" s="1152" t="s">
        <v>364</v>
      </c>
      <c r="Q28" s="124">
        <v>45969</v>
      </c>
      <c r="R28" s="651"/>
      <c r="S28" s="1004"/>
      <c r="T28" s="552"/>
      <c r="U28" s="486" t="s">
        <v>539</v>
      </c>
      <c r="V28" s="472">
        <v>5654</v>
      </c>
      <c r="W28" s="742">
        <v>5646</v>
      </c>
      <c r="X28" s="472">
        <f t="shared" si="10"/>
        <v>8</v>
      </c>
      <c r="Y28" s="662">
        <f t="shared" si="11"/>
        <v>0.99858507251503359</v>
      </c>
      <c r="Z28" s="479">
        <v>45978</v>
      </c>
      <c r="AA28" s="355">
        <v>1</v>
      </c>
      <c r="AB28" s="355">
        <v>1</v>
      </c>
      <c r="AC28" s="787">
        <v>0</v>
      </c>
      <c r="AD28" s="474" t="s">
        <v>603</v>
      </c>
    </row>
    <row r="29" spans="1:30" ht="39.75" customHeight="1">
      <c r="A29" s="929" t="s">
        <v>604</v>
      </c>
      <c r="B29" s="465" t="s">
        <v>107</v>
      </c>
      <c r="C29" s="467">
        <v>46001</v>
      </c>
      <c r="D29" s="467" t="s">
        <v>127</v>
      </c>
      <c r="E29" s="467">
        <v>45966</v>
      </c>
      <c r="F29" s="465" t="s">
        <v>108</v>
      </c>
      <c r="G29" s="682" t="s">
        <v>605</v>
      </c>
      <c r="H29" s="469">
        <v>88</v>
      </c>
      <c r="I29" s="661" t="s">
        <v>363</v>
      </c>
      <c r="J29" s="469" t="s">
        <v>63</v>
      </c>
      <c r="K29" s="469"/>
      <c r="L29" s="467">
        <v>45967</v>
      </c>
      <c r="M29" s="469" t="s">
        <v>57</v>
      </c>
      <c r="N29" s="542">
        <v>76565.850000000006</v>
      </c>
      <c r="O29" s="469" t="s">
        <v>57</v>
      </c>
      <c r="P29" s="1152" t="s">
        <v>364</v>
      </c>
      <c r="Q29" s="124">
        <v>45967</v>
      </c>
      <c r="R29" s="651"/>
      <c r="S29" s="1004"/>
      <c r="T29" s="552"/>
      <c r="U29" s="486" t="s">
        <v>539</v>
      </c>
      <c r="V29" s="472">
        <v>6025</v>
      </c>
      <c r="W29" s="742">
        <v>6130</v>
      </c>
      <c r="X29" s="472">
        <f t="shared" si="10"/>
        <v>-105</v>
      </c>
      <c r="Y29" s="662">
        <f t="shared" si="11"/>
        <v>1.0174273858921161</v>
      </c>
      <c r="Z29" s="479">
        <v>45985</v>
      </c>
      <c r="AA29" s="355">
        <v>1</v>
      </c>
      <c r="AB29" s="355">
        <v>1</v>
      </c>
      <c r="AC29" s="787">
        <v>0</v>
      </c>
      <c r="AD29" s="474" t="s">
        <v>606</v>
      </c>
    </row>
    <row r="30" spans="1:30" ht="39.75" customHeight="1">
      <c r="A30" s="929" t="s">
        <v>607</v>
      </c>
      <c r="B30" s="465" t="s">
        <v>107</v>
      </c>
      <c r="C30" s="467">
        <v>45991</v>
      </c>
      <c r="D30" s="467" t="s">
        <v>127</v>
      </c>
      <c r="E30" s="467">
        <v>45966</v>
      </c>
      <c r="F30" s="465" t="s">
        <v>140</v>
      </c>
      <c r="G30" s="682" t="s">
        <v>608</v>
      </c>
      <c r="H30" s="469">
        <v>75</v>
      </c>
      <c r="I30" s="661" t="s">
        <v>363</v>
      </c>
      <c r="J30" s="469" t="s">
        <v>63</v>
      </c>
      <c r="K30" s="469"/>
      <c r="L30" s="467">
        <v>45967</v>
      </c>
      <c r="M30" s="469" t="s">
        <v>57</v>
      </c>
      <c r="N30" s="542">
        <v>60620</v>
      </c>
      <c r="O30" s="469" t="s">
        <v>57</v>
      </c>
      <c r="P30" s="1430" t="s">
        <v>364</v>
      </c>
      <c r="Q30" s="347">
        <v>45967</v>
      </c>
      <c r="R30" s="1343"/>
      <c r="S30" s="1004"/>
      <c r="T30" s="552"/>
      <c r="U30" s="486" t="s">
        <v>539</v>
      </c>
      <c r="V30" s="472">
        <v>4814</v>
      </c>
      <c r="W30" s="742">
        <v>4708</v>
      </c>
      <c r="X30" s="472">
        <f>SUM(V30-W30)</f>
        <v>106</v>
      </c>
      <c r="Y30" s="862">
        <f>IFERROR($W30/$V30, 0)</f>
        <v>0.97798088907353553</v>
      </c>
      <c r="Z30" s="479">
        <v>45986</v>
      </c>
      <c r="AA30" s="355">
        <v>1</v>
      </c>
      <c r="AB30" s="355">
        <v>1</v>
      </c>
      <c r="AC30" s="787">
        <v>0</v>
      </c>
      <c r="AD30" s="757" t="s">
        <v>609</v>
      </c>
    </row>
    <row r="31" spans="1:30" ht="39.75" customHeight="1">
      <c r="A31" s="1374" t="s">
        <v>610</v>
      </c>
      <c r="B31" s="1205" t="s">
        <v>107</v>
      </c>
      <c r="C31" s="1204">
        <v>46001</v>
      </c>
      <c r="D31" s="1204" t="s">
        <v>127</v>
      </c>
      <c r="E31" s="1204">
        <v>46009</v>
      </c>
      <c r="F31" s="1205" t="s">
        <v>108</v>
      </c>
      <c r="G31" s="1205" t="s">
        <v>611</v>
      </c>
      <c r="H31" s="1206">
        <v>48</v>
      </c>
      <c r="I31" s="661" t="s">
        <v>363</v>
      </c>
      <c r="J31" s="1206" t="s">
        <v>63</v>
      </c>
      <c r="K31" s="1206"/>
      <c r="L31" s="1204">
        <v>45965</v>
      </c>
      <c r="M31" s="1206" t="s">
        <v>57</v>
      </c>
      <c r="N31" s="1207">
        <v>18021.7</v>
      </c>
      <c r="O31" s="1206" t="s">
        <v>57</v>
      </c>
      <c r="P31" s="1375" t="s">
        <v>364</v>
      </c>
      <c r="Q31" s="1209">
        <v>45965</v>
      </c>
      <c r="R31" s="1256"/>
      <c r="S31" s="1256"/>
      <c r="T31" s="1256"/>
      <c r="U31" s="486" t="s">
        <v>539</v>
      </c>
      <c r="V31" s="1210">
        <v>1111</v>
      </c>
      <c r="W31" s="1373">
        <v>1188</v>
      </c>
      <c r="X31" s="1210">
        <f t="shared" ref="X31" si="12">SUM(V31-W31)</f>
        <v>-77</v>
      </c>
      <c r="Y31" s="662">
        <f t="shared" ref="Y31" si="13">IFERROR($W31/$V31, 0)</f>
        <v>1.0693069306930694</v>
      </c>
      <c r="Z31" s="1229">
        <v>46020</v>
      </c>
      <c r="AA31" s="355">
        <v>1</v>
      </c>
      <c r="AB31" s="355">
        <v>1</v>
      </c>
      <c r="AC31" s="645">
        <v>0</v>
      </c>
      <c r="AD31" s="1213" t="s">
        <v>612</v>
      </c>
    </row>
    <row r="32" spans="1:30" ht="39.75" customHeight="1">
      <c r="A32" s="842" t="s">
        <v>613</v>
      </c>
      <c r="B32" s="681" t="s">
        <v>107</v>
      </c>
      <c r="C32" s="476">
        <v>45930</v>
      </c>
      <c r="D32" s="642" t="s">
        <v>71</v>
      </c>
      <c r="E32" s="467">
        <v>45902</v>
      </c>
      <c r="F32" s="465" t="s">
        <v>108</v>
      </c>
      <c r="G32" s="758"/>
      <c r="H32" s="469">
        <v>0</v>
      </c>
      <c r="I32" s="661" t="s">
        <v>363</v>
      </c>
      <c r="J32" s="469" t="s">
        <v>63</v>
      </c>
      <c r="K32" s="469"/>
      <c r="L32" s="476">
        <v>45902</v>
      </c>
      <c r="M32" s="469" t="s">
        <v>57</v>
      </c>
      <c r="N32" s="542">
        <v>5604.6</v>
      </c>
      <c r="O32" s="469" t="s">
        <v>57</v>
      </c>
      <c r="P32" s="1430" t="s">
        <v>364</v>
      </c>
      <c r="Q32" s="166">
        <v>45902</v>
      </c>
      <c r="R32" s="347"/>
      <c r="S32" s="471"/>
      <c r="T32" s="124"/>
      <c r="U32" s="87" t="s">
        <v>539</v>
      </c>
      <c r="V32" s="646">
        <v>328</v>
      </c>
      <c r="W32" s="742">
        <v>335</v>
      </c>
      <c r="X32" s="472">
        <f t="shared" si="6"/>
        <v>-7</v>
      </c>
      <c r="Y32" s="473">
        <f t="shared" si="7"/>
        <v>1.0213414634146341</v>
      </c>
      <c r="Z32" s="479">
        <v>45922</v>
      </c>
      <c r="AA32" s="355">
        <v>1</v>
      </c>
      <c r="AB32" s="355">
        <v>1</v>
      </c>
      <c r="AC32" s="472">
        <v>0</v>
      </c>
      <c r="AD32" s="757" t="s">
        <v>614</v>
      </c>
    </row>
    <row r="33" spans="1:30" ht="39.75" customHeight="1">
      <c r="A33" s="1374" t="s">
        <v>615</v>
      </c>
      <c r="B33" s="1205" t="s">
        <v>107</v>
      </c>
      <c r="C33" s="1204">
        <v>46031</v>
      </c>
      <c r="D33" s="1204" t="s">
        <v>127</v>
      </c>
      <c r="E33" s="1204">
        <v>46002</v>
      </c>
      <c r="F33" s="1205" t="s">
        <v>140</v>
      </c>
      <c r="G33" s="1205" t="s">
        <v>616</v>
      </c>
      <c r="H33" s="1206">
        <v>0</v>
      </c>
      <c r="I33" s="1206" t="s">
        <v>363</v>
      </c>
      <c r="J33" s="1206" t="s">
        <v>63</v>
      </c>
      <c r="K33" s="469"/>
      <c r="L33" s="1204" t="s">
        <v>155</v>
      </c>
      <c r="M33" s="1206" t="s">
        <v>57</v>
      </c>
      <c r="N33" s="1207">
        <v>23475.5</v>
      </c>
      <c r="O33" s="1272" t="s">
        <v>57</v>
      </c>
      <c r="P33" s="1436" t="s">
        <v>364</v>
      </c>
      <c r="Q33" s="1257">
        <v>45999</v>
      </c>
      <c r="R33" s="124"/>
      <c r="S33" s="124"/>
      <c r="T33" s="193"/>
      <c r="U33" s="87" t="s">
        <v>539</v>
      </c>
      <c r="V33" s="1433">
        <v>1890</v>
      </c>
      <c r="W33" s="1429">
        <v>2048</v>
      </c>
      <c r="X33" s="1268">
        <f>SUM(V33-W33)</f>
        <v>-158</v>
      </c>
      <c r="Y33" s="1366">
        <f t="shared" si="7"/>
        <v>1.0835978835978837</v>
      </c>
      <c r="Z33" s="1229">
        <v>46009</v>
      </c>
      <c r="AA33" s="1212">
        <v>1</v>
      </c>
      <c r="AB33" s="355">
        <v>1</v>
      </c>
      <c r="AC33" s="645">
        <v>0</v>
      </c>
      <c r="AD33" s="1213" t="s">
        <v>617</v>
      </c>
    </row>
    <row r="34" spans="1:30" ht="39.75" customHeight="1">
      <c r="A34" s="1374" t="s">
        <v>618</v>
      </c>
      <c r="B34" s="1205" t="s">
        <v>107</v>
      </c>
      <c r="C34" s="1204">
        <v>46003</v>
      </c>
      <c r="D34" s="1204" t="s">
        <v>127</v>
      </c>
      <c r="E34" s="1204">
        <v>46002</v>
      </c>
      <c r="F34" s="1205" t="s">
        <v>140</v>
      </c>
      <c r="G34" s="1205"/>
      <c r="H34" s="1206">
        <v>0</v>
      </c>
      <c r="I34" s="1206" t="s">
        <v>363</v>
      </c>
      <c r="J34" s="1206" t="s">
        <v>63</v>
      </c>
      <c r="K34" s="1206"/>
      <c r="L34" s="1204" t="s">
        <v>155</v>
      </c>
      <c r="M34" s="1206" t="s">
        <v>57</v>
      </c>
      <c r="N34" s="1207">
        <v>11500.3</v>
      </c>
      <c r="O34" s="1272" t="s">
        <v>57</v>
      </c>
      <c r="P34" s="1436" t="s">
        <v>364</v>
      </c>
      <c r="Q34" s="1257">
        <v>45994</v>
      </c>
      <c r="R34" s="1257"/>
      <c r="S34" s="1257"/>
      <c r="T34" s="1438"/>
      <c r="U34" s="1103" t="s">
        <v>539</v>
      </c>
      <c r="V34" s="1133">
        <v>908</v>
      </c>
      <c r="W34" s="1434">
        <v>925</v>
      </c>
      <c r="X34" s="1367">
        <f>SUM(V34-W34)</f>
        <v>-17</v>
      </c>
      <c r="Y34" s="662">
        <f t="shared" si="7"/>
        <v>1.0187224669603525</v>
      </c>
      <c r="Z34" s="1229">
        <v>46013</v>
      </c>
      <c r="AA34" s="1212">
        <v>1</v>
      </c>
      <c r="AB34" s="355">
        <v>1</v>
      </c>
      <c r="AC34" s="645">
        <v>0</v>
      </c>
      <c r="AD34" s="1213" t="s">
        <v>619</v>
      </c>
    </row>
    <row r="35" spans="1:30" ht="39.75" customHeight="1">
      <c r="A35" s="929" t="s">
        <v>620</v>
      </c>
      <c r="B35" s="465" t="s">
        <v>107</v>
      </c>
      <c r="C35" s="476">
        <v>45991</v>
      </c>
      <c r="D35" s="467" t="s">
        <v>195</v>
      </c>
      <c r="E35" s="467">
        <v>45953</v>
      </c>
      <c r="F35" s="465" t="s">
        <v>140</v>
      </c>
      <c r="G35" s="682" t="s">
        <v>621</v>
      </c>
      <c r="H35" s="469">
        <v>0</v>
      </c>
      <c r="I35" s="469" t="s">
        <v>363</v>
      </c>
      <c r="J35" s="469" t="s">
        <v>63</v>
      </c>
      <c r="K35" s="469"/>
      <c r="L35" s="467" t="s">
        <v>155</v>
      </c>
      <c r="M35" s="469" t="s">
        <v>57</v>
      </c>
      <c r="N35" s="542">
        <v>51970</v>
      </c>
      <c r="O35" s="87" t="s">
        <v>57</v>
      </c>
      <c r="P35" s="1437" t="s">
        <v>364</v>
      </c>
      <c r="Q35" s="124">
        <v>45953</v>
      </c>
      <c r="R35" s="124"/>
      <c r="S35" s="124"/>
      <c r="T35" s="652"/>
      <c r="U35" s="486" t="s">
        <v>539</v>
      </c>
      <c r="V35" s="963">
        <v>4544</v>
      </c>
      <c r="W35" s="852">
        <v>4569</v>
      </c>
      <c r="X35" s="472">
        <f>SUM(V35-W35)</f>
        <v>-25</v>
      </c>
      <c r="Y35" s="662">
        <f>IFERROR($W35/$V35, 0)</f>
        <v>1.0055017605633803</v>
      </c>
      <c r="Z35" s="479">
        <v>45960</v>
      </c>
      <c r="AA35" s="355">
        <v>1</v>
      </c>
      <c r="AB35" s="355">
        <v>0</v>
      </c>
      <c r="AC35" s="472">
        <v>0</v>
      </c>
      <c r="AD35" s="1153" t="s">
        <v>622</v>
      </c>
    </row>
    <row r="36" spans="1:30" ht="39.75" customHeight="1">
      <c r="A36" s="929" t="s">
        <v>623</v>
      </c>
      <c r="B36" s="681" t="s">
        <v>107</v>
      </c>
      <c r="C36" s="476">
        <v>45991</v>
      </c>
      <c r="D36" s="467" t="s">
        <v>195</v>
      </c>
      <c r="E36" s="467">
        <v>45961</v>
      </c>
      <c r="F36" s="465" t="s">
        <v>108</v>
      </c>
      <c r="G36" s="682"/>
      <c r="H36" s="469">
        <v>0</v>
      </c>
      <c r="I36" s="469" t="s">
        <v>363</v>
      </c>
      <c r="J36" s="469" t="s">
        <v>63</v>
      </c>
      <c r="K36" s="469"/>
      <c r="L36" s="467" t="s">
        <v>155</v>
      </c>
      <c r="M36" s="469" t="s">
        <v>57</v>
      </c>
      <c r="N36" s="542">
        <v>39221.800000000003</v>
      </c>
      <c r="O36" s="1435" t="s">
        <v>57</v>
      </c>
      <c r="P36" s="1344" t="s">
        <v>364</v>
      </c>
      <c r="Q36" s="1431">
        <v>45950</v>
      </c>
      <c r="R36" s="1432"/>
      <c r="S36" s="1001"/>
      <c r="T36" s="471"/>
      <c r="U36" s="486" t="s">
        <v>539</v>
      </c>
      <c r="V36" s="416">
        <v>3078</v>
      </c>
      <c r="W36" s="951">
        <v>3272</v>
      </c>
      <c r="X36" s="472">
        <f t="shared" si="6"/>
        <v>-194</v>
      </c>
      <c r="Y36" s="662">
        <f t="shared" si="7"/>
        <v>1.0630279402209226</v>
      </c>
      <c r="Z36" s="479">
        <v>45966</v>
      </c>
      <c r="AA36" s="355">
        <v>1</v>
      </c>
      <c r="AB36" s="355">
        <v>1</v>
      </c>
      <c r="AC36" s="472">
        <v>0</v>
      </c>
      <c r="AD36" s="170" t="s">
        <v>624</v>
      </c>
    </row>
    <row r="37" spans="1:30" ht="39.75" customHeight="1">
      <c r="A37" s="929" t="s">
        <v>625</v>
      </c>
      <c r="B37" s="465" t="s">
        <v>107</v>
      </c>
      <c r="C37" s="467">
        <v>45996</v>
      </c>
      <c r="D37" s="467" t="s">
        <v>440</v>
      </c>
      <c r="E37" s="467">
        <v>45958</v>
      </c>
      <c r="F37" s="465" t="s">
        <v>140</v>
      </c>
      <c r="G37" s="468" t="s">
        <v>626</v>
      </c>
      <c r="H37" s="469">
        <v>303</v>
      </c>
      <c r="I37" s="661" t="s">
        <v>363</v>
      </c>
      <c r="J37" s="469" t="s">
        <v>56</v>
      </c>
      <c r="K37" s="469"/>
      <c r="L37" s="467">
        <v>45953</v>
      </c>
      <c r="M37" s="469" t="s">
        <v>57</v>
      </c>
      <c r="N37" s="542">
        <v>168480.8</v>
      </c>
      <c r="O37" s="469" t="s">
        <v>57</v>
      </c>
      <c r="P37" s="806" t="s">
        <v>364</v>
      </c>
      <c r="Q37" s="471">
        <v>45953</v>
      </c>
      <c r="R37" s="471"/>
      <c r="S37" s="471"/>
      <c r="T37" s="471"/>
      <c r="U37" s="486" t="s">
        <v>539</v>
      </c>
      <c r="V37" s="472">
        <v>13760</v>
      </c>
      <c r="W37" s="742">
        <v>13760</v>
      </c>
      <c r="X37" s="106">
        <f t="shared" si="6"/>
        <v>0</v>
      </c>
      <c r="Y37" s="657">
        <f t="shared" si="7"/>
        <v>1</v>
      </c>
      <c r="Z37" s="678">
        <v>45978</v>
      </c>
      <c r="AA37" s="355">
        <v>1</v>
      </c>
      <c r="AB37" s="355">
        <v>1</v>
      </c>
      <c r="AC37" s="472">
        <v>0</v>
      </c>
      <c r="AD37" s="757" t="s">
        <v>627</v>
      </c>
    </row>
    <row r="38" spans="1:30" ht="39.75" customHeight="1">
      <c r="A38" s="842" t="s">
        <v>628</v>
      </c>
      <c r="B38" s="465" t="s">
        <v>107</v>
      </c>
      <c r="C38" s="476">
        <v>45960</v>
      </c>
      <c r="D38" s="467" t="s">
        <v>629</v>
      </c>
      <c r="E38" s="467">
        <v>45915</v>
      </c>
      <c r="F38" s="465" t="s">
        <v>630</v>
      </c>
      <c r="G38" s="682"/>
      <c r="H38" s="469">
        <v>384</v>
      </c>
      <c r="I38" s="661" t="s">
        <v>363</v>
      </c>
      <c r="J38" s="469" t="s">
        <v>56</v>
      </c>
      <c r="K38" s="469"/>
      <c r="L38" s="467">
        <v>45905</v>
      </c>
      <c r="M38" s="469" t="s">
        <v>57</v>
      </c>
      <c r="N38" s="542">
        <v>145985.5</v>
      </c>
      <c r="O38" s="469" t="s">
        <v>57</v>
      </c>
      <c r="P38" s="1107" t="s">
        <v>364</v>
      </c>
      <c r="Q38" s="1001">
        <v>45906</v>
      </c>
      <c r="R38" s="471"/>
      <c r="S38" s="471"/>
      <c r="T38" s="471"/>
      <c r="U38" s="486" t="s">
        <v>539</v>
      </c>
      <c r="V38" s="787">
        <v>14150</v>
      </c>
      <c r="W38" s="879">
        <v>15469</v>
      </c>
      <c r="X38" s="106">
        <f t="shared" si="6"/>
        <v>-1319</v>
      </c>
      <c r="Y38" s="657">
        <f t="shared" si="7"/>
        <v>1.0932155477031802</v>
      </c>
      <c r="Z38" s="678">
        <v>45926</v>
      </c>
      <c r="AA38" s="355">
        <v>1</v>
      </c>
      <c r="AB38" s="355">
        <v>1</v>
      </c>
      <c r="AC38" s="472">
        <v>0</v>
      </c>
      <c r="AD38" s="871" t="s">
        <v>631</v>
      </c>
    </row>
    <row r="39" spans="1:30" ht="39.75" customHeight="1">
      <c r="A39" s="929" t="s">
        <v>632</v>
      </c>
      <c r="B39" s="465" t="s">
        <v>107</v>
      </c>
      <c r="C39" s="476">
        <v>45930</v>
      </c>
      <c r="D39" s="467" t="s">
        <v>633</v>
      </c>
      <c r="E39" s="467">
        <v>45916</v>
      </c>
      <c r="F39" s="465" t="s">
        <v>108</v>
      </c>
      <c r="G39" s="682"/>
      <c r="H39" s="469">
        <v>84</v>
      </c>
      <c r="I39" s="661" t="s">
        <v>363</v>
      </c>
      <c r="J39" s="469" t="s">
        <v>56</v>
      </c>
      <c r="K39" s="469"/>
      <c r="L39" s="465" t="s">
        <v>364</v>
      </c>
      <c r="M39" s="469" t="s">
        <v>57</v>
      </c>
      <c r="N39" s="542">
        <v>30892</v>
      </c>
      <c r="O39" s="469" t="s">
        <v>57</v>
      </c>
      <c r="P39" s="806" t="s">
        <v>364</v>
      </c>
      <c r="Q39" s="471">
        <v>45911</v>
      </c>
      <c r="R39" s="471"/>
      <c r="S39" s="471"/>
      <c r="T39" s="471"/>
      <c r="U39" s="486" t="s">
        <v>539</v>
      </c>
      <c r="V39" s="787">
        <v>2811</v>
      </c>
      <c r="W39" s="879">
        <v>2732</v>
      </c>
      <c r="X39" s="106">
        <f>SUM(V39-W39)</f>
        <v>79</v>
      </c>
      <c r="Y39" s="22">
        <f>IFERROR($W39/$V39, 0)</f>
        <v>0.97189612237637857</v>
      </c>
      <c r="Z39" s="678">
        <v>45922</v>
      </c>
      <c r="AA39" s="355">
        <v>1</v>
      </c>
      <c r="AB39" s="355">
        <v>1</v>
      </c>
      <c r="AC39" s="472">
        <v>0</v>
      </c>
      <c r="AD39" s="664" t="s">
        <v>634</v>
      </c>
    </row>
    <row r="40" spans="1:30" ht="39.75" customHeight="1">
      <c r="A40" s="842" t="s">
        <v>635</v>
      </c>
      <c r="B40" s="823" t="s">
        <v>50</v>
      </c>
      <c r="C40" s="642">
        <v>45838</v>
      </c>
      <c r="D40" s="475" t="s">
        <v>636</v>
      </c>
      <c r="E40" s="476">
        <v>45727</v>
      </c>
      <c r="F40" s="475" t="s">
        <v>61</v>
      </c>
      <c r="G40" s="846" t="s">
        <v>637</v>
      </c>
      <c r="H40" s="478">
        <v>71</v>
      </c>
      <c r="I40" s="828" t="s">
        <v>363</v>
      </c>
      <c r="J40" s="478" t="s">
        <v>63</v>
      </c>
      <c r="K40" s="487"/>
      <c r="L40" s="476">
        <v>45728</v>
      </c>
      <c r="M40" s="478" t="s">
        <v>57</v>
      </c>
      <c r="N40" s="543">
        <v>60843.5</v>
      </c>
      <c r="O40" s="478" t="s">
        <v>57</v>
      </c>
      <c r="P40" s="806" t="s">
        <v>364</v>
      </c>
      <c r="Q40" s="479">
        <v>45722</v>
      </c>
      <c r="R40" s="479">
        <v>45917</v>
      </c>
      <c r="S40" s="479">
        <v>45939</v>
      </c>
      <c r="T40" s="479"/>
      <c r="U40" s="486" t="s">
        <v>539</v>
      </c>
      <c r="V40" s="847">
        <v>4979</v>
      </c>
      <c r="W40" s="742">
        <v>5020</v>
      </c>
      <c r="X40" s="472">
        <f t="shared" si="6"/>
        <v>-41</v>
      </c>
      <c r="Y40" s="662">
        <f t="shared" si="7"/>
        <v>1.0082345852580838</v>
      </c>
      <c r="Z40" s="479">
        <v>45741</v>
      </c>
      <c r="AA40" s="662">
        <v>1</v>
      </c>
      <c r="AB40" s="662">
        <v>1</v>
      </c>
      <c r="AC40" s="352">
        <v>0</v>
      </c>
      <c r="AD40" s="664" t="s">
        <v>638</v>
      </c>
    </row>
    <row r="41" spans="1:30" ht="39.75" customHeight="1">
      <c r="A41" s="927" t="s">
        <v>639</v>
      </c>
      <c r="B41" s="510" t="s">
        <v>50</v>
      </c>
      <c r="C41" s="496">
        <v>45772</v>
      </c>
      <c r="D41" s="511" t="s">
        <v>640</v>
      </c>
      <c r="E41" s="511">
        <v>45693</v>
      </c>
      <c r="F41" s="501" t="s">
        <v>61</v>
      </c>
      <c r="G41" s="512" t="s">
        <v>641</v>
      </c>
      <c r="H41" s="504">
        <v>86</v>
      </c>
      <c r="I41" s="506" t="s">
        <v>363</v>
      </c>
      <c r="J41" s="504" t="s">
        <v>63</v>
      </c>
      <c r="K41" s="504"/>
      <c r="L41" s="511">
        <v>45714</v>
      </c>
      <c r="M41" s="504" t="s">
        <v>57</v>
      </c>
      <c r="N41" s="545">
        <v>94170.5</v>
      </c>
      <c r="O41" s="504" t="s">
        <v>57</v>
      </c>
      <c r="P41" s="928" t="s">
        <v>364</v>
      </c>
      <c r="Q41" s="479">
        <v>45693</v>
      </c>
      <c r="R41" s="479">
        <v>45869</v>
      </c>
      <c r="S41" s="479">
        <v>45903</v>
      </c>
      <c r="T41" s="479"/>
      <c r="U41" s="486" t="s">
        <v>539</v>
      </c>
      <c r="V41" s="493">
        <v>7980</v>
      </c>
      <c r="W41" s="741">
        <v>7901</v>
      </c>
      <c r="X41" s="106">
        <f t="shared" si="6"/>
        <v>79</v>
      </c>
      <c r="Y41" s="22">
        <f t="shared" si="7"/>
        <v>0.99010025062656637</v>
      </c>
      <c r="Z41" s="678">
        <v>45713</v>
      </c>
      <c r="AA41" s="473">
        <v>1</v>
      </c>
      <c r="AB41" s="473">
        <v>1</v>
      </c>
      <c r="AC41" s="815">
        <v>0</v>
      </c>
      <c r="AD41" s="173" t="s">
        <v>642</v>
      </c>
    </row>
    <row r="42" spans="1:30" ht="39.75" customHeight="1">
      <c r="A42" s="927" t="s">
        <v>643</v>
      </c>
      <c r="B42" s="510" t="s">
        <v>50</v>
      </c>
      <c r="C42" s="496">
        <v>45772</v>
      </c>
      <c r="D42" s="511" t="s">
        <v>640</v>
      </c>
      <c r="E42" s="511">
        <v>45698</v>
      </c>
      <c r="F42" s="496" t="s">
        <v>61</v>
      </c>
      <c r="G42" s="512" t="s">
        <v>644</v>
      </c>
      <c r="H42" s="504">
        <v>89</v>
      </c>
      <c r="I42" s="504" t="s">
        <v>363</v>
      </c>
      <c r="J42" s="504" t="s">
        <v>63</v>
      </c>
      <c r="K42" s="504"/>
      <c r="L42" s="511">
        <v>45695</v>
      </c>
      <c r="M42" s="504" t="s">
        <v>57</v>
      </c>
      <c r="N42" s="546">
        <v>89698.5</v>
      </c>
      <c r="O42" s="504" t="s">
        <v>57</v>
      </c>
      <c r="P42" s="928" t="s">
        <v>364</v>
      </c>
      <c r="Q42" s="479">
        <v>45694</v>
      </c>
      <c r="R42" s="479">
        <v>45917</v>
      </c>
      <c r="S42" s="479">
        <v>45936</v>
      </c>
      <c r="T42" s="479"/>
      <c r="U42" s="486" t="s">
        <v>539</v>
      </c>
      <c r="V42" s="493">
        <v>7562</v>
      </c>
      <c r="W42" s="741">
        <v>7556</v>
      </c>
      <c r="X42" s="106">
        <f t="shared" si="6"/>
        <v>6</v>
      </c>
      <c r="Y42" s="22">
        <f t="shared" si="7"/>
        <v>0.99920655911134626</v>
      </c>
      <c r="Z42" s="678">
        <v>45709</v>
      </c>
      <c r="AA42" s="473">
        <v>1</v>
      </c>
      <c r="AB42" s="473">
        <v>1</v>
      </c>
      <c r="AC42" s="815">
        <v>0</v>
      </c>
      <c r="AD42" s="201" t="s">
        <v>645</v>
      </c>
    </row>
    <row r="43" spans="1:30" ht="39.75" customHeight="1">
      <c r="A43" s="848" t="s">
        <v>646</v>
      </c>
      <c r="B43" s="823" t="s">
        <v>50</v>
      </c>
      <c r="C43" s="476">
        <v>45772</v>
      </c>
      <c r="D43" s="476" t="s">
        <v>636</v>
      </c>
      <c r="E43" s="826">
        <v>45686</v>
      </c>
      <c r="F43" s="475" t="s">
        <v>61</v>
      </c>
      <c r="G43" s="849" t="s">
        <v>647</v>
      </c>
      <c r="H43" s="828">
        <v>77</v>
      </c>
      <c r="I43" s="661" t="s">
        <v>363</v>
      </c>
      <c r="J43" s="828" t="s">
        <v>63</v>
      </c>
      <c r="K43" s="828"/>
      <c r="L43" s="826">
        <v>45686</v>
      </c>
      <c r="M43" s="828" t="s">
        <v>57</v>
      </c>
      <c r="N43" s="850">
        <v>61924</v>
      </c>
      <c r="O43" s="828" t="s">
        <v>57</v>
      </c>
      <c r="P43" s="806" t="s">
        <v>364</v>
      </c>
      <c r="Q43" s="479">
        <v>45692</v>
      </c>
      <c r="R43" s="479">
        <v>45847</v>
      </c>
      <c r="S43" s="479">
        <v>45852</v>
      </c>
      <c r="T43" s="479"/>
      <c r="U43" s="486" t="s">
        <v>539</v>
      </c>
      <c r="V43" s="851">
        <v>5005</v>
      </c>
      <c r="W43" s="852">
        <v>4996</v>
      </c>
      <c r="X43" s="472">
        <f t="shared" si="6"/>
        <v>9</v>
      </c>
      <c r="Y43" s="662">
        <f t="shared" si="7"/>
        <v>0.99820179820179822</v>
      </c>
      <c r="Z43" s="479">
        <v>45708</v>
      </c>
      <c r="AA43" s="662">
        <v>1</v>
      </c>
      <c r="AB43" s="662">
        <v>1</v>
      </c>
      <c r="AC43" s="815">
        <v>0</v>
      </c>
      <c r="AD43" s="853" t="s">
        <v>648</v>
      </c>
    </row>
    <row r="44" spans="1:30" ht="39.75" customHeight="1">
      <c r="A44" s="848" t="s">
        <v>649</v>
      </c>
      <c r="B44" s="823" t="s">
        <v>50</v>
      </c>
      <c r="C44" s="476">
        <v>45772</v>
      </c>
      <c r="D44" s="826" t="s">
        <v>650</v>
      </c>
      <c r="E44" s="826">
        <v>45694</v>
      </c>
      <c r="F44" s="826" t="s">
        <v>61</v>
      </c>
      <c r="G44" s="849" t="s">
        <v>651</v>
      </c>
      <c r="H44" s="828">
        <v>84</v>
      </c>
      <c r="I44" s="661" t="s">
        <v>363</v>
      </c>
      <c r="J44" s="828" t="s">
        <v>63</v>
      </c>
      <c r="K44" s="828"/>
      <c r="L44" s="826">
        <v>45698</v>
      </c>
      <c r="M44" s="828" t="s">
        <v>57</v>
      </c>
      <c r="N44" s="850">
        <v>63402.5</v>
      </c>
      <c r="O44" s="828" t="s">
        <v>57</v>
      </c>
      <c r="P44" s="806" t="s">
        <v>364</v>
      </c>
      <c r="Q44" s="479">
        <v>45695</v>
      </c>
      <c r="R44" s="479">
        <v>45847</v>
      </c>
      <c r="S44" s="479">
        <v>45852</v>
      </c>
      <c r="T44" s="479"/>
      <c r="U44" s="486" t="s">
        <v>539</v>
      </c>
      <c r="V44" s="847">
        <v>4979</v>
      </c>
      <c r="W44" s="852">
        <v>4984</v>
      </c>
      <c r="X44" s="472">
        <f t="shared" si="6"/>
        <v>-5</v>
      </c>
      <c r="Y44" s="662">
        <f t="shared" si="7"/>
        <v>1.0010042177144005</v>
      </c>
      <c r="Z44" s="479">
        <v>45714</v>
      </c>
      <c r="AA44" s="662">
        <v>1</v>
      </c>
      <c r="AB44" s="662">
        <v>1</v>
      </c>
      <c r="AC44" s="815">
        <v>0</v>
      </c>
      <c r="AD44" s="148" t="s">
        <v>652</v>
      </c>
    </row>
    <row r="45" spans="1:30" ht="39.75" customHeight="1">
      <c r="A45" s="1098" t="s">
        <v>653</v>
      </c>
      <c r="B45" s="378" t="s">
        <v>50</v>
      </c>
      <c r="C45" s="51">
        <v>45742</v>
      </c>
      <c r="D45" s="1086" t="s">
        <v>654</v>
      </c>
      <c r="E45" s="381">
        <v>45680</v>
      </c>
      <c r="F45" s="50" t="s">
        <v>61</v>
      </c>
      <c r="G45" s="572" t="s">
        <v>655</v>
      </c>
      <c r="H45" s="52">
        <v>79</v>
      </c>
      <c r="I45" s="1088" t="s">
        <v>531</v>
      </c>
      <c r="J45" s="977" t="s">
        <v>63</v>
      </c>
      <c r="K45" s="52"/>
      <c r="L45" s="374" t="s">
        <v>364</v>
      </c>
      <c r="M45" s="380" t="s">
        <v>57</v>
      </c>
      <c r="N45" s="1076">
        <v>64790.5</v>
      </c>
      <c r="O45" s="380" t="s">
        <v>57</v>
      </c>
      <c r="P45" s="1099" t="s">
        <v>364</v>
      </c>
      <c r="Q45" s="54">
        <v>45675</v>
      </c>
      <c r="R45" s="54">
        <v>45917</v>
      </c>
      <c r="S45" s="54">
        <v>45931</v>
      </c>
      <c r="T45" s="54"/>
      <c r="U45" s="486" t="s">
        <v>539</v>
      </c>
      <c r="V45" s="31">
        <v>4975</v>
      </c>
      <c r="W45" s="1100">
        <v>4975</v>
      </c>
      <c r="X45" s="106">
        <f t="shared" si="6"/>
        <v>0</v>
      </c>
      <c r="Y45" s="22">
        <f t="shared" si="7"/>
        <v>1</v>
      </c>
      <c r="Z45" s="195">
        <v>45680</v>
      </c>
      <c r="AA45" s="355">
        <v>0</v>
      </c>
      <c r="AB45" s="355">
        <v>0</v>
      </c>
      <c r="AC45" s="815">
        <v>0</v>
      </c>
      <c r="AD45" s="69" t="s">
        <v>656</v>
      </c>
    </row>
    <row r="46" spans="1:30" ht="39.75" customHeight="1">
      <c r="A46" s="842" t="s">
        <v>657</v>
      </c>
      <c r="B46" s="823" t="s">
        <v>50</v>
      </c>
      <c r="C46" s="467">
        <v>45960</v>
      </c>
      <c r="D46" s="465" t="s">
        <v>225</v>
      </c>
      <c r="E46" s="467">
        <v>45927</v>
      </c>
      <c r="F46" s="465" t="s">
        <v>527</v>
      </c>
      <c r="G46" s="682" t="s">
        <v>658</v>
      </c>
      <c r="H46" s="469">
        <v>86</v>
      </c>
      <c r="I46" s="661" t="s">
        <v>363</v>
      </c>
      <c r="J46" s="469" t="s">
        <v>63</v>
      </c>
      <c r="K46" s="478"/>
      <c r="L46" s="467">
        <v>45917</v>
      </c>
      <c r="M46" s="469" t="s">
        <v>57</v>
      </c>
      <c r="N46" s="542">
        <v>45500</v>
      </c>
      <c r="O46" s="469" t="s">
        <v>57</v>
      </c>
      <c r="P46" s="806" t="s">
        <v>364</v>
      </c>
      <c r="Q46" s="471">
        <v>45917</v>
      </c>
      <c r="R46" s="471">
        <v>45944</v>
      </c>
      <c r="S46" s="471">
        <v>45951</v>
      </c>
      <c r="T46" s="471"/>
      <c r="U46" s="486" t="s">
        <v>539</v>
      </c>
      <c r="V46" s="472">
        <v>3242</v>
      </c>
      <c r="W46" s="742">
        <v>3228</v>
      </c>
      <c r="X46" s="981">
        <f t="shared" si="6"/>
        <v>14</v>
      </c>
      <c r="Y46" s="982">
        <f t="shared" si="7"/>
        <v>0.99568167797655771</v>
      </c>
      <c r="Z46" s="678">
        <v>45930</v>
      </c>
      <c r="AA46" s="355">
        <v>0</v>
      </c>
      <c r="AB46" s="355">
        <v>0</v>
      </c>
      <c r="AC46" s="787">
        <v>0</v>
      </c>
      <c r="AD46" s="880"/>
    </row>
    <row r="47" spans="1:30" ht="39.75" customHeight="1">
      <c r="A47" s="929" t="s">
        <v>659</v>
      </c>
      <c r="B47" s="823" t="s">
        <v>50</v>
      </c>
      <c r="C47" s="467">
        <v>45991</v>
      </c>
      <c r="D47" s="467" t="s">
        <v>71</v>
      </c>
      <c r="E47" s="476">
        <v>45743</v>
      </c>
      <c r="F47" s="475" t="s">
        <v>61</v>
      </c>
      <c r="G47" s="824" t="s">
        <v>660</v>
      </c>
      <c r="H47" s="478">
        <v>70</v>
      </c>
      <c r="I47" s="661" t="s">
        <v>363</v>
      </c>
      <c r="J47" s="469" t="s">
        <v>63</v>
      </c>
      <c r="K47" s="825"/>
      <c r="L47" s="476">
        <v>45741</v>
      </c>
      <c r="M47" s="469" t="s">
        <v>57</v>
      </c>
      <c r="N47" s="543">
        <v>67735.5</v>
      </c>
      <c r="O47" s="469" t="s">
        <v>57</v>
      </c>
      <c r="P47" s="806" t="s">
        <v>364</v>
      </c>
      <c r="Q47" s="479">
        <v>45779</v>
      </c>
      <c r="R47" s="479"/>
      <c r="S47" s="479"/>
      <c r="T47" s="479"/>
      <c r="U47" s="486" t="s">
        <v>539</v>
      </c>
      <c r="V47" s="41">
        <v>6152</v>
      </c>
      <c r="W47" s="742">
        <v>5723</v>
      </c>
      <c r="X47" s="106">
        <f>SUM(V47-W47)</f>
        <v>429</v>
      </c>
      <c r="Y47" s="657">
        <f>IFERROR($W47/$V47, 0)</f>
        <v>0.9302665799739922</v>
      </c>
      <c r="Z47" s="678">
        <v>45792</v>
      </c>
      <c r="AA47" s="355">
        <v>0</v>
      </c>
      <c r="AB47" s="355">
        <v>0</v>
      </c>
      <c r="AC47" s="645">
        <v>0</v>
      </c>
      <c r="AD47" s="353" t="s">
        <v>661</v>
      </c>
    </row>
    <row r="48" spans="1:30" ht="39.75" customHeight="1">
      <c r="A48" s="878" t="s">
        <v>662</v>
      </c>
      <c r="B48" s="823" t="s">
        <v>50</v>
      </c>
      <c r="C48" s="826">
        <v>45716</v>
      </c>
      <c r="D48" s="826" t="s">
        <v>71</v>
      </c>
      <c r="E48" s="826">
        <v>45701</v>
      </c>
      <c r="F48" s="475" t="s">
        <v>61</v>
      </c>
      <c r="G48" s="849" t="s">
        <v>544</v>
      </c>
      <c r="H48" s="828">
        <v>0</v>
      </c>
      <c r="I48" s="828" t="s">
        <v>364</v>
      </c>
      <c r="J48" s="828" t="s">
        <v>63</v>
      </c>
      <c r="K48" s="828"/>
      <c r="L48" s="826">
        <v>45705</v>
      </c>
      <c r="M48" s="828" t="s">
        <v>57</v>
      </c>
      <c r="N48" s="850">
        <v>1295</v>
      </c>
      <c r="O48" s="828" t="s">
        <v>57</v>
      </c>
      <c r="P48" s="806" t="s">
        <v>364</v>
      </c>
      <c r="Q48" s="513">
        <v>45706</v>
      </c>
      <c r="R48" s="513">
        <v>45826</v>
      </c>
      <c r="S48" s="513"/>
      <c r="T48" s="513"/>
      <c r="U48" s="486" t="s">
        <v>539</v>
      </c>
      <c r="V48" s="851">
        <v>153</v>
      </c>
      <c r="W48" s="741">
        <v>153</v>
      </c>
      <c r="X48" s="106">
        <f t="shared" si="6"/>
        <v>0</v>
      </c>
      <c r="Y48" s="657">
        <f t="shared" si="7"/>
        <v>1</v>
      </c>
      <c r="Z48" s="678">
        <v>45754</v>
      </c>
      <c r="AA48" s="473">
        <v>1</v>
      </c>
      <c r="AB48" s="473">
        <v>1</v>
      </c>
      <c r="AC48" s="815">
        <v>0</v>
      </c>
      <c r="AD48" s="173" t="s">
        <v>663</v>
      </c>
    </row>
    <row r="49" spans="1:30" ht="39.75" customHeight="1">
      <c r="A49" s="842" t="s">
        <v>664</v>
      </c>
      <c r="B49" s="788" t="s">
        <v>50</v>
      </c>
      <c r="C49" s="887">
        <v>46008</v>
      </c>
      <c r="D49" s="1087" t="s">
        <v>665</v>
      </c>
      <c r="E49" s="57">
        <v>45952</v>
      </c>
      <c r="F49" s="771" t="s">
        <v>527</v>
      </c>
      <c r="G49" s="789"/>
      <c r="H49" s="775">
        <v>139</v>
      </c>
      <c r="I49" s="661" t="s">
        <v>363</v>
      </c>
      <c r="J49" s="469" t="s">
        <v>56</v>
      </c>
      <c r="K49" s="775"/>
      <c r="L49" s="57" t="s">
        <v>52</v>
      </c>
      <c r="M49" s="977" t="s">
        <v>57</v>
      </c>
      <c r="N49" s="1076">
        <v>42766.5</v>
      </c>
      <c r="O49" s="52" t="s">
        <v>57</v>
      </c>
      <c r="P49" s="1099" t="s">
        <v>364</v>
      </c>
      <c r="Q49" s="54">
        <v>45939</v>
      </c>
      <c r="R49" s="195"/>
      <c r="S49" s="54"/>
      <c r="T49" s="54"/>
      <c r="U49" s="486" t="s">
        <v>539</v>
      </c>
      <c r="V49" s="31">
        <v>6699</v>
      </c>
      <c r="W49" s="1439">
        <v>7175</v>
      </c>
      <c r="X49" s="472">
        <f t="shared" si="6"/>
        <v>-476</v>
      </c>
      <c r="Y49" s="982">
        <f t="shared" si="7"/>
        <v>1.0710553814002091</v>
      </c>
      <c r="Z49" s="54">
        <v>45954</v>
      </c>
      <c r="AA49" s="601">
        <v>1</v>
      </c>
      <c r="AB49" s="601">
        <v>1</v>
      </c>
      <c r="AC49" s="1090">
        <v>0</v>
      </c>
      <c r="AD49" s="149"/>
    </row>
    <row r="50" spans="1:30" ht="39.75" customHeight="1">
      <c r="A50" s="55"/>
      <c r="B50" s="145"/>
      <c r="C50" s="145"/>
      <c r="D50" s="145"/>
      <c r="E50" s="145"/>
      <c r="F50" s="55"/>
      <c r="G50" s="55"/>
      <c r="H50" s="145"/>
      <c r="I50" s="145"/>
      <c r="J50" s="145"/>
      <c r="K50" s="145"/>
      <c r="L50" s="55"/>
      <c r="M50" s="145"/>
      <c r="N50" s="548"/>
      <c r="O50" s="145"/>
      <c r="P50" s="145"/>
      <c r="Q50" s="145"/>
      <c r="R50" s="145"/>
      <c r="S50" s="145"/>
      <c r="T50" s="145"/>
      <c r="U50" s="145"/>
      <c r="V50" s="55"/>
      <c r="W50" s="145"/>
      <c r="X50" s="145"/>
      <c r="Y50" s="145"/>
      <c r="Z50" s="145"/>
      <c r="AA50" s="145"/>
      <c r="AB50" s="145"/>
      <c r="AC50" s="145"/>
      <c r="AD50" s="149"/>
    </row>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8">
    <dataValidation type="list" allowBlank="1" showInputMessage="1" showErrorMessage="1" sqref="I40 I48 I43 I13:I23 I7:I11 I5 I25:I31" xr:uid="{E853D3AC-53E6-40B3-9468-670D6258E03E}">
      <formula1>"On Track, In Jeopardy, Completed on Track, Completed, Completed -Missed TSD, On Hold Per Tillman"</formula1>
    </dataValidation>
    <dataValidation type="list" allowBlank="1" showInputMessage="1" showErrorMessage="1" sqref="I41:I42 I2:I4 I12 I44:I47 I6 I24 I49:I50 I32:I39" xr:uid="{95C76690-A5CC-427D-AC41-D310D42A94FC}">
      <formula1>"On Track, In Jeopardy, Completed on Track, Completed, Completed -Missed TSD"</formula1>
    </dataValidation>
    <dataValidation type="list" allowBlank="1" showInputMessage="1" showErrorMessage="1" sqref="J2:J7 J9:J49" xr:uid="{077C0B92-BF38-4443-B61B-D38C4921FD4D}">
      <formula1>"Received, Pending, Not Required"</formula1>
    </dataValidation>
    <dataValidation allowBlank="1" showInputMessage="1" showErrorMessage="1" sqref="E43 D48:D49 D9:E9 D5:E5 E13 E20 D45 Q1:T6 E24 L46:L50 Q46:U50 L1:L44 U1:U45 Q8:T4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6:K50 K7:K4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531</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531</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531</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531</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531</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531</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531</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531</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531</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531</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541</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531</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531</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531</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531</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531</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531</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531</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531</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531</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531</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531</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531</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529</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541</v>
      </c>
      <c r="E146" s="57">
        <v>45694</v>
      </c>
      <c r="F146" s="57" t="s">
        <v>800</v>
      </c>
      <c r="G146" s="794" t="s">
        <v>1028</v>
      </c>
      <c r="H146" s="775">
        <v>0</v>
      </c>
      <c r="I146" s="790" t="s">
        <v>531</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550</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541</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543</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540</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548</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540</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548</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515</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515</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519</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522</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430</v>
      </c>
      <c r="B470" s="1449">
        <v>644</v>
      </c>
      <c r="C470" s="1449">
        <v>1430</v>
      </c>
      <c r="D470" s="1449">
        <v>970</v>
      </c>
      <c r="E470" s="1449"/>
      <c r="F470" s="1449"/>
      <c r="G470" s="1449">
        <v>3044</v>
      </c>
    </row>
    <row r="471" spans="1:7">
      <c r="A471" t="s">
        <v>546</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430</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515</v>
      </c>
      <c r="B501" s="1449"/>
      <c r="C501" s="1449"/>
      <c r="D501" s="1449"/>
      <c r="E501" s="1449">
        <v>341</v>
      </c>
      <c r="F501" s="1449"/>
      <c r="G501" s="1449">
        <v>341</v>
      </c>
    </row>
    <row r="502" spans="1:7">
      <c r="A502" t="s">
        <v>1097</v>
      </c>
      <c r="B502" s="1449"/>
      <c r="C502" s="1449"/>
      <c r="D502" s="1449"/>
      <c r="E502" s="1449"/>
      <c r="F502" s="1449"/>
      <c r="G502" s="1449"/>
    </row>
    <row r="503" spans="1:7">
      <c r="A503" t="s">
        <v>430</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540</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430</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540</v>
      </c>
      <c r="B549" s="1449"/>
      <c r="C549" s="1449"/>
      <c r="D549" s="1449"/>
      <c r="E549" s="1449">
        <v>676</v>
      </c>
      <c r="F549" s="1449">
        <v>430</v>
      </c>
      <c r="G549" s="1449">
        <v>1106</v>
      </c>
    </row>
    <row r="550" spans="1:7">
      <c r="A550" t="s">
        <v>515</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540</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430</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543</v>
      </c>
      <c r="B578" s="1449"/>
      <c r="C578" s="1449"/>
      <c r="D578" s="1449"/>
      <c r="E578" s="1449"/>
      <c r="F578" s="1449">
        <v>198</v>
      </c>
      <c r="G578" s="1449">
        <v>198</v>
      </c>
    </row>
    <row r="579" spans="1:7">
      <c r="A579" t="s">
        <v>540</v>
      </c>
      <c r="B579" s="1449"/>
      <c r="C579" s="1449"/>
      <c r="D579" s="1449"/>
      <c r="E579" s="1449"/>
      <c r="F579" s="1449"/>
      <c r="G579" s="1449"/>
    </row>
    <row r="580" spans="1:7">
      <c r="A580" t="s">
        <v>548</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543</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543</v>
      </c>
      <c r="B605" s="1449"/>
      <c r="C605" s="1449"/>
      <c r="D605" s="1449">
        <v>461</v>
      </c>
      <c r="E605" s="1449">
        <v>880</v>
      </c>
      <c r="F605" s="1449">
        <v>585</v>
      </c>
      <c r="G605" s="1449">
        <v>1926</v>
      </c>
    </row>
    <row r="606" spans="1:7">
      <c r="A606" t="s">
        <v>548</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543</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537</v>
      </c>
      <c r="B632" s="1449"/>
      <c r="C632" s="1449"/>
      <c r="D632" s="1449">
        <v>314</v>
      </c>
      <c r="E632" s="1449"/>
      <c r="F632" s="1449"/>
      <c r="G632" s="1449">
        <v>314</v>
      </c>
    </row>
    <row r="633" spans="1:7">
      <c r="A633" t="s">
        <v>551</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537</v>
      </c>
      <c r="B641" s="1449"/>
      <c r="C641" s="1449"/>
      <c r="D641" s="1449"/>
      <c r="E641" s="1449"/>
      <c r="F641" s="1449"/>
      <c r="G641" s="1449"/>
    </row>
    <row r="642" spans="1:7">
      <c r="A642" t="s">
        <v>551</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551</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548</v>
      </c>
      <c r="B665" s="1449"/>
      <c r="C665" s="1449"/>
      <c r="D665" s="1449">
        <v>499</v>
      </c>
      <c r="E665" s="1449">
        <v>231</v>
      </c>
      <c r="F665" s="1449">
        <v>316</v>
      </c>
      <c r="G665" s="1449">
        <v>1046</v>
      </c>
    </row>
    <row r="666" spans="1:7">
      <c r="A666" t="s">
        <v>515</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537</v>
      </c>
      <c r="B669" s="1449"/>
      <c r="C669" s="1449">
        <v>430</v>
      </c>
      <c r="D669" s="1449"/>
      <c r="E669" s="1449"/>
      <c r="F669" s="1449"/>
      <c r="G669" s="1449">
        <v>430</v>
      </c>
    </row>
    <row r="670" spans="1:7">
      <c r="A670" t="s">
        <v>551</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543</v>
      </c>
      <c r="B685" s="1449"/>
      <c r="C685" s="1449"/>
      <c r="D685" s="1449">
        <v>1241</v>
      </c>
      <c r="E685" s="1449"/>
      <c r="F685" s="1449"/>
      <c r="G685" s="1449">
        <v>1241</v>
      </c>
    </row>
    <row r="686" spans="1:7">
      <c r="A686" t="s">
        <v>548</v>
      </c>
      <c r="B686" s="1449">
        <v>503</v>
      </c>
      <c r="C686" s="1449">
        <v>295</v>
      </c>
      <c r="D686" s="1449"/>
      <c r="E686" s="1449"/>
      <c r="F686" s="1449">
        <v>6</v>
      </c>
      <c r="G686" s="1449">
        <v>804</v>
      </c>
    </row>
    <row r="687" spans="1:7">
      <c r="A687" t="s">
        <v>515</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551</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543</v>
      </c>
      <c r="B707" s="1449"/>
      <c r="C707" s="1449"/>
      <c r="D707" s="1449"/>
      <c r="E707" s="1449"/>
      <c r="F707" s="1449"/>
      <c r="G707" s="1449"/>
    </row>
    <row r="708" spans="1:7">
      <c r="A708" t="s">
        <v>908</v>
      </c>
      <c r="B708" s="1449"/>
      <c r="C708" s="1449"/>
      <c r="D708" s="1449"/>
      <c r="E708" s="1449"/>
      <c r="F708" s="1449"/>
      <c r="G708" s="1449"/>
    </row>
    <row r="709" spans="1:7">
      <c r="A709" t="s">
        <v>548</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562</v>
      </c>
      <c r="B719" s="1449"/>
      <c r="C719" s="1449"/>
      <c r="D719" s="1449"/>
      <c r="E719" s="1449">
        <v>903</v>
      </c>
      <c r="F719" s="1449"/>
      <c r="G719" s="1449">
        <v>903</v>
      </c>
    </row>
    <row r="720" spans="1:7">
      <c r="A720" t="s">
        <v>553</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515</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562</v>
      </c>
      <c r="B731" s="1449">
        <v>254</v>
      </c>
      <c r="C731" s="1449">
        <v>1686</v>
      </c>
      <c r="D731" s="1449">
        <v>611</v>
      </c>
      <c r="E731" s="1449"/>
      <c r="F731" s="1449"/>
      <c r="G731" s="1449">
        <v>2551</v>
      </c>
    </row>
    <row r="732" spans="1:7">
      <c r="A732" t="s">
        <v>553</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543</v>
      </c>
      <c r="B743" s="1449"/>
      <c r="C743" s="1449"/>
      <c r="D743" s="1449">
        <v>139</v>
      </c>
      <c r="E743" s="1449"/>
      <c r="F743" s="1449"/>
      <c r="G743" s="1449">
        <v>139</v>
      </c>
    </row>
    <row r="744" spans="1:7">
      <c r="A744" t="s">
        <v>548</v>
      </c>
      <c r="B744" s="1449"/>
      <c r="C744" s="1449"/>
      <c r="D744" s="1449"/>
      <c r="E744" s="1449"/>
      <c r="F744" s="1449"/>
      <c r="G744" s="1449"/>
    </row>
    <row r="745" spans="1:7">
      <c r="A745" t="s">
        <v>522</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562</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564</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543</v>
      </c>
      <c r="B763" s="1449">
        <v>60</v>
      </c>
      <c r="C763" s="1449"/>
      <c r="D763" s="1449"/>
      <c r="E763" s="1449"/>
      <c r="F763" s="1449"/>
      <c r="G763" s="1449">
        <v>60</v>
      </c>
    </row>
    <row r="764" spans="1:7">
      <c r="A764" t="s">
        <v>519</v>
      </c>
      <c r="B764" s="1449"/>
      <c r="C764" s="1449"/>
      <c r="D764" s="1449"/>
      <c r="E764" s="1449">
        <v>175</v>
      </c>
      <c r="F764" s="1449"/>
      <c r="G764" s="1449">
        <v>175</v>
      </c>
    </row>
    <row r="765" spans="1:7">
      <c r="A765" t="s">
        <v>1096</v>
      </c>
      <c r="B765" s="1449"/>
      <c r="C765" s="1449">
        <v>224</v>
      </c>
      <c r="D765" s="1449"/>
      <c r="E765" s="1449"/>
      <c r="F765" s="1449"/>
      <c r="G765" s="1449">
        <v>224</v>
      </c>
    </row>
    <row r="766" spans="1:7">
      <c r="A766" t="s">
        <v>537</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564</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613</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567</v>
      </c>
      <c r="B778" s="1449"/>
      <c r="C778" s="1449">
        <v>1231</v>
      </c>
      <c r="D778" s="1449">
        <v>1538</v>
      </c>
      <c r="E778" s="1449">
        <v>1377</v>
      </c>
      <c r="F778" s="1449"/>
      <c r="G778" s="1449">
        <v>4146</v>
      </c>
    </row>
    <row r="779" spans="1:7">
      <c r="A779" t="s">
        <v>570</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519</v>
      </c>
      <c r="B790" s="1449">
        <v>229</v>
      </c>
      <c r="C790" s="1449"/>
      <c r="D790" s="1449"/>
      <c r="E790" s="1449"/>
      <c r="F790" s="1449"/>
      <c r="G790" s="1449">
        <v>229</v>
      </c>
    </row>
    <row r="791" spans="1:7">
      <c r="A791" t="s">
        <v>522</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537</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567</v>
      </c>
      <c r="B798" s="1449">
        <v>600</v>
      </c>
      <c r="C798" s="1449"/>
      <c r="D798" s="1449"/>
      <c r="E798" s="1449"/>
      <c r="F798" s="1449"/>
      <c r="G798" s="1449">
        <v>600</v>
      </c>
    </row>
    <row r="799" spans="1:7">
      <c r="A799" t="s">
        <v>570</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587</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519</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522</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537</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570</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587</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557</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587</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589</v>
      </c>
      <c r="B845" s="1449">
        <v>1768</v>
      </c>
      <c r="C845" s="1449">
        <v>510</v>
      </c>
      <c r="D845" s="1449"/>
      <c r="E845" s="1449"/>
      <c r="F845" s="1449"/>
      <c r="G845" s="1449">
        <v>2278</v>
      </c>
    </row>
    <row r="846" spans="1:7">
      <c r="A846" t="s">
        <v>525</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593</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522</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537</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557</v>
      </c>
      <c r="B864" s="1449"/>
      <c r="C864" s="1449"/>
      <c r="D864" s="1449"/>
      <c r="E864" s="1449"/>
      <c r="F864" s="1449"/>
      <c r="G864" s="1449"/>
    </row>
    <row r="865" spans="1:7">
      <c r="A865" t="s">
        <v>525</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593</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599</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519</v>
      </c>
      <c r="B880" s="1449"/>
      <c r="C880" s="1449"/>
      <c r="D880" s="1449">
        <v>171</v>
      </c>
      <c r="E880" s="1449"/>
      <c r="F880" s="1449"/>
      <c r="G880" s="1449">
        <v>171</v>
      </c>
    </row>
    <row r="881" spans="1:7">
      <c r="A881" t="s">
        <v>1090</v>
      </c>
      <c r="B881" s="1449">
        <v>567</v>
      </c>
      <c r="C881" s="1449"/>
      <c r="D881" s="1449"/>
      <c r="E881" s="1449"/>
      <c r="F881" s="1449"/>
      <c r="G881" s="1449">
        <v>567</v>
      </c>
    </row>
    <row r="882" spans="1:7">
      <c r="A882" t="s">
        <v>537</v>
      </c>
      <c r="B882" s="1449"/>
      <c r="C882" s="1449"/>
      <c r="D882" s="1449"/>
      <c r="E882" s="1449"/>
      <c r="F882" s="1449"/>
      <c r="G882" s="1449"/>
    </row>
    <row r="883" spans="1:7">
      <c r="A883" t="s">
        <v>551</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557</v>
      </c>
      <c r="B887" s="1449">
        <v>270</v>
      </c>
      <c r="C887" s="1449">
        <v>60</v>
      </c>
      <c r="D887" s="1449"/>
      <c r="E887" s="1449"/>
      <c r="F887" s="1449"/>
      <c r="G887" s="1449">
        <v>330</v>
      </c>
    </row>
    <row r="888" spans="1:7">
      <c r="A888" t="s">
        <v>589</v>
      </c>
      <c r="B888" s="1449"/>
      <c r="C888" s="1449"/>
      <c r="D888" s="1449"/>
      <c r="E888" s="1449"/>
      <c r="F888" s="1449"/>
      <c r="G888" s="1449"/>
    </row>
    <row r="889" spans="1:7">
      <c r="A889" t="s">
        <v>525</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591</v>
      </c>
      <c r="B893" s="1449"/>
      <c r="C893" s="1449">
        <v>1509</v>
      </c>
      <c r="D893" s="1449">
        <v>1087</v>
      </c>
      <c r="E893" s="1449">
        <v>777</v>
      </c>
      <c r="F893" s="1449"/>
      <c r="G893" s="1449">
        <v>3373</v>
      </c>
    </row>
    <row r="894" spans="1:7">
      <c r="A894" t="s">
        <v>599</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585</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620</v>
      </c>
      <c r="B900" s="1449"/>
      <c r="C900" s="1449"/>
      <c r="D900" s="1449"/>
      <c r="E900" s="1449">
        <v>978</v>
      </c>
      <c r="F900" s="1449"/>
      <c r="G900" s="1449">
        <v>978</v>
      </c>
    </row>
    <row r="901" spans="1:7">
      <c r="A901" t="s">
        <v>436</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553</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525</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599</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620</v>
      </c>
      <c r="B919" s="1449">
        <v>1420</v>
      </c>
      <c r="C919" s="1449">
        <v>990</v>
      </c>
      <c r="D919" s="1449">
        <v>549</v>
      </c>
      <c r="E919" s="1449"/>
      <c r="F919" s="1449"/>
      <c r="G919" s="1449">
        <v>2959</v>
      </c>
    </row>
    <row r="920" spans="1:7">
      <c r="A920" t="s">
        <v>436</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597</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528</v>
      </c>
      <c r="B925" s="1449"/>
      <c r="C925" s="1449">
        <v>1691</v>
      </c>
      <c r="D925" s="1449">
        <v>1998</v>
      </c>
      <c r="E925" s="1449">
        <v>760</v>
      </c>
      <c r="F925" s="1449">
        <v>3975</v>
      </c>
      <c r="G925" s="1449">
        <v>8424</v>
      </c>
    </row>
    <row r="926" spans="1:7">
      <c r="A926" t="s">
        <v>623</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457</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448</v>
      </c>
      <c r="B931" s="1449"/>
      <c r="C931" s="1449"/>
      <c r="D931" s="1449">
        <v>2985</v>
      </c>
      <c r="E931" s="1449">
        <v>2373</v>
      </c>
      <c r="F931" s="1449"/>
      <c r="G931" s="1449">
        <v>5358</v>
      </c>
    </row>
    <row r="932" spans="1:7">
      <c r="A932" t="s">
        <v>475</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525</v>
      </c>
      <c r="B940" s="1449">
        <v>560</v>
      </c>
      <c r="C940" s="1449"/>
      <c r="D940" s="1449"/>
      <c r="E940" s="1449"/>
      <c r="F940" s="1449"/>
      <c r="G940" s="1449">
        <v>560</v>
      </c>
    </row>
    <row r="941" spans="1:7">
      <c r="A941" t="s">
        <v>382</v>
      </c>
      <c r="B941" s="1449"/>
      <c r="C941" s="1449"/>
      <c r="D941" s="1449"/>
      <c r="E941" s="1449"/>
      <c r="F941" s="1449"/>
      <c r="G941" s="1449"/>
    </row>
    <row r="942" spans="1:7">
      <c r="A942" t="s">
        <v>599</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620</v>
      </c>
      <c r="B945" s="1449">
        <v>632</v>
      </c>
      <c r="C945" s="1449"/>
      <c r="D945" s="1449"/>
      <c r="E945" s="1449"/>
      <c r="F945" s="1449"/>
      <c r="G945" s="1449">
        <v>632</v>
      </c>
    </row>
    <row r="946" spans="1:7">
      <c r="A946" t="s">
        <v>436</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623</v>
      </c>
      <c r="B948" s="1449">
        <v>1351</v>
      </c>
      <c r="C948" s="1449"/>
      <c r="D948" s="1449">
        <v>890</v>
      </c>
      <c r="E948" s="1449"/>
      <c r="F948" s="1449"/>
      <c r="G948" s="1449">
        <v>2241</v>
      </c>
    </row>
    <row r="949" spans="1:7">
      <c r="A949" t="s">
        <v>475</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414</v>
      </c>
      <c r="B952" s="1449"/>
      <c r="C952" s="1449"/>
      <c r="D952" s="1449">
        <v>1580</v>
      </c>
      <c r="E952" s="1449">
        <v>1258</v>
      </c>
      <c r="F952" s="1449"/>
      <c r="G952" s="1449">
        <v>2838</v>
      </c>
    </row>
    <row r="953" spans="1:7">
      <c r="A953" t="s">
        <v>595</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467</v>
      </c>
      <c r="B956" s="1449"/>
      <c r="C956" s="1449"/>
      <c r="D956" s="1449">
        <v>1264</v>
      </c>
      <c r="E956" s="1449">
        <v>1281</v>
      </c>
      <c r="F956" s="1449"/>
      <c r="G956" s="1449">
        <v>2545</v>
      </c>
    </row>
    <row r="957" spans="1:7">
      <c r="A957" t="s">
        <v>1129</v>
      </c>
      <c r="B957" s="1449"/>
      <c r="C957" s="1449"/>
      <c r="D957" s="1449"/>
      <c r="E957" s="1449"/>
      <c r="F957" s="1449"/>
      <c r="G957" s="1449"/>
    </row>
    <row r="958" spans="1:7">
      <c r="A958" t="s">
        <v>480</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509</v>
      </c>
      <c r="B960" s="1449"/>
      <c r="C960" s="1449"/>
      <c r="D960" s="1449"/>
      <c r="E960" s="1449">
        <v>424</v>
      </c>
      <c r="F960" s="1449"/>
      <c r="G960" s="1449">
        <v>424</v>
      </c>
    </row>
    <row r="961" spans="1:7">
      <c r="A961" t="s">
        <v>482</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525</v>
      </c>
      <c r="B970" s="1449"/>
      <c r="C970" s="1449">
        <v>17</v>
      </c>
      <c r="D970" s="1449"/>
      <c r="E970" s="1449"/>
      <c r="F970" s="1449"/>
      <c r="G970" s="1449">
        <v>17</v>
      </c>
    </row>
    <row r="971" spans="1:7">
      <c r="A971" t="s">
        <v>599</v>
      </c>
      <c r="B971" s="1449"/>
      <c r="C971" s="1449"/>
      <c r="D971" s="1449"/>
      <c r="E971" s="1449"/>
      <c r="F971" s="1449"/>
      <c r="G971" s="1449"/>
    </row>
    <row r="972" spans="1:7">
      <c r="A972" t="s">
        <v>436</v>
      </c>
      <c r="B972" s="1449">
        <v>127</v>
      </c>
      <c r="C972" s="1449"/>
      <c r="D972" s="1449"/>
      <c r="E972" s="1449"/>
      <c r="F972" s="1449"/>
      <c r="G972" s="1449">
        <v>127</v>
      </c>
    </row>
    <row r="973" spans="1:7">
      <c r="A973" t="s">
        <v>221</v>
      </c>
      <c r="B973" s="1449">
        <v>420</v>
      </c>
      <c r="C973" s="1449"/>
      <c r="D973" s="1449"/>
      <c r="E973" s="1449"/>
      <c r="F973" s="1449"/>
      <c r="G973" s="1449">
        <v>420</v>
      </c>
    </row>
    <row r="974" spans="1:7">
      <c r="A974" t="s">
        <v>623</v>
      </c>
      <c r="B974" s="1449"/>
      <c r="C974" s="1449"/>
      <c r="D974" s="1449"/>
      <c r="E974" s="1449"/>
      <c r="F974" s="1449"/>
      <c r="G974" s="1449"/>
    </row>
    <row r="975" spans="1:7">
      <c r="A975" t="s">
        <v>377</v>
      </c>
      <c r="B975" s="1449"/>
      <c r="C975" s="1449">
        <v>1917</v>
      </c>
      <c r="D975" s="1449"/>
      <c r="E975" s="1449">
        <v>272</v>
      </c>
      <c r="F975" s="1449"/>
      <c r="G975" s="1449">
        <v>2189</v>
      </c>
    </row>
    <row r="976" spans="1:7">
      <c r="A976" t="s">
        <v>595</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467</v>
      </c>
      <c r="B979" s="1449">
        <v>1662</v>
      </c>
      <c r="C979" s="1449">
        <v>2684</v>
      </c>
      <c r="D979" s="1449"/>
      <c r="E979" s="1449"/>
      <c r="F979" s="1449">
        <v>51</v>
      </c>
      <c r="G979" s="1449">
        <v>4397</v>
      </c>
    </row>
    <row r="980" spans="1:7">
      <c r="A980" t="s">
        <v>477</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509</v>
      </c>
      <c r="B982" s="1449"/>
      <c r="C982" s="1449"/>
      <c r="D982" s="1449"/>
      <c r="E982" s="1449">
        <v>313</v>
      </c>
      <c r="F982" s="1449">
        <v>3007</v>
      </c>
      <c r="G982" s="1449">
        <v>3320</v>
      </c>
    </row>
    <row r="983" spans="1:7">
      <c r="A983" t="s">
        <v>482</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604</v>
      </c>
      <c r="B985" s="1449">
        <v>1471</v>
      </c>
      <c r="C985" s="1449"/>
      <c r="D985" s="1449"/>
      <c r="E985" s="1449"/>
      <c r="F985" s="1449"/>
      <c r="G985" s="1449">
        <v>1471</v>
      </c>
    </row>
    <row r="986" spans="1:7">
      <c r="A986" t="s">
        <v>601</v>
      </c>
      <c r="B986" s="1449">
        <v>762</v>
      </c>
      <c r="C986" s="1449">
        <v>1530</v>
      </c>
      <c r="D986" s="1449">
        <v>954</v>
      </c>
      <c r="E986" s="1449">
        <v>1603</v>
      </c>
      <c r="F986" s="1449"/>
      <c r="G986" s="1449">
        <v>4849</v>
      </c>
    </row>
    <row r="987" spans="1:7">
      <c r="A987" t="s">
        <v>417</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485</v>
      </c>
      <c r="B994" s="1449"/>
      <c r="C994" s="1449"/>
      <c r="D994" s="1449"/>
      <c r="E994" s="1449">
        <v>1420</v>
      </c>
      <c r="F994" s="1449">
        <v>3043</v>
      </c>
      <c r="G994" s="1449">
        <v>4463</v>
      </c>
    </row>
    <row r="995" spans="1:7">
      <c r="A995" t="s">
        <v>488</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519</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457</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448</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414</v>
      </c>
      <c r="B1017" s="1449"/>
      <c r="C1017" s="1449"/>
      <c r="D1017" s="1449"/>
      <c r="E1017" s="1449"/>
      <c r="F1017" s="1449"/>
      <c r="G1017" s="1449"/>
    </row>
    <row r="1018" spans="1:7">
      <c r="A1018" t="s">
        <v>595</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604</v>
      </c>
      <c r="B1020" s="1449">
        <v>665</v>
      </c>
      <c r="C1020" s="1449">
        <v>1360</v>
      </c>
      <c r="D1020" s="1449">
        <v>1024</v>
      </c>
      <c r="E1020" s="1449"/>
      <c r="F1020" s="1449"/>
      <c r="G1020" s="1449">
        <v>3049</v>
      </c>
    </row>
    <row r="1021" spans="1:7">
      <c r="A1021" t="s">
        <v>601</v>
      </c>
      <c r="B1021" s="1449">
        <v>805</v>
      </c>
      <c r="C1021" s="1449"/>
      <c r="D1021" s="1449"/>
      <c r="E1021" s="1449"/>
      <c r="F1021" s="1449"/>
      <c r="G1021" s="1449">
        <v>805</v>
      </c>
    </row>
    <row r="1022" spans="1:7">
      <c r="A1022" t="s">
        <v>417</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485</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488</v>
      </c>
      <c r="B1026" s="1449"/>
      <c r="C1026" s="1449">
        <v>3311</v>
      </c>
      <c r="D1026" s="1449"/>
      <c r="E1026" s="1449"/>
      <c r="F1026" s="1449"/>
      <c r="G1026" s="1449">
        <v>3311</v>
      </c>
    </row>
    <row r="1027" spans="1:7">
      <c r="A1027" t="s">
        <v>451</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426</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469</v>
      </c>
      <c r="B1031" s="1449"/>
      <c r="C1031" s="1449">
        <v>2382</v>
      </c>
      <c r="D1031" s="1449"/>
      <c r="E1031" s="1449"/>
      <c r="F1031" s="1449"/>
      <c r="G1031" s="1449">
        <v>2382</v>
      </c>
    </row>
    <row r="1032" spans="1:7">
      <c r="A1032" t="s">
        <v>607</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491</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461</v>
      </c>
      <c r="B1037" s="1449"/>
      <c r="C1037" s="1449"/>
      <c r="D1037" s="1449"/>
      <c r="E1037" s="1449"/>
      <c r="F1037" s="1449"/>
      <c r="G1037" s="1449"/>
    </row>
    <row r="1038" spans="1:7">
      <c r="A1038" t="s">
        <v>453</v>
      </c>
      <c r="B1038" s="1449"/>
      <c r="C1038" s="1449"/>
      <c r="D1038" s="1449"/>
      <c r="E1038" s="1449"/>
      <c r="F1038" s="1449"/>
      <c r="G1038" s="1449"/>
    </row>
    <row r="1039" spans="1:7">
      <c r="A1039" t="s">
        <v>455</v>
      </c>
      <c r="B1039" s="1449"/>
      <c r="C1039" s="1449"/>
      <c r="D1039" s="1449"/>
      <c r="E1039" s="1449"/>
      <c r="F1039" s="1449"/>
      <c r="G1039" s="1449"/>
    </row>
    <row r="1040" spans="1:7">
      <c r="A1040" t="s">
        <v>460</v>
      </c>
      <c r="B1040" s="1449"/>
      <c r="C1040" s="1449"/>
      <c r="D1040" s="1449"/>
      <c r="E1040" s="1449"/>
      <c r="F1040" s="1449"/>
      <c r="G1040" s="1449"/>
    </row>
    <row r="1041" spans="1:7">
      <c r="A1041" t="s">
        <v>463</v>
      </c>
      <c r="B1041" s="1449"/>
      <c r="C1041" s="1449"/>
      <c r="D1041" s="1449"/>
      <c r="E1041" s="1449"/>
      <c r="F1041" s="1449"/>
      <c r="G1041" s="1449"/>
    </row>
    <row r="1042" spans="1:7">
      <c r="A1042" t="s">
        <v>465</v>
      </c>
      <c r="B1042" s="1449"/>
      <c r="C1042" s="1449"/>
      <c r="D1042" s="1449"/>
      <c r="E1042" s="1449"/>
      <c r="F1042" s="1449"/>
      <c r="G1042" s="1449"/>
    </row>
    <row r="1043" spans="1:7">
      <c r="A1043" t="s">
        <v>466</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597</v>
      </c>
      <c r="B1051" s="1449"/>
      <c r="C1051" s="1449">
        <v>175</v>
      </c>
      <c r="D1051" s="1449"/>
      <c r="E1051" s="1449"/>
      <c r="F1051" s="1449"/>
      <c r="G1051" s="1449">
        <v>175</v>
      </c>
    </row>
    <row r="1052" spans="1:7">
      <c r="A1052" t="s">
        <v>528</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477</v>
      </c>
      <c r="B1054" s="1449"/>
      <c r="C1054" s="1449"/>
      <c r="D1054" s="1449"/>
      <c r="E1054" s="1449">
        <v>64</v>
      </c>
      <c r="F1054" s="1449"/>
      <c r="G1054" s="1449">
        <v>64</v>
      </c>
    </row>
    <row r="1055" spans="1:7">
      <c r="A1055" t="s">
        <v>480</v>
      </c>
      <c r="B1055" s="1449"/>
      <c r="C1055" s="1449"/>
      <c r="D1055" s="1449"/>
      <c r="E1055" s="1449"/>
      <c r="F1055" s="1449"/>
      <c r="G1055" s="1449"/>
    </row>
    <row r="1056" spans="1:7">
      <c r="A1056" t="s">
        <v>604</v>
      </c>
      <c r="B1056" s="1449">
        <v>1610</v>
      </c>
      <c r="C1056" s="1449"/>
      <c r="D1056" s="1449"/>
      <c r="E1056" s="1449"/>
      <c r="F1056" s="1449"/>
      <c r="G1056" s="1449">
        <v>1610</v>
      </c>
    </row>
    <row r="1057" spans="1:7">
      <c r="A1057" t="s">
        <v>601</v>
      </c>
      <c r="B1057" s="1449"/>
      <c r="C1057" s="1449"/>
      <c r="D1057" s="1449"/>
      <c r="E1057" s="1449"/>
      <c r="F1057" s="1449"/>
      <c r="G1057" s="1449"/>
    </row>
    <row r="1058" spans="1:7">
      <c r="A1058" t="s">
        <v>485</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469</v>
      </c>
      <c r="B1061" s="1449">
        <v>3084</v>
      </c>
      <c r="C1061" s="1449"/>
      <c r="D1061" s="1449"/>
      <c r="E1061" s="1449"/>
      <c r="F1061" s="1449"/>
      <c r="G1061" s="1449">
        <v>3084</v>
      </c>
    </row>
    <row r="1062" spans="1:7">
      <c r="A1062" t="s">
        <v>607</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491</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506</v>
      </c>
      <c r="B1067" s="1449">
        <v>1829</v>
      </c>
      <c r="C1067" s="1449">
        <v>2302</v>
      </c>
      <c r="D1067" s="1449">
        <v>694</v>
      </c>
      <c r="E1067" s="1449"/>
      <c r="F1067" s="1449"/>
      <c r="G1067" s="1449">
        <v>4825</v>
      </c>
    </row>
    <row r="1068" spans="1:7">
      <c r="A1068" t="s">
        <v>472</v>
      </c>
      <c r="B1068" s="1449">
        <v>1391</v>
      </c>
      <c r="C1068" s="1449">
        <v>2916</v>
      </c>
      <c r="D1068" s="1449">
        <v>2430</v>
      </c>
      <c r="E1068" s="1449"/>
      <c r="F1068" s="1449"/>
      <c r="G1068" s="1449">
        <v>6737</v>
      </c>
    </row>
    <row r="1069" spans="1:7">
      <c r="A1069" t="s">
        <v>576</v>
      </c>
      <c r="B1069" s="1449"/>
      <c r="C1069" s="1449"/>
      <c r="D1069" s="1449">
        <v>466</v>
      </c>
      <c r="E1069" s="1449">
        <v>345</v>
      </c>
      <c r="F1069" s="1449"/>
      <c r="G1069" s="1449">
        <v>811</v>
      </c>
    </row>
    <row r="1070" spans="1:7">
      <c r="A1070" t="s">
        <v>420</v>
      </c>
      <c r="B1070" s="1449"/>
      <c r="C1070" s="1449"/>
      <c r="D1070" s="1449"/>
      <c r="E1070" s="1449">
        <v>1431</v>
      </c>
      <c r="F1070" s="1449"/>
      <c r="G1070" s="1449">
        <v>1431</v>
      </c>
    </row>
    <row r="1071" spans="1:7">
      <c r="A1071" t="s">
        <v>582</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528</v>
      </c>
      <c r="B1081" s="1449">
        <v>1283</v>
      </c>
      <c r="C1081" s="1449">
        <v>442</v>
      </c>
      <c r="D1081" s="1449"/>
      <c r="E1081" s="1449"/>
      <c r="F1081" s="1449">
        <v>706</v>
      </c>
      <c r="G1081" s="1449">
        <v>2431</v>
      </c>
    </row>
    <row r="1082" spans="1:7">
      <c r="A1082" t="s">
        <v>448</v>
      </c>
      <c r="B1082" s="1449"/>
      <c r="C1082" s="1449">
        <v>2203</v>
      </c>
      <c r="D1082" s="1449"/>
      <c r="E1082" s="1449"/>
      <c r="F1082" s="1449"/>
      <c r="G1082" s="1449">
        <v>2203</v>
      </c>
    </row>
    <row r="1083" spans="1:7">
      <c r="A1083" t="s">
        <v>482</v>
      </c>
      <c r="B1083" s="1449"/>
      <c r="C1083" s="1449"/>
      <c r="D1083" s="1449"/>
      <c r="E1083" s="1449">
        <v>242</v>
      </c>
      <c r="F1083" s="1449"/>
      <c r="G1083" s="1449">
        <v>242</v>
      </c>
    </row>
    <row r="1084" spans="1:7">
      <c r="A1084" t="s">
        <v>604</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506</v>
      </c>
      <c r="B1088" s="1449"/>
      <c r="C1088" s="1449"/>
      <c r="D1088" s="1449">
        <v>91</v>
      </c>
      <c r="E1088" s="1449"/>
      <c r="F1088" s="1449"/>
      <c r="G1088" s="1449">
        <v>91</v>
      </c>
    </row>
    <row r="1089" spans="1:7">
      <c r="A1089" t="s">
        <v>576</v>
      </c>
      <c r="B1089" s="1449">
        <v>1172</v>
      </c>
      <c r="C1089" s="1449"/>
      <c r="D1089" s="1449"/>
      <c r="E1089" s="1449"/>
      <c r="F1089" s="1449"/>
      <c r="G1089" s="1449">
        <v>1172</v>
      </c>
    </row>
    <row r="1090" spans="1:7">
      <c r="A1090" t="s">
        <v>420</v>
      </c>
      <c r="B1090" s="1449">
        <v>1583</v>
      </c>
      <c r="C1090" s="1449">
        <v>1325</v>
      </c>
      <c r="D1090" s="1449">
        <v>621</v>
      </c>
      <c r="E1090" s="1449"/>
      <c r="F1090" s="1449"/>
      <c r="G1090" s="1449">
        <v>3529</v>
      </c>
    </row>
    <row r="1091" spans="1:7">
      <c r="A1091" t="s">
        <v>582</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500</v>
      </c>
      <c r="B1093" s="1449">
        <v>2855</v>
      </c>
      <c r="C1093" s="1449">
        <v>3343</v>
      </c>
      <c r="D1093" s="1449">
        <v>931</v>
      </c>
      <c r="E1093" s="1449"/>
      <c r="F1093" s="1449"/>
      <c r="G1093" s="1449">
        <v>7129</v>
      </c>
    </row>
    <row r="1094" spans="1:7">
      <c r="A1094" t="s">
        <v>503</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494</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573</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528</v>
      </c>
      <c r="B1109" s="1449">
        <v>735</v>
      </c>
      <c r="C1109" s="1449"/>
      <c r="D1109" s="1449"/>
      <c r="E1109" s="1449"/>
      <c r="F1109" s="1449"/>
      <c r="G1109" s="1449">
        <v>735</v>
      </c>
    </row>
    <row r="1110" spans="1:7">
      <c r="A1110" t="s">
        <v>457</v>
      </c>
      <c r="B1110" s="1449"/>
      <c r="C1110" s="1449"/>
      <c r="D1110" s="1449"/>
      <c r="E1110" s="1449"/>
      <c r="F1110" s="1449"/>
      <c r="G1110" s="1449"/>
    </row>
    <row r="1111" spans="1:7">
      <c r="A1111" t="s">
        <v>480</v>
      </c>
      <c r="B1111" s="1449"/>
      <c r="C1111" s="1449"/>
      <c r="D1111" s="1449"/>
      <c r="E1111" s="1449"/>
      <c r="F1111" s="1449"/>
      <c r="G1111" s="1449"/>
    </row>
    <row r="1112" spans="1:7">
      <c r="A1112" t="s">
        <v>509</v>
      </c>
      <c r="B1112" s="1449"/>
      <c r="C1112" s="1449"/>
      <c r="D1112" s="1449"/>
      <c r="E1112" s="1449">
        <v>396</v>
      </c>
      <c r="F1112" s="1449"/>
      <c r="G1112" s="1449">
        <v>396</v>
      </c>
    </row>
    <row r="1113" spans="1:7">
      <c r="A1113" t="s">
        <v>482</v>
      </c>
      <c r="B1113" s="1449"/>
      <c r="C1113" s="1449"/>
      <c r="D1113" s="1449"/>
      <c r="E1113" s="1449"/>
      <c r="F1113" s="1449"/>
      <c r="G1113" s="1449"/>
    </row>
    <row r="1114" spans="1:7">
      <c r="A1114" t="s">
        <v>604</v>
      </c>
      <c r="B1114" s="1449"/>
      <c r="C1114" s="1449"/>
      <c r="D1114" s="1449"/>
      <c r="E1114" s="1449"/>
      <c r="F1114" s="1449"/>
      <c r="G1114" s="1449"/>
    </row>
    <row r="1115" spans="1:7">
      <c r="A1115" t="s">
        <v>488</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506</v>
      </c>
      <c r="B1117" s="1449"/>
      <c r="C1117" s="1449"/>
      <c r="D1117" s="1449">
        <v>320</v>
      </c>
      <c r="E1117" s="1449">
        <v>652</v>
      </c>
      <c r="F1117" s="1449">
        <v>780</v>
      </c>
      <c r="G1117" s="1449">
        <v>1752</v>
      </c>
    </row>
    <row r="1118" spans="1:7">
      <c r="A1118" t="s">
        <v>576</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503</v>
      </c>
      <c r="B1121" s="1449"/>
      <c r="C1121" s="1449"/>
      <c r="D1121" s="1449">
        <v>1049</v>
      </c>
      <c r="E1121" s="1449"/>
      <c r="F1121" s="1449"/>
      <c r="G1121" s="1449">
        <v>1049</v>
      </c>
    </row>
    <row r="1122" spans="1:7">
      <c r="A1122" t="s">
        <v>494</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573</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560</v>
      </c>
      <c r="B1127" s="1449">
        <v>1095</v>
      </c>
      <c r="C1127" s="1449">
        <v>1676</v>
      </c>
      <c r="D1127" s="1449">
        <v>1139</v>
      </c>
      <c r="E1127" s="1449"/>
      <c r="F1127" s="1449"/>
      <c r="G1127" s="1449">
        <v>3910</v>
      </c>
    </row>
    <row r="1128" spans="1:7">
      <c r="A1128" t="s">
        <v>579</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497</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615</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506</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579</v>
      </c>
      <c r="B1148" s="1449">
        <v>342</v>
      </c>
      <c r="C1148" s="1449"/>
      <c r="D1148" s="1449"/>
      <c r="E1148" s="1449"/>
      <c r="F1148" s="1449"/>
      <c r="G1148" s="1449">
        <v>342</v>
      </c>
    </row>
    <row r="1149" spans="1:7">
      <c r="A1149" t="s">
        <v>497</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615</v>
      </c>
      <c r="B1152" s="1449">
        <v>380</v>
      </c>
      <c r="C1152" s="1449"/>
      <c r="D1152" s="1449"/>
      <c r="E1152" s="1449"/>
      <c r="F1152" s="1449"/>
      <c r="G1152" s="1449">
        <v>380</v>
      </c>
    </row>
    <row r="1153" spans="1:7">
      <c r="A1153" t="s">
        <v>618</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467</v>
      </c>
      <c r="B1161" s="1449"/>
      <c r="C1161" s="1449"/>
      <c r="D1161" s="1449"/>
      <c r="E1161" s="1449"/>
      <c r="F1161" s="1449"/>
      <c r="G1161" s="1449"/>
    </row>
    <row r="1162" spans="1:7">
      <c r="A1162" t="s">
        <v>469</v>
      </c>
      <c r="B1162" s="1449"/>
      <c r="C1162" s="1449"/>
      <c r="D1162" s="1449"/>
      <c r="E1162" s="1449"/>
      <c r="F1162" s="1449"/>
      <c r="G1162" s="1449"/>
    </row>
    <row r="1163" spans="1:7">
      <c r="A1163" t="s">
        <v>472</v>
      </c>
      <c r="B1163" s="1449"/>
      <c r="C1163" s="1449"/>
      <c r="D1163" s="1449"/>
      <c r="E1163" s="1449"/>
      <c r="F1163" s="1449"/>
      <c r="G1163" s="1449"/>
    </row>
    <row r="1164" spans="1:7">
      <c r="A1164" t="s">
        <v>420</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503</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615</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610</v>
      </c>
      <c r="B1171" s="1449">
        <v>1188</v>
      </c>
      <c r="C1171" s="1449"/>
      <c r="D1171" s="1449"/>
      <c r="E1171" s="1449"/>
      <c r="F1171" s="1449"/>
      <c r="G1171" s="1449">
        <v>1188</v>
      </c>
    </row>
    <row r="1172" spans="1:7">
      <c r="A1172" t="s">
        <v>423</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529</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543</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540</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540</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548</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540</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548</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540</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515</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515</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548</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540</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548</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540</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541</v>
      </c>
      <c r="C882" s="56">
        <v>45758</v>
      </c>
      <c r="E882" s="43"/>
      <c r="F882" s="141" t="s">
        <v>1342</v>
      </c>
      <c r="G882" t="str">
        <f t="shared" si="13"/>
        <v>April</v>
      </c>
    </row>
    <row r="883" spans="1:7">
      <c r="A883" s="141" t="s">
        <v>919</v>
      </c>
      <c r="B883" s="141" t="s">
        <v>541</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541</v>
      </c>
      <c r="C894" s="56">
        <v>45761</v>
      </c>
      <c r="E894" s="43"/>
      <c r="G894" t="str">
        <f t="shared" si="13"/>
        <v>April</v>
      </c>
    </row>
    <row r="895" spans="1:7">
      <c r="A895" s="141" t="s">
        <v>919</v>
      </c>
      <c r="B895" s="141" t="s">
        <v>541</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541</v>
      </c>
      <c r="C905" s="56">
        <v>45762</v>
      </c>
      <c r="E905" s="43"/>
      <c r="F905" s="141" t="s">
        <v>1354</v>
      </c>
      <c r="G905" t="str">
        <f t="shared" si="14"/>
        <v>April</v>
      </c>
    </row>
    <row r="906" spans="1:7">
      <c r="A906" s="141" t="s">
        <v>919</v>
      </c>
      <c r="B906" s="141" t="s">
        <v>541</v>
      </c>
      <c r="C906" s="56">
        <v>45762</v>
      </c>
      <c r="E906" s="43"/>
      <c r="F906" s="141" t="s">
        <v>1354</v>
      </c>
      <c r="G906" t="str">
        <f t="shared" si="14"/>
        <v>April</v>
      </c>
    </row>
    <row r="907" spans="1:7">
      <c r="A907" s="141" t="s">
        <v>892</v>
      </c>
      <c r="B907" s="141" t="s">
        <v>541</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541</v>
      </c>
      <c r="C920" s="56">
        <v>45763</v>
      </c>
      <c r="E920" s="43"/>
      <c r="F920" s="141" t="s">
        <v>1216</v>
      </c>
      <c r="G920" t="str">
        <f t="shared" si="14"/>
        <v>April</v>
      </c>
    </row>
    <row r="921" spans="1:7">
      <c r="A921" s="141" t="s">
        <v>892</v>
      </c>
      <c r="B921" s="141" t="s">
        <v>541</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541</v>
      </c>
      <c r="C946" s="56">
        <v>45765</v>
      </c>
      <c r="E946" s="43"/>
      <c r="F946" s="306" t="s">
        <v>1376</v>
      </c>
      <c r="G946" t="str">
        <f t="shared" si="14"/>
        <v>April</v>
      </c>
    </row>
    <row r="947" spans="1:7">
      <c r="A947" s="311" t="s">
        <v>892</v>
      </c>
      <c r="B947" s="311" t="s">
        <v>541</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541</v>
      </c>
      <c r="C959" s="56">
        <v>45768</v>
      </c>
      <c r="E959" s="43"/>
      <c r="F959" s="311" t="s">
        <v>1376</v>
      </c>
      <c r="G959" t="str">
        <f t="shared" si="15"/>
        <v>April</v>
      </c>
    </row>
    <row r="960" spans="1:7">
      <c r="A960" s="315" t="s">
        <v>919</v>
      </c>
      <c r="B960" s="141" t="s">
        <v>541</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519</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519</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515</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515</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522</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430</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430</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430</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546</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546</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430</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430</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430</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515</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430</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515</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540</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430</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515</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540</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540</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540</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430</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540</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540</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540</v>
      </c>
      <c r="B1316" s="317" t="s">
        <v>640</v>
      </c>
      <c r="C1316" s="56">
        <v>45841</v>
      </c>
      <c r="D1316" s="43">
        <v>372</v>
      </c>
      <c r="F1316" s="115" t="s">
        <v>1199</v>
      </c>
      <c r="G1316" t="s">
        <v>1553</v>
      </c>
    </row>
    <row r="1317" spans="1:7" ht="15.75">
      <c r="A1317" s="141" t="s">
        <v>540</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540</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548</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543</v>
      </c>
      <c r="B1331" s="157" t="s">
        <v>384</v>
      </c>
      <c r="C1331" s="56">
        <v>45849</v>
      </c>
      <c r="D1331" s="43">
        <v>198</v>
      </c>
      <c r="G1331" t="s">
        <v>1553</v>
      </c>
    </row>
    <row r="1332" spans="1:7">
      <c r="A1332" s="247" t="s">
        <v>1007</v>
      </c>
      <c r="B1332" s="398" t="s">
        <v>1072</v>
      </c>
      <c r="C1332" s="56">
        <v>45852</v>
      </c>
      <c r="F1332" s="43" t="s">
        <v>1216</v>
      </c>
      <c r="G1332" t="s">
        <v>1553</v>
      </c>
    </row>
    <row r="1333" spans="1:7">
      <c r="A1333" s="617" t="s">
        <v>543</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543</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543</v>
      </c>
      <c r="B1378" s="318" t="s">
        <v>384</v>
      </c>
      <c r="C1378" s="56">
        <v>45862</v>
      </c>
      <c r="D1378" s="43">
        <v>880</v>
      </c>
      <c r="G1378" t="s">
        <v>1553</v>
      </c>
    </row>
    <row r="1379" spans="1:7">
      <c r="A1379" s="324" t="s">
        <v>548</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543</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543</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537</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551</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551</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551</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551</v>
      </c>
      <c r="B1418" s="311" t="s">
        <v>384</v>
      </c>
      <c r="C1418" s="56">
        <v>45875</v>
      </c>
      <c r="D1418" s="43">
        <v>840</v>
      </c>
      <c r="G1418" t="s">
        <v>1592</v>
      </c>
    </row>
    <row r="1419" spans="1:7">
      <c r="A1419" s="141" t="s">
        <v>537</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551</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551</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551</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551</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551</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551</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551</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551</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551</v>
      </c>
      <c r="B1466" s="311" t="s">
        <v>384</v>
      </c>
      <c r="C1466" s="56">
        <v>45888</v>
      </c>
      <c r="D1466" s="43">
        <v>408</v>
      </c>
      <c r="F1466" s="115"/>
      <c r="G1466" t="s">
        <v>1592</v>
      </c>
    </row>
    <row r="1467" spans="1:7">
      <c r="A1467" s="583" t="s">
        <v>548</v>
      </c>
      <c r="B1467" s="318" t="s">
        <v>1072</v>
      </c>
      <c r="C1467" s="56">
        <v>45888</v>
      </c>
      <c r="F1467" s="141" t="s">
        <v>1607</v>
      </c>
      <c r="G1467" t="s">
        <v>1592</v>
      </c>
    </row>
    <row r="1468" spans="1:7">
      <c r="A1468" s="247" t="s">
        <v>537</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515</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551</v>
      </c>
      <c r="B1474" s="311" t="s">
        <v>384</v>
      </c>
      <c r="C1474" s="56">
        <v>45889</v>
      </c>
      <c r="D1474" s="43">
        <v>607</v>
      </c>
      <c r="F1474" s="43" t="s">
        <v>1608</v>
      </c>
      <c r="G1474" t="s">
        <v>1592</v>
      </c>
    </row>
    <row r="1475" spans="1:7">
      <c r="A1475" s="583" t="s">
        <v>548</v>
      </c>
      <c r="B1475" s="318" t="s">
        <v>1072</v>
      </c>
      <c r="C1475" s="56">
        <v>45889</v>
      </c>
      <c r="D1475" s="43">
        <v>499</v>
      </c>
      <c r="G1475" t="s">
        <v>1592</v>
      </c>
    </row>
    <row r="1476" spans="1:7">
      <c r="A1476" s="88" t="s">
        <v>1091</v>
      </c>
      <c r="B1476" s="398" t="s">
        <v>1072</v>
      </c>
      <c r="C1476" s="56">
        <v>45890</v>
      </c>
      <c r="D1476" s="43">
        <v>82</v>
      </c>
      <c r="G1476" t="s">
        <v>1592</v>
      </c>
    </row>
    <row r="1477" spans="1:7">
      <c r="A1477" s="88" t="s">
        <v>515</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551</v>
      </c>
      <c r="B1482" s="311" t="s">
        <v>384</v>
      </c>
      <c r="C1482" s="56">
        <v>45890</v>
      </c>
      <c r="D1482" s="155">
        <v>1022</v>
      </c>
      <c r="G1482" t="s">
        <v>1592</v>
      </c>
    </row>
    <row r="1483" spans="1:7">
      <c r="A1483" s="583" t="s">
        <v>548</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551</v>
      </c>
      <c r="B1488" s="311" t="s">
        <v>384</v>
      </c>
      <c r="C1488" s="56">
        <v>45891</v>
      </c>
      <c r="E1488" s="321">
        <v>6090</v>
      </c>
      <c r="F1488" s="43" t="s">
        <v>1612</v>
      </c>
      <c r="G1488" t="s">
        <v>1592</v>
      </c>
    </row>
    <row r="1489" spans="1:7">
      <c r="A1489" s="583" t="s">
        <v>548</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551</v>
      </c>
      <c r="B1495" s="311" t="s">
        <v>384</v>
      </c>
      <c r="C1495" s="56">
        <v>45894</v>
      </c>
      <c r="D1495" s="43">
        <v>639</v>
      </c>
      <c r="G1495" t="s">
        <v>1592</v>
      </c>
    </row>
    <row r="1496" spans="1:7">
      <c r="A1496" s="583" t="s">
        <v>548</v>
      </c>
      <c r="B1496" s="318" t="s">
        <v>1072</v>
      </c>
      <c r="C1496" s="56">
        <v>45894</v>
      </c>
      <c r="D1496" s="43">
        <v>503</v>
      </c>
      <c r="G1496" t="s">
        <v>1592</v>
      </c>
    </row>
    <row r="1497" spans="1:7">
      <c r="A1497" s="88" t="s">
        <v>1091</v>
      </c>
      <c r="B1497" s="398" t="s">
        <v>1072</v>
      </c>
      <c r="C1497" s="56">
        <v>45895</v>
      </c>
      <c r="F1497" s="43" t="s">
        <v>1349</v>
      </c>
      <c r="G1497" t="s">
        <v>1592</v>
      </c>
    </row>
    <row r="1498" spans="1:7">
      <c r="A1498" s="88" t="s">
        <v>515</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548</v>
      </c>
      <c r="B1504" s="631" t="s">
        <v>1072</v>
      </c>
      <c r="C1504" s="56">
        <v>45895</v>
      </c>
      <c r="D1504" s="43">
        <v>295</v>
      </c>
      <c r="G1504" t="s">
        <v>1592</v>
      </c>
    </row>
    <row r="1505" spans="1:7">
      <c r="A1505" s="628" t="s">
        <v>543</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543</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551</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543</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543</v>
      </c>
      <c r="B1524" s="311" t="s">
        <v>384</v>
      </c>
      <c r="C1524" s="56">
        <v>45898</v>
      </c>
      <c r="F1524" s="141" t="s">
        <v>1199</v>
      </c>
      <c r="G1524" t="s">
        <v>1592</v>
      </c>
    </row>
    <row r="1525" spans="1:7">
      <c r="A1525" s="326" t="s">
        <v>548</v>
      </c>
      <c r="B1525" s="315" t="s">
        <v>1072</v>
      </c>
      <c r="C1525" s="56">
        <v>45898</v>
      </c>
      <c r="D1525" s="43">
        <v>6</v>
      </c>
      <c r="F1525" s="43" t="s">
        <v>1627</v>
      </c>
      <c r="G1525" t="s">
        <v>1592</v>
      </c>
    </row>
    <row r="1526" spans="1:7">
      <c r="A1526" s="337" t="s">
        <v>551</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548</v>
      </c>
      <c r="B1531" s="315" t="s">
        <v>1072</v>
      </c>
      <c r="C1531" s="56">
        <v>45902</v>
      </c>
      <c r="D1531" s="43">
        <v>15</v>
      </c>
      <c r="F1531" s="43" t="s">
        <v>1633</v>
      </c>
      <c r="G1531" t="s">
        <v>1630</v>
      </c>
    </row>
    <row r="1532" spans="1:7">
      <c r="A1532" s="247" t="s">
        <v>543</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548</v>
      </c>
      <c r="B1539" s="318" t="s">
        <v>1072</v>
      </c>
      <c r="C1539" s="56">
        <v>45903</v>
      </c>
      <c r="D1539" s="43">
        <v>65</v>
      </c>
      <c r="F1539" s="141" t="s">
        <v>1640</v>
      </c>
      <c r="G1539" t="s">
        <v>1630</v>
      </c>
    </row>
    <row r="1540" spans="1:7">
      <c r="A1540" s="648" t="s">
        <v>543</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562</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548</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553</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562</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562</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562</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553</v>
      </c>
      <c r="B1564" s="684" t="s">
        <v>1511</v>
      </c>
      <c r="C1564" s="56">
        <v>45910</v>
      </c>
      <c r="F1564" s="43" t="s">
        <v>1349</v>
      </c>
      <c r="G1564" t="s">
        <v>1630</v>
      </c>
    </row>
    <row r="1565" spans="1:7">
      <c r="A1565" s="88" t="s">
        <v>1096</v>
      </c>
      <c r="B1565" s="398" t="s">
        <v>1072</v>
      </c>
      <c r="C1565" s="56">
        <v>45911</v>
      </c>
      <c r="D1565" s="43">
        <v>302</v>
      </c>
      <c r="G1565" t="s">
        <v>1630</v>
      </c>
    </row>
    <row r="1566" spans="1:7">
      <c r="A1566" s="88" t="s">
        <v>515</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553</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553</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548</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548</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562</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543</v>
      </c>
      <c r="B1596" s="311" t="s">
        <v>1072</v>
      </c>
      <c r="C1596" s="56">
        <v>45917</v>
      </c>
      <c r="D1596" s="43">
        <v>139</v>
      </c>
      <c r="F1596" s="734"/>
      <c r="G1596" t="s">
        <v>1630</v>
      </c>
    </row>
    <row r="1597" spans="1:7">
      <c r="A1597" s="88" t="s">
        <v>522</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564</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443</v>
      </c>
      <c r="C1612" s="56">
        <v>45922</v>
      </c>
      <c r="D1612" s="43">
        <v>329</v>
      </c>
      <c r="F1612" s="734"/>
      <c r="G1612" t="s">
        <v>1630</v>
      </c>
    </row>
    <row r="1613" spans="1:7">
      <c r="A1613" s="304" t="s">
        <v>564</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543</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443</v>
      </c>
      <c r="C1621" s="56">
        <v>45923</v>
      </c>
      <c r="D1621" s="43">
        <v>427</v>
      </c>
      <c r="F1621" s="69"/>
      <c r="G1621" t="s">
        <v>1630</v>
      </c>
    </row>
    <row r="1622" spans="1:7">
      <c r="A1622" s="69" t="s">
        <v>564</v>
      </c>
      <c r="B1622" s="751" t="s">
        <v>127</v>
      </c>
      <c r="C1622" s="56">
        <v>45923</v>
      </c>
      <c r="D1622" s="43">
        <v>675</v>
      </c>
      <c r="F1622" s="69"/>
      <c r="G1622" t="s">
        <v>1630</v>
      </c>
    </row>
    <row r="1623" spans="1:7">
      <c r="A1623" s="69" t="s">
        <v>567</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443</v>
      </c>
      <c r="C1630" s="56">
        <v>45924</v>
      </c>
      <c r="D1630" s="43">
        <v>537</v>
      </c>
      <c r="F1630" s="69"/>
      <c r="G1630" t="s">
        <v>1630</v>
      </c>
    </row>
    <row r="1631" spans="1:7">
      <c r="A1631" s="148" t="s">
        <v>570</v>
      </c>
      <c r="B1631" s="761" t="s">
        <v>127</v>
      </c>
      <c r="C1631" s="336">
        <v>45924</v>
      </c>
      <c r="D1631" s="155">
        <v>1205</v>
      </c>
      <c r="F1631" s="69" t="s">
        <v>1676</v>
      </c>
      <c r="G1631" t="s">
        <v>1630</v>
      </c>
    </row>
    <row r="1632" spans="1:7">
      <c r="A1632" s="69" t="s">
        <v>567</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564</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537</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564</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519</v>
      </c>
      <c r="B1645" s="398" t="s">
        <v>1072</v>
      </c>
      <c r="C1645" s="56">
        <v>45925</v>
      </c>
      <c r="D1645" s="43">
        <v>175</v>
      </c>
      <c r="F1645" s="30"/>
      <c r="G1645" t="s">
        <v>1630</v>
      </c>
    </row>
    <row r="1646" spans="1:7">
      <c r="A1646" s="743" t="s">
        <v>1119</v>
      </c>
      <c r="B1646" s="141" t="s">
        <v>443</v>
      </c>
      <c r="C1646" s="56">
        <v>45925</v>
      </c>
      <c r="D1646" s="43">
        <v>646</v>
      </c>
      <c r="F1646" s="69" t="s">
        <v>1302</v>
      </c>
      <c r="G1646" t="s">
        <v>1630</v>
      </c>
    </row>
    <row r="1647" spans="1:7">
      <c r="A1647" s="69" t="s">
        <v>570</v>
      </c>
      <c r="B1647" s="751" t="s">
        <v>127</v>
      </c>
      <c r="C1647" s="56">
        <v>45925</v>
      </c>
      <c r="D1647" s="155">
        <v>1000</v>
      </c>
      <c r="F1647" s="30"/>
      <c r="G1647" t="s">
        <v>1630</v>
      </c>
    </row>
    <row r="1648" spans="1:7">
      <c r="A1648" s="69" t="s">
        <v>567</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443</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519</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567</v>
      </c>
      <c r="B1667" s="737" t="s">
        <v>127</v>
      </c>
      <c r="C1667" s="56">
        <v>45929</v>
      </c>
      <c r="D1667" s="43">
        <v>600</v>
      </c>
      <c r="F1667" s="43" t="s">
        <v>1690</v>
      </c>
      <c r="G1667" t="s">
        <v>1630</v>
      </c>
    </row>
    <row r="1668" spans="1:7">
      <c r="A1668" s="311" t="s">
        <v>570</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570</v>
      </c>
      <c r="B1674" s="311" t="s">
        <v>127</v>
      </c>
      <c r="C1674" s="56">
        <v>45930</v>
      </c>
      <c r="D1674" s="43">
        <v>268</v>
      </c>
      <c r="E1674" s="139">
        <v>413</v>
      </c>
      <c r="F1674" s="43" t="s">
        <v>1692</v>
      </c>
      <c r="G1674" t="s">
        <v>1630</v>
      </c>
    </row>
    <row r="1675" spans="1:7">
      <c r="A1675" s="88" t="s">
        <v>522</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567</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537</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587</v>
      </c>
      <c r="B1692" s="737" t="s">
        <v>127</v>
      </c>
      <c r="C1692" s="56">
        <v>45931</v>
      </c>
      <c r="D1692" s="155">
        <v>1118</v>
      </c>
      <c r="G1692" t="s">
        <v>1696</v>
      </c>
    </row>
    <row r="1693" spans="1:7">
      <c r="A1693" s="134" t="s">
        <v>361</v>
      </c>
      <c r="B1693" s="141" t="s">
        <v>362</v>
      </c>
      <c r="C1693" s="56">
        <v>45931</v>
      </c>
      <c r="D1693" s="43">
        <v>312</v>
      </c>
      <c r="G1693" t="s">
        <v>1696</v>
      </c>
    </row>
    <row r="1694" spans="1:7">
      <c r="A1694" s="551" t="s">
        <v>537</v>
      </c>
      <c r="B1694" s="141" t="s">
        <v>214</v>
      </c>
      <c r="C1694" s="56">
        <v>45931</v>
      </c>
      <c r="D1694" s="43">
        <v>753</v>
      </c>
      <c r="G1694" t="s">
        <v>1696</v>
      </c>
    </row>
    <row r="1695" spans="1:7">
      <c r="A1695" s="305" t="s">
        <v>389</v>
      </c>
      <c r="B1695" s="348" t="s">
        <v>214</v>
      </c>
      <c r="C1695" s="56">
        <v>45931</v>
      </c>
      <c r="D1695" s="43">
        <v>224</v>
      </c>
      <c r="G1695" t="s">
        <v>1696</v>
      </c>
    </row>
    <row r="1696" spans="1:7">
      <c r="A1696" s="134" t="s">
        <v>522</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587</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537</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522</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522</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587</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537</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522</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587</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587</v>
      </c>
      <c r="B1743" s="141" t="s">
        <v>127</v>
      </c>
      <c r="C1743" s="56">
        <v>45938</v>
      </c>
      <c r="D1743" s="43">
        <v>308</v>
      </c>
      <c r="F1743" s="43" t="s">
        <v>1712</v>
      </c>
      <c r="G1743" t="s">
        <v>1696</v>
      </c>
    </row>
    <row r="1744" spans="1:7">
      <c r="A1744" s="647" t="s">
        <v>570</v>
      </c>
      <c r="B1744" s="141" t="s">
        <v>127</v>
      </c>
      <c r="C1744" s="56">
        <v>45938</v>
      </c>
      <c r="D1744" s="43">
        <v>334</v>
      </c>
      <c r="F1744" s="43" t="s">
        <v>1647</v>
      </c>
      <c r="G1744" t="s">
        <v>1696</v>
      </c>
    </row>
    <row r="1745" spans="1:7">
      <c r="A1745" s="304" t="s">
        <v>557</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519</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587</v>
      </c>
      <c r="B1753" s="395" t="s">
        <v>127</v>
      </c>
      <c r="C1753" s="56">
        <v>45939</v>
      </c>
      <c r="F1753" s="618" t="s">
        <v>1216</v>
      </c>
      <c r="G1753" t="s">
        <v>1696</v>
      </c>
    </row>
    <row r="1754" spans="1:7">
      <c r="A1754" s="148" t="s">
        <v>557</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519</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587</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537</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525</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589</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525</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589</v>
      </c>
      <c r="B1782" s="141" t="s">
        <v>127</v>
      </c>
      <c r="C1782" s="310">
        <v>45944</v>
      </c>
      <c r="D1782" s="43">
        <v>510</v>
      </c>
      <c r="F1782" s="43" t="s">
        <v>1723</v>
      </c>
      <c r="G1782" t="s">
        <v>1696</v>
      </c>
    </row>
    <row r="1783" spans="1:7">
      <c r="A1783" s="805" t="s">
        <v>593</v>
      </c>
      <c r="B1783" s="141" t="s">
        <v>127</v>
      </c>
      <c r="C1783" s="310">
        <v>45944</v>
      </c>
      <c r="D1783" s="43">
        <v>974</v>
      </c>
      <c r="F1783" s="43" t="s">
        <v>1724</v>
      </c>
      <c r="G1783" t="s">
        <v>1696</v>
      </c>
    </row>
    <row r="1784" spans="1:7">
      <c r="A1784" s="315" t="s">
        <v>1125</v>
      </c>
      <c r="B1784" s="315" t="s">
        <v>440</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525</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593</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440</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525</v>
      </c>
      <c r="B1799" s="141" t="s">
        <v>1687</v>
      </c>
      <c r="C1799" s="310">
        <v>45946</v>
      </c>
      <c r="D1799" s="43">
        <v>487</v>
      </c>
      <c r="F1799" s="43" t="s">
        <v>1734</v>
      </c>
      <c r="G1799" t="s">
        <v>1696</v>
      </c>
    </row>
    <row r="1800" spans="1:7">
      <c r="A1800" s="934" t="s">
        <v>593</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440</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525</v>
      </c>
      <c r="B1809" s="141" t="s">
        <v>1687</v>
      </c>
      <c r="C1809" s="56">
        <v>45947</v>
      </c>
      <c r="D1809" s="43">
        <v>123</v>
      </c>
      <c r="F1809" s="43" t="s">
        <v>1652</v>
      </c>
      <c r="G1809" t="s">
        <v>1696</v>
      </c>
    </row>
    <row r="1810" spans="1:7">
      <c r="A1810" s="683" t="s">
        <v>587</v>
      </c>
      <c r="B1810" s="683" t="s">
        <v>1072</v>
      </c>
      <c r="C1810" s="56">
        <v>45947</v>
      </c>
      <c r="F1810" s="43" t="s">
        <v>1740</v>
      </c>
      <c r="G1810" t="s">
        <v>1696</v>
      </c>
    </row>
    <row r="1811" spans="1:7">
      <c r="A1811" s="148" t="s">
        <v>1125</v>
      </c>
      <c r="B1811" s="115" t="s">
        <v>440</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522</v>
      </c>
      <c r="B1814" s="759" t="s">
        <v>1072</v>
      </c>
      <c r="C1814" s="56">
        <v>45950</v>
      </c>
      <c r="D1814" s="43">
        <v>153</v>
      </c>
      <c r="F1814" s="948"/>
      <c r="G1814" t="s">
        <v>1696</v>
      </c>
    </row>
    <row r="1815" spans="1:7">
      <c r="A1815" s="946" t="s">
        <v>525</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440</v>
      </c>
      <c r="C1818" s="56">
        <v>45950</v>
      </c>
      <c r="D1818" s="155">
        <v>3343</v>
      </c>
      <c r="F1818" s="43" t="s">
        <v>1745</v>
      </c>
      <c r="G1818" t="s">
        <v>1696</v>
      </c>
    </row>
    <row r="1819" spans="1:7">
      <c r="A1819" s="949" t="s">
        <v>537</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522</v>
      </c>
      <c r="B1822" s="958" t="s">
        <v>1072</v>
      </c>
      <c r="C1822" s="56">
        <v>45951</v>
      </c>
      <c r="D1822" s="155">
        <v>244</v>
      </c>
      <c r="G1822" t="s">
        <v>1696</v>
      </c>
    </row>
    <row r="1823" spans="1:7">
      <c r="A1823" s="88" t="s">
        <v>525</v>
      </c>
      <c r="B1823" s="953" t="s">
        <v>1687</v>
      </c>
      <c r="C1823" s="56">
        <v>45951</v>
      </c>
      <c r="D1823" s="43">
        <v>413</v>
      </c>
      <c r="F1823" s="43" t="s">
        <v>1165</v>
      </c>
      <c r="G1823" t="s">
        <v>1696</v>
      </c>
    </row>
    <row r="1824" spans="1:7">
      <c r="A1824" s="954" t="s">
        <v>593</v>
      </c>
      <c r="B1824" s="683" t="s">
        <v>127</v>
      </c>
      <c r="C1824" s="56">
        <v>45951</v>
      </c>
      <c r="D1824" s="43">
        <v>230</v>
      </c>
      <c r="F1824" s="43" t="s">
        <v>1746</v>
      </c>
      <c r="G1824" t="s">
        <v>1696</v>
      </c>
    </row>
    <row r="1825" spans="1:7">
      <c r="A1825" s="115" t="s">
        <v>1125</v>
      </c>
      <c r="B1825" s="115" t="s">
        <v>440</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599</v>
      </c>
      <c r="B1827" s="43" t="s">
        <v>127</v>
      </c>
      <c r="C1827" s="56">
        <v>45951</v>
      </c>
      <c r="D1827" s="155">
        <v>1182</v>
      </c>
      <c r="F1827" s="43" t="s">
        <v>1748</v>
      </c>
      <c r="G1827" t="s">
        <v>1696</v>
      </c>
    </row>
    <row r="1828" spans="1:7">
      <c r="A1828" s="322" t="s">
        <v>537</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525</v>
      </c>
      <c r="B1833" s="953" t="s">
        <v>1687</v>
      </c>
      <c r="C1833" s="56">
        <v>45952</v>
      </c>
      <c r="D1833" s="43">
        <v>190</v>
      </c>
      <c r="G1833" t="s">
        <v>1696</v>
      </c>
    </row>
    <row r="1834" spans="1:7">
      <c r="A1834" s="805" t="s">
        <v>1125</v>
      </c>
      <c r="B1834" s="805" t="s">
        <v>440</v>
      </c>
      <c r="C1834" s="56">
        <v>45952</v>
      </c>
      <c r="D1834" s="155">
        <v>2013</v>
      </c>
      <c r="F1834" s="320" t="s">
        <v>1751</v>
      </c>
      <c r="G1834" t="s">
        <v>1696</v>
      </c>
    </row>
    <row r="1835" spans="1:7">
      <c r="A1835" s="805" t="s">
        <v>599</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537</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522</v>
      </c>
      <c r="B1842" s="973" t="s">
        <v>1072</v>
      </c>
      <c r="C1842" s="56">
        <v>45953</v>
      </c>
      <c r="D1842" s="43">
        <v>237</v>
      </c>
      <c r="G1842" t="s">
        <v>1696</v>
      </c>
    </row>
    <row r="1843" spans="1:7">
      <c r="A1843" s="331" t="s">
        <v>525</v>
      </c>
      <c r="B1843" s="247" t="s">
        <v>1687</v>
      </c>
      <c r="C1843" s="310">
        <v>45953</v>
      </c>
      <c r="D1843" s="43">
        <v>844</v>
      </c>
      <c r="F1843" s="43" t="s">
        <v>1757</v>
      </c>
      <c r="G1843" t="s">
        <v>1696</v>
      </c>
    </row>
    <row r="1844" spans="1:7">
      <c r="A1844" s="331" t="s">
        <v>525</v>
      </c>
      <c r="B1844" s="247" t="s">
        <v>1758</v>
      </c>
      <c r="C1844" s="310">
        <v>45953</v>
      </c>
      <c r="D1844" s="43">
        <v>350</v>
      </c>
      <c r="G1844" t="s">
        <v>1696</v>
      </c>
    </row>
    <row r="1845" spans="1:7">
      <c r="A1845" s="141" t="s">
        <v>1125</v>
      </c>
      <c r="B1845" s="304" t="s">
        <v>440</v>
      </c>
      <c r="C1845" s="56">
        <v>45953</v>
      </c>
      <c r="D1845" s="155">
        <v>1500</v>
      </c>
      <c r="F1845" s="43" t="s">
        <v>1759</v>
      </c>
      <c r="G1845" t="s">
        <v>1696</v>
      </c>
    </row>
    <row r="1846" spans="1:7">
      <c r="A1846" s="141" t="s">
        <v>599</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557</v>
      </c>
      <c r="B1848" s="398" t="s">
        <v>1072</v>
      </c>
      <c r="C1848" s="56">
        <v>45953</v>
      </c>
      <c r="F1848" s="311" t="s">
        <v>1568</v>
      </c>
      <c r="G1848" t="s">
        <v>1696</v>
      </c>
    </row>
    <row r="1849" spans="1:7">
      <c r="A1849" s="931" t="s">
        <v>537</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525</v>
      </c>
      <c r="B1854" s="247" t="s">
        <v>1687</v>
      </c>
      <c r="C1854" s="56">
        <v>45954</v>
      </c>
      <c r="D1854" s="43">
        <v>142</v>
      </c>
      <c r="F1854" s="43" t="s">
        <v>1764</v>
      </c>
      <c r="G1854" t="s">
        <v>1696</v>
      </c>
    </row>
    <row r="1855" spans="1:7">
      <c r="A1855" s="88" t="s">
        <v>525</v>
      </c>
      <c r="B1855" s="247" t="s">
        <v>1758</v>
      </c>
      <c r="C1855" s="56">
        <v>45954</v>
      </c>
      <c r="D1855" s="43">
        <v>164</v>
      </c>
      <c r="F1855" s="43" t="s">
        <v>1765</v>
      </c>
      <c r="G1855" t="s">
        <v>1696</v>
      </c>
    </row>
    <row r="1856" spans="1:7">
      <c r="A1856" s="141" t="s">
        <v>1125</v>
      </c>
      <c r="B1856" s="304" t="s">
        <v>440</v>
      </c>
      <c r="C1856" s="56">
        <v>45954</v>
      </c>
      <c r="D1856" s="155">
        <v>1933</v>
      </c>
      <c r="G1856" t="s">
        <v>1696</v>
      </c>
    </row>
    <row r="1857" spans="1:7">
      <c r="A1857" s="931" t="s">
        <v>537</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525</v>
      </c>
      <c r="B1861" s="247" t="s">
        <v>1687</v>
      </c>
      <c r="C1861" s="56">
        <v>45957</v>
      </c>
      <c r="F1861" s="43" t="s">
        <v>1165</v>
      </c>
      <c r="G1861" t="s">
        <v>1696</v>
      </c>
    </row>
    <row r="1862" spans="1:7">
      <c r="A1862" s="88" t="s">
        <v>525</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440</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599</v>
      </c>
      <c r="B1867" s="395" t="s">
        <v>127</v>
      </c>
      <c r="C1867" s="56">
        <v>45957</v>
      </c>
      <c r="D1867" s="155">
        <v>1310</v>
      </c>
      <c r="F1867" s="43" t="s">
        <v>1773</v>
      </c>
      <c r="G1867" t="s">
        <v>1696</v>
      </c>
    </row>
    <row r="1868" spans="1:7">
      <c r="A1868" s="169" t="s">
        <v>557</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525</v>
      </c>
      <c r="B1874" s="247" t="s">
        <v>1687</v>
      </c>
      <c r="C1874" s="56">
        <v>45958</v>
      </c>
      <c r="F1874" s="320" t="s">
        <v>1349</v>
      </c>
      <c r="G1874" t="s">
        <v>1696</v>
      </c>
    </row>
    <row r="1875" spans="1:7">
      <c r="A1875" s="88" t="s">
        <v>525</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440</v>
      </c>
      <c r="C1878" s="56">
        <v>45958</v>
      </c>
      <c r="D1878" s="155">
        <v>2077</v>
      </c>
      <c r="G1878" t="s">
        <v>1696</v>
      </c>
    </row>
    <row r="1879" spans="1:7">
      <c r="A1879" s="141" t="s">
        <v>591</v>
      </c>
      <c r="B1879" s="141" t="s">
        <v>127</v>
      </c>
      <c r="C1879" s="56">
        <v>45958</v>
      </c>
      <c r="D1879" s="155">
        <v>1509</v>
      </c>
      <c r="F1879" s="43" t="s">
        <v>1778</v>
      </c>
      <c r="G1879" t="s">
        <v>1696</v>
      </c>
    </row>
    <row r="1880" spans="1:7">
      <c r="A1880" s="967" t="s">
        <v>585</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557</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519</v>
      </c>
      <c r="B1886" s="398" t="s">
        <v>1072</v>
      </c>
      <c r="C1886" s="56">
        <v>45959</v>
      </c>
      <c r="D1886" s="43">
        <v>171</v>
      </c>
      <c r="G1886" t="s">
        <v>1696</v>
      </c>
    </row>
    <row r="1887" spans="1:7">
      <c r="A1887" s="88" t="s">
        <v>525</v>
      </c>
      <c r="B1887" s="247" t="s">
        <v>1687</v>
      </c>
      <c r="C1887" s="56">
        <v>45959</v>
      </c>
      <c r="F1887" s="43" t="s">
        <v>1782</v>
      </c>
      <c r="G1887" t="s">
        <v>1696</v>
      </c>
    </row>
    <row r="1888" spans="1:7">
      <c r="A1888" s="88" t="s">
        <v>525</v>
      </c>
      <c r="B1888" s="247" t="s">
        <v>1783</v>
      </c>
      <c r="C1888" s="56">
        <v>45959</v>
      </c>
      <c r="D1888" s="155">
        <v>1147</v>
      </c>
      <c r="F1888" s="43" t="s">
        <v>1784</v>
      </c>
      <c r="G1888" t="s">
        <v>1696</v>
      </c>
    </row>
    <row r="1889" spans="1:7">
      <c r="A1889" s="88" t="s">
        <v>525</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440</v>
      </c>
      <c r="C1892" s="56">
        <v>45959</v>
      </c>
      <c r="D1892" s="155">
        <v>1096</v>
      </c>
      <c r="F1892" s="43" t="s">
        <v>1786</v>
      </c>
      <c r="G1892" t="s">
        <v>1696</v>
      </c>
    </row>
    <row r="1893" spans="1:7">
      <c r="A1893" s="756" t="s">
        <v>591</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537</v>
      </c>
      <c r="B1898" s="315" t="s">
        <v>1072</v>
      </c>
      <c r="C1898" s="56">
        <v>45959</v>
      </c>
      <c r="E1898" s="321">
        <v>5475</v>
      </c>
      <c r="F1898" s="43" t="s">
        <v>1790</v>
      </c>
      <c r="G1898" t="s">
        <v>1696</v>
      </c>
    </row>
    <row r="1899" spans="1:7">
      <c r="A1899" s="88" t="s">
        <v>525</v>
      </c>
      <c r="B1899" s="247" t="s">
        <v>1687</v>
      </c>
      <c r="C1899" s="56">
        <v>45960</v>
      </c>
      <c r="F1899" s="320" t="s">
        <v>1791</v>
      </c>
      <c r="G1899" t="s">
        <v>1696</v>
      </c>
    </row>
    <row r="1900" spans="1:7">
      <c r="A1900" s="88" t="s">
        <v>525</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440</v>
      </c>
      <c r="C1903" s="56">
        <v>45960</v>
      </c>
      <c r="F1903" s="141" t="s">
        <v>1795</v>
      </c>
      <c r="G1903" t="s">
        <v>1696</v>
      </c>
    </row>
    <row r="1904" spans="1:7">
      <c r="A1904" s="306" t="s">
        <v>591</v>
      </c>
      <c r="B1904" s="318" t="s">
        <v>127</v>
      </c>
      <c r="C1904" s="56">
        <v>45960</v>
      </c>
      <c r="D1904" s="43">
        <v>777</v>
      </c>
      <c r="F1904" s="43" t="s">
        <v>1796</v>
      </c>
      <c r="G1904" t="s">
        <v>1696</v>
      </c>
    </row>
    <row r="1905" spans="1:7">
      <c r="A1905" s="43" t="s">
        <v>585</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436</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589</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525</v>
      </c>
      <c r="B1915" s="247" t="s">
        <v>1687</v>
      </c>
      <c r="C1915" s="56">
        <v>45961</v>
      </c>
      <c r="F1915" s="320" t="s">
        <v>1372</v>
      </c>
      <c r="G1915" t="s">
        <v>1696</v>
      </c>
    </row>
    <row r="1916" spans="1:7">
      <c r="A1916" s="88" t="s">
        <v>525</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440</v>
      </c>
      <c r="C1919" s="56">
        <v>45961</v>
      </c>
      <c r="E1919" s="321">
        <v>1428</v>
      </c>
      <c r="F1919" s="69"/>
      <c r="G1919" t="s">
        <v>1696</v>
      </c>
    </row>
    <row r="1920" spans="1:7">
      <c r="A1920" s="141" t="s">
        <v>591</v>
      </c>
      <c r="B1920" s="141" t="s">
        <v>127</v>
      </c>
      <c r="C1920" s="56">
        <v>45961</v>
      </c>
      <c r="F1920" s="69" t="s">
        <v>1803</v>
      </c>
      <c r="G1920" t="s">
        <v>1696</v>
      </c>
    </row>
    <row r="1921" spans="1:7">
      <c r="A1921" s="43" t="s">
        <v>591</v>
      </c>
      <c r="B1921" s="395" t="s">
        <v>1072</v>
      </c>
      <c r="C1921" s="56">
        <v>45961</v>
      </c>
      <c r="E1921" s="321">
        <v>1862</v>
      </c>
      <c r="F1921" s="618" t="s">
        <v>1519</v>
      </c>
      <c r="G1921" t="s">
        <v>1696</v>
      </c>
    </row>
    <row r="1922" spans="1:7">
      <c r="A1922" s="43" t="s">
        <v>551</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525</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599</v>
      </c>
      <c r="B1929" s="349" t="s">
        <v>127</v>
      </c>
      <c r="C1929" s="56">
        <v>45964</v>
      </c>
      <c r="D1929" s="43">
        <v>701</v>
      </c>
      <c r="F1929" s="43" t="s">
        <v>1639</v>
      </c>
      <c r="G1929" t="s">
        <v>1806</v>
      </c>
    </row>
    <row r="1930" spans="1:7">
      <c r="A1930" s="141" t="s">
        <v>597</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436</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457</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525</v>
      </c>
      <c r="B1941" s="953" t="s">
        <v>1783</v>
      </c>
      <c r="C1941" s="56">
        <v>45965</v>
      </c>
      <c r="F1941" s="925" t="s">
        <v>1456</v>
      </c>
      <c r="G1941" t="s">
        <v>1806</v>
      </c>
    </row>
    <row r="1942" spans="1:7">
      <c r="A1942" s="148" t="s">
        <v>528</v>
      </c>
      <c r="B1942" s="148" t="s">
        <v>1597</v>
      </c>
      <c r="C1942" s="56">
        <v>45965</v>
      </c>
      <c r="D1942" s="43">
        <v>363</v>
      </c>
      <c r="G1942" t="s">
        <v>1806</v>
      </c>
    </row>
    <row r="1943" spans="1:7">
      <c r="A1943" s="148" t="s">
        <v>528</v>
      </c>
      <c r="B1943" s="148" t="s">
        <v>225</v>
      </c>
      <c r="C1943" s="56">
        <v>45965</v>
      </c>
      <c r="D1943" s="43">
        <v>778</v>
      </c>
      <c r="G1943" t="s">
        <v>1806</v>
      </c>
    </row>
    <row r="1944" spans="1:7">
      <c r="A1944" s="148" t="s">
        <v>528</v>
      </c>
      <c r="B1944" s="43" t="s">
        <v>1687</v>
      </c>
      <c r="C1944" s="56">
        <v>45965</v>
      </c>
      <c r="D1944" s="43">
        <v>550</v>
      </c>
      <c r="G1944" t="s">
        <v>1806</v>
      </c>
    </row>
    <row r="1945" spans="1:7">
      <c r="A1945" s="967" t="s">
        <v>597</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436</v>
      </c>
      <c r="B1947" s="43" t="s">
        <v>1815</v>
      </c>
      <c r="C1947" s="56">
        <v>45965</v>
      </c>
      <c r="D1947" s="43">
        <v>817</v>
      </c>
      <c r="G1947" t="s">
        <v>1806</v>
      </c>
    </row>
    <row r="1948" spans="1:7">
      <c r="A1948" s="43" t="s">
        <v>436</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553</v>
      </c>
      <c r="B1953" s="115" t="s">
        <v>1072</v>
      </c>
      <c r="C1953" s="56">
        <v>45965</v>
      </c>
      <c r="E1953" s="201"/>
      <c r="F1953" s="923" t="s">
        <v>1513</v>
      </c>
      <c r="G1953" t="s">
        <v>1806</v>
      </c>
    </row>
    <row r="1954" spans="1:7">
      <c r="A1954" s="247" t="s">
        <v>457</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528</v>
      </c>
      <c r="B1956" s="305" t="s">
        <v>1597</v>
      </c>
      <c r="C1956" s="56">
        <v>45966</v>
      </c>
      <c r="D1956" s="155">
        <v>1113</v>
      </c>
      <c r="E1956" s="253"/>
      <c r="F1956" s="169"/>
      <c r="G1956" t="s">
        <v>1806</v>
      </c>
    </row>
    <row r="1957" spans="1:7">
      <c r="A1957" s="311" t="s">
        <v>528</v>
      </c>
      <c r="B1957" s="311" t="s">
        <v>225</v>
      </c>
      <c r="C1957" s="56">
        <v>45966</v>
      </c>
      <c r="D1957" s="43">
        <v>885</v>
      </c>
      <c r="G1957" t="s">
        <v>1806</v>
      </c>
    </row>
    <row r="1958" spans="1:7">
      <c r="A1958" s="141" t="s">
        <v>597</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436</v>
      </c>
      <c r="B1960" s="304" t="s">
        <v>1815</v>
      </c>
      <c r="C1960" s="56">
        <v>45966</v>
      </c>
      <c r="D1960" s="155">
        <v>1377</v>
      </c>
      <c r="G1960" t="s">
        <v>1806</v>
      </c>
    </row>
    <row r="1961" spans="1:7">
      <c r="A1961" s="304" t="s">
        <v>436</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457</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448</v>
      </c>
      <c r="B1970" s="304" t="s">
        <v>127</v>
      </c>
      <c r="C1970" s="56">
        <v>45966</v>
      </c>
      <c r="D1970" s="321">
        <v>2985</v>
      </c>
      <c r="E1970" s="155"/>
      <c r="F1970" s="43" t="s">
        <v>1821</v>
      </c>
      <c r="G1970" t="s">
        <v>1806</v>
      </c>
    </row>
    <row r="1971" spans="1:7">
      <c r="A1971" s="148" t="s">
        <v>528</v>
      </c>
      <c r="B1971" s="148" t="s">
        <v>1597</v>
      </c>
      <c r="C1971" s="56">
        <v>45967</v>
      </c>
      <c r="D1971" s="139"/>
      <c r="E1971" s="43"/>
      <c r="F1971" s="141" t="s">
        <v>1822</v>
      </c>
      <c r="G1971" t="s">
        <v>1806</v>
      </c>
    </row>
    <row r="1972" spans="1:7">
      <c r="A1972" s="148" t="s">
        <v>528</v>
      </c>
      <c r="B1972" s="148" t="s">
        <v>1823</v>
      </c>
      <c r="C1972" s="56">
        <v>45967</v>
      </c>
      <c r="D1972" s="43">
        <v>760</v>
      </c>
      <c r="E1972" s="253"/>
      <c r="F1972" s="169"/>
      <c r="G1972" t="s">
        <v>1806</v>
      </c>
    </row>
    <row r="1973" spans="1:7">
      <c r="A1973" s="967" t="s">
        <v>597</v>
      </c>
      <c r="B1973" s="43" t="s">
        <v>127</v>
      </c>
      <c r="C1973" s="56">
        <v>45967</v>
      </c>
      <c r="D1973" s="43">
        <v>954</v>
      </c>
      <c r="F1973" s="43" t="s">
        <v>1824</v>
      </c>
      <c r="G1973" t="s">
        <v>1806</v>
      </c>
    </row>
    <row r="1974" spans="1:7">
      <c r="A1974" s="43" t="s">
        <v>436</v>
      </c>
      <c r="B1974" s="43" t="s">
        <v>1815</v>
      </c>
      <c r="C1974" s="56">
        <v>45967</v>
      </c>
      <c r="D1974" s="43">
        <v>183</v>
      </c>
      <c r="G1974" t="s">
        <v>1806</v>
      </c>
    </row>
    <row r="1975" spans="1:7">
      <c r="A1975" s="43" t="s">
        <v>436</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448</v>
      </c>
      <c r="B1980" s="43" t="s">
        <v>127</v>
      </c>
      <c r="C1980" s="56">
        <v>45967</v>
      </c>
      <c r="D1980" s="155">
        <v>2373</v>
      </c>
      <c r="F1980" s="43" t="s">
        <v>1827</v>
      </c>
      <c r="G1980" t="s">
        <v>1806</v>
      </c>
    </row>
    <row r="1981" spans="1:7">
      <c r="A1981" s="306" t="s">
        <v>528</v>
      </c>
      <c r="B1981" s="306" t="s">
        <v>1597</v>
      </c>
      <c r="C1981" s="56">
        <v>45968</v>
      </c>
      <c r="D1981" s="43">
        <v>923</v>
      </c>
      <c r="G1981" t="s">
        <v>1806</v>
      </c>
    </row>
    <row r="1982" spans="1:7">
      <c r="A1982" s="141" t="s">
        <v>528</v>
      </c>
      <c r="B1982" s="551" t="s">
        <v>1783</v>
      </c>
      <c r="C1982" s="56">
        <v>45968</v>
      </c>
      <c r="D1982" s="155">
        <v>3052</v>
      </c>
      <c r="G1982" t="s">
        <v>1806</v>
      </c>
    </row>
    <row r="1983" spans="1:7">
      <c r="A1983" s="141" t="s">
        <v>664</v>
      </c>
      <c r="B1983" s="346" t="s">
        <v>1758</v>
      </c>
      <c r="C1983" s="56">
        <v>45968</v>
      </c>
      <c r="D1983" s="43">
        <v>451</v>
      </c>
      <c r="G1983" t="s">
        <v>1806</v>
      </c>
    </row>
    <row r="1984" spans="1:7">
      <c r="A1984" s="304" t="s">
        <v>436</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475</v>
      </c>
      <c r="B1990" s="43" t="s">
        <v>127</v>
      </c>
      <c r="C1990" s="56">
        <v>45968</v>
      </c>
      <c r="D1990" s="155">
        <v>2948</v>
      </c>
      <c r="G1990" t="s">
        <v>1806</v>
      </c>
    </row>
    <row r="1991" spans="1:7">
      <c r="A1991" s="953" t="s">
        <v>525</v>
      </c>
      <c r="B1991" s="346" t="s">
        <v>1758</v>
      </c>
      <c r="C1991" s="56">
        <v>45971</v>
      </c>
      <c r="D1991" s="155">
        <v>560</v>
      </c>
      <c r="G1991" t="s">
        <v>1806</v>
      </c>
    </row>
    <row r="1992" spans="1:7">
      <c r="A1992" s="311" t="s">
        <v>436</v>
      </c>
      <c r="B1992" s="311" t="s">
        <v>1072</v>
      </c>
      <c r="C1992" s="56">
        <v>45971</v>
      </c>
      <c r="D1992" s="43">
        <v>558</v>
      </c>
      <c r="G1992" t="s">
        <v>1806</v>
      </c>
    </row>
    <row r="1993" spans="1:7">
      <c r="A1993" s="311" t="s">
        <v>436</v>
      </c>
      <c r="B1993" s="311" t="s">
        <v>440</v>
      </c>
      <c r="C1993" s="56">
        <v>45971</v>
      </c>
      <c r="F1993" s="43" t="s">
        <v>1521</v>
      </c>
      <c r="G1993" t="s">
        <v>1806</v>
      </c>
    </row>
    <row r="1994" spans="1:7">
      <c r="A1994" s="315" t="s">
        <v>623</v>
      </c>
      <c r="B1994" s="315" t="s">
        <v>127</v>
      </c>
      <c r="C1994" s="56">
        <v>45971</v>
      </c>
      <c r="D1994" s="155">
        <v>1351</v>
      </c>
      <c r="G1994" t="s">
        <v>1806</v>
      </c>
    </row>
    <row r="1995" spans="1:7">
      <c r="A1995" s="315" t="s">
        <v>599</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475</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443</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436</v>
      </c>
      <c r="B2007" s="43" t="s">
        <v>1511</v>
      </c>
      <c r="C2007" s="56">
        <v>45973</v>
      </c>
      <c r="F2007" s="311" t="s">
        <v>1518</v>
      </c>
      <c r="G2007" t="s">
        <v>1806</v>
      </c>
    </row>
    <row r="2008" spans="1:7">
      <c r="A2008" s="43" t="s">
        <v>414</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440</v>
      </c>
      <c r="C2010" s="56">
        <v>45973</v>
      </c>
      <c r="F2010" s="43" t="s">
        <v>1513</v>
      </c>
      <c r="G2010" t="s">
        <v>1806</v>
      </c>
    </row>
    <row r="2011" spans="1:7">
      <c r="A2011" s="43" t="s">
        <v>595</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475</v>
      </c>
      <c r="B2017" s="43" t="s">
        <v>127</v>
      </c>
      <c r="C2017" s="56">
        <v>45973</v>
      </c>
      <c r="D2017" s="43">
        <v>242</v>
      </c>
      <c r="G2017" t="s">
        <v>1806</v>
      </c>
    </row>
    <row r="2018" spans="1:7">
      <c r="A2018" s="43" t="s">
        <v>467</v>
      </c>
      <c r="B2018" s="43" t="s">
        <v>127</v>
      </c>
      <c r="C2018" s="56">
        <v>45973</v>
      </c>
      <c r="D2018" s="155">
        <v>1264</v>
      </c>
      <c r="G2018" t="s">
        <v>1806</v>
      </c>
    </row>
    <row r="2019" spans="1:7">
      <c r="A2019" s="43" t="s">
        <v>480</v>
      </c>
      <c r="B2019" s="43" t="s">
        <v>127</v>
      </c>
      <c r="C2019" s="56">
        <v>45973</v>
      </c>
      <c r="D2019" s="155">
        <v>3678</v>
      </c>
      <c r="G2019" t="s">
        <v>1806</v>
      </c>
    </row>
    <row r="2020" spans="1:7">
      <c r="A2020" s="43" t="s">
        <v>436</v>
      </c>
      <c r="B2020" s="43" t="s">
        <v>1511</v>
      </c>
      <c r="C2020" s="56">
        <v>45974</v>
      </c>
      <c r="F2020" s="43" t="s">
        <v>1579</v>
      </c>
      <c r="G2020" t="s">
        <v>1806</v>
      </c>
    </row>
    <row r="2021" spans="1:7">
      <c r="A2021" s="43" t="s">
        <v>414</v>
      </c>
      <c r="B2021" s="43" t="s">
        <v>127</v>
      </c>
      <c r="C2021" s="56">
        <v>45974</v>
      </c>
      <c r="D2021" s="155">
        <v>1258</v>
      </c>
      <c r="F2021" s="43" t="s">
        <v>1839</v>
      </c>
      <c r="G2021" t="s">
        <v>1806</v>
      </c>
    </row>
    <row r="2022" spans="1:7">
      <c r="A2022" s="43" t="s">
        <v>595</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480</v>
      </c>
      <c r="B2029" s="43" t="s">
        <v>127</v>
      </c>
      <c r="C2029" s="56">
        <v>45974</v>
      </c>
      <c r="D2029" s="155">
        <v>3382</v>
      </c>
      <c r="G2029" t="s">
        <v>1806</v>
      </c>
    </row>
    <row r="2030" spans="1:7">
      <c r="A2030" s="43" t="s">
        <v>467</v>
      </c>
      <c r="B2030" s="43" t="s">
        <v>127</v>
      </c>
      <c r="C2030" s="56">
        <v>45974</v>
      </c>
      <c r="D2030" s="155">
        <v>1281</v>
      </c>
      <c r="G2030" t="s">
        <v>1806</v>
      </c>
    </row>
    <row r="2031" spans="1:7">
      <c r="A2031" s="247" t="s">
        <v>509</v>
      </c>
      <c r="B2031" s="43" t="s">
        <v>127</v>
      </c>
      <c r="C2031" s="56">
        <v>45974</v>
      </c>
      <c r="D2031" s="43">
        <v>424</v>
      </c>
      <c r="G2031" t="s">
        <v>1806</v>
      </c>
    </row>
    <row r="2032" spans="1:7">
      <c r="A2032" s="247" t="s">
        <v>482</v>
      </c>
      <c r="B2032" s="43" t="s">
        <v>127</v>
      </c>
      <c r="C2032" s="56">
        <v>45974</v>
      </c>
      <c r="D2032" s="43">
        <v>598</v>
      </c>
      <c r="G2032" t="s">
        <v>1806</v>
      </c>
    </row>
    <row r="2033" spans="1:7">
      <c r="A2033" s="141" t="s">
        <v>436</v>
      </c>
      <c r="B2033" s="141" t="s">
        <v>1511</v>
      </c>
      <c r="C2033" s="56">
        <v>45975</v>
      </c>
      <c r="E2033" s="1011">
        <v>5647</v>
      </c>
      <c r="F2033" s="306" t="s">
        <v>1843</v>
      </c>
      <c r="G2033" t="s">
        <v>1806</v>
      </c>
    </row>
    <row r="2034" spans="1:7">
      <c r="A2034" s="304" t="s">
        <v>599</v>
      </c>
      <c r="B2034" s="304" t="s">
        <v>1511</v>
      </c>
      <c r="C2034" s="56">
        <v>45975</v>
      </c>
      <c r="D2034" s="139"/>
      <c r="E2034" s="43">
        <v>565</v>
      </c>
      <c r="F2034" s="141"/>
      <c r="G2034" t="s">
        <v>1806</v>
      </c>
    </row>
    <row r="2035" spans="1:7">
      <c r="A2035" s="304" t="s">
        <v>1130</v>
      </c>
      <c r="B2035" s="304" t="s">
        <v>443</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436</v>
      </c>
      <c r="B2039" s="141" t="s">
        <v>1511</v>
      </c>
      <c r="C2039" s="56">
        <v>45978</v>
      </c>
      <c r="D2039" s="43">
        <v>127</v>
      </c>
      <c r="G2039" t="s">
        <v>1806</v>
      </c>
    </row>
    <row r="2040" spans="1:7">
      <c r="A2040" s="141" t="s">
        <v>436</v>
      </c>
      <c r="B2040" s="141" t="s">
        <v>1511</v>
      </c>
      <c r="C2040" s="56">
        <v>45978</v>
      </c>
      <c r="E2040" s="139">
        <v>300</v>
      </c>
      <c r="F2040" s="43" t="s">
        <v>1845</v>
      </c>
      <c r="G2040" t="s">
        <v>1806</v>
      </c>
    </row>
    <row r="2041" spans="1:7">
      <c r="A2041" s="304" t="s">
        <v>1131</v>
      </c>
      <c r="B2041" s="304" t="s">
        <v>440</v>
      </c>
      <c r="C2041" s="56">
        <v>45978</v>
      </c>
      <c r="D2041" s="155">
        <v>1505</v>
      </c>
      <c r="G2041" t="s">
        <v>1806</v>
      </c>
    </row>
    <row r="2042" spans="1:7">
      <c r="A2042" s="304" t="s">
        <v>604</v>
      </c>
      <c r="B2042" s="304" t="s">
        <v>127</v>
      </c>
      <c r="C2042" s="56">
        <v>45978</v>
      </c>
      <c r="D2042" s="155">
        <v>1471</v>
      </c>
      <c r="F2042" s="43" t="s">
        <v>1155</v>
      </c>
      <c r="G2042" t="s">
        <v>1806</v>
      </c>
    </row>
    <row r="2043" spans="1:7">
      <c r="A2043" s="305" t="s">
        <v>1130</v>
      </c>
      <c r="B2043" s="304" t="s">
        <v>443</v>
      </c>
      <c r="C2043" s="56">
        <v>45978</v>
      </c>
      <c r="D2043" s="43">
        <v>907</v>
      </c>
      <c r="F2043" s="43" t="s">
        <v>1199</v>
      </c>
      <c r="G2043" t="s">
        <v>1806</v>
      </c>
    </row>
    <row r="2044" spans="1:7">
      <c r="A2044" s="141" t="s">
        <v>601</v>
      </c>
      <c r="B2044" s="349" t="s">
        <v>127</v>
      </c>
      <c r="C2044" s="56">
        <v>45978</v>
      </c>
      <c r="D2044" s="43">
        <v>762</v>
      </c>
      <c r="G2044" t="s">
        <v>1806</v>
      </c>
    </row>
    <row r="2045" spans="1:7">
      <c r="A2045" s="141" t="s">
        <v>595</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477</v>
      </c>
      <c r="B2050" s="141" t="s">
        <v>127</v>
      </c>
      <c r="C2050" s="56">
        <v>45978</v>
      </c>
      <c r="D2050" s="155">
        <v>5466</v>
      </c>
      <c r="G2050" t="s">
        <v>1806</v>
      </c>
    </row>
    <row r="2051" spans="1:7">
      <c r="A2051" s="304" t="s">
        <v>467</v>
      </c>
      <c r="B2051" s="304" t="s">
        <v>127</v>
      </c>
      <c r="C2051" s="56">
        <v>45978</v>
      </c>
      <c r="D2051" s="155">
        <v>1662</v>
      </c>
      <c r="G2051" t="s">
        <v>1806</v>
      </c>
    </row>
    <row r="2052" spans="1:7">
      <c r="A2052" s="304" t="s">
        <v>482</v>
      </c>
      <c r="B2052" s="304" t="s">
        <v>127</v>
      </c>
      <c r="C2052" s="56">
        <v>45978</v>
      </c>
      <c r="D2052" s="155">
        <v>1498</v>
      </c>
      <c r="G2052" t="s">
        <v>1806</v>
      </c>
    </row>
    <row r="2053" spans="1:7">
      <c r="A2053" s="304" t="s">
        <v>525</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440</v>
      </c>
      <c r="C2056" s="56">
        <v>45979</v>
      </c>
      <c r="D2056" s="155">
        <v>1518</v>
      </c>
      <c r="G2056" t="s">
        <v>1806</v>
      </c>
    </row>
    <row r="2057" spans="1:7">
      <c r="A2057" s="43" t="s">
        <v>417</v>
      </c>
      <c r="B2057" s="43" t="s">
        <v>127</v>
      </c>
      <c r="C2057" s="56">
        <v>45979</v>
      </c>
      <c r="D2057" s="155">
        <v>1679</v>
      </c>
      <c r="F2057" s="43" t="s">
        <v>1848</v>
      </c>
      <c r="G2057" t="s">
        <v>1806</v>
      </c>
    </row>
    <row r="2058" spans="1:7">
      <c r="A2058" s="43" t="s">
        <v>1130</v>
      </c>
      <c r="B2058" s="43" t="s">
        <v>443</v>
      </c>
      <c r="C2058" s="56">
        <v>45979</v>
      </c>
      <c r="F2058" s="43" t="s">
        <v>1849</v>
      </c>
      <c r="G2058" t="s">
        <v>1806</v>
      </c>
    </row>
    <row r="2059" spans="1:7">
      <c r="A2059" t="s">
        <v>601</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467</v>
      </c>
      <c r="B2064" s="43" t="s">
        <v>127</v>
      </c>
      <c r="C2064" s="56">
        <v>45979</v>
      </c>
      <c r="D2064" s="155">
        <v>2684</v>
      </c>
      <c r="F2064" s="69"/>
      <c r="G2064" t="s">
        <v>1806</v>
      </c>
    </row>
    <row r="2065" spans="1:7">
      <c r="A2065" s="148" t="s">
        <v>482</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599</v>
      </c>
      <c r="B2067" s="141" t="s">
        <v>1511</v>
      </c>
      <c r="C2067" s="56">
        <v>45980</v>
      </c>
      <c r="E2067" s="321">
        <v>2996</v>
      </c>
      <c r="F2067" s="69" t="s">
        <v>1852</v>
      </c>
      <c r="G2067" t="s">
        <v>1806</v>
      </c>
    </row>
    <row r="2068" spans="1:7">
      <c r="A2068" s="304" t="s">
        <v>1131</v>
      </c>
      <c r="B2068" s="304" t="s">
        <v>440</v>
      </c>
      <c r="C2068" s="56">
        <v>45980</v>
      </c>
      <c r="D2068" s="155">
        <v>1968</v>
      </c>
      <c r="E2068" s="201"/>
      <c r="F2068" s="148" t="s">
        <v>1853</v>
      </c>
      <c r="G2068" t="s">
        <v>1806</v>
      </c>
    </row>
    <row r="2069" spans="1:7">
      <c r="A2069" s="304" t="s">
        <v>417</v>
      </c>
      <c r="B2069" s="304" t="s">
        <v>127</v>
      </c>
      <c r="C2069" s="56">
        <v>45980</v>
      </c>
      <c r="D2069" s="321">
        <v>1429</v>
      </c>
      <c r="E2069" s="43"/>
      <c r="F2069" s="69" t="s">
        <v>1854</v>
      </c>
      <c r="G2069" t="s">
        <v>1806</v>
      </c>
    </row>
    <row r="2070" spans="1:7">
      <c r="A2070" s="305" t="s">
        <v>1130</v>
      </c>
      <c r="B2070" s="304" t="s">
        <v>443</v>
      </c>
      <c r="C2070" s="56">
        <v>45980</v>
      </c>
      <c r="D2070" s="139"/>
      <c r="E2070" s="43"/>
      <c r="F2070" s="69" t="s">
        <v>1803</v>
      </c>
      <c r="G2070" t="s">
        <v>1806</v>
      </c>
    </row>
    <row r="2071" spans="1:7">
      <c r="A2071" s="311" t="s">
        <v>601</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601</v>
      </c>
      <c r="B2077" s="141" t="s">
        <v>127</v>
      </c>
      <c r="C2077" s="56">
        <v>45981</v>
      </c>
      <c r="D2077" s="155">
        <v>1603</v>
      </c>
      <c r="F2077" s="91" t="s">
        <v>1857</v>
      </c>
      <c r="G2077" t="s">
        <v>1806</v>
      </c>
    </row>
    <row r="2078" spans="1:7">
      <c r="A2078" s="304" t="s">
        <v>1131</v>
      </c>
      <c r="B2078" s="304" t="s">
        <v>440</v>
      </c>
      <c r="C2078" s="56">
        <v>45981</v>
      </c>
      <c r="D2078" s="43">
        <v>345</v>
      </c>
      <c r="F2078" s="69" t="s">
        <v>1858</v>
      </c>
      <c r="G2078" t="s">
        <v>1806</v>
      </c>
    </row>
    <row r="2079" spans="1:7">
      <c r="A2079" s="304" t="s">
        <v>417</v>
      </c>
      <c r="B2079" s="304" t="s">
        <v>127</v>
      </c>
      <c r="C2079" s="56">
        <v>45981</v>
      </c>
      <c r="D2079" s="155">
        <v>1624</v>
      </c>
      <c r="F2079" s="69" t="s">
        <v>1859</v>
      </c>
      <c r="G2079" t="s">
        <v>1806</v>
      </c>
    </row>
    <row r="2080" spans="1:7">
      <c r="A2080" s="305" t="s">
        <v>599</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477</v>
      </c>
      <c r="B2086" s="357" t="s">
        <v>127</v>
      </c>
      <c r="C2086" s="56">
        <v>45981</v>
      </c>
      <c r="D2086" s="155">
        <v>2252</v>
      </c>
      <c r="F2086" s="69"/>
      <c r="G2086" t="s">
        <v>1806</v>
      </c>
    </row>
    <row r="2087" spans="1:7">
      <c r="A2087" s="318" t="s">
        <v>482</v>
      </c>
      <c r="B2087" s="387" t="s">
        <v>127</v>
      </c>
      <c r="C2087" s="56">
        <v>45981</v>
      </c>
      <c r="D2087" s="1083">
        <v>1027</v>
      </c>
      <c r="F2087" s="69"/>
      <c r="G2087" t="s">
        <v>1806</v>
      </c>
    </row>
    <row r="2088" spans="1:7">
      <c r="A2088" s="348" t="s">
        <v>485</v>
      </c>
      <c r="B2088" s="357" t="s">
        <v>127</v>
      </c>
      <c r="C2088" s="56">
        <v>45981</v>
      </c>
      <c r="D2088" s="155">
        <v>1420</v>
      </c>
      <c r="F2088" s="69"/>
      <c r="G2088" t="s">
        <v>1806</v>
      </c>
    </row>
    <row r="2089" spans="1:7">
      <c r="A2089" s="318" t="s">
        <v>488</v>
      </c>
      <c r="B2089" s="387" t="s">
        <v>127</v>
      </c>
      <c r="C2089" s="56">
        <v>45981</v>
      </c>
      <c r="D2089" s="155">
        <v>2376</v>
      </c>
      <c r="F2089" s="69"/>
      <c r="G2089" t="s">
        <v>1806</v>
      </c>
    </row>
    <row r="2090" spans="1:7">
      <c r="A2090" s="348" t="s">
        <v>509</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440</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467</v>
      </c>
      <c r="B2097" s="165" t="s">
        <v>127</v>
      </c>
      <c r="C2097" s="56">
        <v>45982</v>
      </c>
      <c r="D2097" s="43">
        <v>51</v>
      </c>
      <c r="F2097" s="69"/>
      <c r="G2097" t="s">
        <v>1806</v>
      </c>
    </row>
    <row r="2098" spans="1:7">
      <c r="A2098" s="404" t="s">
        <v>509</v>
      </c>
      <c r="B2098" s="173" t="s">
        <v>127</v>
      </c>
      <c r="C2098" s="56">
        <v>45982</v>
      </c>
      <c r="D2098" s="155">
        <v>3007</v>
      </c>
      <c r="F2098" s="69"/>
      <c r="G2098" t="s">
        <v>1806</v>
      </c>
    </row>
    <row r="2099" spans="1:7">
      <c r="A2099" s="404" t="s">
        <v>482</v>
      </c>
      <c r="B2099" s="173" t="s">
        <v>127</v>
      </c>
      <c r="C2099" s="56">
        <v>45982</v>
      </c>
      <c r="D2099" s="43">
        <v>490</v>
      </c>
      <c r="F2099" s="69"/>
      <c r="G2099" t="s">
        <v>1806</v>
      </c>
    </row>
    <row r="2100" spans="1:7">
      <c r="A2100" s="404" t="s">
        <v>485</v>
      </c>
      <c r="B2100" s="173" t="s">
        <v>127</v>
      </c>
      <c r="C2100" s="56">
        <v>45982</v>
      </c>
      <c r="D2100" s="155">
        <v>3043</v>
      </c>
      <c r="F2100" s="69"/>
      <c r="G2100" t="s">
        <v>1806</v>
      </c>
    </row>
    <row r="2101" spans="1:7">
      <c r="A2101" s="404" t="s">
        <v>488</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519</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440</v>
      </c>
      <c r="C2110" s="310">
        <v>45985</v>
      </c>
      <c r="D2110" s="155">
        <v>2805</v>
      </c>
      <c r="F2110" s="69"/>
      <c r="G2110" t="s">
        <v>1806</v>
      </c>
    </row>
    <row r="2111" spans="1:7">
      <c r="A2111" s="43" t="s">
        <v>601</v>
      </c>
      <c r="B2111" s="1093" t="s">
        <v>127</v>
      </c>
      <c r="C2111" s="56">
        <v>45985</v>
      </c>
      <c r="D2111" s="43">
        <v>805</v>
      </c>
      <c r="F2111" s="69" t="s">
        <v>1870</v>
      </c>
      <c r="G2111" t="s">
        <v>1806</v>
      </c>
    </row>
    <row r="2112" spans="1:7">
      <c r="A2112" s="43" t="s">
        <v>604</v>
      </c>
      <c r="B2112" s="1093" t="s">
        <v>127</v>
      </c>
      <c r="C2112" s="56">
        <v>45985</v>
      </c>
      <c r="D2112" s="43">
        <v>665</v>
      </c>
      <c r="F2112" s="69"/>
      <c r="G2112" t="s">
        <v>1806</v>
      </c>
    </row>
    <row r="2113" spans="1:7">
      <c r="A2113" s="43" t="s">
        <v>417</v>
      </c>
      <c r="B2113" s="1093" t="s">
        <v>127</v>
      </c>
      <c r="C2113" s="56">
        <v>45985</v>
      </c>
      <c r="D2113" s="43">
        <v>572</v>
      </c>
      <c r="F2113" s="69" t="s">
        <v>1871</v>
      </c>
      <c r="G2113" t="s">
        <v>1806</v>
      </c>
    </row>
    <row r="2114" spans="1:7">
      <c r="A2114" s="169" t="s">
        <v>426</v>
      </c>
      <c r="B2114" s="169" t="s">
        <v>1072</v>
      </c>
      <c r="C2114" s="56">
        <v>45985</v>
      </c>
      <c r="D2114" s="43">
        <v>286</v>
      </c>
      <c r="E2114" s="201"/>
      <c r="F2114" s="148"/>
      <c r="G2114" t="s">
        <v>1806</v>
      </c>
    </row>
    <row r="2115" spans="1:7">
      <c r="A2115" s="43" t="s">
        <v>595</v>
      </c>
      <c r="B2115" s="43" t="s">
        <v>1072</v>
      </c>
      <c r="C2115" s="56">
        <v>45985</v>
      </c>
      <c r="D2115" s="139"/>
      <c r="E2115" s="43">
        <v>734</v>
      </c>
      <c r="F2115" s="69"/>
      <c r="G2115" t="s">
        <v>1806</v>
      </c>
    </row>
    <row r="2116" spans="1:7">
      <c r="A2116" s="43" t="s">
        <v>414</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519</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426</v>
      </c>
      <c r="B2126" s="805" t="s">
        <v>1072</v>
      </c>
      <c r="C2126" s="56">
        <v>45986</v>
      </c>
      <c r="D2126" s="43">
        <v>357</v>
      </c>
      <c r="F2126" s="43" t="s">
        <v>1199</v>
      </c>
      <c r="G2126" t="s">
        <v>1806</v>
      </c>
    </row>
    <row r="2127" spans="1:7">
      <c r="A2127" s="43" t="s">
        <v>1131</v>
      </c>
      <c r="B2127" s="43" t="s">
        <v>440</v>
      </c>
      <c r="C2127" s="56">
        <v>45986</v>
      </c>
      <c r="D2127" s="155">
        <v>1397</v>
      </c>
      <c r="G2127" t="s">
        <v>1806</v>
      </c>
    </row>
    <row r="2128" spans="1:7">
      <c r="A2128" s="43" t="s">
        <v>607</v>
      </c>
      <c r="B2128" s="43" t="s">
        <v>127</v>
      </c>
      <c r="C2128" s="56">
        <v>45986</v>
      </c>
      <c r="D2128" s="155">
        <v>1100</v>
      </c>
      <c r="G2128" t="s">
        <v>1806</v>
      </c>
    </row>
    <row r="2129" spans="1:7">
      <c r="A2129" s="43" t="s">
        <v>604</v>
      </c>
      <c r="B2129" s="43" t="s">
        <v>127</v>
      </c>
      <c r="C2129" s="56">
        <v>45986</v>
      </c>
      <c r="D2129" s="155">
        <v>1360</v>
      </c>
      <c r="F2129" s="43" t="s">
        <v>1878</v>
      </c>
      <c r="G2129" t="s">
        <v>1806</v>
      </c>
    </row>
    <row r="2130" spans="1:7">
      <c r="A2130" s="43" t="s">
        <v>1134</v>
      </c>
      <c r="B2130" s="43" t="s">
        <v>443</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469</v>
      </c>
      <c r="B2136" s="165" t="s">
        <v>127</v>
      </c>
      <c r="C2136" s="56">
        <v>45986</v>
      </c>
      <c r="D2136" s="155">
        <v>2382</v>
      </c>
      <c r="G2136" t="s">
        <v>1806</v>
      </c>
    </row>
    <row r="2137" spans="1:7">
      <c r="A2137" s="404" t="s">
        <v>448</v>
      </c>
      <c r="B2137" s="173" t="s">
        <v>127</v>
      </c>
      <c r="C2137" s="56">
        <v>45986</v>
      </c>
      <c r="D2137" s="43">
        <v>996</v>
      </c>
      <c r="G2137" t="s">
        <v>1806</v>
      </c>
    </row>
    <row r="2138" spans="1:7">
      <c r="A2138" s="404" t="s">
        <v>491</v>
      </c>
      <c r="B2138" s="173" t="s">
        <v>127</v>
      </c>
      <c r="C2138" s="56">
        <v>45986</v>
      </c>
      <c r="D2138" s="155">
        <v>3634</v>
      </c>
      <c r="G2138" t="s">
        <v>1806</v>
      </c>
    </row>
    <row r="2139" spans="1:7">
      <c r="A2139" s="69" t="s">
        <v>488</v>
      </c>
      <c r="B2139" s="173" t="s">
        <v>127</v>
      </c>
      <c r="C2139" s="56">
        <v>45986</v>
      </c>
      <c r="D2139" s="155">
        <v>3311</v>
      </c>
      <c r="G2139" t="s">
        <v>1806</v>
      </c>
    </row>
    <row r="2140" spans="1:7">
      <c r="A2140" s="69" t="s">
        <v>307</v>
      </c>
      <c r="B2140" s="173" t="s">
        <v>127</v>
      </c>
      <c r="C2140" s="56">
        <v>45986</v>
      </c>
      <c r="D2140" s="155">
        <v>1175</v>
      </c>
      <c r="G2140" t="s">
        <v>1806</v>
      </c>
    </row>
    <row r="2141" spans="1:7">
      <c r="A2141" s="247" t="s">
        <v>485</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519</v>
      </c>
      <c r="B2145" s="311" t="s">
        <v>1072</v>
      </c>
      <c r="C2145" s="56">
        <v>45987</v>
      </c>
      <c r="F2145" s="782" t="s">
        <v>1349</v>
      </c>
      <c r="G2145" t="s">
        <v>1806</v>
      </c>
    </row>
    <row r="2146" spans="1:7">
      <c r="A2146" s="805" t="s">
        <v>426</v>
      </c>
      <c r="B2146" s="805" t="s">
        <v>1072</v>
      </c>
      <c r="C2146" s="56">
        <v>45987</v>
      </c>
      <c r="D2146" s="43">
        <v>331</v>
      </c>
      <c r="E2146" s="321">
        <v>1063</v>
      </c>
      <c r="F2146" s="43" t="s">
        <v>1880</v>
      </c>
      <c r="G2146" t="s">
        <v>1806</v>
      </c>
    </row>
    <row r="2147" spans="1:7">
      <c r="A2147" s="1094" t="s">
        <v>604</v>
      </c>
      <c r="B2147" s="304" t="s">
        <v>127</v>
      </c>
      <c r="C2147" s="56">
        <v>45987</v>
      </c>
      <c r="D2147" s="155">
        <v>1024</v>
      </c>
      <c r="F2147" s="43" t="s">
        <v>1881</v>
      </c>
      <c r="G2147" t="s">
        <v>1806</v>
      </c>
    </row>
    <row r="2148" spans="1:7">
      <c r="A2148" s="306" t="s">
        <v>607</v>
      </c>
      <c r="B2148" s="305" t="s">
        <v>127</v>
      </c>
      <c r="C2148" s="56">
        <v>45987</v>
      </c>
      <c r="D2148" s="43">
        <v>855</v>
      </c>
      <c r="F2148" s="43" t="s">
        <v>1882</v>
      </c>
      <c r="G2148" t="s">
        <v>1806</v>
      </c>
    </row>
    <row r="2149" spans="1:7">
      <c r="A2149" s="311" t="s">
        <v>1135</v>
      </c>
      <c r="B2149" s="311" t="s">
        <v>440</v>
      </c>
      <c r="C2149" s="56">
        <v>45987</v>
      </c>
      <c r="D2149" s="43">
        <v>955</v>
      </c>
      <c r="E2149" s="201"/>
      <c r="F2149" s="115" t="s">
        <v>1883</v>
      </c>
      <c r="G2149" t="s">
        <v>1806</v>
      </c>
    </row>
    <row r="2150" spans="1:7">
      <c r="A2150" s="315" t="s">
        <v>1136</v>
      </c>
      <c r="B2150" s="315" t="s">
        <v>443</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457</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451</v>
      </c>
      <c r="B2160" s="311" t="s">
        <v>1072</v>
      </c>
      <c r="C2160" s="56">
        <v>45987</v>
      </c>
      <c r="E2160" s="139">
        <v>175</v>
      </c>
      <c r="G2160" t="s">
        <v>1806</v>
      </c>
    </row>
    <row r="2161" spans="1:7">
      <c r="A2161" s="306" t="s">
        <v>451</v>
      </c>
      <c r="B2161" s="315" t="s">
        <v>127</v>
      </c>
      <c r="C2161" s="56">
        <v>45987</v>
      </c>
      <c r="E2161" s="321">
        <v>2455</v>
      </c>
      <c r="F2161" s="43" t="s">
        <v>1888</v>
      </c>
      <c r="G2161" t="s">
        <v>1806</v>
      </c>
    </row>
    <row r="2162" spans="1:7">
      <c r="A2162" s="306" t="s">
        <v>453</v>
      </c>
      <c r="B2162" s="315" t="s">
        <v>1072</v>
      </c>
      <c r="C2162" s="56">
        <v>45987</v>
      </c>
      <c r="E2162" s="139">
        <v>376</v>
      </c>
      <c r="G2162" t="s">
        <v>1806</v>
      </c>
    </row>
    <row r="2163" spans="1:7">
      <c r="A2163" s="306" t="s">
        <v>453</v>
      </c>
      <c r="B2163" s="737" t="s">
        <v>127</v>
      </c>
      <c r="C2163" s="56">
        <v>45987</v>
      </c>
      <c r="E2163" s="139">
        <v>404</v>
      </c>
      <c r="F2163" s="43" t="s">
        <v>1889</v>
      </c>
      <c r="G2163" t="s">
        <v>1806</v>
      </c>
    </row>
    <row r="2164" spans="1:7">
      <c r="A2164" s="311" t="s">
        <v>455</v>
      </c>
      <c r="B2164" s="311" t="s">
        <v>1072</v>
      </c>
      <c r="C2164" s="56">
        <v>45987</v>
      </c>
      <c r="E2164" s="321">
        <v>1264</v>
      </c>
      <c r="G2164" t="s">
        <v>1806</v>
      </c>
    </row>
    <row r="2165" spans="1:7">
      <c r="A2165" s="315" t="s">
        <v>460</v>
      </c>
      <c r="B2165" s="315" t="s">
        <v>1072</v>
      </c>
      <c r="C2165" s="56">
        <v>45987</v>
      </c>
      <c r="E2165" s="321">
        <v>1520</v>
      </c>
      <c r="G2165" t="s">
        <v>1806</v>
      </c>
    </row>
    <row r="2166" spans="1:7">
      <c r="A2166" s="315" t="s">
        <v>461</v>
      </c>
      <c r="B2166" s="315" t="s">
        <v>1511</v>
      </c>
      <c r="C2166" s="56">
        <v>45987</v>
      </c>
      <c r="E2166" s="321">
        <v>1739</v>
      </c>
      <c r="G2166" t="s">
        <v>1806</v>
      </c>
    </row>
    <row r="2167" spans="1:7">
      <c r="A2167" s="315" t="s">
        <v>463</v>
      </c>
      <c r="B2167" s="315" t="s">
        <v>1072</v>
      </c>
      <c r="C2167" s="56">
        <v>45987</v>
      </c>
      <c r="E2167" s="321">
        <v>1584</v>
      </c>
      <c r="G2167" t="s">
        <v>1806</v>
      </c>
    </row>
    <row r="2168" spans="1:7">
      <c r="A2168" s="315" t="s">
        <v>465</v>
      </c>
      <c r="B2168" s="315" t="s">
        <v>1072</v>
      </c>
      <c r="C2168" s="56">
        <v>45987</v>
      </c>
      <c r="E2168" s="321">
        <v>1140</v>
      </c>
      <c r="G2168" t="s">
        <v>1806</v>
      </c>
    </row>
    <row r="2169" spans="1:7">
      <c r="A2169" s="315" t="s">
        <v>466</v>
      </c>
      <c r="B2169" s="315" t="s">
        <v>1072</v>
      </c>
      <c r="C2169" s="56">
        <v>45987</v>
      </c>
      <c r="E2169" s="139">
        <v>692</v>
      </c>
      <c r="G2169" t="s">
        <v>1806</v>
      </c>
    </row>
    <row r="2170" spans="1:7">
      <c r="C2170" s="56">
        <v>45988</v>
      </c>
      <c r="G2170" t="s">
        <v>1806</v>
      </c>
    </row>
    <row r="2171" spans="1:7">
      <c r="A2171" s="247" t="s">
        <v>601</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528</v>
      </c>
      <c r="B2174" s="306" t="s">
        <v>1597</v>
      </c>
      <c r="C2174" s="56">
        <v>45992</v>
      </c>
      <c r="D2174" s="43">
        <v>602</v>
      </c>
      <c r="F2174" s="43" t="s">
        <v>1892</v>
      </c>
      <c r="G2174" t="s">
        <v>1891</v>
      </c>
    </row>
    <row r="2175" spans="1:7">
      <c r="A2175" s="306" t="s">
        <v>528</v>
      </c>
      <c r="B2175" s="306" t="s">
        <v>1687</v>
      </c>
      <c r="C2175" s="56">
        <v>45992</v>
      </c>
      <c r="F2175" s="337" t="s">
        <v>1893</v>
      </c>
      <c r="G2175" t="s">
        <v>1891</v>
      </c>
    </row>
    <row r="2176" spans="1:7">
      <c r="A2176" s="805" t="s">
        <v>604</v>
      </c>
      <c r="B2176" s="805" t="s">
        <v>127</v>
      </c>
      <c r="C2176" s="56">
        <v>45992</v>
      </c>
      <c r="D2176" s="155">
        <v>1610</v>
      </c>
      <c r="F2176" s="43" t="s">
        <v>1894</v>
      </c>
      <c r="G2176" t="s">
        <v>1891</v>
      </c>
    </row>
    <row r="2177" spans="1:7">
      <c r="A2177" s="1094" t="s">
        <v>607</v>
      </c>
      <c r="B2177" s="304" t="s">
        <v>127</v>
      </c>
      <c r="C2177" s="56">
        <v>45992</v>
      </c>
      <c r="D2177" s="155">
        <v>1622</v>
      </c>
      <c r="F2177" s="43" t="s">
        <v>1895</v>
      </c>
      <c r="G2177" t="s">
        <v>1891</v>
      </c>
    </row>
    <row r="2178" spans="1:7">
      <c r="A2178" s="141" t="s">
        <v>1135</v>
      </c>
      <c r="B2178" s="304" t="s">
        <v>440</v>
      </c>
      <c r="C2178" s="56">
        <v>45992</v>
      </c>
      <c r="D2178" s="155">
        <v>1765</v>
      </c>
      <c r="G2178" t="s">
        <v>1891</v>
      </c>
    </row>
    <row r="2179" spans="1:7">
      <c r="A2179" s="304" t="s">
        <v>1134</v>
      </c>
      <c r="B2179" s="304" t="s">
        <v>443</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491</v>
      </c>
      <c r="B2182" s="357" t="s">
        <v>127</v>
      </c>
      <c r="C2182" s="56">
        <v>45992</v>
      </c>
      <c r="D2182" s="155">
        <v>3376</v>
      </c>
      <c r="G2182" t="s">
        <v>1891</v>
      </c>
    </row>
    <row r="2183" spans="1:7">
      <c r="A2183" s="317" t="s">
        <v>469</v>
      </c>
      <c r="B2183" s="308" t="s">
        <v>127</v>
      </c>
      <c r="C2183" s="56">
        <v>45992</v>
      </c>
      <c r="D2183" s="155">
        <v>3084</v>
      </c>
      <c r="G2183" t="s">
        <v>1891</v>
      </c>
    </row>
    <row r="2184" spans="1:7">
      <c r="A2184" s="311" t="s">
        <v>506</v>
      </c>
      <c r="B2184" s="311" t="s">
        <v>127</v>
      </c>
      <c r="C2184" s="56">
        <v>45992</v>
      </c>
      <c r="D2184" s="155">
        <v>1829</v>
      </c>
      <c r="G2184" t="s">
        <v>1891</v>
      </c>
    </row>
    <row r="2185" spans="1:7">
      <c r="A2185" s="247" t="s">
        <v>472</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528</v>
      </c>
      <c r="B2188" s="306" t="s">
        <v>1597</v>
      </c>
      <c r="C2188" s="56">
        <v>45993</v>
      </c>
      <c r="D2188" s="43">
        <v>581</v>
      </c>
      <c r="G2188" t="s">
        <v>1891</v>
      </c>
    </row>
    <row r="2189" spans="1:7">
      <c r="A2189" s="311" t="s">
        <v>528</v>
      </c>
      <c r="B2189" s="311" t="s">
        <v>1687</v>
      </c>
      <c r="C2189" s="56">
        <v>45993</v>
      </c>
      <c r="D2189" s="43">
        <v>488</v>
      </c>
      <c r="F2189" s="43" t="s">
        <v>1898</v>
      </c>
      <c r="G2189" t="s">
        <v>1891</v>
      </c>
    </row>
    <row r="2190" spans="1:7">
      <c r="A2190" s="141" t="s">
        <v>1134</v>
      </c>
      <c r="B2190" s="141" t="s">
        <v>443</v>
      </c>
      <c r="C2190" s="56">
        <v>45993</v>
      </c>
      <c r="D2190" s="43">
        <v>610</v>
      </c>
      <c r="F2190" s="43" t="s">
        <v>1899</v>
      </c>
      <c r="G2190" t="s">
        <v>1891</v>
      </c>
    </row>
    <row r="2191" spans="1:7">
      <c r="A2191" s="1094" t="s">
        <v>607</v>
      </c>
      <c r="B2191" s="304" t="s">
        <v>127</v>
      </c>
      <c r="C2191" s="56">
        <v>45993</v>
      </c>
      <c r="D2191" s="155">
        <v>1131</v>
      </c>
      <c r="F2191" s="43" t="s">
        <v>1900</v>
      </c>
      <c r="G2191" t="s">
        <v>1891</v>
      </c>
    </row>
    <row r="2192" spans="1:7">
      <c r="A2192" s="141" t="s">
        <v>1135</v>
      </c>
      <c r="B2192" s="304" t="s">
        <v>440</v>
      </c>
      <c r="C2192" s="56">
        <v>45993</v>
      </c>
      <c r="D2192" s="155">
        <v>1153</v>
      </c>
      <c r="F2192" s="43" t="s">
        <v>1901</v>
      </c>
      <c r="G2192" t="s">
        <v>1891</v>
      </c>
    </row>
    <row r="2193" spans="1:7">
      <c r="A2193" s="304" t="s">
        <v>597</v>
      </c>
      <c r="B2193" s="304" t="s">
        <v>1072</v>
      </c>
      <c r="C2193" s="56">
        <v>45993</v>
      </c>
      <c r="D2193" s="43">
        <v>175</v>
      </c>
      <c r="G2193" t="s">
        <v>1891</v>
      </c>
    </row>
    <row r="2194" spans="1:7">
      <c r="A2194" s="311" t="s">
        <v>472</v>
      </c>
      <c r="B2194" s="311" t="s">
        <v>127</v>
      </c>
      <c r="C2194" s="56">
        <v>45993</v>
      </c>
      <c r="D2194" s="155">
        <v>2916</v>
      </c>
      <c r="G2194" t="s">
        <v>1891</v>
      </c>
    </row>
    <row r="2195" spans="1:7">
      <c r="A2195" s="315" t="s">
        <v>506</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528</v>
      </c>
      <c r="B2198" s="950" t="s">
        <v>1597</v>
      </c>
      <c r="C2198" s="56">
        <v>45994</v>
      </c>
      <c r="D2198" s="155">
        <v>1029</v>
      </c>
      <c r="F2198" s="43" t="s">
        <v>1903</v>
      </c>
      <c r="G2198" t="s">
        <v>1891</v>
      </c>
    </row>
    <row r="2199" spans="1:7">
      <c r="A2199" s="950" t="s">
        <v>528</v>
      </c>
      <c r="B2199" s="950" t="s">
        <v>1687</v>
      </c>
      <c r="C2199" s="56">
        <v>45994</v>
      </c>
      <c r="F2199" s="337" t="s">
        <v>1904</v>
      </c>
      <c r="G2199" t="s">
        <v>1891</v>
      </c>
    </row>
    <row r="2200" spans="1:7">
      <c r="A2200" s="759" t="s">
        <v>528</v>
      </c>
      <c r="B2200" s="759" t="s">
        <v>1823</v>
      </c>
      <c r="C2200" s="56">
        <v>45994</v>
      </c>
      <c r="D2200" s="43">
        <v>100</v>
      </c>
      <c r="G2200" t="s">
        <v>1891</v>
      </c>
    </row>
    <row r="2201" spans="1:7">
      <c r="A2201" s="756" t="s">
        <v>1134</v>
      </c>
      <c r="B2201" s="756" t="s">
        <v>443</v>
      </c>
      <c r="C2201" s="56">
        <v>45994</v>
      </c>
      <c r="D2201" s="43">
        <v>974</v>
      </c>
      <c r="G2201" t="s">
        <v>1891</v>
      </c>
    </row>
    <row r="2202" spans="1:7">
      <c r="A2202" s="1094" t="s">
        <v>576</v>
      </c>
      <c r="B2202" s="1129" t="s">
        <v>139</v>
      </c>
      <c r="C2202" s="56">
        <v>45994</v>
      </c>
      <c r="D2202" s="43">
        <v>466</v>
      </c>
      <c r="F2202" s="43" t="s">
        <v>1905</v>
      </c>
      <c r="G2202" t="s">
        <v>1891</v>
      </c>
    </row>
    <row r="2203" spans="1:7">
      <c r="A2203" s="756" t="s">
        <v>1135</v>
      </c>
      <c r="B2203" s="1129" t="s">
        <v>440</v>
      </c>
      <c r="C2203" s="56">
        <v>45994</v>
      </c>
      <c r="D2203" s="43">
        <v>383</v>
      </c>
      <c r="G2203" t="s">
        <v>1891</v>
      </c>
    </row>
    <row r="2204" spans="1:7">
      <c r="A2204" s="756" t="s">
        <v>582</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472</v>
      </c>
      <c r="B2206" s="1131" t="s">
        <v>127</v>
      </c>
      <c r="C2206" s="56">
        <v>45994</v>
      </c>
      <c r="D2206" s="155">
        <v>2430</v>
      </c>
      <c r="G2206" t="s">
        <v>1891</v>
      </c>
    </row>
    <row r="2207" spans="1:7">
      <c r="A2207" s="759" t="s">
        <v>506</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528</v>
      </c>
      <c r="B2210" s="306" t="s">
        <v>1758</v>
      </c>
      <c r="C2210" s="56">
        <v>45995</v>
      </c>
      <c r="D2210" s="43">
        <v>285</v>
      </c>
      <c r="G2210" t="s">
        <v>1891</v>
      </c>
    </row>
    <row r="2211" spans="1:7">
      <c r="A2211" s="311" t="s">
        <v>528</v>
      </c>
      <c r="B2211" s="311" t="s">
        <v>1597</v>
      </c>
      <c r="C2211" s="56">
        <v>45995</v>
      </c>
      <c r="D2211" s="43">
        <v>756</v>
      </c>
      <c r="G2211" t="s">
        <v>1891</v>
      </c>
    </row>
    <row r="2212" spans="1:7">
      <c r="A2212" s="315" t="s">
        <v>528</v>
      </c>
      <c r="B2212" s="315" t="s">
        <v>1687</v>
      </c>
      <c r="C2212" s="56">
        <v>45995</v>
      </c>
      <c r="F2212" s="311" t="s">
        <v>1908</v>
      </c>
      <c r="G2212" t="s">
        <v>1891</v>
      </c>
    </row>
    <row r="2213" spans="1:7">
      <c r="A2213" s="306" t="s">
        <v>420</v>
      </c>
      <c r="B2213" s="306" t="s">
        <v>127</v>
      </c>
      <c r="C2213" s="56">
        <v>45995</v>
      </c>
      <c r="D2213" s="155">
        <v>1431</v>
      </c>
      <c r="F2213" s="43" t="s">
        <v>1909</v>
      </c>
      <c r="G2213" t="s">
        <v>1891</v>
      </c>
    </row>
    <row r="2214" spans="1:7">
      <c r="A2214" s="311" t="s">
        <v>576</v>
      </c>
      <c r="B2214" s="311" t="s">
        <v>139</v>
      </c>
      <c r="C2214" s="56">
        <v>45995</v>
      </c>
      <c r="D2214" s="43">
        <v>195</v>
      </c>
      <c r="F2214" s="43" t="s">
        <v>1910</v>
      </c>
      <c r="G2214" t="s">
        <v>1891</v>
      </c>
    </row>
    <row r="2215" spans="1:7">
      <c r="A2215" s="315" t="s">
        <v>1135</v>
      </c>
      <c r="B2215" s="315" t="s">
        <v>440</v>
      </c>
      <c r="C2215" s="56">
        <v>45995</v>
      </c>
      <c r="D2215" s="43">
        <v>490</v>
      </c>
      <c r="F2215" s="43" t="s">
        <v>1911</v>
      </c>
      <c r="G2215" t="s">
        <v>1891</v>
      </c>
    </row>
    <row r="2216" spans="1:7">
      <c r="A2216" s="315" t="s">
        <v>582</v>
      </c>
      <c r="B2216" s="315" t="s">
        <v>1912</v>
      </c>
      <c r="C2216" s="56">
        <v>45995</v>
      </c>
      <c r="D2216" s="155">
        <v>1154</v>
      </c>
      <c r="F2216" s="43" t="s">
        <v>1913</v>
      </c>
      <c r="G2216" t="s">
        <v>1891</v>
      </c>
    </row>
    <row r="2217" spans="1:7">
      <c r="A2217" s="1094" t="s">
        <v>576</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477</v>
      </c>
      <c r="B2221" s="311" t="s">
        <v>1072</v>
      </c>
      <c r="C2221" s="56">
        <v>45995</v>
      </c>
      <c r="D2221" s="43">
        <v>64</v>
      </c>
      <c r="F2221" s="43" t="s">
        <v>1916</v>
      </c>
      <c r="G2221" t="s">
        <v>1891</v>
      </c>
    </row>
    <row r="2222" spans="1:7">
      <c r="A2222" s="247" t="s">
        <v>485</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528</v>
      </c>
      <c r="B2224" s="950" t="s">
        <v>1758</v>
      </c>
      <c r="C2224" s="56">
        <v>45996</v>
      </c>
      <c r="D2224" s="43">
        <v>710</v>
      </c>
      <c r="G2224" t="s">
        <v>1891</v>
      </c>
    </row>
    <row r="2225" spans="1:7">
      <c r="A2225" s="950" t="s">
        <v>528</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443</v>
      </c>
      <c r="C2227" s="56">
        <v>45996</v>
      </c>
      <c r="D2227" s="43">
        <v>385</v>
      </c>
      <c r="F2227" s="43" t="s">
        <v>1919</v>
      </c>
      <c r="G2227" t="s">
        <v>1891</v>
      </c>
    </row>
    <row r="2228" spans="1:7">
      <c r="A2228" s="647" t="s">
        <v>601</v>
      </c>
      <c r="B2228" s="1135" t="s">
        <v>1511</v>
      </c>
      <c r="C2228" s="56">
        <v>45996</v>
      </c>
      <c r="E2228" s="139">
        <v>446</v>
      </c>
      <c r="F2228" s="756"/>
      <c r="G2228" t="s">
        <v>1891</v>
      </c>
    </row>
    <row r="2229" spans="1:7">
      <c r="A2229" s="647" t="s">
        <v>607</v>
      </c>
      <c r="B2229" s="1135" t="s">
        <v>1511</v>
      </c>
      <c r="C2229" s="56">
        <v>45996</v>
      </c>
      <c r="E2229" s="139">
        <v>422</v>
      </c>
      <c r="F2229" s="1129"/>
      <c r="G2229" t="s">
        <v>1891</v>
      </c>
    </row>
    <row r="2230" spans="1:7">
      <c r="A2230" s="647" t="s">
        <v>607</v>
      </c>
      <c r="B2230" s="1135" t="s">
        <v>1511</v>
      </c>
      <c r="C2230" s="56">
        <v>45996</v>
      </c>
      <c r="F2230" s="311" t="s">
        <v>1372</v>
      </c>
      <c r="G2230" t="s">
        <v>1891</v>
      </c>
    </row>
    <row r="2231" spans="1:7">
      <c r="A2231" s="1129" t="s">
        <v>1135</v>
      </c>
      <c r="B2231" s="1135" t="s">
        <v>440</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480</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528</v>
      </c>
      <c r="B2236" s="148" t="s">
        <v>1758</v>
      </c>
      <c r="C2236" s="56">
        <v>45999</v>
      </c>
      <c r="F2236" s="759" t="s">
        <v>1349</v>
      </c>
      <c r="G2236" t="s">
        <v>1891</v>
      </c>
    </row>
    <row r="2237" spans="1:7">
      <c r="A2237" s="148" t="s">
        <v>528</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443</v>
      </c>
      <c r="C2239" s="56">
        <v>45999</v>
      </c>
      <c r="D2239" s="43">
        <v>640</v>
      </c>
      <c r="F2239" s="43" t="s">
        <v>1923</v>
      </c>
      <c r="G2239" t="s">
        <v>1891</v>
      </c>
    </row>
    <row r="2240" spans="1:7">
      <c r="A2240" s="1141" t="s">
        <v>604</v>
      </c>
      <c r="B2240" s="1142" t="s">
        <v>1511</v>
      </c>
      <c r="C2240" s="56">
        <v>45999</v>
      </c>
      <c r="F2240" s="311" t="s">
        <v>1924</v>
      </c>
      <c r="G2240" t="s">
        <v>1891</v>
      </c>
    </row>
    <row r="2241" spans="1:7">
      <c r="A2241" s="1094" t="s">
        <v>576</v>
      </c>
      <c r="B2241" s="1142" t="s">
        <v>139</v>
      </c>
      <c r="C2241" s="56">
        <v>45999</v>
      </c>
      <c r="D2241" s="155">
        <v>1172</v>
      </c>
      <c r="E2241" s="201"/>
      <c r="F2241" s="115" t="s">
        <v>1925</v>
      </c>
      <c r="G2241" t="s">
        <v>1891</v>
      </c>
    </row>
    <row r="2242" spans="1:7">
      <c r="A2242" s="1141" t="s">
        <v>420</v>
      </c>
      <c r="B2242" s="1142" t="s">
        <v>127</v>
      </c>
      <c r="C2242" s="56">
        <v>45999</v>
      </c>
      <c r="D2242" s="321">
        <v>1583</v>
      </c>
      <c r="E2242" s="43"/>
      <c r="F2242" s="43" t="s">
        <v>1926</v>
      </c>
      <c r="G2242" t="s">
        <v>1891</v>
      </c>
    </row>
    <row r="2243" spans="1:7">
      <c r="A2243" s="247" t="s">
        <v>582</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500</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528</v>
      </c>
      <c r="B2248" s="148" t="s">
        <v>1758</v>
      </c>
      <c r="C2248" s="56">
        <v>46000</v>
      </c>
      <c r="F2248" s="311" t="s">
        <v>1349</v>
      </c>
      <c r="G2248" t="s">
        <v>1891</v>
      </c>
    </row>
    <row r="2249" spans="1:7">
      <c r="A2249" s="148" t="s">
        <v>528</v>
      </c>
      <c r="B2249" s="148" t="s">
        <v>1597</v>
      </c>
      <c r="C2249" s="56">
        <v>46000</v>
      </c>
      <c r="D2249" s="43">
        <v>442</v>
      </c>
      <c r="F2249" s="43" t="s">
        <v>1930</v>
      </c>
      <c r="G2249" t="s">
        <v>1891</v>
      </c>
    </row>
    <row r="2250" spans="1:7">
      <c r="A2250" s="148" t="s">
        <v>528</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443</v>
      </c>
      <c r="C2252" s="56">
        <v>46000</v>
      </c>
      <c r="D2252" s="43">
        <v>541</v>
      </c>
      <c r="F2252" s="43" t="s">
        <v>1932</v>
      </c>
      <c r="G2252" t="s">
        <v>1891</v>
      </c>
    </row>
    <row r="2253" spans="1:7">
      <c r="A2253" s="1141" t="s">
        <v>420</v>
      </c>
      <c r="B2253" s="247" t="s">
        <v>127</v>
      </c>
      <c r="C2253" s="310">
        <v>46000</v>
      </c>
      <c r="D2253" s="155">
        <v>1325</v>
      </c>
      <c r="F2253" s="43" t="s">
        <v>1882</v>
      </c>
      <c r="G2253" t="s">
        <v>1891</v>
      </c>
    </row>
    <row r="2254" spans="1:7">
      <c r="A2254" s="1141" t="s">
        <v>582</v>
      </c>
      <c r="B2254" s="43" t="s">
        <v>1511</v>
      </c>
      <c r="C2254" s="310">
        <v>46000</v>
      </c>
      <c r="E2254" s="139">
        <v>540</v>
      </c>
      <c r="G2254" t="s">
        <v>1891</v>
      </c>
    </row>
    <row r="2255" spans="1:7">
      <c r="A2255" s="805" t="s">
        <v>573</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494</v>
      </c>
      <c r="B2258" s="173" t="s">
        <v>127</v>
      </c>
      <c r="C2258" s="56">
        <v>46000</v>
      </c>
      <c r="D2258" s="155">
        <v>1980</v>
      </c>
      <c r="F2258" s="43" t="s">
        <v>1935</v>
      </c>
      <c r="G2258" t="s">
        <v>1891</v>
      </c>
    </row>
    <row r="2259" spans="1:7">
      <c r="A2259" s="404" t="s">
        <v>500</v>
      </c>
      <c r="B2259" s="173" t="s">
        <v>127</v>
      </c>
      <c r="C2259" s="56">
        <v>46000</v>
      </c>
      <c r="D2259" s="155">
        <v>3343</v>
      </c>
      <c r="G2259" t="s">
        <v>1891</v>
      </c>
    </row>
    <row r="2260" spans="1:7">
      <c r="A2260" s="161" t="s">
        <v>448</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503</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528</v>
      </c>
      <c r="B2264" s="950" t="s">
        <v>1758</v>
      </c>
      <c r="C2264" s="56">
        <v>46001</v>
      </c>
      <c r="F2264" s="782" t="s">
        <v>1349</v>
      </c>
      <c r="G2264" t="s">
        <v>1891</v>
      </c>
    </row>
    <row r="2265" spans="1:7">
      <c r="A2265" s="759" t="s">
        <v>528</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443</v>
      </c>
      <c r="C2267" s="56">
        <v>46001</v>
      </c>
      <c r="D2267" s="43">
        <v>330</v>
      </c>
      <c r="F2267" s="43" t="s">
        <v>1738</v>
      </c>
      <c r="G2267" t="s">
        <v>1891</v>
      </c>
    </row>
    <row r="2268" spans="1:7">
      <c r="A2268" s="786" t="s">
        <v>420</v>
      </c>
      <c r="B2268" s="1144" t="s">
        <v>127</v>
      </c>
      <c r="C2268" s="56">
        <v>46001</v>
      </c>
      <c r="D2268" s="43">
        <v>621</v>
      </c>
      <c r="F2268" s="43" t="s">
        <v>1938</v>
      </c>
      <c r="G2268" t="s">
        <v>1891</v>
      </c>
    </row>
    <row r="2269" spans="1:7">
      <c r="A2269" s="744" t="s">
        <v>573</v>
      </c>
      <c r="B2269" s="759" t="s">
        <v>139</v>
      </c>
      <c r="C2269" s="56">
        <v>46001</v>
      </c>
      <c r="D2269" s="155">
        <v>1084</v>
      </c>
      <c r="F2269" s="43" t="s">
        <v>1939</v>
      </c>
      <c r="G2269" t="s">
        <v>1891</v>
      </c>
    </row>
    <row r="2270" spans="1:7">
      <c r="A2270" s="930" t="s">
        <v>604</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494</v>
      </c>
      <c r="B2273" s="756" t="s">
        <v>127</v>
      </c>
      <c r="C2273" s="56">
        <v>46001</v>
      </c>
      <c r="D2273" s="155">
        <v>1251</v>
      </c>
      <c r="G2273" t="s">
        <v>1891</v>
      </c>
    </row>
    <row r="2274" spans="1:7">
      <c r="A2274" s="1145" t="s">
        <v>500</v>
      </c>
      <c r="B2274" s="1129" t="s">
        <v>127</v>
      </c>
      <c r="C2274" s="56">
        <v>46001</v>
      </c>
      <c r="D2274" s="43">
        <v>931</v>
      </c>
      <c r="G2274" t="s">
        <v>1891</v>
      </c>
    </row>
    <row r="2275" spans="1:7">
      <c r="A2275" s="756" t="s">
        <v>503</v>
      </c>
      <c r="B2275" s="1003" t="s">
        <v>127</v>
      </c>
      <c r="C2275" s="56">
        <v>46001</v>
      </c>
      <c r="D2275" s="43">
        <v>522</v>
      </c>
      <c r="G2275" t="s">
        <v>1891</v>
      </c>
    </row>
    <row r="2276" spans="1:7">
      <c r="A2276" s="756" t="s">
        <v>506</v>
      </c>
      <c r="B2276" s="731" t="s">
        <v>127</v>
      </c>
      <c r="C2276" s="56">
        <v>46001</v>
      </c>
      <c r="D2276" s="43">
        <v>91</v>
      </c>
      <c r="G2276" t="s">
        <v>1891</v>
      </c>
    </row>
    <row r="2277" spans="1:7">
      <c r="A2277" s="756" t="s">
        <v>448</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528</v>
      </c>
      <c r="B2281" s="148" t="s">
        <v>1758</v>
      </c>
      <c r="C2281" s="56">
        <v>46002</v>
      </c>
      <c r="F2281" s="782" t="s">
        <v>1349</v>
      </c>
      <c r="G2281" t="s">
        <v>1891</v>
      </c>
    </row>
    <row r="2282" spans="1:7">
      <c r="A2282" s="148" t="s">
        <v>528</v>
      </c>
      <c r="B2282" s="148" t="s">
        <v>1597</v>
      </c>
      <c r="C2282" s="56">
        <v>46002</v>
      </c>
      <c r="F2282" s="311" t="s">
        <v>1945</v>
      </c>
      <c r="G2282" t="s">
        <v>1891</v>
      </c>
    </row>
    <row r="2283" spans="1:7">
      <c r="A2283" s="148" t="s">
        <v>528</v>
      </c>
      <c r="B2283" s="173" t="s">
        <v>1783</v>
      </c>
      <c r="C2283" s="56">
        <v>46002</v>
      </c>
      <c r="F2283" s="311" t="s">
        <v>1946</v>
      </c>
      <c r="G2283" t="s">
        <v>1891</v>
      </c>
    </row>
    <row r="2284" spans="1:7">
      <c r="A2284" s="247" t="s">
        <v>1138</v>
      </c>
      <c r="B2284" s="1142" t="s">
        <v>443</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494</v>
      </c>
      <c r="B2287" s="69" t="s">
        <v>127</v>
      </c>
      <c r="C2287" s="56">
        <v>46002</v>
      </c>
      <c r="D2287" s="155">
        <v>3172</v>
      </c>
      <c r="G2287" t="s">
        <v>1891</v>
      </c>
    </row>
    <row r="2288" spans="1:7">
      <c r="A2288" s="1147" t="s">
        <v>482</v>
      </c>
      <c r="B2288" s="69" t="s">
        <v>127</v>
      </c>
      <c r="C2288" s="56">
        <v>46002</v>
      </c>
      <c r="D2288" s="43">
        <v>242</v>
      </c>
      <c r="F2288" s="43" t="s">
        <v>1949</v>
      </c>
      <c r="G2288" t="s">
        <v>1891</v>
      </c>
    </row>
    <row r="2289" spans="1:7">
      <c r="A2289" s="395" t="s">
        <v>503</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528</v>
      </c>
      <c r="B2293" s="950" t="s">
        <v>1758</v>
      </c>
      <c r="C2293" s="56">
        <v>46003</v>
      </c>
      <c r="D2293" s="43">
        <v>706</v>
      </c>
      <c r="G2293" t="s">
        <v>1891</v>
      </c>
    </row>
    <row r="2294" spans="1:7">
      <c r="A2294" s="759" t="s">
        <v>528</v>
      </c>
      <c r="B2294" s="759" t="s">
        <v>1783</v>
      </c>
      <c r="C2294" s="56">
        <v>46003</v>
      </c>
      <c r="F2294" s="759" t="s">
        <v>1951</v>
      </c>
      <c r="G2294" t="s">
        <v>1891</v>
      </c>
    </row>
    <row r="2295" spans="1:7">
      <c r="A2295" s="950" t="s">
        <v>528</v>
      </c>
      <c r="B2295" s="950" t="s">
        <v>1597</v>
      </c>
      <c r="C2295" s="56">
        <v>46003</v>
      </c>
      <c r="F2295" s="759" t="s">
        <v>1952</v>
      </c>
      <c r="G2295" t="s">
        <v>1891</v>
      </c>
    </row>
    <row r="2296" spans="1:7">
      <c r="A2296" s="759" t="s">
        <v>1138</v>
      </c>
      <c r="B2296" s="759" t="s">
        <v>443</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482</v>
      </c>
      <c r="B2298" s="1129" t="s">
        <v>127</v>
      </c>
      <c r="C2298" s="56">
        <v>46003</v>
      </c>
      <c r="F2298" s="337" t="s">
        <v>1955</v>
      </c>
      <c r="G2298" t="s">
        <v>1891</v>
      </c>
    </row>
    <row r="2299" spans="1:7">
      <c r="A2299" s="1145" t="s">
        <v>503</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528</v>
      </c>
      <c r="B2303" s="148" t="s">
        <v>1758</v>
      </c>
      <c r="C2303" s="56">
        <v>46006</v>
      </c>
      <c r="D2303" s="43">
        <v>735</v>
      </c>
      <c r="G2303" t="s">
        <v>1891</v>
      </c>
    </row>
    <row r="2304" spans="1:7">
      <c r="A2304" s="148" t="s">
        <v>528</v>
      </c>
      <c r="B2304" s="148" t="s">
        <v>1597</v>
      </c>
      <c r="C2304" s="56">
        <v>46006</v>
      </c>
      <c r="F2304" s="759" t="s">
        <v>1372</v>
      </c>
      <c r="G2304" t="s">
        <v>1891</v>
      </c>
    </row>
    <row r="2305" spans="1:7">
      <c r="A2305" s="247" t="s">
        <v>1138</v>
      </c>
      <c r="B2305" s="1142" t="s">
        <v>443</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560</v>
      </c>
      <c r="B2307" s="247" t="s">
        <v>127</v>
      </c>
      <c r="C2307" s="310">
        <v>46006</v>
      </c>
      <c r="D2307" s="155">
        <v>1095</v>
      </c>
      <c r="G2307" t="s">
        <v>1891</v>
      </c>
    </row>
    <row r="2308" spans="1:7">
      <c r="A2308" s="1341" t="s">
        <v>579</v>
      </c>
      <c r="B2308" s="43" t="s">
        <v>127</v>
      </c>
      <c r="C2308" s="310">
        <v>46006</v>
      </c>
      <c r="D2308" s="155">
        <v>1344</v>
      </c>
      <c r="F2308" s="43" t="s">
        <v>1960</v>
      </c>
      <c r="G2308" t="s">
        <v>1891</v>
      </c>
    </row>
    <row r="2309" spans="1:7">
      <c r="A2309" s="1341" t="s">
        <v>604</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494</v>
      </c>
      <c r="B2311" s="69" t="s">
        <v>127</v>
      </c>
      <c r="C2311" s="56">
        <v>46006</v>
      </c>
      <c r="D2311" s="43">
        <v>29</v>
      </c>
      <c r="E2311" s="201"/>
      <c r="F2311" s="115"/>
      <c r="G2311" t="s">
        <v>1891</v>
      </c>
    </row>
    <row r="2312" spans="1:7">
      <c r="A2312" s="1147" t="s">
        <v>457</v>
      </c>
      <c r="B2312" s="69" t="s">
        <v>127</v>
      </c>
      <c r="C2312" s="56">
        <v>46006</v>
      </c>
      <c r="D2312" s="139"/>
      <c r="E2312" s="43"/>
      <c r="F2312" s="756" t="s">
        <v>1372</v>
      </c>
      <c r="G2312" t="s">
        <v>1891</v>
      </c>
    </row>
    <row r="2313" spans="1:7">
      <c r="A2313" s="1147" t="s">
        <v>488</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528</v>
      </c>
      <c r="B2316" s="148" t="s">
        <v>1758</v>
      </c>
      <c r="C2316" s="56">
        <v>46007</v>
      </c>
      <c r="F2316" s="759" t="s">
        <v>1964</v>
      </c>
      <c r="G2316" t="s">
        <v>1891</v>
      </c>
    </row>
    <row r="2317" spans="1:7">
      <c r="A2317" s="247" t="s">
        <v>1138</v>
      </c>
      <c r="B2317" s="1142" t="s">
        <v>443</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560</v>
      </c>
      <c r="B2319" s="1142" t="s">
        <v>127</v>
      </c>
      <c r="C2319" s="56">
        <v>46007</v>
      </c>
      <c r="D2319" s="155">
        <v>1676</v>
      </c>
      <c r="F2319" s="43" t="s">
        <v>1967</v>
      </c>
      <c r="G2319" t="s">
        <v>1891</v>
      </c>
    </row>
    <row r="2320" spans="1:7">
      <c r="A2320" s="1141" t="s">
        <v>579</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494</v>
      </c>
      <c r="B2324" s="69" t="s">
        <v>127</v>
      </c>
      <c r="C2324" s="56">
        <v>46007</v>
      </c>
      <c r="F2324" s="337" t="s">
        <v>1971</v>
      </c>
      <c r="G2324" t="s">
        <v>1891</v>
      </c>
    </row>
    <row r="2325" spans="1:7">
      <c r="A2325" s="69" t="s">
        <v>497</v>
      </c>
      <c r="B2325" s="69" t="s">
        <v>127</v>
      </c>
      <c r="C2325" s="56">
        <v>46007</v>
      </c>
      <c r="D2325" s="155">
        <v>1617</v>
      </c>
      <c r="G2325" t="s">
        <v>1891</v>
      </c>
    </row>
    <row r="2326" spans="1:7">
      <c r="A2326" s="148" t="s">
        <v>1137</v>
      </c>
      <c r="B2326" s="148" t="s">
        <v>1758</v>
      </c>
      <c r="C2326" s="56">
        <v>46008</v>
      </c>
      <c r="D2326" s="43">
        <v>743</v>
      </c>
      <c r="G2326" t="s">
        <v>1891</v>
      </c>
    </row>
    <row r="2327" spans="1:7">
      <c r="A2327" s="148" t="s">
        <v>528</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528</v>
      </c>
      <c r="B2329" s="115" t="s">
        <v>1687</v>
      </c>
      <c r="C2329" s="56">
        <v>46008</v>
      </c>
      <c r="F2329" s="925" t="s">
        <v>1973</v>
      </c>
      <c r="G2329" t="s">
        <v>1891</v>
      </c>
    </row>
    <row r="2330" spans="1:7">
      <c r="A2330" s="148" t="s">
        <v>528</v>
      </c>
      <c r="B2330" s="148" t="s">
        <v>1597</v>
      </c>
      <c r="C2330" s="56">
        <v>46008</v>
      </c>
      <c r="F2330" s="1350" t="s">
        <v>1951</v>
      </c>
      <c r="G2330" t="s">
        <v>1891</v>
      </c>
    </row>
    <row r="2331" spans="1:7">
      <c r="A2331" s="247" t="s">
        <v>1138</v>
      </c>
      <c r="B2331" s="1142" t="s">
        <v>443</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560</v>
      </c>
      <c r="B2333" s="1142" t="s">
        <v>127</v>
      </c>
      <c r="C2333" s="56">
        <v>46008</v>
      </c>
      <c r="D2333" s="155">
        <v>1139</v>
      </c>
      <c r="F2333" s="43" t="s">
        <v>1975</v>
      </c>
      <c r="G2333" t="s">
        <v>1891</v>
      </c>
    </row>
    <row r="2334" spans="1:7">
      <c r="A2334" s="1141" t="s">
        <v>579</v>
      </c>
      <c r="B2334" t="s">
        <v>127</v>
      </c>
      <c r="C2334" s="56">
        <v>46008</v>
      </c>
      <c r="D2334" s="155">
        <v>1027</v>
      </c>
      <c r="F2334" s="43" t="s">
        <v>1976</v>
      </c>
      <c r="G2334" t="s">
        <v>1891</v>
      </c>
    </row>
    <row r="2335" spans="1:7">
      <c r="A2335" s="1349" t="s">
        <v>576</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506</v>
      </c>
      <c r="B2339" s="69" t="s">
        <v>127</v>
      </c>
      <c r="C2339" s="56">
        <v>46008</v>
      </c>
      <c r="D2339" s="43">
        <v>320</v>
      </c>
      <c r="G2339" t="s">
        <v>1891</v>
      </c>
    </row>
    <row r="2340" spans="1:7">
      <c r="A2340" s="148" t="s">
        <v>497</v>
      </c>
      <c r="B2340" s="148" t="s">
        <v>127</v>
      </c>
      <c r="C2340" s="56">
        <v>46008</v>
      </c>
      <c r="D2340" s="155">
        <v>1083</v>
      </c>
      <c r="G2340" t="s">
        <v>1891</v>
      </c>
    </row>
    <row r="2341" spans="1:7">
      <c r="A2341" s="148" t="s">
        <v>482</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503</v>
      </c>
      <c r="B2344" s="69" t="s">
        <v>127</v>
      </c>
      <c r="C2344" s="56">
        <v>46008</v>
      </c>
      <c r="D2344" s="155">
        <v>1049</v>
      </c>
      <c r="G2344" t="s">
        <v>1891</v>
      </c>
    </row>
    <row r="2345" spans="1:7">
      <c r="A2345" s="148" t="s">
        <v>480</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528</v>
      </c>
      <c r="B2349" s="306" t="s">
        <v>1687</v>
      </c>
      <c r="C2349" s="56">
        <v>46009</v>
      </c>
      <c r="D2349" s="139"/>
      <c r="E2349" s="43"/>
      <c r="F2349" s="154" t="s">
        <v>1879</v>
      </c>
      <c r="G2349" t="s">
        <v>1891</v>
      </c>
    </row>
    <row r="2350" spans="1:7">
      <c r="A2350" s="317" t="s">
        <v>528</v>
      </c>
      <c r="B2350" s="141" t="s">
        <v>1597</v>
      </c>
      <c r="C2350" s="56">
        <v>46009</v>
      </c>
      <c r="D2350" s="139"/>
      <c r="E2350" s="43"/>
      <c r="F2350" s="154" t="s">
        <v>1879</v>
      </c>
      <c r="G2350" t="s">
        <v>1891</v>
      </c>
    </row>
    <row r="2351" spans="1:7">
      <c r="A2351" s="317" t="s">
        <v>528</v>
      </c>
      <c r="B2351" s="305" t="s">
        <v>1758</v>
      </c>
      <c r="C2351" s="56">
        <v>46009</v>
      </c>
      <c r="D2351" s="139"/>
      <c r="E2351" s="43"/>
      <c r="F2351" s="154" t="s">
        <v>1879</v>
      </c>
      <c r="G2351" t="s">
        <v>1891</v>
      </c>
    </row>
    <row r="2352" spans="1:7">
      <c r="A2352" s="318" t="s">
        <v>1138</v>
      </c>
      <c r="B2352" s="387" t="s">
        <v>443</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579</v>
      </c>
      <c r="B2354" s="346" t="s">
        <v>127</v>
      </c>
      <c r="C2354" s="56">
        <v>46009</v>
      </c>
      <c r="D2354" s="155">
        <v>1596</v>
      </c>
      <c r="F2354" s="43" t="s">
        <v>1982</v>
      </c>
      <c r="G2354" t="s">
        <v>1891</v>
      </c>
    </row>
    <row r="2355" spans="1:7">
      <c r="A2355" s="349" t="s">
        <v>573</v>
      </c>
      <c r="B2355" s="387" t="s">
        <v>139</v>
      </c>
      <c r="C2355" s="56">
        <v>46009</v>
      </c>
      <c r="F2355" s="304" t="s">
        <v>1803</v>
      </c>
      <c r="G2355" t="s">
        <v>1891</v>
      </c>
    </row>
    <row r="2356" spans="1:7">
      <c r="A2356" s="349" t="s">
        <v>576</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506</v>
      </c>
      <c r="B2361" s="141" t="s">
        <v>127</v>
      </c>
      <c r="C2361" s="310">
        <v>46009</v>
      </c>
      <c r="D2361" s="43">
        <v>652</v>
      </c>
      <c r="G2361" t="s">
        <v>1891</v>
      </c>
    </row>
    <row r="2362" spans="1:7">
      <c r="A2362" s="304" t="s">
        <v>509</v>
      </c>
      <c r="B2362" s="304" t="s">
        <v>127</v>
      </c>
      <c r="C2362" s="56">
        <v>46009</v>
      </c>
      <c r="D2362" s="43">
        <v>396</v>
      </c>
      <c r="G2362" t="s">
        <v>1891</v>
      </c>
    </row>
    <row r="2363" spans="1:7">
      <c r="A2363" s="305" t="s">
        <v>497</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480</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528</v>
      </c>
      <c r="B2370" s="141" t="s">
        <v>1687</v>
      </c>
      <c r="C2370" s="310">
        <v>46010</v>
      </c>
      <c r="D2370" s="139"/>
      <c r="E2370" s="43"/>
      <c r="F2370" s="154" t="s">
        <v>1879</v>
      </c>
      <c r="G2370" t="s">
        <v>1891</v>
      </c>
    </row>
    <row r="2371" spans="1:7">
      <c r="A2371" s="348" t="s">
        <v>528</v>
      </c>
      <c r="B2371" s="304" t="s">
        <v>1597</v>
      </c>
      <c r="C2371" s="56">
        <v>46010</v>
      </c>
      <c r="D2371" s="139"/>
      <c r="E2371" s="43"/>
      <c r="F2371" s="154" t="s">
        <v>1879</v>
      </c>
      <c r="G2371" t="s">
        <v>1891</v>
      </c>
    </row>
    <row r="2372" spans="1:7">
      <c r="A2372" s="317" t="s">
        <v>528</v>
      </c>
      <c r="B2372" s="305" t="s">
        <v>1758</v>
      </c>
      <c r="C2372" s="56">
        <v>46010</v>
      </c>
      <c r="D2372" s="139"/>
      <c r="E2372" s="43"/>
      <c r="F2372" s="154" t="s">
        <v>1879</v>
      </c>
      <c r="G2372" t="s">
        <v>1891</v>
      </c>
    </row>
    <row r="2373" spans="1:7">
      <c r="A2373" s="317" t="s">
        <v>1138</v>
      </c>
      <c r="B2373" s="308" t="s">
        <v>443</v>
      </c>
      <c r="C2373" s="56">
        <v>46010</v>
      </c>
      <c r="D2373" s="43">
        <v>483</v>
      </c>
      <c r="E2373" s="253"/>
      <c r="F2373" s="169"/>
      <c r="G2373" t="s">
        <v>1891</v>
      </c>
    </row>
    <row r="2374" spans="1:7">
      <c r="A2374" s="805" t="s">
        <v>411</v>
      </c>
      <c r="B2374" s="141" t="s">
        <v>139</v>
      </c>
      <c r="C2374" s="310">
        <v>46010</v>
      </c>
      <c r="E2374" s="139">
        <v>765</v>
      </c>
      <c r="G2374" t="s">
        <v>1891</v>
      </c>
    </row>
    <row r="2375" spans="1:7">
      <c r="A2375" s="805" t="s">
        <v>560</v>
      </c>
      <c r="B2375" s="141" t="s">
        <v>127</v>
      </c>
      <c r="C2375" s="310">
        <v>46010</v>
      </c>
      <c r="E2375" s="139">
        <v>883</v>
      </c>
      <c r="F2375" s="311" t="s">
        <v>1990</v>
      </c>
      <c r="G2375" t="s">
        <v>1891</v>
      </c>
    </row>
    <row r="2376" spans="1:7">
      <c r="A2376" s="141" t="s">
        <v>573</v>
      </c>
      <c r="B2376" s="141" t="s">
        <v>139</v>
      </c>
      <c r="C2376" s="310">
        <v>46010</v>
      </c>
      <c r="E2376" s="139">
        <v>765</v>
      </c>
      <c r="G2376" t="s">
        <v>1891</v>
      </c>
    </row>
    <row r="2377" spans="1:7">
      <c r="A2377" s="141" t="s">
        <v>576</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497</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494</v>
      </c>
      <c r="B2384" s="1354" t="s">
        <v>127</v>
      </c>
      <c r="C2384" s="56">
        <v>46010</v>
      </c>
      <c r="F2384" s="43" t="s">
        <v>1993</v>
      </c>
      <c r="G2384" t="s">
        <v>1891</v>
      </c>
    </row>
    <row r="2385" spans="1:7">
      <c r="A2385" s="1353" t="s">
        <v>506</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443</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579</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497</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506</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443</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579</v>
      </c>
      <c r="B2403" s="161" t="s">
        <v>1072</v>
      </c>
      <c r="C2403" s="56">
        <v>46014</v>
      </c>
      <c r="E2403" s="139">
        <v>405</v>
      </c>
      <c r="G2403" t="s">
        <v>1891</v>
      </c>
    </row>
    <row r="2404" spans="1:7">
      <c r="A2404" s="247" t="s">
        <v>506</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610</v>
      </c>
      <c r="B2411" s="1134" t="s">
        <v>127</v>
      </c>
      <c r="C2411" s="56">
        <v>46020</v>
      </c>
      <c r="D2411" s="155">
        <v>1188</v>
      </c>
      <c r="F2411" s="43" t="s">
        <v>2001</v>
      </c>
      <c r="G2411" t="s">
        <v>1891</v>
      </c>
    </row>
    <row r="2412" spans="1:7">
      <c r="A2412" s="1376" t="s">
        <v>423</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467</v>
      </c>
      <c r="B2417" s="1129" t="s">
        <v>127</v>
      </c>
      <c r="C2417" s="56">
        <v>46020</v>
      </c>
      <c r="F2417" s="311" t="s">
        <v>2003</v>
      </c>
      <c r="G2417" t="s">
        <v>1891</v>
      </c>
    </row>
    <row r="2418" spans="1:7">
      <c r="A2418" s="1129" t="s">
        <v>472</v>
      </c>
      <c r="B2418" s="1129" t="s">
        <v>127</v>
      </c>
      <c r="C2418" s="56">
        <v>46020</v>
      </c>
      <c r="F2418" s="311" t="s">
        <v>2003</v>
      </c>
      <c r="G2418" t="s">
        <v>1891</v>
      </c>
    </row>
    <row r="2419" spans="1:7">
      <c r="A2419" s="1129" t="s">
        <v>503</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420</v>
      </c>
      <c r="B2421" s="387" t="s">
        <v>1072</v>
      </c>
      <c r="C2421" s="56">
        <v>46021</v>
      </c>
      <c r="E2421" s="139">
        <v>766</v>
      </c>
      <c r="F2421" s="805"/>
      <c r="G2421" t="s">
        <v>1891</v>
      </c>
    </row>
    <row r="2422" spans="1:7">
      <c r="A2422" s="1376" t="s">
        <v>423</v>
      </c>
      <c r="B2422" s="307" t="s">
        <v>1072</v>
      </c>
      <c r="C2422" s="56">
        <v>46021</v>
      </c>
      <c r="E2422" s="139">
        <v>343</v>
      </c>
      <c r="F2422" s="304"/>
      <c r="G2422" t="s">
        <v>1891</v>
      </c>
    </row>
    <row r="2423" spans="1:7">
      <c r="A2423" s="744" t="s">
        <v>610</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469</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537</v>
      </c>
      <c r="B2" s="180" t="s">
        <v>200</v>
      </c>
      <c r="C2" s="177">
        <v>45991</v>
      </c>
      <c r="D2" s="624" t="s">
        <v>538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540</v>
      </c>
      <c r="B3" s="530" t="s">
        <v>200</v>
      </c>
      <c r="C3" s="689">
        <v>45742</v>
      </c>
      <c r="D3" s="690" t="s">
        <v>542</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543</v>
      </c>
      <c r="B5" s="407" t="s">
        <v>200</v>
      </c>
      <c r="C5" s="400">
        <v>45991</v>
      </c>
      <c r="D5" s="535" t="s">
        <v>544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550</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546</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547</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548</v>
      </c>
      <c r="B11" s="422" t="s">
        <v>200</v>
      </c>
      <c r="C11" s="176">
        <v>45991</v>
      </c>
      <c r="D11" s="534" t="s">
        <v>550</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550</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551</v>
      </c>
      <c r="B17" s="180" t="s">
        <v>200</v>
      </c>
      <c r="C17" s="177">
        <v>45991</v>
      </c>
      <c r="D17" s="714" t="s">
        <v>552</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553</v>
      </c>
      <c r="B18" s="180" t="s">
        <v>200</v>
      </c>
      <c r="C18" s="409">
        <v>45991</v>
      </c>
      <c r="D18" s="410" t="s">
        <v>554</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544</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515</v>
      </c>
      <c r="B148" s="406" t="s">
        <v>50</v>
      </c>
      <c r="C148" s="400">
        <v>45991</v>
      </c>
      <c r="D148" s="410" t="s">
        <v>517</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522</v>
      </c>
      <c r="B169" s="406" t="s">
        <v>50</v>
      </c>
      <c r="C169" s="579">
        <v>45991</v>
      </c>
      <c r="D169" s="410" t="s">
        <v>523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519</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515</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522</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6E550A-CE0A-4D3F-A08A-196FD01223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2026-01-02T16:58:09Z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