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5" documentId="8_{E14B221E-02E2-46A3-8CEC-C736815F2DD5}" xr6:coauthVersionLast="47" xr6:coauthVersionMax="47" xr10:uidLastSave="{4771FCDC-4621-4DCD-9006-D22ABF23AD8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8696" r:id="rId12"/>
    <pivotCache cacheId="8697" r:id="rId13"/>
    <pivotCache cacheId="8698" r:id="rId14"/>
    <pivotCache cacheId="8699" r:id="rId15"/>
    <pivotCache cacheId="8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<sst xmlns="http://schemas.openxmlformats.org/spreadsheetml/2006/main" count="16138" uniqueCount="2088">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</sst>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U1" activePane="topRight" state="frozen"/>
      <selection pane="topRight" activeCell="W15" sqref="W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4">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59">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3">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2">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2"/>
      <c r="K65" s="1372"/>
      <c r="L65" s="1354"/>
      <c r="M65" s="1228" t="s">
        <v>57</v>
      </c>
      <c r="N65" s="1373">
        <v>1035</v>
      </c>
      <c r="O65" s="1228" t="s">
        <v>57</v>
      </c>
      <c r="P65" s="1241" t="s">
        <v>58</v>
      </c>
      <c r="Q65" s="1374"/>
      <c r="R65" s="1374"/>
      <c r="S65" s="1374"/>
      <c r="T65" s="1374"/>
      <c r="U65" s="1374"/>
      <c r="V65" s="1375">
        <v>0</v>
      </c>
      <c r="W65" s="1376"/>
      <c r="X65" s="1376">
        <f>SUM(V65-W65)</f>
        <v>0</v>
      </c>
      <c r="Y65" s="662">
        <f>IFERROR($W65/$V65, 0)</f>
        <v>0</v>
      </c>
      <c r="Z65" s="1377"/>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59">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78"/>
      <c r="I79" s="829" t="s">
        <v>55</v>
      </c>
      <c r="J79" s="832" t="s">
        <v>63</v>
      </c>
      <c r="K79" s="1372"/>
      <c r="L79" s="1356"/>
      <c r="M79" s="829" t="s">
        <v>57</v>
      </c>
      <c r="N79" s="1373">
        <v>36998.550000000003</v>
      </c>
      <c r="O79" s="829" t="s">
        <v>57</v>
      </c>
      <c r="P79" s="1241" t="s">
        <v>58</v>
      </c>
      <c r="Q79" s="1374"/>
      <c r="R79" s="1374"/>
      <c r="S79" s="1374"/>
      <c r="T79" s="1374"/>
      <c r="U79" s="1374"/>
      <c r="V79" s="1375">
        <v>2944</v>
      </c>
      <c r="W79" s="1376"/>
      <c r="X79" s="1376">
        <f>SUM(V79-W79)</f>
        <v>2944</v>
      </c>
      <c r="Y79" s="662">
        <f>IFERROR($W79/$V79, 0)</f>
        <v>0</v>
      </c>
      <c r="Z79" s="1377"/>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2"/>
      <c r="L88" s="1356"/>
      <c r="M88" s="1228" t="s">
        <v>57</v>
      </c>
      <c r="N88" s="1373">
        <v>118710.8</v>
      </c>
      <c r="O88" s="1228" t="s">
        <v>57</v>
      </c>
      <c r="P88" s="1210" t="s">
        <v>58</v>
      </c>
      <c r="Q88" s="1374"/>
      <c r="R88" s="1374"/>
      <c r="S88" s="1374"/>
      <c r="T88" s="1374"/>
      <c r="U88" s="1374"/>
      <c r="V88" s="1375">
        <v>9628</v>
      </c>
      <c r="W88" s="1376"/>
      <c r="X88" s="1376">
        <f>SUM(V88-W88)</f>
        <v>9628</v>
      </c>
      <c r="Y88" s="662">
        <f>IFERROR($W88/$V88, 0)</f>
        <v>0</v>
      </c>
      <c r="Z88" s="1374"/>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59">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59">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7">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7">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7">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7">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0"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0"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8"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0" t="s">
        <v>1911</v>
      </c>
      <c r="G2347" t="s">
        <v>1851</v>
      </c>
    </row>
    <row r="2348" spans="1:7">
      <c r="A2348" s="317" t="s">
        <v>1098</v>
      </c>
      <c r="B2348" s="306" t="s">
        <v>1471</v>
      </c>
      <c r="C2348" s="56">
        <v>46009</v>
      </c>
      <c r="D2348" s="139"/>
      <c r="E2348" s="155">
        <v>1506</v>
      </c>
      <c r="F2348" s="1365"/>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1"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2030</v>
      </c>
      <c r="C1" s="1368"/>
      <c r="D1" s="558"/>
      <c r="E1" s="1368" t="s">
        <v>2031</v>
      </c>
      <c r="F1" s="1368"/>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2057</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03BAE2-E432-42E0-81D8-4B307DE304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2025-12-19T12:13:23Z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