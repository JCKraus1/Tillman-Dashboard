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46" documentId="8_{E14B221E-02E2-46A3-8CEC-C736815F2DD5}" xr6:coauthVersionLast="47" xr6:coauthVersionMax="47" xr10:uidLastSave="{D39A0120-378F-40BF-B19B-6EB398F2431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251" r:id="rId12"/>
    <pivotCache cacheId="2254" r:id="rId13"/>
    <pivotCache cacheId="2257" r:id="rId14"/>
    <pivotCache cacheId="2260" r:id="rId15"/>
    <pivotCache cacheId="22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<sst xmlns="http://schemas.openxmlformats.org/spreadsheetml/2006/main" count="16135" uniqueCount="2088">
  <si>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</si>
  <si>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</si>
  <si>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</si>
  <si>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</si>
  <si>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</si>
  <si>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</si>
  <si>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</si>
  <si>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</si>
  <si>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</si>
  <si>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</si>
  <si>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</si>
  <si>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</si>
  <si>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</si>
  <si>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</si>
  <si>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</si>
  <si>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</si>
  <si>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</si>
  <si>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</si>
  <si>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</si>
  <si>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</si>
  <si>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</si>
  <si>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</si>
  <si>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</si>
  <si>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</si>
  <si>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</si>
  <si>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</si>
  <si>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</si>
  <si>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</si>
  <si>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</si>
  <si>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</si>
  <si>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</si>
  <si>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</si>
  <si>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</si>
  <si>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</si>
  <si>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</si>
  <si>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</si>
  <si>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</si>
  <si>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</si>
  <si>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</si>
  <si>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</si>
  <si>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</si>
  <si>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</si>
  <si>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</si>
  <si>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</si>
  <si>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</si>
  <si>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</si>
  <si>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</si>
  <si>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</si>
  <si>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</si>
  <si>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</si>
  <si>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</si>
  <si>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</si>
  <si>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</si>
  <si>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</si>
  <si>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</si>
  <si>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</si>
  <si>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</si>
  <si>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</si>
  <si>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</si>
  <si>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</si>
  <si>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</si>
  <si>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</si>
  <si>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</si>
  <si>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</si>
  <si>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</si>
  <si>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</si>
  <si>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</si>
  <si>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</si>
  <si>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</si>
  <si>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</si>
  <si>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</si>
  <si>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</si>
  <si>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</si>
  <si>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</si>
  <si>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</si>
  <si>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</si>
  <si>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</si>
  <si>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</si>
  <si>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</si>
  <si>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</si>
  <si>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</si>
  <si>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</si>
  <si>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</si>
  <si>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</si>
  <si>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</si>
  <si>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</si>
  <si>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</si>
  <si>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</si>
  <si>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</si>
  <si>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</si>
  <si>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</si>
  <si>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</si>
  <si>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</si>
  <si>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</si>
  <si>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</si>
  <si>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</si>
  <si>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</si>
  <si>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</si>
  <si>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</si>
  <si>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</si>
  <si>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</si>
  <si>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</si>
  <si>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</si>
  <si>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</si>
  <si>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</si>
  <si>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</si>
  <si>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</si>
  <si>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</si>
  <si>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</si>
  <si>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</si>
  <si>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</si>
  <si>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</si>
  <si>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</si>
  <si>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</si>
  <si>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</si>
  <si>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</si>
  <si>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</si>
  <si>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</si>
  <si>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</si>
  <si>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</si>
  <si>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</si>
  <si>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</si>
  <si>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</si>
  <si>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</si>
  <si>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</si>
  <si>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</si>
  <si>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</si>
  <si>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</si>
  <si>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</si>
  <si>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</si>
  <si>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</si>
  <si>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</si>
  <si>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</si>
  <si>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</si>
  <si>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</si>
  <si>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</si>
  <si>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</si>
  <si>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</si>
  <si>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</si>
  <si>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</si>
  <si>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</si>
  <si>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 xml:space="preserve">12/12 NTP Package Received./NTP received 12/12/2025/Cx starts 12/15/2025/  12/15 CX Construction Started--Progress At 28% Complete./  12/17 CX Construction Started--Progress At 71% Complete./Path completed 12-17/ </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</si>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</sst>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8" fillId="0" borderId="9" xfId="0" applyFont="1" applyBorder="1"/>
    <xf numFmtId="0" fontId="32" fillId="0" borderId="35"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60975694442" createdVersion="8" refreshedVersion="8" minRefreshableVersion="3" recordCount="2363" xr:uid="{E3D0A88A-CBD0-4D66-B171-1D8684787A19}">
  <cacheSource type="worksheet">
    <worksheetSource ref="A1:F1048576" sheet="Daily Production_RAW DATA"/>
  </cacheSource>
  <cacheFields count="6">
    <cacheField name="Project" numFmtId="0">
      <sharedItems containsBlank="1" count="3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6097604166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60976157404" createdVersion="8" refreshedVersion="8" minRefreshableVersion="3" recordCount="23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60976157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60976157404"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315"/>
    <x v="35"/>
    <x v="222"/>
    <m/>
    <m/>
    <m/>
  </r>
  <r>
    <x v="311"/>
    <x v="27"/>
    <x v="222"/>
    <m/>
    <m/>
    <m/>
  </r>
  <r>
    <x v="314"/>
    <x v="45"/>
    <x v="222"/>
    <m/>
    <m/>
    <m/>
  </r>
  <r>
    <x v="294"/>
    <x v="5"/>
    <x v="222"/>
    <m/>
    <m/>
    <m/>
  </r>
  <r>
    <x v="316"/>
    <x v="5"/>
    <x v="222"/>
    <m/>
    <m/>
    <m/>
  </r>
  <r>
    <x v="317"/>
    <x v="5"/>
    <x v="222"/>
    <m/>
    <m/>
    <m/>
  </r>
  <r>
    <x v="318"/>
    <x v="5"/>
    <x v="222"/>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4">
    <i>
      <x v="147"/>
    </i>
    <i>
      <x v="246"/>
    </i>
    <i>
      <x v="251"/>
    </i>
    <i>
      <x v="267"/>
    </i>
    <i>
      <x v="269"/>
    </i>
    <i>
      <x v="282"/>
    </i>
    <i>
      <x v="300"/>
    </i>
    <i>
      <x v="301"/>
    </i>
    <i>
      <x v="303"/>
    </i>
    <i>
      <x v="306"/>
    </i>
    <i>
      <x v="307"/>
    </i>
    <i>
      <x v="311"/>
    </i>
    <i>
      <x v="314"/>
    </i>
    <i>
      <x v="316"/>
    </i>
    <i>
      <x v="318"/>
    </i>
    <i>
      <x v="319"/>
    </i>
    <i>
      <x v="320"/>
    </i>
    <i>
      <x v="321"/>
    </i>
    <i>
      <x v="322"/>
    </i>
    <i>
      <x v="323"/>
    </i>
    <i>
      <x v="324"/>
    </i>
    <i>
      <x v="325"/>
    </i>
    <i>
      <x v="326"/>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T10" activePane="topRight" state="frozen"/>
      <selection pane="topRight" activeCell="AD30" sqref="AD3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80" t="s">
        <v>142</v>
      </c>
      <c r="B31" s="1207" t="s">
        <v>117</v>
      </c>
      <c r="C31" s="1206">
        <v>46010</v>
      </c>
      <c r="D31" s="1206" t="s">
        <v>143</v>
      </c>
      <c r="E31" s="1206">
        <v>45974</v>
      </c>
      <c r="F31" s="1207" t="s">
        <v>118</v>
      </c>
      <c r="G31" s="1207" t="s">
        <v>144</v>
      </c>
      <c r="H31" s="1208">
        <v>67</v>
      </c>
      <c r="I31" s="661" t="s">
        <v>139</v>
      </c>
      <c r="J31" s="1208" t="s">
        <v>63</v>
      </c>
      <c r="K31" s="1208"/>
      <c r="L31" s="1206">
        <v>45936</v>
      </c>
      <c r="M31" s="1208" t="s">
        <v>57</v>
      </c>
      <c r="N31" s="1209">
        <v>38192</v>
      </c>
      <c r="O31" s="1208" t="s">
        <v>57</v>
      </c>
      <c r="P31" s="1281" t="s">
        <v>140</v>
      </c>
      <c r="Q31" s="1211">
        <v>45936</v>
      </c>
      <c r="R31" s="1258"/>
      <c r="S31" s="1258"/>
      <c r="T31" s="1258"/>
      <c r="U31" s="1258"/>
      <c r="V31" s="1212">
        <v>2845</v>
      </c>
      <c r="W31" s="128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2"/>
      <c r="K69" s="1372"/>
      <c r="L69" s="1356"/>
      <c r="M69" s="1228" t="s">
        <v>57</v>
      </c>
      <c r="N69" s="1373">
        <v>1035</v>
      </c>
      <c r="O69" s="1228" t="s">
        <v>57</v>
      </c>
      <c r="P69" s="1241" t="s">
        <v>58</v>
      </c>
      <c r="Q69" s="1374"/>
      <c r="R69" s="1374"/>
      <c r="S69" s="1374"/>
      <c r="T69" s="1374"/>
      <c r="U69" s="1374"/>
      <c r="V69" s="1375">
        <v>0</v>
      </c>
      <c r="W69" s="1376"/>
      <c r="X69" s="1376">
        <f>SUM(V69-W69)</f>
        <v>0</v>
      </c>
      <c r="Y69" s="662">
        <f>IFERROR($W69/$V69, 0)</f>
        <v>0</v>
      </c>
      <c r="Z69" s="1377"/>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2">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8"/>
      <c r="I83" s="829" t="s">
        <v>55</v>
      </c>
      <c r="J83" s="832" t="s">
        <v>63</v>
      </c>
      <c r="K83" s="1372"/>
      <c r="L83" s="1358"/>
      <c r="M83" s="829" t="s">
        <v>57</v>
      </c>
      <c r="N83" s="1373">
        <v>36998.550000000003</v>
      </c>
      <c r="O83" s="829" t="s">
        <v>57</v>
      </c>
      <c r="P83" s="1241" t="s">
        <v>58</v>
      </c>
      <c r="Q83" s="1374"/>
      <c r="R83" s="1374"/>
      <c r="S83" s="1374"/>
      <c r="T83" s="1374"/>
      <c r="U83" s="1374"/>
      <c r="V83" s="1375">
        <v>2944</v>
      </c>
      <c r="W83" s="1376"/>
      <c r="X83" s="1376">
        <f>SUM(V83-W83)</f>
        <v>2944</v>
      </c>
      <c r="Y83" s="662">
        <f>IFERROR($W83/$V83, 0)</f>
        <v>0</v>
      </c>
      <c r="Z83" s="1377"/>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2"/>
      <c r="L92" s="1358"/>
      <c r="M92" s="1228" t="s">
        <v>57</v>
      </c>
      <c r="N92" s="1373">
        <v>118710.8</v>
      </c>
      <c r="O92" s="1228" t="s">
        <v>57</v>
      </c>
      <c r="P92" s="1210" t="s">
        <v>58</v>
      </c>
      <c r="Q92" s="1374"/>
      <c r="R92" s="1374"/>
      <c r="S92" s="1374"/>
      <c r="T92" s="1374"/>
      <c r="U92" s="1374"/>
      <c r="V92" s="1375">
        <v>9628</v>
      </c>
      <c r="W92" s="1376"/>
      <c r="X92" s="1376">
        <f>SUM(V92-W92)</f>
        <v>9628</v>
      </c>
      <c r="Y92" s="662">
        <f>IFERROR($W92/$V92, 0)</f>
        <v>0</v>
      </c>
      <c r="Z92" s="1374"/>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2">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2">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2" t="s">
        <v>354</v>
      </c>
      <c r="B113" s="1152" t="s">
        <v>341</v>
      </c>
      <c r="C113" s="1303">
        <v>46019</v>
      </c>
      <c r="D113" s="976" t="s">
        <v>137</v>
      </c>
      <c r="E113" s="1303">
        <v>45959</v>
      </c>
      <c r="F113" s="1304" t="s">
        <v>186</v>
      </c>
      <c r="G113" s="1304" t="s">
        <v>355</v>
      </c>
      <c r="H113" s="1305">
        <v>87</v>
      </c>
      <c r="I113" s="977" t="s">
        <v>139</v>
      </c>
      <c r="J113" s="1286" t="s">
        <v>63</v>
      </c>
      <c r="K113" s="1306"/>
      <c r="L113" s="1307">
        <v>45964</v>
      </c>
      <c r="M113" s="1286" t="s">
        <v>57</v>
      </c>
      <c r="N113" s="1333">
        <v>87875</v>
      </c>
      <c r="O113" s="1309" t="s">
        <v>57</v>
      </c>
      <c r="P113" s="1334" t="s">
        <v>140</v>
      </c>
      <c r="Q113" s="1335">
        <v>45964</v>
      </c>
      <c r="R113" s="1336"/>
      <c r="S113" s="1311"/>
      <c r="T113" s="1311"/>
      <c r="U113" s="1311"/>
      <c r="V113" s="1270">
        <v>7319</v>
      </c>
      <c r="W113" s="1337">
        <v>7319</v>
      </c>
      <c r="X113" s="1212">
        <f>SUM(V113-W113)</f>
        <v>0</v>
      </c>
      <c r="Y113" s="1153">
        <f t="shared" si="8"/>
        <v>1</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1"/>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6">
      <c r="A1106" s="44" t="s">
        <v>1024</v>
      </c>
      <c r="B1106" s="44" t="s">
        <v>1022</v>
      </c>
    </row>
    <row r="1107" spans="1:6">
      <c r="A1107" s="44" t="s">
        <v>1025</v>
      </c>
      <c r="B1107" s="111">
        <v>46006</v>
      </c>
      <c r="C1107" s="111">
        <v>46007</v>
      </c>
      <c r="D1107" s="111">
        <v>46008</v>
      </c>
      <c r="E1107" s="111">
        <v>46009</v>
      </c>
      <c r="F1107" t="s">
        <v>1026</v>
      </c>
    </row>
    <row r="1108" spans="1:6">
      <c r="A1108" t="s">
        <v>1070</v>
      </c>
      <c r="B1108">
        <v>365</v>
      </c>
      <c r="C1108">
        <v>210</v>
      </c>
      <c r="F1108">
        <v>575</v>
      </c>
    </row>
    <row r="1109" spans="1:6">
      <c r="A1109" t="s">
        <v>99</v>
      </c>
      <c r="B1109">
        <v>735</v>
      </c>
      <c r="F1109">
        <v>735</v>
      </c>
    </row>
    <row r="1110" spans="1:6">
      <c r="A1110" t="s">
        <v>465</v>
      </c>
    </row>
    <row r="1111" spans="1:6">
      <c r="A1111" t="s">
        <v>490</v>
      </c>
    </row>
    <row r="1112" spans="1:6">
      <c r="A1112" t="s">
        <v>581</v>
      </c>
    </row>
    <row r="1113" spans="1:6">
      <c r="A1113" t="s">
        <v>496</v>
      </c>
      <c r="B1113">
        <v>87</v>
      </c>
      <c r="F1113">
        <v>87</v>
      </c>
    </row>
    <row r="1114" spans="1:6">
      <c r="A1114" t="s">
        <v>1100</v>
      </c>
      <c r="B1114">
        <v>671</v>
      </c>
      <c r="C1114">
        <v>1204</v>
      </c>
      <c r="D1114">
        <v>1210</v>
      </c>
      <c r="F1114">
        <v>3085</v>
      </c>
    </row>
    <row r="1115" spans="1:6">
      <c r="A1115" t="s">
        <v>368</v>
      </c>
      <c r="D1115">
        <v>320</v>
      </c>
      <c r="F1115">
        <v>320</v>
      </c>
    </row>
    <row r="1116" spans="1:6">
      <c r="A1116" t="s">
        <v>146</v>
      </c>
      <c r="D1116">
        <v>163</v>
      </c>
      <c r="F1116">
        <v>163</v>
      </c>
    </row>
    <row r="1117" spans="1:6">
      <c r="A1117" t="s">
        <v>345</v>
      </c>
      <c r="D1117">
        <v>372</v>
      </c>
      <c r="F1117">
        <v>372</v>
      </c>
    </row>
    <row r="1118" spans="1:6">
      <c r="A1118" t="s">
        <v>1101</v>
      </c>
      <c r="B1118">
        <v>752</v>
      </c>
      <c r="C1118">
        <v>1249</v>
      </c>
      <c r="D1118">
        <v>235</v>
      </c>
      <c r="F1118">
        <v>2236</v>
      </c>
    </row>
    <row r="1119" spans="1:6">
      <c r="A1119" t="s">
        <v>354</v>
      </c>
      <c r="D1119">
        <v>1049</v>
      </c>
      <c r="F1119">
        <v>1049</v>
      </c>
    </row>
    <row r="1120" spans="1:6">
      <c r="A1120" t="s">
        <v>502</v>
      </c>
      <c r="B1120">
        <v>29</v>
      </c>
      <c r="F1120">
        <v>29</v>
      </c>
    </row>
    <row r="1121" spans="1:6">
      <c r="A1121" t="s">
        <v>424</v>
      </c>
    </row>
    <row r="1122" spans="1:6">
      <c r="A1122" t="s">
        <v>142</v>
      </c>
      <c r="B1122">
        <v>689</v>
      </c>
      <c r="C1122">
        <v>586</v>
      </c>
      <c r="D1122">
        <v>199</v>
      </c>
      <c r="F1122">
        <v>1474</v>
      </c>
    </row>
    <row r="1123" spans="1:6">
      <c r="A1123" t="s">
        <v>325</v>
      </c>
      <c r="C1123">
        <v>1164</v>
      </c>
      <c r="D1123">
        <v>308</v>
      </c>
      <c r="F1123">
        <v>1472</v>
      </c>
    </row>
    <row r="1124" spans="1:6">
      <c r="A1124" t="s">
        <v>136</v>
      </c>
      <c r="B1124">
        <v>1095</v>
      </c>
      <c r="C1124">
        <v>1676</v>
      </c>
      <c r="D1124">
        <v>1139</v>
      </c>
      <c r="F1124">
        <v>3910</v>
      </c>
    </row>
    <row r="1125" spans="1:6">
      <c r="A1125" t="s">
        <v>149</v>
      </c>
      <c r="B1125">
        <v>1344</v>
      </c>
      <c r="C1125">
        <v>1583</v>
      </c>
      <c r="D1125">
        <v>1027</v>
      </c>
      <c r="F1125">
        <v>3954</v>
      </c>
    </row>
    <row r="1126" spans="1:6">
      <c r="A1126" t="s">
        <v>250</v>
      </c>
      <c r="C1126">
        <v>890</v>
      </c>
      <c r="D1126">
        <v>1810</v>
      </c>
      <c r="F1126">
        <v>2700</v>
      </c>
    </row>
    <row r="1127" spans="1:6">
      <c r="A1127" t="s">
        <v>334</v>
      </c>
      <c r="B1127">
        <v>1511</v>
      </c>
      <c r="C1127">
        <v>1887</v>
      </c>
      <c r="D1127">
        <v>916</v>
      </c>
      <c r="F1127">
        <v>4314</v>
      </c>
    </row>
    <row r="1128" spans="1:6">
      <c r="A1128" t="s">
        <v>348</v>
      </c>
      <c r="C1128">
        <v>1617</v>
      </c>
      <c r="D1128">
        <v>1083</v>
      </c>
      <c r="F1128">
        <v>2700</v>
      </c>
    </row>
    <row r="1129" spans="1:6">
      <c r="A1129" t="s">
        <v>362</v>
      </c>
      <c r="D1129">
        <v>95</v>
      </c>
      <c r="F1129">
        <v>95</v>
      </c>
    </row>
    <row r="1130" spans="1:6">
      <c r="A1130" t="s">
        <v>357</v>
      </c>
    </row>
    <row r="1131" spans="1:6">
      <c r="A1131" t="s">
        <v>1026</v>
      </c>
      <c r="B1131">
        <v>7278</v>
      </c>
      <c r="C1131">
        <v>12066</v>
      </c>
      <c r="D1131">
        <v>9926</v>
      </c>
      <c r="F1131">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3"/>
  <sheetViews>
    <sheetView workbookViewId="0">
      <pane ySplit="1" topLeftCell="A2330" activePane="bottomLeft" state="frozen"/>
      <selection pane="bottomLeft" activeCell="A2346" sqref="A234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3"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3"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c r="G2342" t="s">
        <v>1853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row r="2345" spans="1:7">
      <c r="A2345" s="1149" t="s">
        <v>354</v>
      </c>
      <c r="B2345" s="69" t="s">
        <v>137</v>
      </c>
      <c r="C2345" s="56">
        <v>46008</v>
      </c>
      <c r="D2345" s="155">
        <v>1049</v>
      </c>
      <c r="G2345" t="s">
        <v>1853</v>
      </c>
    </row>
    <row r="2346" spans="1:7">
      <c r="A2346" s="1132" t="s">
        <v>1100</v>
      </c>
      <c r="B2346" s="951" t="s">
        <v>1720</v>
      </c>
      <c r="C2346" s="56">
        <v>46009</v>
      </c>
      <c r="E2346" s="201"/>
      <c r="F2346" s="115"/>
      <c r="G2346" t="s">
        <v>1853</v>
      </c>
    </row>
    <row r="2347" spans="1:7">
      <c r="A2347" s="1132" t="s">
        <v>1100</v>
      </c>
      <c r="B2347" s="951" t="s">
        <v>1559</v>
      </c>
      <c r="C2347" s="56">
        <v>46009</v>
      </c>
      <c r="D2347" s="139"/>
      <c r="E2347" s="43"/>
      <c r="G2347" t="s">
        <v>1853</v>
      </c>
    </row>
    <row r="2348" spans="1:7">
      <c r="A2348" s="1132" t="s">
        <v>99</v>
      </c>
      <c r="B2348" s="951" t="s">
        <v>1649</v>
      </c>
      <c r="C2348" s="56">
        <v>46009</v>
      </c>
      <c r="D2348" s="139"/>
      <c r="E2348" s="43"/>
      <c r="F2348" s="1370" t="s">
        <v>1841</v>
      </c>
      <c r="G2348" t="s">
        <v>1853</v>
      </c>
    </row>
    <row r="2349" spans="1:7">
      <c r="A2349" s="1132" t="s">
        <v>99</v>
      </c>
      <c r="B2349" s="757" t="s">
        <v>1559</v>
      </c>
      <c r="C2349" s="56">
        <v>46009</v>
      </c>
      <c r="D2349" s="139"/>
      <c r="E2349" s="43"/>
      <c r="F2349" s="1370" t="s">
        <v>1841</v>
      </c>
      <c r="G2349" t="s">
        <v>1853</v>
      </c>
    </row>
    <row r="2350" spans="1:7">
      <c r="A2350" s="1132" t="s">
        <v>99</v>
      </c>
      <c r="B2350" s="1147" t="s">
        <v>1720</v>
      </c>
      <c r="C2350" s="56">
        <v>46009</v>
      </c>
      <c r="D2350" s="139"/>
      <c r="E2350" s="43"/>
      <c r="F2350" s="1370" t="s">
        <v>1841</v>
      </c>
      <c r="G2350" t="s">
        <v>1853</v>
      </c>
    </row>
    <row r="2351" spans="1:7">
      <c r="A2351" s="655" t="s">
        <v>1101</v>
      </c>
      <c r="B2351" s="1136" t="s">
        <v>232</v>
      </c>
      <c r="C2351" s="56">
        <v>46009</v>
      </c>
      <c r="E2351" s="253"/>
      <c r="F2351" s="169"/>
      <c r="G2351" t="s">
        <v>1853</v>
      </c>
    </row>
    <row r="2352" spans="1:7">
      <c r="A2352" s="1371" t="s">
        <v>142</v>
      </c>
      <c r="B2352" s="1137" t="s">
        <v>143</v>
      </c>
      <c r="C2352" s="56">
        <v>46009</v>
      </c>
      <c r="F2352" s="1131" t="s">
        <v>1765</v>
      </c>
      <c r="G2352" t="s">
        <v>1853</v>
      </c>
    </row>
    <row r="2353" spans="1:7">
      <c r="A2353" s="1096" t="s">
        <v>136</v>
      </c>
      <c r="B2353" s="1137" t="s">
        <v>137</v>
      </c>
      <c r="C2353" s="56">
        <v>46009</v>
      </c>
      <c r="F2353" s="1131" t="s">
        <v>1765</v>
      </c>
      <c r="G2353" t="s">
        <v>1853</v>
      </c>
    </row>
    <row r="2354" spans="1:7">
      <c r="A2354" s="803" t="s">
        <v>149</v>
      </c>
      <c r="B2354" s="966" t="s">
        <v>137</v>
      </c>
      <c r="C2354" s="56">
        <v>46009</v>
      </c>
      <c r="G2354" t="s">
        <v>1853</v>
      </c>
    </row>
    <row r="2355" spans="1:7">
      <c r="A2355" s="1005" t="s">
        <v>424</v>
      </c>
      <c r="B2355" s="1136" t="s">
        <v>143</v>
      </c>
      <c r="C2355" s="56">
        <v>46009</v>
      </c>
      <c r="F2355" s="1131" t="s">
        <v>1765</v>
      </c>
      <c r="G2355" t="s">
        <v>1853</v>
      </c>
    </row>
    <row r="2356" spans="1:7">
      <c r="A2356" s="1005" t="s">
        <v>146</v>
      </c>
      <c r="B2356" s="1137" t="s">
        <v>143</v>
      </c>
      <c r="C2356" s="56">
        <v>46009</v>
      </c>
      <c r="F2356" s="1131" t="s">
        <v>1765</v>
      </c>
      <c r="G2356" t="s">
        <v>1853</v>
      </c>
    </row>
    <row r="2357" spans="1:7">
      <c r="A2357" s="951" t="s">
        <v>250</v>
      </c>
      <c r="B2357" s="951" t="s">
        <v>251</v>
      </c>
      <c r="C2357" s="56">
        <v>46009</v>
      </c>
      <c r="G2357" t="s">
        <v>1853</v>
      </c>
    </row>
    <row r="2358" spans="1:7">
      <c r="A2358" s="757" t="s">
        <v>325</v>
      </c>
      <c r="B2358" s="951" t="s">
        <v>1473</v>
      </c>
      <c r="C2358" s="56">
        <v>46009</v>
      </c>
      <c r="G2358" t="s">
        <v>1853</v>
      </c>
    </row>
    <row r="2359" spans="1:7">
      <c r="A2359" s="1147" t="s">
        <v>334</v>
      </c>
      <c r="B2359" s="757" t="s">
        <v>1693</v>
      </c>
      <c r="C2359" s="56">
        <v>46009</v>
      </c>
      <c r="G2359" t="s">
        <v>1853</v>
      </c>
    </row>
    <row r="2360" spans="1:7">
      <c r="A2360" s="757" t="s">
        <v>368</v>
      </c>
      <c r="B2360" s="757" t="s">
        <v>137</v>
      </c>
      <c r="C2360" s="56">
        <v>46009</v>
      </c>
      <c r="G2360" t="s">
        <v>1853</v>
      </c>
    </row>
    <row r="2361" spans="1:7">
      <c r="A2361" s="1147" t="s">
        <v>348</v>
      </c>
      <c r="B2361" s="1147" t="s">
        <v>137</v>
      </c>
      <c r="C2361" s="56">
        <v>46009</v>
      </c>
      <c r="G2361" t="s">
        <v>1853</v>
      </c>
    </row>
    <row r="2362" spans="1:7">
      <c r="A2362" s="757" t="s">
        <v>362</v>
      </c>
      <c r="B2362" s="951" t="s">
        <v>137</v>
      </c>
      <c r="C2362" s="56">
        <v>46009</v>
      </c>
      <c r="G2362" t="s">
        <v>1853</v>
      </c>
    </row>
    <row r="2363" spans="1:7">
      <c r="A2363" s="1131" t="s">
        <v>357</v>
      </c>
      <c r="B2363" s="951" t="s">
        <v>137</v>
      </c>
      <c r="C2363" s="56">
        <v>46009</v>
      </c>
      <c r="G2363"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2030</v>
      </c>
      <c r="C1" s="1366"/>
      <c r="D1" s="558"/>
      <c r="E1" s="1366" t="s">
        <v>2031</v>
      </c>
      <c r="F1" s="1366"/>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9181</v>
      </c>
      <c r="L20" t="s">
        <v>836</v>
      </c>
      <c r="M20">
        <v>1</v>
      </c>
    </row>
    <row r="21" spans="2:13">
      <c r="B21" t="s">
        <v>304</v>
      </c>
      <c r="C21">
        <v>8622</v>
      </c>
      <c r="L21" t="s">
        <v>2052</v>
      </c>
      <c r="M21">
        <v>1</v>
      </c>
    </row>
    <row r="22" spans="2:13">
      <c r="B22" t="s">
        <v>248</v>
      </c>
      <c r="C22">
        <v>0</v>
      </c>
      <c r="L22" t="s">
        <v>978</v>
      </c>
      <c r="M22">
        <v>1</v>
      </c>
    </row>
    <row r="23" spans="2:13">
      <c r="B23" t="s">
        <v>1026</v>
      </c>
      <c r="C23">
        <v>458147</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2057</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D789EA-D4BA-4C31-B6A0-139F3B3971E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2025-12-18T13:40:29Z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