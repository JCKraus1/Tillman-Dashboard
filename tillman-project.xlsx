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76" documentId="120_S{26355A1A-C9FF-5539-9B49-32C1F08D0326}" xr6:coauthVersionLast="47" xr6:coauthVersionMax="47" xr10:uidLastSave="{BE291AF7-A60C-40D9-A8AE-F4EFF2262640}"/>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7505" r:id="rId10"/>
    <pivotCache cacheId="27508" r:id="rId11"/>
    <pivotCache cacheId="27511" r:id="rId12"/>
    <pivotCache cacheId="27514" r:id="rId13"/>
    <pivotCache cacheId="2751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31" l="1"/>
  <c r="Y50" i="31"/>
  <c r="X3" i="2"/>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0" i="30"/>
  <c r="U240" i="30"/>
  <c r="U251" i="30"/>
  <c r="U220" i="30"/>
  <c r="U156" i="30"/>
  <c r="U188" i="30"/>
  <c r="X32" i="2"/>
  <c r="Y32" i="2"/>
  <c r="U202" i="30"/>
  <c r="X31" i="2"/>
  <c r="Y31" i="2"/>
  <c r="X61" i="2"/>
  <c r="Y61" i="2"/>
  <c r="X62" i="2"/>
  <c r="Y62" i="2"/>
  <c r="U227" i="30"/>
  <c r="U143" i="30"/>
  <c r="U149" i="30"/>
  <c r="U158" i="30"/>
  <c r="U249" i="30"/>
  <c r="U205" i="30"/>
  <c r="U159" i="30"/>
  <c r="X24" i="31"/>
  <c r="Y24" i="31"/>
  <c r="U242" i="30"/>
  <c r="U207" i="30"/>
  <c r="X57" i="2"/>
  <c r="Y57" i="2"/>
  <c r="X58" i="2"/>
  <c r="Y58" i="2"/>
  <c r="U192" i="30"/>
  <c r="X48" i="2"/>
  <c r="Y48" i="2"/>
  <c r="U248" i="30"/>
  <c r="Y19" i="31"/>
  <c r="X19" i="31"/>
  <c r="Y18" i="31"/>
  <c r="X18" i="31"/>
  <c r="Y14" i="31"/>
  <c r="X14" i="31"/>
  <c r="Y13" i="31"/>
  <c r="X13" i="31"/>
  <c r="U216" i="30"/>
  <c r="U193" i="30"/>
  <c r="U191" i="30"/>
  <c r="Y18" i="2"/>
  <c r="X70" i="2"/>
  <c r="Y70" i="2"/>
  <c r="Y9" i="31"/>
  <c r="X9" i="31"/>
  <c r="X26" i="31"/>
  <c r="Y26" i="31"/>
  <c r="Y7" i="31"/>
  <c r="X7" i="31"/>
  <c r="U213" i="30"/>
  <c r="Y45" i="31"/>
  <c r="X45" i="31"/>
  <c r="Y43" i="31"/>
  <c r="X43" i="31"/>
  <c r="Y29" i="31"/>
  <c r="X29" i="31"/>
  <c r="Y66" i="2"/>
  <c r="X66" i="2"/>
  <c r="Y10" i="31"/>
  <c r="X10" i="31"/>
  <c r="Y28" i="31"/>
  <c r="X28" i="31"/>
  <c r="Y52" i="31"/>
  <c r="X52" i="31"/>
  <c r="U190" i="30"/>
  <c r="Y31" i="31"/>
  <c r="X31" i="31"/>
  <c r="U178" i="30"/>
  <c r="Y27" i="31"/>
  <c r="X27" i="31"/>
  <c r="Y46" i="31"/>
  <c r="X46" i="31"/>
  <c r="Y17" i="31"/>
  <c r="X17" i="31"/>
  <c r="Y54" i="31"/>
  <c r="X54" i="31"/>
  <c r="U237" i="30"/>
  <c r="U239" i="30"/>
  <c r="U236" i="30"/>
  <c r="U238" i="30"/>
  <c r="Y55" i="31"/>
  <c r="X55" i="31"/>
  <c r="Y23" i="31"/>
  <c r="X23" i="31"/>
  <c r="Y133" i="2"/>
  <c r="Y134" i="2"/>
  <c r="Y135" i="2"/>
  <c r="Y136" i="2"/>
  <c r="Y137" i="2"/>
  <c r="Y138" i="2"/>
  <c r="Y139" i="2"/>
  <c r="Y140" i="2"/>
  <c r="Y141" i="2"/>
  <c r="Y142" i="2"/>
  <c r="Y143" i="2"/>
  <c r="Y144" i="2"/>
  <c r="Y42" i="31"/>
  <c r="X42" i="31"/>
  <c r="Y47" i="31"/>
  <c r="X47" i="31"/>
  <c r="Y44" i="31"/>
  <c r="X44" i="31"/>
  <c r="Y40" i="31"/>
  <c r="X40" i="31"/>
  <c r="Y47" i="2"/>
  <c r="X47" i="2"/>
  <c r="Y54" i="2"/>
  <c r="X54"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0" i="2"/>
  <c r="Y50" i="2"/>
  <c r="X51" i="31"/>
  <c r="Y51" i="31"/>
  <c r="Y5" i="31"/>
  <c r="X5" i="31"/>
  <c r="X60" i="2"/>
  <c r="Y60" i="2"/>
  <c r="Y30" i="31"/>
  <c r="X30" i="31"/>
  <c r="Y12" i="2"/>
  <c r="X12" i="2"/>
  <c r="Y37" i="31"/>
  <c r="X37" i="31"/>
  <c r="Y35" i="31"/>
  <c r="X35"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3" i="31"/>
  <c r="X53"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<sst xmlns="http://schemas.openxmlformats.org/spreadsheetml/2006/main" count="18011" uniqueCount="2260">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</sst>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3" fontId="30" fillId="0" borderId="2" xfId="0" applyNumberFormat="1" applyFont="1" applyBorder="1"/>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45370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26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2696"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m/>
  </r>
  <r>
    <x v="125"/>
    <x v="15"/>
    <x v="2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T58"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1361">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61">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18">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1361">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1361">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4"/>
      <c r="L27" s="1007"/>
      <c r="M27" s="903" t="s">
        <v>56</v>
      </c>
      <c r="N27" s="1365">
        <v>223.8</v>
      </c>
      <c r="O27" s="903" t="s">
        <v>56</v>
      </c>
      <c r="P27" s="905" t="s">
        <v>74</v>
      </c>
      <c r="Q27" s="1366"/>
      <c r="R27" s="1366"/>
      <c r="S27" s="1366"/>
      <c r="T27" s="1366"/>
      <c r="U27" s="1366"/>
      <c r="V27" s="817">
        <v>0</v>
      </c>
      <c r="W27" s="1295"/>
      <c r="X27" s="1367">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4"/>
      <c r="L31" s="1007"/>
      <c r="M31" s="903" t="s">
        <v>56</v>
      </c>
      <c r="N31" s="1365">
        <v>12404.9</v>
      </c>
      <c r="O31" s="668" t="s">
        <v>56</v>
      </c>
      <c r="P31" s="927" t="s">
        <v>74</v>
      </c>
      <c r="Q31" s="1366"/>
      <c r="R31" s="1366"/>
      <c r="S31" s="1366"/>
      <c r="T31" s="1366"/>
      <c r="U31" s="1366"/>
      <c r="V31" s="1367">
        <v>1111</v>
      </c>
      <c r="W31" s="1367"/>
      <c r="X31" s="1367">
        <f>SUM(V31-W31)</f>
        <v>1111</v>
      </c>
      <c r="Y31" s="695">
        <f>IFERROR($W31/$V31, 0)</f>
        <v>0</v>
      </c>
      <c r="Z31" s="1368"/>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4" t="s">
        <v>72</v>
      </c>
      <c r="L32" s="1007"/>
      <c r="M32" s="978" t="s">
        <v>73</v>
      </c>
      <c r="N32" s="1156"/>
      <c r="O32" s="978" t="s">
        <v>73</v>
      </c>
      <c r="P32" s="968" t="s">
        <v>74</v>
      </c>
      <c r="Q32" s="1366"/>
      <c r="R32" s="1366"/>
      <c r="S32" s="1366"/>
      <c r="T32" s="1366"/>
      <c r="U32" s="1366"/>
      <c r="V32" s="1367">
        <v>311</v>
      </c>
      <c r="W32" s="1367"/>
      <c r="X32" s="1367">
        <f>SUM(V32-W32)</f>
        <v>311</v>
      </c>
      <c r="Y32" s="695">
        <f>IFERROR($W32/$V32, 0)</f>
        <v>0</v>
      </c>
      <c r="Z32" s="1368"/>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69">
        <v>0</v>
      </c>
      <c r="I47" s="668" t="s">
        <v>54</v>
      </c>
      <c r="J47" s="671" t="s">
        <v>55</v>
      </c>
      <c r="K47" s="1364"/>
      <c r="L47" s="1009"/>
      <c r="M47" s="668" t="s">
        <v>56</v>
      </c>
      <c r="N47" s="1370">
        <v>36998.550000000003</v>
      </c>
      <c r="O47" s="668" t="s">
        <v>56</v>
      </c>
      <c r="P47" s="927" t="s">
        <v>74</v>
      </c>
      <c r="Q47" s="1371"/>
      <c r="R47" s="1371"/>
      <c r="S47" s="1371"/>
      <c r="T47" s="1371"/>
      <c r="U47" s="1371"/>
      <c r="V47" s="1372">
        <v>2944</v>
      </c>
      <c r="W47" s="1367"/>
      <c r="X47" s="1367">
        <f>SUM(V47-W47)</f>
        <v>2944</v>
      </c>
      <c r="Y47" s="527">
        <f>IFERROR($W47/$V47, 0)</f>
        <v>0</v>
      </c>
      <c r="Z47" s="1373"/>
      <c r="AA47" s="909">
        <v>0</v>
      </c>
      <c r="AB47" s="909">
        <v>0</v>
      </c>
      <c r="AC47" s="512">
        <v>0</v>
      </c>
      <c r="AD47" s="910"/>
      <c r="AE47" s="956"/>
    </row>
    <row r="48" spans="1:56" ht="24.75" customHeight="1">
      <c r="A48" s="1006" t="s">
        <v>186</v>
      </c>
      <c r="B48" s="670" t="s">
        <v>144</v>
      </c>
      <c r="C48" s="1007">
        <v>46079</v>
      </c>
      <c r="D48" s="1009"/>
      <c r="E48" s="1009"/>
      <c r="F48" s="1008"/>
      <c r="G48" s="912"/>
      <c r="H48" s="1369">
        <v>0</v>
      </c>
      <c r="I48" s="668" t="s">
        <v>54</v>
      </c>
      <c r="J48" s="671" t="s">
        <v>55</v>
      </c>
      <c r="K48" s="1364"/>
      <c r="L48" s="1009"/>
      <c r="M48" s="668" t="s">
        <v>56</v>
      </c>
      <c r="N48" s="1370">
        <v>49932.800000000003</v>
      </c>
      <c r="O48" s="668" t="s">
        <v>56</v>
      </c>
      <c r="P48" s="927" t="s">
        <v>74</v>
      </c>
      <c r="Q48" s="1371"/>
      <c r="R48" s="1371"/>
      <c r="S48" s="1371"/>
      <c r="T48" s="1371"/>
      <c r="U48" s="1371"/>
      <c r="V48" s="1372">
        <v>4048</v>
      </c>
      <c r="W48" s="1367"/>
      <c r="X48" s="1367">
        <f>SUM(V48-W48)</f>
        <v>4048</v>
      </c>
      <c r="Y48" s="527">
        <f>IFERROR($W48/$V48, 0)</f>
        <v>0</v>
      </c>
      <c r="Z48" s="1373"/>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4"/>
      <c r="L54" s="1009"/>
      <c r="M54" s="914" t="s">
        <v>56</v>
      </c>
      <c r="N54" s="1370">
        <v>118710.8</v>
      </c>
      <c r="O54" s="914" t="s">
        <v>56</v>
      </c>
      <c r="P54" s="905" t="s">
        <v>57</v>
      </c>
      <c r="Q54" s="1371"/>
      <c r="R54" s="1371"/>
      <c r="S54" s="1371"/>
      <c r="T54" s="1371"/>
      <c r="U54" s="1371"/>
      <c r="V54" s="1372">
        <v>9628</v>
      </c>
      <c r="W54" s="1367">
        <v>2042</v>
      </c>
      <c r="X54" s="1367">
        <f>SUM(V54-W54)</f>
        <v>7586</v>
      </c>
      <c r="Y54" s="527">
        <f>IFERROR($W54/$V54, 0)</f>
        <v>0.21208973826339841</v>
      </c>
      <c r="Z54" s="1371">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1361">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69">
        <v>0</v>
      </c>
      <c r="I57" s="668" t="s">
        <v>54</v>
      </c>
      <c r="J57" s="914" t="s">
        <v>55</v>
      </c>
      <c r="K57" s="1364"/>
      <c r="L57" s="1009"/>
      <c r="M57" s="914" t="s">
        <v>56</v>
      </c>
      <c r="N57" s="1370">
        <v>15002.75</v>
      </c>
      <c r="O57" s="914" t="s">
        <v>56</v>
      </c>
      <c r="P57" s="927" t="s">
        <v>74</v>
      </c>
      <c r="Q57" s="1371"/>
      <c r="R57" s="1371"/>
      <c r="S57" s="1371"/>
      <c r="T57" s="1371"/>
      <c r="U57" s="1371"/>
      <c r="V57" s="1372">
        <v>1175</v>
      </c>
      <c r="W57" s="1367"/>
      <c r="X57" s="1367">
        <f>SUM(V57-W57)</f>
        <v>1175</v>
      </c>
      <c r="Y57" s="527">
        <f>IFERROR($W57/$V57, 0)</f>
        <v>0</v>
      </c>
      <c r="Z57" s="1373"/>
      <c r="AA57" s="909">
        <v>0</v>
      </c>
      <c r="AB57" s="909">
        <v>0</v>
      </c>
      <c r="AC57" s="918">
        <v>0</v>
      </c>
      <c r="AD57" s="910"/>
      <c r="AE57" s="956"/>
    </row>
    <row r="58" spans="1:31" ht="24.75" customHeight="1">
      <c r="A58" s="900" t="s">
        <v>210</v>
      </c>
      <c r="B58" s="670" t="s">
        <v>144</v>
      </c>
      <c r="C58" s="901">
        <v>46103</v>
      </c>
      <c r="D58" s="1008"/>
      <c r="E58" s="1009"/>
      <c r="F58" s="1008"/>
      <c r="G58" s="913"/>
      <c r="H58" s="1369">
        <v>0</v>
      </c>
      <c r="I58" s="668" t="s">
        <v>54</v>
      </c>
      <c r="J58" s="914" t="s">
        <v>55</v>
      </c>
      <c r="K58" s="1364"/>
      <c r="L58" s="1009"/>
      <c r="M58" s="914" t="s">
        <v>56</v>
      </c>
      <c r="N58" s="1370">
        <v>12977.65</v>
      </c>
      <c r="O58" s="914" t="s">
        <v>56</v>
      </c>
      <c r="P58" s="927" t="s">
        <v>74</v>
      </c>
      <c r="Q58" s="1371"/>
      <c r="R58" s="1371"/>
      <c r="S58" s="1371"/>
      <c r="T58" s="1371"/>
      <c r="U58" s="1371"/>
      <c r="V58" s="1372">
        <v>1029</v>
      </c>
      <c r="W58" s="1367"/>
      <c r="X58" s="1367">
        <f>SUM(V58-W58)</f>
        <v>1029</v>
      </c>
      <c r="Y58" s="527">
        <f>IFERROR($W58/$V58, 0)</f>
        <v>0</v>
      </c>
      <c r="Z58" s="1373"/>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69">
        <v>107</v>
      </c>
      <c r="I61" s="668" t="s">
        <v>54</v>
      </c>
      <c r="J61" s="974" t="s">
        <v>67</v>
      </c>
      <c r="K61" s="1364" t="s">
        <v>72</v>
      </c>
      <c r="L61" s="1009"/>
      <c r="M61" s="978" t="s">
        <v>73</v>
      </c>
      <c r="N61" s="1156"/>
      <c r="O61" s="978" t="s">
        <v>73</v>
      </c>
      <c r="P61" s="968" t="s">
        <v>74</v>
      </c>
      <c r="Q61" s="1371"/>
      <c r="R61" s="1371"/>
      <c r="S61" s="1371"/>
      <c r="T61" s="1371"/>
      <c r="U61" s="1371"/>
      <c r="V61" s="1372">
        <v>9568</v>
      </c>
      <c r="W61" s="1367"/>
      <c r="X61" s="1367">
        <f>SUM(V61-W61)</f>
        <v>9568</v>
      </c>
      <c r="Y61" s="527">
        <f>IFERROR($W61/$V61, 0)</f>
        <v>0</v>
      </c>
      <c r="Z61" s="1373"/>
      <c r="AA61" s="909">
        <v>0</v>
      </c>
      <c r="AB61" s="909">
        <v>0</v>
      </c>
      <c r="AC61" s="918">
        <v>0</v>
      </c>
      <c r="AD61" s="910" t="s">
        <v>216</v>
      </c>
      <c r="AE61" s="956"/>
    </row>
    <row r="62" spans="1:31" ht="24.75" customHeight="1">
      <c r="A62" s="1353" t="s">
        <v>217</v>
      </c>
      <c r="B62" s="670" t="s">
        <v>144</v>
      </c>
      <c r="C62" s="1007">
        <v>46174</v>
      </c>
      <c r="D62" s="1008"/>
      <c r="E62" s="1009"/>
      <c r="F62" s="1008"/>
      <c r="G62" s="913"/>
      <c r="H62" s="1369">
        <v>115</v>
      </c>
      <c r="I62" s="668" t="s">
        <v>54</v>
      </c>
      <c r="J62" s="974" t="s">
        <v>67</v>
      </c>
      <c r="K62" s="1364"/>
      <c r="L62" s="1009"/>
      <c r="M62" s="914" t="s">
        <v>56</v>
      </c>
      <c r="N62" s="1156">
        <v>125188</v>
      </c>
      <c r="O62" s="914" t="s">
        <v>56</v>
      </c>
      <c r="P62" s="927" t="s">
        <v>74</v>
      </c>
      <c r="Q62" s="1371"/>
      <c r="R62" s="1371"/>
      <c r="S62" s="1371"/>
      <c r="T62" s="1371"/>
      <c r="U62" s="1371"/>
      <c r="V62" s="1372">
        <v>11028</v>
      </c>
      <c r="W62" s="1367"/>
      <c r="X62" s="1367">
        <f>SUM(V62-W62)</f>
        <v>11028</v>
      </c>
      <c r="Y62" s="527">
        <f>IFERROR($W62/$V62, 0)</f>
        <v>0</v>
      </c>
      <c r="Z62" s="1373"/>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4">
        <v>0</v>
      </c>
      <c r="I66" s="525" t="s">
        <v>54</v>
      </c>
      <c r="J66" s="978" t="s">
        <v>102</v>
      </c>
      <c r="K66" s="1375" t="s">
        <v>72</v>
      </c>
      <c r="L66" s="1154"/>
      <c r="M66" s="978" t="s">
        <v>73</v>
      </c>
      <c r="N66" s="1156"/>
      <c r="O66" s="978" t="s">
        <v>73</v>
      </c>
      <c r="P66" s="968" t="s">
        <v>74</v>
      </c>
      <c r="Q66" s="1371"/>
      <c r="R66" s="1371"/>
      <c r="S66" s="1371"/>
      <c r="T66" s="1371"/>
      <c r="U66" s="1371"/>
      <c r="V66" s="1376">
        <v>6202</v>
      </c>
      <c r="W66" s="1377"/>
      <c r="X66" s="1377">
        <f>SUM(V66-W66)</f>
        <v>6202</v>
      </c>
      <c r="Y66" s="522">
        <f>IFERROR($W66/$V66, 0)</f>
        <v>0</v>
      </c>
      <c r="Z66" s="1378"/>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1363">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79"/>
      <c r="R74" s="1025"/>
      <c r="S74" s="1025"/>
      <c r="T74" s="1025"/>
      <c r="U74" s="1025"/>
      <c r="V74" s="989">
        <v>4564</v>
      </c>
      <c r="W74" s="950"/>
      <c r="X74" s="989">
        <v>4564</v>
      </c>
      <c r="Y74" s="880"/>
      <c r="Z74" s="1380"/>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79"/>
      <c r="R75" s="1025"/>
      <c r="S75" s="1025"/>
      <c r="T75" s="1025"/>
      <c r="U75" s="1025"/>
      <c r="V75" s="989">
        <v>5936</v>
      </c>
      <c r="W75" s="950"/>
      <c r="X75" s="989">
        <v>5936</v>
      </c>
      <c r="Y75" s="880"/>
      <c r="Z75" s="1380"/>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79"/>
      <c r="R76" s="1025"/>
      <c r="S76" s="1025"/>
      <c r="T76" s="1025"/>
      <c r="U76" s="1025"/>
      <c r="V76" s="989">
        <v>7117</v>
      </c>
      <c r="W76" s="950"/>
      <c r="X76" s="989">
        <v>7117</v>
      </c>
      <c r="Y76" s="880"/>
      <c r="Z76" s="1380"/>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79"/>
      <c r="R77" s="1025"/>
      <c r="S77" s="1025"/>
      <c r="T77" s="1025"/>
      <c r="U77" s="1025"/>
      <c r="V77" s="989">
        <v>9590</v>
      </c>
      <c r="W77" s="950"/>
      <c r="X77" s="989">
        <v>9590</v>
      </c>
      <c r="Y77" s="880"/>
      <c r="Z77" s="1380"/>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79"/>
      <c r="R78" s="1025"/>
      <c r="S78" s="1025"/>
      <c r="T78" s="1025"/>
      <c r="U78" s="1025"/>
      <c r="V78" s="989">
        <v>9329</v>
      </c>
      <c r="W78" s="950"/>
      <c r="X78" s="989">
        <v>9329</v>
      </c>
      <c r="Y78" s="880"/>
      <c r="Z78" s="1380"/>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79"/>
      <c r="R79" s="1025"/>
      <c r="S79" s="1025"/>
      <c r="T79" s="1025"/>
      <c r="U79" s="1025"/>
      <c r="V79" s="989">
        <v>9709</v>
      </c>
      <c r="W79" s="950"/>
      <c r="X79" s="989">
        <v>9709</v>
      </c>
      <c r="Y79" s="880"/>
      <c r="Z79" s="1380"/>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79"/>
      <c r="R80" s="1025"/>
      <c r="S80" s="1025"/>
      <c r="T80" s="1025"/>
      <c r="U80" s="1025"/>
      <c r="V80" s="989">
        <v>9263</v>
      </c>
      <c r="W80" s="950"/>
      <c r="X80" s="989">
        <v>9263</v>
      </c>
      <c r="Y80" s="880"/>
      <c r="Z80" s="1380"/>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79"/>
      <c r="R81" s="1025"/>
      <c r="S81" s="1025"/>
      <c r="T81" s="1025"/>
      <c r="U81" s="1025"/>
      <c r="V81" s="989">
        <v>10385</v>
      </c>
      <c r="W81" s="950"/>
      <c r="X81" s="989">
        <v>10385</v>
      </c>
      <c r="Y81" s="880"/>
      <c r="Z81" s="1380"/>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79"/>
      <c r="R82" s="1025"/>
      <c r="S82" s="1025"/>
      <c r="T82" s="1025"/>
      <c r="U82" s="1025"/>
      <c r="V82" s="989">
        <v>9398</v>
      </c>
      <c r="W82" s="950"/>
      <c r="X82" s="989">
        <v>9398</v>
      </c>
      <c r="Y82" s="880"/>
      <c r="Z82" s="1380"/>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79"/>
      <c r="R83" s="1025"/>
      <c r="S83" s="1025"/>
      <c r="T83" s="1025"/>
      <c r="U83" s="1025"/>
      <c r="V83" s="989">
        <v>7517</v>
      </c>
      <c r="W83" s="950"/>
      <c r="X83" s="989">
        <v>7517</v>
      </c>
      <c r="Y83" s="880"/>
      <c r="Z83" s="1380"/>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79"/>
      <c r="R84" s="1025"/>
      <c r="S84" s="1025"/>
      <c r="T84" s="1025"/>
      <c r="U84" s="1025"/>
      <c r="V84" s="989">
        <v>5920</v>
      </c>
      <c r="W84" s="950"/>
      <c r="X84" s="989">
        <v>5920</v>
      </c>
      <c r="Y84" s="880"/>
      <c r="Z84" s="1380"/>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79"/>
      <c r="R85" s="1025"/>
      <c r="S85" s="1025"/>
      <c r="T85" s="1025"/>
      <c r="U85" s="1025"/>
      <c r="V85" s="989">
        <v>5589</v>
      </c>
      <c r="W85" s="950"/>
      <c r="X85" s="989">
        <v>5589</v>
      </c>
      <c r="Y85" s="880"/>
      <c r="Z85" s="1380"/>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79"/>
      <c r="R86" s="1025"/>
      <c r="S86" s="1025"/>
      <c r="T86" s="1025"/>
      <c r="U86" s="1025"/>
      <c r="V86" s="989">
        <v>5515</v>
      </c>
      <c r="W86" s="950"/>
      <c r="X86" s="989">
        <v>5515</v>
      </c>
      <c r="Y86" s="880"/>
      <c r="Z86" s="1380"/>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79"/>
      <c r="R87" s="1025"/>
      <c r="S87" s="1025"/>
      <c r="T87" s="1025"/>
      <c r="U87" s="1025"/>
      <c r="V87" s="989">
        <v>5191</v>
      </c>
      <c r="W87" s="950"/>
      <c r="X87" s="989">
        <v>5191</v>
      </c>
      <c r="Y87" s="880"/>
      <c r="Z87" s="1380"/>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79"/>
      <c r="R88" s="1025"/>
      <c r="S88" s="1025"/>
      <c r="T88" s="1025"/>
      <c r="U88" s="1025"/>
      <c r="V88" s="989">
        <v>5620</v>
      </c>
      <c r="W88" s="950"/>
      <c r="X88" s="989">
        <v>5620</v>
      </c>
      <c r="Y88" s="880"/>
      <c r="Z88" s="1380"/>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79"/>
      <c r="R89" s="1025"/>
      <c r="S89" s="1025"/>
      <c r="T89" s="1025"/>
      <c r="U89" s="1025"/>
      <c r="V89" s="989">
        <v>6864</v>
      </c>
      <c r="W89" s="950"/>
      <c r="X89" s="989">
        <v>6864</v>
      </c>
      <c r="Y89" s="880"/>
      <c r="Z89" s="1380"/>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79"/>
      <c r="R90" s="1025"/>
      <c r="S90" s="1025"/>
      <c r="T90" s="1025"/>
      <c r="U90" s="1025"/>
      <c r="V90" s="989">
        <v>6461</v>
      </c>
      <c r="W90" s="950"/>
      <c r="X90" s="989">
        <v>6461</v>
      </c>
      <c r="Y90" s="880"/>
      <c r="Z90" s="1380"/>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79"/>
      <c r="R91" s="1025"/>
      <c r="S91" s="1025"/>
      <c r="T91" s="1025"/>
      <c r="U91" s="1025"/>
      <c r="V91" s="989">
        <v>2790</v>
      </c>
      <c r="W91" s="950"/>
      <c r="X91" s="989">
        <v>2790</v>
      </c>
      <c r="Y91" s="880"/>
      <c r="Z91" s="1380"/>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79"/>
      <c r="R92" s="1025"/>
      <c r="S92" s="1025"/>
      <c r="T92" s="1025"/>
      <c r="U92" s="1025"/>
      <c r="V92" s="989">
        <v>7368</v>
      </c>
      <c r="W92" s="950"/>
      <c r="X92" s="989">
        <v>7368</v>
      </c>
      <c r="Y92" s="880"/>
      <c r="Z92" s="1380"/>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79"/>
      <c r="R93" s="1025"/>
      <c r="S93" s="1025"/>
      <c r="T93" s="1025"/>
      <c r="U93" s="1025"/>
      <c r="V93" s="989">
        <v>7844</v>
      </c>
      <c r="W93" s="950"/>
      <c r="X93" s="989">
        <v>7844</v>
      </c>
      <c r="Y93" s="880"/>
      <c r="Z93" s="1380"/>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79"/>
      <c r="R94" s="1025"/>
      <c r="S94" s="1025"/>
      <c r="T94" s="1025"/>
      <c r="U94" s="1025"/>
      <c r="V94" s="989">
        <v>8148</v>
      </c>
      <c r="W94" s="950"/>
      <c r="X94" s="989">
        <v>8148</v>
      </c>
      <c r="Y94" s="880"/>
      <c r="Z94" s="1380"/>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79"/>
      <c r="R95" s="1025"/>
      <c r="S95" s="1025"/>
      <c r="T95" s="1025"/>
      <c r="U95" s="1025"/>
      <c r="V95" s="989">
        <v>6829</v>
      </c>
      <c r="W95" s="950"/>
      <c r="X95" s="989">
        <v>6829</v>
      </c>
      <c r="Y95" s="880"/>
      <c r="Z95" s="1380"/>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79"/>
      <c r="R96" s="1025"/>
      <c r="S96" s="1025"/>
      <c r="T96" s="1025"/>
      <c r="U96" s="1025"/>
      <c r="V96" s="989">
        <v>6157</v>
      </c>
      <c r="W96" s="950"/>
      <c r="X96" s="989">
        <v>6157</v>
      </c>
      <c r="Y96" s="880"/>
      <c r="Z96" s="1380"/>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79"/>
      <c r="R97" s="1025"/>
      <c r="S97" s="1025"/>
      <c r="T97" s="1025"/>
      <c r="U97" s="1025"/>
      <c r="V97" s="989">
        <v>9537</v>
      </c>
      <c r="W97" s="950"/>
      <c r="X97" s="989">
        <v>9537</v>
      </c>
      <c r="Y97" s="880"/>
      <c r="Z97" s="1380"/>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79"/>
      <c r="R98" s="1025"/>
      <c r="S98" s="1025"/>
      <c r="T98" s="1025"/>
      <c r="U98" s="1025"/>
      <c r="V98" s="989">
        <v>6796</v>
      </c>
      <c r="W98" s="950"/>
      <c r="X98" s="989">
        <v>6796</v>
      </c>
      <c r="Y98" s="880"/>
      <c r="Z98" s="1380"/>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79"/>
      <c r="R99" s="1025"/>
      <c r="S99" s="1025"/>
      <c r="T99" s="1025"/>
      <c r="U99" s="1025"/>
      <c r="V99" s="989">
        <v>6149</v>
      </c>
      <c r="W99" s="950"/>
      <c r="X99" s="989">
        <v>6149</v>
      </c>
      <c r="Y99" s="880"/>
      <c r="Z99" s="1380"/>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79"/>
      <c r="R100" s="1025"/>
      <c r="S100" s="1025"/>
      <c r="T100" s="1025"/>
      <c r="U100" s="1025"/>
      <c r="V100" s="989">
        <v>6284</v>
      </c>
      <c r="W100" s="950"/>
      <c r="X100" s="989">
        <v>6284</v>
      </c>
      <c r="Y100" s="880"/>
      <c r="Z100" s="1380"/>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79"/>
      <c r="R101" s="1025"/>
      <c r="S101" s="1025"/>
      <c r="T101" s="1025"/>
      <c r="U101" s="1025"/>
      <c r="V101" s="989">
        <v>7743</v>
      </c>
      <c r="W101" s="950"/>
      <c r="X101" s="989">
        <v>7743</v>
      </c>
      <c r="Y101" s="880"/>
      <c r="Z101" s="1380"/>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79"/>
      <c r="R102" s="1025"/>
      <c r="S102" s="1025"/>
      <c r="T102" s="1025"/>
      <c r="U102" s="1025"/>
      <c r="V102" s="989">
        <v>6932</v>
      </c>
      <c r="W102" s="950"/>
      <c r="X102" s="989">
        <v>6932</v>
      </c>
      <c r="Y102" s="880"/>
      <c r="Z102" s="1380"/>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79"/>
      <c r="R103" s="1025"/>
      <c r="S103" s="1025"/>
      <c r="T103" s="1025"/>
      <c r="U103" s="1025"/>
      <c r="V103" s="989">
        <v>6213</v>
      </c>
      <c r="W103" s="950"/>
      <c r="X103" s="989">
        <v>6213</v>
      </c>
      <c r="Y103" s="880"/>
      <c r="Z103" s="1380"/>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79"/>
      <c r="R104" s="1025"/>
      <c r="S104" s="1025"/>
      <c r="T104" s="1025"/>
      <c r="U104" s="1025"/>
      <c r="V104" s="989">
        <v>4339</v>
      </c>
      <c r="W104" s="950"/>
      <c r="X104" s="989">
        <v>4339</v>
      </c>
      <c r="Y104" s="880"/>
      <c r="Z104" s="1380"/>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79"/>
      <c r="R105" s="1025"/>
      <c r="S105" s="1025"/>
      <c r="T105" s="1025"/>
      <c r="U105" s="1025"/>
      <c r="V105" s="989">
        <v>3940</v>
      </c>
      <c r="W105" s="950"/>
      <c r="X105" s="989">
        <v>3940</v>
      </c>
      <c r="Y105" s="880"/>
      <c r="Z105" s="1380"/>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79"/>
      <c r="R106" s="1025"/>
      <c r="S106" s="1025"/>
      <c r="T106" s="1025"/>
      <c r="U106" s="1025"/>
      <c r="V106" s="989">
        <v>6855</v>
      </c>
      <c r="W106" s="950"/>
      <c r="X106" s="989">
        <v>6855</v>
      </c>
      <c r="Y106" s="880"/>
      <c r="Z106" s="1380"/>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79"/>
      <c r="R107" s="1025"/>
      <c r="S107" s="1025"/>
      <c r="T107" s="1025"/>
      <c r="U107" s="1025"/>
      <c r="V107" s="989">
        <v>7147</v>
      </c>
      <c r="W107" s="950"/>
      <c r="X107" s="989">
        <v>7147</v>
      </c>
      <c r="Y107" s="880"/>
      <c r="Z107" s="1380"/>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79"/>
      <c r="R108" s="1025"/>
      <c r="S108" s="1025"/>
      <c r="T108" s="1025"/>
      <c r="U108" s="1025"/>
      <c r="V108" s="989">
        <v>6376</v>
      </c>
      <c r="W108" s="950"/>
      <c r="X108" s="989">
        <v>6376</v>
      </c>
      <c r="Y108" s="880"/>
      <c r="Z108" s="1380"/>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79"/>
      <c r="R109" s="1025"/>
      <c r="S109" s="1025"/>
      <c r="T109" s="1025"/>
      <c r="U109" s="1025"/>
      <c r="V109" s="989">
        <v>4784</v>
      </c>
      <c r="W109" s="950"/>
      <c r="X109" s="989">
        <v>4784</v>
      </c>
      <c r="Y109" s="880"/>
      <c r="Z109" s="1380"/>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79"/>
      <c r="R110" s="1025"/>
      <c r="S110" s="1025"/>
      <c r="T110" s="1025"/>
      <c r="U110" s="1025"/>
      <c r="V110" s="989">
        <v>6387</v>
      </c>
      <c r="W110" s="950"/>
      <c r="X110" s="989">
        <v>6387</v>
      </c>
      <c r="Y110" s="880"/>
      <c r="Z110" s="1380"/>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79"/>
      <c r="R111" s="1025"/>
      <c r="S111" s="1025"/>
      <c r="T111" s="1025"/>
      <c r="U111" s="1025"/>
      <c r="V111" s="989">
        <v>6372</v>
      </c>
      <c r="W111" s="950"/>
      <c r="X111" s="989">
        <v>6372</v>
      </c>
      <c r="Y111" s="880"/>
      <c r="Z111" s="1380"/>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79"/>
      <c r="R112" s="1025"/>
      <c r="S112" s="1025"/>
      <c r="T112" s="1025"/>
      <c r="U112" s="1025"/>
      <c r="V112" s="989">
        <v>5363</v>
      </c>
      <c r="W112" s="950"/>
      <c r="X112" s="989">
        <v>5363</v>
      </c>
      <c r="Y112" s="880"/>
      <c r="Z112" s="1380"/>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79"/>
      <c r="R113" s="1025"/>
      <c r="S113" s="1025"/>
      <c r="T113" s="1025"/>
      <c r="U113" s="1025"/>
      <c r="V113" s="989">
        <v>5199</v>
      </c>
      <c r="W113" s="950"/>
      <c r="X113" s="989">
        <v>5199</v>
      </c>
      <c r="Y113" s="880"/>
      <c r="Z113" s="1380"/>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79"/>
      <c r="R114" s="1025"/>
      <c r="S114" s="1025"/>
      <c r="T114" s="1025"/>
      <c r="U114" s="1025"/>
      <c r="V114" s="989">
        <v>9771</v>
      </c>
      <c r="W114" s="950"/>
      <c r="X114" s="989">
        <v>9771</v>
      </c>
      <c r="Y114" s="880"/>
      <c r="Z114" s="1380"/>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79"/>
      <c r="R115" s="1025"/>
      <c r="S115" s="1025"/>
      <c r="T115" s="1025"/>
      <c r="U115" s="1025"/>
      <c r="V115" s="989">
        <v>9562</v>
      </c>
      <c r="W115" s="950"/>
      <c r="X115" s="989">
        <v>9562</v>
      </c>
      <c r="Y115" s="880"/>
      <c r="Z115" s="1380"/>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79"/>
      <c r="R116" s="1025"/>
      <c r="S116" s="1025"/>
      <c r="T116" s="1025"/>
      <c r="U116" s="1025"/>
      <c r="V116" s="989">
        <v>6309</v>
      </c>
      <c r="W116" s="950"/>
      <c r="X116" s="989">
        <v>6309</v>
      </c>
      <c r="Y116" s="880"/>
      <c r="Z116" s="1380"/>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79"/>
      <c r="R117" s="1025"/>
      <c r="S117" s="1025"/>
      <c r="T117" s="1025"/>
      <c r="U117" s="1025"/>
      <c r="V117" s="989">
        <v>10260</v>
      </c>
      <c r="W117" s="950"/>
      <c r="X117" s="989">
        <v>10260</v>
      </c>
      <c r="Y117" s="880"/>
      <c r="Z117" s="1380"/>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79"/>
      <c r="R118" s="1025"/>
      <c r="S118" s="1025"/>
      <c r="T118" s="1025"/>
      <c r="U118" s="1025"/>
      <c r="V118" s="989">
        <v>10080</v>
      </c>
      <c r="W118" s="950"/>
      <c r="X118" s="989">
        <v>10080</v>
      </c>
      <c r="Y118" s="880"/>
      <c r="Z118" s="1380"/>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79"/>
      <c r="R119" s="1025"/>
      <c r="S119" s="1025"/>
      <c r="T119" s="1025"/>
      <c r="U119" s="1025"/>
      <c r="V119" s="989">
        <v>6859</v>
      </c>
      <c r="W119" s="950"/>
      <c r="X119" s="989">
        <v>6859</v>
      </c>
      <c r="Y119" s="880"/>
      <c r="Z119" s="1380"/>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79"/>
      <c r="R120" s="1025"/>
      <c r="S120" s="1025"/>
      <c r="T120" s="1025"/>
      <c r="U120" s="1025"/>
      <c r="V120" s="989">
        <v>5873</v>
      </c>
      <c r="W120" s="950"/>
      <c r="X120" s="989">
        <v>5873</v>
      </c>
      <c r="Y120" s="880"/>
      <c r="Z120" s="1380"/>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79"/>
      <c r="R121" s="1025"/>
      <c r="S121" s="1025"/>
      <c r="T121" s="1025"/>
      <c r="U121" s="1025"/>
      <c r="V121" s="989">
        <v>4945</v>
      </c>
      <c r="W121" s="950"/>
      <c r="X121" s="989">
        <v>4945</v>
      </c>
      <c r="Y121" s="880"/>
      <c r="Z121" s="1380"/>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79"/>
      <c r="R122" s="1025"/>
      <c r="S122" s="1025"/>
      <c r="T122" s="1025"/>
      <c r="U122" s="1025"/>
      <c r="V122" s="989">
        <v>4275</v>
      </c>
      <c r="W122" s="950"/>
      <c r="X122" s="989">
        <v>4275</v>
      </c>
      <c r="Y122" s="880"/>
      <c r="Z122" s="1380"/>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79"/>
      <c r="R123" s="1025"/>
      <c r="S123" s="1025"/>
      <c r="T123" s="1025"/>
      <c r="U123" s="1025"/>
      <c r="V123" s="989">
        <v>6378</v>
      </c>
      <c r="W123" s="950"/>
      <c r="X123" s="989">
        <v>6378</v>
      </c>
      <c r="Y123" s="880"/>
      <c r="Z123" s="1380"/>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79"/>
      <c r="R124" s="1025"/>
      <c r="S124" s="1025"/>
      <c r="T124" s="1025"/>
      <c r="U124" s="1025"/>
      <c r="V124" s="989">
        <v>7373</v>
      </c>
      <c r="W124" s="950"/>
      <c r="X124" s="989">
        <v>7373</v>
      </c>
      <c r="Y124" s="880"/>
      <c r="Z124" s="1380"/>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79"/>
      <c r="R125" s="1025"/>
      <c r="S125" s="1025"/>
      <c r="T125" s="1025"/>
      <c r="U125" s="1025"/>
      <c r="V125" s="989">
        <v>5781</v>
      </c>
      <c r="W125" s="950"/>
      <c r="X125" s="989">
        <v>5781</v>
      </c>
      <c r="Y125" s="880"/>
      <c r="Z125" s="1380"/>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79"/>
      <c r="R126" s="1025"/>
      <c r="S126" s="1025"/>
      <c r="T126" s="1025"/>
      <c r="U126" s="1025"/>
      <c r="V126" s="989">
        <v>9051</v>
      </c>
      <c r="W126" s="950"/>
      <c r="X126" s="989">
        <v>9051</v>
      </c>
      <c r="Y126" s="880"/>
      <c r="Z126" s="1380"/>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79"/>
      <c r="R127" s="1025"/>
      <c r="S127" s="1025"/>
      <c r="T127" s="1025"/>
      <c r="U127" s="1025"/>
      <c r="V127" s="989">
        <v>7261</v>
      </c>
      <c r="W127" s="950"/>
      <c r="X127" s="989">
        <v>7261</v>
      </c>
      <c r="Y127" s="880"/>
      <c r="Z127" s="1380"/>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79"/>
      <c r="R128" s="1025"/>
      <c r="S128" s="1025"/>
      <c r="T128" s="1025"/>
      <c r="U128" s="1025"/>
      <c r="V128" s="989">
        <v>9638</v>
      </c>
      <c r="W128" s="950"/>
      <c r="X128" s="989">
        <v>9638</v>
      </c>
      <c r="Y128" s="880"/>
      <c r="Z128" s="1380"/>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79"/>
      <c r="R129" s="1025"/>
      <c r="S129" s="1025"/>
      <c r="T129" s="1025"/>
      <c r="U129" s="1025"/>
      <c r="V129" s="989">
        <v>8746</v>
      </c>
      <c r="W129" s="950"/>
      <c r="X129" s="989">
        <v>8746</v>
      </c>
      <c r="Y129" s="880"/>
      <c r="Z129" s="1380"/>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79"/>
      <c r="R130" s="1025"/>
      <c r="S130" s="1025"/>
      <c r="T130" s="1025"/>
      <c r="U130" s="1025"/>
      <c r="V130" s="1148"/>
      <c r="W130" s="950"/>
      <c r="X130" s="1148"/>
      <c r="Y130" s="880"/>
      <c r="Z130" s="1380"/>
      <c r="AA130" s="1381"/>
      <c r="AB130" s="1381"/>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9"/>
      <c r="R131" s="1025"/>
      <c r="S131" s="1025"/>
      <c r="T131" s="1025"/>
      <c r="U131" s="1025"/>
      <c r="V131" s="1148"/>
      <c r="W131" s="950"/>
      <c r="X131" s="1148"/>
      <c r="Y131" s="880"/>
      <c r="Z131" s="1380"/>
      <c r="AA131" s="1381"/>
      <c r="AB131" s="1381"/>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79"/>
      <c r="R142" s="1025"/>
      <c r="S142" s="1025"/>
      <c r="T142" s="1025"/>
      <c r="U142" s="1025"/>
      <c r="V142" s="950">
        <v>8641</v>
      </c>
      <c r="W142" s="1377"/>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2"/>
      <c r="R143" s="1027"/>
      <c r="S143" s="1027"/>
      <c r="T143" s="1027"/>
      <c r="U143" s="1027"/>
      <c r="V143" s="1029">
        <v>7502</v>
      </c>
      <c r="W143" s="1383"/>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3"/>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P42" activePane="topRight" state="frozen"/>
      <selection pane="topRight" activeCell="U45" sqref="U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4"/>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69">
        <v>109</v>
      </c>
      <c r="I14" s="668" t="s">
        <v>319</v>
      </c>
      <c r="J14" s="671" t="s">
        <v>55</v>
      </c>
      <c r="K14" s="1364"/>
      <c r="L14" s="1009">
        <v>45663</v>
      </c>
      <c r="M14" s="914" t="s">
        <v>56</v>
      </c>
      <c r="N14" s="1370">
        <v>123587.5</v>
      </c>
      <c r="O14" s="1369" t="s">
        <v>56</v>
      </c>
      <c r="P14" s="1384" t="s">
        <v>320</v>
      </c>
      <c r="Q14" s="1371">
        <v>46008</v>
      </c>
      <c r="R14" s="1371"/>
      <c r="S14" s="1371"/>
      <c r="T14" s="1371"/>
      <c r="U14" s="1371"/>
      <c r="V14" s="1372">
        <v>6825</v>
      </c>
      <c r="W14" s="1385">
        <v>6575</v>
      </c>
      <c r="X14" s="1367">
        <f>SUM(V14-W14)</f>
        <v>250</v>
      </c>
      <c r="Y14" s="527">
        <f>IFERROR($W14/$V14, 0)</f>
        <v>0.96336996336996339</v>
      </c>
      <c r="Z14" s="1371">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5"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6">
        <v>4810</v>
      </c>
      <c r="X27" s="1057">
        <f t="shared" ref="X27:X28" si="11">SUM(V27-W27)</f>
        <v>26</v>
      </c>
      <c r="Y27" s="1047">
        <f t="shared" si="10"/>
        <v>0.9946236559139785</v>
      </c>
      <c r="Z27" s="1382">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7">
        <v>7151</v>
      </c>
      <c r="X28" s="950">
        <f t="shared" si="11"/>
        <v>190</v>
      </c>
      <c r="Y28" s="707">
        <f t="shared" si="10"/>
        <v>0.97411796757934888</v>
      </c>
      <c r="Z28" s="1379">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46045</v>
      </c>
      <c r="D32" s="773" t="s">
        <v>109</v>
      </c>
      <c r="E32" s="302">
        <v>45959</v>
      </c>
      <c r="F32" s="301" t="s">
        <v>114</v>
      </c>
      <c r="G32" s="507"/>
      <c r="H32" s="303">
        <v>89</v>
      </c>
      <c r="I32" s="774" t="s">
        <v>319</v>
      </c>
      <c r="J32" s="775" t="s">
        <v>55</v>
      </c>
      <c r="K32" s="517"/>
      <c r="L32" s="20">
        <v>45964</v>
      </c>
      <c r="M32" s="21" t="s">
        <v>56</v>
      </c>
      <c r="N32" s="678">
        <v>84750.5</v>
      </c>
      <c r="O32" s="21" t="s">
        <v>56</v>
      </c>
      <c r="P32" s="838" t="s">
        <v>320</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402</v>
      </c>
    </row>
    <row r="33" spans="1:30" ht="39.75" customHeight="1">
      <c r="A33" s="839" t="s">
        <v>403</v>
      </c>
      <c r="B33" s="358" t="s">
        <v>384</v>
      </c>
      <c r="C33" s="302">
        <v>45989</v>
      </c>
      <c r="D33" s="773" t="s">
        <v>109</v>
      </c>
      <c r="E33" s="302">
        <v>45959</v>
      </c>
      <c r="F33" s="301" t="s">
        <v>114</v>
      </c>
      <c r="G33" s="507" t="s">
        <v>404</v>
      </c>
      <c r="H33" s="303">
        <v>59</v>
      </c>
      <c r="I33" s="774" t="s">
        <v>319</v>
      </c>
      <c r="J33" s="775" t="s">
        <v>55</v>
      </c>
      <c r="K33" s="517"/>
      <c r="L33" s="20">
        <v>45964</v>
      </c>
      <c r="M33" s="775" t="s">
        <v>56</v>
      </c>
      <c r="N33" s="678">
        <v>65066.5</v>
      </c>
      <c r="O33" s="21" t="s">
        <v>56</v>
      </c>
      <c r="P33" s="838" t="s">
        <v>320</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405</v>
      </c>
    </row>
    <row r="34" spans="1:30" ht="39.75" customHeight="1">
      <c r="A34" s="839" t="s">
        <v>406</v>
      </c>
      <c r="B34" s="358" t="s">
        <v>384</v>
      </c>
      <c r="C34" s="302">
        <v>46010</v>
      </c>
      <c r="D34" s="773" t="s">
        <v>109</v>
      </c>
      <c r="E34" s="302">
        <v>45959</v>
      </c>
      <c r="F34" s="301" t="s">
        <v>114</v>
      </c>
      <c r="G34" s="507" t="s">
        <v>407</v>
      </c>
      <c r="H34" s="303">
        <v>89</v>
      </c>
      <c r="I34" s="774" t="s">
        <v>319</v>
      </c>
      <c r="J34" s="775" t="s">
        <v>55</v>
      </c>
      <c r="K34" s="517"/>
      <c r="L34" s="20">
        <v>45964</v>
      </c>
      <c r="M34" s="775" t="s">
        <v>56</v>
      </c>
      <c r="N34" s="678">
        <v>81602</v>
      </c>
      <c r="O34" s="21" t="s">
        <v>56</v>
      </c>
      <c r="P34" s="838" t="s">
        <v>320</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408</v>
      </c>
    </row>
    <row r="35" spans="1:30" ht="39.75" customHeight="1">
      <c r="A35" s="839" t="s">
        <v>409</v>
      </c>
      <c r="B35" s="358" t="s">
        <v>384</v>
      </c>
      <c r="C35" s="302">
        <v>46045</v>
      </c>
      <c r="D35" s="773" t="s">
        <v>109</v>
      </c>
      <c r="E35" s="302">
        <v>45959</v>
      </c>
      <c r="F35" s="301" t="s">
        <v>114</v>
      </c>
      <c r="G35" s="507"/>
      <c r="H35" s="303">
        <v>88</v>
      </c>
      <c r="I35" s="774" t="s">
        <v>319</v>
      </c>
      <c r="J35" s="775" t="s">
        <v>55</v>
      </c>
      <c r="K35" s="517"/>
      <c r="L35" s="20">
        <v>45961</v>
      </c>
      <c r="M35" s="21" t="s">
        <v>56</v>
      </c>
      <c r="N35" s="678">
        <v>88231.9</v>
      </c>
      <c r="O35" s="21" t="s">
        <v>56</v>
      </c>
      <c r="P35" s="838" t="s">
        <v>320</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410</v>
      </c>
    </row>
    <row r="36" spans="1:30" ht="39.75" customHeight="1">
      <c r="A36" s="839" t="s">
        <v>411</v>
      </c>
      <c r="B36" s="358" t="s">
        <v>384</v>
      </c>
      <c r="C36" s="302">
        <v>45989</v>
      </c>
      <c r="D36" s="773" t="s">
        <v>109</v>
      </c>
      <c r="E36" s="302">
        <v>45959</v>
      </c>
      <c r="F36" s="301" t="s">
        <v>114</v>
      </c>
      <c r="G36" s="507" t="s">
        <v>412</v>
      </c>
      <c r="H36" s="303">
        <v>87</v>
      </c>
      <c r="I36" s="774" t="s">
        <v>319</v>
      </c>
      <c r="J36" s="775" t="s">
        <v>55</v>
      </c>
      <c r="K36" s="517"/>
      <c r="L36" s="20">
        <v>45964</v>
      </c>
      <c r="M36" s="775" t="s">
        <v>56</v>
      </c>
      <c r="N36" s="678">
        <v>93578</v>
      </c>
      <c r="O36" s="21" t="s">
        <v>56</v>
      </c>
      <c r="P36" s="838" t="s">
        <v>320</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413</v>
      </c>
    </row>
    <row r="37" spans="1:30" ht="39.75" customHeight="1">
      <c r="A37" s="839" t="s">
        <v>414</v>
      </c>
      <c r="B37" s="358" t="s">
        <v>384</v>
      </c>
      <c r="C37" s="302">
        <v>46045</v>
      </c>
      <c r="D37" s="773" t="s">
        <v>109</v>
      </c>
      <c r="E37" s="302">
        <v>45959</v>
      </c>
      <c r="F37" s="301" t="s">
        <v>114</v>
      </c>
      <c r="G37" s="507"/>
      <c r="H37" s="303">
        <v>90</v>
      </c>
      <c r="I37" s="774" t="s">
        <v>319</v>
      </c>
      <c r="J37" s="775" t="s">
        <v>55</v>
      </c>
      <c r="K37" s="517"/>
      <c r="L37" s="20">
        <v>45964</v>
      </c>
      <c r="M37" s="21" t="s">
        <v>56</v>
      </c>
      <c r="N37" s="678">
        <v>84896</v>
      </c>
      <c r="O37" s="21" t="s">
        <v>56</v>
      </c>
      <c r="P37" s="838" t="s">
        <v>320</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415</v>
      </c>
    </row>
    <row r="38" spans="1:30" ht="39.75" customHeight="1">
      <c r="A38" s="990" t="s">
        <v>416</v>
      </c>
      <c r="B38" s="879" t="s">
        <v>384</v>
      </c>
      <c r="C38" s="972">
        <v>46019</v>
      </c>
      <c r="D38" s="773" t="s">
        <v>109</v>
      </c>
      <c r="E38" s="972">
        <v>45959</v>
      </c>
      <c r="F38" s="973" t="s">
        <v>114</v>
      </c>
      <c r="G38" s="973" t="s">
        <v>417</v>
      </c>
      <c r="H38" s="974">
        <v>90</v>
      </c>
      <c r="I38" s="774" t="s">
        <v>319</v>
      </c>
      <c r="J38" s="962" t="s">
        <v>55</v>
      </c>
      <c r="K38" s="517"/>
      <c r="L38" s="976">
        <v>45961</v>
      </c>
      <c r="M38" s="962" t="s">
        <v>56</v>
      </c>
      <c r="N38" s="991">
        <v>91897</v>
      </c>
      <c r="O38" s="978" t="s">
        <v>56</v>
      </c>
      <c r="P38" s="992" t="s">
        <v>320</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418</v>
      </c>
    </row>
    <row r="39" spans="1:30" ht="39.75" customHeight="1">
      <c r="A39" s="839" t="s">
        <v>419</v>
      </c>
      <c r="B39" s="358" t="s">
        <v>384</v>
      </c>
      <c r="C39" s="302">
        <v>45989</v>
      </c>
      <c r="D39" s="773" t="s">
        <v>109</v>
      </c>
      <c r="E39" s="302">
        <v>45959</v>
      </c>
      <c r="F39" s="301" t="s">
        <v>114</v>
      </c>
      <c r="G39" s="507" t="s">
        <v>420</v>
      </c>
      <c r="H39" s="303">
        <v>90</v>
      </c>
      <c r="I39" s="774" t="s">
        <v>319</v>
      </c>
      <c r="J39" s="775" t="s">
        <v>55</v>
      </c>
      <c r="K39" s="517"/>
      <c r="L39" s="20">
        <v>45964</v>
      </c>
      <c r="M39" s="775" t="s">
        <v>56</v>
      </c>
      <c r="N39" s="678">
        <v>96685</v>
      </c>
      <c r="O39" s="21" t="s">
        <v>56</v>
      </c>
      <c r="P39" s="838" t="s">
        <v>320</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421</v>
      </c>
    </row>
    <row r="40" spans="1:30" ht="39.75" customHeight="1">
      <c r="A40" s="990" t="s">
        <v>422</v>
      </c>
      <c r="B40" s="879" t="s">
        <v>384</v>
      </c>
      <c r="C40" s="972">
        <v>46019</v>
      </c>
      <c r="D40" s="773" t="s">
        <v>109</v>
      </c>
      <c r="E40" s="972">
        <v>45959</v>
      </c>
      <c r="F40" s="973" t="s">
        <v>114</v>
      </c>
      <c r="G40" s="973" t="s">
        <v>423</v>
      </c>
      <c r="H40" s="974">
        <v>90</v>
      </c>
      <c r="I40" s="774" t="s">
        <v>319</v>
      </c>
      <c r="J40" s="962" t="s">
        <v>55</v>
      </c>
      <c r="K40" s="975"/>
      <c r="L40" s="976">
        <v>45964</v>
      </c>
      <c r="M40" s="962" t="s">
        <v>56</v>
      </c>
      <c r="N40" s="991">
        <v>85815</v>
      </c>
      <c r="O40" s="978" t="s">
        <v>56</v>
      </c>
      <c r="P40" s="992" t="s">
        <v>320</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424</v>
      </c>
    </row>
    <row r="41" spans="1:30" ht="39.75" customHeight="1">
      <c r="A41" s="990" t="s">
        <v>425</v>
      </c>
      <c r="B41" s="879" t="s">
        <v>384</v>
      </c>
      <c r="C41" s="972">
        <v>46021</v>
      </c>
      <c r="D41" s="773" t="s">
        <v>109</v>
      </c>
      <c r="E41" s="972">
        <v>45959</v>
      </c>
      <c r="F41" s="973" t="s">
        <v>114</v>
      </c>
      <c r="G41" s="973" t="s">
        <v>426</v>
      </c>
      <c r="H41" s="974">
        <v>88</v>
      </c>
      <c r="I41" s="774" t="s">
        <v>319</v>
      </c>
      <c r="J41" s="962" t="s">
        <v>55</v>
      </c>
      <c r="K41" s="517"/>
      <c r="L41" s="976">
        <v>45964</v>
      </c>
      <c r="M41" s="962" t="s">
        <v>56</v>
      </c>
      <c r="N41" s="991">
        <v>78736.5</v>
      </c>
      <c r="O41" s="978" t="s">
        <v>56</v>
      </c>
      <c r="P41" s="992" t="s">
        <v>320</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427</v>
      </c>
    </row>
    <row r="42" spans="1:30" ht="39.75" customHeight="1">
      <c r="A42" s="990" t="s">
        <v>428</v>
      </c>
      <c r="B42" s="879" t="s">
        <v>384</v>
      </c>
      <c r="C42" s="972">
        <v>46021</v>
      </c>
      <c r="D42" s="773" t="s">
        <v>109</v>
      </c>
      <c r="E42" s="972">
        <v>45959</v>
      </c>
      <c r="F42" s="973" t="s">
        <v>114</v>
      </c>
      <c r="G42" s="973" t="s">
        <v>429</v>
      </c>
      <c r="H42" s="974">
        <v>86</v>
      </c>
      <c r="I42" s="774" t="s">
        <v>319</v>
      </c>
      <c r="J42" s="962" t="s">
        <v>55</v>
      </c>
      <c r="K42" s="517"/>
      <c r="L42" s="976">
        <v>45964</v>
      </c>
      <c r="M42" s="962" t="s">
        <v>56</v>
      </c>
      <c r="N42" s="991">
        <v>80698</v>
      </c>
      <c r="O42" s="978" t="s">
        <v>56</v>
      </c>
      <c r="P42" s="992" t="s">
        <v>320</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430</v>
      </c>
    </row>
    <row r="43" spans="1:30" ht="39.75" customHeight="1">
      <c r="A43" s="990" t="s">
        <v>431</v>
      </c>
      <c r="B43" s="879" t="s">
        <v>384</v>
      </c>
      <c r="C43" s="1042">
        <v>46052</v>
      </c>
      <c r="D43" s="773" t="s">
        <v>109</v>
      </c>
      <c r="E43" s="972">
        <v>45959</v>
      </c>
      <c r="F43" s="973" t="s">
        <v>114</v>
      </c>
      <c r="G43" s="973" t="s">
        <v>432</v>
      </c>
      <c r="H43" s="974">
        <v>87</v>
      </c>
      <c r="I43" s="774" t="s">
        <v>319</v>
      </c>
      <c r="J43" s="962" t="s">
        <v>55</v>
      </c>
      <c r="K43" s="517"/>
      <c r="L43" s="976">
        <v>45964</v>
      </c>
      <c r="M43" s="962" t="s">
        <v>56</v>
      </c>
      <c r="N43" s="991">
        <v>79552</v>
      </c>
      <c r="O43" s="978" t="s">
        <v>56</v>
      </c>
      <c r="P43" s="992" t="s">
        <v>320</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433</v>
      </c>
    </row>
    <row r="44" spans="1:30" ht="39.75" customHeight="1">
      <c r="A44" s="990" t="s">
        <v>434</v>
      </c>
      <c r="B44" s="879" t="s">
        <v>384</v>
      </c>
      <c r="C44" s="972">
        <v>46019</v>
      </c>
      <c r="D44" s="773" t="s">
        <v>109</v>
      </c>
      <c r="E44" s="972">
        <v>45959</v>
      </c>
      <c r="F44" s="973" t="s">
        <v>114</v>
      </c>
      <c r="G44" s="973" t="s">
        <v>435</v>
      </c>
      <c r="H44" s="974">
        <v>87</v>
      </c>
      <c r="I44" s="774" t="s">
        <v>319</v>
      </c>
      <c r="J44" s="962" t="s">
        <v>55</v>
      </c>
      <c r="K44" s="975"/>
      <c r="L44" s="976">
        <v>45964</v>
      </c>
      <c r="M44" s="962" t="s">
        <v>56</v>
      </c>
      <c r="N44" s="991">
        <v>87875</v>
      </c>
      <c r="O44" s="978" t="s">
        <v>56</v>
      </c>
      <c r="P44" s="992" t="s">
        <v>320</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436</v>
      </c>
    </row>
    <row r="45" spans="1:30" ht="39.75" customHeight="1">
      <c r="A45" s="990" t="s">
        <v>437</v>
      </c>
      <c r="B45" s="879" t="s">
        <v>384</v>
      </c>
      <c r="C45" s="1042">
        <v>46052</v>
      </c>
      <c r="D45" s="773" t="s">
        <v>109</v>
      </c>
      <c r="E45" s="972">
        <v>45987</v>
      </c>
      <c r="F45" s="973" t="s">
        <v>114</v>
      </c>
      <c r="G45" s="973" t="s">
        <v>438</v>
      </c>
      <c r="H45" s="974">
        <v>85</v>
      </c>
      <c r="I45" s="774" t="s">
        <v>319</v>
      </c>
      <c r="J45" s="962" t="s">
        <v>55</v>
      </c>
      <c r="K45" s="975"/>
      <c r="L45" s="976">
        <v>45987</v>
      </c>
      <c r="M45" s="962" t="s">
        <v>56</v>
      </c>
      <c r="N45" s="991">
        <v>84092.5</v>
      </c>
      <c r="O45" s="978" t="s">
        <v>56</v>
      </c>
      <c r="P45" s="1021" t="s">
        <v>320</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439</v>
      </c>
    </row>
    <row r="46" spans="1:30" ht="39.75" customHeight="1">
      <c r="A46" s="990" t="s">
        <v>440</v>
      </c>
      <c r="B46" s="879" t="s">
        <v>384</v>
      </c>
      <c r="C46" s="1042">
        <v>46052</v>
      </c>
      <c r="D46" s="773" t="s">
        <v>109</v>
      </c>
      <c r="E46" s="972">
        <v>45987</v>
      </c>
      <c r="F46" s="1048" t="s">
        <v>114</v>
      </c>
      <c r="G46" s="973" t="s">
        <v>441</v>
      </c>
      <c r="H46" s="974">
        <v>78</v>
      </c>
      <c r="I46" s="525" t="s">
        <v>319</v>
      </c>
      <c r="J46" s="978" t="s">
        <v>55</v>
      </c>
      <c r="K46" s="1050"/>
      <c r="L46" s="976">
        <v>45987</v>
      </c>
      <c r="M46" s="962" t="s">
        <v>56</v>
      </c>
      <c r="N46" s="991">
        <v>60606.5</v>
      </c>
      <c r="O46" s="978" t="s">
        <v>56</v>
      </c>
      <c r="P46" s="1021" t="s">
        <v>320</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442</v>
      </c>
    </row>
    <row r="47" spans="1:30" ht="39.75" customHeight="1">
      <c r="A47" s="990" t="s">
        <v>443</v>
      </c>
      <c r="B47" s="879" t="s">
        <v>384</v>
      </c>
      <c r="C47" s="972">
        <v>46019</v>
      </c>
      <c r="D47" s="773" t="s">
        <v>109</v>
      </c>
      <c r="E47" s="972">
        <v>45959</v>
      </c>
      <c r="F47" s="973" t="s">
        <v>114</v>
      </c>
      <c r="G47" s="973" t="s">
        <v>444</v>
      </c>
      <c r="H47" s="974">
        <v>0</v>
      </c>
      <c r="I47" s="774" t="s">
        <v>319</v>
      </c>
      <c r="J47" s="962" t="s">
        <v>55</v>
      </c>
      <c r="K47" s="975"/>
      <c r="L47" s="976">
        <v>45961</v>
      </c>
      <c r="M47" s="962" t="s">
        <v>56</v>
      </c>
      <c r="N47" s="991">
        <v>54043.5</v>
      </c>
      <c r="O47" s="978" t="s">
        <v>56</v>
      </c>
      <c r="P47" s="992" t="s">
        <v>320</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445</v>
      </c>
    </row>
    <row r="48" spans="1:30" ht="39.75" customHeight="1">
      <c r="A48" s="841" t="s">
        <v>446</v>
      </c>
      <c r="B48" s="640" t="s">
        <v>50</v>
      </c>
      <c r="C48" s="715">
        <v>45991</v>
      </c>
      <c r="D48" s="853" t="s">
        <v>132</v>
      </c>
      <c r="E48" s="25">
        <v>45743</v>
      </c>
      <c r="F48" s="625" t="s">
        <v>52</v>
      </c>
      <c r="G48" s="641" t="s">
        <v>447</v>
      </c>
      <c r="H48" s="629">
        <v>69</v>
      </c>
      <c r="I48" s="526" t="s">
        <v>319</v>
      </c>
      <c r="J48" s="365" t="s">
        <v>55</v>
      </c>
      <c r="K48" s="725"/>
      <c r="L48" s="20">
        <v>45741</v>
      </c>
      <c r="M48" s="303" t="s">
        <v>56</v>
      </c>
      <c r="N48" s="678">
        <v>67734.5</v>
      </c>
      <c r="O48" s="303" t="s">
        <v>56</v>
      </c>
      <c r="P48" s="838" t="s">
        <v>320</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448</v>
      </c>
    </row>
    <row r="49" spans="1:30" ht="39.75" customHeight="1">
      <c r="A49" s="841" t="s">
        <v>449</v>
      </c>
      <c r="B49" s="624" t="s">
        <v>50</v>
      </c>
      <c r="C49" s="715">
        <v>45991</v>
      </c>
      <c r="D49" s="842" t="s">
        <v>450</v>
      </c>
      <c r="E49" s="626">
        <v>45735</v>
      </c>
      <c r="F49" s="625" t="s">
        <v>52</v>
      </c>
      <c r="G49" s="628" t="s">
        <v>451</v>
      </c>
      <c r="H49" s="629">
        <v>70</v>
      </c>
      <c r="I49" s="366" t="s">
        <v>319</v>
      </c>
      <c r="J49" s="373" t="s">
        <v>55</v>
      </c>
      <c r="K49" s="21"/>
      <c r="L49" s="302">
        <v>45716</v>
      </c>
      <c r="M49" s="21" t="s">
        <v>56</v>
      </c>
      <c r="N49" s="845">
        <v>56262.5</v>
      </c>
      <c r="O49" s="21" t="s">
        <v>56</v>
      </c>
      <c r="P49" s="838" t="s">
        <v>320</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452</v>
      </c>
    </row>
    <row r="50" spans="1:30" ht="39.75" customHeight="1">
      <c r="A50" s="959" t="s">
        <v>453</v>
      </c>
      <c r="B50" s="663" t="s">
        <v>50</v>
      </c>
      <c r="C50" s="901">
        <v>46080</v>
      </c>
      <c r="D50" s="913" t="s">
        <v>51</v>
      </c>
      <c r="E50" s="912">
        <v>45748</v>
      </c>
      <c r="F50" s="370" t="s">
        <v>52</v>
      </c>
      <c r="G50" s="913" t="s">
        <v>454</v>
      </c>
      <c r="H50" s="914">
        <v>0</v>
      </c>
      <c r="I50" s="914" t="s">
        <v>319</v>
      </c>
      <c r="J50" s="914" t="s">
        <v>55</v>
      </c>
      <c r="K50" s="914"/>
      <c r="L50" s="912">
        <v>46028</v>
      </c>
      <c r="M50" s="914" t="s">
        <v>56</v>
      </c>
      <c r="N50" s="925">
        <v>29634.15</v>
      </c>
      <c r="O50" s="914" t="s">
        <v>56</v>
      </c>
      <c r="P50" s="960" t="s">
        <v>320</v>
      </c>
      <c r="Q50" s="917">
        <v>45743</v>
      </c>
      <c r="R50" s="917"/>
      <c r="S50" s="917"/>
      <c r="T50" s="917"/>
      <c r="U50" s="917"/>
      <c r="V50" s="918">
        <v>1831</v>
      </c>
      <c r="W50" s="961">
        <v>1904</v>
      </c>
      <c r="X50" s="907">
        <f>SUM(V50-W50)</f>
        <v>-73</v>
      </c>
      <c r="Y50" s="527">
        <f>IFERROR($W50/$V50, 0)</f>
        <v>1.0398689240851993</v>
      </c>
      <c r="Z50" s="917">
        <v>45790</v>
      </c>
      <c r="AA50" s="909">
        <v>0</v>
      </c>
      <c r="AB50" s="909">
        <v>0</v>
      </c>
      <c r="AC50" s="918">
        <v>0</v>
      </c>
      <c r="AD50" s="930" t="s">
        <v>455</v>
      </c>
    </row>
    <row r="51" spans="1:30" ht="39.75" customHeight="1">
      <c r="A51" s="747" t="s">
        <v>456</v>
      </c>
      <c r="B51" s="663" t="s">
        <v>50</v>
      </c>
      <c r="C51" s="363">
        <v>45991</v>
      </c>
      <c r="D51" s="363" t="s">
        <v>132</v>
      </c>
      <c r="E51" s="371">
        <v>45748</v>
      </c>
      <c r="F51" s="370" t="s">
        <v>52</v>
      </c>
      <c r="G51" s="664" t="s">
        <v>457</v>
      </c>
      <c r="H51" s="373">
        <v>0</v>
      </c>
      <c r="I51" s="373" t="s">
        <v>319</v>
      </c>
      <c r="J51" s="365" t="s">
        <v>55</v>
      </c>
      <c r="K51" s="665"/>
      <c r="L51" s="371">
        <v>45741</v>
      </c>
      <c r="M51" s="365" t="s">
        <v>56</v>
      </c>
      <c r="N51" s="785">
        <v>17203.45</v>
      </c>
      <c r="O51" s="365" t="s">
        <v>56</v>
      </c>
      <c r="P51" s="772" t="s">
        <v>320</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7" t="s">
        <v>458</v>
      </c>
    </row>
    <row r="52" spans="1:30" ht="39.75" customHeight="1">
      <c r="A52" s="959" t="s">
        <v>459</v>
      </c>
      <c r="B52" s="663" t="s">
        <v>50</v>
      </c>
      <c r="C52" s="901">
        <v>46048</v>
      </c>
      <c r="D52" s="901" t="s">
        <v>460</v>
      </c>
      <c r="E52" s="912">
        <v>45748</v>
      </c>
      <c r="F52" s="666" t="s">
        <v>52</v>
      </c>
      <c r="G52" s="913" t="s">
        <v>461</v>
      </c>
      <c r="H52" s="914">
        <v>0</v>
      </c>
      <c r="I52" s="914" t="s">
        <v>319</v>
      </c>
      <c r="J52" s="903" t="s">
        <v>55</v>
      </c>
      <c r="K52" s="665"/>
      <c r="L52" s="912">
        <v>45742</v>
      </c>
      <c r="M52" s="903" t="s">
        <v>56</v>
      </c>
      <c r="N52" s="925">
        <v>13442.35</v>
      </c>
      <c r="O52" s="903" t="s">
        <v>56</v>
      </c>
      <c r="P52" s="1095" t="s">
        <v>320</v>
      </c>
      <c r="Q52" s="917">
        <v>46027</v>
      </c>
      <c r="R52" s="917"/>
      <c r="S52" s="917"/>
      <c r="T52" s="917"/>
      <c r="U52" s="917"/>
      <c r="V52" s="908">
        <v>831</v>
      </c>
      <c r="W52" s="1122">
        <v>863</v>
      </c>
      <c r="X52" s="907">
        <f t="shared" ref="X52" si="16">SUM(V52-W52)</f>
        <v>-32</v>
      </c>
      <c r="Y52" s="527">
        <f t="shared" ref="Y52" si="17">IFERROR($W52/$V52, 0)</f>
        <v>1.0385078219013237</v>
      </c>
      <c r="Z52" s="917">
        <v>46034</v>
      </c>
      <c r="AA52" s="909">
        <v>0</v>
      </c>
      <c r="AB52" s="909">
        <v>0</v>
      </c>
      <c r="AC52" s="512">
        <v>0</v>
      </c>
      <c r="AD52" s="1124" t="s">
        <v>462</v>
      </c>
    </row>
    <row r="53" spans="1:30" ht="39.75" customHeight="1">
      <c r="A53" s="841" t="s">
        <v>463</v>
      </c>
      <c r="B53" s="640" t="s">
        <v>50</v>
      </c>
      <c r="C53" s="715">
        <v>45991</v>
      </c>
      <c r="D53" s="853" t="s">
        <v>132</v>
      </c>
      <c r="E53" s="25">
        <v>45779</v>
      </c>
      <c r="F53" s="625" t="s">
        <v>52</v>
      </c>
      <c r="G53" s="641" t="s">
        <v>464</v>
      </c>
      <c r="H53" s="629">
        <v>0</v>
      </c>
      <c r="I53" s="373" t="s">
        <v>319</v>
      </c>
      <c r="J53" s="365" t="s">
        <v>55</v>
      </c>
      <c r="K53" s="725"/>
      <c r="L53" s="20">
        <v>45742</v>
      </c>
      <c r="M53" s="731" t="s">
        <v>56</v>
      </c>
      <c r="N53" s="845">
        <v>23800.25</v>
      </c>
      <c r="O53" s="303" t="s">
        <v>56</v>
      </c>
      <c r="P53" s="838" t="s">
        <v>320</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6" t="s">
        <v>465</v>
      </c>
    </row>
    <row r="54" spans="1:30" ht="39.75" customHeight="1">
      <c r="A54" s="959" t="s">
        <v>466</v>
      </c>
      <c r="B54" s="663" t="s">
        <v>50</v>
      </c>
      <c r="C54" s="901">
        <v>46044</v>
      </c>
      <c r="D54" s="901" t="s">
        <v>132</v>
      </c>
      <c r="E54" s="912">
        <v>45700</v>
      </c>
      <c r="F54" s="912" t="s">
        <v>52</v>
      </c>
      <c r="G54" s="912" t="s">
        <v>467</v>
      </c>
      <c r="H54" s="914">
        <v>0</v>
      </c>
      <c r="I54" s="914" t="s">
        <v>319</v>
      </c>
      <c r="J54" s="914" t="s">
        <v>55</v>
      </c>
      <c r="K54" s="914"/>
      <c r="L54" s="912">
        <v>45700</v>
      </c>
      <c r="M54" s="914" t="s">
        <v>56</v>
      </c>
      <c r="N54" s="925">
        <v>19745.25</v>
      </c>
      <c r="O54" s="914" t="s">
        <v>56</v>
      </c>
      <c r="P54" s="1095" t="s">
        <v>320</v>
      </c>
      <c r="Q54" s="917">
        <v>45696</v>
      </c>
      <c r="R54" s="917"/>
      <c r="S54" s="917"/>
      <c r="T54" s="917"/>
      <c r="U54" s="917"/>
      <c r="V54" s="918">
        <v>1534</v>
      </c>
      <c r="W54" s="961">
        <v>1571</v>
      </c>
      <c r="X54" s="907">
        <f t="shared" si="13"/>
        <v>-37</v>
      </c>
      <c r="Y54" s="527">
        <f t="shared" si="10"/>
        <v>1.0241199478487615</v>
      </c>
      <c r="Z54" s="917">
        <v>45736</v>
      </c>
      <c r="AA54" s="909">
        <v>0</v>
      </c>
      <c r="AB54" s="909">
        <v>0</v>
      </c>
      <c r="AC54" s="657">
        <v>0</v>
      </c>
      <c r="AD54" s="1105" t="s">
        <v>468</v>
      </c>
    </row>
    <row r="55" spans="1:30" ht="39.75" customHeight="1">
      <c r="A55" s="959" t="s">
        <v>469</v>
      </c>
      <c r="B55" s="663" t="s">
        <v>50</v>
      </c>
      <c r="C55" s="901">
        <v>46218</v>
      </c>
      <c r="D55" s="901" t="s">
        <v>470</v>
      </c>
      <c r="E55" s="20" t="s">
        <v>333</v>
      </c>
      <c r="F55" s="913" t="s">
        <v>52</v>
      </c>
      <c r="G55" s="913" t="s">
        <v>471</v>
      </c>
      <c r="H55" s="914">
        <v>380</v>
      </c>
      <c r="I55" s="526" t="s">
        <v>319</v>
      </c>
      <c r="J55" s="903" t="s">
        <v>67</v>
      </c>
      <c r="K55" s="934"/>
      <c r="L55" s="912">
        <v>45964</v>
      </c>
      <c r="M55" s="914" t="s">
        <v>56</v>
      </c>
      <c r="N55" s="925">
        <v>117414</v>
      </c>
      <c r="O55" s="914" t="s">
        <v>56</v>
      </c>
      <c r="P55" s="960" t="s">
        <v>320</v>
      </c>
      <c r="Q55" s="917">
        <v>45964</v>
      </c>
      <c r="R55" s="917"/>
      <c r="S55" s="917"/>
      <c r="T55" s="917"/>
      <c r="U55" s="917"/>
      <c r="V55" s="918">
        <v>9181</v>
      </c>
      <c r="W55" s="961">
        <v>9179</v>
      </c>
      <c r="X55" s="907">
        <f>SUM(V55-W55)</f>
        <v>2</v>
      </c>
      <c r="Y55" s="695">
        <f t="shared" si="10"/>
        <v>0.99978215880623023</v>
      </c>
      <c r="Z55" s="906">
        <v>45992</v>
      </c>
      <c r="AA55" s="909">
        <v>1</v>
      </c>
      <c r="AB55" s="909">
        <v>0</v>
      </c>
      <c r="AC55" s="512">
        <v>0</v>
      </c>
      <c r="AD55" s="1098" t="s">
        <v>472</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5 K1:K4 K11:K30 K39:K47"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0:L55 Q53:U55 L38:L47 U42 L30 Q30:U30 Q38:T45 D26:D29 L1:L25 Q1:U25 Q46:U47 U26:U27 R26:T28 D31: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144</v>
      </c>
      <c r="C2" s="302">
        <v>45868</v>
      </c>
      <c r="D2" s="19" t="s">
        <v>476</v>
      </c>
      <c r="E2" s="20">
        <v>45716</v>
      </c>
      <c r="F2" s="19" t="s">
        <v>157</v>
      </c>
      <c r="G2" s="1299" t="s">
        <v>477</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144</v>
      </c>
      <c r="C3" s="302">
        <v>45991</v>
      </c>
      <c r="D3" s="20" t="s">
        <v>344</v>
      </c>
      <c r="E3" s="523">
        <v>45707</v>
      </c>
      <c r="F3" s="19" t="s">
        <v>157</v>
      </c>
      <c r="G3" s="524" t="s">
        <v>480</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144</v>
      </c>
      <c r="C4" s="20">
        <v>45807</v>
      </c>
      <c r="D4" s="20" t="s">
        <v>483</v>
      </c>
      <c r="E4" s="20">
        <v>45706</v>
      </c>
      <c r="F4" s="19" t="s">
        <v>157</v>
      </c>
      <c r="G4" s="309" t="s">
        <v>484</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80</v>
      </c>
      <c r="C7" s="20">
        <v>45772</v>
      </c>
      <c r="D7" s="20" t="s">
        <v>132</v>
      </c>
      <c r="E7" s="523">
        <v>45691</v>
      </c>
      <c r="F7" s="523" t="s">
        <v>82</v>
      </c>
      <c r="G7" s="535" t="s">
        <v>493</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6" t="s">
        <v>495</v>
      </c>
      <c r="E8" s="302">
        <v>45735</v>
      </c>
      <c r="F8" s="516" t="s">
        <v>82</v>
      </c>
      <c r="G8" s="449" t="s">
        <v>496</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80</v>
      </c>
      <c r="C9" s="302">
        <v>45868</v>
      </c>
      <c r="D9" s="465" t="s">
        <v>109</v>
      </c>
      <c r="E9" s="302">
        <v>45813</v>
      </c>
      <c r="F9" s="465" t="s">
        <v>114</v>
      </c>
      <c r="G9" s="449" t="s">
        <v>499</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80</v>
      </c>
      <c r="C10" s="302">
        <v>45807</v>
      </c>
      <c r="D10" s="516" t="s">
        <v>109</v>
      </c>
      <c r="E10" s="302">
        <v>45778</v>
      </c>
      <c r="F10" s="301" t="s">
        <v>82</v>
      </c>
      <c r="G10" s="536" t="s">
        <v>502</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80</v>
      </c>
      <c r="C11" s="20">
        <v>45787</v>
      </c>
      <c r="D11" s="523" t="s">
        <v>109</v>
      </c>
      <c r="E11" s="20">
        <v>45715</v>
      </c>
      <c r="F11" s="19" t="s">
        <v>82</v>
      </c>
      <c r="G11" s="535" t="s">
        <v>505</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80</v>
      </c>
      <c r="C13" s="302">
        <v>45711</v>
      </c>
      <c r="D13" s="302" t="s">
        <v>510</v>
      </c>
      <c r="E13" s="302">
        <v>45693</v>
      </c>
      <c r="F13" s="516" t="s">
        <v>114</v>
      </c>
      <c r="G13" s="537" t="s">
        <v>61</v>
      </c>
      <c r="H13" s="303">
        <v>54</v>
      </c>
      <c r="I13" s="532" t="s">
        <v>511</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3" t="s">
        <v>109</v>
      </c>
      <c r="E14" s="20">
        <v>45712</v>
      </c>
      <c r="F14" s="523" t="s">
        <v>82</v>
      </c>
      <c r="G14" s="531" t="s">
        <v>513</v>
      </c>
      <c r="H14" s="21">
        <v>49</v>
      </c>
      <c r="I14" s="21" t="s">
        <v>511</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3" t="s">
        <v>109</v>
      </c>
      <c r="E15" s="20">
        <v>45706</v>
      </c>
      <c r="F15" s="523" t="s">
        <v>114</v>
      </c>
      <c r="G15" s="535" t="s">
        <v>515</v>
      </c>
      <c r="H15" s="21">
        <v>56</v>
      </c>
      <c r="I15" s="525" t="s">
        <v>511</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3" t="s">
        <v>109</v>
      </c>
      <c r="E16" s="20">
        <v>45755</v>
      </c>
      <c r="F16" s="523" t="s">
        <v>114</v>
      </c>
      <c r="G16" s="449" t="s">
        <v>517</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3" t="s">
        <v>495</v>
      </c>
      <c r="E17" s="20">
        <v>45749</v>
      </c>
      <c r="F17" s="523" t="s">
        <v>114</v>
      </c>
      <c r="G17" s="535" t="s">
        <v>519</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3" t="s">
        <v>109</v>
      </c>
      <c r="E18" s="20">
        <v>45749</v>
      </c>
      <c r="F18" s="523" t="s">
        <v>82</v>
      </c>
      <c r="G18" s="535" t="s">
        <v>521</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3" t="s">
        <v>82</v>
      </c>
      <c r="G19" s="531" t="s">
        <v>524</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3" t="s">
        <v>82</v>
      </c>
      <c r="G20" s="531" t="s">
        <v>526</v>
      </c>
      <c r="H20" s="21">
        <v>70</v>
      </c>
      <c r="I20" s="525" t="s">
        <v>511</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3" t="s">
        <v>82</v>
      </c>
      <c r="G21" s="531" t="s">
        <v>528</v>
      </c>
      <c r="H21" s="21">
        <v>75</v>
      </c>
      <c r="I21" s="525" t="s">
        <v>511</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3" t="s">
        <v>114</v>
      </c>
      <c r="G22" s="531" t="s">
        <v>531</v>
      </c>
      <c r="H22" s="21">
        <v>65</v>
      </c>
      <c r="I22" s="525" t="s">
        <v>511</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3" t="s">
        <v>82</v>
      </c>
      <c r="G23" s="531" t="s">
        <v>533</v>
      </c>
      <c r="H23" s="21">
        <v>81</v>
      </c>
      <c r="I23" s="525" t="s">
        <v>511</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3" t="s">
        <v>109</v>
      </c>
      <c r="E24" s="20">
        <v>45708</v>
      </c>
      <c r="F24" s="523" t="s">
        <v>114</v>
      </c>
      <c r="G24" s="535" t="s">
        <v>535</v>
      </c>
      <c r="H24" s="21">
        <v>50</v>
      </c>
      <c r="I24" s="21" t="s">
        <v>511</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3" t="s">
        <v>109</v>
      </c>
      <c r="E25" s="20">
        <v>45729</v>
      </c>
      <c r="F25" s="19" t="s">
        <v>114</v>
      </c>
      <c r="G25" s="535" t="s">
        <v>537</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3" t="s">
        <v>109</v>
      </c>
      <c r="E26" s="20">
        <v>45735</v>
      </c>
      <c r="F26" s="523" t="s">
        <v>82</v>
      </c>
      <c r="G26" s="535" t="s">
        <v>539</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3" t="s">
        <v>109</v>
      </c>
      <c r="E27" s="20">
        <v>45712</v>
      </c>
      <c r="F27" s="523" t="s">
        <v>114</v>
      </c>
      <c r="G27" s="535" t="s">
        <v>541</v>
      </c>
      <c r="H27" s="21">
        <v>51</v>
      </c>
      <c r="I27" s="525" t="s">
        <v>511</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3" t="s">
        <v>109</v>
      </c>
      <c r="E28" s="20">
        <v>45735</v>
      </c>
      <c r="F28" s="523" t="s">
        <v>114</v>
      </c>
      <c r="G28" s="535" t="s">
        <v>543</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3" t="s">
        <v>109</v>
      </c>
      <c r="E29" s="20">
        <v>45735</v>
      </c>
      <c r="F29" s="523" t="s">
        <v>82</v>
      </c>
      <c r="G29" s="535" t="s">
        <v>545</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8" t="s">
        <v>547</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5" t="s">
        <v>109</v>
      </c>
      <c r="E31" s="465">
        <v>45839</v>
      </c>
      <c r="F31" s="301" t="s">
        <v>82</v>
      </c>
      <c r="G31" s="301" t="s">
        <v>549</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80</v>
      </c>
      <c r="C32" s="20">
        <v>45930</v>
      </c>
      <c r="D32" s="302" t="s">
        <v>109</v>
      </c>
      <c r="E32" s="516">
        <v>45910</v>
      </c>
      <c r="F32" s="516" t="s">
        <v>114</v>
      </c>
      <c r="G32" s="301" t="s">
        <v>552</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80</v>
      </c>
      <c r="C33" s="20">
        <v>45868</v>
      </c>
      <c r="D33" s="465" t="s">
        <v>109</v>
      </c>
      <c r="E33" s="465">
        <v>45840</v>
      </c>
      <c r="F33" s="302" t="s">
        <v>82</v>
      </c>
      <c r="G33" s="301" t="s">
        <v>555</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80</v>
      </c>
      <c r="C34" s="20">
        <v>45868</v>
      </c>
      <c r="D34" s="465" t="s">
        <v>109</v>
      </c>
      <c r="E34" s="465">
        <v>45839</v>
      </c>
      <c r="F34" s="301" t="s">
        <v>82</v>
      </c>
      <c r="G34" s="301" t="s">
        <v>558</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80</v>
      </c>
      <c r="C35" s="20">
        <v>45868</v>
      </c>
      <c r="D35" s="516" t="s">
        <v>109</v>
      </c>
      <c r="E35" s="516">
        <v>45833</v>
      </c>
      <c r="F35" s="301" t="s">
        <v>114</v>
      </c>
      <c r="G35" s="301" t="s">
        <v>561</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80</v>
      </c>
      <c r="C36" s="20">
        <v>45868</v>
      </c>
      <c r="D36" s="465" t="s">
        <v>109</v>
      </c>
      <c r="E36" s="465">
        <v>45839</v>
      </c>
      <c r="F36" s="302" t="s">
        <v>82</v>
      </c>
      <c r="G36" s="301" t="s">
        <v>564</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80</v>
      </c>
      <c r="C37" s="20">
        <v>45899</v>
      </c>
      <c r="D37" s="302" t="s">
        <v>109</v>
      </c>
      <c r="E37" s="302">
        <v>45887</v>
      </c>
      <c r="F37" s="465" t="s">
        <v>114</v>
      </c>
      <c r="G37" s="507" t="s">
        <v>567</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80</v>
      </c>
      <c r="C38" s="20">
        <v>45862</v>
      </c>
      <c r="D38" s="523" t="s">
        <v>109</v>
      </c>
      <c r="E38" s="20">
        <v>45758</v>
      </c>
      <c r="F38" s="523" t="s">
        <v>82</v>
      </c>
      <c r="G38" s="449" t="s">
        <v>570</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80</v>
      </c>
      <c r="C39" s="20">
        <v>45862</v>
      </c>
      <c r="D39" s="308" t="s">
        <v>109</v>
      </c>
      <c r="E39" s="20">
        <v>45758</v>
      </c>
      <c r="F39" s="308" t="s">
        <v>82</v>
      </c>
      <c r="G39" s="449" t="s">
        <v>572</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9" t="s">
        <v>574</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5" t="s">
        <v>109</v>
      </c>
      <c r="E41" s="20">
        <v>45786</v>
      </c>
      <c r="F41" s="465" t="s">
        <v>82</v>
      </c>
      <c r="G41" s="507" t="s">
        <v>576</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80</v>
      </c>
      <c r="C42" s="901">
        <v>46006</v>
      </c>
      <c r="D42" s="901" t="s">
        <v>109</v>
      </c>
      <c r="E42" s="901">
        <v>46021</v>
      </c>
      <c r="F42" s="902" t="s">
        <v>82</v>
      </c>
      <c r="G42" s="902" t="s">
        <v>579</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80</v>
      </c>
      <c r="C43" s="20">
        <v>45688</v>
      </c>
      <c r="D43" s="20" t="s">
        <v>583</v>
      </c>
      <c r="E43" s="20">
        <v>45684</v>
      </c>
      <c r="F43" s="308" t="s">
        <v>114</v>
      </c>
      <c r="G43" s="309" t="s">
        <v>584</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80</v>
      </c>
      <c r="C45" s="20">
        <v>45899</v>
      </c>
      <c r="D45" s="19" t="s">
        <v>587</v>
      </c>
      <c r="E45" s="302">
        <v>45876</v>
      </c>
      <c r="F45" s="523" t="s">
        <v>114</v>
      </c>
      <c r="G45" s="536" t="s">
        <v>588</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589</v>
      </c>
    </row>
    <row r="46" spans="1:27" ht="39.75" customHeight="1">
      <c r="A46" s="300" t="s">
        <v>590</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80</v>
      </c>
      <c r="C47" s="20">
        <v>45899</v>
      </c>
      <c r="D47" s="302" t="s">
        <v>109</v>
      </c>
      <c r="E47" s="302">
        <v>45870</v>
      </c>
      <c r="F47" s="516" t="s">
        <v>114</v>
      </c>
      <c r="G47" s="536" t="s">
        <v>593</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80</v>
      </c>
      <c r="C48" s="516">
        <v>45805</v>
      </c>
      <c r="D48" s="516" t="s">
        <v>109</v>
      </c>
      <c r="E48" s="516">
        <v>45695</v>
      </c>
      <c r="F48" s="516" t="s">
        <v>114</v>
      </c>
      <c r="G48" s="627" t="s">
        <v>596</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80</v>
      </c>
      <c r="C49" s="20">
        <v>45899</v>
      </c>
      <c r="D49" s="302" t="s">
        <v>109</v>
      </c>
      <c r="E49" s="302">
        <v>45870</v>
      </c>
      <c r="F49" s="516" t="s">
        <v>114</v>
      </c>
      <c r="G49" s="536" t="s">
        <v>599</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80</v>
      </c>
      <c r="C50" s="20">
        <v>45899</v>
      </c>
      <c r="D50" s="302" t="s">
        <v>109</v>
      </c>
      <c r="E50" s="302">
        <v>45882</v>
      </c>
      <c r="F50" s="465" t="s">
        <v>114</v>
      </c>
      <c r="G50" s="507" t="s">
        <v>602</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80</v>
      </c>
      <c r="C51" s="465">
        <v>45838</v>
      </c>
      <c r="D51" s="465" t="s">
        <v>109</v>
      </c>
      <c r="E51" s="20">
        <v>45786</v>
      </c>
      <c r="F51" s="465" t="s">
        <v>114</v>
      </c>
      <c r="G51" s="449" t="s">
        <v>605</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80</v>
      </c>
      <c r="C52" s="20">
        <v>45930</v>
      </c>
      <c r="D52" s="19" t="s">
        <v>132</v>
      </c>
      <c r="E52" s="302">
        <v>45868</v>
      </c>
      <c r="F52" s="301" t="s">
        <v>82</v>
      </c>
      <c r="G52" s="536" t="s">
        <v>608</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80</v>
      </c>
      <c r="C53" s="20">
        <v>45868</v>
      </c>
      <c r="D53" s="302" t="s">
        <v>132</v>
      </c>
      <c r="E53" s="465">
        <v>45839</v>
      </c>
      <c r="F53" s="302" t="s">
        <v>82</v>
      </c>
      <c r="G53" s="306" t="s">
        <v>611</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80</v>
      </c>
      <c r="C54" s="20">
        <v>45960</v>
      </c>
      <c r="D54" s="20" t="s">
        <v>132</v>
      </c>
      <c r="E54" s="20">
        <v>45945</v>
      </c>
      <c r="F54" s="19" t="s">
        <v>82</v>
      </c>
      <c r="G54" s="535" t="s">
        <v>614</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80</v>
      </c>
      <c r="C56" s="20">
        <v>45868</v>
      </c>
      <c r="D56" s="302" t="s">
        <v>132</v>
      </c>
      <c r="E56" s="302">
        <v>45849</v>
      </c>
      <c r="F56" s="516" t="s">
        <v>82</v>
      </c>
      <c r="G56" s="536" t="s">
        <v>619</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80</v>
      </c>
      <c r="C57" s="20">
        <v>45899</v>
      </c>
      <c r="D57" s="516" t="s">
        <v>132</v>
      </c>
      <c r="E57" s="516">
        <v>45882</v>
      </c>
      <c r="F57" s="301" t="s">
        <v>82</v>
      </c>
      <c r="G57" s="627" t="s">
        <v>622</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80</v>
      </c>
      <c r="C58" s="20">
        <v>45899</v>
      </c>
      <c r="D58" s="302" t="s">
        <v>132</v>
      </c>
      <c r="E58" s="20">
        <v>45806</v>
      </c>
      <c r="F58" s="301" t="s">
        <v>82</v>
      </c>
      <c r="G58" s="627" t="s">
        <v>625</v>
      </c>
      <c r="H58" s="303">
        <v>0</v>
      </c>
      <c r="I58" s="532" t="s">
        <v>319</v>
      </c>
      <c r="J58" s="303" t="s">
        <v>55</v>
      </c>
      <c r="K58" s="302" t="s">
        <v>626</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80</v>
      </c>
      <c r="C59" s="20">
        <v>45792</v>
      </c>
      <c r="D59" s="308" t="s">
        <v>109</v>
      </c>
      <c r="E59" s="308">
        <v>45695</v>
      </c>
      <c r="F59" s="308" t="s">
        <v>82</v>
      </c>
      <c r="G59" s="309" t="s">
        <v>629</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6" t="s">
        <v>109</v>
      </c>
      <c r="E60" s="20">
        <v>45763</v>
      </c>
      <c r="F60" s="516" t="s">
        <v>114</v>
      </c>
      <c r="G60" s="449" t="s">
        <v>631</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80</v>
      </c>
      <c r="C61" s="20">
        <v>45688</v>
      </c>
      <c r="D61" s="20" t="s">
        <v>523</v>
      </c>
      <c r="E61" s="20">
        <v>45682</v>
      </c>
      <c r="F61" s="523" t="s">
        <v>82</v>
      </c>
      <c r="G61" s="449" t="s">
        <v>633</v>
      </c>
      <c r="H61" s="21">
        <v>48</v>
      </c>
      <c r="I61" s="525" t="s">
        <v>511</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4" t="s">
        <v>645</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109</v>
      </c>
      <c r="E68" s="20">
        <v>45716</v>
      </c>
      <c r="F68" s="19" t="s">
        <v>52</v>
      </c>
      <c r="G68" s="306" t="s">
        <v>655</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109</v>
      </c>
      <c r="E70" s="523">
        <v>45685</v>
      </c>
      <c r="F70" s="523" t="s">
        <v>52</v>
      </c>
      <c r="G70" s="524" t="s">
        <v>661</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109</v>
      </c>
      <c r="E75" s="308">
        <v>45685</v>
      </c>
      <c r="F75" s="19" t="s">
        <v>52</v>
      </c>
      <c r="G75" s="448" t="s">
        <v>674</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149</v>
      </c>
      <c r="G79" s="524" t="s">
        <v>689</v>
      </c>
      <c r="H79" s="21">
        <v>86</v>
      </c>
      <c r="I79" s="525" t="s">
        <v>511</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132</v>
      </c>
      <c r="E81" s="523">
        <v>45686</v>
      </c>
      <c r="F81" s="523" t="s">
        <v>52</v>
      </c>
      <c r="G81" s="524" t="s">
        <v>695</v>
      </c>
      <c r="H81" s="21">
        <v>88</v>
      </c>
      <c r="I81" s="525" t="s">
        <v>511</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149</v>
      </c>
      <c r="G83" s="306" t="s">
        <v>703</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149</v>
      </c>
      <c r="G85" s="524" t="s">
        <v>708</v>
      </c>
      <c r="H85" s="21">
        <v>73</v>
      </c>
      <c r="I85" s="532" t="s">
        <v>511</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149</v>
      </c>
      <c r="G86" s="448" t="s">
        <v>711</v>
      </c>
      <c r="H86" s="21">
        <v>65</v>
      </c>
      <c r="I86" s="307" t="s">
        <v>511</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149</v>
      </c>
      <c r="G90" s="306" t="s">
        <v>719</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109</v>
      </c>
      <c r="E97" s="20">
        <v>45743</v>
      </c>
      <c r="F97" s="19" t="s">
        <v>52</v>
      </c>
      <c r="G97" s="535" t="s">
        <v>737</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1" t="s">
        <v>764</v>
      </c>
      <c r="H108" s="21">
        <v>85</v>
      </c>
      <c r="I108" s="307" t="s">
        <v>319</v>
      </c>
      <c r="J108" s="21" t="s">
        <v>55</v>
      </c>
      <c r="K108" s="20">
        <v>45707</v>
      </c>
      <c r="L108" s="21" t="s">
        <v>56</v>
      </c>
      <c r="M108" s="346" t="s">
        <v>765</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149</v>
      </c>
      <c r="G112" s="531" t="s">
        <v>774</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149</v>
      </c>
      <c r="G113" s="531" t="s">
        <v>777</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333</v>
      </c>
      <c r="F121" s="308" t="s">
        <v>797</v>
      </c>
      <c r="G121" s="448" t="s">
        <v>798</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144</v>
      </c>
      <c r="C134" s="363">
        <v>45960</v>
      </c>
      <c r="D134" s="363" t="s">
        <v>156</v>
      </c>
      <c r="E134" s="363">
        <v>45852</v>
      </c>
      <c r="F134" s="511" t="s">
        <v>157</v>
      </c>
      <c r="G134" s="547" t="s">
        <v>819</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144</v>
      </c>
      <c r="C135" s="363">
        <v>45960</v>
      </c>
      <c r="D135" s="363" t="s">
        <v>821</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144</v>
      </c>
      <c r="C136" s="729">
        <v>45999</v>
      </c>
      <c r="D136" s="733" t="s">
        <v>132</v>
      </c>
      <c r="E136" s="783">
        <v>45975</v>
      </c>
      <c r="F136" s="733" t="s">
        <v>149</v>
      </c>
      <c r="G136" s="784" t="s">
        <v>824</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144</v>
      </c>
      <c r="C138" s="371">
        <v>45807</v>
      </c>
      <c r="D138" s="361" t="s">
        <v>476</v>
      </c>
      <c r="E138" s="370" t="s">
        <v>333</v>
      </c>
      <c r="F138" s="361" t="s">
        <v>157</v>
      </c>
      <c r="G138" s="664" t="s">
        <v>829</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144</v>
      </c>
      <c r="C139" s="363">
        <v>45991</v>
      </c>
      <c r="D139" s="370" t="s">
        <v>156</v>
      </c>
      <c r="E139" s="371">
        <v>45880</v>
      </c>
      <c r="F139" s="370" t="s">
        <v>157</v>
      </c>
      <c r="G139" s="664" t="s">
        <v>831</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144</v>
      </c>
      <c r="C140" s="363">
        <v>45991</v>
      </c>
      <c r="D140" s="370" t="s">
        <v>156</v>
      </c>
      <c r="E140" s="371">
        <v>45880</v>
      </c>
      <c r="F140" s="370" t="s">
        <v>157</v>
      </c>
      <c r="G140" s="664" t="s">
        <v>834</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144</v>
      </c>
      <c r="C141" s="901">
        <v>46079</v>
      </c>
      <c r="D141" s="913" t="s">
        <v>205</v>
      </c>
      <c r="E141" s="912">
        <v>46055</v>
      </c>
      <c r="F141" s="913" t="s">
        <v>202</v>
      </c>
      <c r="G141" s="912" t="s">
        <v>836</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144</v>
      </c>
      <c r="C142" s="20">
        <v>45711</v>
      </c>
      <c r="D142" s="19" t="s">
        <v>109</v>
      </c>
      <c r="E142" s="20">
        <v>45707</v>
      </c>
      <c r="F142" s="19" t="s">
        <v>839</v>
      </c>
      <c r="G142" s="306" t="s">
        <v>840</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144</v>
      </c>
      <c r="C145" s="363">
        <v>45991</v>
      </c>
      <c r="D145" s="370" t="s">
        <v>344</v>
      </c>
      <c r="E145" s="371">
        <v>45866</v>
      </c>
      <c r="F145" s="370" t="s">
        <v>157</v>
      </c>
      <c r="G145" s="664" t="s">
        <v>846</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144</v>
      </c>
      <c r="C146" s="363">
        <v>45991</v>
      </c>
      <c r="D146" s="370" t="s">
        <v>132</v>
      </c>
      <c r="E146" s="371">
        <v>45880</v>
      </c>
      <c r="F146" s="370" t="s">
        <v>149</v>
      </c>
      <c r="G146" s="664" t="s">
        <v>848</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144</v>
      </c>
      <c r="C148" s="674">
        <v>45955</v>
      </c>
      <c r="D148" s="675" t="s">
        <v>109</v>
      </c>
      <c r="E148" s="675">
        <v>45919</v>
      </c>
      <c r="F148" s="675" t="s">
        <v>202</v>
      </c>
      <c r="G148" s="676" t="s">
        <v>853</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219</v>
      </c>
      <c r="C149" s="363">
        <v>46006</v>
      </c>
      <c r="D149" s="370" t="s">
        <v>205</v>
      </c>
      <c r="E149" s="371">
        <v>45975</v>
      </c>
      <c r="F149" s="370" t="s">
        <v>157</v>
      </c>
      <c r="G149" s="664" t="s">
        <v>855</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80</v>
      </c>
      <c r="C151" s="363">
        <v>45868</v>
      </c>
      <c r="D151" s="381" t="s">
        <v>109</v>
      </c>
      <c r="E151" s="363">
        <v>45786</v>
      </c>
      <c r="F151" s="381" t="s">
        <v>82</v>
      </c>
      <c r="G151" s="361" t="s">
        <v>859</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80</v>
      </c>
      <c r="C153" s="371">
        <v>45960</v>
      </c>
      <c r="D153" s="363" t="s">
        <v>132</v>
      </c>
      <c r="E153" s="371">
        <v>45918</v>
      </c>
      <c r="F153" s="361" t="s">
        <v>82</v>
      </c>
      <c r="G153" s="19" t="s">
        <v>864</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80</v>
      </c>
      <c r="C154" s="20">
        <v>45899</v>
      </c>
      <c r="D154" s="308" t="s">
        <v>109</v>
      </c>
      <c r="E154" s="20">
        <v>45853</v>
      </c>
      <c r="F154" s="19" t="s">
        <v>82</v>
      </c>
      <c r="G154" s="19" t="s">
        <v>867</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80</v>
      </c>
      <c r="C155" s="363">
        <v>45868</v>
      </c>
      <c r="D155" s="363" t="s">
        <v>132</v>
      </c>
      <c r="E155" s="363">
        <v>45793</v>
      </c>
      <c r="F155" s="381" t="s">
        <v>82</v>
      </c>
      <c r="G155" s="789" t="s">
        <v>870</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80</v>
      </c>
      <c r="C156" s="901">
        <v>46073</v>
      </c>
      <c r="D156" s="901" t="s">
        <v>132</v>
      </c>
      <c r="E156" s="901">
        <v>46042</v>
      </c>
      <c r="F156" s="902" t="s">
        <v>86</v>
      </c>
      <c r="G156" s="902" t="s">
        <v>873</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80</v>
      </c>
      <c r="C158" s="363">
        <v>45991</v>
      </c>
      <c r="D158" s="363" t="s">
        <v>109</v>
      </c>
      <c r="E158" s="363">
        <v>45966</v>
      </c>
      <c r="F158" s="361" t="s">
        <v>82</v>
      </c>
      <c r="G158" s="547" t="s">
        <v>878</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80</v>
      </c>
      <c r="C159" s="363">
        <v>46001</v>
      </c>
      <c r="D159" s="363" t="s">
        <v>109</v>
      </c>
      <c r="E159" s="363">
        <v>45966</v>
      </c>
      <c r="F159" s="361" t="s">
        <v>82</v>
      </c>
      <c r="G159" s="547" t="s">
        <v>881</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80</v>
      </c>
      <c r="C160" s="20">
        <v>45868</v>
      </c>
      <c r="D160" s="465" t="s">
        <v>109</v>
      </c>
      <c r="E160" s="302">
        <v>45796</v>
      </c>
      <c r="F160" s="465" t="s">
        <v>114</v>
      </c>
      <c r="G160" s="301" t="s">
        <v>884</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80</v>
      </c>
      <c r="C162" s="371">
        <v>45899</v>
      </c>
      <c r="D162" s="1287" t="s">
        <v>635</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80</v>
      </c>
      <c r="C163" s="371">
        <v>45930</v>
      </c>
      <c r="D163" s="371" t="s">
        <v>109</v>
      </c>
      <c r="E163" s="666">
        <v>45880</v>
      </c>
      <c r="F163" s="348" t="s">
        <v>114</v>
      </c>
      <c r="G163" s="370" t="s">
        <v>891</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80</v>
      </c>
      <c r="C164" s="20">
        <v>45930</v>
      </c>
      <c r="D164" s="302" t="s">
        <v>109</v>
      </c>
      <c r="E164" s="516">
        <v>45882</v>
      </c>
      <c r="F164" s="516" t="s">
        <v>114</v>
      </c>
      <c r="G164" s="301" t="s">
        <v>894</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5" t="s">
        <v>114</v>
      </c>
      <c r="G165" s="301" t="s">
        <v>555</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80</v>
      </c>
      <c r="C166" s="371">
        <v>45930</v>
      </c>
      <c r="D166" s="363" t="s">
        <v>109</v>
      </c>
      <c r="E166" s="363">
        <v>45896</v>
      </c>
      <c r="F166" s="361" t="s">
        <v>114</v>
      </c>
      <c r="G166" s="361" t="s">
        <v>899</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80</v>
      </c>
      <c r="C167" s="371">
        <v>45930</v>
      </c>
      <c r="D167" s="363" t="s">
        <v>109</v>
      </c>
      <c r="E167" s="511">
        <v>45910</v>
      </c>
      <c r="F167" s="361" t="s">
        <v>82</v>
      </c>
      <c r="G167" s="361" t="s">
        <v>902</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80</v>
      </c>
      <c r="C168" s="901">
        <v>46010</v>
      </c>
      <c r="D168" s="901" t="s">
        <v>635</v>
      </c>
      <c r="E168" s="901">
        <v>45974</v>
      </c>
      <c r="F168" s="902" t="s">
        <v>82</v>
      </c>
      <c r="G168" s="902" t="s">
        <v>905</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80</v>
      </c>
      <c r="C169" s="371">
        <v>45930</v>
      </c>
      <c r="D169" s="363" t="s">
        <v>109</v>
      </c>
      <c r="E169" s="511">
        <v>45910</v>
      </c>
      <c r="F169" s="511" t="s">
        <v>114</v>
      </c>
      <c r="G169" s="547" t="s">
        <v>908</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80</v>
      </c>
      <c r="C170" s="901">
        <v>46010</v>
      </c>
      <c r="D170" s="901" t="s">
        <v>635</v>
      </c>
      <c r="E170" s="901">
        <v>45974</v>
      </c>
      <c r="F170" s="902" t="s">
        <v>82</v>
      </c>
      <c r="G170" s="902" t="s">
        <v>911</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80</v>
      </c>
      <c r="C171" s="901">
        <v>46010</v>
      </c>
      <c r="D171" s="901" t="s">
        <v>635</v>
      </c>
      <c r="E171" s="901">
        <v>45974</v>
      </c>
      <c r="F171" s="902" t="s">
        <v>82</v>
      </c>
      <c r="G171" s="902" t="s">
        <v>914</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80</v>
      </c>
      <c r="C173" s="20">
        <v>45899</v>
      </c>
      <c r="D173" s="308" t="s">
        <v>635</v>
      </c>
      <c r="E173" s="20">
        <v>45887</v>
      </c>
      <c r="F173" s="308" t="s">
        <v>114</v>
      </c>
      <c r="G173" s="306" t="s">
        <v>919</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80</v>
      </c>
      <c r="C174" s="20">
        <v>45899</v>
      </c>
      <c r="D174" s="20" t="s">
        <v>109</v>
      </c>
      <c r="E174" s="20">
        <v>45887</v>
      </c>
      <c r="F174" s="19" t="s">
        <v>82</v>
      </c>
      <c r="G174" s="306" t="s">
        <v>922</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80</v>
      </c>
      <c r="C176" s="901">
        <v>46006</v>
      </c>
      <c r="D176" s="901" t="s">
        <v>109</v>
      </c>
      <c r="E176" s="901">
        <v>45999</v>
      </c>
      <c r="F176" s="902" t="s">
        <v>82</v>
      </c>
      <c r="G176" s="902" t="s">
        <v>927</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80</v>
      </c>
      <c r="C177" s="363">
        <v>46006</v>
      </c>
      <c r="D177" s="363" t="s">
        <v>109</v>
      </c>
      <c r="E177" s="363">
        <v>45979</v>
      </c>
      <c r="F177" s="361" t="s">
        <v>114</v>
      </c>
      <c r="G177" s="547" t="s">
        <v>930</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80</v>
      </c>
      <c r="C178" s="901">
        <v>46006</v>
      </c>
      <c r="D178" s="901" t="s">
        <v>109</v>
      </c>
      <c r="E178" s="901">
        <v>46006</v>
      </c>
      <c r="F178" s="902" t="s">
        <v>82</v>
      </c>
      <c r="G178" s="902" t="s">
        <v>933</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80</v>
      </c>
      <c r="C190" s="901">
        <v>46006</v>
      </c>
      <c r="D190" s="901" t="s">
        <v>109</v>
      </c>
      <c r="E190" s="901">
        <v>46021</v>
      </c>
      <c r="F190" s="902" t="s">
        <v>82</v>
      </c>
      <c r="G190" s="902" t="s">
        <v>958</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80</v>
      </c>
      <c r="C191" s="901">
        <v>46052</v>
      </c>
      <c r="D191" s="901" t="s">
        <v>81</v>
      </c>
      <c r="E191" s="901">
        <v>46021</v>
      </c>
      <c r="F191" s="902" t="s">
        <v>86</v>
      </c>
      <c r="G191" s="902" t="s">
        <v>961</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80</v>
      </c>
      <c r="C192" s="901">
        <v>46052</v>
      </c>
      <c r="D192" s="901" t="s">
        <v>635</v>
      </c>
      <c r="E192" s="901">
        <v>46021</v>
      </c>
      <c r="F192" s="902" t="s">
        <v>86</v>
      </c>
      <c r="G192" s="902" t="s">
        <v>964</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80</v>
      </c>
      <c r="C193" s="901">
        <v>46052</v>
      </c>
      <c r="D193" s="901" t="s">
        <v>81</v>
      </c>
      <c r="E193" s="901">
        <v>46045</v>
      </c>
      <c r="F193" s="902" t="s">
        <v>86</v>
      </c>
      <c r="G193" s="902" t="s">
        <v>967</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80</v>
      </c>
      <c r="C195" s="363">
        <v>45991</v>
      </c>
      <c r="D195" s="363" t="s">
        <v>109</v>
      </c>
      <c r="E195" s="363">
        <v>45966</v>
      </c>
      <c r="F195" s="361" t="s">
        <v>82</v>
      </c>
      <c r="G195" s="547" t="s">
        <v>972</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80</v>
      </c>
      <c r="C196" s="363">
        <v>46001</v>
      </c>
      <c r="D196" s="363" t="s">
        <v>109</v>
      </c>
      <c r="E196" s="363">
        <v>45966</v>
      </c>
      <c r="F196" s="361" t="s">
        <v>82</v>
      </c>
      <c r="G196" s="547" t="s">
        <v>975</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80</v>
      </c>
      <c r="C197" s="363">
        <v>45991</v>
      </c>
      <c r="D197" s="363" t="s">
        <v>109</v>
      </c>
      <c r="E197" s="363">
        <v>45966</v>
      </c>
      <c r="F197" s="361" t="s">
        <v>86</v>
      </c>
      <c r="G197" s="547" t="s">
        <v>978</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80</v>
      </c>
      <c r="C198" s="901">
        <v>46001</v>
      </c>
      <c r="D198" s="901" t="s">
        <v>109</v>
      </c>
      <c r="E198" s="901">
        <v>46009</v>
      </c>
      <c r="F198" s="902" t="s">
        <v>82</v>
      </c>
      <c r="G198" s="902" t="s">
        <v>981</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80</v>
      </c>
      <c r="C199" s="901">
        <v>46001</v>
      </c>
      <c r="D199" s="901" t="s">
        <v>109</v>
      </c>
      <c r="E199" s="901">
        <v>46009</v>
      </c>
      <c r="F199" s="902" t="s">
        <v>82</v>
      </c>
      <c r="G199" s="902" t="s">
        <v>984</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80</v>
      </c>
      <c r="C201" s="752">
        <v>45838</v>
      </c>
      <c r="D201" s="883" t="s">
        <v>109</v>
      </c>
      <c r="E201" s="752">
        <v>45817</v>
      </c>
      <c r="F201" s="883" t="s">
        <v>82</v>
      </c>
      <c r="G201" s="888" t="s">
        <v>988</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80</v>
      </c>
      <c r="C202" s="371">
        <v>45991</v>
      </c>
      <c r="D202" s="361" t="s">
        <v>991</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80</v>
      </c>
      <c r="C204" s="769">
        <v>45899</v>
      </c>
      <c r="D204" s="752" t="s">
        <v>132</v>
      </c>
      <c r="E204" s="752">
        <v>45876</v>
      </c>
      <c r="F204" s="752" t="s">
        <v>82</v>
      </c>
      <c r="G204" s="815" t="s">
        <v>996</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80</v>
      </c>
      <c r="C205" s="1007">
        <v>45959</v>
      </c>
      <c r="D205" s="1007" t="s">
        <v>109</v>
      </c>
      <c r="E205" s="1007">
        <v>45961</v>
      </c>
      <c r="F205" s="1069" t="s">
        <v>86</v>
      </c>
      <c r="G205" s="902"/>
      <c r="H205" s="1364">
        <v>0</v>
      </c>
      <c r="I205" s="526" t="s">
        <v>319</v>
      </c>
      <c r="J205" s="1364" t="s">
        <v>55</v>
      </c>
      <c r="K205" s="1007" t="s">
        <v>111</v>
      </c>
      <c r="L205" s="1364" t="s">
        <v>56</v>
      </c>
      <c r="M205" s="1388">
        <v>15670.45</v>
      </c>
      <c r="N205" s="43"/>
      <c r="O205" s="1364" t="s">
        <v>56</v>
      </c>
      <c r="P205" s="1389" t="s">
        <v>320</v>
      </c>
      <c r="Q205" s="1366">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80</v>
      </c>
      <c r="C206" s="363">
        <v>45975</v>
      </c>
      <c r="D206" s="363" t="s">
        <v>1001</v>
      </c>
      <c r="E206" s="363">
        <v>45982</v>
      </c>
      <c r="F206" s="511" t="s">
        <v>82</v>
      </c>
      <c r="G206" s="547" t="s">
        <v>1002</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80</v>
      </c>
      <c r="C208" s="25">
        <v>45899</v>
      </c>
      <c r="D208" s="715" t="s">
        <v>109</v>
      </c>
      <c r="E208" s="715">
        <v>45882</v>
      </c>
      <c r="F208" s="807" t="s">
        <v>114</v>
      </c>
      <c r="G208" s="812" t="s">
        <v>602</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80</v>
      </c>
      <c r="C209" s="25">
        <v>45868</v>
      </c>
      <c r="D209" s="625" t="s">
        <v>132</v>
      </c>
      <c r="E209" s="715">
        <v>45853</v>
      </c>
      <c r="F209" s="806" t="s">
        <v>82</v>
      </c>
      <c r="G209" s="814" t="s">
        <v>1006</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80</v>
      </c>
      <c r="C210" s="901">
        <v>46031</v>
      </c>
      <c r="D210" s="901" t="s">
        <v>109</v>
      </c>
      <c r="E210" s="901">
        <v>46002</v>
      </c>
      <c r="F210" s="902" t="s">
        <v>86</v>
      </c>
      <c r="G210" s="902" t="s">
        <v>1009</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80</v>
      </c>
      <c r="C212" s="371">
        <v>45991</v>
      </c>
      <c r="D212" s="363" t="s">
        <v>81</v>
      </c>
      <c r="E212" s="363">
        <v>45953</v>
      </c>
      <c r="F212" s="361" t="s">
        <v>86</v>
      </c>
      <c r="G212" s="547" t="s">
        <v>1014</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80</v>
      </c>
      <c r="C213" s="371">
        <v>45960</v>
      </c>
      <c r="D213" s="363" t="s">
        <v>1017</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80</v>
      </c>
      <c r="C214" s="901">
        <v>46020</v>
      </c>
      <c r="D214" s="901" t="s">
        <v>1020</v>
      </c>
      <c r="E214" s="901">
        <v>45978</v>
      </c>
      <c r="F214" s="902" t="s">
        <v>86</v>
      </c>
      <c r="G214" s="902" t="s">
        <v>1021</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80</v>
      </c>
      <c r="C215" s="363">
        <v>45996</v>
      </c>
      <c r="D215" s="363" t="s">
        <v>1017</v>
      </c>
      <c r="E215" s="363">
        <v>45958</v>
      </c>
      <c r="F215" s="361" t="s">
        <v>86</v>
      </c>
      <c r="G215" s="547" t="s">
        <v>1024</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80</v>
      </c>
      <c r="C216" s="371">
        <v>45960</v>
      </c>
      <c r="D216" s="363" t="s">
        <v>1027</v>
      </c>
      <c r="E216" s="363">
        <v>45915</v>
      </c>
      <c r="F216" s="361" t="s">
        <v>1028</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80</v>
      </c>
      <c r="C217" s="371">
        <v>45930</v>
      </c>
      <c r="D217" s="363" t="s">
        <v>1031</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80</v>
      </c>
      <c r="C218" s="363">
        <v>46017</v>
      </c>
      <c r="D218" s="363" t="s">
        <v>1020</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80</v>
      </c>
      <c r="C220" s="901">
        <v>46015</v>
      </c>
      <c r="D220" s="901" t="s">
        <v>81</v>
      </c>
      <c r="E220" s="901">
        <v>45965</v>
      </c>
      <c r="F220" s="902" t="s">
        <v>82</v>
      </c>
      <c r="G220" s="902" t="s">
        <v>1037</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132</v>
      </c>
      <c r="E221" s="666">
        <v>45701</v>
      </c>
      <c r="F221" s="370" t="s">
        <v>52</v>
      </c>
      <c r="G221" s="684" t="s">
        <v>480</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205</v>
      </c>
      <c r="E226" s="363">
        <v>45927</v>
      </c>
      <c r="F226" s="361" t="s">
        <v>1052</v>
      </c>
      <c r="G226" s="547" t="s">
        <v>1053</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132</v>
      </c>
      <c r="E228" s="371">
        <v>45743</v>
      </c>
      <c r="F228" s="370" t="s">
        <v>52</v>
      </c>
      <c r="G228" s="664" t="s">
        <v>1058</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149</v>
      </c>
      <c r="G230" s="628" t="s">
        <v>1063</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109</v>
      </c>
      <c r="E231" s="25">
        <v>45772</v>
      </c>
      <c r="F231" s="625" t="s">
        <v>52</v>
      </c>
      <c r="G231" s="625" t="s">
        <v>1065</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384</v>
      </c>
      <c r="C235" s="302">
        <v>46019</v>
      </c>
      <c r="D235" s="773" t="s">
        <v>109</v>
      </c>
      <c r="E235" s="302">
        <v>45959</v>
      </c>
      <c r="F235" s="301" t="s">
        <v>392</v>
      </c>
      <c r="G235" s="536" t="s">
        <v>1075</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402</v>
      </c>
      <c r="AB241" s="345"/>
      <c r="AC241" s="345"/>
      <c r="AD241" s="706"/>
    </row>
    <row r="242" spans="1:30" ht="39.75" customHeight="1">
      <c r="A242" s="1083" t="s">
        <v>1086</v>
      </c>
      <c r="B242" s="358" t="s">
        <v>384</v>
      </c>
      <c r="C242" s="302">
        <v>46021</v>
      </c>
      <c r="D242" s="773" t="s">
        <v>109</v>
      </c>
      <c r="E242" s="302">
        <v>45959</v>
      </c>
      <c r="F242" s="301" t="s">
        <v>114</v>
      </c>
      <c r="G242" s="507" t="s">
        <v>1087</v>
      </c>
      <c r="H242" s="303">
        <v>89</v>
      </c>
      <c r="I242" s="774" t="s">
        <v>319</v>
      </c>
      <c r="J242" s="775" t="s">
        <v>55</v>
      </c>
      <c r="K242" s="20">
        <v>45961</v>
      </c>
      <c r="L242" s="775" t="s">
        <v>56</v>
      </c>
      <c r="M242" s="1266">
        <v>83615</v>
      </c>
      <c r="N242" s="600"/>
      <c r="O242" s="21" t="s">
        <v>56</v>
      </c>
      <c r="P242" s="1078" t="s">
        <v>320</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384</v>
      </c>
      <c r="C243" s="972">
        <v>46021</v>
      </c>
      <c r="D243" s="773" t="s">
        <v>109</v>
      </c>
      <c r="E243" s="972">
        <v>45959</v>
      </c>
      <c r="F243" s="973" t="s">
        <v>114</v>
      </c>
      <c r="G243" s="973" t="s">
        <v>1090</v>
      </c>
      <c r="H243" s="974">
        <v>85</v>
      </c>
      <c r="I243" s="774" t="s">
        <v>319</v>
      </c>
      <c r="J243" s="962" t="s">
        <v>55</v>
      </c>
      <c r="K243" s="976">
        <v>45964</v>
      </c>
      <c r="L243" s="962" t="s">
        <v>56</v>
      </c>
      <c r="M243" s="1173">
        <v>84770</v>
      </c>
      <c r="N243" s="600"/>
      <c r="O243" s="978" t="s">
        <v>56</v>
      </c>
      <c r="P243" s="1174" t="s">
        <v>320</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384</v>
      </c>
      <c r="C244" s="1042">
        <v>46052</v>
      </c>
      <c r="D244" s="773" t="s">
        <v>109</v>
      </c>
      <c r="E244" s="972">
        <v>45987</v>
      </c>
      <c r="F244" s="973" t="s">
        <v>114</v>
      </c>
      <c r="G244" s="973" t="s">
        <v>1093</v>
      </c>
      <c r="H244" s="974">
        <v>76</v>
      </c>
      <c r="I244" s="774" t="s">
        <v>319</v>
      </c>
      <c r="J244" s="962" t="s">
        <v>55</v>
      </c>
      <c r="K244" s="976">
        <v>45987</v>
      </c>
      <c r="L244" s="962" t="s">
        <v>56</v>
      </c>
      <c r="M244" s="1173">
        <v>74892.5</v>
      </c>
      <c r="N244" s="600"/>
      <c r="O244" s="978" t="s">
        <v>56</v>
      </c>
      <c r="P244" s="1345" t="s">
        <v>320</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384</v>
      </c>
      <c r="C245" s="1042">
        <v>46052</v>
      </c>
      <c r="D245" s="773" t="s">
        <v>109</v>
      </c>
      <c r="E245" s="972">
        <v>45987</v>
      </c>
      <c r="F245" s="973" t="s">
        <v>114</v>
      </c>
      <c r="G245" s="1032" t="s">
        <v>1096</v>
      </c>
      <c r="H245" s="1033">
        <v>86</v>
      </c>
      <c r="I245" s="668" t="s">
        <v>319</v>
      </c>
      <c r="J245" s="914" t="s">
        <v>55</v>
      </c>
      <c r="K245" s="976">
        <v>45987</v>
      </c>
      <c r="L245" s="962" t="s">
        <v>56</v>
      </c>
      <c r="M245" s="1173">
        <v>90841</v>
      </c>
      <c r="N245" s="600"/>
      <c r="O245" s="978" t="s">
        <v>56</v>
      </c>
      <c r="P245" s="1345" t="s">
        <v>320</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384</v>
      </c>
      <c r="C246" s="1042">
        <v>46052</v>
      </c>
      <c r="D246" s="1031" t="s">
        <v>109</v>
      </c>
      <c r="E246" s="971">
        <v>45987</v>
      </c>
      <c r="F246" s="902" t="s">
        <v>114</v>
      </c>
      <c r="G246" s="973" t="s">
        <v>1099</v>
      </c>
      <c r="H246" s="974">
        <v>73</v>
      </c>
      <c r="I246" s="525" t="s">
        <v>319</v>
      </c>
      <c r="J246" s="978" t="s">
        <v>55</v>
      </c>
      <c r="K246" s="1034">
        <v>45987</v>
      </c>
      <c r="L246" s="914" t="s">
        <v>56</v>
      </c>
      <c r="M246" s="1113">
        <v>71371</v>
      </c>
      <c r="N246" s="600"/>
      <c r="O246" s="1035" t="s">
        <v>56</v>
      </c>
      <c r="P246" s="1174" t="s">
        <v>320</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384</v>
      </c>
      <c r="C247" s="972">
        <v>46019</v>
      </c>
      <c r="D247" s="773" t="s">
        <v>109</v>
      </c>
      <c r="E247" s="972">
        <v>45959</v>
      </c>
      <c r="F247" s="973" t="s">
        <v>114</v>
      </c>
      <c r="G247" s="973" t="s">
        <v>1102</v>
      </c>
      <c r="H247" s="974">
        <v>0</v>
      </c>
      <c r="I247" s="774" t="s">
        <v>319</v>
      </c>
      <c r="J247" s="962" t="s">
        <v>55</v>
      </c>
      <c r="K247" s="976">
        <v>45961</v>
      </c>
      <c r="L247" s="962" t="s">
        <v>56</v>
      </c>
      <c r="M247" s="1173">
        <v>64985.65</v>
      </c>
      <c r="N247" s="600"/>
      <c r="O247" s="978" t="s">
        <v>56</v>
      </c>
      <c r="P247" s="1345" t="s">
        <v>320</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384</v>
      </c>
      <c r="C248" s="1034">
        <v>46052</v>
      </c>
      <c r="D248" s="644" t="s">
        <v>109</v>
      </c>
      <c r="E248" s="1034">
        <v>46027</v>
      </c>
      <c r="F248" s="1171" t="s">
        <v>385</v>
      </c>
      <c r="G248" s="1171"/>
      <c r="H248" s="629">
        <v>68</v>
      </c>
      <c r="I248" s="642" t="s">
        <v>319</v>
      </c>
      <c r="J248" s="1035" t="s">
        <v>55</v>
      </c>
      <c r="K248" s="971">
        <v>46027</v>
      </c>
      <c r="L248" s="914" t="s">
        <v>56</v>
      </c>
      <c r="M248" s="1173">
        <v>68608</v>
      </c>
      <c r="N248" s="632"/>
      <c r="O248" s="1035" t="s">
        <v>56</v>
      </c>
      <c r="P248" s="1174" t="s">
        <v>320</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384</v>
      </c>
      <c r="C249" s="1275">
        <v>46052</v>
      </c>
      <c r="D249" s="644" t="s">
        <v>109</v>
      </c>
      <c r="E249" s="1034">
        <v>46027</v>
      </c>
      <c r="F249" s="1274" t="s">
        <v>385</v>
      </c>
      <c r="G249" s="1171"/>
      <c r="H249" s="629">
        <v>85</v>
      </c>
      <c r="I249" s="642" t="s">
        <v>319</v>
      </c>
      <c r="J249" s="1035" t="s">
        <v>55</v>
      </c>
      <c r="K249" s="971">
        <v>46027</v>
      </c>
      <c r="L249" s="914" t="s">
        <v>56</v>
      </c>
      <c r="M249" s="1173">
        <v>73334</v>
      </c>
      <c r="N249" s="632"/>
      <c r="O249" s="1035" t="s">
        <v>56</v>
      </c>
      <c r="P249" s="1174" t="s">
        <v>320</v>
      </c>
      <c r="Q249" s="940">
        <v>46027</v>
      </c>
      <c r="R249" s="6">
        <v>5860</v>
      </c>
      <c r="S249" s="1390">
        <v>5883</v>
      </c>
      <c r="T249" s="1075">
        <v>0</v>
      </c>
      <c r="U249" s="81">
        <f>IFERROR(Table5[[#This Row],[Actual Redline Completed Footage UG]]/Table5[[#This Row],[Footage UG]], 0)</f>
        <v>1.0039249146757678</v>
      </c>
      <c r="V249" s="1379">
        <v>46034</v>
      </c>
      <c r="W249" s="283">
        <v>1</v>
      </c>
      <c r="X249" s="283">
        <v>1</v>
      </c>
      <c r="Y249" s="283">
        <v>1</v>
      </c>
      <c r="Z249" s="940">
        <v>46052</v>
      </c>
      <c r="AA249" s="942" t="s">
        <v>1107</v>
      </c>
      <c r="AB249" s="345"/>
      <c r="AC249" s="345"/>
      <c r="AD249" s="706"/>
    </row>
    <row r="250" spans="1:30" ht="39.75" customHeight="1">
      <c r="A250" s="1285" t="s">
        <v>1108</v>
      </c>
      <c r="B250" s="970" t="s">
        <v>384</v>
      </c>
      <c r="C250" s="972">
        <v>46052</v>
      </c>
      <c r="D250" s="1031" t="s">
        <v>109</v>
      </c>
      <c r="E250" s="971">
        <v>46027</v>
      </c>
      <c r="F250" s="1048" t="s">
        <v>385</v>
      </c>
      <c r="G250" s="973"/>
      <c r="H250" s="21">
        <v>81</v>
      </c>
      <c r="I250" s="525" t="s">
        <v>319</v>
      </c>
      <c r="J250" s="978" t="s">
        <v>55</v>
      </c>
      <c r="K250" s="971">
        <v>46027</v>
      </c>
      <c r="L250" s="914" t="s">
        <v>56</v>
      </c>
      <c r="M250" s="1173">
        <v>73885</v>
      </c>
      <c r="N250" s="600"/>
      <c r="O250" s="1035" t="s">
        <v>56</v>
      </c>
      <c r="P250" s="1174" t="s">
        <v>320</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384</v>
      </c>
      <c r="C251" s="1275">
        <v>46052</v>
      </c>
      <c r="D251" s="644" t="s">
        <v>109</v>
      </c>
      <c r="E251" s="1034">
        <v>46027</v>
      </c>
      <c r="F251" s="1274" t="s">
        <v>385</v>
      </c>
      <c r="G251" s="1171"/>
      <c r="H251" s="629">
        <v>87</v>
      </c>
      <c r="I251" s="642" t="s">
        <v>319</v>
      </c>
      <c r="J251" s="1035" t="s">
        <v>55</v>
      </c>
      <c r="K251" s="971">
        <v>46027</v>
      </c>
      <c r="L251" s="914" t="s">
        <v>56</v>
      </c>
      <c r="M251" s="1173">
        <v>78025</v>
      </c>
      <c r="N251" s="632"/>
      <c r="O251" s="1035" t="s">
        <v>56</v>
      </c>
      <c r="P251" s="1174" t="s">
        <v>320</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384</v>
      </c>
      <c r="C252" s="1154">
        <v>46052</v>
      </c>
      <c r="D252" s="523" t="s">
        <v>109</v>
      </c>
      <c r="E252" s="1154">
        <v>46027</v>
      </c>
      <c r="F252" s="1155" t="s">
        <v>114</v>
      </c>
      <c r="G252" s="1155"/>
      <c r="H252" s="978">
        <v>0</v>
      </c>
      <c r="I252" s="525" t="s">
        <v>319</v>
      </c>
      <c r="J252" s="978" t="s">
        <v>55</v>
      </c>
      <c r="K252" s="971">
        <v>46027</v>
      </c>
      <c r="L252" s="914" t="s">
        <v>56</v>
      </c>
      <c r="M252" s="1113">
        <v>54261.05</v>
      </c>
      <c r="N252" s="600"/>
      <c r="O252" s="1035" t="s">
        <v>56</v>
      </c>
      <c r="P252" s="1174" t="s">
        <v>320</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384</v>
      </c>
      <c r="C253" s="1275">
        <v>46052</v>
      </c>
      <c r="D253" s="644" t="s">
        <v>109</v>
      </c>
      <c r="E253" s="1034">
        <v>46027</v>
      </c>
      <c r="F253" s="1171" t="s">
        <v>114</v>
      </c>
      <c r="G253" s="1171"/>
      <c r="H253" s="1035">
        <v>0</v>
      </c>
      <c r="I253" s="642" t="s">
        <v>319</v>
      </c>
      <c r="J253" s="1035" t="s">
        <v>55</v>
      </c>
      <c r="K253" s="971">
        <v>46027</v>
      </c>
      <c r="L253" s="914" t="s">
        <v>56</v>
      </c>
      <c r="M253" s="1173">
        <v>18078.28</v>
      </c>
      <c r="N253" s="632"/>
      <c r="O253" s="1035" t="s">
        <v>56</v>
      </c>
      <c r="P253" s="1174" t="s">
        <v>320</v>
      </c>
      <c r="Q253" s="940">
        <v>46027</v>
      </c>
      <c r="R253" s="6">
        <v>1284</v>
      </c>
      <c r="S253" s="1391">
        <v>1277</v>
      </c>
      <c r="T253" s="1075">
        <v>0</v>
      </c>
      <c r="U253" s="81">
        <f>IFERROR(Table5[[#This Row],[Actual Redline Completed Footage UG]]/Table5[[#This Row],[Footage UG]], 0)</f>
        <v>0.99454828660436134</v>
      </c>
      <c r="V253" s="1379">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315</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144</v>
      </c>
      <c r="C258" s="371">
        <v>45807</v>
      </c>
      <c r="D258" s="361" t="s">
        <v>380</v>
      </c>
      <c r="E258" s="370" t="s">
        <v>333</v>
      </c>
      <c r="F258" s="361" t="s">
        <v>685</v>
      </c>
      <c r="G258" s="547" t="s">
        <v>488</v>
      </c>
      <c r="H258" s="365">
        <v>60</v>
      </c>
      <c r="I258" s="668" t="s">
        <v>319</v>
      </c>
      <c r="J258" s="373" t="s">
        <v>67</v>
      </c>
      <c r="K258" s="681"/>
      <c r="L258" s="363">
        <v>45716</v>
      </c>
      <c r="M258" s="373" t="s">
        <v>56</v>
      </c>
      <c r="N258" s="421">
        <v>2075.6999999999998</v>
      </c>
      <c r="O258" s="373" t="s">
        <v>56</v>
      </c>
      <c r="P258" s="741" t="s">
        <v>320</v>
      </c>
      <c r="Q258" s="280" t="s">
        <v>67</v>
      </c>
      <c r="R258" s="280" t="s">
        <v>67</v>
      </c>
      <c r="S258" s="280" t="s">
        <v>67</v>
      </c>
      <c r="T258" s="280" t="s">
        <v>67</v>
      </c>
      <c r="U258" s="280" t="s">
        <v>67</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144</v>
      </c>
      <c r="C259" s="371">
        <v>45807</v>
      </c>
      <c r="D259" s="370" t="s">
        <v>380</v>
      </c>
      <c r="E259" s="370" t="s">
        <v>333</v>
      </c>
      <c r="F259" s="370" t="s">
        <v>685</v>
      </c>
      <c r="G259" s="664" t="s">
        <v>1120</v>
      </c>
      <c r="H259" s="373">
        <v>79</v>
      </c>
      <c r="I259" s="668" t="s">
        <v>319</v>
      </c>
      <c r="J259" s="373" t="s">
        <v>67</v>
      </c>
      <c r="K259" s="380"/>
      <c r="L259" s="363">
        <v>45716</v>
      </c>
      <c r="M259" s="373" t="s">
        <v>56</v>
      </c>
      <c r="N259" s="422">
        <v>2947.5</v>
      </c>
      <c r="O259" s="373" t="s">
        <v>56</v>
      </c>
      <c r="P259" s="742" t="s">
        <v>320</v>
      </c>
      <c r="Q259" s="280" t="s">
        <v>67</v>
      </c>
      <c r="R259" s="280" t="s">
        <v>67</v>
      </c>
      <c r="S259" s="280" t="s">
        <v>67</v>
      </c>
      <c r="T259" s="280" t="s">
        <v>67</v>
      </c>
      <c r="U259" s="280" t="s">
        <v>67</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144</v>
      </c>
      <c r="C260" s="371">
        <v>45807</v>
      </c>
      <c r="D260" s="370" t="s">
        <v>380</v>
      </c>
      <c r="E260" s="370" t="s">
        <v>333</v>
      </c>
      <c r="F260" s="370" t="s">
        <v>685</v>
      </c>
      <c r="G260" s="664" t="s">
        <v>1122</v>
      </c>
      <c r="H260" s="373">
        <v>83</v>
      </c>
      <c r="I260" s="668" t="s">
        <v>319</v>
      </c>
      <c r="J260" s="373" t="s">
        <v>67</v>
      </c>
      <c r="K260" s="380"/>
      <c r="L260" s="363">
        <v>45716</v>
      </c>
      <c r="M260" s="373" t="s">
        <v>56</v>
      </c>
      <c r="N260" s="422">
        <v>2908.95</v>
      </c>
      <c r="O260" s="373" t="s">
        <v>56</v>
      </c>
      <c r="P260" s="742" t="s">
        <v>320</v>
      </c>
      <c r="Q260" s="280" t="s">
        <v>67</v>
      </c>
      <c r="R260" s="280" t="s">
        <v>67</v>
      </c>
      <c r="S260" s="280" t="s">
        <v>67</v>
      </c>
      <c r="T260" s="280" t="s">
        <v>67</v>
      </c>
      <c r="U260" s="280" t="s">
        <v>67</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380</v>
      </c>
      <c r="E261" s="370" t="s">
        <v>333</v>
      </c>
      <c r="F261" s="370" t="s">
        <v>122</v>
      </c>
      <c r="G261" s="664" t="s">
        <v>1124</v>
      </c>
      <c r="H261" s="373">
        <v>68</v>
      </c>
      <c r="I261" s="373" t="s">
        <v>320</v>
      </c>
      <c r="J261" s="373" t="s">
        <v>67</v>
      </c>
      <c r="K261" s="373"/>
      <c r="L261" s="669">
        <v>45716</v>
      </c>
      <c r="M261" s="373" t="s">
        <v>56</v>
      </c>
      <c r="N261" s="422">
        <v>1134</v>
      </c>
      <c r="O261" s="373" t="s">
        <v>56</v>
      </c>
      <c r="P261" s="743" t="s">
        <v>320</v>
      </c>
      <c r="Q261" s="280" t="s">
        <v>67</v>
      </c>
      <c r="R261" s="280" t="s">
        <v>67</v>
      </c>
      <c r="S261" s="280" t="s">
        <v>67</v>
      </c>
      <c r="T261" s="280" t="s">
        <v>67</v>
      </c>
      <c r="U261" s="280" t="s">
        <v>67</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380</v>
      </c>
      <c r="E262" s="370" t="s">
        <v>333</v>
      </c>
      <c r="F262" s="370" t="s">
        <v>122</v>
      </c>
      <c r="G262" s="682" t="s">
        <v>1126</v>
      </c>
      <c r="H262" s="373">
        <v>38</v>
      </c>
      <c r="I262" s="373" t="s">
        <v>320</v>
      </c>
      <c r="J262" s="373" t="s">
        <v>67</v>
      </c>
      <c r="K262" s="380"/>
      <c r="L262" s="363">
        <v>45716</v>
      </c>
      <c r="M262" s="373" t="s">
        <v>56</v>
      </c>
      <c r="N262" s="422">
        <v>870</v>
      </c>
      <c r="O262" s="373" t="s">
        <v>56</v>
      </c>
      <c r="P262" s="743" t="s">
        <v>320</v>
      </c>
      <c r="Q262" s="280" t="s">
        <v>67</v>
      </c>
      <c r="R262" s="280" t="s">
        <v>67</v>
      </c>
      <c r="S262" s="280" t="s">
        <v>67</v>
      </c>
      <c r="T262" s="280" t="s">
        <v>67</v>
      </c>
      <c r="U262" s="280" t="s">
        <v>67</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319</v>
      </c>
      <c r="J263" s="373" t="s">
        <v>55</v>
      </c>
      <c r="K263" s="373"/>
      <c r="L263" s="669">
        <v>45716</v>
      </c>
      <c r="M263" s="668" t="s">
        <v>56</v>
      </c>
      <c r="N263" s="422">
        <v>2025.6</v>
      </c>
      <c r="O263" s="668" t="s">
        <v>56</v>
      </c>
      <c r="P263" s="743" t="s">
        <v>320</v>
      </c>
      <c r="Q263" s="280" t="s">
        <v>67</v>
      </c>
      <c r="R263" s="280" t="s">
        <v>67</v>
      </c>
      <c r="S263" s="280" t="s">
        <v>67</v>
      </c>
      <c r="T263" s="280" t="s">
        <v>67</v>
      </c>
      <c r="U263" s="280" t="s">
        <v>67</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380</v>
      </c>
      <c r="E264" s="371">
        <v>45715</v>
      </c>
      <c r="F264" s="370" t="s">
        <v>122</v>
      </c>
      <c r="G264" s="664" t="s">
        <v>1132</v>
      </c>
      <c r="H264" s="373">
        <v>84</v>
      </c>
      <c r="I264" s="373" t="s">
        <v>320</v>
      </c>
      <c r="J264" s="373" t="s">
        <v>67</v>
      </c>
      <c r="K264" s="373"/>
      <c r="L264" s="371">
        <v>45715</v>
      </c>
      <c r="M264" s="373" t="s">
        <v>56</v>
      </c>
      <c r="N264" s="422">
        <v>3801.75</v>
      </c>
      <c r="O264" s="373" t="s">
        <v>56</v>
      </c>
      <c r="P264" s="743" t="s">
        <v>320</v>
      </c>
      <c r="Q264" s="280" t="s">
        <v>67</v>
      </c>
      <c r="R264" s="280" t="s">
        <v>67</v>
      </c>
      <c r="S264" s="280" t="s">
        <v>67</v>
      </c>
      <c r="T264" s="280" t="s">
        <v>67</v>
      </c>
      <c r="U264" s="280" t="s">
        <v>67</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80</v>
      </c>
      <c r="C267" s="728"/>
      <c r="D267" s="729" t="s">
        <v>132</v>
      </c>
      <c r="E267" s="729">
        <v>45768</v>
      </c>
      <c r="F267" s="730" t="s">
        <v>114</v>
      </c>
      <c r="G267" s="727"/>
      <c r="H267" s="731">
        <v>0</v>
      </c>
      <c r="I267" s="732" t="s">
        <v>320</v>
      </c>
      <c r="J267" s="731" t="s">
        <v>67</v>
      </c>
      <c r="K267" s="728"/>
      <c r="L267" s="733" t="s">
        <v>67</v>
      </c>
      <c r="M267" s="731" t="s">
        <v>73</v>
      </c>
      <c r="N267" s="734">
        <v>0</v>
      </c>
      <c r="O267" s="731" t="s">
        <v>73</v>
      </c>
      <c r="P267" s="735" t="s">
        <v>320</v>
      </c>
      <c r="Q267" s="736" t="s">
        <v>67</v>
      </c>
      <c r="R267" s="737" t="s">
        <v>111</v>
      </c>
      <c r="S267" s="737" t="s">
        <v>111</v>
      </c>
      <c r="T267" s="737" t="s">
        <v>111</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80</v>
      </c>
      <c r="C268" s="696"/>
      <c r="D268" s="689" t="s">
        <v>132</v>
      </c>
      <c r="E268" s="689">
        <v>45768</v>
      </c>
      <c r="F268" s="688" t="s">
        <v>114</v>
      </c>
      <c r="G268" s="690"/>
      <c r="H268" s="691">
        <v>0</v>
      </c>
      <c r="I268" s="697" t="s">
        <v>320</v>
      </c>
      <c r="J268" s="691" t="s">
        <v>67</v>
      </c>
      <c r="K268" s="696"/>
      <c r="L268" s="698" t="s">
        <v>67</v>
      </c>
      <c r="M268" s="691" t="s">
        <v>73</v>
      </c>
      <c r="N268" s="692">
        <v>0</v>
      </c>
      <c r="O268" s="691" t="s">
        <v>73</v>
      </c>
      <c r="P268" s="693" t="s">
        <v>320</v>
      </c>
      <c r="Q268" s="36" t="s">
        <v>67</v>
      </c>
      <c r="R268" s="258" t="s">
        <v>111</v>
      </c>
      <c r="S268" s="258" t="s">
        <v>111</v>
      </c>
      <c r="T268" s="258" t="s">
        <v>111</v>
      </c>
      <c r="U268" s="36"/>
      <c r="V268" s="258">
        <v>3</v>
      </c>
      <c r="W268" s="258">
        <v>3</v>
      </c>
      <c r="X268" s="386">
        <f t="shared" si="2"/>
        <v>0</v>
      </c>
      <c r="Y268" s="700">
        <f t="shared" si="3"/>
        <v>1</v>
      </c>
      <c r="Z268" s="284">
        <v>45768</v>
      </c>
      <c r="AA268" s="27">
        <v>0</v>
      </c>
    </row>
    <row r="269" spans="1:30" ht="39.75" customHeight="1">
      <c r="A269" s="1344" t="s">
        <v>1136</v>
      </c>
      <c r="B269" s="1067" t="s">
        <v>144</v>
      </c>
      <c r="C269" s="1339">
        <v>46053</v>
      </c>
      <c r="D269" s="1340" t="s">
        <v>1137</v>
      </c>
      <c r="E269" s="1341">
        <v>46030</v>
      </c>
      <c r="F269" s="733" t="s">
        <v>202</v>
      </c>
      <c r="G269" s="1342"/>
      <c r="H269" s="962">
        <v>0</v>
      </c>
      <c r="I269" s="732" t="s">
        <v>319</v>
      </c>
      <c r="J269" s="1392" t="s">
        <v>55</v>
      </c>
      <c r="K269" s="43"/>
      <c r="L269" s="698" t="s">
        <v>67</v>
      </c>
      <c r="M269" s="775" t="s">
        <v>56</v>
      </c>
      <c r="N269" s="1393">
        <v>1035</v>
      </c>
      <c r="O269" s="962" t="s">
        <v>56</v>
      </c>
      <c r="P269" s="1343" t="s">
        <v>320</v>
      </c>
      <c r="Q269" s="1394">
        <v>46030</v>
      </c>
      <c r="R269" s="258" t="s">
        <v>111</v>
      </c>
      <c r="S269" s="258" t="s">
        <v>111</v>
      </c>
      <c r="T269" s="258" t="s">
        <v>111</v>
      </c>
      <c r="U269" s="36"/>
      <c r="V269" s="1395">
        <v>0</v>
      </c>
      <c r="W269" s="1396">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1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F4">
        <v>1049</v>
      </c>
      <c r="G4">
        <v>1049</v>
      </c>
      <c r="J4" s="13" t="s">
        <v>1145</v>
      </c>
      <c r="K4" t="s">
        <v>1146</v>
      </c>
      <c r="N4" s="13" t="s">
        <v>1145</v>
      </c>
      <c r="O4" t="s">
        <v>1147</v>
      </c>
      <c r="P4" t="s">
        <v>1148</v>
      </c>
      <c r="Q4" t="s">
        <v>1149</v>
      </c>
      <c r="R4" t="s">
        <v>1143</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109</v>
      </c>
      <c r="K6">
        <v>22274</v>
      </c>
      <c r="N6" t="s">
        <v>109</v>
      </c>
      <c r="O6">
        <v>17842</v>
      </c>
      <c r="P6">
        <v>42799</v>
      </c>
      <c r="Q6">
        <v>33743</v>
      </c>
      <c r="R6">
        <v>94384</v>
      </c>
    </row>
    <row r="7" spans="1:18">
      <c r="A7" t="s">
        <v>687</v>
      </c>
      <c r="B7">
        <v>2677</v>
      </c>
      <c r="G7">
        <v>2677</v>
      </c>
      <c r="J7" t="s">
        <v>1150</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1151</v>
      </c>
      <c r="O9">
        <v>6005</v>
      </c>
      <c r="P9">
        <v>19886</v>
      </c>
      <c r="Q9">
        <v>8220</v>
      </c>
      <c r="R9">
        <v>34111</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1151</v>
      </c>
      <c r="K11">
        <v>4129</v>
      </c>
      <c r="N11" t="s">
        <v>483</v>
      </c>
      <c r="P11">
        <v>5968</v>
      </c>
      <c r="Q11">
        <v>20002</v>
      </c>
      <c r="R11">
        <v>25970</v>
      </c>
    </row>
    <row r="12" spans="1:18">
      <c r="A12" t="s">
        <v>1143</v>
      </c>
      <c r="B12">
        <v>2677</v>
      </c>
      <c r="C12">
        <v>2967</v>
      </c>
      <c r="D12">
        <v>3297</v>
      </c>
      <c r="E12">
        <v>2384</v>
      </c>
      <c r="F12">
        <v>1394</v>
      </c>
      <c r="G12">
        <v>12719</v>
      </c>
      <c r="J12" t="s">
        <v>635</v>
      </c>
      <c r="K12">
        <v>7128</v>
      </c>
      <c r="N12" t="s">
        <v>677</v>
      </c>
      <c r="O12">
        <v>2073</v>
      </c>
      <c r="P12">
        <v>6882</v>
      </c>
      <c r="Q12">
        <v>7027</v>
      </c>
      <c r="R12">
        <v>15982</v>
      </c>
    </row>
    <row r="13" spans="1:18">
      <c r="J13" t="s">
        <v>1152</v>
      </c>
      <c r="K13">
        <v>2298</v>
      </c>
      <c r="N13" t="s">
        <v>1143</v>
      </c>
      <c r="O13">
        <v>42759</v>
      </c>
      <c r="P13">
        <v>138513</v>
      </c>
      <c r="Q13">
        <v>113546</v>
      </c>
      <c r="R13">
        <v>294818</v>
      </c>
    </row>
    <row r="14" spans="1:18">
      <c r="J14" t="s">
        <v>483</v>
      </c>
      <c r="K14">
        <v>13034</v>
      </c>
    </row>
    <row r="15" spans="1:18">
      <c r="A15" s="13" t="s">
        <v>1141</v>
      </c>
      <c r="B15" s="13" t="s">
        <v>1139</v>
      </c>
      <c r="J15" t="s">
        <v>657</v>
      </c>
      <c r="K15">
        <v>4828</v>
      </c>
    </row>
    <row r="16" spans="1:18">
      <c r="A16" s="13" t="s">
        <v>1142</v>
      </c>
      <c r="B16" s="50">
        <v>45705</v>
      </c>
      <c r="C16" s="50">
        <v>45706</v>
      </c>
      <c r="D16" s="50">
        <v>45707</v>
      </c>
      <c r="E16" s="50">
        <v>45708</v>
      </c>
      <c r="F16" s="50">
        <v>45709</v>
      </c>
      <c r="G16" t="s">
        <v>1143</v>
      </c>
      <c r="J16" t="s">
        <v>677</v>
      </c>
      <c r="K16">
        <v>6718</v>
      </c>
    </row>
    <row r="17" spans="1:11">
      <c r="A17" t="s">
        <v>670</v>
      </c>
      <c r="E17">
        <v>547</v>
      </c>
      <c r="F17">
        <v>792</v>
      </c>
      <c r="G17">
        <v>1339</v>
      </c>
      <c r="J17" t="s">
        <v>476</v>
      </c>
    </row>
    <row r="18" spans="1:11">
      <c r="A18" t="s">
        <v>673</v>
      </c>
      <c r="F18">
        <v>823</v>
      </c>
      <c r="G18">
        <v>823</v>
      </c>
      <c r="J18" t="s">
        <v>1143</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1153</v>
      </c>
      <c r="F66">
        <v>0</v>
      </c>
      <c r="G66">
        <v>0</v>
      </c>
    </row>
    <row r="67" spans="1:7">
      <c r="A67" t="s">
        <v>676</v>
      </c>
      <c r="D67">
        <v>1090</v>
      </c>
      <c r="E67">
        <v>840</v>
      </c>
      <c r="F67">
        <v>530</v>
      </c>
      <c r="G67">
        <v>2460</v>
      </c>
    </row>
    <row r="68" spans="1:7">
      <c r="A68" t="s">
        <v>1154</v>
      </c>
      <c r="D68">
        <v>120</v>
      </c>
      <c r="G68">
        <v>120</v>
      </c>
    </row>
    <row r="69" spans="1:7">
      <c r="A69" t="s">
        <v>744</v>
      </c>
      <c r="D69">
        <v>399</v>
      </c>
      <c r="E69">
        <v>335</v>
      </c>
      <c r="F69">
        <v>1339</v>
      </c>
      <c r="G69">
        <v>2073</v>
      </c>
    </row>
    <row r="70" spans="1:7">
      <c r="A70" t="s">
        <v>778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1153</v>
      </c>
      <c r="B102">
        <v>0</v>
      </c>
      <c r="D102">
        <v>0</v>
      </c>
      <c r="E102">
        <v>0</v>
      </c>
      <c r="F102">
        <v>0</v>
      </c>
      <c r="G102">
        <v>0</v>
      </c>
    </row>
    <row r="103" spans="1:7">
      <c r="A103" t="s">
        <v>676</v>
      </c>
      <c r="B103">
        <v>0</v>
      </c>
      <c r="D103">
        <v>372</v>
      </c>
      <c r="E103">
        <v>0</v>
      </c>
      <c r="F103">
        <v>0</v>
      </c>
      <c r="G103">
        <v>372</v>
      </c>
    </row>
    <row r="104" spans="1:7">
      <c r="A104" t="s">
        <v>1154</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1156</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1153</v>
      </c>
      <c r="B149">
        <v>0</v>
      </c>
      <c r="C149">
        <v>106</v>
      </c>
      <c r="D149">
        <v>0</v>
      </c>
      <c r="E149">
        <v>0</v>
      </c>
      <c r="F149">
        <v>0</v>
      </c>
      <c r="G149">
        <v>106</v>
      </c>
    </row>
    <row r="150" spans="1:7">
      <c r="A150" t="s">
        <v>676</v>
      </c>
      <c r="B150">
        <v>649</v>
      </c>
      <c r="C150">
        <v>528</v>
      </c>
      <c r="D150">
        <v>489</v>
      </c>
      <c r="E150">
        <v>534</v>
      </c>
      <c r="G150">
        <v>2200</v>
      </c>
    </row>
    <row r="151" spans="1:7">
      <c r="A151" t="s">
        <v>1154</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1155</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1157</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1153</v>
      </c>
    </row>
    <row r="192" spans="1:7">
      <c r="A192" t="s">
        <v>778</v>
      </c>
      <c r="D192">
        <v>1409</v>
      </c>
      <c r="E192">
        <v>1016</v>
      </c>
      <c r="G192">
        <v>2425</v>
      </c>
    </row>
    <row r="193" spans="1:7">
      <c r="A193" t="s">
        <v>1155</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1157</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1158</v>
      </c>
    </row>
    <row r="217" spans="1:7">
      <c r="A217" t="s">
        <v>758</v>
      </c>
      <c r="D217">
        <v>1373</v>
      </c>
      <c r="E217">
        <v>3928</v>
      </c>
      <c r="F217">
        <v>1528</v>
      </c>
      <c r="G217">
        <v>6829</v>
      </c>
    </row>
    <row r="218" spans="1:7">
      <c r="A218" t="s">
        <v>1159</v>
      </c>
      <c r="E218">
        <v>1016</v>
      </c>
      <c r="G218">
        <v>1016</v>
      </c>
    </row>
    <row r="219" spans="1:7">
      <c r="A219" t="s">
        <v>466</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1161</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1162</v>
      </c>
    </row>
    <row r="245" spans="1:7">
      <c r="A245" t="s">
        <v>1163</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343</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1164</v>
      </c>
      <c r="E254">
        <v>0</v>
      </c>
      <c r="G254">
        <v>0</v>
      </c>
    </row>
    <row r="255" spans="1:7">
      <c r="A255" t="s">
        <v>494</v>
      </c>
      <c r="E255">
        <v>195</v>
      </c>
      <c r="G255">
        <v>195</v>
      </c>
    </row>
    <row r="256" spans="1:7">
      <c r="A256" t="s">
        <v>634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343</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1166</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1162</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1167</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1168</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row>
    <row r="434" spans="1:7">
      <c r="A434" t="s">
        <v>1172</v>
      </c>
    </row>
    <row r="435" spans="1:7">
      <c r="A435" t="s">
        <v>656</v>
      </c>
      <c r="C435">
        <v>55</v>
      </c>
      <c r="G435">
        <v>55</v>
      </c>
    </row>
    <row r="436" spans="1:7">
      <c r="A436" t="s">
        <v>595</v>
      </c>
      <c r="D436">
        <v>1190</v>
      </c>
      <c r="G436">
        <v>1190</v>
      </c>
    </row>
    <row r="437" spans="1:7">
      <c r="A437" t="s">
        <v>1162</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1170</v>
      </c>
    </row>
    <row r="445" spans="1:7">
      <c r="A445" t="s">
        <v>1171</v>
      </c>
      <c r="C445">
        <v>212</v>
      </c>
      <c r="E445">
        <v>1316</v>
      </c>
      <c r="F445">
        <v>1232</v>
      </c>
      <c r="G445">
        <v>2760</v>
      </c>
    </row>
    <row r="446" spans="1:7">
      <c r="A446" t="s">
        <v>463</v>
      </c>
      <c r="D446">
        <v>153</v>
      </c>
      <c r="G446">
        <v>153</v>
      </c>
    </row>
    <row r="447" spans="1:7">
      <c r="A447" t="s">
        <v>1173</v>
      </c>
    </row>
    <row r="448" spans="1:7">
      <c r="A448" t="s">
        <v>1174</v>
      </c>
    </row>
    <row r="449" spans="1:7">
      <c r="A449" t="s">
        <v>1175</v>
      </c>
      <c r="E449">
        <v>201</v>
      </c>
      <c r="F449">
        <v>30</v>
      </c>
      <c r="G449">
        <v>231</v>
      </c>
    </row>
    <row r="450" spans="1:7">
      <c r="A450" t="s">
        <v>501</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1171</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1176</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1184</v>
      </c>
      <c r="B506">
        <v>6</v>
      </c>
      <c r="G506">
        <v>6</v>
      </c>
    </row>
    <row r="507" spans="1:7">
      <c r="A507" t="s">
        <v>1185</v>
      </c>
    </row>
    <row r="508" spans="1:7">
      <c r="A508" t="s">
        <v>1186</v>
      </c>
    </row>
    <row r="509" spans="1:7">
      <c r="A509" t="s">
        <v>575</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1175</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1175</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489</v>
      </c>
      <c r="C564">
        <v>282</v>
      </c>
      <c r="G564">
        <v>282</v>
      </c>
    </row>
    <row r="565" spans="1:7">
      <c r="A565" t="s">
        <v>475</v>
      </c>
      <c r="B565">
        <v>885</v>
      </c>
      <c r="C565">
        <v>478</v>
      </c>
      <c r="D565">
        <v>490</v>
      </c>
      <c r="E565">
        <v>372</v>
      </c>
      <c r="G565">
        <v>2225</v>
      </c>
    </row>
    <row r="566" spans="1:7">
      <c r="A566" t="s">
        <v>1168</v>
      </c>
    </row>
    <row r="567" spans="1:7">
      <c r="A567" t="s">
        <v>1175</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F578">
        <v>198</v>
      </c>
      <c r="G578">
        <v>198</v>
      </c>
    </row>
    <row r="579" spans="1:7">
      <c r="A579" t="s">
        <v>475</v>
      </c>
    </row>
    <row r="580" spans="1:7">
      <c r="A580" t="s">
        <v>486</v>
      </c>
    </row>
    <row r="581" spans="1:7">
      <c r="A581" t="s">
        <v>1170</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479</v>
      </c>
      <c r="B591">
        <v>862</v>
      </c>
      <c r="G591">
        <v>862</v>
      </c>
    </row>
    <row r="592" spans="1:7">
      <c r="A592" t="s">
        <v>1170</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479</v>
      </c>
      <c r="D605">
        <v>461</v>
      </c>
      <c r="E605">
        <v>880</v>
      </c>
      <c r="F605">
        <v>585</v>
      </c>
      <c r="G605">
        <v>1926</v>
      </c>
    </row>
    <row r="606" spans="1:7">
      <c r="A606" t="s">
        <v>486</v>
      </c>
      <c r="E606">
        <v>868</v>
      </c>
      <c r="G606">
        <v>868</v>
      </c>
    </row>
    <row r="607" spans="1:7">
      <c r="A607" t="s">
        <v>1170</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1190</v>
      </c>
      <c r="C615">
        <v>605</v>
      </c>
      <c r="G615">
        <v>605</v>
      </c>
    </row>
    <row r="616" spans="1:7">
      <c r="A616" t="s">
        <v>557</v>
      </c>
      <c r="D616">
        <v>363</v>
      </c>
      <c r="E616">
        <v>1077</v>
      </c>
      <c r="G616">
        <v>1440</v>
      </c>
    </row>
    <row r="617" spans="1:7">
      <c r="A617" t="s">
        <v>1005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D665">
        <v>499</v>
      </c>
      <c r="E665">
        <v>231</v>
      </c>
      <c r="F665">
        <v>316</v>
      </c>
      <c r="G665">
        <v>1046</v>
      </c>
    </row>
    <row r="666" spans="1:7">
      <c r="A666" t="s">
        <v>449</v>
      </c>
    </row>
    <row r="667" spans="1:7">
      <c r="A667" t="s">
        <v>1170</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336</v>
      </c>
      <c r="B673">
        <v>396</v>
      </c>
      <c r="G673">
        <v>396</v>
      </c>
    </row>
    <row r="674" spans="1:7">
      <c r="A674" t="s">
        <v>601</v>
      </c>
      <c r="B674">
        <v>1109</v>
      </c>
      <c r="G674">
        <v>1109</v>
      </c>
    </row>
    <row r="675" spans="1:7">
      <c r="A675" t="s">
        <v>1192</v>
      </c>
      <c r="C675">
        <v>205</v>
      </c>
      <c r="G675">
        <v>205</v>
      </c>
    </row>
    <row r="676" spans="1:7">
      <c r="A676" t="s">
        <v>1193</v>
      </c>
      <c r="C676">
        <v>1456</v>
      </c>
      <c r="D676">
        <v>1420</v>
      </c>
      <c r="E676">
        <v>1170</v>
      </c>
      <c r="F676">
        <v>1081</v>
      </c>
      <c r="G676">
        <v>5127</v>
      </c>
    </row>
    <row r="677" spans="1:7">
      <c r="A677" t="s">
        <v>890</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1170</v>
      </c>
      <c r="B688">
        <v>20</v>
      </c>
      <c r="E688">
        <v>250</v>
      </c>
      <c r="F688">
        <v>177</v>
      </c>
      <c r="G688">
        <v>447</v>
      </c>
    </row>
    <row r="689" spans="1:7">
      <c r="A689" t="s">
        <v>845</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1195</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479</v>
      </c>
    </row>
    <row r="708" spans="1:7">
      <c r="A708" t="s">
        <v>769</v>
      </c>
    </row>
    <row r="709" spans="1:7">
      <c r="A709" t="s">
        <v>486</v>
      </c>
      <c r="C709">
        <v>15</v>
      </c>
      <c r="D709">
        <v>65</v>
      </c>
      <c r="E709">
        <v>6</v>
      </c>
      <c r="G709">
        <v>86</v>
      </c>
    </row>
    <row r="710" spans="1:7">
      <c r="A710" t="s">
        <v>1170</v>
      </c>
    </row>
    <row r="711" spans="1:7">
      <c r="A711" t="s">
        <v>1175</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1196</v>
      </c>
    </row>
    <row r="719" spans="1:7">
      <c r="A719" t="s">
        <v>888</v>
      </c>
      <c r="E719">
        <v>903</v>
      </c>
      <c r="G719">
        <v>903</v>
      </c>
    </row>
    <row r="720" spans="1:7">
      <c r="A720" t="s">
        <v>847</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479</v>
      </c>
      <c r="D743">
        <v>139</v>
      </c>
      <c r="G743">
        <v>139</v>
      </c>
    </row>
    <row r="744" spans="1:7">
      <c r="A744" t="s">
        <v>486</v>
      </c>
    </row>
    <row r="745" spans="1:7">
      <c r="A745" t="s">
        <v>463</v>
      </c>
      <c r="E745">
        <v>97</v>
      </c>
      <c r="G745">
        <v>97</v>
      </c>
    </row>
    <row r="746" spans="1:7">
      <c r="A746" t="s">
        <v>1175</v>
      </c>
      <c r="B746">
        <v>42</v>
      </c>
      <c r="C746">
        <v>219</v>
      </c>
      <c r="F746">
        <v>70</v>
      </c>
      <c r="G746">
        <v>331</v>
      </c>
    </row>
    <row r="747" spans="1:7">
      <c r="A747" t="s">
        <v>1193</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1197</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479</v>
      </c>
      <c r="B763">
        <v>60</v>
      </c>
      <c r="G763">
        <v>60</v>
      </c>
    </row>
    <row r="764" spans="1:7">
      <c r="A764" t="s">
        <v>456</v>
      </c>
      <c r="E764">
        <v>175</v>
      </c>
      <c r="G764">
        <v>175</v>
      </c>
    </row>
    <row r="765" spans="1:7">
      <c r="A765" t="s">
        <v>1175</v>
      </c>
      <c r="C765">
        <v>224</v>
      </c>
      <c r="G765">
        <v>224</v>
      </c>
    </row>
    <row r="766" spans="1:7">
      <c r="A766" t="s">
        <v>818</v>
      </c>
      <c r="D766">
        <v>406</v>
      </c>
      <c r="G766">
        <v>406</v>
      </c>
    </row>
    <row r="767" spans="1:7">
      <c r="A767" t="s">
        <v>336</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1198</v>
      </c>
      <c r="B775">
        <v>329</v>
      </c>
      <c r="C775">
        <v>427</v>
      </c>
      <c r="D775">
        <v>537</v>
      </c>
      <c r="E775">
        <v>646</v>
      </c>
      <c r="F775">
        <v>793</v>
      </c>
      <c r="G775">
        <v>2732</v>
      </c>
    </row>
    <row r="776" spans="1:7">
      <c r="A776" t="s">
        <v>590</v>
      </c>
      <c r="B776">
        <v>335</v>
      </c>
      <c r="G776">
        <v>335</v>
      </c>
    </row>
    <row r="777" spans="1:7">
      <c r="A777" t="s">
        <v>1199</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1200</v>
      </c>
      <c r="F781">
        <v>4135</v>
      </c>
      <c r="G781">
        <v>4135</v>
      </c>
    </row>
    <row r="782" spans="1:7">
      <c r="A782" t="s">
        <v>833</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456</v>
      </c>
      <c r="B790">
        <v>229</v>
      </c>
      <c r="G790">
        <v>229</v>
      </c>
    </row>
    <row r="791" spans="1:7">
      <c r="A791" t="s">
        <v>463</v>
      </c>
      <c r="C791">
        <v>134</v>
      </c>
      <c r="E791">
        <v>450</v>
      </c>
      <c r="F791">
        <v>352</v>
      </c>
      <c r="G791">
        <v>936</v>
      </c>
    </row>
    <row r="792" spans="1:7">
      <c r="A792" t="s">
        <v>1175</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1199</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1200</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E813">
        <v>270</v>
      </c>
      <c r="F813">
        <v>268</v>
      </c>
      <c r="G813">
        <v>538</v>
      </c>
    </row>
    <row r="814" spans="1:7">
      <c r="A814" t="s">
        <v>1169</v>
      </c>
      <c r="D814">
        <v>126</v>
      </c>
      <c r="E814">
        <v>229</v>
      </c>
      <c r="G814">
        <v>355</v>
      </c>
    </row>
    <row r="815" spans="1:7">
      <c r="A815" t="s">
        <v>463</v>
      </c>
      <c r="B815">
        <v>175</v>
      </c>
      <c r="C815">
        <v>270</v>
      </c>
      <c r="G815">
        <v>445</v>
      </c>
    </row>
    <row r="816" spans="1:7">
      <c r="A816" t="s">
        <v>1175</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1199</v>
      </c>
      <c r="B820">
        <v>225</v>
      </c>
      <c r="C820">
        <v>1287</v>
      </c>
      <c r="D820">
        <v>1185</v>
      </c>
      <c r="E820">
        <v>508</v>
      </c>
      <c r="G820">
        <v>3205</v>
      </c>
    </row>
    <row r="821" spans="1:7">
      <c r="A821" t="s">
        <v>907</v>
      </c>
      <c r="D821">
        <v>334</v>
      </c>
      <c r="G821">
        <v>334</v>
      </c>
    </row>
    <row r="822" spans="1:7">
      <c r="A822" t="s">
        <v>1200</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820</v>
      </c>
      <c r="D839">
        <v>986</v>
      </c>
      <c r="G839">
        <v>986</v>
      </c>
    </row>
    <row r="840" spans="1:7">
      <c r="A840" t="s">
        <v>1199</v>
      </c>
      <c r="B840">
        <v>916</v>
      </c>
      <c r="C840">
        <v>144</v>
      </c>
      <c r="G840">
        <v>1060</v>
      </c>
    </row>
    <row r="841" spans="1:7">
      <c r="A841" t="s">
        <v>939</v>
      </c>
    </row>
    <row r="842" spans="1:7">
      <c r="A842" t="s">
        <v>935</v>
      </c>
    </row>
    <row r="843" spans="1:7">
      <c r="A843" t="s">
        <v>108</v>
      </c>
      <c r="B843">
        <v>828</v>
      </c>
      <c r="C843">
        <v>150</v>
      </c>
      <c r="E843">
        <v>688</v>
      </c>
      <c r="G843">
        <v>1666</v>
      </c>
    </row>
    <row r="844" spans="1:7">
      <c r="A844" t="s">
        <v>1203</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322</v>
      </c>
      <c r="B847">
        <v>60</v>
      </c>
      <c r="C847">
        <v>219</v>
      </c>
      <c r="G847">
        <v>279</v>
      </c>
    </row>
    <row r="848" spans="1:7">
      <c r="A848" t="s">
        <v>613</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463</v>
      </c>
      <c r="B860">
        <v>153</v>
      </c>
      <c r="C860">
        <v>244</v>
      </c>
      <c r="E860">
        <v>237</v>
      </c>
      <c r="G860">
        <v>634</v>
      </c>
    </row>
    <row r="861" spans="1:7">
      <c r="A861" t="s">
        <v>1175</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949</v>
      </c>
      <c r="C868">
        <v>230</v>
      </c>
      <c r="G868">
        <v>230</v>
      </c>
    </row>
    <row r="869" spans="1:7">
      <c r="A869" t="s">
        <v>937</v>
      </c>
      <c r="B869">
        <v>853</v>
      </c>
      <c r="G869">
        <v>853</v>
      </c>
    </row>
    <row r="870" spans="1:7">
      <c r="A870" t="s">
        <v>335</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D880">
        <v>171</v>
      </c>
      <c r="G880">
        <v>171</v>
      </c>
    </row>
    <row r="881" spans="1:7">
      <c r="A881" t="s">
        <v>1169</v>
      </c>
      <c r="B881">
        <v>567</v>
      </c>
      <c r="G881">
        <v>567</v>
      </c>
    </row>
    <row r="882" spans="1:7">
      <c r="A882" t="s">
        <v>818</v>
      </c>
    </row>
    <row r="883" spans="1:7">
      <c r="A883" t="s">
        <v>845</v>
      </c>
      <c r="F883">
        <v>60</v>
      </c>
      <c r="G883">
        <v>60</v>
      </c>
    </row>
    <row r="884" spans="1:7">
      <c r="A884" t="s">
        <v>336</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1205</v>
      </c>
      <c r="B897">
        <v>1224</v>
      </c>
      <c r="C897">
        <v>988</v>
      </c>
      <c r="D897">
        <v>2316</v>
      </c>
      <c r="E897">
        <v>2066</v>
      </c>
      <c r="G897">
        <v>6594</v>
      </c>
    </row>
    <row r="898" spans="1:7">
      <c r="A898" t="s">
        <v>941</v>
      </c>
      <c r="C898">
        <v>1678</v>
      </c>
      <c r="E898">
        <v>394</v>
      </c>
      <c r="G898">
        <v>2072</v>
      </c>
    </row>
    <row r="899" spans="1:7">
      <c r="A899" t="s">
        <v>325</v>
      </c>
      <c r="D899">
        <v>3179</v>
      </c>
      <c r="G899">
        <v>3179</v>
      </c>
    </row>
    <row r="900" spans="1:7">
      <c r="A900" t="s">
        <v>1013</v>
      </c>
      <c r="E900">
        <v>978</v>
      </c>
      <c r="G900">
        <v>978</v>
      </c>
    </row>
    <row r="901" spans="1:7">
      <c r="A901" t="s">
        <v>990</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847</v>
      </c>
    </row>
    <row r="910" spans="1:7">
      <c r="A910" t="s">
        <v>820</v>
      </c>
    </row>
    <row r="911" spans="1:7">
      <c r="A911" t="s">
        <v>833</v>
      </c>
      <c r="F911">
        <v>569</v>
      </c>
      <c r="G911">
        <v>569</v>
      </c>
    </row>
    <row r="912" spans="1:7">
      <c r="A912" t="s">
        <v>1067</v>
      </c>
    </row>
    <row r="913" spans="1:7">
      <c r="A913" t="s">
        <v>322</v>
      </c>
      <c r="D913">
        <v>150</v>
      </c>
      <c r="G913">
        <v>150</v>
      </c>
    </row>
    <row r="914" spans="1:7">
      <c r="A914" t="s">
        <v>335</v>
      </c>
    </row>
    <row r="915" spans="1:7">
      <c r="A915" t="s">
        <v>969</v>
      </c>
      <c r="B915">
        <v>701</v>
      </c>
      <c r="G915">
        <v>701</v>
      </c>
    </row>
    <row r="916" spans="1:7">
      <c r="A916" t="s">
        <v>843</v>
      </c>
      <c r="B916">
        <v>463</v>
      </c>
      <c r="C916">
        <v>633</v>
      </c>
      <c r="D916">
        <v>625</v>
      </c>
      <c r="G916">
        <v>1721</v>
      </c>
    </row>
    <row r="917" spans="1:7">
      <c r="A917" t="s">
        <v>826</v>
      </c>
    </row>
    <row r="918" spans="1:7">
      <c r="A918" t="s">
        <v>325</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163</v>
      </c>
      <c r="C921">
        <v>379</v>
      </c>
      <c r="D921">
        <v>208</v>
      </c>
      <c r="G921">
        <v>587</v>
      </c>
    </row>
    <row r="922" spans="1:7">
      <c r="A922" t="s">
        <v>955</v>
      </c>
      <c r="B922">
        <v>579</v>
      </c>
      <c r="C922">
        <v>1120</v>
      </c>
      <c r="D922">
        <v>1488</v>
      </c>
      <c r="E922">
        <v>954</v>
      </c>
      <c r="G922">
        <v>4141</v>
      </c>
    </row>
    <row r="923" spans="1:7">
      <c r="A923" t="s">
        <v>1206</v>
      </c>
      <c r="B923">
        <v>365</v>
      </c>
      <c r="G923">
        <v>365</v>
      </c>
    </row>
    <row r="924" spans="1:7">
      <c r="A924" t="s">
        <v>346</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395</v>
      </c>
      <c r="B929">
        <v>3266</v>
      </c>
      <c r="C929">
        <v>3910</v>
      </c>
      <c r="D929">
        <v>346</v>
      </c>
      <c r="G929">
        <v>7522</v>
      </c>
    </row>
    <row r="930" spans="1:7">
      <c r="A930" t="s">
        <v>391</v>
      </c>
      <c r="C930">
        <v>372</v>
      </c>
      <c r="D930">
        <v>656</v>
      </c>
      <c r="G930">
        <v>1028</v>
      </c>
    </row>
    <row r="931" spans="1:7">
      <c r="A931" t="s">
        <v>1074</v>
      </c>
      <c r="D931">
        <v>2985</v>
      </c>
      <c r="E931">
        <v>2373</v>
      </c>
      <c r="G931">
        <v>5358</v>
      </c>
    </row>
    <row r="932" spans="1:7">
      <c r="A932" t="s">
        <v>409</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row>
    <row r="939" spans="1:7">
      <c r="A939" t="s">
        <v>316</v>
      </c>
    </row>
    <row r="940" spans="1:7">
      <c r="A940" t="s">
        <v>1067</v>
      </c>
      <c r="B940">
        <v>560</v>
      </c>
      <c r="G940">
        <v>560</v>
      </c>
    </row>
    <row r="941" spans="1:7">
      <c r="A941" t="s">
        <v>335</v>
      </c>
    </row>
    <row r="942" spans="1:7">
      <c r="A942" t="s">
        <v>969</v>
      </c>
      <c r="B942">
        <v>138</v>
      </c>
      <c r="G942">
        <v>138</v>
      </c>
    </row>
    <row r="943" spans="1:7">
      <c r="A943" t="s">
        <v>826</v>
      </c>
    </row>
    <row r="944" spans="1:7">
      <c r="A944" t="s">
        <v>325</v>
      </c>
      <c r="B944">
        <v>96</v>
      </c>
      <c r="G944">
        <v>96</v>
      </c>
    </row>
    <row r="945" spans="1:7">
      <c r="A945" t="s">
        <v>1013</v>
      </c>
      <c r="B945">
        <v>632</v>
      </c>
      <c r="G945">
        <v>632</v>
      </c>
    </row>
    <row r="946" spans="1:7">
      <c r="A946" t="s">
        <v>990</v>
      </c>
      <c r="B946">
        <v>558</v>
      </c>
      <c r="G946">
        <v>558</v>
      </c>
    </row>
    <row r="947" spans="1:7">
      <c r="A947" t="s">
        <v>163</v>
      </c>
      <c r="B947">
        <v>562</v>
      </c>
      <c r="D947">
        <v>474</v>
      </c>
      <c r="E947">
        <v>606</v>
      </c>
      <c r="F947">
        <v>322</v>
      </c>
      <c r="G947">
        <v>1964</v>
      </c>
    </row>
    <row r="948" spans="1:7">
      <c r="A948" t="s">
        <v>993</v>
      </c>
      <c r="B948">
        <v>1351</v>
      </c>
      <c r="D948">
        <v>890</v>
      </c>
      <c r="G948">
        <v>2241</v>
      </c>
    </row>
    <row r="949" spans="1:7">
      <c r="A949" t="s">
        <v>409</v>
      </c>
      <c r="B949">
        <v>4084</v>
      </c>
      <c r="D949">
        <v>242</v>
      </c>
      <c r="G949">
        <v>4326</v>
      </c>
    </row>
    <row r="950" spans="1:7">
      <c r="A950" t="s">
        <v>1207</v>
      </c>
      <c r="B950">
        <v>748</v>
      </c>
      <c r="C950">
        <v>1062</v>
      </c>
      <c r="G950">
        <v>1810</v>
      </c>
    </row>
    <row r="951" spans="1:7">
      <c r="A951" t="s">
        <v>327</v>
      </c>
      <c r="B951">
        <v>435</v>
      </c>
      <c r="E951">
        <v>1123</v>
      </c>
      <c r="G951">
        <v>1558</v>
      </c>
    </row>
    <row r="952" spans="1:7">
      <c r="A952" t="s">
        <v>953</v>
      </c>
      <c r="D952">
        <v>1580</v>
      </c>
      <c r="E952">
        <v>1258</v>
      </c>
      <c r="G952">
        <v>2838</v>
      </c>
    </row>
    <row r="953" spans="1:7">
      <c r="A953" t="s">
        <v>951</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401</v>
      </c>
      <c r="D956">
        <v>1264</v>
      </c>
      <c r="E956">
        <v>1281</v>
      </c>
      <c r="G956">
        <v>2545</v>
      </c>
    </row>
    <row r="957" spans="1:7">
      <c r="A957" t="s">
        <v>1208</v>
      </c>
    </row>
    <row r="958" spans="1:7">
      <c r="A958" t="s">
        <v>414</v>
      </c>
      <c r="D958">
        <v>3678</v>
      </c>
      <c r="E958">
        <v>3382</v>
      </c>
      <c r="G958">
        <v>7060</v>
      </c>
    </row>
    <row r="959" spans="1:7">
      <c r="A959" t="s">
        <v>1209</v>
      </c>
      <c r="F959">
        <v>1505</v>
      </c>
      <c r="G959">
        <v>1505</v>
      </c>
    </row>
    <row r="960" spans="1:7">
      <c r="A960" t="s">
        <v>443</v>
      </c>
      <c r="E960">
        <v>424</v>
      </c>
      <c r="G960">
        <v>424</v>
      </c>
    </row>
    <row r="961" spans="1:7">
      <c r="A961" t="s">
        <v>416</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E968">
        <v>170</v>
      </c>
      <c r="F968">
        <v>271</v>
      </c>
      <c r="G968">
        <v>441</v>
      </c>
    </row>
    <row r="969" spans="1:7">
      <c r="A969" t="s">
        <v>336</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163</v>
      </c>
      <c r="B973">
        <v>420</v>
      </c>
      <c r="G973">
        <v>420</v>
      </c>
    </row>
    <row r="974" spans="1:7">
      <c r="A974" t="s">
        <v>993</v>
      </c>
    </row>
    <row r="975" spans="1:7">
      <c r="A975" t="s">
        <v>327</v>
      </c>
      <c r="C975">
        <v>1917</v>
      </c>
      <c r="E975">
        <v>272</v>
      </c>
      <c r="G975">
        <v>2189</v>
      </c>
    </row>
    <row r="976" spans="1:7">
      <c r="A976" t="s">
        <v>951</v>
      </c>
      <c r="B976">
        <v>956</v>
      </c>
      <c r="G976">
        <v>956</v>
      </c>
    </row>
    <row r="977" spans="1:7">
      <c r="A977" t="s">
        <v>152</v>
      </c>
      <c r="E977">
        <v>195</v>
      </c>
      <c r="G977">
        <v>195</v>
      </c>
    </row>
    <row r="978" spans="1:7">
      <c r="A978" t="s">
        <v>369</v>
      </c>
      <c r="B978">
        <v>1449</v>
      </c>
      <c r="G978">
        <v>1449</v>
      </c>
    </row>
    <row r="979" spans="1:7">
      <c r="A979" t="s">
        <v>401</v>
      </c>
      <c r="B979">
        <v>1662</v>
      </c>
      <c r="C979">
        <v>2684</v>
      </c>
      <c r="F979">
        <v>51</v>
      </c>
      <c r="G979">
        <v>4397</v>
      </c>
    </row>
    <row r="980" spans="1:7">
      <c r="A980" t="s">
        <v>411</v>
      </c>
      <c r="B980">
        <v>5466</v>
      </c>
      <c r="E980">
        <v>2252</v>
      </c>
      <c r="G980">
        <v>7718</v>
      </c>
    </row>
    <row r="981" spans="1:7">
      <c r="A981" t="s">
        <v>1209</v>
      </c>
      <c r="B981">
        <v>907</v>
      </c>
      <c r="G981">
        <v>907</v>
      </c>
    </row>
    <row r="982" spans="1:7">
      <c r="A982" t="s">
        <v>443</v>
      </c>
      <c r="E982">
        <v>313</v>
      </c>
      <c r="F982">
        <v>3007</v>
      </c>
      <c r="G982">
        <v>3320</v>
      </c>
    </row>
    <row r="983" spans="1:7">
      <c r="A983" t="s">
        <v>416</v>
      </c>
      <c r="B983">
        <v>1498</v>
      </c>
      <c r="C983">
        <v>3613</v>
      </c>
      <c r="E983">
        <v>1027</v>
      </c>
      <c r="F983">
        <v>490</v>
      </c>
      <c r="G983">
        <v>6628</v>
      </c>
    </row>
    <row r="984" spans="1:7">
      <c r="A984" t="s">
        <v>1210</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807</v>
      </c>
    </row>
    <row r="992" spans="1:7">
      <c r="A992" t="s">
        <v>809</v>
      </c>
    </row>
    <row r="993" spans="1:7">
      <c r="A993" t="s">
        <v>823</v>
      </c>
      <c r="C993">
        <v>136</v>
      </c>
      <c r="D993">
        <v>170</v>
      </c>
      <c r="F993">
        <v>15</v>
      </c>
      <c r="G993">
        <v>321</v>
      </c>
    </row>
    <row r="994" spans="1:7">
      <c r="A994" t="s">
        <v>419</v>
      </c>
      <c r="E994">
        <v>1420</v>
      </c>
      <c r="F994">
        <v>3043</v>
      </c>
      <c r="G994">
        <v>4463</v>
      </c>
    </row>
    <row r="995" spans="1:7">
      <c r="A995" t="s">
        <v>422</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466</v>
      </c>
    </row>
    <row r="1005" spans="1:7">
      <c r="A1005" t="s">
        <v>456</v>
      </c>
      <c r="C1005">
        <v>68</v>
      </c>
      <c r="G1005">
        <v>68</v>
      </c>
    </row>
    <row r="1006" spans="1:7">
      <c r="A1006" t="s">
        <v>1194</v>
      </c>
    </row>
    <row r="1007" spans="1:7">
      <c r="A1007" t="s">
        <v>316</v>
      </c>
    </row>
    <row r="1008" spans="1:7">
      <c r="A1008" t="s">
        <v>843</v>
      </c>
    </row>
    <row r="1009" spans="1:7">
      <c r="A1009" t="s">
        <v>826</v>
      </c>
    </row>
    <row r="1010" spans="1:7">
      <c r="A1010" t="s">
        <v>325</v>
      </c>
    </row>
    <row r="1011" spans="1:7">
      <c r="A1011" t="s">
        <v>163</v>
      </c>
      <c r="D1011">
        <v>426</v>
      </c>
      <c r="G1011">
        <v>426</v>
      </c>
    </row>
    <row r="1012" spans="1:7">
      <c r="A1012" t="s">
        <v>841</v>
      </c>
    </row>
    <row r="1013" spans="1:7">
      <c r="A1013" t="s">
        <v>395</v>
      </c>
    </row>
    <row r="1014" spans="1:7">
      <c r="A1014" t="s">
        <v>391</v>
      </c>
      <c r="C1014">
        <v>1175</v>
      </c>
      <c r="G1014">
        <v>1175</v>
      </c>
    </row>
    <row r="1015" spans="1:7">
      <c r="A1015" t="s">
        <v>1074</v>
      </c>
      <c r="C1015">
        <v>996</v>
      </c>
      <c r="G1015">
        <v>996</v>
      </c>
    </row>
    <row r="1016" spans="1:7">
      <c r="A1016" t="s">
        <v>327</v>
      </c>
      <c r="B1016">
        <v>900</v>
      </c>
      <c r="G1016">
        <v>900</v>
      </c>
    </row>
    <row r="1017" spans="1:7">
      <c r="A1017" t="s">
        <v>953</v>
      </c>
    </row>
    <row r="1018" spans="1:7">
      <c r="A1018" t="s">
        <v>951</v>
      </c>
    </row>
    <row r="1019" spans="1:7">
      <c r="A1019" t="s">
        <v>1210</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1212</v>
      </c>
      <c r="B1023">
        <v>1718</v>
      </c>
      <c r="C1023">
        <v>2478</v>
      </c>
      <c r="D1023">
        <v>1567</v>
      </c>
      <c r="G1023">
        <v>5763</v>
      </c>
    </row>
    <row r="1024" spans="1:7">
      <c r="A1024" t="s">
        <v>419</v>
      </c>
      <c r="C1024">
        <v>3411</v>
      </c>
      <c r="G1024">
        <v>3411</v>
      </c>
    </row>
    <row r="1025" spans="1:7">
      <c r="A1025" t="s">
        <v>1036</v>
      </c>
      <c r="B1025">
        <v>82</v>
      </c>
      <c r="G1025">
        <v>82</v>
      </c>
    </row>
    <row r="1026" spans="1:7">
      <c r="A1026" t="s">
        <v>422</v>
      </c>
      <c r="C1026">
        <v>3311</v>
      </c>
      <c r="G1026">
        <v>3311</v>
      </c>
    </row>
    <row r="1027" spans="1:7">
      <c r="A1027" t="s">
        <v>811</v>
      </c>
    </row>
    <row r="1028" spans="1:7">
      <c r="A1028" t="s">
        <v>373</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403</v>
      </c>
      <c r="C1031">
        <v>2382</v>
      </c>
      <c r="G1031">
        <v>2382</v>
      </c>
    </row>
    <row r="1032" spans="1:7">
      <c r="A1032" t="s">
        <v>977</v>
      </c>
      <c r="C1032">
        <v>1100</v>
      </c>
      <c r="D1032">
        <v>855</v>
      </c>
      <c r="G1032">
        <v>1955</v>
      </c>
    </row>
    <row r="1033" spans="1:7">
      <c r="A1033" t="s">
        <v>1213</v>
      </c>
      <c r="C1033">
        <v>486</v>
      </c>
      <c r="G1033">
        <v>486</v>
      </c>
    </row>
    <row r="1034" spans="1:7">
      <c r="A1034" t="s">
        <v>1086</v>
      </c>
      <c r="C1034">
        <v>3634</v>
      </c>
      <c r="G1034">
        <v>3634</v>
      </c>
    </row>
    <row r="1035" spans="1:7">
      <c r="A1035" t="s">
        <v>1214</v>
      </c>
      <c r="D1035">
        <v>955</v>
      </c>
      <c r="G1035">
        <v>955</v>
      </c>
    </row>
    <row r="1036" spans="1:7">
      <c r="A1036" t="s">
        <v>1215</v>
      </c>
    </row>
    <row r="1037" spans="1:7">
      <c r="A1037" t="s">
        <v>1080</v>
      </c>
    </row>
    <row r="1038" spans="1:7">
      <c r="A1038" t="s">
        <v>1077</v>
      </c>
    </row>
    <row r="1039" spans="1:7">
      <c r="A1039" t="s">
        <v>813</v>
      </c>
    </row>
    <row r="1040" spans="1:7">
      <c r="A1040" t="s">
        <v>1079</v>
      </c>
    </row>
    <row r="1041" spans="1:7">
      <c r="A1041" t="s">
        <v>1082</v>
      </c>
    </row>
    <row r="1042" spans="1:7">
      <c r="A1042" t="s">
        <v>1084</v>
      </c>
    </row>
    <row r="1043" spans="1:7">
      <c r="A1043" t="s">
        <v>1085</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391</v>
      </c>
      <c r="B1053">
        <v>1515</v>
      </c>
      <c r="G1053">
        <v>1515</v>
      </c>
    </row>
    <row r="1054" spans="1:7">
      <c r="A1054" t="s">
        <v>411</v>
      </c>
      <c r="E1054">
        <v>64</v>
      </c>
      <c r="G1054">
        <v>64</v>
      </c>
    </row>
    <row r="1055" spans="1:7">
      <c r="A1055" t="s">
        <v>414</v>
      </c>
    </row>
    <row r="1056" spans="1:7">
      <c r="A1056" t="s">
        <v>974</v>
      </c>
      <c r="B1056">
        <v>1610</v>
      </c>
      <c r="G1056">
        <v>1610</v>
      </c>
    </row>
    <row r="1057" spans="1:7">
      <c r="A1057" t="s">
        <v>971</v>
      </c>
    </row>
    <row r="1058" spans="1:7">
      <c r="A1058" t="s">
        <v>419</v>
      </c>
      <c r="E1058">
        <v>52</v>
      </c>
      <c r="G1058">
        <v>52</v>
      </c>
    </row>
    <row r="1059" spans="1:7">
      <c r="A1059" t="s">
        <v>373</v>
      </c>
      <c r="E1059">
        <v>489</v>
      </c>
      <c r="F1059">
        <v>2020</v>
      </c>
      <c r="G1059">
        <v>2509</v>
      </c>
    </row>
    <row r="1060" spans="1:7">
      <c r="A1060" t="s">
        <v>854</v>
      </c>
      <c r="B1060">
        <v>2113</v>
      </c>
      <c r="D1060">
        <v>1677</v>
      </c>
      <c r="E1060">
        <v>1316</v>
      </c>
      <c r="G1060">
        <v>5106</v>
      </c>
    </row>
    <row r="1061" spans="1:7">
      <c r="A1061" t="s">
        <v>403</v>
      </c>
      <c r="B1061">
        <v>3084</v>
      </c>
      <c r="G1061">
        <v>3084</v>
      </c>
    </row>
    <row r="1062" spans="1:7">
      <c r="A1062" t="s">
        <v>977</v>
      </c>
      <c r="B1062">
        <v>1622</v>
      </c>
      <c r="C1062">
        <v>1131</v>
      </c>
      <c r="G1062">
        <v>2753</v>
      </c>
    </row>
    <row r="1063" spans="1:7">
      <c r="A1063" t="s">
        <v>1213</v>
      </c>
      <c r="B1063">
        <v>600</v>
      </c>
      <c r="C1063">
        <v>610</v>
      </c>
      <c r="D1063">
        <v>974</v>
      </c>
      <c r="G1063">
        <v>2184</v>
      </c>
    </row>
    <row r="1064" spans="1:7">
      <c r="A1064" t="s">
        <v>1086</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1101</v>
      </c>
      <c r="B1067">
        <v>1829</v>
      </c>
      <c r="C1067">
        <v>2302</v>
      </c>
      <c r="D1067">
        <v>694</v>
      </c>
      <c r="G1067">
        <v>4825</v>
      </c>
    </row>
    <row r="1068" spans="1:7">
      <c r="A1068" t="s">
        <v>406</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1071</v>
      </c>
      <c r="B1081">
        <v>1283</v>
      </c>
      <c r="C1081">
        <v>442</v>
      </c>
      <c r="F1081">
        <v>706</v>
      </c>
      <c r="G1081">
        <v>2431</v>
      </c>
    </row>
    <row r="1082" spans="1:7">
      <c r="A1082" t="s">
        <v>1074</v>
      </c>
      <c r="C1082">
        <v>2203</v>
      </c>
      <c r="G1082">
        <v>2203</v>
      </c>
    </row>
    <row r="1083" spans="1:7">
      <c r="A1083" t="s">
        <v>416</v>
      </c>
      <c r="E1083">
        <v>242</v>
      </c>
      <c r="G1083">
        <v>242</v>
      </c>
    </row>
    <row r="1084" spans="1:7">
      <c r="A1084" t="s">
        <v>974</v>
      </c>
    </row>
    <row r="1085" spans="1:7">
      <c r="A1085" t="s">
        <v>373</v>
      </c>
      <c r="B1085">
        <v>428</v>
      </c>
      <c r="G1085">
        <v>428</v>
      </c>
    </row>
    <row r="1086" spans="1:7">
      <c r="A1086" t="s">
        <v>1214</v>
      </c>
    </row>
    <row r="1087" spans="1:7">
      <c r="A1087" t="s">
        <v>1216</v>
      </c>
      <c r="C1087">
        <v>265</v>
      </c>
      <c r="D1087">
        <v>542</v>
      </c>
      <c r="E1087">
        <v>739</v>
      </c>
      <c r="G1087">
        <v>1546</v>
      </c>
    </row>
    <row r="1088" spans="1:7">
      <c r="A1088" t="s">
        <v>1101</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1217</v>
      </c>
      <c r="B1092">
        <v>640</v>
      </c>
      <c r="C1092">
        <v>541</v>
      </c>
      <c r="D1092">
        <v>330</v>
      </c>
      <c r="E1092">
        <v>520</v>
      </c>
      <c r="F1092">
        <v>550</v>
      </c>
      <c r="G1092">
        <v>2581</v>
      </c>
    </row>
    <row r="1093" spans="1:7">
      <c r="A1093" t="s">
        <v>1089</v>
      </c>
      <c r="B1093">
        <v>2855</v>
      </c>
      <c r="C1093">
        <v>3343</v>
      </c>
      <c r="D1093">
        <v>931</v>
      </c>
      <c r="G1093">
        <v>7129</v>
      </c>
    </row>
    <row r="1094" spans="1:7">
      <c r="A1094" t="s">
        <v>434</v>
      </c>
      <c r="C1094">
        <v>1743</v>
      </c>
      <c r="D1094">
        <v>522</v>
      </c>
      <c r="E1094">
        <v>1194</v>
      </c>
      <c r="F1094">
        <v>2811</v>
      </c>
      <c r="G1094">
        <v>6270</v>
      </c>
    </row>
    <row r="1095" spans="1:7">
      <c r="A1095" t="s">
        <v>1219</v>
      </c>
    </row>
    <row r="1096" spans="1:7">
      <c r="A1096" t="s">
        <v>354</v>
      </c>
      <c r="C1096">
        <v>1640</v>
      </c>
      <c r="D1096">
        <v>1177</v>
      </c>
      <c r="G1096">
        <v>2817</v>
      </c>
    </row>
    <row r="1097" spans="1:7">
      <c r="A1097" t="s">
        <v>425</v>
      </c>
      <c r="C1097">
        <v>1980</v>
      </c>
      <c r="D1097">
        <v>1251</v>
      </c>
      <c r="E1097">
        <v>3172</v>
      </c>
      <c r="G1097">
        <v>6403</v>
      </c>
    </row>
    <row r="1098" spans="1:7">
      <c r="A1098" t="s">
        <v>431</v>
      </c>
      <c r="C1098">
        <v>1111</v>
      </c>
      <c r="D1098">
        <v>1373</v>
      </c>
      <c r="E1098">
        <v>1090</v>
      </c>
      <c r="F1098">
        <v>1204</v>
      </c>
      <c r="G1098">
        <v>4778</v>
      </c>
    </row>
    <row r="1099" spans="1:7">
      <c r="A1099" t="s">
        <v>910</v>
      </c>
      <c r="C1099">
        <v>1500</v>
      </c>
      <c r="D1099">
        <v>1084</v>
      </c>
      <c r="G1099">
        <v>2584</v>
      </c>
    </row>
    <row r="1100" spans="1:7">
      <c r="A1100" t="s">
        <v>357</v>
      </c>
      <c r="D1100">
        <v>817</v>
      </c>
      <c r="E1100">
        <v>1820</v>
      </c>
      <c r="G1100">
        <v>2637</v>
      </c>
    </row>
    <row r="1101" spans="1:7">
      <c r="A1101" t="s">
        <v>904</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1071</v>
      </c>
      <c r="B1109">
        <v>735</v>
      </c>
      <c r="G1109">
        <v>735</v>
      </c>
    </row>
    <row r="1110" spans="1:7">
      <c r="A1110" t="s">
        <v>395</v>
      </c>
    </row>
    <row r="1111" spans="1:7">
      <c r="A1111" t="s">
        <v>414</v>
      </c>
    </row>
    <row r="1112" spans="1:7">
      <c r="A1112" t="s">
        <v>443</v>
      </c>
      <c r="E1112">
        <v>396</v>
      </c>
      <c r="G1112">
        <v>396</v>
      </c>
    </row>
    <row r="1113" spans="1:7">
      <c r="A1113" t="s">
        <v>416</v>
      </c>
    </row>
    <row r="1114" spans="1:7">
      <c r="A1114" t="s">
        <v>974</v>
      </c>
    </row>
    <row r="1115" spans="1:7">
      <c r="A1115" t="s">
        <v>422</v>
      </c>
      <c r="B1115">
        <v>87</v>
      </c>
      <c r="G1115">
        <v>87</v>
      </c>
    </row>
    <row r="1116" spans="1:7">
      <c r="A1116" t="s">
        <v>1216</v>
      </c>
      <c r="B1116">
        <v>671</v>
      </c>
      <c r="C1116">
        <v>1204</v>
      </c>
      <c r="D1116">
        <v>1210</v>
      </c>
      <c r="E1116">
        <v>292</v>
      </c>
      <c r="G1116">
        <v>3377</v>
      </c>
    </row>
    <row r="1117" spans="1:7">
      <c r="A1117" t="s">
        <v>1101</v>
      </c>
      <c r="D1117">
        <v>320</v>
      </c>
      <c r="E1117">
        <v>652</v>
      </c>
      <c r="F1117">
        <v>780</v>
      </c>
      <c r="G1117">
        <v>1752</v>
      </c>
    </row>
    <row r="1118" spans="1:7">
      <c r="A1118" t="s">
        <v>913</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434</v>
      </c>
      <c r="D1121">
        <v>1049</v>
      </c>
      <c r="G1121">
        <v>1049</v>
      </c>
    </row>
    <row r="1122" spans="1:7">
      <c r="A1122" t="s">
        <v>425</v>
      </c>
      <c r="B1122">
        <v>29</v>
      </c>
      <c r="G1122">
        <v>29</v>
      </c>
    </row>
    <row r="1123" spans="1:7">
      <c r="A1123" t="s">
        <v>431</v>
      </c>
      <c r="F1123">
        <v>1235</v>
      </c>
      <c r="G1123">
        <v>1235</v>
      </c>
    </row>
    <row r="1124" spans="1:7">
      <c r="A1124" t="s">
        <v>910</v>
      </c>
    </row>
    <row r="1125" spans="1:7">
      <c r="A1125" t="s">
        <v>904</v>
      </c>
      <c r="B1125">
        <v>689</v>
      </c>
      <c r="C1125">
        <v>586</v>
      </c>
      <c r="D1125">
        <v>199</v>
      </c>
      <c r="G1125">
        <v>1474</v>
      </c>
    </row>
    <row r="1126" spans="1:7">
      <c r="A1126" t="s">
        <v>363</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428</v>
      </c>
      <c r="C1131">
        <v>1617</v>
      </c>
      <c r="D1131">
        <v>1083</v>
      </c>
      <c r="E1131">
        <v>1905</v>
      </c>
      <c r="F1131">
        <v>2064</v>
      </c>
      <c r="G1131">
        <v>6669</v>
      </c>
    </row>
    <row r="1132" spans="1:7">
      <c r="A1132" t="s">
        <v>1095</v>
      </c>
      <c r="D1132">
        <v>95</v>
      </c>
      <c r="E1132">
        <v>881</v>
      </c>
      <c r="G1132">
        <v>976</v>
      </c>
    </row>
    <row r="1133" spans="1:7">
      <c r="A1133" t="s">
        <v>437</v>
      </c>
      <c r="E1133">
        <v>3028</v>
      </c>
      <c r="F1133">
        <v>1683</v>
      </c>
      <c r="G1133">
        <v>4711</v>
      </c>
    </row>
    <row r="1134" spans="1:7">
      <c r="A1134" t="s">
        <v>1008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1101</v>
      </c>
      <c r="B1144">
        <v>870</v>
      </c>
      <c r="G1144">
        <v>870</v>
      </c>
    </row>
    <row r="1145" spans="1:7">
      <c r="A1145" t="s">
        <v>398</v>
      </c>
      <c r="B1145">
        <v>551</v>
      </c>
      <c r="G1145">
        <v>551</v>
      </c>
    </row>
    <row r="1146" spans="1:7">
      <c r="A1146" t="s">
        <v>1217</v>
      </c>
    </row>
    <row r="1147" spans="1:7">
      <c r="A1147" t="s">
        <v>363</v>
      </c>
      <c r="B1147">
        <v>154</v>
      </c>
      <c r="G1147">
        <v>154</v>
      </c>
    </row>
    <row r="1148" spans="1:7">
      <c r="A1148" t="s">
        <v>926</v>
      </c>
      <c r="B1148">
        <v>342</v>
      </c>
      <c r="G1148">
        <v>342</v>
      </c>
    </row>
    <row r="1149" spans="1:7">
      <c r="A1149" t="s">
        <v>428</v>
      </c>
    </row>
    <row r="1150" spans="1:7">
      <c r="A1150" t="s">
        <v>1095</v>
      </c>
      <c r="B1150">
        <v>3523</v>
      </c>
      <c r="C1150">
        <v>2384</v>
      </c>
      <c r="G1150">
        <v>5907</v>
      </c>
    </row>
    <row r="1151" spans="1:7">
      <c r="A1151" t="s">
        <v>437</v>
      </c>
      <c r="B1151">
        <v>362</v>
      </c>
      <c r="G1151">
        <v>362</v>
      </c>
    </row>
    <row r="1152" spans="1:7">
      <c r="A1152" t="s">
        <v>1008</v>
      </c>
      <c r="B1152">
        <v>380</v>
      </c>
      <c r="G1152">
        <v>380</v>
      </c>
    </row>
    <row r="1153" spans="1:7">
      <c r="A1153" t="s">
        <v>1011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409</v>
      </c>
    </row>
    <row r="1162" spans="1:7">
      <c r="A1162" t="s">
        <v>401</v>
      </c>
      <c r="B1162">
        <v>0</v>
      </c>
      <c r="G1162">
        <v>0</v>
      </c>
    </row>
    <row r="1163" spans="1:7">
      <c r="A1163" t="s">
        <v>403</v>
      </c>
      <c r="C1163">
        <v>0</v>
      </c>
      <c r="G1163">
        <v>0</v>
      </c>
    </row>
    <row r="1164" spans="1:7">
      <c r="A1164" t="s">
        <v>406</v>
      </c>
      <c r="B1164">
        <v>0</v>
      </c>
      <c r="G1164">
        <v>0</v>
      </c>
    </row>
    <row r="1165" spans="1:7">
      <c r="A1165" t="s">
        <v>880</v>
      </c>
    </row>
    <row r="1166" spans="1:7">
      <c r="A1166" t="s">
        <v>398</v>
      </c>
      <c r="B1166">
        <v>738</v>
      </c>
      <c r="C1166">
        <v>466</v>
      </c>
      <c r="G1166">
        <v>1204</v>
      </c>
    </row>
    <row r="1167" spans="1:7">
      <c r="A1167" t="s">
        <v>434</v>
      </c>
      <c r="B1167">
        <v>0</v>
      </c>
      <c r="G1167">
        <v>0</v>
      </c>
    </row>
    <row r="1168" spans="1:7">
      <c r="A1168" t="s">
        <v>363</v>
      </c>
      <c r="D1168">
        <v>173</v>
      </c>
      <c r="G1168">
        <v>173</v>
      </c>
    </row>
    <row r="1169" spans="1:7">
      <c r="A1169" t="s">
        <v>437</v>
      </c>
      <c r="B1169">
        <v>1297</v>
      </c>
      <c r="G1169">
        <v>1297</v>
      </c>
    </row>
    <row r="1170" spans="1:7">
      <c r="A1170" t="s">
        <v>1008</v>
      </c>
      <c r="B1170">
        <v>100</v>
      </c>
      <c r="G1170">
        <v>100</v>
      </c>
    </row>
    <row r="1171" spans="1:7">
      <c r="A1171" t="s">
        <v>1092</v>
      </c>
      <c r="B1171">
        <v>2583</v>
      </c>
      <c r="C1171">
        <v>3099</v>
      </c>
      <c r="G1171">
        <v>5682</v>
      </c>
    </row>
    <row r="1172" spans="1:7">
      <c r="A1172" t="s">
        <v>980</v>
      </c>
      <c r="B1172">
        <v>1188</v>
      </c>
      <c r="C1172">
        <v>0</v>
      </c>
      <c r="G1172">
        <v>1188</v>
      </c>
    </row>
    <row r="1173" spans="1:7">
      <c r="A1173" t="s">
        <v>983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C1179">
        <v>152</v>
      </c>
      <c r="E1179">
        <v>85</v>
      </c>
      <c r="G1179">
        <v>237</v>
      </c>
    </row>
    <row r="1180" spans="1:7">
      <c r="A1180" t="s">
        <v>1186</v>
      </c>
      <c r="B1180">
        <v>248</v>
      </c>
      <c r="D1180">
        <v>366</v>
      </c>
      <c r="E1180">
        <v>113</v>
      </c>
      <c r="G1180">
        <v>727</v>
      </c>
    </row>
    <row r="1181" spans="1:7">
      <c r="A1181" t="s">
        <v>841</v>
      </c>
      <c r="F1181">
        <v>0</v>
      </c>
      <c r="G1181">
        <v>0</v>
      </c>
    </row>
    <row r="1182" spans="1:7">
      <c r="A1182" t="s">
        <v>1074</v>
      </c>
      <c r="C1182">
        <v>0</v>
      </c>
      <c r="G1182">
        <v>0</v>
      </c>
    </row>
    <row r="1183" spans="1:7">
      <c r="A1183" t="s">
        <v>1086</v>
      </c>
    </row>
    <row r="1184" spans="1:7">
      <c r="A1184" t="s">
        <v>398</v>
      </c>
      <c r="B1184">
        <v>3728</v>
      </c>
      <c r="C1184">
        <v>1789</v>
      </c>
      <c r="G1184">
        <v>5517</v>
      </c>
    </row>
    <row r="1185" spans="1:7">
      <c r="A1185" t="s">
        <v>1089</v>
      </c>
      <c r="D1185">
        <v>0</v>
      </c>
      <c r="G1185">
        <v>0</v>
      </c>
    </row>
    <row r="1186" spans="1:7">
      <c r="A1186" t="s">
        <v>431</v>
      </c>
    </row>
    <row r="1187" spans="1:7">
      <c r="A1187" t="s">
        <v>428</v>
      </c>
      <c r="D1187">
        <v>0</v>
      </c>
      <c r="F1187">
        <v>104</v>
      </c>
      <c r="G1187">
        <v>104</v>
      </c>
    </row>
    <row r="1188" spans="1:7">
      <c r="A1188" t="s">
        <v>1092</v>
      </c>
      <c r="B1188">
        <v>568</v>
      </c>
      <c r="G1188">
        <v>568</v>
      </c>
    </row>
    <row r="1189" spans="1:7">
      <c r="A1189" t="s">
        <v>340</v>
      </c>
      <c r="B1189">
        <v>1105</v>
      </c>
      <c r="C1189">
        <v>942</v>
      </c>
      <c r="D1189">
        <v>2151</v>
      </c>
      <c r="E1189">
        <v>1926</v>
      </c>
      <c r="F1189">
        <v>1000</v>
      </c>
      <c r="G1189">
        <v>7124</v>
      </c>
    </row>
    <row r="1190" spans="1:7">
      <c r="A1190" t="s">
        <v>1003</v>
      </c>
      <c r="B1190">
        <v>1353</v>
      </c>
      <c r="C1190">
        <v>1153</v>
      </c>
      <c r="G1190">
        <v>2506</v>
      </c>
    </row>
    <row r="1191" spans="1:7">
      <c r="A1191" t="s">
        <v>440</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1098</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F1203">
        <v>50</v>
      </c>
      <c r="G1203">
        <v>50</v>
      </c>
    </row>
    <row r="1204" spans="1:7">
      <c r="A1204" t="s">
        <v>466</v>
      </c>
      <c r="C1204">
        <v>312</v>
      </c>
      <c r="G1204">
        <v>312</v>
      </c>
    </row>
    <row r="1205" spans="1:7">
      <c r="A1205" t="s">
        <v>1169</v>
      </c>
      <c r="E1205">
        <v>142</v>
      </c>
      <c r="G1205">
        <v>142</v>
      </c>
    </row>
    <row r="1206" spans="1:7">
      <c r="A1206" t="s">
        <v>336</v>
      </c>
      <c r="D1206">
        <v>1200</v>
      </c>
      <c r="E1206">
        <v>445</v>
      </c>
      <c r="F1206">
        <v>686</v>
      </c>
      <c r="G1206">
        <v>2331</v>
      </c>
    </row>
    <row r="1207" spans="1:7">
      <c r="A1207" t="s">
        <v>847</v>
      </c>
    </row>
    <row r="1208" spans="1:7">
      <c r="A1208" t="s">
        <v>316</v>
      </c>
    </row>
    <row r="1209" spans="1:7">
      <c r="A1209" t="s">
        <v>346</v>
      </c>
    </row>
    <row r="1210" spans="1:7">
      <c r="A1210" t="s">
        <v>431</v>
      </c>
    </row>
    <row r="1211" spans="1:7">
      <c r="A1211" t="s">
        <v>340</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1098</v>
      </c>
      <c r="B1216">
        <v>858</v>
      </c>
      <c r="G1216">
        <v>858</v>
      </c>
    </row>
    <row r="1217" spans="1:7">
      <c r="A1217" t="s">
        <v>360</v>
      </c>
      <c r="B1217">
        <v>926</v>
      </c>
      <c r="C1217">
        <v>1128</v>
      </c>
      <c r="D1217">
        <v>1082</v>
      </c>
      <c r="E1217">
        <v>1325</v>
      </c>
      <c r="F1217">
        <v>441</v>
      </c>
      <c r="G1217">
        <v>4902</v>
      </c>
    </row>
    <row r="1218" spans="1:7">
      <c r="A1218" t="s">
        <v>459</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1019</v>
      </c>
    </row>
    <row r="1222" spans="1:7">
      <c r="A1222" t="s">
        <v>998</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428</v>
      </c>
    </row>
    <row r="1241" spans="1:7">
      <c r="A1241" t="s">
        <v>1003</v>
      </c>
    </row>
    <row r="1242" spans="1:7">
      <c r="A1242" t="s">
        <v>957</v>
      </c>
      <c r="C1242">
        <v>0</v>
      </c>
      <c r="G1242">
        <v>0</v>
      </c>
    </row>
    <row r="1243" spans="1:7">
      <c r="A1243" t="s">
        <v>1098</v>
      </c>
      <c r="E1243">
        <v>1940</v>
      </c>
      <c r="G1243">
        <v>1940</v>
      </c>
    </row>
    <row r="1244" spans="1:7">
      <c r="A1244" t="s">
        <v>459</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963</v>
      </c>
      <c r="D1254">
        <v>686</v>
      </c>
      <c r="E1254">
        <v>736</v>
      </c>
      <c r="G1254">
        <v>1422</v>
      </c>
    </row>
    <row r="1255" spans="1:7">
      <c r="A1255" t="s">
        <v>960</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1095</v>
      </c>
    </row>
    <row r="1266" spans="1:7">
      <c r="A1266" t="s">
        <v>437</v>
      </c>
    </row>
    <row r="1267" spans="1:7">
      <c r="A1267" t="s">
        <v>1092</v>
      </c>
    </row>
    <row r="1268" spans="1:7">
      <c r="A1268" t="s">
        <v>340</v>
      </c>
      <c r="D1268">
        <v>149</v>
      </c>
      <c r="G1268">
        <v>149</v>
      </c>
    </row>
    <row r="1269" spans="1:7">
      <c r="A1269" t="s">
        <v>1003</v>
      </c>
    </row>
    <row r="1270" spans="1:7">
      <c r="A1270" t="s">
        <v>440</v>
      </c>
    </row>
    <row r="1271" spans="1:7">
      <c r="A1271" t="s">
        <v>578</v>
      </c>
    </row>
    <row r="1272" spans="1:7">
      <c r="A1272" t="s">
        <v>1098</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963</v>
      </c>
      <c r="B1285">
        <v>835</v>
      </c>
      <c r="C1285">
        <v>858</v>
      </c>
      <c r="D1285">
        <v>976</v>
      </c>
      <c r="G1285">
        <v>2669</v>
      </c>
    </row>
    <row r="1286" spans="1:7">
      <c r="A1286" t="s">
        <v>960</v>
      </c>
      <c r="B1286">
        <v>1590</v>
      </c>
      <c r="C1286">
        <v>1230</v>
      </c>
      <c r="D1286">
        <v>1015</v>
      </c>
      <c r="G1286">
        <v>3835</v>
      </c>
    </row>
    <row r="1287" spans="1:7">
      <c r="A1287" t="s">
        <v>331</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431</v>
      </c>
      <c r="E1299">
        <v>253</v>
      </c>
      <c r="G1299">
        <v>253</v>
      </c>
    </row>
    <row r="1300" spans="1:7">
      <c r="A1300" t="s">
        <v>340</v>
      </c>
    </row>
    <row r="1301" spans="1:7">
      <c r="A1301" t="s">
        <v>459</v>
      </c>
    </row>
    <row r="1302" spans="1:7">
      <c r="A1302" t="s">
        <v>1221</v>
      </c>
    </row>
    <row r="1303" spans="1:7">
      <c r="A1303" t="s">
        <v>1222</v>
      </c>
    </row>
    <row r="1304" spans="1:7">
      <c r="A1304" t="s">
        <v>218</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872</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453</v>
      </c>
      <c r="C1320">
        <v>197</v>
      </c>
      <c r="D1320">
        <v>338</v>
      </c>
      <c r="G1320">
        <v>535</v>
      </c>
    </row>
    <row r="1321" spans="1:7">
      <c r="A1321" t="s">
        <v>340</v>
      </c>
    </row>
    <row r="1322" spans="1:7">
      <c r="A1322" t="s">
        <v>850</v>
      </c>
      <c r="E1322">
        <v>30</v>
      </c>
      <c r="G1322">
        <v>30</v>
      </c>
    </row>
    <row r="1323" spans="1:7">
      <c r="A1323" t="s">
        <v>377</v>
      </c>
      <c r="F1323">
        <v>342</v>
      </c>
      <c r="G1323">
        <v>342</v>
      </c>
    </row>
    <row r="1324" spans="1:7">
      <c r="A1324" t="s">
        <v>872</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835</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t="s">
        <v>1143</v>
      </c>
    </row>
    <row r="1335" spans="1:7">
      <c r="A1335" t="s">
        <v>1166</v>
      </c>
      <c r="C1335">
        <v>988</v>
      </c>
      <c r="D1335">
        <v>988</v>
      </c>
    </row>
    <row r="1336" spans="1:7">
      <c r="A1336" t="s">
        <v>1194</v>
      </c>
      <c r="C1336">
        <v>214</v>
      </c>
      <c r="D1336">
        <v>214</v>
      </c>
    </row>
    <row r="1337" spans="1:7">
      <c r="A1337" t="s">
        <v>453</v>
      </c>
      <c r="C1337">
        <v>214</v>
      </c>
      <c r="D1337">
        <v>214</v>
      </c>
    </row>
    <row r="1338" spans="1:7">
      <c r="A1338" t="s">
        <v>204</v>
      </c>
      <c r="C1338">
        <v>1340</v>
      </c>
      <c r="D1338">
        <v>1340</v>
      </c>
    </row>
    <row r="1339" spans="1:7">
      <c r="A1339" t="s">
        <v>93</v>
      </c>
      <c r="B1339">
        <v>669</v>
      </c>
      <c r="C1339">
        <v>467</v>
      </c>
      <c r="D1339">
        <v>1136</v>
      </c>
    </row>
    <row r="1340" spans="1:7">
      <c r="A1340" t="s">
        <v>79</v>
      </c>
      <c r="B1340">
        <v>1564</v>
      </c>
      <c r="C1340">
        <v>1532</v>
      </c>
      <c r="D1340">
        <v>3096</v>
      </c>
    </row>
    <row r="1341" spans="1:7">
      <c r="A1341" t="s">
        <v>1224</v>
      </c>
      <c r="C1341">
        <v>199</v>
      </c>
      <c r="D1341">
        <v>199</v>
      </c>
    </row>
    <row r="1342" spans="1:7">
      <c r="A1342" t="s">
        <v>1143</v>
      </c>
      <c r="B1342">
        <v>2233</v>
      </c>
      <c r="C1342">
        <v>4954</v>
      </c>
      <c r="D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6"/>
  <sheetViews>
    <sheetView tabSelected="1" workbookViewId="0">
      <pane ySplit="1" topLeftCell="A2681" activePane="bottomLeft" state="frozen"/>
      <selection pane="bottomLeft" activeCell="E2697" sqref="E269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109</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109</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109</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109</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109</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109</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109</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109</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109</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109</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109</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109</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109</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109</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109</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109</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109</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109</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109</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109</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109</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109</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109</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109</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109</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109</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109</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109</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109</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109</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109</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109</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109</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109</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109</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109</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109</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109</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109</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109</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109</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109</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109</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109</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109</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109</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109</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109</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109</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109</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109</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109</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109</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109</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109</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109</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109</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109</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109</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109</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109</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109</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109</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109</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109</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109</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109</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109</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109</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109</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109</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109</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109</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109</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109</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109</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109</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109</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109</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109</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109</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109</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109</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109</v>
      </c>
      <c r="C621" s="24">
        <v>45734</v>
      </c>
      <c r="E621" s="12"/>
      <c r="F621" s="71" t="s">
        <v>1313</v>
      </c>
      <c r="G621" t="str">
        <f t="shared" si="9"/>
        <v>March</v>
      </c>
    </row>
    <row r="622" spans="1:7" ht="15.75">
      <c r="A622" s="1191" t="s">
        <v>782</v>
      </c>
      <c r="B622" s="1185" t="s">
        <v>109</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109</v>
      </c>
      <c r="C677" s="24">
        <v>45740</v>
      </c>
      <c r="D677" s="79">
        <v>1430</v>
      </c>
      <c r="E677" s="49" t="s">
        <v>1235</v>
      </c>
      <c r="F677" s="49" t="s">
        <v>1343</v>
      </c>
      <c r="G677" t="str">
        <f t="shared" si="10"/>
        <v>March</v>
      </c>
    </row>
    <row r="678" spans="1:7" ht="15.75">
      <c r="A678" s="78" t="s">
        <v>654</v>
      </c>
      <c r="B678" s="178" t="s">
        <v>109</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109</v>
      </c>
      <c r="C690" s="24">
        <v>45741</v>
      </c>
      <c r="D690" s="79">
        <v>1383</v>
      </c>
      <c r="E690" s="49" t="s">
        <v>1351</v>
      </c>
      <c r="F690" s="49" t="s">
        <v>1352</v>
      </c>
      <c r="G690" t="str">
        <f t="shared" si="10"/>
        <v>March</v>
      </c>
    </row>
    <row r="691" spans="1:7" ht="15.75">
      <c r="A691" s="78" t="s">
        <v>654</v>
      </c>
      <c r="B691" s="178" t="s">
        <v>109</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109</v>
      </c>
      <c r="C706" s="24">
        <v>45741</v>
      </c>
      <c r="D706" s="92">
        <v>1740</v>
      </c>
      <c r="E706" s="12"/>
      <c r="G706" t="str">
        <f t="shared" si="10"/>
        <v>March</v>
      </c>
    </row>
    <row r="707" spans="1:7">
      <c r="A707" s="71" t="s">
        <v>343</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109</v>
      </c>
      <c r="C713" s="24">
        <v>45742</v>
      </c>
      <c r="D713" s="145">
        <v>1334</v>
      </c>
      <c r="E713" s="49" t="s">
        <v>1273</v>
      </c>
      <c r="F713" s="49" t="s">
        <v>1235</v>
      </c>
      <c r="G713" t="str">
        <f t="shared" si="11"/>
        <v>March</v>
      </c>
    </row>
    <row r="714" spans="1:7" ht="15.75">
      <c r="A714" s="78" t="s">
        <v>654</v>
      </c>
      <c r="B714" s="178" t="s">
        <v>109</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109</v>
      </c>
      <c r="C725" s="24">
        <v>45742</v>
      </c>
      <c r="D725" s="145">
        <v>2934</v>
      </c>
      <c r="E725" s="12"/>
      <c r="F725" s="49" t="s">
        <v>1366</v>
      </c>
      <c r="G725" t="str">
        <f t="shared" si="11"/>
        <v>March</v>
      </c>
    </row>
    <row r="726" spans="1:7">
      <c r="A726" s="71" t="s">
        <v>343</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109</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109</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109</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109</v>
      </c>
      <c r="C758" s="24">
        <v>45744</v>
      </c>
      <c r="D758" s="146"/>
      <c r="E758" s="12"/>
      <c r="F758" s="146" t="s">
        <v>1376</v>
      </c>
      <c r="G758" t="str">
        <f t="shared" si="11"/>
        <v>March</v>
      </c>
    </row>
    <row r="759" spans="1:13">
      <c r="A759" s="71" t="s">
        <v>343</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109</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109</v>
      </c>
      <c r="C775" s="24">
        <v>45747</v>
      </c>
      <c r="D775" s="78">
        <v>418</v>
      </c>
      <c r="E775" s="12"/>
      <c r="G775" t="str">
        <f t="shared" si="12"/>
        <v>March</v>
      </c>
      <c r="H775" s="186"/>
      <c r="I775" s="186"/>
      <c r="J775" s="186"/>
      <c r="K775" s="101"/>
    </row>
    <row r="776" spans="1:11">
      <c r="A776" s="71" t="s">
        <v>343</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109</v>
      </c>
      <c r="C789" s="24">
        <v>45748</v>
      </c>
      <c r="D789" s="78" t="s">
        <v>1393</v>
      </c>
      <c r="E789" s="12"/>
      <c r="G789" t="str">
        <f t="shared" si="12"/>
        <v>April</v>
      </c>
      <c r="H789" s="101"/>
      <c r="I789" s="101"/>
      <c r="J789" s="101"/>
      <c r="K789" s="101"/>
    </row>
    <row r="790" spans="1:11" ht="15.75">
      <c r="A790" s="78" t="s">
        <v>489</v>
      </c>
      <c r="B790" s="178" t="s">
        <v>109</v>
      </c>
      <c r="C790" s="24">
        <v>45748</v>
      </c>
      <c r="D790" s="78"/>
      <c r="E790" s="12"/>
      <c r="F790" s="78" t="s">
        <v>1394</v>
      </c>
      <c r="G790" t="str">
        <f t="shared" si="12"/>
        <v>April</v>
      </c>
      <c r="H790" s="101"/>
      <c r="I790" s="101"/>
      <c r="J790" s="101"/>
      <c r="K790" s="101"/>
    </row>
    <row r="791" spans="1:11">
      <c r="A791" s="749" t="s">
        <v>343</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109</v>
      </c>
      <c r="C803" s="24">
        <v>45749</v>
      </c>
      <c r="D803" s="79">
        <v>1394</v>
      </c>
      <c r="E803" s="12"/>
      <c r="F803" s="12" t="s">
        <v>1234</v>
      </c>
      <c r="G803" t="str">
        <f t="shared" si="12"/>
        <v>April</v>
      </c>
    </row>
    <row r="804" spans="1:11" ht="15.75">
      <c r="A804" s="78" t="s">
        <v>489</v>
      </c>
      <c r="B804" s="178" t="s">
        <v>109</v>
      </c>
      <c r="C804" s="24">
        <v>45749</v>
      </c>
      <c r="D804" s="78">
        <v>0</v>
      </c>
      <c r="E804" s="12"/>
      <c r="F804" s="78" t="s">
        <v>1394</v>
      </c>
      <c r="G804" t="str">
        <f t="shared" si="12"/>
        <v>April</v>
      </c>
    </row>
    <row r="805" spans="1:11">
      <c r="A805" s="749" t="s">
        <v>343</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109</v>
      </c>
      <c r="C816" s="24">
        <v>45750</v>
      </c>
      <c r="D816" s="92">
        <v>1334</v>
      </c>
      <c r="E816" s="12"/>
      <c r="F816" s="12" t="s">
        <v>1402</v>
      </c>
      <c r="G816" t="str">
        <f t="shared" si="12"/>
        <v>April</v>
      </c>
    </row>
    <row r="817" spans="1:7" ht="15.75">
      <c r="A817" s="78" t="s">
        <v>536</v>
      </c>
      <c r="B817" s="178" t="s">
        <v>109</v>
      </c>
      <c r="C817" s="24">
        <v>45750</v>
      </c>
      <c r="D817" s="92">
        <v>1970</v>
      </c>
      <c r="E817" s="12"/>
      <c r="F817" s="12" t="s">
        <v>1403</v>
      </c>
      <c r="G817" t="str">
        <f t="shared" si="12"/>
        <v>April</v>
      </c>
    </row>
    <row r="818" spans="1:7" ht="15.75">
      <c r="A818" s="78" t="s">
        <v>489</v>
      </c>
      <c r="B818" s="178" t="s">
        <v>109</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109</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109</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109</v>
      </c>
      <c r="C845" s="24">
        <v>45754</v>
      </c>
      <c r="D845" s="12">
        <v>618</v>
      </c>
      <c r="E845" s="12"/>
      <c r="F845" s="12" t="s">
        <v>1414</v>
      </c>
      <c r="G845" t="str">
        <f t="shared" si="13"/>
        <v>April</v>
      </c>
    </row>
    <row r="846" spans="1:7" ht="15.75">
      <c r="A846" s="78" t="s">
        <v>538</v>
      </c>
      <c r="B846" s="178" t="s">
        <v>109</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449</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109</v>
      </c>
      <c r="C851" s="24">
        <v>45755</v>
      </c>
      <c r="D851" s="12">
        <v>700</v>
      </c>
      <c r="E851" s="12"/>
      <c r="F851" s="12" t="s">
        <v>1239</v>
      </c>
      <c r="G851" t="str">
        <f t="shared" si="13"/>
        <v>April</v>
      </c>
    </row>
    <row r="852" spans="1:7" ht="15.75">
      <c r="A852" s="78" t="s">
        <v>538</v>
      </c>
      <c r="B852" s="178" t="s">
        <v>109</v>
      </c>
      <c r="C852" s="24">
        <v>45755</v>
      </c>
      <c r="D852" s="92">
        <v>1520</v>
      </c>
      <c r="E852" s="12"/>
      <c r="F852" s="12" t="s">
        <v>1319</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109</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109</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109</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109</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109</v>
      </c>
      <c r="C890" s="24">
        <v>45761</v>
      </c>
      <c r="D890" s="92">
        <v>1335</v>
      </c>
      <c r="E890" s="12"/>
      <c r="F890" s="12" t="s">
        <v>1234</v>
      </c>
      <c r="G890" t="str">
        <f t="shared" si="13"/>
        <v>April</v>
      </c>
    </row>
    <row r="891" spans="1:7" ht="15.75">
      <c r="A891" s="238" t="s">
        <v>736</v>
      </c>
      <c r="B891" s="1185" t="s">
        <v>109</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109</v>
      </c>
      <c r="C900" s="24">
        <v>45762</v>
      </c>
      <c r="D900" s="92">
        <v>1133</v>
      </c>
      <c r="E900" s="12"/>
      <c r="F900" s="12" t="s">
        <v>1434</v>
      </c>
      <c r="G900" t="str">
        <f t="shared" si="14"/>
        <v>April</v>
      </c>
    </row>
    <row r="901" spans="1:7" ht="15.75">
      <c r="A901" s="238" t="s">
        <v>736</v>
      </c>
      <c r="B901" s="1185" t="s">
        <v>109</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109</v>
      </c>
      <c r="C914" s="24">
        <v>45763</v>
      </c>
      <c r="D914" s="92">
        <v>1624</v>
      </c>
      <c r="E914" s="12"/>
      <c r="F914" s="12" t="s">
        <v>1442</v>
      </c>
      <c r="G914" t="str">
        <f t="shared" si="14"/>
        <v>April</v>
      </c>
    </row>
    <row r="915" spans="1:7" ht="15.75">
      <c r="A915" s="238" t="s">
        <v>736</v>
      </c>
      <c r="B915" s="1185" t="s">
        <v>109</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109</v>
      </c>
      <c r="C928" s="24">
        <v>45764</v>
      </c>
      <c r="E928" s="12"/>
      <c r="F928" s="78" t="s">
        <v>1449</v>
      </c>
      <c r="G928" t="str">
        <f t="shared" si="14"/>
        <v>April</v>
      </c>
    </row>
    <row r="929" spans="1:7">
      <c r="A929" s="238" t="s">
        <v>736</v>
      </c>
      <c r="B929" s="238" t="s">
        <v>109</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109</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109</v>
      </c>
      <c r="C940" s="24">
        <v>45765</v>
      </c>
      <c r="D940" s="12">
        <v>350</v>
      </c>
      <c r="E940" s="12"/>
      <c r="F940" s="12" t="s">
        <v>1236</v>
      </c>
      <c r="G940" t="str">
        <f t="shared" si="14"/>
        <v>April</v>
      </c>
    </row>
    <row r="941" spans="1:7">
      <c r="A941" s="78" t="s">
        <v>736</v>
      </c>
      <c r="B941" s="78" t="s">
        <v>109</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109</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109</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109</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109</v>
      </c>
      <c r="C973" s="251">
        <v>45769</v>
      </c>
      <c r="D973" s="12">
        <v>932</v>
      </c>
      <c r="F973" s="12" t="s">
        <v>1237</v>
      </c>
      <c r="G973" t="str">
        <f t="shared" si="15"/>
        <v>April</v>
      </c>
    </row>
    <row r="974" spans="1:7">
      <c r="A974" s="248" t="s">
        <v>630</v>
      </c>
      <c r="B974" s="238" t="s">
        <v>109</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109</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109</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109</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109</v>
      </c>
      <c r="C1029" s="24">
        <v>45776</v>
      </c>
      <c r="D1029" s="92">
        <v>1520</v>
      </c>
      <c r="F1029" s="12" t="s">
        <v>1234</v>
      </c>
      <c r="G1029" t="str">
        <f t="shared" si="16"/>
        <v>April</v>
      </c>
    </row>
    <row r="1030" spans="1:7">
      <c r="A1030" s="243" t="s">
        <v>520</v>
      </c>
      <c r="B1030" s="243" t="s">
        <v>109</v>
      </c>
      <c r="C1030" s="24">
        <v>45776</v>
      </c>
      <c r="D1030" s="12">
        <v>470</v>
      </c>
      <c r="F1030" s="12" t="s">
        <v>1228</v>
      </c>
      <c r="G1030" t="str">
        <f t="shared" si="16"/>
        <v>April</v>
      </c>
    </row>
    <row r="1031" spans="1:7">
      <c r="A1031" s="181" t="s">
        <v>571</v>
      </c>
      <c r="B1031" s="243" t="s">
        <v>109</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109</v>
      </c>
      <c r="C1040" s="24">
        <v>45777</v>
      </c>
      <c r="D1040" s="92">
        <v>1216</v>
      </c>
      <c r="E1040" s="12"/>
      <c r="F1040" s="12" t="s">
        <v>1249</v>
      </c>
      <c r="G1040" t="str">
        <f t="shared" si="16"/>
        <v>April</v>
      </c>
    </row>
    <row r="1041" spans="1:7">
      <c r="A1041" s="78" t="s">
        <v>571</v>
      </c>
      <c r="B1041" s="78" t="s">
        <v>109</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109</v>
      </c>
      <c r="C1051" s="24">
        <v>45778</v>
      </c>
      <c r="D1051" s="92">
        <v>1098</v>
      </c>
      <c r="E1051" s="12"/>
      <c r="F1051" s="12" t="s">
        <v>1524</v>
      </c>
      <c r="G1051" t="str">
        <f t="shared" si="16"/>
        <v>May</v>
      </c>
    </row>
    <row r="1052" spans="1:7">
      <c r="A1052" s="91" t="s">
        <v>571</v>
      </c>
      <c r="B1052" s="78" t="s">
        <v>109</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109</v>
      </c>
      <c r="C1067" s="24">
        <v>45782</v>
      </c>
      <c r="D1067" s="92">
        <v>1053</v>
      </c>
      <c r="F1067" s="12" t="s">
        <v>1534</v>
      </c>
      <c r="G1067" t="str">
        <f t="shared" si="17"/>
        <v>May</v>
      </c>
    </row>
    <row r="1068" spans="1:7">
      <c r="A1068" s="91" t="s">
        <v>573</v>
      </c>
      <c r="B1068" s="250" t="s">
        <v>109</v>
      </c>
      <c r="C1068" s="24">
        <v>45782</v>
      </c>
      <c r="D1068" s="12">
        <v>575</v>
      </c>
      <c r="F1068" s="12" t="s">
        <v>1535</v>
      </c>
      <c r="G1068" t="str">
        <f t="shared" si="17"/>
        <v>May</v>
      </c>
    </row>
    <row r="1069" spans="1:7">
      <c r="A1069" s="292" t="s">
        <v>520</v>
      </c>
      <c r="B1069" s="276" t="s">
        <v>109</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109</v>
      </c>
      <c r="C1078" s="24">
        <v>45783</v>
      </c>
      <c r="D1078" s="12">
        <v>812</v>
      </c>
      <c r="F1078" s="12" t="s">
        <v>1541</v>
      </c>
      <c r="G1078" t="str">
        <f t="shared" si="18"/>
        <v>May</v>
      </c>
    </row>
    <row r="1079" spans="1:7">
      <c r="A1079" s="91" t="s">
        <v>573</v>
      </c>
      <c r="B1079" s="250" t="s">
        <v>109</v>
      </c>
      <c r="C1079" s="24">
        <v>45783</v>
      </c>
      <c r="D1079" s="92">
        <v>1847</v>
      </c>
      <c r="F1079" s="12" t="s">
        <v>1542</v>
      </c>
      <c r="G1079" t="str">
        <f t="shared" si="18"/>
        <v>May</v>
      </c>
    </row>
    <row r="1080" spans="1:7">
      <c r="A1080" s="292" t="s">
        <v>569</v>
      </c>
      <c r="B1080" s="276" t="s">
        <v>109</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109</v>
      </c>
      <c r="C1089" s="24">
        <v>45784</v>
      </c>
      <c r="D1089" s="92">
        <v>1052</v>
      </c>
      <c r="F1089" s="12" t="s">
        <v>1546</v>
      </c>
      <c r="G1089" t="str">
        <f>TEXT(C1089,"mmmm")</f>
        <v>May</v>
      </c>
    </row>
    <row r="1090" spans="1:7">
      <c r="A1090" s="292" t="s">
        <v>569</v>
      </c>
      <c r="B1090" s="276" t="s">
        <v>109</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449</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109</v>
      </c>
      <c r="C1100" s="24">
        <v>45785</v>
      </c>
      <c r="D1100" s="92">
        <v>1483</v>
      </c>
      <c r="F1100" s="12" t="s">
        <v>1551</v>
      </c>
      <c r="G1100" t="str">
        <f t="shared" si="19"/>
        <v>May</v>
      </c>
    </row>
    <row r="1101" spans="1:7">
      <c r="A1101" s="273" t="s">
        <v>573</v>
      </c>
      <c r="B1101" s="236" t="s">
        <v>109</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449</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109</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109</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109</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109</v>
      </c>
      <c r="C1148" s="24">
        <v>45796</v>
      </c>
      <c r="D1148" s="12">
        <v>270</v>
      </c>
      <c r="F1148" s="12" t="s">
        <v>1294</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109</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109</v>
      </c>
      <c r="C1164" s="24">
        <v>45798</v>
      </c>
      <c r="D1164" s="12">
        <v>678</v>
      </c>
      <c r="E1164" s="253">
        <v>2850</v>
      </c>
      <c r="F1164" s="12" t="s">
        <v>1582</v>
      </c>
      <c r="G1164" t="str">
        <f t="shared" si="21"/>
        <v>May</v>
      </c>
    </row>
    <row r="1165" spans="1:7">
      <c r="A1165" s="273" t="s">
        <v>604</v>
      </c>
      <c r="B1165" s="236" t="s">
        <v>109</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109</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109</v>
      </c>
      <c r="C1183" s="24">
        <v>45804</v>
      </c>
      <c r="D1183" s="12">
        <v>948</v>
      </c>
      <c r="F1183" s="12" t="s">
        <v>1590</v>
      </c>
      <c r="G1183" t="str">
        <f t="shared" si="21"/>
        <v>May</v>
      </c>
    </row>
    <row r="1184" spans="1:7">
      <c r="A1184" s="237" t="s">
        <v>501</v>
      </c>
      <c r="B1184" s="237" t="s">
        <v>109</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109</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109</v>
      </c>
      <c r="C1195" s="24">
        <v>45806</v>
      </c>
      <c r="D1195" s="92">
        <v>2248</v>
      </c>
      <c r="F1195" s="12" t="s">
        <v>1595</v>
      </c>
      <c r="G1195" t="str">
        <f t="shared" si="22"/>
        <v>May</v>
      </c>
    </row>
    <row r="1196" spans="1:7">
      <c r="A1196" s="250" t="s">
        <v>604</v>
      </c>
      <c r="B1196" s="239" t="s">
        <v>109</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109</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109</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449</v>
      </c>
      <c r="B1217" s="179" t="s">
        <v>635</v>
      </c>
      <c r="C1217" s="242">
        <v>45812</v>
      </c>
      <c r="F1217" s="78" t="s">
        <v>1603</v>
      </c>
      <c r="G1217" t="s">
        <v>1598</v>
      </c>
    </row>
    <row r="1218" spans="1:7">
      <c r="A1218" s="237" t="s">
        <v>858</v>
      </c>
      <c r="B1218" s="237" t="s">
        <v>109</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109</v>
      </c>
      <c r="C1220" s="24">
        <v>45812</v>
      </c>
      <c r="D1220" s="12">
        <v>610</v>
      </c>
      <c r="F1220" s="12" t="s">
        <v>1604</v>
      </c>
      <c r="G1220" t="s">
        <v>1598</v>
      </c>
    </row>
    <row r="1221" spans="1:7">
      <c r="A1221" s="273" t="s">
        <v>604</v>
      </c>
      <c r="B1221" s="236" t="s">
        <v>109</v>
      </c>
      <c r="C1221" s="24">
        <v>45812</v>
      </c>
      <c r="E1221" s="253">
        <v>8415</v>
      </c>
      <c r="F1221" s="12" t="s">
        <v>1605</v>
      </c>
      <c r="G1221" t="s">
        <v>1598</v>
      </c>
    </row>
    <row r="1222" spans="1:7">
      <c r="A1222" s="238" t="s">
        <v>489</v>
      </c>
      <c r="B1222" s="238" t="s">
        <v>657</v>
      </c>
      <c r="C1222" s="24">
        <v>45812</v>
      </c>
      <c r="F1222" s="78" t="s">
        <v>1603</v>
      </c>
      <c r="G1222" t="s">
        <v>1598</v>
      </c>
    </row>
    <row r="1223" spans="1:7">
      <c r="A1223" s="78" t="s">
        <v>449</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109</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109</v>
      </c>
      <c r="C1230" s="24">
        <v>45817</v>
      </c>
      <c r="D1230" s="92">
        <v>1100</v>
      </c>
      <c r="G1230" t="s">
        <v>1598</v>
      </c>
    </row>
    <row r="1231" spans="1:7">
      <c r="A1231" s="237" t="s">
        <v>630</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109</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109</v>
      </c>
      <c r="C1238" s="24">
        <v>45819</v>
      </c>
      <c r="D1238" s="92">
        <v>1975</v>
      </c>
      <c r="F1238" s="12" t="s">
        <v>1596</v>
      </c>
      <c r="G1238" t="s">
        <v>1598</v>
      </c>
    </row>
    <row r="1239" spans="1:7">
      <c r="A1239" s="292" t="s">
        <v>501</v>
      </c>
      <c r="B1239" s="237" t="s">
        <v>109</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109</v>
      </c>
      <c r="C1241" s="24">
        <v>45820</v>
      </c>
      <c r="D1241" s="92">
        <v>1395</v>
      </c>
      <c r="F1241" s="12" t="s">
        <v>1596</v>
      </c>
      <c r="G1241" t="s">
        <v>1598</v>
      </c>
    </row>
    <row r="1242" spans="1:7">
      <c r="A1242" s="746" t="s">
        <v>595</v>
      </c>
      <c r="B1242" s="299" t="s">
        <v>109</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109</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109</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109</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109</v>
      </c>
      <c r="C1256" s="24">
        <v>45825</v>
      </c>
      <c r="D1256" s="92">
        <v>1465</v>
      </c>
      <c r="F1256" s="12" t="s">
        <v>1615</v>
      </c>
      <c r="G1256" t="s">
        <v>1598</v>
      </c>
    </row>
    <row r="1257" spans="1:7">
      <c r="A1257" s="243" t="s">
        <v>501</v>
      </c>
      <c r="B1257" s="243" t="s">
        <v>109</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109</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109</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109</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109</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109</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449</v>
      </c>
      <c r="B1284" s="179" t="s">
        <v>635</v>
      </c>
      <c r="C1284" s="242">
        <v>45833</v>
      </c>
      <c r="D1284" s="12">
        <v>649</v>
      </c>
      <c r="F1284" s="12" t="s">
        <v>1622</v>
      </c>
      <c r="G1284" t="s">
        <v>1598</v>
      </c>
    </row>
    <row r="1285" spans="1:7">
      <c r="A1285" s="237" t="s">
        <v>883</v>
      </c>
      <c r="B1285" s="601" t="s">
        <v>109</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109</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109</v>
      </c>
      <c r="C1293" s="24">
        <v>45834</v>
      </c>
      <c r="D1293" s="92">
        <v>1296</v>
      </c>
      <c r="F1293" s="12" t="s">
        <v>1615</v>
      </c>
      <c r="G1293" t="s">
        <v>1598</v>
      </c>
    </row>
    <row r="1294" spans="1:7">
      <c r="A1294" s="236" t="s">
        <v>585</v>
      </c>
      <c r="B1294" s="236" t="s">
        <v>109</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109</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109</v>
      </c>
      <c r="C1306" s="24">
        <v>45839</v>
      </c>
      <c r="E1306" s="76">
        <v>53</v>
      </c>
      <c r="F1306" s="12" t="s">
        <v>1632</v>
      </c>
      <c r="G1306" t="s">
        <v>1631</v>
      </c>
    </row>
    <row r="1307" spans="1:7">
      <c r="A1307" s="274" t="s">
        <v>498</v>
      </c>
      <c r="B1307" s="247" t="s">
        <v>109</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109</v>
      </c>
      <c r="C1312" s="24">
        <v>45840</v>
      </c>
      <c r="D1312" s="12">
        <v>355</v>
      </c>
      <c r="F1312" s="12" t="s">
        <v>1237</v>
      </c>
      <c r="G1312" t="s">
        <v>1631</v>
      </c>
    </row>
    <row r="1313" spans="1:7">
      <c r="A1313" s="236" t="s">
        <v>498</v>
      </c>
      <c r="B1313" s="236" t="s">
        <v>109</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344</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109</v>
      </c>
      <c r="C1320" s="24">
        <v>45845</v>
      </c>
      <c r="D1320" s="12">
        <v>846</v>
      </c>
      <c r="G1320" t="s">
        <v>1631</v>
      </c>
    </row>
    <row r="1321" spans="1:7">
      <c r="A1321" s="236" t="s">
        <v>506</v>
      </c>
      <c r="B1321" s="236" t="s">
        <v>109</v>
      </c>
      <c r="C1321" s="24">
        <v>45845</v>
      </c>
      <c r="D1321" s="92">
        <v>1644</v>
      </c>
      <c r="E1321" s="138"/>
      <c r="G1321" t="s">
        <v>1631</v>
      </c>
    </row>
    <row r="1322" spans="1:7">
      <c r="A1322" s="238" t="s">
        <v>475</v>
      </c>
      <c r="B1322" s="661" t="s">
        <v>344</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109</v>
      </c>
      <c r="C1324" s="24">
        <v>45846</v>
      </c>
      <c r="D1324" s="12">
        <v>827</v>
      </c>
      <c r="F1324" s="12" t="s">
        <v>1638</v>
      </c>
      <c r="G1324" t="s">
        <v>1631</v>
      </c>
    </row>
    <row r="1325" spans="1:7">
      <c r="A1325" s="1194" t="s">
        <v>506</v>
      </c>
      <c r="B1325" s="1195" t="s">
        <v>109</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344</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109</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109</v>
      </c>
      <c r="C1352" s="24">
        <v>45859</v>
      </c>
      <c r="D1352" s="92">
        <v>1070</v>
      </c>
      <c r="F1352" s="12" t="s">
        <v>1235</v>
      </c>
      <c r="G1352" t="s">
        <v>1631</v>
      </c>
    </row>
    <row r="1353" spans="1:7">
      <c r="A1353" s="334" t="s">
        <v>554</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109</v>
      </c>
      <c r="C1356" s="24">
        <v>45860</v>
      </c>
      <c r="D1356" s="92">
        <v>1224</v>
      </c>
      <c r="F1356" s="12" t="s">
        <v>1647</v>
      </c>
      <c r="G1356" t="s">
        <v>1631</v>
      </c>
    </row>
    <row r="1357" spans="1:7">
      <c r="A1357" s="237" t="s">
        <v>554</v>
      </c>
      <c r="B1357" s="237" t="s">
        <v>109</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109</v>
      </c>
      <c r="C1365" s="24">
        <v>45861</v>
      </c>
      <c r="D1365" s="12">
        <v>235</v>
      </c>
      <c r="F1365" s="12" t="s">
        <v>1649</v>
      </c>
      <c r="G1365" t="s">
        <v>1631</v>
      </c>
    </row>
    <row r="1366" spans="1:7">
      <c r="A1366" s="237" t="s">
        <v>554</v>
      </c>
      <c r="B1366" s="237" t="s">
        <v>109</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109</v>
      </c>
      <c r="C1368" s="24">
        <v>45861</v>
      </c>
      <c r="D1368" s="12">
        <v>363</v>
      </c>
      <c r="F1368" s="12" t="s">
        <v>1651</v>
      </c>
      <c r="G1368" t="s">
        <v>1631</v>
      </c>
    </row>
    <row r="1369" spans="1:7">
      <c r="A1369" s="78" t="s">
        <v>858</v>
      </c>
      <c r="B1369" s="78" t="s">
        <v>109</v>
      </c>
      <c r="C1369" s="24">
        <v>45861</v>
      </c>
      <c r="D1369" s="12">
        <v>853</v>
      </c>
      <c r="F1369" s="12" t="s">
        <v>1282</v>
      </c>
      <c r="G1369" t="s">
        <v>1631</v>
      </c>
    </row>
    <row r="1370" spans="1:7">
      <c r="A1370" s="1196" t="s">
        <v>479</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109</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109</v>
      </c>
      <c r="C1377" s="24">
        <v>45862</v>
      </c>
      <c r="D1377" s="92">
        <v>1279</v>
      </c>
      <c r="F1377" s="12" t="s">
        <v>1282</v>
      </c>
      <c r="G1377" t="s">
        <v>1631</v>
      </c>
    </row>
    <row r="1378" spans="1:7">
      <c r="A1378" s="60" t="s">
        <v>479</v>
      </c>
      <c r="B1378" s="250" t="s">
        <v>344</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109</v>
      </c>
      <c r="C1382" s="24">
        <v>45863</v>
      </c>
      <c r="F1382" s="236" t="s">
        <v>1660</v>
      </c>
      <c r="G1382" t="s">
        <v>1631</v>
      </c>
    </row>
    <row r="1383" spans="1:7">
      <c r="A1383" s="78" t="s">
        <v>548</v>
      </c>
      <c r="B1383" s="236" t="s">
        <v>109</v>
      </c>
      <c r="C1383" s="24">
        <v>45863</v>
      </c>
      <c r="F1383" s="239" t="s">
        <v>1660</v>
      </c>
      <c r="G1383" t="s">
        <v>1631</v>
      </c>
    </row>
    <row r="1384" spans="1:7">
      <c r="A1384" s="237" t="s">
        <v>563</v>
      </c>
      <c r="B1384" s="237" t="s">
        <v>109</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344</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109</v>
      </c>
      <c r="C1388" s="24">
        <v>45866</v>
      </c>
      <c r="D1388" s="12">
        <v>817</v>
      </c>
      <c r="G1388" t="s">
        <v>1631</v>
      </c>
    </row>
    <row r="1389" spans="1:7">
      <c r="A1389" s="238" t="s">
        <v>557</v>
      </c>
      <c r="B1389" s="237" t="s">
        <v>109</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344</v>
      </c>
      <c r="C1392" s="24">
        <v>45866</v>
      </c>
      <c r="D1392" s="12">
        <v>345</v>
      </c>
      <c r="G1392" t="s">
        <v>1631</v>
      </c>
    </row>
    <row r="1393" spans="1:7">
      <c r="A1393" s="491" t="s">
        <v>506</v>
      </c>
      <c r="B1393" s="179" t="s">
        <v>635</v>
      </c>
      <c r="C1393" s="242">
        <v>45867</v>
      </c>
      <c r="D1393" s="92">
        <v>1933</v>
      </c>
      <c r="G1393" t="s">
        <v>1631</v>
      </c>
    </row>
    <row r="1394" spans="1:7">
      <c r="A1394" s="319" t="s">
        <v>858</v>
      </c>
      <c r="B1394" s="320" t="s">
        <v>109</v>
      </c>
      <c r="C1394" s="24">
        <v>45867</v>
      </c>
      <c r="E1394" s="253">
        <v>5590</v>
      </c>
      <c r="F1394" s="12" t="s">
        <v>1663</v>
      </c>
      <c r="G1394" t="s">
        <v>1631</v>
      </c>
    </row>
    <row r="1395" spans="1:7">
      <c r="A1395" s="1197" t="s">
        <v>557</v>
      </c>
      <c r="B1395" s="1198" t="s">
        <v>109</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109</v>
      </c>
      <c r="C1398" s="24">
        <v>45868</v>
      </c>
      <c r="D1398" s="12">
        <v>902</v>
      </c>
      <c r="G1398" t="s">
        <v>1631</v>
      </c>
    </row>
    <row r="1399" spans="1:7">
      <c r="A1399" s="237" t="s">
        <v>858</v>
      </c>
      <c r="B1399" s="237" t="s">
        <v>109</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352</v>
      </c>
      <c r="C1401" s="24">
        <v>45868</v>
      </c>
      <c r="E1401" s="253">
        <v>6067</v>
      </c>
      <c r="G1401" t="s">
        <v>1631</v>
      </c>
    </row>
    <row r="1402" spans="1:7">
      <c r="A1402" s="749" t="s">
        <v>818</v>
      </c>
      <c r="B1402" s="249" t="s">
        <v>344</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109</v>
      </c>
      <c r="C1405" s="24">
        <v>45869</v>
      </c>
      <c r="D1405" s="12">
        <v>862</v>
      </c>
      <c r="G1405" t="s">
        <v>1631</v>
      </c>
    </row>
    <row r="1406" spans="1:7">
      <c r="A1406" s="243" t="s">
        <v>869</v>
      </c>
      <c r="B1406" s="243" t="s">
        <v>352</v>
      </c>
      <c r="C1406" s="24">
        <v>45869</v>
      </c>
      <c r="E1406" s="253">
        <v>2691</v>
      </c>
      <c r="G1406" t="s">
        <v>1631</v>
      </c>
    </row>
    <row r="1407" spans="1:7">
      <c r="A1407" s="274" t="s">
        <v>845</v>
      </c>
      <c r="B1407" s="661" t="s">
        <v>344</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352</v>
      </c>
      <c r="C1410" s="24">
        <v>45870</v>
      </c>
      <c r="F1410" s="12" t="s">
        <v>1670</v>
      </c>
      <c r="G1410" t="s">
        <v>1668</v>
      </c>
    </row>
    <row r="1411" spans="1:7">
      <c r="A1411" s="71" t="s">
        <v>845</v>
      </c>
      <c r="B1411" s="94" t="s">
        <v>344</v>
      </c>
      <c r="C1411" s="24">
        <v>45870</v>
      </c>
      <c r="D1411" s="92">
        <v>1377</v>
      </c>
      <c r="G1411" t="s">
        <v>1668</v>
      </c>
    </row>
    <row r="1412" spans="1:7">
      <c r="A1412" s="491" t="s">
        <v>506</v>
      </c>
      <c r="B1412" s="243" t="s">
        <v>352</v>
      </c>
      <c r="C1412" s="24">
        <v>45873</v>
      </c>
      <c r="E1412" s="253">
        <v>13125</v>
      </c>
      <c r="G1412" t="s">
        <v>1668</v>
      </c>
    </row>
    <row r="1413" spans="1:7">
      <c r="A1413" s="352" t="s">
        <v>592</v>
      </c>
      <c r="B1413" s="356" t="s">
        <v>109</v>
      </c>
      <c r="C1413" s="24">
        <v>45873</v>
      </c>
      <c r="D1413" s="12">
        <v>918</v>
      </c>
      <c r="G1413" t="s">
        <v>1668</v>
      </c>
    </row>
    <row r="1414" spans="1:7">
      <c r="A1414" s="243" t="s">
        <v>866</v>
      </c>
      <c r="B1414" s="243" t="s">
        <v>109</v>
      </c>
      <c r="C1414" s="24">
        <v>45874</v>
      </c>
      <c r="D1414" s="92">
        <v>2675</v>
      </c>
      <c r="G1414" t="s">
        <v>1668</v>
      </c>
    </row>
    <row r="1415" spans="1:7">
      <c r="A1415" s="266" t="s">
        <v>845</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109</v>
      </c>
      <c r="C1417" s="24">
        <v>45875</v>
      </c>
      <c r="D1417" s="92">
        <v>1964</v>
      </c>
      <c r="G1417" t="s">
        <v>1668</v>
      </c>
    </row>
    <row r="1418" spans="1:7">
      <c r="A1418" s="425" t="s">
        <v>845</v>
      </c>
      <c r="B1418" s="243" t="s">
        <v>344</v>
      </c>
      <c r="C1418" s="24">
        <v>45875</v>
      </c>
      <c r="D1418" s="12">
        <v>840</v>
      </c>
      <c r="G1418" t="s">
        <v>1668</v>
      </c>
    </row>
    <row r="1419" spans="1:7">
      <c r="A1419" s="78" t="s">
        <v>818</v>
      </c>
      <c r="B1419" s="426" t="s">
        <v>344</v>
      </c>
      <c r="C1419" s="24">
        <v>45875</v>
      </c>
      <c r="F1419" s="12" t="s">
        <v>1671</v>
      </c>
      <c r="G1419" t="s">
        <v>1668</v>
      </c>
    </row>
    <row r="1420" spans="1:7">
      <c r="A1420" s="312" t="s">
        <v>866</v>
      </c>
      <c r="B1420" s="335" t="s">
        <v>109</v>
      </c>
      <c r="C1420" s="242">
        <v>45876</v>
      </c>
      <c r="D1420" s="12">
        <v>377</v>
      </c>
      <c r="E1420" s="253"/>
      <c r="F1420" s="12" t="s">
        <v>1672</v>
      </c>
      <c r="G1420" t="s">
        <v>1668</v>
      </c>
    </row>
    <row r="1421" spans="1:7">
      <c r="A1421" s="312" t="s">
        <v>866</v>
      </c>
      <c r="B1421" s="243" t="s">
        <v>352</v>
      </c>
      <c r="C1421" s="242">
        <v>45876</v>
      </c>
      <c r="E1421" s="253">
        <v>5289</v>
      </c>
      <c r="F1421" s="12" t="s">
        <v>1673</v>
      </c>
      <c r="G1421" t="s">
        <v>1668</v>
      </c>
    </row>
    <row r="1422" spans="1:7">
      <c r="A1422" s="78" t="s">
        <v>598</v>
      </c>
      <c r="B1422" s="404" t="s">
        <v>109</v>
      </c>
      <c r="C1422" s="24">
        <v>45876</v>
      </c>
      <c r="D1422" s="12">
        <v>674</v>
      </c>
      <c r="G1422" t="s">
        <v>1668</v>
      </c>
    </row>
    <row r="1423" spans="1:7">
      <c r="A1423" s="426" t="s">
        <v>845</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109</v>
      </c>
      <c r="C1425" s="24">
        <v>45877</v>
      </c>
      <c r="F1425" s="243" t="s">
        <v>1299</v>
      </c>
      <c r="G1425" t="s">
        <v>1668</v>
      </c>
    </row>
    <row r="1426" spans="1:7">
      <c r="A1426" s="425" t="s">
        <v>845</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109</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109</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845</v>
      </c>
      <c r="B1436" s="243" t="s">
        <v>344</v>
      </c>
      <c r="C1436" s="24">
        <v>45881</v>
      </c>
      <c r="D1436" s="92">
        <v>1293</v>
      </c>
      <c r="G1436" t="s">
        <v>1668</v>
      </c>
    </row>
    <row r="1437" spans="1:7">
      <c r="A1437" s="299" t="s">
        <v>857</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109</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109</v>
      </c>
      <c r="C1441" s="24">
        <v>45882</v>
      </c>
      <c r="D1441" s="92">
        <v>1031</v>
      </c>
      <c r="F1441" s="12" t="s">
        <v>1674</v>
      </c>
      <c r="G1441" t="s">
        <v>1668</v>
      </c>
    </row>
    <row r="1442" spans="1:7">
      <c r="A1442" s="237" t="s">
        <v>598</v>
      </c>
      <c r="B1442" s="237" t="s">
        <v>109</v>
      </c>
      <c r="C1442" s="24">
        <v>45882</v>
      </c>
      <c r="D1442" s="12">
        <v>12</v>
      </c>
      <c r="F1442" s="237" t="s">
        <v>1591</v>
      </c>
      <c r="G1442" t="s">
        <v>1668</v>
      </c>
    </row>
    <row r="1443" spans="1:7">
      <c r="A1443" s="299" t="s">
        <v>845</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352</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352</v>
      </c>
      <c r="C1452" s="24">
        <v>45884</v>
      </c>
      <c r="E1452" s="253">
        <v>1297</v>
      </c>
      <c r="F1452" s="12" t="s">
        <v>1677</v>
      </c>
      <c r="G1452" t="s">
        <v>1668</v>
      </c>
    </row>
    <row r="1453" spans="1:7">
      <c r="A1453" s="425" t="s">
        <v>845</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352</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352</v>
      </c>
      <c r="C1458" s="24">
        <v>45887</v>
      </c>
      <c r="E1458" s="253">
        <v>2145</v>
      </c>
      <c r="F1458" s="12" t="s">
        <v>1679</v>
      </c>
      <c r="G1458" t="s">
        <v>1668</v>
      </c>
    </row>
    <row r="1459" spans="1:7">
      <c r="A1459" s="456" t="s">
        <v>601</v>
      </c>
      <c r="B1459" s="254" t="s">
        <v>109</v>
      </c>
      <c r="C1459" s="24">
        <v>45887</v>
      </c>
      <c r="D1459" s="92">
        <v>1109</v>
      </c>
      <c r="F1459" s="12" t="s">
        <v>1680</v>
      </c>
      <c r="G1459" t="s">
        <v>1668</v>
      </c>
    </row>
    <row r="1460" spans="1:7">
      <c r="A1460" s="425" t="s">
        <v>845</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109</v>
      </c>
      <c r="C1465" s="24">
        <v>45888</v>
      </c>
      <c r="D1465" s="92">
        <v>1460</v>
      </c>
      <c r="F1465" s="12" t="s">
        <v>1681</v>
      </c>
      <c r="G1465" t="s">
        <v>1668</v>
      </c>
    </row>
    <row r="1466" spans="1:7">
      <c r="A1466" s="425" t="s">
        <v>845</v>
      </c>
      <c r="B1466" s="266" t="s">
        <v>344</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449</v>
      </c>
      <c r="B1470" s="179" t="s">
        <v>635</v>
      </c>
      <c r="C1470" s="242">
        <v>45889</v>
      </c>
      <c r="F1470" s="252" t="s">
        <v>1644</v>
      </c>
      <c r="G1470" t="s">
        <v>1668</v>
      </c>
    </row>
    <row r="1471" spans="1:7">
      <c r="A1471" s="1232" t="s">
        <v>1193</v>
      </c>
      <c r="B1471" s="1233" t="s">
        <v>109</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109</v>
      </c>
      <c r="C1473" s="24">
        <v>45889</v>
      </c>
      <c r="D1473" s="92">
        <v>1428</v>
      </c>
      <c r="F1473" s="12" t="s">
        <v>1591</v>
      </c>
      <c r="G1473" t="s">
        <v>1668</v>
      </c>
    </row>
    <row r="1474" spans="1:7">
      <c r="A1474" s="425" t="s">
        <v>845</v>
      </c>
      <c r="B1474" s="266" t="s">
        <v>344</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449</v>
      </c>
      <c r="B1477" s="179" t="s">
        <v>635</v>
      </c>
      <c r="C1477" s="242">
        <v>45890</v>
      </c>
      <c r="F1477" s="12" t="s">
        <v>1432</v>
      </c>
      <c r="G1477" t="s">
        <v>1668</v>
      </c>
    </row>
    <row r="1478" spans="1:7">
      <c r="A1478" s="1232" t="s">
        <v>1193</v>
      </c>
      <c r="B1478" s="1233" t="s">
        <v>109</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109</v>
      </c>
      <c r="C1480" s="24">
        <v>45890</v>
      </c>
      <c r="D1480" s="92">
        <v>1654</v>
      </c>
      <c r="G1480" t="s">
        <v>1668</v>
      </c>
    </row>
    <row r="1481" spans="1:7">
      <c r="A1481" s="28" t="s">
        <v>601</v>
      </c>
      <c r="B1481" s="164" t="s">
        <v>352</v>
      </c>
      <c r="C1481" s="24">
        <v>45890</v>
      </c>
      <c r="E1481" s="253">
        <v>1109</v>
      </c>
      <c r="F1481" s="12" t="s">
        <v>1684</v>
      </c>
      <c r="G1481" t="s">
        <v>1668</v>
      </c>
    </row>
    <row r="1482" spans="1:7">
      <c r="A1482" s="425" t="s">
        <v>845</v>
      </c>
      <c r="B1482" s="266" t="s">
        <v>344</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344</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109</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109</v>
      </c>
      <c r="C1494" s="24">
        <v>45894</v>
      </c>
      <c r="D1494" s="12">
        <v>735</v>
      </c>
      <c r="F1494" s="12" t="s">
        <v>1689</v>
      </c>
      <c r="G1494" t="s">
        <v>1668</v>
      </c>
    </row>
    <row r="1495" spans="1:7">
      <c r="A1495" s="425" t="s">
        <v>845</v>
      </c>
      <c r="B1495" s="266" t="s">
        <v>344</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449</v>
      </c>
      <c r="B1498" s="179" t="s">
        <v>635</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109</v>
      </c>
      <c r="C1502" s="24">
        <v>45895</v>
      </c>
      <c r="D1502" s="12">
        <v>558</v>
      </c>
      <c r="F1502" s="266" t="s">
        <v>1233</v>
      </c>
      <c r="G1502" t="s">
        <v>1668</v>
      </c>
    </row>
    <row r="1503" spans="1:7">
      <c r="A1503" s="597" t="s">
        <v>566</v>
      </c>
      <c r="B1503" s="52" t="s">
        <v>109</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344</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109</v>
      </c>
      <c r="C1509" s="24">
        <v>45896</v>
      </c>
      <c r="D1509" s="92">
        <v>1248</v>
      </c>
      <c r="F1509" s="12" t="s">
        <v>1694</v>
      </c>
      <c r="G1509" t="s">
        <v>1668</v>
      </c>
    </row>
    <row r="1510" spans="1:7">
      <c r="A1510" s="597" t="s">
        <v>566</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479</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109</v>
      </c>
      <c r="C1516" s="24">
        <v>45897</v>
      </c>
      <c r="D1516" s="92">
        <v>1453</v>
      </c>
      <c r="F1516" s="12" t="s">
        <v>1698</v>
      </c>
      <c r="G1516" t="s">
        <v>1668</v>
      </c>
    </row>
    <row r="1517" spans="1:7">
      <c r="A1517" s="28" t="s">
        <v>921</v>
      </c>
      <c r="B1517" s="12" t="s">
        <v>109</v>
      </c>
      <c r="C1517" s="24">
        <v>45897</v>
      </c>
      <c r="D1517" s="92">
        <v>1260</v>
      </c>
      <c r="F1517" s="12" t="s">
        <v>1699</v>
      </c>
      <c r="G1517" t="s">
        <v>1668</v>
      </c>
    </row>
    <row r="1518" spans="1:7">
      <c r="A1518" s="425" t="s">
        <v>845</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479</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344</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344</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109</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109</v>
      </c>
      <c r="C1535" s="24">
        <v>45903</v>
      </c>
      <c r="D1535" s="92">
        <v>1491</v>
      </c>
      <c r="F1535" s="12" t="s">
        <v>1710</v>
      </c>
      <c r="G1535" t="s">
        <v>1704</v>
      </c>
    </row>
    <row r="1536" spans="1:7">
      <c r="A1536" s="601" t="s">
        <v>893</v>
      </c>
      <c r="B1536" s="601" t="s">
        <v>109</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109</v>
      </c>
      <c r="C1543" s="24">
        <v>45904</v>
      </c>
      <c r="D1543" s="92">
        <v>1549</v>
      </c>
      <c r="F1543" s="12" t="s">
        <v>1716</v>
      </c>
      <c r="G1543" t="s">
        <v>1704</v>
      </c>
    </row>
    <row r="1544" spans="1:7">
      <c r="A1544" s="597" t="s">
        <v>888</v>
      </c>
      <c r="B1544" s="52" t="s">
        <v>109</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109</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109</v>
      </c>
      <c r="C1553" s="24">
        <v>45908</v>
      </c>
      <c r="D1553" s="92">
        <v>2498</v>
      </c>
      <c r="G1553" t="s">
        <v>1704</v>
      </c>
    </row>
    <row r="1554" spans="1:7">
      <c r="A1554" s="85" t="s">
        <v>875</v>
      </c>
      <c r="B1554" s="1201" t="s">
        <v>109</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616</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109</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449</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109</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109</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109</v>
      </c>
      <c r="C1584" s="24">
        <v>45916</v>
      </c>
      <c r="D1584" s="92">
        <v>1808</v>
      </c>
      <c r="F1584" s="598"/>
      <c r="G1584" t="s">
        <v>1704</v>
      </c>
    </row>
    <row r="1585" spans="1:7">
      <c r="A1585" s="749" t="s">
        <v>820</v>
      </c>
      <c r="B1585" s="299" t="s">
        <v>821</v>
      </c>
      <c r="C1585" s="24">
        <v>45916</v>
      </c>
      <c r="F1585" s="598" t="s">
        <v>1282</v>
      </c>
      <c r="G1585" t="s">
        <v>1704</v>
      </c>
    </row>
    <row r="1586" spans="1:7" ht="15.75">
      <c r="A1586" s="94" t="s">
        <v>343</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109</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109</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109</v>
      </c>
      <c r="C1599" s="24">
        <v>45918</v>
      </c>
      <c r="D1599" s="12">
        <v>361</v>
      </c>
      <c r="F1599" s="598" t="s">
        <v>1737</v>
      </c>
      <c r="G1599" t="s">
        <v>1704</v>
      </c>
    </row>
    <row r="1600" spans="1:7">
      <c r="A1600" s="28" t="s">
        <v>896</v>
      </c>
      <c r="B1600" s="549" t="s">
        <v>109</v>
      </c>
      <c r="C1600" s="24">
        <v>45918</v>
      </c>
      <c r="D1600" s="92">
        <v>1204</v>
      </c>
      <c r="F1600" s="598" t="s">
        <v>1738</v>
      </c>
      <c r="G1600" t="s">
        <v>1704</v>
      </c>
    </row>
    <row r="1601" spans="1:7">
      <c r="A1601" s="28" t="s">
        <v>898</v>
      </c>
      <c r="B1601" s="549" t="s">
        <v>109</v>
      </c>
      <c r="C1601" s="24">
        <v>45918</v>
      </c>
      <c r="D1601" s="92">
        <v>562</v>
      </c>
      <c r="F1601" s="598"/>
      <c r="G1601" t="s">
        <v>1704</v>
      </c>
    </row>
    <row r="1602" spans="1:7">
      <c r="A1602" s="28" t="s">
        <v>916</v>
      </c>
      <c r="B1602" s="549" t="s">
        <v>109</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453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109</v>
      </c>
      <c r="C1613" s="24">
        <v>45922</v>
      </c>
      <c r="D1613" s="12">
        <v>978</v>
      </c>
      <c r="F1613" s="598" t="s">
        <v>1742</v>
      </c>
      <c r="G1613" t="s">
        <v>1704</v>
      </c>
    </row>
    <row r="1614" spans="1:7">
      <c r="A1614" s="237" t="s">
        <v>916</v>
      </c>
      <c r="B1614" s="605" t="s">
        <v>109</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156</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109</v>
      </c>
      <c r="C1622" s="24">
        <v>45923</v>
      </c>
      <c r="D1622" s="12">
        <v>675</v>
      </c>
      <c r="F1622" s="28"/>
      <c r="G1622" t="s">
        <v>1704</v>
      </c>
    </row>
    <row r="1623" spans="1:7">
      <c r="A1623" s="85" t="s">
        <v>901</v>
      </c>
      <c r="B1623" s="1202" t="s">
        <v>109</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453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109</v>
      </c>
      <c r="C1631" s="265">
        <v>45924</v>
      </c>
      <c r="D1631" s="92">
        <v>1205</v>
      </c>
      <c r="F1631" s="28" t="s">
        <v>1750</v>
      </c>
      <c r="G1631" t="s">
        <v>1704</v>
      </c>
    </row>
    <row r="1632" spans="1:7">
      <c r="A1632" s="85" t="s">
        <v>901</v>
      </c>
      <c r="B1632" s="334" t="s">
        <v>109</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109</v>
      </c>
      <c r="C1634" s="24">
        <v>45924</v>
      </c>
      <c r="D1634" s="98"/>
      <c r="F1634" s="266" t="s">
        <v>1752</v>
      </c>
      <c r="G1634" t="s">
        <v>1704</v>
      </c>
    </row>
    <row r="1635" spans="1:7">
      <c r="A1635" s="28" t="s">
        <v>898</v>
      </c>
      <c r="B1635" s="609" t="s">
        <v>109</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156</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109</v>
      </c>
      <c r="C1647" s="24">
        <v>45925</v>
      </c>
      <c r="D1647" s="92">
        <v>1000</v>
      </c>
      <c r="F1647" s="5"/>
      <c r="G1647" t="s">
        <v>1704</v>
      </c>
    </row>
    <row r="1648" spans="1:7">
      <c r="A1648" s="85" t="s">
        <v>901</v>
      </c>
      <c r="B1648" s="1202" t="s">
        <v>109</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109</v>
      </c>
      <c r="C1667" s="24">
        <v>45929</v>
      </c>
      <c r="D1667" s="12">
        <v>600</v>
      </c>
      <c r="F1667" s="12" t="s">
        <v>1762</v>
      </c>
      <c r="G1667" t="s">
        <v>1704</v>
      </c>
    </row>
    <row r="1668" spans="1:7">
      <c r="A1668" s="243" t="s">
        <v>907</v>
      </c>
      <c r="B1668" s="243" t="s">
        <v>109</v>
      </c>
      <c r="C1668" s="24">
        <v>45929</v>
      </c>
      <c r="D1668" s="92">
        <v>1002</v>
      </c>
      <c r="F1668" s="12" t="s">
        <v>1763</v>
      </c>
      <c r="G1668" t="s">
        <v>1704</v>
      </c>
    </row>
    <row r="1669" spans="1:7">
      <c r="A1669" s="71" t="s">
        <v>820</v>
      </c>
      <c r="B1669" s="78" t="s">
        <v>821</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156</v>
      </c>
      <c r="C1672" s="24">
        <v>45929</v>
      </c>
      <c r="D1672" s="12">
        <v>479</v>
      </c>
      <c r="G1672" t="s">
        <v>1704</v>
      </c>
    </row>
    <row r="1673" spans="1:7">
      <c r="A1673" s="12" t="s">
        <v>833</v>
      </c>
      <c r="B1673" s="250" t="s">
        <v>156</v>
      </c>
      <c r="C1673" s="24">
        <v>45929</v>
      </c>
      <c r="D1673" s="12">
        <v>454</v>
      </c>
      <c r="G1673" t="s">
        <v>1704</v>
      </c>
    </row>
    <row r="1674" spans="1:7">
      <c r="A1674" s="266" t="s">
        <v>907</v>
      </c>
      <c r="B1674" s="266" t="s">
        <v>109</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205</v>
      </c>
      <c r="C1676" s="24">
        <v>45930</v>
      </c>
      <c r="D1676" s="92">
        <v>1253</v>
      </c>
      <c r="G1676" t="s">
        <v>1704</v>
      </c>
    </row>
    <row r="1677" spans="1:7">
      <c r="A1677" s="650" t="s">
        <v>551</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156</v>
      </c>
      <c r="C1685" s="24">
        <v>45930</v>
      </c>
      <c r="D1685" s="12">
        <v>251</v>
      </c>
      <c r="G1685" t="s">
        <v>1704</v>
      </c>
    </row>
    <row r="1686" spans="1:7">
      <c r="A1686" s="426" t="s">
        <v>818</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205</v>
      </c>
      <c r="C1688" s="24">
        <v>45931</v>
      </c>
      <c r="D1688" s="92">
        <v>1351</v>
      </c>
      <c r="G1688" t="s">
        <v>1767</v>
      </c>
    </row>
    <row r="1689" spans="1:7">
      <c r="A1689" s="651" t="s">
        <v>551</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109</v>
      </c>
      <c r="C1692" s="24">
        <v>45931</v>
      </c>
      <c r="D1692" s="92">
        <v>1118</v>
      </c>
      <c r="G1692" t="s">
        <v>1767</v>
      </c>
    </row>
    <row r="1693" spans="1:7">
      <c r="A1693" s="71" t="s">
        <v>820</v>
      </c>
      <c r="B1693" s="78" t="s">
        <v>821</v>
      </c>
      <c r="C1693" s="24">
        <v>45931</v>
      </c>
      <c r="D1693" s="12">
        <v>312</v>
      </c>
      <c r="G1693" t="s">
        <v>1767</v>
      </c>
    </row>
    <row r="1694" spans="1:7">
      <c r="A1694" s="427" t="s">
        <v>818</v>
      </c>
      <c r="B1694" s="78" t="s">
        <v>156</v>
      </c>
      <c r="C1694" s="24">
        <v>45931</v>
      </c>
      <c r="D1694" s="12">
        <v>753</v>
      </c>
      <c r="G1694" t="s">
        <v>1767</v>
      </c>
    </row>
    <row r="1695" spans="1:7">
      <c r="A1695" s="237" t="s">
        <v>833</v>
      </c>
      <c r="B1695" s="276" t="s">
        <v>156</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205</v>
      </c>
      <c r="C1697" s="24">
        <v>45932</v>
      </c>
      <c r="D1697" s="12">
        <v>443</v>
      </c>
      <c r="F1697" s="12" t="s">
        <v>1769</v>
      </c>
      <c r="G1697" t="s">
        <v>1767</v>
      </c>
    </row>
    <row r="1698" spans="1:7">
      <c r="A1698" s="651" t="s">
        <v>935</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109</v>
      </c>
      <c r="C1701" s="24">
        <v>45932</v>
      </c>
      <c r="D1701" s="92">
        <v>1472</v>
      </c>
      <c r="F1701" s="12" t="s">
        <v>1725</v>
      </c>
      <c r="G1701" t="s">
        <v>1767</v>
      </c>
    </row>
    <row r="1702" spans="1:7">
      <c r="A1702" s="651" t="s">
        <v>551</v>
      </c>
      <c r="B1702" s="78" t="s">
        <v>109</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156</v>
      </c>
      <c r="C1705" s="24">
        <v>45932</v>
      </c>
      <c r="D1705" s="12">
        <v>305</v>
      </c>
      <c r="G1705" t="s">
        <v>1767</v>
      </c>
    </row>
    <row r="1706" spans="1:7">
      <c r="A1706" s="237" t="s">
        <v>833</v>
      </c>
      <c r="B1706" s="276" t="s">
        <v>156</v>
      </c>
      <c r="C1706" s="24">
        <v>45932</v>
      </c>
      <c r="D1706" s="12">
        <v>789</v>
      </c>
      <c r="F1706" s="12" t="s">
        <v>1773</v>
      </c>
      <c r="G1706" t="s">
        <v>1767</v>
      </c>
    </row>
    <row r="1707" spans="1:7">
      <c r="A1707" s="238" t="s">
        <v>830</v>
      </c>
      <c r="B1707" s="238" t="s">
        <v>156</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156</v>
      </c>
      <c r="C1715" s="24">
        <v>45933</v>
      </c>
      <c r="F1715" s="12" t="s">
        <v>1776</v>
      </c>
      <c r="G1715" t="s">
        <v>1767</v>
      </c>
    </row>
    <row r="1716" spans="1:7">
      <c r="A1716" s="238" t="s">
        <v>830</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205</v>
      </c>
      <c r="C1719" s="24">
        <v>45936</v>
      </c>
      <c r="D1719" s="12">
        <v>192</v>
      </c>
      <c r="F1719" s="12" t="s">
        <v>1777</v>
      </c>
      <c r="G1719" t="s">
        <v>1767</v>
      </c>
    </row>
    <row r="1720" spans="1:7">
      <c r="A1720" s="266" t="s">
        <v>935</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109</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156</v>
      </c>
      <c r="C1726" s="24">
        <v>45936</v>
      </c>
      <c r="F1726" s="266" t="s">
        <v>1432</v>
      </c>
      <c r="G1726" t="s">
        <v>1767</v>
      </c>
    </row>
    <row r="1727" spans="1:7">
      <c r="A1727" s="266" t="s">
        <v>833</v>
      </c>
      <c r="B1727" s="266" t="s">
        <v>156</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109</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109</v>
      </c>
      <c r="C1743" s="24">
        <v>45938</v>
      </c>
      <c r="D1743" s="12">
        <v>308</v>
      </c>
      <c r="F1743" s="12" t="s">
        <v>1783</v>
      </c>
      <c r="G1743" t="s">
        <v>1767</v>
      </c>
    </row>
    <row r="1744" spans="1:7">
      <c r="A1744" s="638" t="s">
        <v>907</v>
      </c>
      <c r="B1744" s="238" t="s">
        <v>109</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156</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109</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156</v>
      </c>
      <c r="C1758" s="24">
        <v>45939</v>
      </c>
      <c r="D1758" s="12">
        <v>369</v>
      </c>
      <c r="G1758" t="s">
        <v>1767</v>
      </c>
    </row>
    <row r="1759" spans="1:7">
      <c r="A1759" s="52" t="s">
        <v>830</v>
      </c>
      <c r="B1759" s="249" t="s">
        <v>156</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316</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945</v>
      </c>
      <c r="B1773" s="237" t="s">
        <v>109</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945</v>
      </c>
      <c r="B1782" s="78" t="s">
        <v>109</v>
      </c>
      <c r="C1782" s="242">
        <v>45944</v>
      </c>
      <c r="D1782" s="12">
        <v>510</v>
      </c>
      <c r="F1782" s="12" t="s">
        <v>1791</v>
      </c>
      <c r="G1782" t="s">
        <v>1767</v>
      </c>
    </row>
    <row r="1783" spans="1:7">
      <c r="A1783" s="653" t="s">
        <v>949</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109</v>
      </c>
      <c r="C1791" s="24">
        <v>45945</v>
      </c>
      <c r="D1791" s="92">
        <v>1312</v>
      </c>
      <c r="F1791" s="12" t="s">
        <v>1796</v>
      </c>
      <c r="G1791" t="s">
        <v>1767</v>
      </c>
    </row>
    <row r="1792" spans="1:7">
      <c r="A1792" s="748" t="s">
        <v>937</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109</v>
      </c>
      <c r="C1800" s="242">
        <v>45946</v>
      </c>
      <c r="D1800" s="12">
        <v>359</v>
      </c>
      <c r="F1800" s="12" t="s">
        <v>1803</v>
      </c>
      <c r="G1800" t="s">
        <v>1767</v>
      </c>
    </row>
    <row r="1801" spans="1:7">
      <c r="A1801" s="751" t="s">
        <v>937</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109</v>
      </c>
      <c r="C1826" s="24">
        <v>45951</v>
      </c>
      <c r="D1826" s="92">
        <v>1007</v>
      </c>
      <c r="F1826" s="12" t="s">
        <v>1815</v>
      </c>
      <c r="G1826" t="s">
        <v>1767</v>
      </c>
    </row>
    <row r="1827" spans="1:7">
      <c r="A1827" s="254" t="s">
        <v>969</v>
      </c>
      <c r="B1827" s="52" t="s">
        <v>109</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453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109</v>
      </c>
      <c r="C1835" s="24">
        <v>45952</v>
      </c>
      <c r="D1835" s="92">
        <v>1604</v>
      </c>
      <c r="F1835" s="12" t="s">
        <v>1820</v>
      </c>
      <c r="G1835" t="s">
        <v>1767</v>
      </c>
    </row>
    <row r="1836" spans="1:7">
      <c r="A1836" s="1206" t="s">
        <v>943</v>
      </c>
      <c r="B1836" s="334" t="s">
        <v>109</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109</v>
      </c>
      <c r="C1846" s="24">
        <v>45953</v>
      </c>
      <c r="D1846" s="92">
        <v>1268</v>
      </c>
      <c r="F1846" s="12" t="s">
        <v>1828</v>
      </c>
      <c r="G1846" t="s">
        <v>1767</v>
      </c>
    </row>
    <row r="1847" spans="1:7">
      <c r="A1847" s="1207" t="s">
        <v>943</v>
      </c>
      <c r="B1847" s="334" t="s">
        <v>109</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453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453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109</v>
      </c>
      <c r="C1866" s="24">
        <v>45957</v>
      </c>
      <c r="D1866" s="12">
        <v>587</v>
      </c>
      <c r="F1866" s="12" t="s">
        <v>1840</v>
      </c>
      <c r="G1866" t="s">
        <v>1767</v>
      </c>
    </row>
    <row r="1867" spans="1:7">
      <c r="A1867" s="768" t="s">
        <v>969</v>
      </c>
      <c r="B1867" s="318" t="s">
        <v>109</v>
      </c>
      <c r="C1867" s="24">
        <v>45957</v>
      </c>
      <c r="D1867" s="92">
        <v>1310</v>
      </c>
      <c r="F1867" s="12" t="s">
        <v>1841</v>
      </c>
      <c r="G1867" t="s">
        <v>1767</v>
      </c>
    </row>
    <row r="1868" spans="1:7">
      <c r="A1868" s="254" t="s">
        <v>863</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453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109</v>
      </c>
      <c r="C1879" s="24">
        <v>45958</v>
      </c>
      <c r="D1879" s="92">
        <v>1509</v>
      </c>
      <c r="F1879" s="12" t="s">
        <v>1846</v>
      </c>
      <c r="G1879" t="s">
        <v>1767</v>
      </c>
    </row>
    <row r="1880" spans="1:7">
      <c r="A1880" s="768" t="s">
        <v>941</v>
      </c>
      <c r="B1880" s="318" t="s">
        <v>109</v>
      </c>
      <c r="C1880" s="24">
        <v>45958</v>
      </c>
      <c r="D1880" s="92">
        <v>1678</v>
      </c>
      <c r="F1880" s="12" t="s">
        <v>1847</v>
      </c>
      <c r="G1880" t="s">
        <v>1767</v>
      </c>
    </row>
    <row r="1881" spans="1:7">
      <c r="A1881" s="1207" t="s">
        <v>943</v>
      </c>
      <c r="B1881" s="334" t="s">
        <v>109</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109</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109</v>
      </c>
      <c r="C1904" s="24">
        <v>45960</v>
      </c>
      <c r="D1904" s="12">
        <v>777</v>
      </c>
      <c r="F1904" s="12" t="s">
        <v>1864</v>
      </c>
      <c r="G1904" t="s">
        <v>1767</v>
      </c>
    </row>
    <row r="1905" spans="1:7">
      <c r="A1905" s="12" t="s">
        <v>941</v>
      </c>
      <c r="B1905" s="787" t="s">
        <v>109</v>
      </c>
      <c r="C1905" s="24">
        <v>45960</v>
      </c>
      <c r="D1905" s="12">
        <v>394</v>
      </c>
      <c r="E1905" s="253">
        <v>1275</v>
      </c>
      <c r="F1905" s="12" t="s">
        <v>1865</v>
      </c>
      <c r="G1905" t="s">
        <v>1767</v>
      </c>
    </row>
    <row r="1906" spans="1:7">
      <c r="A1906" s="1208" t="s">
        <v>1013</v>
      </c>
      <c r="B1906" s="254" t="s">
        <v>109</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109</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109</v>
      </c>
      <c r="C1928" s="24">
        <v>45964</v>
      </c>
      <c r="D1928" s="92">
        <v>1420</v>
      </c>
      <c r="F1928" s="12" t="s">
        <v>1596</v>
      </c>
      <c r="G1928" t="s">
        <v>1874</v>
      </c>
    </row>
    <row r="1929" spans="1:7">
      <c r="A1929" s="274" t="s">
        <v>969</v>
      </c>
      <c r="B1929" s="277" t="s">
        <v>109</v>
      </c>
      <c r="C1929" s="24">
        <v>45964</v>
      </c>
      <c r="D1929" s="12">
        <v>701</v>
      </c>
      <c r="F1929" s="12" t="s">
        <v>1713</v>
      </c>
      <c r="G1929" t="s">
        <v>1874</v>
      </c>
    </row>
    <row r="1930" spans="1:7">
      <c r="A1930" s="78" t="s">
        <v>955</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352</v>
      </c>
      <c r="C1942" s="242">
        <v>45965</v>
      </c>
      <c r="D1942" s="12">
        <v>363</v>
      </c>
      <c r="G1942" t="s">
        <v>1874</v>
      </c>
    </row>
    <row r="1943" spans="1:7">
      <c r="A1943" s="456" t="s">
        <v>1071</v>
      </c>
      <c r="B1943" s="456" t="s">
        <v>205</v>
      </c>
      <c r="C1943" s="24">
        <v>45965</v>
      </c>
      <c r="D1943" s="12">
        <v>778</v>
      </c>
      <c r="G1943" t="s">
        <v>1874</v>
      </c>
    </row>
    <row r="1944" spans="1:7">
      <c r="A1944" s="85" t="s">
        <v>1071</v>
      </c>
      <c r="B1944" s="12" t="s">
        <v>1759</v>
      </c>
      <c r="C1944" s="24">
        <v>45965</v>
      </c>
      <c r="D1944" s="12">
        <v>550</v>
      </c>
      <c r="G1944" t="s">
        <v>1874</v>
      </c>
    </row>
    <row r="1945" spans="1:7">
      <c r="A1945" s="768" t="s">
        <v>955</v>
      </c>
      <c r="B1945" s="12" t="s">
        <v>109</v>
      </c>
      <c r="C1945" s="24">
        <v>45965</v>
      </c>
      <c r="D1945" s="92">
        <v>1120</v>
      </c>
      <c r="F1945" s="12" t="s">
        <v>1881</v>
      </c>
      <c r="G1945" t="s">
        <v>1874</v>
      </c>
    </row>
    <row r="1946" spans="1:7">
      <c r="A1946" s="78" t="s">
        <v>1013</v>
      </c>
      <c r="B1946" s="78" t="s">
        <v>109</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1071</v>
      </c>
      <c r="B1956" s="78" t="s">
        <v>352</v>
      </c>
      <c r="C1956" s="242">
        <v>45966</v>
      </c>
      <c r="D1956" s="92">
        <v>1113</v>
      </c>
      <c r="E1956" s="185"/>
      <c r="F1956" s="106"/>
      <c r="G1956" t="s">
        <v>1874</v>
      </c>
    </row>
    <row r="1957" spans="1:7">
      <c r="A1957" s="247" t="s">
        <v>1071</v>
      </c>
      <c r="B1957" s="247" t="s">
        <v>205</v>
      </c>
      <c r="C1957" s="24">
        <v>45966</v>
      </c>
      <c r="D1957" s="12">
        <v>885</v>
      </c>
      <c r="G1957" t="s">
        <v>1874</v>
      </c>
    </row>
    <row r="1958" spans="1:7">
      <c r="A1958" s="78" t="s">
        <v>955</v>
      </c>
      <c r="B1958" s="78" t="s">
        <v>109</v>
      </c>
      <c r="C1958" s="24">
        <v>45966</v>
      </c>
      <c r="D1958" s="92">
        <v>1488</v>
      </c>
      <c r="F1958" s="12" t="s">
        <v>1885</v>
      </c>
      <c r="G1958" t="s">
        <v>1874</v>
      </c>
    </row>
    <row r="1959" spans="1:7">
      <c r="A1959" s="236" t="s">
        <v>1013</v>
      </c>
      <c r="B1959" s="236" t="s">
        <v>109</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109</v>
      </c>
      <c r="C1962" s="24">
        <v>45966</v>
      </c>
      <c r="D1962" s="92">
        <v>1031</v>
      </c>
      <c r="G1962" t="s">
        <v>1874</v>
      </c>
    </row>
    <row r="1963" spans="1:7">
      <c r="A1963" s="78" t="s">
        <v>843</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1074</v>
      </c>
      <c r="B1970" s="236" t="s">
        <v>109</v>
      </c>
      <c r="C1970" s="24">
        <v>45966</v>
      </c>
      <c r="D1970" s="253">
        <v>2985</v>
      </c>
      <c r="E1970" s="92"/>
      <c r="F1970" s="12" t="s">
        <v>1887</v>
      </c>
      <c r="G1970" t="s">
        <v>1874</v>
      </c>
    </row>
    <row r="1971" spans="1:7">
      <c r="A1971" s="85" t="s">
        <v>1071</v>
      </c>
      <c r="B1971" s="85" t="s">
        <v>352</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109</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841</v>
      </c>
      <c r="B1979" s="611" t="s">
        <v>1799</v>
      </c>
      <c r="C1979" s="24">
        <v>45967</v>
      </c>
      <c r="D1979" s="92">
        <v>1063</v>
      </c>
      <c r="G1979" t="s">
        <v>1874</v>
      </c>
    </row>
    <row r="1980" spans="1:7">
      <c r="A1980" s="597" t="s">
        <v>1074</v>
      </c>
      <c r="B1980" s="12" t="s">
        <v>109</v>
      </c>
      <c r="C1980" s="24">
        <v>45967</v>
      </c>
      <c r="D1980" s="92">
        <v>2373</v>
      </c>
      <c r="F1980" s="12" t="s">
        <v>1893</v>
      </c>
      <c r="G1980" t="s">
        <v>1874</v>
      </c>
    </row>
    <row r="1981" spans="1:7">
      <c r="A1981" s="238" t="s">
        <v>1071</v>
      </c>
      <c r="B1981" s="238" t="s">
        <v>352</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156</v>
      </c>
      <c r="C1989" s="24">
        <v>45968</v>
      </c>
      <c r="D1989" s="12">
        <v>569</v>
      </c>
      <c r="G1989" t="s">
        <v>1874</v>
      </c>
    </row>
    <row r="1990" spans="1:7">
      <c r="A1990" s="181" t="s">
        <v>409</v>
      </c>
      <c r="B1990" s="12" t="s">
        <v>109</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109</v>
      </c>
      <c r="C1994" s="24">
        <v>45971</v>
      </c>
      <c r="D1994" s="92">
        <v>1351</v>
      </c>
      <c r="G1994" t="s">
        <v>1874</v>
      </c>
    </row>
    <row r="1995" spans="1:7">
      <c r="A1995" s="247" t="s">
        <v>969</v>
      </c>
      <c r="B1995" s="247" t="s">
        <v>109</v>
      </c>
      <c r="C1995" s="24">
        <v>45971</v>
      </c>
      <c r="D1995" s="12">
        <v>138</v>
      </c>
      <c r="F1995" s="12" t="s">
        <v>1894</v>
      </c>
      <c r="G1995" t="s">
        <v>1874</v>
      </c>
    </row>
    <row r="1996" spans="1:7">
      <c r="A1996" s="247" t="s">
        <v>1013</v>
      </c>
      <c r="B1996" s="247" t="s">
        <v>109</v>
      </c>
      <c r="C1996" s="24">
        <v>45971</v>
      </c>
      <c r="D1996" s="12">
        <v>632</v>
      </c>
      <c r="F1996" s="12" t="s">
        <v>1620</v>
      </c>
      <c r="G1996" t="s">
        <v>1874</v>
      </c>
    </row>
    <row r="1997" spans="1:7">
      <c r="A1997" s="247" t="s">
        <v>1207</v>
      </c>
      <c r="B1997" s="247" t="s">
        <v>1020</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409</v>
      </c>
      <c r="B2001" s="266" t="s">
        <v>109</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109</v>
      </c>
      <c r="C2008" s="24">
        <v>45973</v>
      </c>
      <c r="D2008" s="92">
        <v>1580</v>
      </c>
      <c r="F2008" s="12" t="s">
        <v>1725</v>
      </c>
      <c r="G2008" t="s">
        <v>1874</v>
      </c>
    </row>
    <row r="2009" spans="1:7">
      <c r="A2009" s="12" t="s">
        <v>993</v>
      </c>
      <c r="B2009" s="52" t="s">
        <v>109</v>
      </c>
      <c r="C2009" s="24">
        <v>45973</v>
      </c>
      <c r="D2009" s="12">
        <v>890</v>
      </c>
      <c r="G2009" t="s">
        <v>1874</v>
      </c>
    </row>
    <row r="2010" spans="1:7">
      <c r="A2010" s="12" t="s">
        <v>993</v>
      </c>
      <c r="B2010" s="78" t="s">
        <v>1229</v>
      </c>
      <c r="C2010" s="24">
        <v>45973</v>
      </c>
      <c r="F2010" s="12" t="s">
        <v>1591</v>
      </c>
      <c r="G2010" t="s">
        <v>1874</v>
      </c>
    </row>
    <row r="2011" spans="1:7">
      <c r="A2011" s="52" t="s">
        <v>951</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409</v>
      </c>
      <c r="B2017" s="12" t="s">
        <v>109</v>
      </c>
      <c r="C2017" s="24">
        <v>45973</v>
      </c>
      <c r="D2017" s="12">
        <v>242</v>
      </c>
      <c r="G2017" t="s">
        <v>1874</v>
      </c>
    </row>
    <row r="2018" spans="1:7">
      <c r="A2018" s="12" t="s">
        <v>401</v>
      </c>
      <c r="B2018" s="12" t="s">
        <v>109</v>
      </c>
      <c r="C2018" s="24">
        <v>45973</v>
      </c>
      <c r="D2018" s="92">
        <v>1264</v>
      </c>
      <c r="G2018" t="s">
        <v>1874</v>
      </c>
    </row>
    <row r="2019" spans="1:7">
      <c r="A2019" s="52" t="s">
        <v>414</v>
      </c>
      <c r="B2019" s="52" t="s">
        <v>109</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109</v>
      </c>
      <c r="C2021" s="24">
        <v>45974</v>
      </c>
      <c r="D2021" s="92">
        <v>1258</v>
      </c>
      <c r="F2021" s="12" t="s">
        <v>1904</v>
      </c>
      <c r="G2021" t="s">
        <v>1874</v>
      </c>
    </row>
    <row r="2022" spans="1:7">
      <c r="A2022" s="52" t="s">
        <v>951</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414</v>
      </c>
      <c r="B2029" s="106" t="s">
        <v>109</v>
      </c>
      <c r="C2029" s="24">
        <v>45974</v>
      </c>
      <c r="D2029" s="92">
        <v>3382</v>
      </c>
      <c r="G2029" t="s">
        <v>1874</v>
      </c>
    </row>
    <row r="2030" spans="1:7">
      <c r="A2030" s="12" t="s">
        <v>401</v>
      </c>
      <c r="B2030" s="12" t="s">
        <v>109</v>
      </c>
      <c r="C2030" s="24">
        <v>45974</v>
      </c>
      <c r="D2030" s="92">
        <v>1281</v>
      </c>
      <c r="G2030" t="s">
        <v>1874</v>
      </c>
    </row>
    <row r="2031" spans="1:7">
      <c r="A2031" s="181" t="s">
        <v>443</v>
      </c>
      <c r="B2031" s="12" t="s">
        <v>109</v>
      </c>
      <c r="C2031" s="24">
        <v>45974</v>
      </c>
      <c r="D2031" s="12">
        <v>424</v>
      </c>
      <c r="G2031" t="s">
        <v>1874</v>
      </c>
    </row>
    <row r="2032" spans="1:7">
      <c r="A2032" s="299" t="s">
        <v>416</v>
      </c>
      <c r="B2032" s="52" t="s">
        <v>109</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109</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109</v>
      </c>
      <c r="C2044" s="24">
        <v>45978</v>
      </c>
      <c r="D2044" s="12">
        <v>762</v>
      </c>
      <c r="G2044" t="s">
        <v>1874</v>
      </c>
    </row>
    <row r="2045" spans="1:7">
      <c r="A2045" s="238" t="s">
        <v>951</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411</v>
      </c>
      <c r="B2050" s="78" t="s">
        <v>109</v>
      </c>
      <c r="C2050" s="24">
        <v>45978</v>
      </c>
      <c r="D2050" s="92">
        <v>5466</v>
      </c>
      <c r="G2050" t="s">
        <v>1874</v>
      </c>
    </row>
    <row r="2051" spans="1:7">
      <c r="A2051" s="236" t="s">
        <v>401</v>
      </c>
      <c r="B2051" s="236" t="s">
        <v>109</v>
      </c>
      <c r="C2051" s="24">
        <v>45978</v>
      </c>
      <c r="D2051" s="92">
        <v>1662</v>
      </c>
      <c r="G2051" t="s">
        <v>1874</v>
      </c>
    </row>
    <row r="2052" spans="1:7">
      <c r="A2052" s="236" t="s">
        <v>416</v>
      </c>
      <c r="B2052" s="236" t="s">
        <v>109</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109</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109</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401</v>
      </c>
      <c r="B2064" s="12" t="s">
        <v>109</v>
      </c>
      <c r="C2064" s="24">
        <v>45979</v>
      </c>
      <c r="D2064" s="92">
        <v>2684</v>
      </c>
      <c r="F2064" s="28"/>
      <c r="G2064" t="s">
        <v>1874</v>
      </c>
    </row>
    <row r="2065" spans="1:7">
      <c r="A2065" s="85" t="s">
        <v>416</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109</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109</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971</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109</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411</v>
      </c>
      <c r="B2086" s="285" t="s">
        <v>109</v>
      </c>
      <c r="C2086" s="24">
        <v>45981</v>
      </c>
      <c r="D2086" s="92">
        <v>2252</v>
      </c>
      <c r="F2086" s="28"/>
      <c r="G2086" t="s">
        <v>1874</v>
      </c>
    </row>
    <row r="2087" spans="1:7">
      <c r="A2087" s="250" t="s">
        <v>416</v>
      </c>
      <c r="B2087" s="312" t="s">
        <v>109</v>
      </c>
      <c r="C2087" s="24">
        <v>45981</v>
      </c>
      <c r="D2087" s="851">
        <v>1027</v>
      </c>
      <c r="F2087" s="28"/>
      <c r="G2087" t="s">
        <v>1874</v>
      </c>
    </row>
    <row r="2088" spans="1:7">
      <c r="A2088" s="276" t="s">
        <v>419</v>
      </c>
      <c r="B2088" s="285" t="s">
        <v>109</v>
      </c>
      <c r="C2088" s="24">
        <v>45981</v>
      </c>
      <c r="D2088" s="92">
        <v>1420</v>
      </c>
      <c r="F2088" s="28"/>
      <c r="G2088" t="s">
        <v>1874</v>
      </c>
    </row>
    <row r="2089" spans="1:7">
      <c r="A2089" s="250" t="s">
        <v>422</v>
      </c>
      <c r="B2089" s="312" t="s">
        <v>109</v>
      </c>
      <c r="C2089" s="24">
        <v>45981</v>
      </c>
      <c r="D2089" s="92">
        <v>2376</v>
      </c>
      <c r="F2089" s="28"/>
      <c r="G2089" t="s">
        <v>1874</v>
      </c>
    </row>
    <row r="2090" spans="1:7">
      <c r="A2090" s="276" t="s">
        <v>443</v>
      </c>
      <c r="B2090" s="285" t="s">
        <v>109</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401</v>
      </c>
      <c r="B2097" s="102" t="s">
        <v>109</v>
      </c>
      <c r="C2097" s="24">
        <v>45982</v>
      </c>
      <c r="D2097" s="12">
        <v>51</v>
      </c>
      <c r="F2097" s="28"/>
      <c r="G2097" t="s">
        <v>1874</v>
      </c>
    </row>
    <row r="2098" spans="1:7">
      <c r="A2098" s="324" t="s">
        <v>443</v>
      </c>
      <c r="B2098" s="110" t="s">
        <v>109</v>
      </c>
      <c r="C2098" s="24">
        <v>45982</v>
      </c>
      <c r="D2098" s="92">
        <v>3007</v>
      </c>
      <c r="F2098" s="28"/>
      <c r="G2098" t="s">
        <v>1874</v>
      </c>
    </row>
    <row r="2099" spans="1:7">
      <c r="A2099" s="324" t="s">
        <v>416</v>
      </c>
      <c r="B2099" s="110" t="s">
        <v>109</v>
      </c>
      <c r="C2099" s="24">
        <v>45982</v>
      </c>
      <c r="D2099" s="12">
        <v>490</v>
      </c>
      <c r="F2099" s="28"/>
      <c r="G2099" t="s">
        <v>1874</v>
      </c>
    </row>
    <row r="2100" spans="1:7">
      <c r="A2100" s="324" t="s">
        <v>419</v>
      </c>
      <c r="B2100" s="110" t="s">
        <v>109</v>
      </c>
      <c r="C2100" s="24">
        <v>45982</v>
      </c>
      <c r="D2100" s="92">
        <v>3043</v>
      </c>
      <c r="F2100" s="28"/>
      <c r="G2100" t="s">
        <v>1874</v>
      </c>
    </row>
    <row r="2101" spans="1:7">
      <c r="A2101" s="324" t="s">
        <v>422</v>
      </c>
      <c r="B2101" s="110" t="s">
        <v>109</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109</v>
      </c>
      <c r="C2111" s="24">
        <v>45985</v>
      </c>
      <c r="D2111" s="12">
        <v>805</v>
      </c>
      <c r="F2111" s="28" t="s">
        <v>1934</v>
      </c>
      <c r="G2111" t="s">
        <v>1874</v>
      </c>
    </row>
    <row r="2112" spans="1:7">
      <c r="A2112" s="12" t="s">
        <v>974</v>
      </c>
      <c r="B2112" s="856" t="s">
        <v>109</v>
      </c>
      <c r="C2112" s="24">
        <v>45985</v>
      </c>
      <c r="D2112" s="12">
        <v>665</v>
      </c>
      <c r="F2112" s="28"/>
      <c r="G2112" t="s">
        <v>1874</v>
      </c>
    </row>
    <row r="2113" spans="1:7">
      <c r="A2113" s="52" t="s">
        <v>877</v>
      </c>
      <c r="B2113" s="1210" t="s">
        <v>109</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109</v>
      </c>
      <c r="C2128" s="24">
        <v>45986</v>
      </c>
      <c r="D2128" s="92">
        <v>1100</v>
      </c>
      <c r="G2128" t="s">
        <v>1874</v>
      </c>
    </row>
    <row r="2129" spans="1:7">
      <c r="A2129" s="12" t="s">
        <v>974</v>
      </c>
      <c r="B2129" s="12" t="s">
        <v>109</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403</v>
      </c>
      <c r="B2136" s="102" t="s">
        <v>109</v>
      </c>
      <c r="C2136" s="24">
        <v>45986</v>
      </c>
      <c r="D2136" s="92">
        <v>2382</v>
      </c>
      <c r="G2136" t="s">
        <v>1874</v>
      </c>
    </row>
    <row r="2137" spans="1:7">
      <c r="A2137" s="324" t="s">
        <v>1074</v>
      </c>
      <c r="B2137" s="110" t="s">
        <v>109</v>
      </c>
      <c r="C2137" s="24">
        <v>45986</v>
      </c>
      <c r="D2137" s="12">
        <v>996</v>
      </c>
      <c r="G2137" t="s">
        <v>1874</v>
      </c>
    </row>
    <row r="2138" spans="1:7">
      <c r="A2138" s="324" t="s">
        <v>1086</v>
      </c>
      <c r="B2138" s="110" t="s">
        <v>109</v>
      </c>
      <c r="C2138" s="24">
        <v>45986</v>
      </c>
      <c r="D2138" s="92">
        <v>3634</v>
      </c>
      <c r="G2138" t="s">
        <v>1874</v>
      </c>
    </row>
    <row r="2139" spans="1:7">
      <c r="A2139" s="28" t="s">
        <v>422</v>
      </c>
      <c r="B2139" s="110" t="s">
        <v>109</v>
      </c>
      <c r="C2139" s="24">
        <v>45986</v>
      </c>
      <c r="D2139" s="92">
        <v>3311</v>
      </c>
      <c r="G2139" t="s">
        <v>1874</v>
      </c>
    </row>
    <row r="2140" spans="1:7">
      <c r="A2140" s="28" t="s">
        <v>391</v>
      </c>
      <c r="B2140" s="110" t="s">
        <v>109</v>
      </c>
      <c r="C2140" s="24">
        <v>45986</v>
      </c>
      <c r="D2140" s="92">
        <v>1175</v>
      </c>
      <c r="G2140" t="s">
        <v>1874</v>
      </c>
    </row>
    <row r="2141" spans="1:7">
      <c r="A2141" s="181" t="s">
        <v>419</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109</v>
      </c>
      <c r="C2147" s="24">
        <v>45987</v>
      </c>
      <c r="D2147" s="92">
        <v>1024</v>
      </c>
      <c r="F2147" s="12" t="s">
        <v>1945</v>
      </c>
      <c r="G2147" t="s">
        <v>1874</v>
      </c>
    </row>
    <row r="2148" spans="1:7">
      <c r="A2148" s="238" t="s">
        <v>977</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109</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109</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352</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109</v>
      </c>
      <c r="C2176" s="24">
        <v>45992</v>
      </c>
      <c r="D2176" s="92">
        <v>1610</v>
      </c>
      <c r="F2176" s="12" t="s">
        <v>1957</v>
      </c>
      <c r="G2176" t="s">
        <v>1954</v>
      </c>
    </row>
    <row r="2177" spans="1:7">
      <c r="A2177" s="857" t="s">
        <v>977</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1086</v>
      </c>
      <c r="B2182" s="285" t="s">
        <v>109</v>
      </c>
      <c r="C2182" s="24">
        <v>45992</v>
      </c>
      <c r="D2182" s="92">
        <v>3376</v>
      </c>
      <c r="G2182" t="s">
        <v>1954</v>
      </c>
    </row>
    <row r="2183" spans="1:7">
      <c r="A2183" s="249" t="s">
        <v>403</v>
      </c>
      <c r="B2183" s="240" t="s">
        <v>109</v>
      </c>
      <c r="C2183" s="24">
        <v>45992</v>
      </c>
      <c r="D2183" s="92">
        <v>3084</v>
      </c>
      <c r="G2183" t="s">
        <v>1954</v>
      </c>
    </row>
    <row r="2184" spans="1:7">
      <c r="A2184" s="243" t="s">
        <v>1101</v>
      </c>
      <c r="B2184" s="243" t="s">
        <v>109</v>
      </c>
      <c r="C2184" s="24">
        <v>45992</v>
      </c>
      <c r="D2184" s="92">
        <v>1829</v>
      </c>
      <c r="G2184" t="s">
        <v>1954</v>
      </c>
    </row>
    <row r="2185" spans="1:7">
      <c r="A2185" s="181" t="s">
        <v>406</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352</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406</v>
      </c>
      <c r="B2194" s="247" t="s">
        <v>109</v>
      </c>
      <c r="C2194" s="24">
        <v>45993</v>
      </c>
      <c r="D2194" s="92">
        <v>2916</v>
      </c>
      <c r="G2194" t="s">
        <v>1954</v>
      </c>
    </row>
    <row r="2195" spans="1:7">
      <c r="A2195" s="247" t="s">
        <v>1101</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352</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109</v>
      </c>
      <c r="C2204" s="24">
        <v>45994</v>
      </c>
      <c r="D2204" s="92">
        <v>1379</v>
      </c>
      <c r="F2204" s="12" t="s">
        <v>1969</v>
      </c>
      <c r="G2204" t="s">
        <v>1954</v>
      </c>
    </row>
    <row r="2205" spans="1:7">
      <c r="A2205" s="611" t="s">
        <v>854</v>
      </c>
      <c r="B2205" s="611" t="s">
        <v>1799</v>
      </c>
      <c r="C2205" s="24">
        <v>45994</v>
      </c>
      <c r="D2205" s="92">
        <v>1677</v>
      </c>
      <c r="G2205" t="s">
        <v>1954</v>
      </c>
    </row>
    <row r="2206" spans="1:7">
      <c r="A2206" s="865" t="s">
        <v>406</v>
      </c>
      <c r="B2206" s="866" t="s">
        <v>109</v>
      </c>
      <c r="C2206" s="24">
        <v>45994</v>
      </c>
      <c r="D2206" s="92">
        <v>2430</v>
      </c>
      <c r="G2206" t="s">
        <v>1954</v>
      </c>
    </row>
    <row r="2207" spans="1:7">
      <c r="A2207" s="613" t="s">
        <v>1101</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352</v>
      </c>
      <c r="C2211" s="24">
        <v>45995</v>
      </c>
      <c r="D2211" s="12">
        <v>756</v>
      </c>
      <c r="G2211" t="s">
        <v>1954</v>
      </c>
    </row>
    <row r="2212" spans="1:7">
      <c r="A2212" s="247" t="s">
        <v>1071</v>
      </c>
      <c r="B2212" s="247" t="s">
        <v>1759</v>
      </c>
      <c r="C2212" s="24">
        <v>45995</v>
      </c>
      <c r="F2212" s="243" t="s">
        <v>1971</v>
      </c>
      <c r="G2212" t="s">
        <v>1954</v>
      </c>
    </row>
    <row r="2213" spans="1:7">
      <c r="A2213" s="238" t="s">
        <v>880</v>
      </c>
      <c r="B2213" s="238" t="s">
        <v>109</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109</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411</v>
      </c>
      <c r="B2221" s="178" t="s">
        <v>1151</v>
      </c>
      <c r="C2221" s="242">
        <v>45995</v>
      </c>
      <c r="D2221" s="12">
        <v>64</v>
      </c>
      <c r="F2221" s="12" t="s">
        <v>1978</v>
      </c>
      <c r="G2221" t="s">
        <v>1954</v>
      </c>
    </row>
    <row r="2222" spans="1:7">
      <c r="A2222" s="320" t="s">
        <v>419</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414</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109</v>
      </c>
      <c r="C2242" s="24">
        <v>45999</v>
      </c>
      <c r="D2242" s="253">
        <v>1583</v>
      </c>
      <c r="E2242" s="12"/>
      <c r="F2242" s="12" t="s">
        <v>1988</v>
      </c>
      <c r="G2242" t="s">
        <v>1954</v>
      </c>
    </row>
    <row r="2243" spans="1:7">
      <c r="A2243" s="299" t="s">
        <v>929</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1089</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352</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109</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425</v>
      </c>
      <c r="B2258" s="110" t="s">
        <v>109</v>
      </c>
      <c r="C2258" s="24">
        <v>46000</v>
      </c>
      <c r="D2258" s="92">
        <v>1980</v>
      </c>
      <c r="F2258" s="12" t="s">
        <v>1997</v>
      </c>
      <c r="G2258" t="s">
        <v>1954</v>
      </c>
    </row>
    <row r="2259" spans="1:7">
      <c r="A2259" s="324" t="s">
        <v>1089</v>
      </c>
      <c r="B2259" s="110" t="s">
        <v>109</v>
      </c>
      <c r="C2259" s="24">
        <v>46000</v>
      </c>
      <c r="D2259" s="92">
        <v>3343</v>
      </c>
      <c r="G2259" t="s">
        <v>1954</v>
      </c>
    </row>
    <row r="2260" spans="1:7">
      <c r="A2260" s="98" t="s">
        <v>1074</v>
      </c>
      <c r="B2260" s="76" t="s">
        <v>109</v>
      </c>
      <c r="C2260" s="24">
        <v>46000</v>
      </c>
      <c r="D2260" s="92">
        <v>2203</v>
      </c>
      <c r="F2260" s="12" t="s">
        <v>1237</v>
      </c>
      <c r="G2260" t="s">
        <v>1954</v>
      </c>
    </row>
    <row r="2261" spans="1:7">
      <c r="A2261" s="760" t="s">
        <v>431</v>
      </c>
      <c r="B2261" s="76" t="s">
        <v>109</v>
      </c>
      <c r="C2261" s="24">
        <v>46000</v>
      </c>
      <c r="D2261" s="92">
        <v>1111</v>
      </c>
      <c r="G2261" t="s">
        <v>1954</v>
      </c>
    </row>
    <row r="2262" spans="1:7">
      <c r="A2262" s="324" t="s">
        <v>434</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109</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425</v>
      </c>
      <c r="B2273" s="611" t="s">
        <v>109</v>
      </c>
      <c r="C2273" s="24">
        <v>46001</v>
      </c>
      <c r="D2273" s="92">
        <v>1251</v>
      </c>
      <c r="G2273" t="s">
        <v>1954</v>
      </c>
    </row>
    <row r="2274" spans="1:7">
      <c r="A2274" s="875" t="s">
        <v>1089</v>
      </c>
      <c r="B2274" s="864" t="s">
        <v>109</v>
      </c>
      <c r="C2274" s="24">
        <v>46001</v>
      </c>
      <c r="D2274" s="12">
        <v>931</v>
      </c>
      <c r="G2274" t="s">
        <v>1954</v>
      </c>
    </row>
    <row r="2275" spans="1:7">
      <c r="A2275" s="611" t="s">
        <v>434</v>
      </c>
      <c r="B2275" s="794" t="s">
        <v>109</v>
      </c>
      <c r="C2275" s="24">
        <v>46001</v>
      </c>
      <c r="D2275" s="12">
        <v>522</v>
      </c>
      <c r="G2275" t="s">
        <v>1954</v>
      </c>
    </row>
    <row r="2276" spans="1:7">
      <c r="A2276" s="611" t="s">
        <v>1101</v>
      </c>
      <c r="B2276" s="595" t="s">
        <v>109</v>
      </c>
      <c r="C2276" s="24">
        <v>46001</v>
      </c>
      <c r="D2276" s="12">
        <v>91</v>
      </c>
      <c r="G2276" t="s">
        <v>1954</v>
      </c>
    </row>
    <row r="2277" spans="1:7">
      <c r="A2277" s="611" t="s">
        <v>1074</v>
      </c>
      <c r="B2277" s="836" t="s">
        <v>109</v>
      </c>
      <c r="C2277" s="24">
        <v>46001</v>
      </c>
      <c r="E2277" s="253">
        <v>3674</v>
      </c>
      <c r="F2277" s="12" t="s">
        <v>2004</v>
      </c>
      <c r="G2277" t="s">
        <v>1954</v>
      </c>
    </row>
    <row r="2278" spans="1:7">
      <c r="A2278" s="757" t="s">
        <v>431</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352</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425</v>
      </c>
      <c r="B2287" s="28" t="s">
        <v>109</v>
      </c>
      <c r="C2287" s="24">
        <v>46002</v>
      </c>
      <c r="D2287" s="92">
        <v>3172</v>
      </c>
      <c r="G2287" t="s">
        <v>1954</v>
      </c>
    </row>
    <row r="2288" spans="1:7">
      <c r="A2288" s="877" t="s">
        <v>416</v>
      </c>
      <c r="B2288" s="28" t="s">
        <v>109</v>
      </c>
      <c r="C2288" s="24">
        <v>46002</v>
      </c>
      <c r="D2288" s="12">
        <v>242</v>
      </c>
      <c r="F2288" s="12" t="s">
        <v>2011</v>
      </c>
      <c r="G2288" t="s">
        <v>1954</v>
      </c>
    </row>
    <row r="2289" spans="1:7">
      <c r="A2289" s="318" t="s">
        <v>434</v>
      </c>
      <c r="B2289" s="12" t="s">
        <v>109</v>
      </c>
      <c r="C2289" s="24">
        <v>46002</v>
      </c>
      <c r="D2289" s="92">
        <v>1194</v>
      </c>
      <c r="G2289" t="s">
        <v>1954</v>
      </c>
    </row>
    <row r="2290" spans="1:7">
      <c r="A2290" s="878" t="s">
        <v>431</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352</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416</v>
      </c>
      <c r="B2298" s="864" t="s">
        <v>109</v>
      </c>
      <c r="C2298" s="24">
        <v>46003</v>
      </c>
      <c r="F2298" s="266" t="s">
        <v>2017</v>
      </c>
      <c r="G2298" t="s">
        <v>1954</v>
      </c>
    </row>
    <row r="2299" spans="1:7">
      <c r="A2299" s="875" t="s">
        <v>434</v>
      </c>
      <c r="B2299" s="875" t="s">
        <v>109</v>
      </c>
      <c r="C2299" s="24">
        <v>46003</v>
      </c>
      <c r="D2299" s="92">
        <v>2811</v>
      </c>
      <c r="G2299" t="s">
        <v>1954</v>
      </c>
    </row>
    <row r="2300" spans="1:7">
      <c r="A2300" s="757" t="s">
        <v>431</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352</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109</v>
      </c>
      <c r="C2307" s="242">
        <v>46006</v>
      </c>
      <c r="D2307" s="92">
        <v>1095</v>
      </c>
      <c r="G2307" t="s">
        <v>1954</v>
      </c>
    </row>
    <row r="2308" spans="1:7">
      <c r="A2308" s="1004" t="s">
        <v>926</v>
      </c>
      <c r="B2308" s="12" t="s">
        <v>109</v>
      </c>
      <c r="C2308" s="242">
        <v>46006</v>
      </c>
      <c r="D2308" s="92">
        <v>1344</v>
      </c>
      <c r="F2308" s="12" t="s">
        <v>2022</v>
      </c>
      <c r="G2308" t="s">
        <v>1954</v>
      </c>
    </row>
    <row r="2309" spans="1:7">
      <c r="A2309" s="1004" t="s">
        <v>974</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425</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422</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109</v>
      </c>
      <c r="C2319" s="24">
        <v>46007</v>
      </c>
      <c r="D2319" s="92">
        <v>1676</v>
      </c>
      <c r="F2319" s="12" t="s">
        <v>2029</v>
      </c>
      <c r="G2319" t="s">
        <v>1954</v>
      </c>
    </row>
    <row r="2320" spans="1:7">
      <c r="A2320" s="872" t="s">
        <v>926</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425</v>
      </c>
      <c r="B2324" s="28" t="s">
        <v>109</v>
      </c>
      <c r="C2324" s="24">
        <v>46007</v>
      </c>
      <c r="F2324" s="266" t="s">
        <v>2033</v>
      </c>
      <c r="G2324" t="s">
        <v>1954</v>
      </c>
    </row>
    <row r="2325" spans="1:7">
      <c r="A2325" s="28" t="s">
        <v>428</v>
      </c>
      <c r="B2325" s="28" t="s">
        <v>109</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352</v>
      </c>
      <c r="C2328" s="24">
        <v>46008</v>
      </c>
      <c r="D2328" s="12">
        <v>467</v>
      </c>
      <c r="G2328" t="s">
        <v>1954</v>
      </c>
    </row>
    <row r="2329" spans="1:7">
      <c r="A2329" s="85" t="s">
        <v>1071</v>
      </c>
      <c r="B2329" s="52" t="s">
        <v>1759</v>
      </c>
      <c r="C2329" s="24">
        <v>46008</v>
      </c>
      <c r="F2329" s="746" t="s">
        <v>2035</v>
      </c>
      <c r="G2329" t="s">
        <v>1954</v>
      </c>
    </row>
    <row r="2330" spans="1:7">
      <c r="A2330" s="85" t="s">
        <v>1071</v>
      </c>
      <c r="B2330" s="85" t="s">
        <v>352</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109</v>
      </c>
      <c r="C2333" s="24">
        <v>46008</v>
      </c>
      <c r="D2333" s="92">
        <v>1139</v>
      </c>
      <c r="F2333" s="12" t="s">
        <v>2037</v>
      </c>
      <c r="G2333" t="s">
        <v>1954</v>
      </c>
    </row>
    <row r="2334" spans="1:7">
      <c r="A2334" s="1010" t="s">
        <v>926</v>
      </c>
      <c r="B2334" t="s">
        <v>109</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1101</v>
      </c>
      <c r="B2339" s="28" t="s">
        <v>109</v>
      </c>
      <c r="C2339" s="24">
        <v>46008</v>
      </c>
      <c r="D2339" s="12">
        <v>320</v>
      </c>
      <c r="G2339" t="s">
        <v>1954</v>
      </c>
    </row>
    <row r="2340" spans="1:7">
      <c r="A2340" s="85" t="s">
        <v>428</v>
      </c>
      <c r="B2340" s="85" t="s">
        <v>109</v>
      </c>
      <c r="C2340" s="24">
        <v>46008</v>
      </c>
      <c r="D2340" s="92">
        <v>1083</v>
      </c>
      <c r="G2340" t="s">
        <v>1954</v>
      </c>
    </row>
    <row r="2341" spans="1:7">
      <c r="A2341" s="85" t="s">
        <v>416</v>
      </c>
      <c r="B2341" s="85" t="s">
        <v>109</v>
      </c>
      <c r="C2341" s="24">
        <v>46008</v>
      </c>
      <c r="F2341" s="243" t="s">
        <v>1244</v>
      </c>
      <c r="G2341" t="s">
        <v>1954</v>
      </c>
    </row>
    <row r="2342" spans="1:7">
      <c r="A2342" s="877" t="s">
        <v>398</v>
      </c>
      <c r="B2342" s="28" t="s">
        <v>109</v>
      </c>
      <c r="C2342" s="24">
        <v>46008</v>
      </c>
      <c r="D2342" s="12">
        <v>372</v>
      </c>
      <c r="G2342" t="s">
        <v>1954</v>
      </c>
    </row>
    <row r="2343" spans="1:7">
      <c r="A2343" s="877" t="s">
        <v>1095</v>
      </c>
      <c r="B2343" s="28" t="s">
        <v>109</v>
      </c>
      <c r="C2343" s="24">
        <v>46008</v>
      </c>
      <c r="D2343" s="12">
        <v>95</v>
      </c>
      <c r="G2343" t="s">
        <v>1954</v>
      </c>
    </row>
    <row r="2344" spans="1:7">
      <c r="A2344" s="877" t="s">
        <v>434</v>
      </c>
      <c r="B2344" s="28" t="s">
        <v>109</v>
      </c>
      <c r="C2344" s="24">
        <v>46008</v>
      </c>
      <c r="D2344" s="92">
        <v>1049</v>
      </c>
      <c r="G2344" t="s">
        <v>1954</v>
      </c>
    </row>
    <row r="2345" spans="1:7">
      <c r="A2345" s="85" t="s">
        <v>414</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352</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109</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1101</v>
      </c>
      <c r="B2361" s="236" t="s">
        <v>109</v>
      </c>
      <c r="C2361" s="242">
        <v>46009</v>
      </c>
      <c r="D2361" s="12">
        <v>652</v>
      </c>
      <c r="G2361" t="s">
        <v>1954</v>
      </c>
    </row>
    <row r="2362" spans="1:7">
      <c r="A2362" s="236" t="s">
        <v>443</v>
      </c>
      <c r="B2362" s="236" t="s">
        <v>109</v>
      </c>
      <c r="C2362" s="24">
        <v>46009</v>
      </c>
      <c r="D2362" s="12">
        <v>396</v>
      </c>
      <c r="G2362" t="s">
        <v>1954</v>
      </c>
    </row>
    <row r="2363" spans="1:7">
      <c r="A2363" s="237" t="s">
        <v>428</v>
      </c>
      <c r="B2363" s="237" t="s">
        <v>109</v>
      </c>
      <c r="C2363" s="24">
        <v>46009</v>
      </c>
      <c r="D2363" s="92">
        <v>1905</v>
      </c>
      <c r="G2363" t="s">
        <v>1954</v>
      </c>
    </row>
    <row r="2364" spans="1:7">
      <c r="A2364" s="238" t="s">
        <v>1095</v>
      </c>
      <c r="B2364" s="238" t="s">
        <v>109</v>
      </c>
      <c r="C2364" s="24">
        <v>46009</v>
      </c>
      <c r="D2364" s="12">
        <v>881</v>
      </c>
      <c r="G2364" t="s">
        <v>1954</v>
      </c>
    </row>
    <row r="2365" spans="1:7">
      <c r="A2365" s="78" t="s">
        <v>437</v>
      </c>
      <c r="B2365" s="78" t="s">
        <v>109</v>
      </c>
      <c r="C2365" s="242">
        <v>46009</v>
      </c>
      <c r="D2365" s="92">
        <v>3028</v>
      </c>
      <c r="F2365" s="12" t="s">
        <v>2048</v>
      </c>
      <c r="G2365" t="s">
        <v>1954</v>
      </c>
    </row>
    <row r="2366" spans="1:7">
      <c r="A2366" s="299" t="s">
        <v>414</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352</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109</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428</v>
      </c>
      <c r="B2381" s="1014" t="s">
        <v>109</v>
      </c>
      <c r="C2381" s="24">
        <v>46010</v>
      </c>
      <c r="D2381" s="92">
        <v>2064</v>
      </c>
      <c r="G2381" t="s">
        <v>1954</v>
      </c>
    </row>
    <row r="2382" spans="1:7">
      <c r="A2382" s="1013" t="s">
        <v>437</v>
      </c>
      <c r="B2382" s="1014" t="s">
        <v>109</v>
      </c>
      <c r="C2382" s="24">
        <v>46010</v>
      </c>
      <c r="D2382" s="92">
        <v>1683</v>
      </c>
      <c r="G2382" t="s">
        <v>1954</v>
      </c>
    </row>
    <row r="2383" spans="1:7">
      <c r="A2383" s="1013" t="s">
        <v>431</v>
      </c>
      <c r="B2383" s="1014" t="s">
        <v>109</v>
      </c>
      <c r="C2383" s="24">
        <v>46010</v>
      </c>
      <c r="D2383" s="92">
        <v>1235</v>
      </c>
      <c r="G2383" t="s">
        <v>1954</v>
      </c>
    </row>
    <row r="2384" spans="1:7">
      <c r="A2384" s="1013" t="s">
        <v>425</v>
      </c>
      <c r="B2384" s="1014" t="s">
        <v>109</v>
      </c>
      <c r="C2384" s="24">
        <v>46010</v>
      </c>
      <c r="F2384" s="12" t="s">
        <v>2055</v>
      </c>
      <c r="G2384" t="s">
        <v>1954</v>
      </c>
    </row>
    <row r="2385" spans="1:7">
      <c r="A2385" s="1013" t="s">
        <v>1101</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109</v>
      </c>
      <c r="C2390" s="24">
        <v>46013</v>
      </c>
      <c r="D2390" s="12">
        <v>380</v>
      </c>
      <c r="G2390" t="s">
        <v>1954</v>
      </c>
    </row>
    <row r="2391" spans="1:7">
      <c r="A2391" s="247" t="s">
        <v>1011</v>
      </c>
      <c r="B2391" s="247" t="s">
        <v>109</v>
      </c>
      <c r="C2391" s="24">
        <v>46013</v>
      </c>
      <c r="D2391" s="12">
        <v>523</v>
      </c>
      <c r="G2391" t="s">
        <v>1954</v>
      </c>
    </row>
    <row r="2392" spans="1:7">
      <c r="A2392" s="601" t="s">
        <v>926</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428</v>
      </c>
      <c r="B2395" s="864" t="s">
        <v>109</v>
      </c>
      <c r="C2395" s="24">
        <v>46013</v>
      </c>
      <c r="F2395" s="266" t="s">
        <v>2059</v>
      </c>
      <c r="G2395" t="s">
        <v>1954</v>
      </c>
    </row>
    <row r="2396" spans="1:7">
      <c r="A2396" s="864" t="s">
        <v>437</v>
      </c>
      <c r="B2396" s="864" t="s">
        <v>109</v>
      </c>
      <c r="C2396" s="24">
        <v>46013</v>
      </c>
      <c r="D2396" s="12">
        <v>362</v>
      </c>
      <c r="G2396" t="s">
        <v>1954</v>
      </c>
    </row>
    <row r="2397" spans="1:7">
      <c r="A2397" s="875" t="s">
        <v>1095</v>
      </c>
      <c r="B2397" s="875" t="s">
        <v>109</v>
      </c>
      <c r="C2397" s="24">
        <v>46013</v>
      </c>
      <c r="D2397" s="92">
        <v>3523</v>
      </c>
      <c r="G2397" t="s">
        <v>1954</v>
      </c>
    </row>
    <row r="2398" spans="1:7">
      <c r="A2398" s="635" t="s">
        <v>1101</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109</v>
      </c>
      <c r="C2401" s="24">
        <v>46014</v>
      </c>
      <c r="F2401" s="266" t="s">
        <v>1615</v>
      </c>
      <c r="G2401" t="s">
        <v>1954</v>
      </c>
    </row>
    <row r="2402" spans="1:7">
      <c r="A2402" s="1211" t="s">
        <v>1011</v>
      </c>
      <c r="B2402" s="274" t="s">
        <v>109</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109</v>
      </c>
      <c r="C2404" s="24">
        <v>46014</v>
      </c>
      <c r="E2404" s="253">
        <v>14727</v>
      </c>
      <c r="F2404" s="350" t="s">
        <v>2060</v>
      </c>
      <c r="G2404" t="s">
        <v>1954</v>
      </c>
    </row>
    <row r="2405" spans="1:7">
      <c r="A2405" s="299" t="s">
        <v>1095</v>
      </c>
      <c r="B2405" s="1212" t="s">
        <v>109</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109</v>
      </c>
      <c r="C2411" s="24">
        <v>46020</v>
      </c>
      <c r="D2411" s="92">
        <v>1188</v>
      </c>
      <c r="F2411" s="12" t="s">
        <v>2063</v>
      </c>
      <c r="G2411" t="s">
        <v>1954</v>
      </c>
    </row>
    <row r="2412" spans="1:7">
      <c r="A2412" s="1030" t="s">
        <v>983</v>
      </c>
      <c r="B2412" s="874" t="s">
        <v>109</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398</v>
      </c>
      <c r="B2414" s="755" t="s">
        <v>109</v>
      </c>
      <c r="C2414" s="24">
        <v>46020</v>
      </c>
      <c r="D2414" s="12">
        <v>738</v>
      </c>
      <c r="G2414" t="s">
        <v>1954</v>
      </c>
    </row>
    <row r="2415" spans="1:7">
      <c r="A2415" s="864" t="s">
        <v>437</v>
      </c>
      <c r="B2415" s="864" t="s">
        <v>109</v>
      </c>
      <c r="C2415" s="24">
        <v>46020</v>
      </c>
      <c r="D2415" s="92">
        <v>1297</v>
      </c>
      <c r="G2415" t="s">
        <v>1954</v>
      </c>
    </row>
    <row r="2416" spans="1:7">
      <c r="A2416" s="864" t="s">
        <v>1092</v>
      </c>
      <c r="B2416" s="864" t="s">
        <v>109</v>
      </c>
      <c r="C2416" s="24">
        <v>46020</v>
      </c>
      <c r="D2416" s="92">
        <v>2583</v>
      </c>
      <c r="G2416" t="s">
        <v>1954</v>
      </c>
    </row>
    <row r="2417" spans="1:7">
      <c r="A2417" s="864" t="s">
        <v>401</v>
      </c>
      <c r="B2417" s="864" t="s">
        <v>109</v>
      </c>
      <c r="C2417" s="24">
        <v>46020</v>
      </c>
      <c r="D2417" s="12">
        <v>0</v>
      </c>
      <c r="F2417" s="243" t="s">
        <v>2065</v>
      </c>
      <c r="G2417" t="s">
        <v>1954</v>
      </c>
    </row>
    <row r="2418" spans="1:7">
      <c r="A2418" s="864" t="s">
        <v>406</v>
      </c>
      <c r="B2418" s="864" t="s">
        <v>109</v>
      </c>
      <c r="C2418" s="24">
        <v>46020</v>
      </c>
      <c r="D2418" s="12">
        <v>0</v>
      </c>
      <c r="F2418" s="243" t="s">
        <v>2065</v>
      </c>
      <c r="G2418" t="s">
        <v>1954</v>
      </c>
    </row>
    <row r="2419" spans="1:7">
      <c r="A2419" s="875" t="s">
        <v>434</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1092</v>
      </c>
      <c r="B2425" s="864" t="s">
        <v>109</v>
      </c>
      <c r="C2425" s="24">
        <v>46021</v>
      </c>
      <c r="D2425" s="92">
        <v>3099</v>
      </c>
      <c r="G2425" t="s">
        <v>1954</v>
      </c>
    </row>
    <row r="2426" spans="1:7">
      <c r="A2426" s="237" t="s">
        <v>403</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406</v>
      </c>
      <c r="B2428" s="178" t="s">
        <v>1151</v>
      </c>
      <c r="C2428" s="242">
        <v>46022</v>
      </c>
      <c r="D2428" s="92"/>
      <c r="E2428" s="92">
        <v>2728</v>
      </c>
      <c r="G2428" t="s">
        <v>1954</v>
      </c>
    </row>
    <row r="2429" spans="1:7" ht="15.75">
      <c r="A2429" s="78" t="s">
        <v>409</v>
      </c>
      <c r="B2429" s="178" t="s">
        <v>1151</v>
      </c>
      <c r="C2429" s="242">
        <v>46022</v>
      </c>
      <c r="E2429" s="253">
        <v>1231</v>
      </c>
      <c r="G2429" t="s">
        <v>1954</v>
      </c>
    </row>
    <row r="2430" spans="1:7" ht="15.75">
      <c r="A2430" s="78" t="s">
        <v>434</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1092</v>
      </c>
      <c r="B2437" s="94" t="s">
        <v>109</v>
      </c>
      <c r="C2437" s="24">
        <v>46027</v>
      </c>
      <c r="D2437" s="92">
        <v>568</v>
      </c>
      <c r="E2437" s="12"/>
      <c r="G2437" t="s">
        <v>2066</v>
      </c>
    </row>
    <row r="2438" spans="1:7">
      <c r="A2438" s="181" t="s">
        <v>1074</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440</v>
      </c>
      <c r="B2440" s="94" t="s">
        <v>109</v>
      </c>
      <c r="C2440" s="24">
        <v>46028</v>
      </c>
      <c r="D2440" s="1080">
        <v>2362</v>
      </c>
      <c r="E2440" s="12"/>
      <c r="G2440" t="s">
        <v>2066</v>
      </c>
    </row>
    <row r="2441" spans="1:7">
      <c r="A2441" s="181" t="s">
        <v>932</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428</v>
      </c>
      <c r="B2446" s="1068" t="s">
        <v>109</v>
      </c>
      <c r="C2446" s="24">
        <v>46029</v>
      </c>
      <c r="D2446" s="40">
        <v>0</v>
      </c>
      <c r="E2446" s="12"/>
      <c r="F2446" s="243" t="s">
        <v>2069</v>
      </c>
      <c r="G2446" t="s">
        <v>2066</v>
      </c>
    </row>
    <row r="2447" spans="1:7">
      <c r="A2447" s="181" t="s">
        <v>578</v>
      </c>
      <c r="B2447" s="94" t="s">
        <v>109</v>
      </c>
      <c r="C2447" s="24">
        <v>46029</v>
      </c>
      <c r="D2447" s="1080">
        <v>1687</v>
      </c>
      <c r="E2447" s="12"/>
      <c r="G2447" t="s">
        <v>2066</v>
      </c>
    </row>
    <row r="2448" spans="1:7">
      <c r="A2448" s="181" t="s">
        <v>957</v>
      </c>
      <c r="B2448" s="94" t="s">
        <v>109</v>
      </c>
      <c r="C2448" s="24">
        <v>46029</v>
      </c>
      <c r="D2448" s="1080">
        <v>1056</v>
      </c>
      <c r="E2448" s="12"/>
      <c r="F2448" s="1086" t="s">
        <v>2070</v>
      </c>
      <c r="G2448" t="s">
        <v>2066</v>
      </c>
    </row>
    <row r="2449" spans="1:7">
      <c r="A2449" s="181" t="s">
        <v>932</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440</v>
      </c>
      <c r="B2451" s="94" t="s">
        <v>109</v>
      </c>
      <c r="C2451" s="24">
        <v>46029</v>
      </c>
      <c r="D2451" s="1080">
        <v>3079</v>
      </c>
      <c r="E2451" s="12"/>
      <c r="F2451" s="1086"/>
      <c r="G2451" t="s">
        <v>2066</v>
      </c>
    </row>
    <row r="2452" spans="1:7">
      <c r="A2452" s="299" t="s">
        <v>1089</v>
      </c>
      <c r="B2452" s="661" t="s">
        <v>109</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1098</v>
      </c>
      <c r="B2457" s="94" t="s">
        <v>109</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428</v>
      </c>
      <c r="B2462" s="94" t="s">
        <v>109</v>
      </c>
      <c r="C2462" s="24">
        <v>46031</v>
      </c>
      <c r="D2462" s="1080">
        <v>104</v>
      </c>
      <c r="E2462" s="40"/>
      <c r="F2462" s="1088"/>
      <c r="G2462" t="s">
        <v>2066</v>
      </c>
    </row>
    <row r="2463" spans="1:7">
      <c r="A2463" s="181" t="s">
        <v>431</v>
      </c>
      <c r="B2463" s="94" t="s">
        <v>109</v>
      </c>
      <c r="C2463" s="24">
        <v>46031</v>
      </c>
      <c r="D2463" s="40"/>
      <c r="E2463" s="1080">
        <v>1056</v>
      </c>
      <c r="F2463" s="1088"/>
      <c r="G2463" t="s">
        <v>2066</v>
      </c>
    </row>
    <row r="2464" spans="1:7">
      <c r="A2464" s="181" t="s">
        <v>1086</v>
      </c>
      <c r="B2464" s="94" t="s">
        <v>109</v>
      </c>
      <c r="C2464" s="24">
        <v>46031</v>
      </c>
      <c r="D2464" s="40"/>
      <c r="E2464" s="1080">
        <v>1090</v>
      </c>
      <c r="F2464" s="1086"/>
      <c r="G2464" t="s">
        <v>2066</v>
      </c>
    </row>
    <row r="2465" spans="1:7">
      <c r="A2465" s="181" t="s">
        <v>1098</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578</v>
      </c>
      <c r="B2467" s="94" t="s">
        <v>109</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957</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1003</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957</v>
      </c>
      <c r="B2485" s="661" t="s">
        <v>109</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957</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431</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109</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1098</v>
      </c>
      <c r="B2546" s="661" t="s">
        <v>109</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109</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1098</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428</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960</v>
      </c>
      <c r="B2567" s="661" t="s">
        <v>109</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109</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960</v>
      </c>
      <c r="B2593" s="661" t="s">
        <v>109</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850</v>
      </c>
      <c r="B2600" s="238" t="s">
        <v>156</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109</v>
      </c>
      <c r="C2602" s="24">
        <v>46050</v>
      </c>
      <c r="E2602" s="253">
        <v>1848</v>
      </c>
      <c r="F2602" s="613"/>
      <c r="G2602" t="s">
        <v>2066</v>
      </c>
    </row>
    <row r="2603" spans="1:7" ht="15.75">
      <c r="A2603" s="78" t="s">
        <v>440</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963</v>
      </c>
      <c r="B2608" s="179" t="s">
        <v>635</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850</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1092</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437</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850</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850</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850</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431</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1017</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453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453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93</v>
      </c>
      <c r="B2673" s="247" t="s">
        <v>1017</v>
      </c>
      <c r="C2673" s="24">
        <v>46064</v>
      </c>
      <c r="D2673" s="12">
        <v>384</v>
      </c>
      <c r="F2673" s="12" t="s">
        <v>2156</v>
      </c>
      <c r="G2673" t="s">
        <v>1147</v>
      </c>
    </row>
    <row r="2674" spans="1:7">
      <c r="A2674" s="243" t="s">
        <v>850</v>
      </c>
      <c r="B2674" s="243" t="s">
        <v>156</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835</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872</v>
      </c>
      <c r="B2679" s="243" t="s">
        <v>1151</v>
      </c>
      <c r="C2679" s="24">
        <v>46065</v>
      </c>
      <c r="F2679" s="611" t="s">
        <v>1254</v>
      </c>
      <c r="G2679" t="s">
        <v>1147</v>
      </c>
    </row>
    <row r="2680" spans="1:7">
      <c r="A2680" s="247" t="s">
        <v>93</v>
      </c>
      <c r="B2680" s="247" t="s">
        <v>1017</v>
      </c>
      <c r="C2680" s="24">
        <v>46065</v>
      </c>
      <c r="D2680" s="12">
        <v>397</v>
      </c>
      <c r="F2680" s="12" t="s">
        <v>2159</v>
      </c>
      <c r="G2680" t="s">
        <v>1147</v>
      </c>
    </row>
    <row r="2681" spans="1:7">
      <c r="A2681" s="247" t="s">
        <v>377</v>
      </c>
      <c r="B2681" s="247" t="s">
        <v>1151</v>
      </c>
      <c r="C2681" s="24">
        <v>46065</v>
      </c>
      <c r="E2681" s="76">
        <v>711</v>
      </c>
      <c r="G2681" t="s">
        <v>1147</v>
      </c>
    </row>
    <row r="2682" spans="1:7">
      <c r="A2682" s="243" t="s">
        <v>850</v>
      </c>
      <c r="B2682" s="243" t="s">
        <v>2073</v>
      </c>
      <c r="C2682" s="24">
        <v>46065</v>
      </c>
      <c r="D2682" s="12">
        <v>30</v>
      </c>
      <c r="G2682" t="s">
        <v>1147</v>
      </c>
    </row>
    <row r="2683" spans="1:7">
      <c r="A2683" s="247" t="s">
        <v>201</v>
      </c>
      <c r="B2683" s="247" t="s">
        <v>156</v>
      </c>
      <c r="C2683" s="24">
        <v>46065</v>
      </c>
      <c r="D2683" s="92">
        <v>1289</v>
      </c>
      <c r="G2683" t="s">
        <v>1147</v>
      </c>
    </row>
    <row r="2684" spans="1:7">
      <c r="A2684" s="247" t="s">
        <v>835</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1017</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453</v>
      </c>
      <c r="B2692" s="247" t="s">
        <v>1151</v>
      </c>
      <c r="C2692" s="24">
        <v>46070</v>
      </c>
      <c r="D2692" s="12">
        <v>214</v>
      </c>
      <c r="G2692" t="s">
        <v>1147</v>
      </c>
    </row>
    <row r="2693" spans="1:7">
      <c r="A2693" s="243" t="s">
        <v>93</v>
      </c>
      <c r="B2693" s="243" t="s">
        <v>1017</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62">
        <v>1340</v>
      </c>
      <c r="G2695" t="s">
        <v>1147</v>
      </c>
    </row>
    <row r="2696" spans="1:7">
      <c r="A2696" s="243" t="s">
        <v>1224</v>
      </c>
      <c r="B2696" s="243" t="s">
        <v>2165</v>
      </c>
      <c r="C2696" s="24">
        <v>46070</v>
      </c>
      <c r="D2696" s="12">
        <v>199</v>
      </c>
      <c r="F2696" s="12" t="s">
        <v>1735</v>
      </c>
      <c r="G2696"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144</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4">
        <v>45742</v>
      </c>
      <c r="D3" s="555" t="s">
        <v>477</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8" t="s">
        <v>484</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488</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828</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829</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5" t="s">
        <v>840</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489</v>
      </c>
      <c r="B16" s="117" t="s">
        <v>144</v>
      </c>
      <c r="C16" s="246">
        <v>45742</v>
      </c>
      <c r="D16" s="564" t="s">
        <v>491</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845</v>
      </c>
      <c r="B17" s="117" t="s">
        <v>144</v>
      </c>
      <c r="C17" s="114">
        <v>45991</v>
      </c>
      <c r="D17" s="578" t="s">
        <v>846</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857</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494</v>
      </c>
      <c r="B21" s="112" t="s">
        <v>80</v>
      </c>
      <c r="C21" s="113">
        <v>45772</v>
      </c>
      <c r="D21" s="492" t="s">
        <v>496</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498</v>
      </c>
      <c r="B22" s="112" t="s">
        <v>80</v>
      </c>
      <c r="C22" s="113">
        <v>45868</v>
      </c>
      <c r="D22" s="492" t="s">
        <v>499</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509</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512</v>
      </c>
      <c r="B30" s="112" t="s">
        <v>80</v>
      </c>
      <c r="C30" s="113">
        <v>45711</v>
      </c>
      <c r="D30" s="113" t="s">
        <v>513</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516</v>
      </c>
      <c r="B32" s="112" t="s">
        <v>80</v>
      </c>
      <c r="C32" s="113">
        <v>45772</v>
      </c>
      <c r="D32" s="492" t="s">
        <v>517</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522</v>
      </c>
      <c r="B35" s="112" t="s">
        <v>80</v>
      </c>
      <c r="C35" s="113">
        <v>45688</v>
      </c>
      <c r="D35" s="113" t="s">
        <v>524</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525</v>
      </c>
      <c r="B36" s="112" t="s">
        <v>80</v>
      </c>
      <c r="C36" s="113">
        <v>45688</v>
      </c>
      <c r="D36" s="113" t="s">
        <v>526</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527</v>
      </c>
      <c r="B37" s="112" t="s">
        <v>80</v>
      </c>
      <c r="C37" s="113">
        <v>45688</v>
      </c>
      <c r="D37" s="113" t="s">
        <v>528</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529</v>
      </c>
      <c r="B38" s="112" t="s">
        <v>80</v>
      </c>
      <c r="C38" s="113">
        <v>45688</v>
      </c>
      <c r="D38" s="113" t="s">
        <v>531</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532</v>
      </c>
      <c r="B39" s="112" t="s">
        <v>80</v>
      </c>
      <c r="C39" s="113">
        <v>45688</v>
      </c>
      <c r="D39" s="113" t="s">
        <v>533</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546</v>
      </c>
      <c r="B45" s="112" t="s">
        <v>80</v>
      </c>
      <c r="C45" s="120">
        <v>45711</v>
      </c>
      <c r="D45" s="120" t="s">
        <v>547</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883</v>
      </c>
      <c r="B46" s="112" t="s">
        <v>80</v>
      </c>
      <c r="C46" s="120">
        <v>45868</v>
      </c>
      <c r="D46" s="116" t="s">
        <v>884</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566</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569</v>
      </c>
      <c r="B57" s="115" t="s">
        <v>80</v>
      </c>
      <c r="C57" s="114">
        <v>45862</v>
      </c>
      <c r="D57" s="492" t="s">
        <v>570</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2" t="s">
        <v>572</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2" t="s">
        <v>574</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3" t="s">
        <v>622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3" t="s">
        <v>625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5" t="s">
        <v>988</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2" t="s">
        <v>605</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2" t="s">
        <v>1006</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2" t="s">
        <v>631</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633</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453</v>
      </c>
      <c r="B168" s="326" t="s">
        <v>50</v>
      </c>
      <c r="C168" s="460">
        <v>45742</v>
      </c>
      <c r="D168" s="330" t="s">
        <v>454</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2196</v>
      </c>
      <c r="C1" s="1356"/>
      <c r="D1" s="434"/>
      <c r="E1" s="1356" t="s">
        <v>2197</v>
      </c>
      <c r="F1" s="1356"/>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492</v>
      </c>
      <c r="M7">
        <v>1</v>
      </c>
      <c r="P7" t="s">
        <v>2207</v>
      </c>
      <c r="R7">
        <v>1</v>
      </c>
      <c r="X7" t="s">
        <v>2208</v>
      </c>
      <c r="Y7" t="s">
        <v>2209</v>
      </c>
    </row>
    <row r="8" spans="1:25">
      <c r="B8" t="s">
        <v>156</v>
      </c>
      <c r="C8">
        <v>16756</v>
      </c>
      <c r="L8" t="s">
        <v>494</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697</v>
      </c>
      <c r="M10">
        <v>1</v>
      </c>
      <c r="Q10" t="s">
        <v>701</v>
      </c>
      <c r="R10">
        <v>1</v>
      </c>
    </row>
    <row r="11" spans="1:25">
      <c r="B11" t="s">
        <v>121</v>
      </c>
      <c r="C11">
        <v>3</v>
      </c>
      <c r="L11" t="s">
        <v>701</v>
      </c>
      <c r="M11">
        <v>1</v>
      </c>
      <c r="Q11" t="s">
        <v>704</v>
      </c>
      <c r="R11">
        <v>1</v>
      </c>
    </row>
    <row r="12" spans="1:25">
      <c r="B12" t="s">
        <v>94</v>
      </c>
      <c r="C12">
        <v>6931</v>
      </c>
      <c r="L12" t="s">
        <v>704</v>
      </c>
      <c r="M12">
        <v>1</v>
      </c>
      <c r="Q12" t="s">
        <v>2215</v>
      </c>
      <c r="R12">
        <v>1</v>
      </c>
    </row>
    <row r="13" spans="1:25">
      <c r="B13" t="s">
        <v>51</v>
      </c>
      <c r="C13">
        <v>8185</v>
      </c>
      <c r="L13" t="s">
        <v>2216</v>
      </c>
      <c r="M13">
        <v>1</v>
      </c>
      <c r="Q13" t="s">
        <v>1043</v>
      </c>
      <c r="R13">
        <v>1</v>
      </c>
    </row>
    <row r="14" spans="1:25">
      <c r="B14" t="s">
        <v>233</v>
      </c>
      <c r="C14">
        <v>12242</v>
      </c>
      <c r="L14" t="s">
        <v>718</v>
      </c>
      <c r="M14">
        <v>1</v>
      </c>
      <c r="P14" t="s">
        <v>2217</v>
      </c>
      <c r="R14">
        <v>5</v>
      </c>
    </row>
    <row r="15" spans="1:25">
      <c r="B15" t="s">
        <v>60</v>
      </c>
      <c r="C15">
        <v>6092</v>
      </c>
      <c r="L15" t="s">
        <v>2215</v>
      </c>
      <c r="M15">
        <v>1</v>
      </c>
      <c r="P15" t="s">
        <v>1172</v>
      </c>
      <c r="R15">
        <v>12</v>
      </c>
    </row>
    <row r="16" spans="1:25">
      <c r="B16" t="s">
        <v>1143</v>
      </c>
      <c r="C16">
        <v>249672</v>
      </c>
      <c r="L16" t="s">
        <v>720</v>
      </c>
      <c r="M16">
        <v>1</v>
      </c>
      <c r="P16" t="s">
        <v>1143</v>
      </c>
      <c r="R16">
        <v>19</v>
      </c>
    </row>
    <row r="17" spans="11:13">
      <c r="L17" t="s">
        <v>724</v>
      </c>
      <c r="M17">
        <v>1</v>
      </c>
    </row>
    <row r="18" spans="11:13">
      <c r="L18" t="s">
        <v>726</v>
      </c>
      <c r="M18">
        <v>1</v>
      </c>
    </row>
    <row r="19" spans="11:13">
      <c r="L19" t="s">
        <v>730</v>
      </c>
      <c r="M19">
        <v>1</v>
      </c>
    </row>
    <row r="20" spans="11:13">
      <c r="L20" t="s">
        <v>734</v>
      </c>
      <c r="M20">
        <v>1</v>
      </c>
    </row>
    <row r="21" spans="11:13">
      <c r="L21" t="s">
        <v>2218</v>
      </c>
      <c r="M21">
        <v>1</v>
      </c>
    </row>
    <row r="22" spans="11:13">
      <c r="L22" t="s">
        <v>1043</v>
      </c>
      <c r="M22">
        <v>1</v>
      </c>
    </row>
    <row r="23" spans="11:13">
      <c r="L23" t="s">
        <v>766</v>
      </c>
      <c r="M23">
        <v>1</v>
      </c>
    </row>
    <row r="24" spans="11:13">
      <c r="L24" t="s">
        <v>795</v>
      </c>
      <c r="M24">
        <v>1</v>
      </c>
    </row>
    <row r="25" spans="11:13">
      <c r="L25" t="s">
        <v>117</v>
      </c>
      <c r="M25">
        <v>1</v>
      </c>
    </row>
    <row r="26" spans="11:13">
      <c r="K26" t="s">
        <v>2219</v>
      </c>
      <c r="M26">
        <v>19</v>
      </c>
    </row>
    <row r="27" spans="11:13">
      <c r="K27" t="s">
        <v>2220</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2221</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453</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449</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F5CFCD7-EA3B-4960-A0DB-93793406F4D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2026-02-17T23:14:50Z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