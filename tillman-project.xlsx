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57" documentId="8_{E14B221E-02E2-46A3-8CEC-C736815F2DD5}" xr6:coauthVersionLast="47" xr6:coauthVersionMax="47" xr10:uidLastSave="{972A5042-6A16-4B66-9B2E-D808ADBA37EA}"/>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97" r:id="rId12"/>
    <pivotCache cacheId="898" r:id="rId13"/>
    <pivotCache cacheId="899" r:id="rId14"/>
    <pivotCache cacheId="900" r:id="rId15"/>
    <pivotCache cacheId="9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<sst xmlns="http://schemas.openxmlformats.org/spreadsheetml/2006/main" count="16048" uniqueCount="2080">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</sst>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23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2341"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296"/>
    <x v="6"/>
    <x v="221"/>
    <n v="163"/>
    <m/>
    <s v="2 Flower Pots / 3 Toby Boxes / 3 Daps / 1 HH / 1 Ground Rod  / 35 Splices"/>
  </r>
  <r>
    <x v="315"/>
    <x v="35"/>
    <x v="221"/>
    <m/>
    <m/>
    <m/>
  </r>
  <r>
    <x v="311"/>
    <x v="27"/>
    <x v="221"/>
    <m/>
    <m/>
    <m/>
  </r>
  <r>
    <x v="314"/>
    <x v="45"/>
    <x v="221"/>
    <m/>
    <m/>
    <m/>
  </r>
  <r>
    <x v="294"/>
    <x v="5"/>
    <x v="221"/>
    <m/>
    <m/>
    <m/>
  </r>
  <r>
    <x v="316"/>
    <x v="5"/>
    <x v="221"/>
    <n v="1083"/>
    <m/>
    <m/>
  </r>
  <r>
    <x v="260"/>
    <x v="5"/>
    <x v="221"/>
    <m/>
    <m/>
    <s v="11 Toby Boxes"/>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9">
    <i>
      <x v="147"/>
    </i>
    <i>
      <x v="246"/>
    </i>
    <i>
      <x v="251"/>
    </i>
    <i>
      <x v="267"/>
    </i>
    <i>
      <x v="269"/>
    </i>
    <i>
      <x v="282"/>
    </i>
    <i>
      <x v="300"/>
    </i>
    <i>
      <x v="301"/>
    </i>
    <i>
      <x v="303"/>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10" activePane="topRight" state="frozen"/>
      <selection pane="topRight" activeCell="AD121" sqref="AD1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143</v>
      </c>
      <c r="E23" s="1206">
        <v>45974</v>
      </c>
      <c r="F23" s="1207" t="s">
        <v>118</v>
      </c>
      <c r="G23" s="1207" t="s">
        <v>423</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139</v>
      </c>
      <c r="J2" s="469" t="s">
        <v>63</v>
      </c>
      <c r="K2" s="469"/>
      <c r="L2" s="467">
        <v>45852</v>
      </c>
      <c r="M2" s="469" t="s">
        <v>57</v>
      </c>
      <c r="N2" s="542">
        <v>42837.2</v>
      </c>
      <c r="O2" s="469" t="s">
        <v>57</v>
      </c>
      <c r="P2" s="807" t="s">
        <v>140</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139</v>
      </c>
      <c r="J3" s="478" t="s">
        <v>63</v>
      </c>
      <c r="K3" s="487"/>
      <c r="L3" s="467">
        <v>45716</v>
      </c>
      <c r="M3" s="478" t="s">
        <v>57</v>
      </c>
      <c r="N3" s="543">
        <v>64932.55</v>
      </c>
      <c r="O3" s="478" t="s">
        <v>57</v>
      </c>
      <c r="P3" s="807" t="s">
        <v>140</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139</v>
      </c>
      <c r="J4" s="483" t="s">
        <v>63</v>
      </c>
      <c r="K4" s="483"/>
      <c r="L4" s="476">
        <v>45708</v>
      </c>
      <c r="M4" s="483" t="s">
        <v>57</v>
      </c>
      <c r="N4" s="544">
        <v>87944.4</v>
      </c>
      <c r="O4" s="483" t="s">
        <v>57</v>
      </c>
      <c r="P4" s="807" t="s">
        <v>140</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139</v>
      </c>
      <c r="J5" s="478" t="s">
        <v>63</v>
      </c>
      <c r="K5" s="844"/>
      <c r="L5" s="467">
        <v>45716</v>
      </c>
      <c r="M5" s="478" t="s">
        <v>57</v>
      </c>
      <c r="N5" s="542">
        <v>2812.95</v>
      </c>
      <c r="O5" s="478" t="s">
        <v>57</v>
      </c>
      <c r="P5" s="807" t="s">
        <v>140</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139</v>
      </c>
      <c r="J6" s="478" t="s">
        <v>63</v>
      </c>
      <c r="K6" s="487"/>
      <c r="L6" s="467">
        <v>45716</v>
      </c>
      <c r="M6" s="478" t="s">
        <v>57</v>
      </c>
      <c r="N6" s="543">
        <v>28777</v>
      </c>
      <c r="O6" s="478" t="s">
        <v>57</v>
      </c>
      <c r="P6" s="807" t="s">
        <v>140</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139</v>
      </c>
      <c r="J7" s="478" t="s">
        <v>63</v>
      </c>
      <c r="K7" s="487"/>
      <c r="L7" s="476">
        <v>45863</v>
      </c>
      <c r="M7" s="478" t="s">
        <v>57</v>
      </c>
      <c r="N7" s="543">
        <v>143407.25</v>
      </c>
      <c r="O7" s="478" t="s">
        <v>57</v>
      </c>
      <c r="P7" s="807" t="s">
        <v>140</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139</v>
      </c>
      <c r="J8" s="478" t="s">
        <v>63</v>
      </c>
      <c r="K8" s="487"/>
      <c r="L8" s="476">
        <v>45881</v>
      </c>
      <c r="M8" s="478" t="s">
        <v>57</v>
      </c>
      <c r="N8" s="543">
        <v>4815.6499999999996</v>
      </c>
      <c r="O8" s="478" t="s">
        <v>57</v>
      </c>
      <c r="P8" s="807" t="s">
        <v>140</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139</v>
      </c>
      <c r="J9" s="393" t="s">
        <v>63</v>
      </c>
      <c r="K9" s="393"/>
      <c r="L9" s="836" t="s">
        <v>52</v>
      </c>
      <c r="M9" s="393" t="s">
        <v>57</v>
      </c>
      <c r="N9" s="839">
        <v>4646.75</v>
      </c>
      <c r="O9" s="393" t="s">
        <v>91</v>
      </c>
      <c r="P9" s="914" t="s">
        <v>140</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139</v>
      </c>
      <c r="J10" s="469" t="s">
        <v>63</v>
      </c>
      <c r="K10" s="469"/>
      <c r="L10" s="476">
        <v>45918</v>
      </c>
      <c r="M10" s="478" t="s">
        <v>57</v>
      </c>
      <c r="N10" s="543">
        <v>9611.9500000000007</v>
      </c>
      <c r="O10" s="478" t="s">
        <v>57</v>
      </c>
      <c r="P10" s="807" t="s">
        <v>140</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139</v>
      </c>
      <c r="J12" s="469" t="s">
        <v>63</v>
      </c>
      <c r="K12" s="469"/>
      <c r="L12" s="467">
        <v>45897</v>
      </c>
      <c r="M12" s="469" t="s">
        <v>57</v>
      </c>
      <c r="N12" s="542">
        <v>44896.1</v>
      </c>
      <c r="O12" s="469" t="s">
        <v>57</v>
      </c>
      <c r="P12" s="807" t="s">
        <v>140</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139</v>
      </c>
      <c r="J13" s="469" t="s">
        <v>63</v>
      </c>
      <c r="K13" s="469"/>
      <c r="L13" s="467">
        <v>45903</v>
      </c>
      <c r="M13" s="469" t="s">
        <v>57</v>
      </c>
      <c r="N13" s="542">
        <v>59116.7</v>
      </c>
      <c r="O13" s="469" t="s">
        <v>57</v>
      </c>
      <c r="P13" s="807" t="s">
        <v>140</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139</v>
      </c>
      <c r="J14" s="469" t="s">
        <v>63</v>
      </c>
      <c r="K14" s="469"/>
      <c r="L14" s="467">
        <v>45903</v>
      </c>
      <c r="M14" s="469" t="s">
        <v>57</v>
      </c>
      <c r="N14" s="542">
        <v>40406</v>
      </c>
      <c r="O14" s="469" t="s">
        <v>57</v>
      </c>
      <c r="P14" s="807" t="s">
        <v>140</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139</v>
      </c>
      <c r="J15" s="469" t="s">
        <v>63</v>
      </c>
      <c r="K15" s="469"/>
      <c r="L15" s="467">
        <v>45979</v>
      </c>
      <c r="M15" s="469" t="s">
        <v>57</v>
      </c>
      <c r="N15" s="542">
        <v>29683</v>
      </c>
      <c r="O15" s="469" t="s">
        <v>57</v>
      </c>
      <c r="P15" s="807" t="s">
        <v>140</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139</v>
      </c>
      <c r="J26" s="469" t="s">
        <v>63</v>
      </c>
      <c r="K26" s="469"/>
      <c r="L26" s="467">
        <v>45967</v>
      </c>
      <c r="M26" s="469" t="s">
        <v>57</v>
      </c>
      <c r="N26" s="542">
        <v>60620</v>
      </c>
      <c r="O26" s="469" t="s">
        <v>57</v>
      </c>
      <c r="P26" s="1154" t="s">
        <v>140</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139</v>
      </c>
      <c r="J28" s="469" t="s">
        <v>63</v>
      </c>
      <c r="K28" s="469"/>
      <c r="L28" s="467" t="s">
        <v>183</v>
      </c>
      <c r="M28" s="469" t="s">
        <v>57</v>
      </c>
      <c r="N28" s="542">
        <v>51970</v>
      </c>
      <c r="O28" s="469" t="s">
        <v>57</v>
      </c>
      <c r="P28" s="1154" t="s">
        <v>140</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140</v>
      </c>
      <c r="M37" s="380" t="s">
        <v>57</v>
      </c>
      <c r="N37" s="1078">
        <v>64790.5</v>
      </c>
      <c r="O37" s="380" t="s">
        <v>57</v>
      </c>
      <c r="P37" s="1101" t="s">
        <v>140</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139</v>
      </c>
      <c r="J39" s="469" t="s">
        <v>63</v>
      </c>
      <c r="K39" s="826"/>
      <c r="L39" s="476">
        <v>45741</v>
      </c>
      <c r="M39" s="469" t="s">
        <v>57</v>
      </c>
      <c r="N39" s="543">
        <v>67735.5</v>
      </c>
      <c r="O39" s="469" t="s">
        <v>57</v>
      </c>
      <c r="P39" s="807" t="s">
        <v>140</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140</v>
      </c>
      <c r="J40" s="829" t="s">
        <v>63</v>
      </c>
      <c r="K40" s="829"/>
      <c r="L40" s="827">
        <v>45705</v>
      </c>
      <c r="M40" s="829" t="s">
        <v>57</v>
      </c>
      <c r="N40" s="851">
        <v>1295</v>
      </c>
      <c r="O40" s="829" t="s">
        <v>57</v>
      </c>
      <c r="P40" s="807" t="s">
        <v>140</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139</v>
      </c>
      <c r="J46" s="502" t="s">
        <v>63</v>
      </c>
      <c r="K46" s="503" t="s">
        <v>746</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143</v>
      </c>
      <c r="E50" s="888">
        <v>45818</v>
      </c>
      <c r="F50" s="894" t="s">
        <v>755</v>
      </c>
      <c r="G50" s="894" t="s">
        <v>756</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143</v>
      </c>
      <c r="E58" s="381">
        <v>45686</v>
      </c>
      <c r="F58" s="381" t="s">
        <v>755</v>
      </c>
      <c r="G58" s="572" t="s">
        <v>776</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143</v>
      </c>
      <c r="E75" s="51">
        <v>45761</v>
      </c>
      <c r="F75" s="50" t="s">
        <v>755</v>
      </c>
      <c r="G75" s="50" t="s">
        <v>825</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143</v>
      </c>
      <c r="E78" s="51">
        <v>45743</v>
      </c>
      <c r="F78" s="50" t="s">
        <v>755</v>
      </c>
      <c r="G78" s="379" t="s">
        <v>833</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143</v>
      </c>
      <c r="E81" s="51">
        <v>45743</v>
      </c>
      <c r="F81" s="50" t="s">
        <v>755</v>
      </c>
      <c r="G81" s="379" t="s">
        <v>839</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143</v>
      </c>
      <c r="E84" s="658">
        <v>45686</v>
      </c>
      <c r="F84" s="658" t="s">
        <v>755</v>
      </c>
      <c r="G84" s="659" t="s">
        <v>845</v>
      </c>
      <c r="H84" s="52">
        <v>90</v>
      </c>
      <c r="I84" s="667" t="s">
        <v>620</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143</v>
      </c>
      <c r="E85" s="51">
        <v>45716</v>
      </c>
      <c r="F85" s="50" t="s">
        <v>755</v>
      </c>
      <c r="G85" s="379" t="s">
        <v>848</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143</v>
      </c>
      <c r="E89" s="51">
        <v>45716</v>
      </c>
      <c r="F89" s="50" t="s">
        <v>755</v>
      </c>
      <c r="G89" s="670" t="s">
        <v>859</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139</v>
      </c>
      <c r="J91" s="776" t="s">
        <v>63</v>
      </c>
      <c r="K91" s="57">
        <v>45707</v>
      </c>
      <c r="L91" s="776" t="s">
        <v>57</v>
      </c>
      <c r="M91" s="426" t="s">
        <v>865</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143</v>
      </c>
      <c r="E98" s="57">
        <v>45736</v>
      </c>
      <c r="F98" s="772" t="s">
        <v>755</v>
      </c>
      <c r="G98" s="790" t="s">
        <v>881</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143</v>
      </c>
      <c r="E125" s="51">
        <v>45887</v>
      </c>
      <c r="F125" s="381" t="s">
        <v>186</v>
      </c>
      <c r="G125" s="379" t="s">
        <v>940</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143</v>
      </c>
      <c r="E141" s="57">
        <v>45708</v>
      </c>
      <c r="F141" s="773" t="s">
        <v>755</v>
      </c>
      <c r="G141" s="780" t="s">
        <v>980</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143</v>
      </c>
      <c r="E142" s="57">
        <v>45743</v>
      </c>
      <c r="F142" s="772" t="s">
        <v>755</v>
      </c>
      <c r="G142" s="775" t="s">
        <v>982</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143</v>
      </c>
      <c r="E144" s="476">
        <v>45708</v>
      </c>
      <c r="F144" s="428" t="s">
        <v>755</v>
      </c>
      <c r="G144" s="477" t="s">
        <v>987</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6"/>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137</v>
      </c>
      <c r="K6">
        <v>22274</v>
      </c>
      <c r="N6" t="s">
        <v>137</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143</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143</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393</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393</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437</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437</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437</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437</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437</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302</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302</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302</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393</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373</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302</v>
      </c>
      <c r="D767">
        <v>362</v>
      </c>
      <c r="E767">
        <v>399</v>
      </c>
      <c r="G767">
        <v>761</v>
      </c>
    </row>
    <row r="768" spans="1:7">
      <c r="A768" t="s">
        <v>945</v>
      </c>
    </row>
    <row r="769" spans="1:7">
      <c r="A769" t="s">
        <v>927</v>
      </c>
    </row>
    <row r="770" spans="1:7">
      <c r="A770" t="s">
        <v>396</v>
      </c>
      <c r="C770">
        <v>120</v>
      </c>
      <c r="D770">
        <v>190</v>
      </c>
      <c r="G770">
        <v>310</v>
      </c>
    </row>
    <row r="771" spans="1:7">
      <c r="A771" t="s">
        <v>373</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399</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399</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396</v>
      </c>
      <c r="E818">
        <v>725</v>
      </c>
      <c r="G818">
        <v>725</v>
      </c>
    </row>
    <row r="819" spans="1:7">
      <c r="A819" t="s">
        <v>373</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399</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181</v>
      </c>
      <c r="D829">
        <v>1282</v>
      </c>
      <c r="E829">
        <v>980</v>
      </c>
      <c r="G829">
        <v>2262</v>
      </c>
    </row>
    <row r="830" spans="1:7">
      <c r="A830" t="s">
        <v>376</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302</v>
      </c>
      <c r="E838">
        <v>170</v>
      </c>
      <c r="G838">
        <v>170</v>
      </c>
    </row>
    <row r="839" spans="1:7">
      <c r="A839" t="s">
        <v>373</v>
      </c>
      <c r="D839">
        <v>986</v>
      </c>
      <c r="G839">
        <v>986</v>
      </c>
    </row>
    <row r="840" spans="1:7">
      <c r="A840" t="s">
        <v>1081</v>
      </c>
      <c r="B840">
        <v>916</v>
      </c>
      <c r="C840">
        <v>144</v>
      </c>
      <c r="G840">
        <v>1060</v>
      </c>
    </row>
    <row r="841" spans="1:7">
      <c r="A841" t="s">
        <v>562</v>
      </c>
    </row>
    <row r="842" spans="1:7">
      <c r="A842" t="s">
        <v>947</v>
      </c>
    </row>
    <row r="843" spans="1:7">
      <c r="A843" t="s">
        <v>181</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379</v>
      </c>
      <c r="B847">
        <v>60</v>
      </c>
      <c r="C847">
        <v>219</v>
      </c>
      <c r="G847">
        <v>279</v>
      </c>
    </row>
    <row r="848" spans="1:7">
      <c r="A848" t="s">
        <v>969</v>
      </c>
      <c r="D848">
        <v>240</v>
      </c>
      <c r="G848">
        <v>240</v>
      </c>
    </row>
    <row r="849" spans="1:7">
      <c r="A849" t="s">
        <v>1086</v>
      </c>
      <c r="C849">
        <v>1603</v>
      </c>
      <c r="D849">
        <v>791</v>
      </c>
      <c r="E849">
        <v>2803</v>
      </c>
      <c r="G849">
        <v>5197</v>
      </c>
    </row>
    <row r="850" spans="1:7">
      <c r="A850" t="s">
        <v>389</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392</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389</v>
      </c>
      <c r="B867">
        <v>1100</v>
      </c>
      <c r="C867">
        <v>527</v>
      </c>
      <c r="D867">
        <v>553</v>
      </c>
      <c r="G867">
        <v>2180</v>
      </c>
    </row>
    <row r="868" spans="1:7">
      <c r="A868" t="s">
        <v>568</v>
      </c>
      <c r="C868">
        <v>230</v>
      </c>
      <c r="G868">
        <v>230</v>
      </c>
    </row>
    <row r="869" spans="1:7">
      <c r="A869" t="s">
        <v>949</v>
      </c>
      <c r="B869">
        <v>853</v>
      </c>
      <c r="G869">
        <v>853</v>
      </c>
    </row>
    <row r="870" spans="1:7">
      <c r="A870" t="s">
        <v>392</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402</v>
      </c>
      <c r="D873">
        <v>1624</v>
      </c>
      <c r="E873">
        <v>551</v>
      </c>
      <c r="G873">
        <v>2175</v>
      </c>
    </row>
    <row r="874" spans="1:7">
      <c r="A874" t="s">
        <v>390</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302</v>
      </c>
    </row>
    <row r="885" spans="1:7">
      <c r="A885" t="s">
        <v>373</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389</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385</v>
      </c>
      <c r="D899">
        <v>3179</v>
      </c>
      <c r="G899">
        <v>3179</v>
      </c>
    </row>
    <row r="900" spans="1:7">
      <c r="A900" t="s">
        <v>587</v>
      </c>
      <c r="E900">
        <v>978</v>
      </c>
      <c r="G900">
        <v>978</v>
      </c>
    </row>
    <row r="901" spans="1:7">
      <c r="A901" t="s">
        <v>443</v>
      </c>
      <c r="E901">
        <v>502</v>
      </c>
      <c r="G901">
        <v>502</v>
      </c>
    </row>
    <row r="902" spans="1:7">
      <c r="A902" t="s">
        <v>257</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373</v>
      </c>
    </row>
    <row r="911" spans="1:7">
      <c r="A911" t="s">
        <v>399</v>
      </c>
      <c r="F911">
        <v>569</v>
      </c>
      <c r="G911">
        <v>569</v>
      </c>
    </row>
    <row r="912" spans="1:7">
      <c r="A912" t="s">
        <v>521</v>
      </c>
    </row>
    <row r="913" spans="1:7">
      <c r="A913" t="s">
        <v>379</v>
      </c>
      <c r="D913">
        <v>150</v>
      </c>
      <c r="G913">
        <v>150</v>
      </c>
    </row>
    <row r="914" spans="1:7">
      <c r="A914" t="s">
        <v>392</v>
      </c>
    </row>
    <row r="915" spans="1:7">
      <c r="A915" t="s">
        <v>574</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587</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404</v>
      </c>
      <c r="B924">
        <v>207</v>
      </c>
      <c r="G924">
        <v>207</v>
      </c>
    </row>
    <row r="925" spans="1:7">
      <c r="A925" t="s">
        <v>99</v>
      </c>
      <c r="C925">
        <v>1691</v>
      </c>
      <c r="D925">
        <v>1998</v>
      </c>
      <c r="E925">
        <v>760</v>
      </c>
      <c r="F925">
        <v>3975</v>
      </c>
      <c r="G925">
        <v>8424</v>
      </c>
    </row>
    <row r="926" spans="1:7">
      <c r="A926" t="s">
        <v>590</v>
      </c>
      <c r="D926">
        <v>1031</v>
      </c>
      <c r="G926">
        <v>1031</v>
      </c>
    </row>
    <row r="927" spans="1:7">
      <c r="A927" t="s">
        <v>401</v>
      </c>
      <c r="E927">
        <v>1063</v>
      </c>
      <c r="F927">
        <v>1263</v>
      </c>
      <c r="G927">
        <v>2326</v>
      </c>
    </row>
    <row r="928" spans="1:7">
      <c r="A928" t="s">
        <v>519</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376</v>
      </c>
    </row>
    <row r="940" spans="1:7">
      <c r="A940" t="s">
        <v>521</v>
      </c>
      <c r="B940">
        <v>560</v>
      </c>
      <c r="G940">
        <v>560</v>
      </c>
    </row>
    <row r="941" spans="1:7">
      <c r="A941" t="s">
        <v>392</v>
      </c>
    </row>
    <row r="942" spans="1:7">
      <c r="A942" t="s">
        <v>574</v>
      </c>
      <c r="B942">
        <v>138</v>
      </c>
      <c r="G942">
        <v>138</v>
      </c>
    </row>
    <row r="943" spans="1:7">
      <c r="A943" t="s">
        <v>390</v>
      </c>
    </row>
    <row r="944" spans="1:7">
      <c r="A944" t="s">
        <v>385</v>
      </c>
      <c r="B944">
        <v>96</v>
      </c>
      <c r="G944">
        <v>96</v>
      </c>
    </row>
    <row r="945" spans="1:7">
      <c r="A945" t="s">
        <v>587</v>
      </c>
      <c r="B945">
        <v>632</v>
      </c>
      <c r="G945">
        <v>632</v>
      </c>
    </row>
    <row r="946" spans="1:7">
      <c r="A946" t="s">
        <v>443</v>
      </c>
      <c r="B946">
        <v>558</v>
      </c>
      <c r="G946">
        <v>558</v>
      </c>
    </row>
    <row r="947" spans="1:7">
      <c r="A947" t="s">
        <v>257</v>
      </c>
      <c r="B947">
        <v>562</v>
      </c>
      <c r="D947">
        <v>474</v>
      </c>
      <c r="E947">
        <v>606</v>
      </c>
      <c r="F947">
        <v>322</v>
      </c>
      <c r="G947">
        <v>1964</v>
      </c>
    </row>
    <row r="948" spans="1:7">
      <c r="A948" t="s">
        <v>590</v>
      </c>
      <c r="B948">
        <v>1351</v>
      </c>
      <c r="D948">
        <v>890</v>
      </c>
      <c r="G948">
        <v>2241</v>
      </c>
    </row>
    <row r="949" spans="1:7">
      <c r="A949" t="s">
        <v>481</v>
      </c>
      <c r="B949">
        <v>4084</v>
      </c>
      <c r="D949">
        <v>242</v>
      </c>
      <c r="G949">
        <v>4326</v>
      </c>
    </row>
    <row r="950" spans="1:7">
      <c r="A950" t="s">
        <v>1089</v>
      </c>
      <c r="B950">
        <v>748</v>
      </c>
      <c r="C950">
        <v>1062</v>
      </c>
      <c r="G950">
        <v>1810</v>
      </c>
    </row>
    <row r="951" spans="1:7">
      <c r="A951" t="s">
        <v>387</v>
      </c>
      <c r="B951">
        <v>435</v>
      </c>
      <c r="E951">
        <v>1123</v>
      </c>
      <c r="G951">
        <v>1558</v>
      </c>
    </row>
    <row r="952" spans="1:7">
      <c r="A952" t="s">
        <v>425</v>
      </c>
      <c r="D952">
        <v>1580</v>
      </c>
      <c r="E952">
        <v>1258</v>
      </c>
      <c r="G952">
        <v>2838</v>
      </c>
    </row>
    <row r="953" spans="1:7">
      <c r="A953" t="s">
        <v>570</v>
      </c>
      <c r="D953">
        <v>877</v>
      </c>
      <c r="E953">
        <v>814</v>
      </c>
      <c r="G953">
        <v>1691</v>
      </c>
    </row>
    <row r="954" spans="1:7">
      <c r="A954" t="s">
        <v>241</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1090</v>
      </c>
    </row>
    <row r="958" spans="1:7">
      <c r="A958" t="s">
        <v>486</v>
      </c>
      <c r="D958">
        <v>3678</v>
      </c>
      <c r="E958">
        <v>3382</v>
      </c>
      <c r="G958">
        <v>7060</v>
      </c>
    </row>
    <row r="959" spans="1:7">
      <c r="A959" t="s">
        <v>1091</v>
      </c>
      <c r="F959">
        <v>1505</v>
      </c>
      <c r="G959">
        <v>1505</v>
      </c>
    </row>
    <row r="960" spans="1:7">
      <c r="A960" t="s">
        <v>369</v>
      </c>
      <c r="E960">
        <v>424</v>
      </c>
      <c r="G960">
        <v>424</v>
      </c>
    </row>
    <row r="961" spans="1:7">
      <c r="A961" t="s">
        <v>488</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302</v>
      </c>
      <c r="B969">
        <v>446</v>
      </c>
      <c r="C969">
        <v>120</v>
      </c>
      <c r="D969">
        <v>550</v>
      </c>
      <c r="G969">
        <v>1116</v>
      </c>
    </row>
    <row r="970" spans="1:7">
      <c r="A970" t="s">
        <v>521</v>
      </c>
      <c r="C970">
        <v>17</v>
      </c>
      <c r="G970">
        <v>17</v>
      </c>
    </row>
    <row r="971" spans="1:7">
      <c r="A971" t="s">
        <v>574</v>
      </c>
    </row>
    <row r="972" spans="1:7">
      <c r="A972" t="s">
        <v>443</v>
      </c>
      <c r="B972">
        <v>127</v>
      </c>
      <c r="G972">
        <v>127</v>
      </c>
    </row>
    <row r="973" spans="1:7">
      <c r="A973" t="s">
        <v>257</v>
      </c>
      <c r="B973">
        <v>420</v>
      </c>
      <c r="G973">
        <v>420</v>
      </c>
    </row>
    <row r="974" spans="1:7">
      <c r="A974" t="s">
        <v>590</v>
      </c>
    </row>
    <row r="975" spans="1:7">
      <c r="A975" t="s">
        <v>387</v>
      </c>
      <c r="C975">
        <v>1917</v>
      </c>
      <c r="E975">
        <v>272</v>
      </c>
      <c r="G975">
        <v>2189</v>
      </c>
    </row>
    <row r="976" spans="1:7">
      <c r="A976" t="s">
        <v>570</v>
      </c>
      <c r="B976">
        <v>956</v>
      </c>
      <c r="G976">
        <v>956</v>
      </c>
    </row>
    <row r="977" spans="1:7">
      <c r="A977" t="s">
        <v>241</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1091</v>
      </c>
      <c r="B981">
        <v>907</v>
      </c>
      <c r="G981">
        <v>907</v>
      </c>
    </row>
    <row r="982" spans="1:7">
      <c r="A982" t="s">
        <v>369</v>
      </c>
      <c r="E982">
        <v>313</v>
      </c>
      <c r="F982">
        <v>3007</v>
      </c>
      <c r="G982">
        <v>3320</v>
      </c>
    </row>
    <row r="983" spans="1:7">
      <c r="A983" t="s">
        <v>488</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382</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419</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463</v>
      </c>
    </row>
    <row r="1014" spans="1:7">
      <c r="A1014" t="s">
        <v>338</v>
      </c>
      <c r="C1014">
        <v>1175</v>
      </c>
      <c r="G1014">
        <v>1175</v>
      </c>
    </row>
    <row r="1015" spans="1:7">
      <c r="A1015" t="s">
        <v>454</v>
      </c>
      <c r="C1015">
        <v>996</v>
      </c>
      <c r="G1015">
        <v>996</v>
      </c>
    </row>
    <row r="1016" spans="1:7">
      <c r="A1016" t="s">
        <v>387</v>
      </c>
      <c r="B1016">
        <v>900</v>
      </c>
      <c r="G1016">
        <v>900</v>
      </c>
    </row>
    <row r="1017" spans="1:7">
      <c r="A1017" t="s">
        <v>425</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428</v>
      </c>
      <c r="B1022">
        <v>572</v>
      </c>
      <c r="G1022">
        <v>572</v>
      </c>
    </row>
    <row r="1023" spans="1:7">
      <c r="A1023" t="s">
        <v>1094</v>
      </c>
      <c r="B1023">
        <v>1718</v>
      </c>
      <c r="C1023">
        <v>2478</v>
      </c>
      <c r="D1023">
        <v>1567</v>
      </c>
      <c r="G1023">
        <v>5763</v>
      </c>
    </row>
    <row r="1024" spans="1:7">
      <c r="A1024" t="s">
        <v>491</v>
      </c>
      <c r="C1024">
        <v>3411</v>
      </c>
      <c r="G1024">
        <v>3411</v>
      </c>
    </row>
    <row r="1025" spans="1:7">
      <c r="A1025" t="s">
        <v>227</v>
      </c>
      <c r="B1025">
        <v>82</v>
      </c>
      <c r="G1025">
        <v>82</v>
      </c>
    </row>
    <row r="1026" spans="1:7">
      <c r="A1026" t="s">
        <v>494</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582</v>
      </c>
      <c r="C1032">
        <v>1100</v>
      </c>
      <c r="D1032">
        <v>855</v>
      </c>
      <c r="G1032">
        <v>1955</v>
      </c>
    </row>
    <row r="1033" spans="1:7">
      <c r="A1033" t="s">
        <v>1095</v>
      </c>
      <c r="C1033">
        <v>486</v>
      </c>
      <c r="G1033">
        <v>486</v>
      </c>
    </row>
    <row r="1034" spans="1:7">
      <c r="A1034" t="s">
        <v>497</v>
      </c>
      <c r="C1034">
        <v>3634</v>
      </c>
      <c r="G1034">
        <v>3634</v>
      </c>
    </row>
    <row r="1035" spans="1:7">
      <c r="A1035" t="s">
        <v>1096</v>
      </c>
      <c r="D1035">
        <v>955</v>
      </c>
      <c r="G1035">
        <v>955</v>
      </c>
    </row>
    <row r="1036" spans="1:7">
      <c r="A1036" t="s">
        <v>1097</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579</v>
      </c>
      <c r="B1056">
        <v>1610</v>
      </c>
      <c r="G1056">
        <v>1610</v>
      </c>
    </row>
    <row r="1057" spans="1:7">
      <c r="A1057" t="s">
        <v>576</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497</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366</v>
      </c>
      <c r="B1067">
        <v>1829</v>
      </c>
      <c r="C1067">
        <v>2302</v>
      </c>
      <c r="D1067">
        <v>694</v>
      </c>
      <c r="G1067">
        <v>4825</v>
      </c>
    </row>
    <row r="1068" spans="1:7">
      <c r="A1068" t="s">
        <v>478</v>
      </c>
      <c r="B1068">
        <v>1391</v>
      </c>
      <c r="C1068">
        <v>2916</v>
      </c>
      <c r="D1068">
        <v>2430</v>
      </c>
      <c r="G1068">
        <v>6737</v>
      </c>
    </row>
    <row r="1069" spans="1:7">
      <c r="A1069" t="s">
        <v>146</v>
      </c>
      <c r="D1069">
        <v>466</v>
      </c>
      <c r="E1069">
        <v>345</v>
      </c>
      <c r="G1069">
        <v>811</v>
      </c>
    </row>
    <row r="1070" spans="1:7">
      <c r="A1070" t="s">
        <v>431</v>
      </c>
      <c r="E1070">
        <v>1431</v>
      </c>
      <c r="G1070">
        <v>1431</v>
      </c>
    </row>
    <row r="1071" spans="1:7">
      <c r="A1071" t="s">
        <v>557</v>
      </c>
      <c r="D1071">
        <v>1379</v>
      </c>
      <c r="E1071">
        <v>1154</v>
      </c>
      <c r="G1071">
        <v>2533</v>
      </c>
    </row>
    <row r="1072" spans="1:7">
      <c r="A1072" t="s">
        <v>343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579</v>
      </c>
    </row>
    <row r="1085" spans="1:7">
      <c r="A1085" t="s">
        <v>419</v>
      </c>
      <c r="B1085">
        <v>428</v>
      </c>
      <c r="G1085">
        <v>428</v>
      </c>
    </row>
    <row r="1086" spans="1:7">
      <c r="A1086" t="s">
        <v>1096</v>
      </c>
    </row>
    <row r="1087" spans="1:7">
      <c r="A1087" t="s">
        <v>1098</v>
      </c>
      <c r="C1087">
        <v>265</v>
      </c>
      <c r="D1087">
        <v>542</v>
      </c>
      <c r="E1087">
        <v>739</v>
      </c>
      <c r="G1087">
        <v>1546</v>
      </c>
    </row>
    <row r="1088" spans="1:7">
      <c r="A1088" t="s">
        <v>366</v>
      </c>
      <c r="D1088">
        <v>91</v>
      </c>
      <c r="G1088">
        <v>91</v>
      </c>
    </row>
    <row r="1089" spans="1:7">
      <c r="A1089" t="s">
        <v>146</v>
      </c>
      <c r="B1089">
        <v>1172</v>
      </c>
      <c r="G1089">
        <v>1172</v>
      </c>
    </row>
    <row r="1090" spans="1:7">
      <c r="A1090" t="s">
        <v>431</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503</v>
      </c>
      <c r="B1093">
        <v>2855</v>
      </c>
      <c r="C1093">
        <v>3343</v>
      </c>
      <c r="D1093">
        <v>931</v>
      </c>
      <c r="G1093">
        <v>7129</v>
      </c>
    </row>
    <row r="1094" spans="1:7">
      <c r="A1094" t="s">
        <v>352</v>
      </c>
      <c r="C1094">
        <v>1743</v>
      </c>
      <c r="D1094">
        <v>522</v>
      </c>
      <c r="E1094">
        <v>1194</v>
      </c>
      <c r="F1094">
        <v>2811</v>
      </c>
      <c r="G1094">
        <v>6270</v>
      </c>
    </row>
    <row r="1095" spans="1:7">
      <c r="A1095" t="s">
        <v>1101</v>
      </c>
    </row>
    <row r="1096" spans="1:7">
      <c r="A1096" t="s">
        <v>407</v>
      </c>
      <c r="C1096">
        <v>1640</v>
      </c>
      <c r="D1096">
        <v>1177</v>
      </c>
      <c r="G1096">
        <v>2817</v>
      </c>
    </row>
    <row r="1097" spans="1:7">
      <c r="A1097" t="s">
        <v>500</v>
      </c>
      <c r="C1097">
        <v>1980</v>
      </c>
      <c r="D1097">
        <v>1251</v>
      </c>
      <c r="E1097">
        <v>3172</v>
      </c>
      <c r="G1097">
        <v>6403</v>
      </c>
    </row>
    <row r="1098" spans="1:7">
      <c r="A1098" t="s">
        <v>349</v>
      </c>
      <c r="C1098">
        <v>1111</v>
      </c>
      <c r="D1098">
        <v>1373</v>
      </c>
      <c r="E1098">
        <v>1090</v>
      </c>
      <c r="F1098">
        <v>1204</v>
      </c>
      <c r="G1098">
        <v>4778</v>
      </c>
    </row>
    <row r="1099" spans="1:7">
      <c r="A1099" t="s">
        <v>422</v>
      </c>
      <c r="C1099">
        <v>1500</v>
      </c>
      <c r="D1099">
        <v>1084</v>
      </c>
      <c r="G1099">
        <v>2584</v>
      </c>
    </row>
    <row r="1100" spans="1:7">
      <c r="A1100" t="s">
        <v>410</v>
      </c>
      <c r="D1100">
        <v>817</v>
      </c>
      <c r="E1100">
        <v>1820</v>
      </c>
      <c r="G1100">
        <v>2637</v>
      </c>
    </row>
    <row r="1101" spans="1:7">
      <c r="A1101" t="s">
        <v>142</v>
      </c>
      <c r="E1101">
        <v>1351</v>
      </c>
      <c r="G1101">
        <v>1351</v>
      </c>
    </row>
    <row r="1102" spans="1:7">
      <c r="A1102" t="s">
        <v>324</v>
      </c>
      <c r="F1102">
        <v>1832</v>
      </c>
      <c r="G1102">
        <v>1832</v>
      </c>
    </row>
    <row r="1103" spans="1:7">
      <c r="A1103" t="s">
        <v>1024</v>
      </c>
      <c r="B1103">
        <v>8198</v>
      </c>
      <c r="C1103">
        <v>16287</v>
      </c>
      <c r="D1103">
        <v>9098</v>
      </c>
      <c r="E1103">
        <v>10383</v>
      </c>
      <c r="F1103">
        <v>7356</v>
      </c>
      <c r="G1103">
        <v>51322</v>
      </c>
    </row>
    <row r="1106" spans="1:5">
      <c r="A1106" s="44" t="s">
        <v>1022</v>
      </c>
      <c r="B1106" s="44" t="s">
        <v>1020</v>
      </c>
    </row>
    <row r="1107" spans="1:5">
      <c r="A1107" s="44" t="s">
        <v>1023</v>
      </c>
      <c r="B1107" s="111">
        <v>46006</v>
      </c>
      <c r="C1107" s="111">
        <v>46007</v>
      </c>
      <c r="D1107" s="111">
        <v>46008</v>
      </c>
      <c r="E1107" t="s">
        <v>1024</v>
      </c>
    </row>
    <row r="1108" spans="1:5">
      <c r="A1108" t="s">
        <v>1068</v>
      </c>
      <c r="B1108">
        <v>365</v>
      </c>
      <c r="C1108">
        <v>210</v>
      </c>
      <c r="E1108">
        <v>575</v>
      </c>
    </row>
    <row r="1109" spans="1:5">
      <c r="A1109" t="s">
        <v>99</v>
      </c>
      <c r="B1109">
        <v>735</v>
      </c>
      <c r="E1109">
        <v>735</v>
      </c>
    </row>
    <row r="1110" spans="1:5">
      <c r="A1110" t="s">
        <v>463</v>
      </c>
    </row>
    <row r="1111" spans="1:5">
      <c r="A1111" t="s">
        <v>488</v>
      </c>
    </row>
    <row r="1112" spans="1:5">
      <c r="A1112" t="s">
        <v>579</v>
      </c>
    </row>
    <row r="1113" spans="1:5">
      <c r="A1113" t="s">
        <v>494</v>
      </c>
      <c r="B1113">
        <v>87</v>
      </c>
      <c r="E1113">
        <v>87</v>
      </c>
    </row>
    <row r="1114" spans="1:5">
      <c r="A1114" t="s">
        <v>1098</v>
      </c>
      <c r="B1114">
        <v>671</v>
      </c>
      <c r="C1114">
        <v>1204</v>
      </c>
      <c r="E1114">
        <v>1875</v>
      </c>
    </row>
    <row r="1115" spans="1:5">
      <c r="A1115" t="s">
        <v>366</v>
      </c>
    </row>
    <row r="1116" spans="1:5">
      <c r="A1116" t="s">
        <v>146</v>
      </c>
      <c r="D1116">
        <v>163</v>
      </c>
      <c r="E1116">
        <v>163</v>
      </c>
    </row>
    <row r="1117" spans="1:5">
      <c r="A1117" t="s">
        <v>1099</v>
      </c>
      <c r="B1117">
        <v>752</v>
      </c>
      <c r="C1117">
        <v>1249</v>
      </c>
      <c r="D1117">
        <v>235</v>
      </c>
      <c r="E1117">
        <v>2236</v>
      </c>
    </row>
    <row r="1118" spans="1:5">
      <c r="A1118" t="s">
        <v>500</v>
      </c>
      <c r="B1118">
        <v>29</v>
      </c>
      <c r="E1118">
        <v>29</v>
      </c>
    </row>
    <row r="1119" spans="1:5">
      <c r="A1119" t="s">
        <v>142</v>
      </c>
      <c r="B1119">
        <v>689</v>
      </c>
      <c r="C1119">
        <v>586</v>
      </c>
      <c r="E1119">
        <v>1275</v>
      </c>
    </row>
    <row r="1120" spans="1:5">
      <c r="A1120" t="s">
        <v>324</v>
      </c>
      <c r="C1120">
        <v>1164</v>
      </c>
      <c r="E1120">
        <v>1164</v>
      </c>
    </row>
    <row r="1121" spans="1:5">
      <c r="A1121" t="s">
        <v>136</v>
      </c>
      <c r="B1121">
        <v>1095</v>
      </c>
      <c r="C1121">
        <v>1676</v>
      </c>
      <c r="E1121">
        <v>2771</v>
      </c>
    </row>
    <row r="1122" spans="1:5">
      <c r="A1122" t="s">
        <v>149</v>
      </c>
      <c r="B1122">
        <v>1344</v>
      </c>
      <c r="C1122">
        <v>1583</v>
      </c>
      <c r="E1122">
        <v>2927</v>
      </c>
    </row>
    <row r="1123" spans="1:5">
      <c r="A1123" t="s">
        <v>250</v>
      </c>
      <c r="C1123">
        <v>890</v>
      </c>
      <c r="E1123">
        <v>890</v>
      </c>
    </row>
    <row r="1124" spans="1:5">
      <c r="A1124" t="s">
        <v>333</v>
      </c>
      <c r="B1124">
        <v>1511</v>
      </c>
      <c r="C1124">
        <v>1887</v>
      </c>
      <c r="E1124">
        <v>3398</v>
      </c>
    </row>
    <row r="1125" spans="1:5">
      <c r="A1125" t="s">
        <v>346</v>
      </c>
      <c r="C1125">
        <v>1617</v>
      </c>
      <c r="D1125">
        <v>1083</v>
      </c>
      <c r="E1125">
        <v>2700</v>
      </c>
    </row>
    <row r="1126" spans="1:5">
      <c r="A1126" t="s">
        <v>1024</v>
      </c>
      <c r="B1126">
        <v>7278</v>
      </c>
      <c r="C1126">
        <v>12066</v>
      </c>
      <c r="D1126">
        <v>1481</v>
      </c>
      <c r="E1126">
        <v>20825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1"/>
  <sheetViews>
    <sheetView workbookViewId="0">
      <pane ySplit="1" topLeftCell="A2318" activePane="bottomLeft" state="frozen"/>
      <selection pane="bottomLeft" activeCell="A2344" sqref="A234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143</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143</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143</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143</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143</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143</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143</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143</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143</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143</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143</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143</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143</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143</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143</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143</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143</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143</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143</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143</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143</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143</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143</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143</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143</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143</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143</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143</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143</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143</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143</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143</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143</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143</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143</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143</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143</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143</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143</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143</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143</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143</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143</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143</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143</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143</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143</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143</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143</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143</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143</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143</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143</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143</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143</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143</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143</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143</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143</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143</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143</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143</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143</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143</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143</v>
      </c>
      <c r="C1216" s="56">
        <v>45812</v>
      </c>
      <c r="D1216" s="43">
        <v>83</v>
      </c>
      <c r="G1216" t="s">
        <v>1480</v>
      </c>
    </row>
    <row r="1217" spans="1:7">
      <c r="A1217" s="304" t="s">
        <v>509</v>
      </c>
      <c r="B1217" s="304" t="s">
        <v>143</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143</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143</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143</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143</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143</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143</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143</v>
      </c>
      <c r="C1289" s="56">
        <v>45834</v>
      </c>
      <c r="F1289" s="316" t="s">
        <v>1506</v>
      </c>
      <c r="G1289" t="s">
        <v>1480</v>
      </c>
    </row>
    <row r="1290" spans="1:7">
      <c r="A1290" s="349" t="s">
        <v>757</v>
      </c>
      <c r="B1290" s="307" t="s">
        <v>143</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143</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143</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143</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143</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143</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143</v>
      </c>
      <c r="C1391" s="56">
        <v>45866</v>
      </c>
      <c r="D1391" s="155">
        <v>1181</v>
      </c>
      <c r="G1391" t="s">
        <v>1513</v>
      </c>
    </row>
    <row r="1392" spans="1:7">
      <c r="A1392" s="123" t="s">
        <v>529</v>
      </c>
      <c r="B1392" s="157" t="s">
        <v>394</v>
      </c>
      <c r="C1392" s="56">
        <v>45866</v>
      </c>
      <c r="D1392" s="43">
        <v>345</v>
      </c>
      <c r="G1392" t="s">
        <v>1513</v>
      </c>
    </row>
    <row r="1393" spans="1:7">
      <c r="A1393" s="618" t="s">
        <v>653</v>
      </c>
      <c r="B1393" s="69" t="s">
        <v>143</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143</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143</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143</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143</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143</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143</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143</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143</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143</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143</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143</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143</v>
      </c>
      <c r="C1566" s="56">
        <v>45911</v>
      </c>
      <c r="D1566" s="43">
        <v>279</v>
      </c>
      <c r="F1566" s="43" t="s">
        <v>1613</v>
      </c>
      <c r="G1566" t="s">
        <v>1590</v>
      </c>
    </row>
    <row r="1567" spans="1:7">
      <c r="A1567" s="88" t="s">
        <v>1076</v>
      </c>
      <c r="B1567" s="398" t="s">
        <v>143</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143</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146</v>
      </c>
      <c r="B2202" s="1131" t="s">
        <v>143</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146</v>
      </c>
      <c r="B2214" s="311" t="s">
        <v>143</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146</v>
      </c>
      <c r="B2217" s="1131" t="s">
        <v>143</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146</v>
      </c>
      <c r="B2241" s="1144" t="s">
        <v>143</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143</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143</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142</v>
      </c>
      <c r="B2285" s="1144" t="s">
        <v>143</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142</v>
      </c>
      <c r="B2306" s="1145" t="s">
        <v>143</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142</v>
      </c>
      <c r="B2318" s="1144" t="s">
        <v>143</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232</v>
      </c>
      <c r="C2331" s="56">
        <v>46008</v>
      </c>
      <c r="D2331" s="43">
        <v>235</v>
      </c>
      <c r="F2331" s="43" t="s">
        <v>1925</v>
      </c>
      <c r="G2331" t="s">
        <v>1851</v>
      </c>
    </row>
    <row r="2332" spans="1:7">
      <c r="A2332" s="1143" t="s">
        <v>142</v>
      </c>
      <c r="B2332" s="1144" t="s">
        <v>143</v>
      </c>
      <c r="C2332" s="56">
        <v>46008</v>
      </c>
      <c r="G2332" t="s">
        <v>1851</v>
      </c>
    </row>
    <row r="2333" spans="1:7">
      <c r="A2333" s="1096" t="s">
        <v>136</v>
      </c>
      <c r="B2333" s="1144" t="s">
        <v>137</v>
      </c>
      <c r="C2333" s="56">
        <v>46008</v>
      </c>
      <c r="G2333" t="s">
        <v>1851</v>
      </c>
    </row>
    <row r="2334" spans="1:7">
      <c r="A2334" s="1143" t="s">
        <v>149</v>
      </c>
      <c r="B2334" t="s">
        <v>137</v>
      </c>
      <c r="C2334" s="56">
        <v>46008</v>
      </c>
      <c r="G2334" t="s">
        <v>1851</v>
      </c>
    </row>
    <row r="2335" spans="1:7">
      <c r="A2335" s="1361" t="s">
        <v>146</v>
      </c>
      <c r="B2335" s="1144" t="s">
        <v>143</v>
      </c>
      <c r="C2335" s="56">
        <v>46008</v>
      </c>
      <c r="D2335" s="43">
        <v>163</v>
      </c>
      <c r="F2335" s="43" t="s">
        <v>1934</v>
      </c>
      <c r="G2335" t="s">
        <v>1851</v>
      </c>
    </row>
    <row r="2336" spans="1:7">
      <c r="A2336" s="432" t="s">
        <v>250</v>
      </c>
      <c r="B2336" s="371" t="s">
        <v>251</v>
      </c>
      <c r="C2336" s="56">
        <v>46008</v>
      </c>
      <c r="G2336" t="s">
        <v>1851</v>
      </c>
    </row>
    <row r="2337" spans="1:7">
      <c r="A2337" s="43" t="s">
        <v>324</v>
      </c>
      <c r="B2337" s="115" t="s">
        <v>1471</v>
      </c>
      <c r="C2337" s="56">
        <v>46008</v>
      </c>
      <c r="G2337" t="s">
        <v>1851</v>
      </c>
    </row>
    <row r="2338" spans="1:7">
      <c r="A2338" s="148" t="s">
        <v>333</v>
      </c>
      <c r="B2338" s="43" t="s">
        <v>1691</v>
      </c>
      <c r="C2338" s="56">
        <v>46008</v>
      </c>
      <c r="G2338" t="s">
        <v>1851</v>
      </c>
    </row>
    <row r="2339" spans="1:7">
      <c r="A2339" s="1084" t="s">
        <v>366</v>
      </c>
      <c r="B2339" s="69" t="s">
        <v>137</v>
      </c>
      <c r="C2339" s="56">
        <v>46008</v>
      </c>
      <c r="G2339" t="s">
        <v>1851</v>
      </c>
    </row>
    <row r="2340" spans="1:7">
      <c r="A2340" s="148" t="s">
        <v>346</v>
      </c>
      <c r="B2340" s="148" t="s">
        <v>137</v>
      </c>
      <c r="C2340" s="56">
        <v>46008</v>
      </c>
      <c r="D2340" s="155">
        <v>1083</v>
      </c>
      <c r="G2340" t="s">
        <v>1851</v>
      </c>
    </row>
    <row r="2341" spans="1:7">
      <c r="A2341" s="148" t="s">
        <v>488</v>
      </c>
      <c r="B2341" s="148" t="s">
        <v>137</v>
      </c>
      <c r="C2341" s="56">
        <v>46008</v>
      </c>
      <c r="F2341" s="311"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1935</v>
      </c>
      <c r="W2" s="3" t="s">
        <v>1936</v>
      </c>
      <c r="X2" s="3" t="s">
        <v>1936</v>
      </c>
      <c r="Y2" s="3" t="s">
        <v>1936</v>
      </c>
      <c r="Z2" s="3" t="s">
        <v>1936</v>
      </c>
      <c r="AA2" s="8" t="s">
        <v>1937</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1938</v>
      </c>
      <c r="T3" s="19" t="s">
        <v>1939</v>
      </c>
      <c r="U3" s="19" t="s">
        <v>1940</v>
      </c>
      <c r="V3" s="5" t="s">
        <v>1941</v>
      </c>
      <c r="W3" s="5" t="s">
        <v>44</v>
      </c>
      <c r="X3" s="5" t="s">
        <v>43</v>
      </c>
      <c r="Y3" s="5" t="s">
        <v>1942</v>
      </c>
      <c r="Z3" s="5" t="s">
        <v>46</v>
      </c>
      <c r="AA3" s="89" t="s">
        <v>630</v>
      </c>
      <c r="AB3" s="68" t="s">
        <v>48</v>
      </c>
    </row>
    <row r="4" spans="1:30" ht="24.75" customHeight="1" thickBot="1">
      <c r="A4" s="440" t="s">
        <v>1943</v>
      </c>
      <c r="B4" s="440" t="s">
        <v>1944</v>
      </c>
      <c r="C4" s="16">
        <v>45717</v>
      </c>
      <c r="D4" s="63" t="s">
        <v>1945</v>
      </c>
      <c r="E4" s="51">
        <v>45707</v>
      </c>
      <c r="F4" s="51" t="s">
        <v>238</v>
      </c>
      <c r="G4" s="382" t="s">
        <v>1946</v>
      </c>
      <c r="H4" s="97">
        <v>0</v>
      </c>
      <c r="I4" s="105"/>
      <c r="J4" s="76" t="s">
        <v>63</v>
      </c>
      <c r="K4" s="76" t="s">
        <v>1947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1948</v>
      </c>
    </row>
    <row r="5" spans="1:30" ht="24.75" customHeight="1" thickBot="1">
      <c r="A5" s="440" t="s">
        <v>1949</v>
      </c>
      <c r="B5" s="440" t="s">
        <v>1944</v>
      </c>
      <c r="C5" s="16">
        <v>45717</v>
      </c>
      <c r="D5" s="63" t="s">
        <v>1945</v>
      </c>
      <c r="E5" s="51">
        <v>45707</v>
      </c>
      <c r="F5" s="381" t="s">
        <v>238</v>
      </c>
      <c r="G5" s="382" t="s">
        <v>1950</v>
      </c>
      <c r="H5" s="97">
        <v>0</v>
      </c>
      <c r="I5" s="105"/>
      <c r="J5" s="76" t="s">
        <v>63</v>
      </c>
      <c r="K5" s="76" t="s">
        <v>1947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1951</v>
      </c>
      <c r="B6" s="440" t="s">
        <v>1944</v>
      </c>
      <c r="C6" s="16">
        <v>45717</v>
      </c>
      <c r="D6" s="63" t="s">
        <v>1945</v>
      </c>
      <c r="E6" s="51">
        <v>45707</v>
      </c>
      <c r="F6" s="381" t="s">
        <v>238</v>
      </c>
      <c r="G6" s="382" t="s">
        <v>1952</v>
      </c>
      <c r="H6" s="97">
        <v>0</v>
      </c>
      <c r="I6" s="105"/>
      <c r="J6" s="76" t="s">
        <v>63</v>
      </c>
      <c r="K6" s="76" t="s">
        <v>1947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1953</v>
      </c>
      <c r="B8" s="440" t="s">
        <v>1954</v>
      </c>
      <c r="C8" s="16">
        <v>45748</v>
      </c>
      <c r="D8" s="16" t="s">
        <v>1945</v>
      </c>
      <c r="E8" s="94" t="s">
        <v>52</v>
      </c>
      <c r="F8" s="95" t="s">
        <v>52</v>
      </c>
      <c r="G8" s="620" t="s">
        <v>1955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1956</v>
      </c>
      <c r="AC8" s="435"/>
      <c r="AD8" s="70"/>
    </row>
    <row r="9" spans="1:30" ht="24.75" customHeight="1">
      <c r="A9" s="449" t="s">
        <v>1957</v>
      </c>
      <c r="B9" s="449" t="s">
        <v>1958</v>
      </c>
      <c r="C9" s="23">
        <v>45741</v>
      </c>
      <c r="D9" s="16" t="s">
        <v>1945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1959</v>
      </c>
    </row>
    <row r="10" spans="1:30" ht="24.75" customHeight="1" thickBot="1">
      <c r="A10" s="26" t="s">
        <v>1960</v>
      </c>
      <c r="B10" s="26" t="s">
        <v>1958</v>
      </c>
      <c r="C10" s="27">
        <v>45741</v>
      </c>
      <c r="D10" s="16" t="s">
        <v>1945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1961</v>
      </c>
      <c r="B11" s="36" t="s">
        <v>1958</v>
      </c>
      <c r="C11" s="37">
        <v>45747</v>
      </c>
      <c r="D11" s="16" t="s">
        <v>1945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1962</v>
      </c>
      <c r="B12" s="26" t="s">
        <v>1958</v>
      </c>
      <c r="C12" s="27">
        <v>45741</v>
      </c>
      <c r="D12" s="16" t="s">
        <v>1945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1959</v>
      </c>
    </row>
    <row r="13" spans="1:30" ht="24.75" customHeight="1" thickBot="1">
      <c r="A13" s="26" t="s">
        <v>1963</v>
      </c>
      <c r="B13" s="26" t="s">
        <v>1958</v>
      </c>
      <c r="C13" s="27">
        <v>45741</v>
      </c>
      <c r="D13" s="27" t="s">
        <v>1945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1959</v>
      </c>
    </row>
    <row r="14" spans="1:30" ht="24.75" customHeight="1" thickBot="1">
      <c r="A14" s="26" t="s">
        <v>1964</v>
      </c>
      <c r="B14" s="26" t="s">
        <v>1958</v>
      </c>
      <c r="C14" s="27">
        <v>45747</v>
      </c>
      <c r="D14" s="27" t="s">
        <v>1945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1965</v>
      </c>
      <c r="B15" s="26" t="s">
        <v>1958</v>
      </c>
      <c r="C15" s="27">
        <v>45741</v>
      </c>
      <c r="D15" s="27" t="s">
        <v>1945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1959</v>
      </c>
    </row>
    <row r="16" spans="1:30" ht="24.75" customHeight="1" thickBot="1">
      <c r="A16" s="26" t="s">
        <v>1966</v>
      </c>
      <c r="B16" s="26" t="s">
        <v>1958</v>
      </c>
      <c r="C16" s="27">
        <v>45741</v>
      </c>
      <c r="D16" s="27" t="s">
        <v>1945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1959</v>
      </c>
    </row>
    <row r="17" spans="1:30" ht="24.75" customHeight="1" thickBot="1">
      <c r="A17" s="36" t="s">
        <v>1967</v>
      </c>
      <c r="B17" s="36" t="s">
        <v>1958</v>
      </c>
      <c r="C17" s="37">
        <v>45747</v>
      </c>
      <c r="D17" s="37" t="s">
        <v>1945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1968</v>
      </c>
      <c r="B18" s="374" t="s">
        <v>1958</v>
      </c>
      <c r="C18" s="51">
        <v>45717</v>
      </c>
      <c r="D18" s="27" t="s">
        <v>1945</v>
      </c>
      <c r="E18" s="85">
        <v>45700</v>
      </c>
      <c r="F18" s="51"/>
      <c r="G18" s="51" t="s">
        <v>1969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1959</v>
      </c>
    </row>
    <row r="19" spans="1:30" ht="24.75" customHeight="1" thickBot="1">
      <c r="A19" s="50" t="s">
        <v>1970</v>
      </c>
      <c r="B19" s="26" t="s">
        <v>1958</v>
      </c>
      <c r="C19" s="51">
        <v>45747</v>
      </c>
      <c r="D19" s="27" t="s">
        <v>1945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1971</v>
      </c>
    </row>
    <row r="20" spans="1:30" ht="24.75" customHeight="1" thickBot="1">
      <c r="A20" s="374" t="s">
        <v>1972</v>
      </c>
      <c r="B20" s="374" t="s">
        <v>1958</v>
      </c>
      <c r="C20" s="375">
        <v>45717</v>
      </c>
      <c r="D20" s="27" t="s">
        <v>1945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1959</v>
      </c>
    </row>
    <row r="21" spans="1:30" ht="24.75" customHeight="1" thickBot="1">
      <c r="A21" s="374" t="s">
        <v>1973</v>
      </c>
      <c r="B21" s="112" t="s">
        <v>50</v>
      </c>
      <c r="C21" s="51">
        <v>45717</v>
      </c>
      <c r="D21" s="27" t="s">
        <v>1974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1975</v>
      </c>
      <c r="B22" s="378" t="s">
        <v>50</v>
      </c>
      <c r="C22" s="51">
        <v>45717</v>
      </c>
      <c r="D22" s="51" t="s">
        <v>1974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1977</v>
      </c>
      <c r="B24" s="378" t="s">
        <v>50</v>
      </c>
      <c r="C24" s="381">
        <v>45688</v>
      </c>
      <c r="D24" s="390" t="s">
        <v>1976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1978</v>
      </c>
      <c r="B25" s="113" t="s">
        <v>50</v>
      </c>
      <c r="C25" s="51">
        <v>45747</v>
      </c>
      <c r="D25" s="51" t="s">
        <v>1974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1979</v>
      </c>
    </row>
    <row r="26" spans="1:30" ht="24.75" customHeight="1">
      <c r="A26" s="101" t="s">
        <v>1980</v>
      </c>
      <c r="B26" s="102" t="s">
        <v>50</v>
      </c>
      <c r="C26" s="77">
        <v>45716</v>
      </c>
      <c r="D26" s="26" t="s">
        <v>1976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1981</v>
      </c>
      <c r="B27" s="102" t="s">
        <v>50</v>
      </c>
      <c r="C27" s="77">
        <v>45716</v>
      </c>
      <c r="D27" s="50" t="s">
        <v>1976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1982</v>
      </c>
      <c r="B28" s="1120" t="s">
        <v>50</v>
      </c>
      <c r="C28" s="1113">
        <v>45991</v>
      </c>
      <c r="D28" s="375" t="s">
        <v>71</v>
      </c>
      <c r="E28" s="77">
        <v>45734</v>
      </c>
      <c r="F28" s="1111" t="s">
        <v>61</v>
      </c>
      <c r="G28" s="1122" t="s">
        <v>1983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1984</v>
      </c>
      <c r="B29" s="1120" t="s">
        <v>50</v>
      </c>
      <c r="C29" s="1113">
        <v>46021</v>
      </c>
      <c r="D29" s="375" t="s">
        <v>71</v>
      </c>
      <c r="E29" s="77">
        <v>45743</v>
      </c>
      <c r="F29" s="1111" t="s">
        <v>61</v>
      </c>
      <c r="G29" s="1121" t="s">
        <v>1985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1986</v>
      </c>
      <c r="AC29" s="1117"/>
      <c r="AD29" s="1119"/>
    </row>
    <row r="30" spans="1:30" ht="24.75" customHeight="1">
      <c r="A30" s="374" t="s">
        <v>1987</v>
      </c>
      <c r="B30" s="669" t="s">
        <v>50</v>
      </c>
      <c r="C30" s="375">
        <v>45991</v>
      </c>
      <c r="D30" s="50" t="s">
        <v>71</v>
      </c>
      <c r="E30" s="51">
        <v>45743</v>
      </c>
      <c r="F30" s="50" t="s">
        <v>61</v>
      </c>
      <c r="G30" s="379" t="s">
        <v>1988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1989</v>
      </c>
      <c r="AC30" s="333"/>
      <c r="AD30" s="115"/>
    </row>
    <row r="31" spans="1:30" ht="24.75" customHeight="1">
      <c r="A31" s="374" t="s">
        <v>1050</v>
      </c>
      <c r="B31" s="669" t="s">
        <v>50</v>
      </c>
      <c r="C31" s="375">
        <v>46021</v>
      </c>
      <c r="D31" s="375" t="s">
        <v>71</v>
      </c>
      <c r="E31" s="51">
        <v>45735</v>
      </c>
      <c r="F31" s="50" t="s">
        <v>61</v>
      </c>
      <c r="G31" s="670" t="s">
        <v>1990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1991</v>
      </c>
      <c r="W31" s="34">
        <v>0</v>
      </c>
      <c r="X31" s="34">
        <v>0</v>
      </c>
      <c r="Y31" s="31">
        <v>0</v>
      </c>
      <c r="Z31" s="34">
        <v>0</v>
      </c>
      <c r="AA31" s="31">
        <v>0</v>
      </c>
      <c r="AB31" s="353" t="s">
        <v>1986</v>
      </c>
    </row>
    <row r="32" spans="1:30" ht="24.75" customHeight="1">
      <c r="A32" s="906" t="s">
        <v>1992</v>
      </c>
      <c r="B32" s="1112" t="s">
        <v>50</v>
      </c>
      <c r="C32" s="987">
        <v>45717</v>
      </c>
      <c r="D32" s="987" t="s">
        <v>1974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1993</v>
      </c>
      <c r="B33" s="991" t="s">
        <v>50</v>
      </c>
      <c r="C33" s="908">
        <v>45989</v>
      </c>
      <c r="D33" s="908" t="s">
        <v>1994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1995</v>
      </c>
    </row>
    <row r="34" spans="1:30" ht="24.75" customHeight="1">
      <c r="A34" s="906" t="s">
        <v>1996</v>
      </c>
      <c r="B34" s="1112" t="s">
        <v>50</v>
      </c>
      <c r="C34" s="987">
        <v>45717</v>
      </c>
      <c r="D34" s="987" t="s">
        <v>1974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1997</v>
      </c>
      <c r="B35" s="1112" t="s">
        <v>50</v>
      </c>
      <c r="C35" s="987">
        <v>45717</v>
      </c>
      <c r="D35" s="987" t="s">
        <v>1974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1998</v>
      </c>
      <c r="B36" s="1112" t="s">
        <v>50</v>
      </c>
      <c r="C36" s="987">
        <v>45717</v>
      </c>
      <c r="D36" s="987" t="s">
        <v>1974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1999</v>
      </c>
      <c r="Q1" s="159" t="s">
        <v>2000</v>
      </c>
      <c r="R1" s="127" t="s">
        <v>2001</v>
      </c>
      <c r="S1" s="127" t="s">
        <v>2002</v>
      </c>
      <c r="T1" s="159" t="s">
        <v>2003</v>
      </c>
      <c r="U1" s="127" t="s">
        <v>1176</v>
      </c>
      <c r="V1" s="160" t="s">
        <v>2004</v>
      </c>
      <c r="W1" s="160" t="s">
        <v>2005</v>
      </c>
      <c r="X1" s="163" t="s">
        <v>2006</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2007</v>
      </c>
      <c r="B4" s="407" t="s">
        <v>237</v>
      </c>
      <c r="C4" s="408">
        <v>45742</v>
      </c>
      <c r="D4" s="696" t="s">
        <v>2008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140</v>
      </c>
      <c r="O6" s="356">
        <v>45718</v>
      </c>
      <c r="P6" s="30" t="s">
        <v>140</v>
      </c>
      <c r="Q6" s="334" t="s">
        <v>140</v>
      </c>
      <c r="R6" s="43" t="s">
        <v>2009</v>
      </c>
      <c r="S6" s="43" t="s">
        <v>140</v>
      </c>
      <c r="T6" s="43" t="s">
        <v>140</v>
      </c>
      <c r="U6" s="157" t="s">
        <v>140</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140</v>
      </c>
      <c r="O7" s="79" t="s">
        <v>140</v>
      </c>
      <c r="P7" s="30" t="s">
        <v>140</v>
      </c>
      <c r="Q7" s="334" t="s">
        <v>140</v>
      </c>
      <c r="R7" s="43" t="s">
        <v>2009</v>
      </c>
      <c r="S7" s="43" t="s">
        <v>140</v>
      </c>
      <c r="T7" s="43" t="s">
        <v>140</v>
      </c>
      <c r="U7" s="43" t="s">
        <v>140</v>
      </c>
      <c r="V7" s="69" t="s">
        <v>90</v>
      </c>
      <c r="W7" s="30"/>
      <c r="X7" s="69" t="s">
        <v>90</v>
      </c>
      <c r="Y7" t="e">
        <f>VLOOKUP(A7,#REF!,2,FALSE)</f>
        <v>#REF!</v>
      </c>
    </row>
    <row r="8" spans="1:25">
      <c r="A8" s="175" t="s">
        <v>532</v>
      </c>
      <c r="B8" s="180" t="s">
        <v>237</v>
      </c>
      <c r="C8" s="176">
        <v>45742</v>
      </c>
      <c r="D8" s="185" t="s">
        <v>2010</v>
      </c>
      <c r="E8" s="120"/>
      <c r="F8" s="108"/>
      <c r="G8" s="108"/>
      <c r="H8" s="179">
        <v>84</v>
      </c>
      <c r="I8" s="181"/>
      <c r="J8" s="185" t="s">
        <v>57</v>
      </c>
      <c r="K8" s="185" t="s">
        <v>57</v>
      </c>
      <c r="L8" s="185" t="s">
        <v>63</v>
      </c>
      <c r="M8" s="193">
        <v>45716</v>
      </c>
      <c r="N8" s="30" t="s">
        <v>140</v>
      </c>
      <c r="O8" s="30" t="s">
        <v>140</v>
      </c>
      <c r="P8" s="711" t="s">
        <v>140</v>
      </c>
      <c r="Q8" s="69" t="s">
        <v>140</v>
      </c>
      <c r="R8" s="43" t="s">
        <v>2009</v>
      </c>
      <c r="S8" s="43" t="s">
        <v>140</v>
      </c>
      <c r="T8" s="43" t="s">
        <v>140</v>
      </c>
      <c r="U8" s="43" t="s">
        <v>140</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140</v>
      </c>
      <c r="O9" s="54">
        <v>45718</v>
      </c>
      <c r="P9" s="119" t="s">
        <v>140</v>
      </c>
      <c r="Q9" s="69" t="s">
        <v>140</v>
      </c>
      <c r="R9" s="43" t="s">
        <v>2009</v>
      </c>
      <c r="S9" s="43" t="s">
        <v>140</v>
      </c>
      <c r="T9" s="43" t="s">
        <v>140</v>
      </c>
      <c r="U9" s="43" t="s">
        <v>140</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140</v>
      </c>
      <c r="O10" s="30" t="s">
        <v>140</v>
      </c>
      <c r="P10" s="30" t="s">
        <v>140</v>
      </c>
      <c r="Q10" s="43" t="s">
        <v>140</v>
      </c>
      <c r="R10" s="43" t="s">
        <v>2009</v>
      </c>
      <c r="S10" s="43" t="s">
        <v>140</v>
      </c>
      <c r="T10" s="43" t="s">
        <v>140</v>
      </c>
      <c r="U10" s="161" t="s">
        <v>140</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140</v>
      </c>
      <c r="Q11" s="69" t="s">
        <v>140</v>
      </c>
      <c r="R11" s="43" t="s">
        <v>2009</v>
      </c>
      <c r="S11" s="43" t="s">
        <v>140</v>
      </c>
      <c r="T11" s="43" t="s">
        <v>140</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140</v>
      </c>
      <c r="Q12" s="69" t="s">
        <v>140</v>
      </c>
      <c r="R12" s="43" t="s">
        <v>2009</v>
      </c>
      <c r="S12" s="43" t="s">
        <v>140</v>
      </c>
      <c r="T12" s="43" t="s">
        <v>140</v>
      </c>
      <c r="U12" s="69" t="s">
        <v>90</v>
      </c>
      <c r="V12" s="69" t="s">
        <v>90</v>
      </c>
      <c r="W12" s="30"/>
      <c r="X12" s="69" t="s">
        <v>90</v>
      </c>
      <c r="Y12" t="e">
        <f>VLOOKUP(A12,#REF!,2,FALSE)</f>
        <v>#REF!</v>
      </c>
    </row>
    <row r="13" spans="1:25">
      <c r="A13" s="178" t="s">
        <v>302</v>
      </c>
      <c r="B13" s="180" t="s">
        <v>237</v>
      </c>
      <c r="C13" s="409">
        <v>45960</v>
      </c>
      <c r="D13" s="418" t="s">
        <v>2011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2012</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2013</v>
      </c>
      <c r="N16" s="30" t="s">
        <v>140</v>
      </c>
      <c r="O16" s="54" t="s">
        <v>2013</v>
      </c>
      <c r="P16" s="30" t="s">
        <v>140</v>
      </c>
      <c r="Q16" s="69" t="s">
        <v>140</v>
      </c>
      <c r="R16" s="43" t="s">
        <v>140</v>
      </c>
      <c r="S16" s="43" t="s">
        <v>56</v>
      </c>
      <c r="T16" s="43" t="s">
        <v>140</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2012</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2012</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2012</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2012</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2012</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2012</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2012</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140</v>
      </c>
      <c r="O31" s="54">
        <v>45707</v>
      </c>
      <c r="P31" s="87" t="s">
        <v>140</v>
      </c>
      <c r="Q31" s="43" t="s">
        <v>140</v>
      </c>
      <c r="R31" s="43" t="s">
        <v>2009</v>
      </c>
      <c r="S31" s="43" t="s">
        <v>140</v>
      </c>
      <c r="T31" s="139" t="s">
        <v>140</v>
      </c>
      <c r="U31" s="115" t="s">
        <v>140</v>
      </c>
      <c r="V31" s="69" t="s">
        <v>140</v>
      </c>
      <c r="W31" s="54">
        <v>45779</v>
      </c>
      <c r="X31" s="69" t="s">
        <v>2012</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140</v>
      </c>
      <c r="O32" s="54">
        <v>45756</v>
      </c>
      <c r="P32" s="30" t="s">
        <v>140</v>
      </c>
      <c r="Q32" s="69" t="s">
        <v>140</v>
      </c>
      <c r="R32" s="69" t="s">
        <v>2009</v>
      </c>
      <c r="S32" s="43" t="s">
        <v>140</v>
      </c>
      <c r="T32" s="139" t="s">
        <v>140</v>
      </c>
      <c r="U32" s="43" t="s">
        <v>140</v>
      </c>
      <c r="V32" s="69" t="s">
        <v>140</v>
      </c>
      <c r="W32" s="54">
        <v>45792</v>
      </c>
      <c r="X32" s="69" t="s">
        <v>2012</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140</v>
      </c>
      <c r="O33" s="124">
        <v>45749</v>
      </c>
      <c r="P33" s="30" t="s">
        <v>140</v>
      </c>
      <c r="Q33" s="69" t="s">
        <v>140</v>
      </c>
      <c r="R33" s="69" t="s">
        <v>2009</v>
      </c>
      <c r="S33" s="43" t="s">
        <v>140</v>
      </c>
      <c r="T33" s="139" t="s">
        <v>140</v>
      </c>
      <c r="U33" s="43" t="s">
        <v>140</v>
      </c>
      <c r="V33" s="334" t="s">
        <v>140</v>
      </c>
      <c r="W33" s="54">
        <v>45812</v>
      </c>
      <c r="X33" s="69" t="s">
        <v>2012</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140</v>
      </c>
      <c r="O34" s="124">
        <v>45750</v>
      </c>
      <c r="P34" s="30" t="s">
        <v>140</v>
      </c>
      <c r="Q34" s="69" t="s">
        <v>140</v>
      </c>
      <c r="R34" s="69" t="s">
        <v>2009</v>
      </c>
      <c r="S34" s="43" t="s">
        <v>140</v>
      </c>
      <c r="T34" s="139" t="s">
        <v>140</v>
      </c>
      <c r="U34" s="43" t="s">
        <v>140</v>
      </c>
      <c r="V34" s="404" t="s">
        <v>140</v>
      </c>
      <c r="W34" s="166">
        <v>45797</v>
      </c>
      <c r="X34" s="69" t="s">
        <v>2012</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140</v>
      </c>
      <c r="O35" s="124">
        <v>45659</v>
      </c>
      <c r="P35" s="87" t="s">
        <v>140</v>
      </c>
      <c r="Q35" s="43" t="s">
        <v>140</v>
      </c>
      <c r="R35" s="43" t="s">
        <v>2009</v>
      </c>
      <c r="S35" s="43" t="s">
        <v>140</v>
      </c>
      <c r="T35" s="139" t="s">
        <v>140</v>
      </c>
      <c r="U35" s="169" t="s">
        <v>140</v>
      </c>
      <c r="V35" s="69" t="s">
        <v>140</v>
      </c>
      <c r="W35" s="54">
        <v>45789</v>
      </c>
      <c r="X35" s="334" t="s">
        <v>2012</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140</v>
      </c>
      <c r="O36" s="124">
        <v>45659</v>
      </c>
      <c r="P36" s="87" t="s">
        <v>140</v>
      </c>
      <c r="Q36" s="43" t="s">
        <v>140</v>
      </c>
      <c r="R36" s="43" t="s">
        <v>2009</v>
      </c>
      <c r="S36" s="43" t="s">
        <v>140</v>
      </c>
      <c r="T36" s="139" t="s">
        <v>140</v>
      </c>
      <c r="U36" s="43" t="s">
        <v>140</v>
      </c>
      <c r="V36" s="69" t="s">
        <v>140</v>
      </c>
      <c r="W36" s="54">
        <v>45824</v>
      </c>
      <c r="X36" s="334" t="s">
        <v>2012</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140</v>
      </c>
      <c r="N37" s="30" t="s">
        <v>140</v>
      </c>
      <c r="O37" s="124">
        <v>45672</v>
      </c>
      <c r="P37" s="30" t="s">
        <v>140</v>
      </c>
      <c r="Q37" s="43" t="s">
        <v>140</v>
      </c>
      <c r="R37" s="43" t="s">
        <v>2009</v>
      </c>
      <c r="S37" s="43" t="s">
        <v>140</v>
      </c>
      <c r="T37" s="43" t="s">
        <v>140</v>
      </c>
      <c r="U37" s="169" t="s">
        <v>140</v>
      </c>
      <c r="V37" s="69" t="s">
        <v>140</v>
      </c>
      <c r="W37" s="156">
        <v>45789</v>
      </c>
      <c r="X37" s="69" t="s">
        <v>2012</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140</v>
      </c>
      <c r="O38" s="124">
        <v>45673</v>
      </c>
      <c r="P38" s="30" t="s">
        <v>140</v>
      </c>
      <c r="Q38" s="43" t="s">
        <v>140</v>
      </c>
      <c r="R38" s="43" t="s">
        <v>2009</v>
      </c>
      <c r="S38" s="43" t="s">
        <v>140</v>
      </c>
      <c r="T38" s="43" t="s">
        <v>140</v>
      </c>
      <c r="U38" s="169" t="s">
        <v>140</v>
      </c>
      <c r="V38" s="69" t="s">
        <v>140</v>
      </c>
      <c r="W38" s="54">
        <v>45789</v>
      </c>
      <c r="X38" s="69" t="s">
        <v>2012</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140</v>
      </c>
      <c r="N39" s="30" t="s">
        <v>140</v>
      </c>
      <c r="O39" s="124">
        <v>45672</v>
      </c>
      <c r="P39" s="30" t="s">
        <v>140</v>
      </c>
      <c r="Q39" s="43" t="s">
        <v>140</v>
      </c>
      <c r="R39" s="43" t="s">
        <v>2009</v>
      </c>
      <c r="S39" s="43" t="s">
        <v>140</v>
      </c>
      <c r="T39" s="43" t="s">
        <v>140</v>
      </c>
      <c r="U39" s="169" t="s">
        <v>140</v>
      </c>
      <c r="V39" s="69" t="s">
        <v>140</v>
      </c>
      <c r="W39" s="54">
        <v>45789</v>
      </c>
      <c r="X39" s="69" t="s">
        <v>2012</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2012</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2012</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2012</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2012</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2012</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2012</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2012</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2012</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2012</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2012</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2012</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2012</v>
      </c>
    </row>
    <row r="54" spans="1:56">
      <c r="A54" s="178" t="s">
        <v>936</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140</v>
      </c>
      <c r="O57" s="124">
        <v>45783</v>
      </c>
      <c r="P57" s="328" t="s">
        <v>140</v>
      </c>
      <c r="Q57" s="43" t="s">
        <v>140</v>
      </c>
      <c r="R57" s="43" t="s">
        <v>2009</v>
      </c>
      <c r="S57" s="43" t="s">
        <v>140</v>
      </c>
      <c r="T57" s="43" t="s">
        <v>140</v>
      </c>
      <c r="U57" s="43" t="s">
        <v>140</v>
      </c>
      <c r="V57" s="69" t="s">
        <v>140</v>
      </c>
      <c r="W57" s="54">
        <v>45813</v>
      </c>
      <c r="X57" s="69" t="s">
        <v>2012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140</v>
      </c>
      <c r="O58" s="54">
        <v>45776</v>
      </c>
      <c r="P58" s="328" t="s">
        <v>140</v>
      </c>
      <c r="Q58" s="43" t="s">
        <v>140</v>
      </c>
      <c r="R58" s="43" t="s">
        <v>2009</v>
      </c>
      <c r="S58" s="43" t="s">
        <v>140</v>
      </c>
      <c r="T58" s="43" t="s">
        <v>140</v>
      </c>
      <c r="U58" s="43" t="s">
        <v>140</v>
      </c>
      <c r="V58" s="334" t="s">
        <v>140</v>
      </c>
      <c r="W58" s="54">
        <v>45796</v>
      </c>
      <c r="X58" s="69" t="s">
        <v>2012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140</v>
      </c>
      <c r="O59" s="30" t="s">
        <v>1991</v>
      </c>
      <c r="P59" s="328" t="s">
        <v>140</v>
      </c>
      <c r="Q59" s="43" t="s">
        <v>140</v>
      </c>
      <c r="R59" s="43" t="s">
        <v>2009</v>
      </c>
      <c r="S59" s="43" t="s">
        <v>140</v>
      </c>
      <c r="T59" s="43" t="s">
        <v>140</v>
      </c>
      <c r="U59" s="43" t="s">
        <v>140</v>
      </c>
      <c r="V59" s="334" t="s">
        <v>140</v>
      </c>
      <c r="W59" s="54">
        <v>45796</v>
      </c>
      <c r="X59" s="69" t="s">
        <v>2012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140</v>
      </c>
      <c r="O60" s="54">
        <v>45812</v>
      </c>
      <c r="P60" s="328" t="s">
        <v>140</v>
      </c>
      <c r="Q60" s="43" t="s">
        <v>140</v>
      </c>
      <c r="R60" s="43" t="s">
        <v>2009</v>
      </c>
      <c r="S60" s="43" t="s">
        <v>140</v>
      </c>
      <c r="T60" s="43" t="s">
        <v>140</v>
      </c>
      <c r="U60" s="43" t="s">
        <v>140</v>
      </c>
      <c r="V60" s="334" t="s">
        <v>140</v>
      </c>
      <c r="W60" s="54">
        <v>45824</v>
      </c>
      <c r="X60" s="69" t="s">
        <v>2012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2014</v>
      </c>
      <c r="B81" s="529" t="s">
        <v>117</v>
      </c>
      <c r="C81" s="176">
        <v>45688</v>
      </c>
      <c r="D81" s="619" t="s">
        <v>753</v>
      </c>
      <c r="E81" s="172"/>
      <c r="F81" s="129"/>
      <c r="G81" s="129"/>
      <c r="H81" s="179">
        <v>48</v>
      </c>
      <c r="I81" s="181"/>
      <c r="J81" s="179" t="s">
        <v>57</v>
      </c>
      <c r="K81" s="179" t="s">
        <v>57</v>
      </c>
      <c r="L81" s="179" t="s">
        <v>56</v>
      </c>
      <c r="M81" s="100" t="s">
        <v>140</v>
      </c>
      <c r="N81" s="87" t="s">
        <v>140</v>
      </c>
      <c r="O81" s="124">
        <v>45678</v>
      </c>
      <c r="P81" s="87" t="s">
        <v>140</v>
      </c>
      <c r="Q81" s="43" t="s">
        <v>140</v>
      </c>
      <c r="R81" s="43" t="s">
        <v>2009</v>
      </c>
      <c r="S81" s="43" t="s">
        <v>140</v>
      </c>
      <c r="T81" s="43" t="s">
        <v>140</v>
      </c>
      <c r="U81" s="115" t="s">
        <v>140</v>
      </c>
      <c r="V81" s="69" t="s">
        <v>140</v>
      </c>
      <c r="W81" s="54">
        <v>45789</v>
      </c>
      <c r="X81" s="69" t="s">
        <v>2012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2009</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140</v>
      </c>
      <c r="O84" s="54">
        <v>45728</v>
      </c>
      <c r="P84" s="30" t="s">
        <v>140</v>
      </c>
      <c r="Q84" s="169" t="s">
        <v>140</v>
      </c>
      <c r="R84" s="169" t="s">
        <v>2009</v>
      </c>
      <c r="S84" s="169" t="s">
        <v>140</v>
      </c>
      <c r="T84" s="169" t="s">
        <v>140</v>
      </c>
      <c r="U84" s="91" t="s">
        <v>140</v>
      </c>
      <c r="V84" s="69" t="s">
        <v>140</v>
      </c>
      <c r="W84" s="195">
        <v>45875</v>
      </c>
      <c r="X84" s="69" t="s">
        <v>2012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140</v>
      </c>
      <c r="O85" s="54">
        <v>45719</v>
      </c>
      <c r="P85" s="30" t="s">
        <v>140</v>
      </c>
      <c r="Q85" s="43" t="s">
        <v>140</v>
      </c>
      <c r="R85" s="169" t="s">
        <v>2009</v>
      </c>
      <c r="S85" s="169" t="s">
        <v>140</v>
      </c>
      <c r="T85" s="169" t="s">
        <v>140</v>
      </c>
      <c r="U85" s="91" t="s">
        <v>140</v>
      </c>
      <c r="V85" s="91" t="s">
        <v>140</v>
      </c>
      <c r="W85" s="195">
        <v>45874</v>
      </c>
      <c r="X85" s="69" t="s">
        <v>2012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140</v>
      </c>
      <c r="O86" s="195">
        <v>45728</v>
      </c>
      <c r="P86" s="30" t="s">
        <v>140</v>
      </c>
      <c r="Q86" s="43" t="s">
        <v>140</v>
      </c>
      <c r="R86" s="43" t="s">
        <v>2009</v>
      </c>
      <c r="S86" s="43" t="s">
        <v>140</v>
      </c>
      <c r="T86" s="43" t="s">
        <v>140</v>
      </c>
      <c r="U86" s="69" t="s">
        <v>140</v>
      </c>
      <c r="V86" s="69" t="s">
        <v>140</v>
      </c>
      <c r="W86" s="54">
        <v>45824</v>
      </c>
      <c r="X86" s="69" t="s">
        <v>2012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140</v>
      </c>
      <c r="O87" s="30" t="s">
        <v>140</v>
      </c>
      <c r="P87" s="30" t="s">
        <v>140</v>
      </c>
      <c r="Q87" s="43" t="s">
        <v>140</v>
      </c>
      <c r="R87" s="43" t="s">
        <v>2009</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140</v>
      </c>
      <c r="O88" s="54">
        <v>45728</v>
      </c>
      <c r="P88" s="30" t="s">
        <v>140</v>
      </c>
      <c r="Q88" s="43" t="s">
        <v>140</v>
      </c>
      <c r="R88" s="43" t="s">
        <v>2009</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140</v>
      </c>
      <c r="O89" s="54">
        <v>45722</v>
      </c>
      <c r="P89" s="30" t="s">
        <v>140</v>
      </c>
      <c r="Q89" s="69" t="s">
        <v>140</v>
      </c>
      <c r="R89" s="43" t="s">
        <v>2009</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140</v>
      </c>
      <c r="O90" s="54">
        <v>45727</v>
      </c>
      <c r="P90" s="30" t="s">
        <v>140</v>
      </c>
      <c r="Q90" s="69" t="s">
        <v>140</v>
      </c>
      <c r="R90" s="43" t="s">
        <v>2009</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140</v>
      </c>
      <c r="O91" s="54">
        <v>45723</v>
      </c>
      <c r="P91" s="30" t="s">
        <v>140</v>
      </c>
      <c r="Q91" s="69" t="s">
        <v>140</v>
      </c>
      <c r="R91" s="43" t="s">
        <v>2009</v>
      </c>
      <c r="S91" s="69" t="s">
        <v>140</v>
      </c>
      <c r="T91" s="69" t="s">
        <v>140</v>
      </c>
      <c r="U91" s="69" t="s">
        <v>140</v>
      </c>
      <c r="V91" s="69" t="s">
        <v>140</v>
      </c>
      <c r="W91" s="54">
        <v>45831</v>
      </c>
      <c r="X91" s="69" t="s">
        <v>2012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140</v>
      </c>
      <c r="O92" s="54">
        <v>45726</v>
      </c>
      <c r="P92" s="30" t="s">
        <v>140</v>
      </c>
      <c r="Q92" s="148" t="s">
        <v>140</v>
      </c>
      <c r="R92" s="43" t="s">
        <v>2009</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140</v>
      </c>
      <c r="O93" s="54">
        <v>45727</v>
      </c>
      <c r="P93" s="79" t="s">
        <v>140</v>
      </c>
      <c r="Q93" s="43" t="s">
        <v>140</v>
      </c>
      <c r="R93" s="43" t="s">
        <v>2009</v>
      </c>
      <c r="S93" s="43" t="s">
        <v>140</v>
      </c>
      <c r="T93" s="43" t="s">
        <v>140</v>
      </c>
      <c r="U93" s="334" t="s">
        <v>140</v>
      </c>
      <c r="V93" s="69" t="s">
        <v>140</v>
      </c>
      <c r="W93" s="54">
        <v>45789</v>
      </c>
      <c r="X93" s="69" t="s">
        <v>2012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140</v>
      </c>
      <c r="O94" s="54">
        <v>45693</v>
      </c>
      <c r="P94" s="79" t="s">
        <v>140</v>
      </c>
      <c r="Q94" s="69" t="s">
        <v>140</v>
      </c>
      <c r="R94" s="69" t="s">
        <v>2009</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140</v>
      </c>
      <c r="O95" s="195">
        <v>45694</v>
      </c>
      <c r="P95" s="79" t="s">
        <v>140</v>
      </c>
      <c r="Q95" s="69" t="s">
        <v>140</v>
      </c>
      <c r="R95" s="69" t="s">
        <v>2009</v>
      </c>
      <c r="S95" s="69" t="s">
        <v>140</v>
      </c>
      <c r="T95" s="43" t="s">
        <v>140</v>
      </c>
      <c r="U95" s="69" t="s">
        <v>140</v>
      </c>
      <c r="V95" s="69" t="s">
        <v>140</v>
      </c>
      <c r="W95" s="54">
        <v>45814</v>
      </c>
      <c r="X95" s="69" t="s">
        <v>2012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140</v>
      </c>
      <c r="O96" s="54">
        <v>45694</v>
      </c>
      <c r="P96" s="30" t="s">
        <v>140</v>
      </c>
      <c r="Q96" s="69" t="s">
        <v>140</v>
      </c>
      <c r="R96" s="91" t="s">
        <v>2009</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140</v>
      </c>
      <c r="O97" s="54">
        <v>45688</v>
      </c>
      <c r="P97" s="30" t="s">
        <v>140</v>
      </c>
      <c r="Q97" s="69" t="s">
        <v>140</v>
      </c>
      <c r="R97" s="69" t="s">
        <v>2009</v>
      </c>
      <c r="S97" s="69" t="s">
        <v>140</v>
      </c>
      <c r="T97" s="69" t="s">
        <v>140</v>
      </c>
      <c r="U97" s="69" t="s">
        <v>140</v>
      </c>
      <c r="V97" s="43" t="s">
        <v>140</v>
      </c>
      <c r="W97" s="54">
        <v>45824</v>
      </c>
      <c r="X97" s="69" t="s">
        <v>2012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140</v>
      </c>
      <c r="O98" s="54">
        <v>45692</v>
      </c>
      <c r="P98" s="30" t="s">
        <v>140</v>
      </c>
      <c r="Q98" s="43" t="s">
        <v>140</v>
      </c>
      <c r="R98" s="43" t="s">
        <v>2009</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140</v>
      </c>
      <c r="O99" s="54">
        <v>45692</v>
      </c>
      <c r="P99" s="30" t="s">
        <v>140</v>
      </c>
      <c r="Q99" s="43" t="s">
        <v>140</v>
      </c>
      <c r="R99" s="43" t="s">
        <v>2009</v>
      </c>
      <c r="S99" s="43" t="s">
        <v>140</v>
      </c>
      <c r="T99" s="115" t="s">
        <v>140</v>
      </c>
      <c r="U99" s="148" t="s">
        <v>140</v>
      </c>
      <c r="V99" s="69" t="s">
        <v>140</v>
      </c>
      <c r="W99" s="54">
        <v>45814</v>
      </c>
      <c r="X99" s="69" t="s">
        <v>2012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140</v>
      </c>
      <c r="O100" s="166">
        <v>45691</v>
      </c>
      <c r="P100" s="30" t="s">
        <v>140</v>
      </c>
      <c r="Q100" s="43" t="s">
        <v>140</v>
      </c>
      <c r="R100" s="43" t="s">
        <v>2009</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140</v>
      </c>
      <c r="O101" s="54">
        <v>45695</v>
      </c>
      <c r="P101" s="30" t="s">
        <v>140</v>
      </c>
      <c r="Q101" s="43" t="s">
        <v>140</v>
      </c>
      <c r="R101" s="43" t="s">
        <v>2009</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140</v>
      </c>
      <c r="N102" s="30" t="s">
        <v>140</v>
      </c>
      <c r="O102" s="54">
        <v>45699</v>
      </c>
      <c r="P102" s="87" t="s">
        <v>140</v>
      </c>
      <c r="Q102" s="88" t="s">
        <v>140</v>
      </c>
      <c r="R102" s="43" t="s">
        <v>2009</v>
      </c>
      <c r="S102" s="43" t="s">
        <v>140</v>
      </c>
      <c r="T102" s="43" t="s">
        <v>140</v>
      </c>
      <c r="U102" s="43" t="s">
        <v>140</v>
      </c>
      <c r="V102" s="165" t="s">
        <v>140</v>
      </c>
      <c r="W102" s="54">
        <v>45835</v>
      </c>
      <c r="X102" s="69" t="s">
        <v>2012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140</v>
      </c>
      <c r="O103" s="54">
        <v>45675</v>
      </c>
      <c r="P103" s="87" t="s">
        <v>140</v>
      </c>
      <c r="Q103" s="43" t="s">
        <v>140</v>
      </c>
      <c r="R103" s="43" t="s">
        <v>2009</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2009</v>
      </c>
      <c r="S104" s="43" t="s">
        <v>140</v>
      </c>
      <c r="T104" s="43" t="s">
        <v>140</v>
      </c>
      <c r="U104" s="43" t="s">
        <v>140</v>
      </c>
      <c r="V104" s="139" t="s">
        <v>140</v>
      </c>
      <c r="W104" s="54">
        <v>45820</v>
      </c>
      <c r="X104" s="69" t="s">
        <v>2012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140</v>
      </c>
      <c r="O105" s="54">
        <v>45743</v>
      </c>
      <c r="P105" s="87" t="s">
        <v>140</v>
      </c>
      <c r="Q105" s="157" t="s">
        <v>140</v>
      </c>
      <c r="R105" s="69" t="s">
        <v>2009</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140</v>
      </c>
      <c r="O106" s="54">
        <v>45679</v>
      </c>
      <c r="P106" s="87" t="s">
        <v>140</v>
      </c>
      <c r="Q106" s="43" t="s">
        <v>140</v>
      </c>
      <c r="R106" s="43" t="s">
        <v>2009</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140</v>
      </c>
      <c r="O107" s="54">
        <v>45749</v>
      </c>
      <c r="P107" s="30" t="s">
        <v>140</v>
      </c>
      <c r="Q107" s="43" t="s">
        <v>140</v>
      </c>
      <c r="R107" s="43" t="s">
        <v>2009</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140</v>
      </c>
      <c r="O108" s="54">
        <v>45749</v>
      </c>
      <c r="P108" s="30" t="s">
        <v>140</v>
      </c>
      <c r="Q108" s="43" t="s">
        <v>140</v>
      </c>
      <c r="R108" s="334" t="s">
        <v>2009</v>
      </c>
      <c r="S108" s="43" t="s">
        <v>140</v>
      </c>
      <c r="T108" s="43" t="s">
        <v>140</v>
      </c>
      <c r="U108" s="88" t="s">
        <v>140</v>
      </c>
      <c r="V108" s="481" t="s">
        <v>140</v>
      </c>
      <c r="W108" s="356">
        <v>45798</v>
      </c>
      <c r="X108" s="69" t="s">
        <v>2012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140</v>
      </c>
      <c r="O109" s="54">
        <v>45744</v>
      </c>
      <c r="P109" s="79" t="s">
        <v>140</v>
      </c>
      <c r="Q109" s="43" t="s">
        <v>140</v>
      </c>
      <c r="R109" s="334" t="s">
        <v>2009</v>
      </c>
      <c r="S109" s="43" t="s">
        <v>140</v>
      </c>
      <c r="T109" s="43" t="s">
        <v>140</v>
      </c>
      <c r="U109" s="43" t="s">
        <v>2015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140</v>
      </c>
      <c r="O110" s="54">
        <v>45691</v>
      </c>
      <c r="P110" s="79" t="s">
        <v>140</v>
      </c>
      <c r="Q110" s="43" t="s">
        <v>140</v>
      </c>
      <c r="R110" s="334" t="s">
        <v>2009</v>
      </c>
      <c r="S110" s="43" t="s">
        <v>140</v>
      </c>
      <c r="T110" s="43" t="s">
        <v>140</v>
      </c>
      <c r="U110" s="88" t="s">
        <v>140</v>
      </c>
      <c r="V110" s="481" t="s">
        <v>140</v>
      </c>
      <c r="W110" s="356">
        <v>45902</v>
      </c>
      <c r="X110" s="69" t="s">
        <v>2012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140</v>
      </c>
      <c r="O111" s="54">
        <v>45708</v>
      </c>
      <c r="P111" s="30" t="s">
        <v>140</v>
      </c>
      <c r="Q111" s="169" t="s">
        <v>140</v>
      </c>
      <c r="R111" s="69" t="s">
        <v>2009</v>
      </c>
      <c r="S111" s="43" t="s">
        <v>140</v>
      </c>
      <c r="T111" s="43" t="s">
        <v>140</v>
      </c>
      <c r="U111" s="43" t="s">
        <v>140</v>
      </c>
      <c r="V111" s="201" t="s">
        <v>140</v>
      </c>
      <c r="W111" s="166">
        <v>45790</v>
      </c>
      <c r="X111" s="69" t="s">
        <v>2012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140</v>
      </c>
      <c r="O112" s="166">
        <v>45744</v>
      </c>
      <c r="P112" s="114" t="s">
        <v>140</v>
      </c>
      <c r="Q112" s="115" t="s">
        <v>140</v>
      </c>
      <c r="R112" s="148" t="s">
        <v>2009</v>
      </c>
      <c r="S112" s="43" t="s">
        <v>140</v>
      </c>
      <c r="T112" s="43" t="s">
        <v>140</v>
      </c>
      <c r="U112" s="43" t="s">
        <v>140</v>
      </c>
      <c r="V112" s="201" t="s">
        <v>140</v>
      </c>
      <c r="W112" s="479">
        <v>45791</v>
      </c>
      <c r="X112" s="69" t="s">
        <v>2012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140</v>
      </c>
      <c r="O113" s="166">
        <v>45755</v>
      </c>
      <c r="P113" s="114" t="s">
        <v>140</v>
      </c>
      <c r="Q113" s="115" t="s">
        <v>140</v>
      </c>
      <c r="R113" s="148" t="s">
        <v>2009</v>
      </c>
      <c r="S113" s="115" t="s">
        <v>140</v>
      </c>
      <c r="T113" s="43" t="s">
        <v>140</v>
      </c>
      <c r="U113" s="43" t="s">
        <v>140</v>
      </c>
      <c r="V113" s="201" t="s">
        <v>140</v>
      </c>
      <c r="W113" s="479">
        <v>45791</v>
      </c>
      <c r="X113" s="148" t="s">
        <v>2012</v>
      </c>
    </row>
    <row r="114" spans="1:25">
      <c r="A114" s="178" t="s">
        <v>816</v>
      </c>
      <c r="B114" s="182" t="s">
        <v>50</v>
      </c>
      <c r="C114" s="314">
        <v>45772</v>
      </c>
      <c r="D114" s="410" t="s">
        <v>817</v>
      </c>
      <c r="H114" s="185">
        <v>75</v>
      </c>
      <c r="I114" s="181"/>
      <c r="J114" s="179" t="s">
        <v>57</v>
      </c>
      <c r="K114" s="420" t="s">
        <v>57</v>
      </c>
      <c r="L114" s="179" t="s">
        <v>63</v>
      </c>
      <c r="M114" s="193">
        <v>45741</v>
      </c>
      <c r="N114" s="114" t="s">
        <v>140</v>
      </c>
      <c r="O114" s="54">
        <v>45747</v>
      </c>
      <c r="P114" s="114" t="s">
        <v>140</v>
      </c>
      <c r="Q114" s="115" t="s">
        <v>140</v>
      </c>
      <c r="R114" s="148" t="s">
        <v>2009</v>
      </c>
      <c r="S114" s="115" t="s">
        <v>140</v>
      </c>
      <c r="T114" s="43" t="s">
        <v>140</v>
      </c>
      <c r="U114" s="157" t="s">
        <v>140</v>
      </c>
      <c r="V114" s="201" t="s">
        <v>140</v>
      </c>
      <c r="W114" s="54">
        <v>45798</v>
      </c>
      <c r="X114" s="69" t="s">
        <v>2012</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140</v>
      </c>
      <c r="O115" s="124">
        <v>45757</v>
      </c>
      <c r="P115" s="30" t="s">
        <v>140</v>
      </c>
      <c r="Q115" s="43" t="s">
        <v>140</v>
      </c>
      <c r="R115" s="69" t="s">
        <v>2009</v>
      </c>
      <c r="S115" s="43" t="s">
        <v>140</v>
      </c>
      <c r="T115" s="43" t="s">
        <v>140</v>
      </c>
      <c r="U115" s="43" t="s">
        <v>140</v>
      </c>
      <c r="V115" s="88" t="s">
        <v>140</v>
      </c>
      <c r="W115" s="54">
        <v>45814</v>
      </c>
      <c r="X115" s="69" t="s">
        <v>2012</v>
      </c>
    </row>
    <row r="116" spans="1:25">
      <c r="A116" s="178" t="s">
        <v>820</v>
      </c>
      <c r="B116" s="182" t="s">
        <v>50</v>
      </c>
      <c r="C116" s="314">
        <v>45772</v>
      </c>
      <c r="D116" s="716" t="s">
        <v>822</v>
      </c>
      <c r="H116" s="179">
        <v>50</v>
      </c>
      <c r="I116" s="181"/>
      <c r="J116" s="179" t="s">
        <v>57</v>
      </c>
      <c r="K116" s="420" t="s">
        <v>57</v>
      </c>
      <c r="L116" s="179" t="s">
        <v>63</v>
      </c>
      <c r="M116" s="193">
        <v>45757</v>
      </c>
      <c r="N116" s="30" t="s">
        <v>140</v>
      </c>
      <c r="O116" s="124">
        <v>45757</v>
      </c>
      <c r="P116" s="30" t="s">
        <v>140</v>
      </c>
      <c r="Q116" s="43" t="s">
        <v>140</v>
      </c>
      <c r="R116" s="69" t="s">
        <v>2009</v>
      </c>
      <c r="S116" s="43" t="s">
        <v>140</v>
      </c>
      <c r="T116" s="43" t="s">
        <v>140</v>
      </c>
      <c r="U116" s="43" t="s">
        <v>140</v>
      </c>
      <c r="V116" s="481" t="s">
        <v>140</v>
      </c>
      <c r="W116" s="54">
        <v>45807</v>
      </c>
      <c r="X116" s="69" t="s">
        <v>2012</v>
      </c>
    </row>
    <row r="117" spans="1:25">
      <c r="A117" s="178" t="s">
        <v>824</v>
      </c>
      <c r="B117" s="182" t="s">
        <v>50</v>
      </c>
      <c r="C117" s="314">
        <v>45772</v>
      </c>
      <c r="D117" s="518" t="s">
        <v>825</v>
      </c>
      <c r="H117" s="179">
        <v>76</v>
      </c>
      <c r="I117" s="181"/>
      <c r="J117" s="179" t="s">
        <v>57</v>
      </c>
      <c r="K117" s="420" t="s">
        <v>57</v>
      </c>
      <c r="L117" s="179" t="s">
        <v>63</v>
      </c>
      <c r="M117" s="193">
        <v>45757</v>
      </c>
      <c r="N117" s="87" t="s">
        <v>140</v>
      </c>
      <c r="O117" s="124">
        <v>45757</v>
      </c>
      <c r="P117" s="30" t="s">
        <v>140</v>
      </c>
      <c r="Q117" s="43" t="s">
        <v>140</v>
      </c>
      <c r="R117" s="69" t="s">
        <v>2009</v>
      </c>
      <c r="S117" s="43" t="s">
        <v>140</v>
      </c>
      <c r="T117" s="43" t="s">
        <v>140</v>
      </c>
      <c r="U117" s="43" t="s">
        <v>140</v>
      </c>
      <c r="V117" s="88" t="s">
        <v>140</v>
      </c>
      <c r="W117" s="54">
        <v>45811</v>
      </c>
      <c r="X117" s="69" t="s">
        <v>2012</v>
      </c>
    </row>
    <row r="118" spans="1:25">
      <c r="A118" s="178" t="s">
        <v>826</v>
      </c>
      <c r="B118" s="182" t="s">
        <v>50</v>
      </c>
      <c r="C118" s="314">
        <v>45772</v>
      </c>
      <c r="D118" s="179" t="s">
        <v>828</v>
      </c>
      <c r="H118" s="185">
        <v>88</v>
      </c>
      <c r="I118" s="181"/>
      <c r="J118" s="179" t="s">
        <v>57</v>
      </c>
      <c r="K118" s="420" t="s">
        <v>57</v>
      </c>
      <c r="L118" s="179" t="s">
        <v>63</v>
      </c>
      <c r="M118" s="193">
        <v>45757</v>
      </c>
      <c r="N118" s="87" t="s">
        <v>140</v>
      </c>
      <c r="O118" s="124">
        <v>45757</v>
      </c>
      <c r="P118" s="87" t="s">
        <v>140</v>
      </c>
      <c r="Q118" s="43" t="s">
        <v>140</v>
      </c>
      <c r="R118" s="43" t="s">
        <v>2009</v>
      </c>
      <c r="S118" s="43" t="s">
        <v>140</v>
      </c>
      <c r="T118" s="43" t="s">
        <v>140</v>
      </c>
      <c r="U118" s="157" t="s">
        <v>140</v>
      </c>
      <c r="V118" s="88" t="s">
        <v>140</v>
      </c>
      <c r="W118" s="54">
        <v>45810</v>
      </c>
      <c r="X118" s="69" t="s">
        <v>2012</v>
      </c>
    </row>
    <row r="119" spans="1:25">
      <c r="A119" s="178" t="s">
        <v>830</v>
      </c>
      <c r="B119" s="182" t="s">
        <v>50</v>
      </c>
      <c r="C119" s="314">
        <v>45772</v>
      </c>
      <c r="D119" s="179" t="s">
        <v>831</v>
      </c>
      <c r="H119" s="185">
        <v>86</v>
      </c>
      <c r="I119" s="181"/>
      <c r="J119" s="179" t="s">
        <v>57</v>
      </c>
      <c r="K119" s="420" t="s">
        <v>57</v>
      </c>
      <c r="L119" s="179" t="s">
        <v>63</v>
      </c>
      <c r="M119" s="195">
        <v>45756</v>
      </c>
      <c r="N119" s="30" t="s">
        <v>140</v>
      </c>
      <c r="O119" s="124">
        <v>45757</v>
      </c>
      <c r="P119" s="30" t="s">
        <v>140</v>
      </c>
      <c r="Q119" s="69" t="s">
        <v>140</v>
      </c>
      <c r="R119" s="69" t="s">
        <v>2009</v>
      </c>
      <c r="S119" s="43" t="s">
        <v>140</v>
      </c>
      <c r="T119" s="43" t="s">
        <v>140</v>
      </c>
      <c r="U119" s="157" t="s">
        <v>140</v>
      </c>
      <c r="V119" s="88" t="s">
        <v>140</v>
      </c>
      <c r="W119" s="54">
        <v>45813</v>
      </c>
      <c r="X119" s="69" t="s">
        <v>2012</v>
      </c>
    </row>
    <row r="120" spans="1:25">
      <c r="A120" s="178" t="s">
        <v>832</v>
      </c>
      <c r="B120" s="182" t="s">
        <v>50</v>
      </c>
      <c r="C120" s="314">
        <v>45772</v>
      </c>
      <c r="D120" s="519" t="s">
        <v>833</v>
      </c>
      <c r="H120" s="185">
        <v>84</v>
      </c>
      <c r="I120" s="181"/>
      <c r="J120" s="179" t="s">
        <v>57</v>
      </c>
      <c r="K120" s="420" t="s">
        <v>57</v>
      </c>
      <c r="L120" s="179" t="s">
        <v>63</v>
      </c>
      <c r="M120" s="195">
        <v>45741</v>
      </c>
      <c r="N120" s="30" t="s">
        <v>140</v>
      </c>
      <c r="O120" s="54">
        <v>45748</v>
      </c>
      <c r="P120" s="30" t="s">
        <v>140</v>
      </c>
      <c r="Q120" s="43" t="s">
        <v>140</v>
      </c>
      <c r="R120" s="69" t="s">
        <v>2009</v>
      </c>
      <c r="S120" s="43" t="s">
        <v>140</v>
      </c>
      <c r="T120" s="43" t="s">
        <v>140</v>
      </c>
      <c r="U120" s="43" t="s">
        <v>140</v>
      </c>
      <c r="V120" s="88" t="s">
        <v>140</v>
      </c>
      <c r="W120" s="54">
        <v>45811</v>
      </c>
      <c r="X120" s="69" t="s">
        <v>2012</v>
      </c>
    </row>
    <row r="121" spans="1:25">
      <c r="A121" s="366" t="s">
        <v>834</v>
      </c>
      <c r="B121" s="688" t="s">
        <v>50</v>
      </c>
      <c r="C121" s="689">
        <v>45772</v>
      </c>
      <c r="D121" s="363" t="s">
        <v>835</v>
      </c>
      <c r="H121" s="341">
        <v>87</v>
      </c>
      <c r="I121" s="339"/>
      <c r="J121" s="363" t="s">
        <v>57</v>
      </c>
      <c r="K121" s="709" t="s">
        <v>57</v>
      </c>
      <c r="L121" s="179" t="s">
        <v>63</v>
      </c>
      <c r="M121" s="193">
        <v>45757</v>
      </c>
      <c r="N121" s="30" t="s">
        <v>140</v>
      </c>
      <c r="O121" s="124">
        <v>45757</v>
      </c>
      <c r="P121" s="30" t="s">
        <v>140</v>
      </c>
      <c r="Q121" s="69" t="s">
        <v>140</v>
      </c>
      <c r="R121" s="69" t="s">
        <v>2009</v>
      </c>
      <c r="S121" s="43" t="s">
        <v>140</v>
      </c>
      <c r="T121" s="43" t="s">
        <v>140</v>
      </c>
      <c r="U121" s="43" t="s">
        <v>140</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140</v>
      </c>
      <c r="O122" s="54">
        <v>45747</v>
      </c>
      <c r="P122" s="30" t="s">
        <v>140</v>
      </c>
      <c r="Q122" s="69" t="s">
        <v>140</v>
      </c>
      <c r="R122" s="69" t="s">
        <v>2009</v>
      </c>
      <c r="S122" s="43" t="s">
        <v>140</v>
      </c>
      <c r="T122" s="43" t="s">
        <v>140</v>
      </c>
      <c r="U122" s="157" t="s">
        <v>140</v>
      </c>
      <c r="V122" s="157" t="s">
        <v>140</v>
      </c>
      <c r="W122" s="54">
        <v>45789</v>
      </c>
      <c r="X122" s="69" t="s">
        <v>2012</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140</v>
      </c>
      <c r="O123" s="54">
        <v>45744</v>
      </c>
      <c r="P123" s="30" t="s">
        <v>140</v>
      </c>
      <c r="Q123" s="43" t="s">
        <v>140</v>
      </c>
      <c r="R123" s="69" t="s">
        <v>2009</v>
      </c>
      <c r="S123" s="43" t="s">
        <v>140</v>
      </c>
      <c r="T123" s="43" t="s">
        <v>140</v>
      </c>
      <c r="U123" s="43" t="s">
        <v>140</v>
      </c>
      <c r="V123" s="69" t="s">
        <v>140</v>
      </c>
      <c r="W123" s="54">
        <v>45811</v>
      </c>
      <c r="X123" s="69" t="s">
        <v>2012</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140</v>
      </c>
      <c r="O124" s="54">
        <v>45744</v>
      </c>
      <c r="P124" s="30" t="s">
        <v>140</v>
      </c>
      <c r="Q124" s="43" t="s">
        <v>140</v>
      </c>
      <c r="R124" s="69" t="s">
        <v>2009</v>
      </c>
      <c r="S124" s="43" t="s">
        <v>140</v>
      </c>
      <c r="T124" s="43" t="s">
        <v>140</v>
      </c>
      <c r="U124" s="43" t="s">
        <v>2015</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140</v>
      </c>
      <c r="N125" s="30" t="s">
        <v>140</v>
      </c>
      <c r="O125" s="54">
        <v>45679</v>
      </c>
      <c r="P125" s="30" t="s">
        <v>140</v>
      </c>
      <c r="Q125" s="69" t="s">
        <v>140</v>
      </c>
      <c r="R125" s="43" t="s">
        <v>2009</v>
      </c>
      <c r="S125" s="43" t="s">
        <v>140</v>
      </c>
      <c r="T125" s="43" t="s">
        <v>140</v>
      </c>
      <c r="U125" s="43" t="s">
        <v>140</v>
      </c>
      <c r="V125" s="43" t="s">
        <v>140</v>
      </c>
      <c r="W125" s="54">
        <v>45814</v>
      </c>
      <c r="X125" s="69" t="s">
        <v>2012</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140</v>
      </c>
      <c r="N126" s="30" t="s">
        <v>140</v>
      </c>
      <c r="O126" s="54">
        <v>45720</v>
      </c>
      <c r="P126" s="30" t="s">
        <v>140</v>
      </c>
      <c r="Q126" s="69" t="s">
        <v>140</v>
      </c>
      <c r="R126" s="43" t="s">
        <v>2009</v>
      </c>
      <c r="S126" s="43" t="s">
        <v>140</v>
      </c>
      <c r="T126" s="43" t="s">
        <v>140</v>
      </c>
      <c r="U126" s="43" t="s">
        <v>140</v>
      </c>
      <c r="V126" s="88" t="s">
        <v>140</v>
      </c>
      <c r="W126" s="54">
        <v>45819</v>
      </c>
      <c r="X126" s="69" t="s">
        <v>2012</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140</v>
      </c>
      <c r="O127" s="54">
        <v>45679</v>
      </c>
      <c r="P127" s="30" t="s">
        <v>140</v>
      </c>
      <c r="Q127" s="43" t="s">
        <v>140</v>
      </c>
      <c r="R127" s="43" t="s">
        <v>2009</v>
      </c>
      <c r="S127" s="43" t="s">
        <v>140</v>
      </c>
      <c r="T127" s="43" t="s">
        <v>140</v>
      </c>
      <c r="U127" s="43" t="s">
        <v>140</v>
      </c>
      <c r="V127" s="88" t="s">
        <v>140</v>
      </c>
      <c r="W127" s="54">
        <v>45812</v>
      </c>
      <c r="X127" s="69" t="s">
        <v>2012</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140</v>
      </c>
      <c r="O128" s="347">
        <v>45694</v>
      </c>
      <c r="P128" s="87" t="s">
        <v>140</v>
      </c>
      <c r="Q128" s="43" t="s">
        <v>140</v>
      </c>
      <c r="R128" s="43" t="s">
        <v>2009</v>
      </c>
      <c r="S128" s="43" t="s">
        <v>140</v>
      </c>
      <c r="T128" s="43" t="s">
        <v>140</v>
      </c>
      <c r="U128" s="43" t="s">
        <v>140</v>
      </c>
      <c r="V128" s="88" t="s">
        <v>140</v>
      </c>
      <c r="W128" s="166">
        <v>45883</v>
      </c>
      <c r="X128" s="69" t="s">
        <v>2012</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2009</v>
      </c>
      <c r="S129" s="43" t="s">
        <v>140</v>
      </c>
      <c r="T129" s="115" t="s">
        <v>140</v>
      </c>
      <c r="U129" s="115" t="s">
        <v>140</v>
      </c>
      <c r="V129" s="88" t="s">
        <v>140</v>
      </c>
      <c r="W129" s="166">
        <v>45814</v>
      </c>
      <c r="X129" s="69" t="s">
        <v>2012</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140</v>
      </c>
      <c r="O130" s="54">
        <v>45698</v>
      </c>
      <c r="P130" s="30" t="s">
        <v>140</v>
      </c>
      <c r="Q130" s="69" t="s">
        <v>140</v>
      </c>
      <c r="R130" s="43" t="s">
        <v>2009</v>
      </c>
      <c r="S130" s="43" t="s">
        <v>140</v>
      </c>
      <c r="T130" s="43" t="s">
        <v>140</v>
      </c>
      <c r="U130" s="43" t="s">
        <v>140</v>
      </c>
      <c r="V130" s="88" t="s">
        <v>140</v>
      </c>
      <c r="W130" s="54">
        <v>45798</v>
      </c>
      <c r="X130" s="69" t="s">
        <v>2012</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140</v>
      </c>
      <c r="N131" s="49" t="s">
        <v>140</v>
      </c>
      <c r="O131" s="30" t="s">
        <v>140</v>
      </c>
      <c r="P131" s="30" t="s">
        <v>140</v>
      </c>
      <c r="Q131" s="43" t="s">
        <v>140</v>
      </c>
      <c r="R131" s="43" t="s">
        <v>2009</v>
      </c>
      <c r="S131" s="43" t="s">
        <v>140</v>
      </c>
      <c r="T131" s="157" t="s">
        <v>140</v>
      </c>
      <c r="U131" s="157" t="s">
        <v>140</v>
      </c>
      <c r="V131" s="88" t="s">
        <v>140</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140</v>
      </c>
      <c r="O132" s="54">
        <v>45691</v>
      </c>
      <c r="P132" s="87" t="s">
        <v>140</v>
      </c>
      <c r="Q132" s="43" t="s">
        <v>140</v>
      </c>
      <c r="R132" s="43" t="s">
        <v>2009</v>
      </c>
      <c r="S132" s="43" t="s">
        <v>140</v>
      </c>
      <c r="T132" s="43" t="s">
        <v>140</v>
      </c>
      <c r="U132" s="43" t="s">
        <v>140</v>
      </c>
      <c r="V132" s="43" t="s">
        <v>140</v>
      </c>
      <c r="W132" s="54">
        <v>45820</v>
      </c>
      <c r="X132" s="69" t="s">
        <v>2012</v>
      </c>
      <c r="Y132" t="e">
        <f>VLOOKUP(A132,#REF!,2,FALSE)</f>
        <v>#REF!</v>
      </c>
    </row>
    <row r="133" spans="1:25" ht="15" customHeight="1">
      <c r="A133" s="358" t="s">
        <v>853</v>
      </c>
      <c r="B133" s="406" t="s">
        <v>50</v>
      </c>
      <c r="C133" s="367">
        <v>45742</v>
      </c>
      <c r="D133" s="419" t="s">
        <v>2016</v>
      </c>
      <c r="E133" s="361"/>
      <c r="F133" s="361"/>
      <c r="G133" s="361"/>
      <c r="H133" s="361">
        <v>38</v>
      </c>
      <c r="I133" s="360"/>
      <c r="J133" s="361" t="s">
        <v>57</v>
      </c>
      <c r="K133" s="361" t="s">
        <v>57</v>
      </c>
      <c r="L133" s="361" t="s">
        <v>63</v>
      </c>
      <c r="M133" s="49" t="s">
        <v>140</v>
      </c>
      <c r="N133" s="49" t="s">
        <v>140</v>
      </c>
      <c r="O133" s="54">
        <v>45701</v>
      </c>
      <c r="P133" s="30" t="s">
        <v>140</v>
      </c>
      <c r="Q133" s="69" t="s">
        <v>140</v>
      </c>
      <c r="R133" s="43" t="s">
        <v>2009</v>
      </c>
      <c r="S133" s="43" t="s">
        <v>140</v>
      </c>
      <c r="T133" s="43" t="s">
        <v>140</v>
      </c>
      <c r="U133" s="43" t="s">
        <v>140</v>
      </c>
      <c r="V133" s="69" t="s">
        <v>140</v>
      </c>
      <c r="W133" s="54">
        <v>45821</v>
      </c>
      <c r="X133" s="69" t="s">
        <v>2012</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140</v>
      </c>
      <c r="O134" s="54">
        <v>45709</v>
      </c>
      <c r="P134" s="30" t="s">
        <v>140</v>
      </c>
      <c r="Q134" s="43" t="s">
        <v>140</v>
      </c>
      <c r="R134" s="43" t="s">
        <v>2009</v>
      </c>
      <c r="S134" s="43" t="s">
        <v>140</v>
      </c>
      <c r="T134" s="43" t="s">
        <v>140</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140</v>
      </c>
      <c r="N135" s="49" t="s">
        <v>140</v>
      </c>
      <c r="O135" s="195">
        <v>45720</v>
      </c>
      <c r="P135" s="49" t="s">
        <v>140</v>
      </c>
      <c r="Q135" s="69" t="s">
        <v>140</v>
      </c>
      <c r="R135" s="43" t="s">
        <v>2009</v>
      </c>
      <c r="S135" s="43" t="s">
        <v>140</v>
      </c>
      <c r="T135" s="43" t="s">
        <v>140</v>
      </c>
      <c r="U135" s="157" t="s">
        <v>140</v>
      </c>
      <c r="V135" s="43" t="s">
        <v>140</v>
      </c>
      <c r="W135" s="54">
        <v>45819</v>
      </c>
      <c r="X135" s="69" t="s">
        <v>2012</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140</v>
      </c>
      <c r="O136" s="54">
        <v>45691</v>
      </c>
      <c r="P136" s="30" t="s">
        <v>140</v>
      </c>
      <c r="Q136" s="43" t="s">
        <v>140</v>
      </c>
      <c r="R136" s="43" t="s">
        <v>2009</v>
      </c>
      <c r="S136" s="43" t="s">
        <v>140</v>
      </c>
      <c r="T136" s="43" t="s">
        <v>140</v>
      </c>
      <c r="U136" s="43" t="s">
        <v>140</v>
      </c>
      <c r="V136" s="43" t="s">
        <v>140</v>
      </c>
      <c r="W136" s="54">
        <v>45791</v>
      </c>
      <c r="X136" s="69" t="s">
        <v>2012</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140</v>
      </c>
      <c r="O137" s="30" t="s">
        <v>140</v>
      </c>
      <c r="P137" s="49" t="s">
        <v>140</v>
      </c>
      <c r="Q137" s="69" t="s">
        <v>140</v>
      </c>
      <c r="R137" s="43" t="s">
        <v>2009</v>
      </c>
      <c r="S137" s="43" t="s">
        <v>140</v>
      </c>
      <c r="T137" s="43" t="s">
        <v>140</v>
      </c>
      <c r="U137" s="157" t="s">
        <v>140</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140</v>
      </c>
      <c r="O138" s="124">
        <v>45707</v>
      </c>
      <c r="P138" s="30" t="s">
        <v>140</v>
      </c>
      <c r="Q138" s="43" t="s">
        <v>140</v>
      </c>
      <c r="R138" s="43" t="s">
        <v>2009</v>
      </c>
      <c r="S138" s="43" t="s">
        <v>140</v>
      </c>
      <c r="T138" s="43" t="s">
        <v>140</v>
      </c>
      <c r="U138" s="43" t="s">
        <v>140</v>
      </c>
      <c r="V138" s="43" t="s">
        <v>140</v>
      </c>
      <c r="W138" s="54">
        <v>45790</v>
      </c>
      <c r="X138" s="69" t="s">
        <v>2012</v>
      </c>
      <c r="Y138" t="e">
        <f>VLOOKUP(A138,#REF!,2,FALSE)</f>
        <v>#REF!</v>
      </c>
    </row>
    <row r="139" spans="1:25" ht="15" customHeight="1">
      <c r="A139" s="358" t="s">
        <v>2017</v>
      </c>
      <c r="B139" s="182" t="s">
        <v>50</v>
      </c>
      <c r="C139" s="408">
        <v>45742</v>
      </c>
      <c r="D139" s="361" t="s">
        <v>2018</v>
      </c>
      <c r="E139" s="521"/>
      <c r="F139" s="361"/>
      <c r="G139" s="361"/>
      <c r="H139" s="361">
        <v>87</v>
      </c>
      <c r="I139" s="360"/>
      <c r="J139" s="361" t="s">
        <v>57</v>
      </c>
      <c r="K139" s="361" t="s">
        <v>57</v>
      </c>
      <c r="L139" s="361" t="s">
        <v>63</v>
      </c>
      <c r="M139" s="49" t="s">
        <v>140</v>
      </c>
      <c r="N139" s="30" t="s">
        <v>140</v>
      </c>
      <c r="O139" s="30" t="s">
        <v>140</v>
      </c>
      <c r="P139" s="30" t="s">
        <v>140</v>
      </c>
      <c r="Q139" s="43" t="s">
        <v>140</v>
      </c>
      <c r="R139" s="43" t="s">
        <v>2009</v>
      </c>
      <c r="S139" s="43" t="s">
        <v>140</v>
      </c>
      <c r="T139" s="43" t="s">
        <v>140</v>
      </c>
      <c r="U139" s="157" t="s">
        <v>140</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140</v>
      </c>
      <c r="O140" s="54">
        <v>45743</v>
      </c>
      <c r="P140" s="87" t="s">
        <v>140</v>
      </c>
      <c r="Q140" s="88" t="s">
        <v>140</v>
      </c>
      <c r="R140" s="43" t="s">
        <v>2009</v>
      </c>
      <c r="S140" s="43" t="s">
        <v>140</v>
      </c>
      <c r="T140" s="43" t="s">
        <v>140</v>
      </c>
      <c r="U140" s="88" t="s">
        <v>140</v>
      </c>
      <c r="V140" s="69" t="s">
        <v>140</v>
      </c>
      <c r="W140" s="54">
        <v>45819</v>
      </c>
      <c r="X140" s="69" t="s">
        <v>2012</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140</v>
      </c>
      <c r="O141" s="195">
        <v>45743</v>
      </c>
      <c r="P141" s="87" t="s">
        <v>140</v>
      </c>
      <c r="Q141" s="88" t="s">
        <v>140</v>
      </c>
      <c r="R141" s="43" t="s">
        <v>2009</v>
      </c>
      <c r="S141" s="43" t="s">
        <v>140</v>
      </c>
      <c r="T141" s="43" t="s">
        <v>140</v>
      </c>
      <c r="U141" s="88" t="s">
        <v>140</v>
      </c>
      <c r="V141" s="88" t="s">
        <v>140</v>
      </c>
      <c r="W141" s="54">
        <v>45811</v>
      </c>
      <c r="X141" s="69" t="s">
        <v>2012</v>
      </c>
      <c r="Y141" t="e">
        <f>VLOOKUP(A141,#REF!,2,FALSE)</f>
        <v>#REF!</v>
      </c>
    </row>
    <row r="142" spans="1:25" ht="15" customHeight="1">
      <c r="A142" s="358" t="s">
        <v>2019</v>
      </c>
      <c r="B142" s="406" t="s">
        <v>50</v>
      </c>
      <c r="C142" s="408">
        <v>45742</v>
      </c>
      <c r="D142" s="361" t="s">
        <v>2020</v>
      </c>
      <c r="E142" s="521"/>
      <c r="F142" s="361"/>
      <c r="G142" s="361"/>
      <c r="H142" s="361">
        <v>87</v>
      </c>
      <c r="I142" s="360"/>
      <c r="J142" s="361" t="s">
        <v>57</v>
      </c>
      <c r="K142" s="361" t="s">
        <v>57</v>
      </c>
      <c r="L142" s="361" t="s">
        <v>63</v>
      </c>
      <c r="M142" s="49" t="s">
        <v>140</v>
      </c>
      <c r="N142" s="49" t="s">
        <v>140</v>
      </c>
      <c r="O142" s="195">
        <v>45691</v>
      </c>
      <c r="P142" s="30" t="s">
        <v>140</v>
      </c>
      <c r="Q142" s="69" t="s">
        <v>140</v>
      </c>
      <c r="R142" s="43" t="s">
        <v>2009</v>
      </c>
      <c r="S142" s="43" t="s">
        <v>140</v>
      </c>
      <c r="T142" s="43" t="s">
        <v>140</v>
      </c>
      <c r="U142" s="157" t="s">
        <v>140</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140</v>
      </c>
      <c r="N143" s="49" t="s">
        <v>140</v>
      </c>
      <c r="O143" s="195">
        <v>45675</v>
      </c>
      <c r="P143" s="30" t="s">
        <v>140</v>
      </c>
      <c r="Q143" s="69" t="s">
        <v>140</v>
      </c>
      <c r="R143" s="43" t="s">
        <v>2009</v>
      </c>
      <c r="S143" s="43" t="s">
        <v>140</v>
      </c>
      <c r="T143" s="43" t="s">
        <v>140</v>
      </c>
      <c r="U143" s="157" t="s">
        <v>140</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2012</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1982</v>
      </c>
      <c r="B146" s="406" t="s">
        <v>50</v>
      </c>
      <c r="C146" s="359">
        <v>45991</v>
      </c>
      <c r="D146" s="418" t="s">
        <v>1983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2009</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2009</v>
      </c>
      <c r="S150" s="43" t="s">
        <v>140</v>
      </c>
      <c r="T150" s="43" t="s">
        <v>140</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2009</v>
      </c>
      <c r="S151" s="43" t="s">
        <v>140</v>
      </c>
      <c r="T151" s="43" t="s">
        <v>140</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140</v>
      </c>
      <c r="O153" s="195">
        <v>45696</v>
      </c>
      <c r="P153" s="30" t="s">
        <v>140</v>
      </c>
      <c r="Q153" s="69" t="s">
        <v>140</v>
      </c>
      <c r="R153" s="43" t="s">
        <v>2009</v>
      </c>
      <c r="S153" s="43" t="s">
        <v>140</v>
      </c>
      <c r="T153" s="157" t="s">
        <v>140</v>
      </c>
      <c r="U153" s="157" t="s">
        <v>140</v>
      </c>
      <c r="V153" s="43" t="s">
        <v>140</v>
      </c>
      <c r="W153" s="54">
        <v>45807</v>
      </c>
      <c r="X153" s="69" t="s">
        <v>2012</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140</v>
      </c>
      <c r="O154" s="347">
        <v>45696</v>
      </c>
      <c r="P154" s="30" t="s">
        <v>140</v>
      </c>
      <c r="Q154" s="69" t="s">
        <v>140</v>
      </c>
      <c r="R154" s="43" t="s">
        <v>2009</v>
      </c>
      <c r="S154" s="43" t="s">
        <v>140</v>
      </c>
      <c r="T154" s="157" t="s">
        <v>140</v>
      </c>
      <c r="U154" s="157" t="s">
        <v>140</v>
      </c>
      <c r="V154" s="43" t="s">
        <v>140</v>
      </c>
      <c r="W154" s="166">
        <v>45792</v>
      </c>
      <c r="X154" s="148" t="s">
        <v>2012</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140</v>
      </c>
      <c r="O155" s="54">
        <v>45699</v>
      </c>
      <c r="P155" s="49" t="s">
        <v>140</v>
      </c>
      <c r="Q155" s="69" t="s">
        <v>140</v>
      </c>
      <c r="R155" s="43" t="s">
        <v>2009</v>
      </c>
      <c r="S155" s="43" t="s">
        <v>140</v>
      </c>
      <c r="T155" s="43" t="s">
        <v>140</v>
      </c>
      <c r="U155" s="157" t="s">
        <v>140</v>
      </c>
      <c r="V155" s="43" t="s">
        <v>140</v>
      </c>
      <c r="W155" s="356">
        <v>45821</v>
      </c>
      <c r="X155" s="69" t="s">
        <v>2012</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140</v>
      </c>
      <c r="O156" s="54">
        <v>45699</v>
      </c>
      <c r="P156" s="49" t="s">
        <v>140</v>
      </c>
      <c r="Q156" s="69" t="s">
        <v>140</v>
      </c>
      <c r="R156" s="43" t="s">
        <v>2009</v>
      </c>
      <c r="S156" s="43" t="s">
        <v>140</v>
      </c>
      <c r="T156" s="43" t="s">
        <v>140</v>
      </c>
      <c r="U156" s="69" t="s">
        <v>140</v>
      </c>
      <c r="V156" s="69" t="s">
        <v>90</v>
      </c>
      <c r="W156" s="356">
        <v>45747</v>
      </c>
      <c r="X156" s="69" t="s">
        <v>90</v>
      </c>
      <c r="Y156" t="e">
        <f>VLOOKUP(A156,#REF!,2,FALSE)</f>
        <v>#REF!</v>
      </c>
    </row>
    <row r="157" spans="1:25" ht="15" customHeight="1">
      <c r="A157" s="365" t="s">
        <v>1050</v>
      </c>
      <c r="B157" s="406" t="s">
        <v>50</v>
      </c>
      <c r="C157" s="400">
        <v>45991</v>
      </c>
      <c r="D157" s="418" t="s">
        <v>1990</v>
      </c>
      <c r="E157" s="704"/>
      <c r="F157" s="419"/>
      <c r="G157" s="419"/>
      <c r="H157" s="419">
        <v>79</v>
      </c>
      <c r="I157" s="360"/>
      <c r="J157" s="361" t="s">
        <v>57</v>
      </c>
      <c r="K157" s="553" t="s">
        <v>57</v>
      </c>
      <c r="L157" s="361" t="s">
        <v>63</v>
      </c>
      <c r="M157" s="195">
        <v>45735</v>
      </c>
      <c r="N157" s="30" t="s">
        <v>64</v>
      </c>
      <c r="O157" s="54">
        <v>45737</v>
      </c>
      <c r="P157" s="49" t="s">
        <v>64</v>
      </c>
      <c r="Q157" s="69" t="s">
        <v>64</v>
      </c>
      <c r="R157" s="69" t="s">
        <v>2009</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140</v>
      </c>
      <c r="O158" s="54">
        <v>45736</v>
      </c>
      <c r="P158" s="49" t="s">
        <v>140</v>
      </c>
      <c r="Q158" s="69" t="s">
        <v>140</v>
      </c>
      <c r="R158" s="43" t="s">
        <v>2009</v>
      </c>
      <c r="S158" s="43" t="s">
        <v>140</v>
      </c>
      <c r="T158" s="43" t="s">
        <v>140</v>
      </c>
      <c r="U158" s="157" t="s">
        <v>140</v>
      </c>
      <c r="V158" s="157" t="s">
        <v>140</v>
      </c>
      <c r="W158" s="356">
        <v>45817</v>
      </c>
      <c r="X158" s="69" t="s">
        <v>2012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2012</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2012</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2012</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2012</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2012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2022</v>
      </c>
      <c r="C1" s="1364"/>
      <c r="D1" s="558"/>
      <c r="E1" s="1364" t="s">
        <v>2023</v>
      </c>
      <c r="F1" s="1364"/>
    </row>
    <row r="2" spans="1:25">
      <c r="B2" s="44" t="s">
        <v>2024</v>
      </c>
      <c r="E2" s="44" t="s">
        <v>22</v>
      </c>
      <c r="F2" t="s">
        <v>1021</v>
      </c>
      <c r="P2" s="44" t="s">
        <v>27</v>
      </c>
      <c r="Q2" t="s">
        <v>2025</v>
      </c>
    </row>
    <row r="3" spans="1:25">
      <c r="B3" s="44" t="s">
        <v>22</v>
      </c>
      <c r="C3" t="s">
        <v>1027</v>
      </c>
      <c r="K3" s="44" t="s">
        <v>2026</v>
      </c>
      <c r="L3" t="s">
        <v>2027</v>
      </c>
      <c r="P3" s="44" t="s">
        <v>2026</v>
      </c>
      <c r="Q3" t="s">
        <v>2027</v>
      </c>
    </row>
    <row r="4" spans="1:25">
      <c r="B4" t="s">
        <v>137</v>
      </c>
      <c r="C4">
        <v>103569</v>
      </c>
      <c r="E4" s="44" t="s">
        <v>2024</v>
      </c>
      <c r="F4" t="s">
        <v>1027</v>
      </c>
      <c r="W4" t="s">
        <v>2028</v>
      </c>
      <c r="X4">
        <v>22</v>
      </c>
    </row>
    <row r="5" spans="1:25">
      <c r="B5" t="s">
        <v>71</v>
      </c>
      <c r="C5">
        <v>28144</v>
      </c>
      <c r="E5" t="s">
        <v>1027</v>
      </c>
      <c r="F5">
        <v>159930</v>
      </c>
      <c r="K5" s="44" t="s">
        <v>2029</v>
      </c>
      <c r="P5" s="44" t="s">
        <v>2029</v>
      </c>
      <c r="W5" t="s">
        <v>2030</v>
      </c>
      <c r="X5">
        <v>13</v>
      </c>
    </row>
    <row r="6" spans="1:25">
      <c r="B6" t="s">
        <v>100</v>
      </c>
      <c r="C6">
        <v>20635</v>
      </c>
      <c r="K6" s="44" t="s">
        <v>27</v>
      </c>
      <c r="L6" s="44" t="s">
        <v>2031</v>
      </c>
      <c r="M6" t="s">
        <v>1027</v>
      </c>
      <c r="P6" s="44" t="s">
        <v>2032</v>
      </c>
      <c r="Q6" s="44" t="s">
        <v>2031</v>
      </c>
      <c r="R6" t="s">
        <v>1027</v>
      </c>
    </row>
    <row r="7" spans="1:25">
      <c r="B7" t="s">
        <v>1054</v>
      </c>
      <c r="C7">
        <v>224663</v>
      </c>
      <c r="K7" t="s">
        <v>2025</v>
      </c>
      <c r="L7" t="s">
        <v>639</v>
      </c>
      <c r="M7">
        <v>1</v>
      </c>
      <c r="P7" t="s">
        <v>2033</v>
      </c>
      <c r="R7">
        <v>1</v>
      </c>
      <c r="X7" t="s">
        <v>2034</v>
      </c>
      <c r="Y7" t="s">
        <v>2035</v>
      </c>
    </row>
    <row r="8" spans="1:25">
      <c r="B8" t="s">
        <v>51</v>
      </c>
      <c r="C8">
        <v>446</v>
      </c>
      <c r="L8" t="s">
        <v>641</v>
      </c>
      <c r="M8">
        <v>1</v>
      </c>
      <c r="P8" t="s">
        <v>2036</v>
      </c>
      <c r="R8">
        <v>1</v>
      </c>
      <c r="V8" t="s">
        <v>2037</v>
      </c>
      <c r="W8" s="257">
        <v>203521</v>
      </c>
      <c r="X8" s="313">
        <f>X5/X4</f>
        <v>0.59090909090909094</v>
      </c>
      <c r="Y8" s="313">
        <f>W9/W8</f>
        <v>0.31446386367991508</v>
      </c>
    </row>
    <row r="9" spans="1:25">
      <c r="B9" t="s">
        <v>22</v>
      </c>
      <c r="C9">
        <v>0</v>
      </c>
      <c r="L9" t="s">
        <v>2038</v>
      </c>
      <c r="M9">
        <v>1</v>
      </c>
      <c r="P9" t="s">
        <v>2039</v>
      </c>
      <c r="Q9" t="s">
        <v>2038</v>
      </c>
      <c r="R9">
        <v>1</v>
      </c>
      <c r="V9" t="s">
        <v>2040</v>
      </c>
      <c r="W9">
        <v>64000</v>
      </c>
    </row>
    <row r="10" spans="1:25">
      <c r="B10" t="s">
        <v>251</v>
      </c>
      <c r="C10">
        <v>7128</v>
      </c>
      <c r="L10" t="s">
        <v>797</v>
      </c>
      <c r="M10">
        <v>1</v>
      </c>
      <c r="Q10" t="s">
        <v>801</v>
      </c>
      <c r="R10">
        <v>1</v>
      </c>
    </row>
    <row r="11" spans="1:25">
      <c r="B11" t="s">
        <v>261</v>
      </c>
      <c r="C11">
        <v>23241</v>
      </c>
      <c r="L11" t="s">
        <v>801</v>
      </c>
      <c r="M11">
        <v>1</v>
      </c>
      <c r="Q11" t="s">
        <v>804</v>
      </c>
      <c r="R11">
        <v>1</v>
      </c>
    </row>
    <row r="12" spans="1:25">
      <c r="B12" t="s">
        <v>228</v>
      </c>
      <c r="C12">
        <v>103</v>
      </c>
      <c r="L12" t="s">
        <v>804</v>
      </c>
      <c r="M12">
        <v>1</v>
      </c>
      <c r="Q12" t="s">
        <v>2041</v>
      </c>
      <c r="R12">
        <v>1</v>
      </c>
    </row>
    <row r="13" spans="1:25">
      <c r="B13" t="s">
        <v>232</v>
      </c>
      <c r="C13">
        <v>10187</v>
      </c>
      <c r="L13" t="s">
        <v>2042</v>
      </c>
      <c r="M13">
        <v>1</v>
      </c>
      <c r="Q13" t="s">
        <v>976</v>
      </c>
      <c r="R13">
        <v>1</v>
      </c>
    </row>
    <row r="14" spans="1:25">
      <c r="B14" t="s">
        <v>143</v>
      </c>
      <c r="C14">
        <v>7582</v>
      </c>
      <c r="L14" t="s">
        <v>818</v>
      </c>
      <c r="M14">
        <v>1</v>
      </c>
      <c r="P14" t="s">
        <v>2043</v>
      </c>
      <c r="R14">
        <v>5</v>
      </c>
    </row>
    <row r="15" spans="1:25">
      <c r="B15" t="s">
        <v>200</v>
      </c>
      <c r="C15">
        <v>3</v>
      </c>
      <c r="L15" t="s">
        <v>2041</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110</v>
      </c>
      <c r="C20">
        <v>7995</v>
      </c>
      <c r="L20" t="s">
        <v>834</v>
      </c>
      <c r="M20">
        <v>1</v>
      </c>
    </row>
    <row r="21" spans="2:13">
      <c r="B21" t="s">
        <v>303</v>
      </c>
      <c r="C21">
        <v>8622</v>
      </c>
      <c r="L21" t="s">
        <v>2044</v>
      </c>
      <c r="M21">
        <v>1</v>
      </c>
    </row>
    <row r="22" spans="2:13">
      <c r="B22" t="s">
        <v>248</v>
      </c>
      <c r="C22">
        <v>0</v>
      </c>
      <c r="L22" t="s">
        <v>976</v>
      </c>
      <c r="M22">
        <v>1</v>
      </c>
    </row>
    <row r="23" spans="2:13">
      <c r="B23" t="s">
        <v>1024</v>
      </c>
      <c r="C23">
        <v>456961</v>
      </c>
      <c r="L23" t="s">
        <v>866</v>
      </c>
      <c r="M23">
        <v>1</v>
      </c>
    </row>
    <row r="24" spans="2:13">
      <c r="L24" t="s">
        <v>887</v>
      </c>
      <c r="M24">
        <v>1</v>
      </c>
    </row>
    <row r="25" spans="2:13">
      <c r="L25" t="s">
        <v>194</v>
      </c>
      <c r="M25">
        <v>1</v>
      </c>
    </row>
    <row r="26" spans="2:13">
      <c r="K26" t="s">
        <v>2045</v>
      </c>
      <c r="M26">
        <v>19</v>
      </c>
    </row>
    <row r="27" spans="2:13">
      <c r="K27" t="s">
        <v>2046</v>
      </c>
      <c r="L27" t="s">
        <v>812</v>
      </c>
      <c r="M27">
        <v>1</v>
      </c>
    </row>
    <row r="28" spans="2:13">
      <c r="L28" t="s">
        <v>814</v>
      </c>
      <c r="M28">
        <v>1</v>
      </c>
    </row>
    <row r="29" spans="2:13">
      <c r="L29" t="s">
        <v>816</v>
      </c>
      <c r="M29">
        <v>1</v>
      </c>
    </row>
    <row r="30" spans="2:13">
      <c r="L30" t="s">
        <v>832</v>
      </c>
      <c r="M30">
        <v>1</v>
      </c>
    </row>
    <row r="31" spans="2:13">
      <c r="L31" t="s">
        <v>836</v>
      </c>
      <c r="M31">
        <v>1</v>
      </c>
    </row>
    <row r="32" spans="2:13">
      <c r="L32" t="s">
        <v>2047</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2048</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2049</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2050</v>
      </c>
      <c r="S2" s="3" t="s">
        <v>1935</v>
      </c>
      <c r="T2" s="264" t="s">
        <v>1936</v>
      </c>
      <c r="U2" s="264" t="s">
        <v>1936</v>
      </c>
      <c r="V2" s="264" t="s">
        <v>1936</v>
      </c>
      <c r="W2" s="264" t="s">
        <v>1936</v>
      </c>
      <c r="X2" s="264" t="s">
        <v>1937</v>
      </c>
      <c r="Y2" s="264" t="s">
        <v>2051</v>
      </c>
    </row>
    <row r="3" spans="1:26" ht="15.75" thickBot="1">
      <c r="A3" s="263" t="s">
        <v>2031</v>
      </c>
      <c r="B3" s="259" t="s">
        <v>20</v>
      </c>
      <c r="C3" s="259" t="s">
        <v>2052</v>
      </c>
      <c r="D3" s="259" t="s">
        <v>26</v>
      </c>
      <c r="E3" s="259" t="s">
        <v>2026</v>
      </c>
      <c r="F3" s="259" t="s">
        <v>2053</v>
      </c>
      <c r="G3" s="259" t="s">
        <v>27</v>
      </c>
      <c r="H3" s="207" t="s">
        <v>28</v>
      </c>
      <c r="I3" s="207" t="s">
        <v>2054</v>
      </c>
      <c r="J3" s="207" t="s">
        <v>2055</v>
      </c>
      <c r="K3" s="207" t="s">
        <v>2056</v>
      </c>
      <c r="L3" s="207" t="s">
        <v>2012</v>
      </c>
      <c r="M3" s="207" t="s">
        <v>2057</v>
      </c>
      <c r="N3" s="207" t="s">
        <v>2058</v>
      </c>
      <c r="O3" s="206" t="s">
        <v>1940</v>
      </c>
      <c r="P3" s="260" t="s">
        <v>2032</v>
      </c>
      <c r="Q3" s="261" t="s">
        <v>34</v>
      </c>
      <c r="R3" s="261" t="s">
        <v>2054</v>
      </c>
      <c r="S3" s="5" t="s">
        <v>1941</v>
      </c>
      <c r="T3" s="261" t="s">
        <v>2059</v>
      </c>
      <c r="U3" s="261" t="s">
        <v>43</v>
      </c>
      <c r="V3" s="261" t="s">
        <v>1942</v>
      </c>
      <c r="W3" s="261" t="s">
        <v>46</v>
      </c>
      <c r="X3" s="261" t="s">
        <v>630</v>
      </c>
      <c r="Y3" s="261" t="s">
        <v>2060</v>
      </c>
      <c r="Z3" s="312" t="s">
        <v>2061</v>
      </c>
    </row>
    <row r="4" spans="1:26" ht="15.75" thickBot="1">
      <c r="A4" s="121" t="s">
        <v>77</v>
      </c>
      <c r="B4" s="102" t="s">
        <v>50</v>
      </c>
      <c r="C4" s="77">
        <v>45807</v>
      </c>
      <c r="D4" s="268"/>
      <c r="E4" s="269" t="s">
        <v>2062</v>
      </c>
      <c r="F4" s="268"/>
      <c r="G4" s="270" t="s">
        <v>2025</v>
      </c>
      <c r="H4" s="268"/>
      <c r="I4" s="268"/>
      <c r="J4" s="271"/>
      <c r="K4" s="205"/>
      <c r="L4" s="205"/>
      <c r="M4" s="205"/>
      <c r="N4" s="272"/>
      <c r="O4" s="273"/>
      <c r="P4" s="274" t="s">
        <v>2063</v>
      </c>
      <c r="Q4" s="275" t="s">
        <v>84</v>
      </c>
      <c r="R4" s="131" t="s">
        <v>2064</v>
      </c>
      <c r="S4" s="131"/>
      <c r="T4" s="276"/>
      <c r="U4" s="277"/>
      <c r="V4" s="277"/>
      <c r="W4" s="277"/>
      <c r="X4" s="277"/>
      <c r="Y4" s="277"/>
      <c r="Z4" t="e">
        <f>VLOOKUP(A4,#REF!,9,FALSE)</f>
        <v>#REF!</v>
      </c>
    </row>
    <row r="5" spans="1:26" ht="15.75" thickBot="1">
      <c r="A5" s="278" t="s">
        <v>1982</v>
      </c>
      <c r="B5" s="102" t="s">
        <v>50</v>
      </c>
      <c r="C5" s="215">
        <v>45807</v>
      </c>
      <c r="D5" s="268"/>
      <c r="E5" s="269" t="s">
        <v>2062</v>
      </c>
      <c r="F5" s="268"/>
      <c r="G5" s="270" t="s">
        <v>2025</v>
      </c>
      <c r="H5" s="268"/>
      <c r="I5" s="268"/>
      <c r="J5" s="279"/>
      <c r="K5" s="205"/>
      <c r="L5" s="205"/>
      <c r="M5" s="205"/>
      <c r="N5" s="272"/>
      <c r="O5" s="273"/>
      <c r="P5" s="274" t="s">
        <v>2063</v>
      </c>
      <c r="Q5" s="275" t="s">
        <v>84</v>
      </c>
      <c r="R5" s="131" t="s">
        <v>2064</v>
      </c>
      <c r="S5" s="131"/>
      <c r="T5" s="276"/>
      <c r="U5" s="277"/>
      <c r="V5" s="277"/>
      <c r="W5" s="277"/>
      <c r="X5" s="277"/>
      <c r="Y5" s="277"/>
      <c r="Z5" t="e">
        <f>VLOOKUP(A5,#REF!,9,FALSE)</f>
        <v>#REF!</v>
      </c>
    </row>
    <row r="6" spans="1:26" ht="15.75" thickBot="1">
      <c r="A6" s="121" t="s">
        <v>1051</v>
      </c>
      <c r="B6" s="102" t="s">
        <v>50</v>
      </c>
      <c r="C6" s="215">
        <v>45807</v>
      </c>
      <c r="D6" s="268"/>
      <c r="E6" s="269" t="s">
        <v>2062</v>
      </c>
      <c r="F6" s="268"/>
      <c r="G6" s="270" t="s">
        <v>2025</v>
      </c>
      <c r="H6" s="268"/>
      <c r="I6" s="268"/>
      <c r="J6" s="279"/>
      <c r="K6" s="205"/>
      <c r="L6" s="205"/>
      <c r="M6" s="205"/>
      <c r="N6" s="272"/>
      <c r="O6" s="273"/>
      <c r="P6" s="274" t="s">
        <v>2063</v>
      </c>
      <c r="Q6" s="275" t="s">
        <v>84</v>
      </c>
      <c r="R6" s="131" t="s">
        <v>2064</v>
      </c>
      <c r="S6" s="131"/>
      <c r="T6" s="276"/>
      <c r="U6" s="277"/>
      <c r="V6" s="277"/>
      <c r="W6" s="277"/>
      <c r="X6" s="277"/>
      <c r="Y6" s="277"/>
      <c r="Z6" t="e">
        <f>VLOOKUP(A6,#REF!,9,FALSE)</f>
        <v>#REF!</v>
      </c>
    </row>
    <row r="7" spans="1:26" ht="15.75" thickBot="1">
      <c r="A7" s="121" t="s">
        <v>1068</v>
      </c>
      <c r="B7" s="102" t="s">
        <v>50</v>
      </c>
      <c r="C7" s="215">
        <v>45807</v>
      </c>
      <c r="D7" s="268"/>
      <c r="E7" s="269" t="s">
        <v>2062</v>
      </c>
      <c r="F7" s="268"/>
      <c r="G7" s="270" t="s">
        <v>2025</v>
      </c>
      <c r="H7" s="268"/>
      <c r="I7" s="268"/>
      <c r="J7" s="279"/>
      <c r="K7" s="205"/>
      <c r="L7" s="205"/>
      <c r="M7" s="205"/>
      <c r="N7" s="272"/>
      <c r="O7" s="273"/>
      <c r="P7" s="274" t="s">
        <v>2063</v>
      </c>
      <c r="Q7" s="275" t="s">
        <v>84</v>
      </c>
      <c r="R7" s="131" t="s">
        <v>2064</v>
      </c>
      <c r="S7" s="131"/>
      <c r="T7" s="276"/>
      <c r="U7" s="277"/>
      <c r="V7" s="277"/>
      <c r="W7" s="277"/>
      <c r="X7" s="277"/>
      <c r="Y7" s="277"/>
      <c r="Z7" t="e">
        <f>VLOOKUP(A7,#REF!,9,FALSE)</f>
        <v>#REF!</v>
      </c>
    </row>
    <row r="8" spans="1:26" ht="15.75" thickBot="1">
      <c r="A8" s="278" t="s">
        <v>2065</v>
      </c>
      <c r="B8" s="102" t="s">
        <v>50</v>
      </c>
      <c r="C8" s="215">
        <v>45807</v>
      </c>
      <c r="D8" s="268"/>
      <c r="E8" s="269" t="s">
        <v>2062</v>
      </c>
      <c r="F8" s="268"/>
      <c r="G8" s="270" t="s">
        <v>2025</v>
      </c>
      <c r="H8" s="268"/>
      <c r="I8" s="268"/>
      <c r="J8" s="279"/>
      <c r="K8" s="205"/>
      <c r="L8" s="205"/>
      <c r="M8" s="205"/>
      <c r="N8" s="272"/>
      <c r="O8" s="273"/>
      <c r="P8" s="274" t="s">
        <v>2036</v>
      </c>
      <c r="Q8" s="275" t="s">
        <v>2066</v>
      </c>
      <c r="R8" s="131" t="s">
        <v>2067</v>
      </c>
      <c r="S8" s="131"/>
      <c r="T8" s="276"/>
      <c r="U8" s="277"/>
      <c r="V8" s="277"/>
      <c r="W8" s="277"/>
      <c r="X8" s="277"/>
      <c r="Y8" s="277"/>
      <c r="Z8" t="e">
        <f>VLOOKUP(A8,#REF!,9,FALSE)</f>
        <v>#REF!</v>
      </c>
    </row>
    <row r="9" spans="1:26" ht="15.75" thickBot="1">
      <c r="A9" s="121" t="s">
        <v>1076</v>
      </c>
      <c r="B9" s="102" t="s">
        <v>50</v>
      </c>
      <c r="C9" s="215">
        <v>45807</v>
      </c>
      <c r="D9" s="280"/>
      <c r="E9" s="269" t="s">
        <v>2062</v>
      </c>
      <c r="F9" s="280"/>
      <c r="G9" s="281" t="s">
        <v>2025</v>
      </c>
      <c r="H9" s="268"/>
      <c r="I9" s="268"/>
      <c r="J9" s="279"/>
      <c r="K9" s="205"/>
      <c r="L9" s="205"/>
      <c r="M9" s="205"/>
      <c r="N9" s="272"/>
      <c r="O9" s="273"/>
      <c r="P9" s="274" t="s">
        <v>2063</v>
      </c>
      <c r="Q9" s="275" t="s">
        <v>84</v>
      </c>
      <c r="R9" s="131" t="s">
        <v>2064</v>
      </c>
      <c r="S9" s="131"/>
      <c r="T9" s="276"/>
      <c r="U9" s="277"/>
      <c r="V9" s="277"/>
      <c r="W9" s="277"/>
      <c r="X9" s="277"/>
      <c r="Y9" s="277"/>
      <c r="Z9" t="e">
        <f>VLOOKUP(A9,#REF!,9,FALSE)</f>
        <v>#REF!</v>
      </c>
    </row>
    <row r="10" spans="1:26" ht="15.75" thickBot="1">
      <c r="A10" s="121" t="s">
        <v>1053</v>
      </c>
      <c r="B10" s="102" t="s">
        <v>50</v>
      </c>
      <c r="C10" s="215" t="e">
        <v>#N/A</v>
      </c>
      <c r="D10" s="282"/>
      <c r="E10" s="269" t="s">
        <v>2062</v>
      </c>
      <c r="F10" s="282"/>
      <c r="G10" s="283" t="s">
        <v>2025</v>
      </c>
      <c r="H10" s="230"/>
      <c r="I10" s="230"/>
      <c r="J10" s="45"/>
      <c r="K10" s="204"/>
      <c r="L10" s="204"/>
      <c r="M10" s="204"/>
      <c r="N10" s="284"/>
      <c r="O10" s="285"/>
      <c r="P10" s="274" t="s">
        <v>2063</v>
      </c>
      <c r="Q10" s="275" t="s">
        <v>58</v>
      </c>
      <c r="R10" s="131" t="s">
        <v>2064</v>
      </c>
      <c r="S10" s="131"/>
      <c r="T10" s="276"/>
      <c r="U10" s="277"/>
      <c r="V10" s="277"/>
      <c r="W10" s="277"/>
      <c r="X10" s="277"/>
      <c r="Y10" s="277"/>
      <c r="Z10" t="e">
        <f>VLOOKUP(A10,#REF!,9,FALSE)</f>
        <v>#REF!</v>
      </c>
    </row>
    <row r="11" spans="1:26" ht="15.75" thickBot="1">
      <c r="A11" s="121" t="s">
        <v>513</v>
      </c>
      <c r="B11" s="102" t="s">
        <v>50</v>
      </c>
      <c r="C11" s="215">
        <v>45807</v>
      </c>
      <c r="D11" s="282"/>
      <c r="E11" s="269" t="s">
        <v>2062</v>
      </c>
      <c r="F11" s="282"/>
      <c r="G11" s="283" t="s">
        <v>2025</v>
      </c>
      <c r="H11" s="230"/>
      <c r="I11" s="230"/>
      <c r="J11" s="45"/>
      <c r="K11" s="204"/>
      <c r="L11" s="204"/>
      <c r="M11" s="204"/>
      <c r="N11" s="284"/>
      <c r="O11" s="285"/>
      <c r="P11" s="274" t="s">
        <v>2063</v>
      </c>
      <c r="Q11" s="275" t="s">
        <v>84</v>
      </c>
      <c r="R11" s="131" t="s">
        <v>2064</v>
      </c>
      <c r="S11" s="131"/>
      <c r="T11" s="276"/>
      <c r="U11" s="277"/>
      <c r="V11" s="277"/>
      <c r="W11" s="277"/>
      <c r="X11" s="277"/>
      <c r="Y11" s="277"/>
      <c r="Z11" t="e">
        <f>VLOOKUP(A11,#REF!,9,FALSE)</f>
        <v>#REF!</v>
      </c>
    </row>
    <row r="12" spans="1:26" ht="15.75" thickBot="1">
      <c r="A12" s="121" t="s">
        <v>1048</v>
      </c>
      <c r="B12" s="102" t="s">
        <v>50</v>
      </c>
      <c r="C12" s="215" t="e">
        <v>#N/A</v>
      </c>
      <c r="D12" s="282"/>
      <c r="E12" s="269" t="s">
        <v>2062</v>
      </c>
      <c r="F12" s="282"/>
      <c r="G12" s="283" t="s">
        <v>2025</v>
      </c>
      <c r="H12" s="230"/>
      <c r="I12" s="230"/>
      <c r="J12" s="45"/>
      <c r="K12" s="204"/>
      <c r="L12" s="204"/>
      <c r="M12" s="204"/>
      <c r="N12" s="284"/>
      <c r="O12" s="285"/>
      <c r="P12" s="274" t="s">
        <v>2063</v>
      </c>
      <c r="Q12" s="275" t="s">
        <v>84</v>
      </c>
      <c r="R12" s="131" t="s">
        <v>2064</v>
      </c>
      <c r="S12" s="131"/>
      <c r="T12" s="276"/>
      <c r="U12" s="277"/>
      <c r="V12" s="277"/>
      <c r="W12" s="277"/>
      <c r="X12" s="277"/>
      <c r="Y12" s="277"/>
      <c r="Z12" t="e">
        <f>VLOOKUP(A12,#REF!,9,FALSE)</f>
        <v>#REF!</v>
      </c>
    </row>
    <row r="13" spans="1:26" ht="15.75" thickBot="1">
      <c r="A13" s="121" t="s">
        <v>1074</v>
      </c>
      <c r="B13" s="102" t="s">
        <v>50</v>
      </c>
      <c r="C13" s="215" t="e">
        <v>#N/A</v>
      </c>
      <c r="D13" s="282"/>
      <c r="E13" s="269" t="s">
        <v>2062</v>
      </c>
      <c r="F13" s="282"/>
      <c r="G13" s="283" t="s">
        <v>2025</v>
      </c>
      <c r="H13" s="230"/>
      <c r="I13" s="230"/>
      <c r="J13" s="45"/>
      <c r="K13" s="204"/>
      <c r="L13" s="204"/>
      <c r="M13" s="204"/>
      <c r="N13" s="284"/>
      <c r="O13" s="285"/>
      <c r="P13" s="274" t="s">
        <v>2063</v>
      </c>
      <c r="Q13" s="275" t="s">
        <v>84</v>
      </c>
      <c r="R13" s="131" t="s">
        <v>2064</v>
      </c>
      <c r="S13" s="131"/>
      <c r="T13" s="276"/>
      <c r="U13" s="277"/>
      <c r="V13" s="277"/>
      <c r="W13" s="277"/>
      <c r="X13" s="277"/>
      <c r="Y13" s="277"/>
      <c r="Z13" t="e">
        <f>VLOOKUP(A13,#REF!,9,FALSE)</f>
        <v>#REF!</v>
      </c>
    </row>
    <row r="14" spans="1:26" ht="15.75" thickBot="1">
      <c r="A14" s="278" t="s">
        <v>509</v>
      </c>
      <c r="B14" s="102" t="s">
        <v>50</v>
      </c>
      <c r="C14" s="215">
        <v>45807</v>
      </c>
      <c r="D14" s="282"/>
      <c r="E14" s="269" t="s">
        <v>2062</v>
      </c>
      <c r="F14" s="282"/>
      <c r="G14" s="283" t="s">
        <v>2025</v>
      </c>
      <c r="H14" s="230"/>
      <c r="I14" s="230"/>
      <c r="J14" s="45"/>
      <c r="K14" s="204"/>
      <c r="L14" s="204"/>
      <c r="M14" s="204"/>
      <c r="N14" s="284"/>
      <c r="O14" s="285"/>
      <c r="P14" s="274" t="s">
        <v>2063</v>
      </c>
      <c r="Q14" s="275" t="s">
        <v>84</v>
      </c>
      <c r="R14" s="131" t="s">
        <v>2064</v>
      </c>
      <c r="S14" s="131"/>
      <c r="T14" s="276"/>
      <c r="U14" s="277"/>
      <c r="V14" s="277"/>
      <c r="W14" s="277"/>
      <c r="X14" s="277"/>
      <c r="Y14" s="277"/>
      <c r="Z14" t="e">
        <f>VLOOKUP(A14,#REF!,9,FALSE)</f>
        <v>#REF!</v>
      </c>
    </row>
    <row r="15" spans="1:26" ht="15.75" thickBot="1">
      <c r="A15" s="121" t="s">
        <v>1052</v>
      </c>
      <c r="B15" s="102" t="s">
        <v>50</v>
      </c>
      <c r="C15" s="215" t="e">
        <v>#N/A</v>
      </c>
      <c r="D15" s="282"/>
      <c r="E15" s="269" t="s">
        <v>2062</v>
      </c>
      <c r="F15" s="282"/>
      <c r="G15" s="283" t="s">
        <v>2025</v>
      </c>
      <c r="H15" s="230"/>
      <c r="I15" s="230"/>
      <c r="J15" s="45"/>
      <c r="K15" s="204"/>
      <c r="L15" s="204"/>
      <c r="M15" s="204"/>
      <c r="N15" s="284"/>
      <c r="O15" s="285"/>
      <c r="P15" s="274" t="s">
        <v>2063</v>
      </c>
      <c r="Q15" s="275" t="s">
        <v>84</v>
      </c>
      <c r="R15" s="131" t="s">
        <v>2064</v>
      </c>
      <c r="S15" s="131"/>
      <c r="T15" s="276"/>
      <c r="U15" s="277"/>
      <c r="V15" s="277"/>
      <c r="W15" s="277"/>
      <c r="X15" s="277"/>
      <c r="Y15" s="277"/>
      <c r="Z15" t="e">
        <f>VLOOKUP(A15,#REF!,9,FALSE)</f>
        <v>#REF!</v>
      </c>
    </row>
    <row r="16" spans="1:26" ht="15.75" thickBot="1">
      <c r="A16" s="286" t="s">
        <v>2068</v>
      </c>
      <c r="B16" s="102" t="s">
        <v>50</v>
      </c>
      <c r="C16" s="215" t="e">
        <v>#N/A</v>
      </c>
      <c r="D16" s="282"/>
      <c r="E16" s="269" t="s">
        <v>2062</v>
      </c>
      <c r="F16" s="282"/>
      <c r="G16" s="283" t="s">
        <v>2025</v>
      </c>
      <c r="H16" s="230"/>
      <c r="I16" s="230"/>
      <c r="J16" s="45"/>
      <c r="K16" s="204"/>
      <c r="L16" s="204"/>
      <c r="M16" s="204"/>
      <c r="N16" s="284"/>
      <c r="O16" s="285"/>
      <c r="P16" s="274" t="s">
        <v>2063</v>
      </c>
      <c r="Q16" s="275" t="s">
        <v>84</v>
      </c>
      <c r="R16" s="131" t="s">
        <v>2064</v>
      </c>
      <c r="S16" s="131"/>
      <c r="T16" s="276"/>
      <c r="U16" s="277"/>
      <c r="V16" s="277"/>
      <c r="W16" s="277"/>
      <c r="X16" s="277"/>
      <c r="Y16" s="277"/>
      <c r="Z16" t="e">
        <f>VLOOKUP(A16,#REF!,9,FALSE)</f>
        <v>#REF!</v>
      </c>
    </row>
    <row r="17" spans="1:26" ht="15.75" thickBot="1">
      <c r="A17" s="275" t="s">
        <v>887</v>
      </c>
      <c r="B17" s="102" t="s">
        <v>50</v>
      </c>
      <c r="C17" s="215" t="e">
        <v>#N/A</v>
      </c>
      <c r="D17" s="282"/>
      <c r="E17" s="269" t="s">
        <v>2027</v>
      </c>
      <c r="F17" s="282"/>
      <c r="G17" s="283" t="s">
        <v>2025</v>
      </c>
      <c r="H17" s="230"/>
      <c r="I17" s="230"/>
      <c r="J17" s="45"/>
      <c r="K17" s="204"/>
      <c r="L17" s="204"/>
      <c r="M17" s="204"/>
      <c r="N17" s="284"/>
      <c r="O17" s="285"/>
      <c r="P17" s="274"/>
      <c r="Q17" s="275" t="s">
        <v>84</v>
      </c>
      <c r="R17" s="131" t="s">
        <v>2064</v>
      </c>
      <c r="S17" s="131"/>
      <c r="T17" s="276"/>
      <c r="U17" s="277"/>
      <c r="V17" s="277"/>
      <c r="W17" s="277"/>
      <c r="X17" s="277"/>
      <c r="Y17" s="277"/>
      <c r="Z17" t="e">
        <f>VLOOKUP(A17,#REF!,9,FALSE)</f>
        <v>#REF!</v>
      </c>
    </row>
    <row r="18" spans="1:26" ht="15.75" thickBot="1">
      <c r="A18" s="275" t="s">
        <v>866</v>
      </c>
      <c r="B18" s="102" t="s">
        <v>50</v>
      </c>
      <c r="C18" s="215">
        <v>45807</v>
      </c>
      <c r="D18" s="282"/>
      <c r="E18" s="269" t="s">
        <v>2027</v>
      </c>
      <c r="F18" s="282"/>
      <c r="G18" s="283" t="s">
        <v>2025</v>
      </c>
      <c r="H18" s="230"/>
      <c r="I18" s="230"/>
      <c r="J18" s="45"/>
      <c r="K18" s="204"/>
      <c r="L18" s="204"/>
      <c r="M18" s="204"/>
      <c r="N18" s="284"/>
      <c r="O18" s="285"/>
      <c r="P18" s="274" t="s">
        <v>2033</v>
      </c>
      <c r="Q18" s="275"/>
      <c r="R18" s="131" t="s">
        <v>2064</v>
      </c>
      <c r="S18" s="131"/>
      <c r="T18" s="276"/>
      <c r="U18" s="277"/>
      <c r="V18" s="277"/>
      <c r="W18" s="277"/>
      <c r="X18" s="277"/>
      <c r="Y18" s="277"/>
      <c r="Z18" t="e">
        <f>VLOOKUP(A18,#REF!,9,FALSE)</f>
        <v>#REF!</v>
      </c>
    </row>
    <row r="19" spans="1:26" ht="15.75" thickBot="1">
      <c r="A19" s="275" t="s">
        <v>869</v>
      </c>
      <c r="B19" s="102" t="s">
        <v>50</v>
      </c>
      <c r="C19" s="215" t="e">
        <v>#N/A</v>
      </c>
      <c r="D19" s="282"/>
      <c r="E19" s="269" t="s">
        <v>2027</v>
      </c>
      <c r="F19" s="282"/>
      <c r="G19" s="283" t="s">
        <v>2046</v>
      </c>
      <c r="H19" s="230"/>
      <c r="I19" s="230"/>
      <c r="J19" s="45"/>
      <c r="K19" s="204"/>
      <c r="L19" s="204"/>
      <c r="M19" s="204"/>
      <c r="N19" s="284"/>
      <c r="O19" s="285"/>
      <c r="P19" s="274"/>
      <c r="Q19" s="275" t="s">
        <v>2046</v>
      </c>
      <c r="R19" s="131" t="s">
        <v>2064</v>
      </c>
      <c r="S19" s="131"/>
      <c r="T19" s="276"/>
      <c r="U19" s="277"/>
      <c r="V19" s="277"/>
      <c r="W19" s="277"/>
      <c r="X19" s="277"/>
      <c r="Y19" s="277"/>
      <c r="Z19" t="e">
        <f>VLOOKUP(A19,#REF!,9,FALSE)</f>
        <v>#REF!</v>
      </c>
    </row>
    <row r="20" spans="1:26" ht="15.75" thickBot="1">
      <c r="A20" s="275" t="s">
        <v>812</v>
      </c>
      <c r="B20" s="102" t="s">
        <v>50</v>
      </c>
      <c r="C20" s="215" t="e">
        <v>#N/A</v>
      </c>
      <c r="D20" s="282"/>
      <c r="E20" s="269" t="s">
        <v>2027</v>
      </c>
      <c r="F20" s="282"/>
      <c r="G20" s="283" t="s">
        <v>2046</v>
      </c>
      <c r="H20" s="230"/>
      <c r="I20" s="230"/>
      <c r="J20" s="45"/>
      <c r="K20" s="204"/>
      <c r="L20" s="204"/>
      <c r="M20" s="204"/>
      <c r="N20" s="284"/>
      <c r="O20" s="285"/>
      <c r="P20" s="274"/>
      <c r="Q20" s="275" t="s">
        <v>2046</v>
      </c>
      <c r="R20" s="131" t="s">
        <v>2064</v>
      </c>
      <c r="S20" s="131"/>
      <c r="T20" s="276"/>
      <c r="U20" s="277"/>
      <c r="V20" s="277"/>
      <c r="W20" s="277"/>
      <c r="X20" s="277"/>
      <c r="Y20" s="277"/>
      <c r="Z20" t="e">
        <f>VLOOKUP(A20,#REF!,9,FALSE)</f>
        <v>#REF!</v>
      </c>
    </row>
    <row r="21" spans="1:26" s="214" customFormat="1" ht="15.75" thickBot="1">
      <c r="A21" s="262" t="s">
        <v>2042</v>
      </c>
      <c r="B21" s="102" t="e">
        <v>#N/A</v>
      </c>
      <c r="C21" s="231">
        <v>45807</v>
      </c>
      <c r="D21" s="282"/>
      <c r="E21" s="269" t="s">
        <v>2027</v>
      </c>
      <c r="F21" s="282"/>
      <c r="G21" s="283" t="s">
        <v>2025</v>
      </c>
      <c r="H21" s="230"/>
      <c r="I21" s="230"/>
      <c r="J21" s="230"/>
      <c r="K21" s="229"/>
      <c r="L21" s="229"/>
      <c r="M21" s="229"/>
      <c r="N21" s="284"/>
      <c r="O21" s="285"/>
      <c r="P21" s="274"/>
      <c r="Q21" s="225" t="s">
        <v>64</v>
      </c>
      <c r="R21" s="131" t="s">
        <v>2064</v>
      </c>
      <c r="S21" s="228"/>
      <c r="T21" s="227"/>
      <c r="U21" s="226"/>
      <c r="V21" s="226"/>
      <c r="W21" s="226"/>
      <c r="X21" s="226"/>
      <c r="Y21" s="226" t="s">
        <v>2069</v>
      </c>
      <c r="Z21" t="e">
        <f>VLOOKUP(A21,#REF!,9,FALSE)</f>
        <v>#REF!</v>
      </c>
    </row>
    <row r="22" spans="1:26" ht="15.75" thickBot="1">
      <c r="A22" s="275" t="s">
        <v>814</v>
      </c>
      <c r="B22" s="102" t="s">
        <v>50</v>
      </c>
      <c r="C22" s="215" t="e">
        <v>#N/A</v>
      </c>
      <c r="D22" s="282"/>
      <c r="E22" s="269" t="s">
        <v>2027</v>
      </c>
      <c r="F22" s="282"/>
      <c r="G22" s="283" t="s">
        <v>2046</v>
      </c>
      <c r="H22" s="230"/>
      <c r="I22" s="230"/>
      <c r="J22" s="45"/>
      <c r="K22" s="204"/>
      <c r="L22" s="204"/>
      <c r="M22" s="204"/>
      <c r="N22" s="284"/>
      <c r="O22" s="285"/>
      <c r="P22" s="274"/>
      <c r="Q22" s="275" t="s">
        <v>2046</v>
      </c>
      <c r="R22" s="131" t="s">
        <v>2064</v>
      </c>
      <c r="S22" s="131"/>
      <c r="T22" s="276"/>
      <c r="U22" s="277"/>
      <c r="V22" s="277"/>
      <c r="W22" s="277"/>
      <c r="X22" s="277"/>
      <c r="Y22" s="277"/>
      <c r="Z22" t="e">
        <f>VLOOKUP(A22,#REF!,9,FALSE)</f>
        <v>#REF!</v>
      </c>
    </row>
    <row r="23" spans="1:26" ht="15.75" thickBot="1">
      <c r="A23" s="275" t="s">
        <v>797</v>
      </c>
      <c r="B23" s="102" t="s">
        <v>50</v>
      </c>
      <c r="C23" s="215" t="e">
        <v>#N/A</v>
      </c>
      <c r="D23" s="282"/>
      <c r="E23" s="269" t="s">
        <v>2027</v>
      </c>
      <c r="F23" s="282"/>
      <c r="G23" s="283" t="s">
        <v>2025</v>
      </c>
      <c r="H23" s="230"/>
      <c r="I23" s="230"/>
      <c r="J23" s="45"/>
      <c r="K23" s="204"/>
      <c r="L23" s="204"/>
      <c r="M23" s="204"/>
      <c r="N23" s="284"/>
      <c r="O23" s="285"/>
      <c r="P23" s="274"/>
      <c r="Q23" s="275" t="s">
        <v>64</v>
      </c>
      <c r="R23" s="131" t="s">
        <v>2064</v>
      </c>
      <c r="S23" s="131"/>
      <c r="T23" s="276"/>
      <c r="U23" s="277"/>
      <c r="V23" s="277"/>
      <c r="W23" s="277"/>
      <c r="X23" s="277"/>
      <c r="Y23" s="277" t="s">
        <v>2070</v>
      </c>
      <c r="Z23" t="e">
        <f>VLOOKUP(A23,#REF!,9,FALSE)</f>
        <v>#REF!</v>
      </c>
    </row>
    <row r="24" spans="1:26" s="214" customFormat="1" ht="69.599999999999994" customHeight="1" thickBot="1">
      <c r="A24" s="225" t="s">
        <v>2038</v>
      </c>
      <c r="B24" s="232" t="e">
        <v>#N/A</v>
      </c>
      <c r="C24" s="231">
        <v>45716</v>
      </c>
      <c r="D24" s="282"/>
      <c r="E24" s="269" t="s">
        <v>2027</v>
      </c>
      <c r="F24" s="282"/>
      <c r="G24" s="283" t="s">
        <v>2025</v>
      </c>
      <c r="H24" s="230"/>
      <c r="I24" s="230"/>
      <c r="J24" s="230"/>
      <c r="K24" s="229"/>
      <c r="L24" s="229"/>
      <c r="M24" s="229"/>
      <c r="N24" s="284"/>
      <c r="O24" s="285"/>
      <c r="P24" s="274" t="s">
        <v>2039</v>
      </c>
      <c r="Q24" s="225" t="s">
        <v>64</v>
      </c>
      <c r="R24" s="131" t="s">
        <v>2064</v>
      </c>
      <c r="S24" s="228"/>
      <c r="T24" s="227"/>
      <c r="U24" s="226"/>
      <c r="V24" s="226"/>
      <c r="W24" s="226"/>
      <c r="X24" s="226"/>
      <c r="Y24" s="226" t="s">
        <v>2070</v>
      </c>
      <c r="Z24" t="e">
        <f>VLOOKUP(A24,#REF!,9,FALSE)</f>
        <v>#REF!</v>
      </c>
    </row>
    <row r="25" spans="1:26" ht="15.75" thickBot="1">
      <c r="A25" s="275" t="s">
        <v>801</v>
      </c>
      <c r="B25" s="102" t="s">
        <v>50</v>
      </c>
      <c r="C25" s="215">
        <v>45772</v>
      </c>
      <c r="D25" s="282"/>
      <c r="E25" s="269" t="s">
        <v>2027</v>
      </c>
      <c r="F25" s="282"/>
      <c r="G25" s="283" t="s">
        <v>2025</v>
      </c>
      <c r="H25" s="230"/>
      <c r="I25" s="230"/>
      <c r="J25" s="45"/>
      <c r="K25" s="204"/>
      <c r="L25" s="204"/>
      <c r="M25" s="204"/>
      <c r="N25" s="284"/>
      <c r="O25" s="285"/>
      <c r="P25" s="274" t="s">
        <v>2039</v>
      </c>
      <c r="Q25" s="275" t="s">
        <v>64</v>
      </c>
      <c r="R25" s="131" t="s">
        <v>2064</v>
      </c>
      <c r="S25" s="131"/>
      <c r="T25" s="276"/>
      <c r="U25" s="277"/>
      <c r="V25" s="277"/>
      <c r="W25" s="277"/>
      <c r="X25" s="277"/>
      <c r="Y25" s="277"/>
      <c r="Z25" t="e">
        <f>VLOOKUP(A25,#REF!,9,FALSE)</f>
        <v>#REF!</v>
      </c>
    </row>
    <row r="26" spans="1:26" ht="15.75" thickBot="1">
      <c r="A26" s="275" t="s">
        <v>804</v>
      </c>
      <c r="B26" s="102" t="s">
        <v>50</v>
      </c>
      <c r="C26" s="215">
        <v>45772</v>
      </c>
      <c r="D26" s="282"/>
      <c r="E26" s="269" t="s">
        <v>2027</v>
      </c>
      <c r="F26" s="282"/>
      <c r="G26" s="283" t="s">
        <v>2025</v>
      </c>
      <c r="H26" s="230"/>
      <c r="I26" s="230"/>
      <c r="J26" s="45"/>
      <c r="K26" s="204"/>
      <c r="L26" s="204"/>
      <c r="M26" s="204"/>
      <c r="N26" s="284"/>
      <c r="O26" s="285"/>
      <c r="P26" s="274" t="s">
        <v>2039</v>
      </c>
      <c r="Q26" s="275" t="s">
        <v>64</v>
      </c>
      <c r="R26" s="131" t="s">
        <v>2064</v>
      </c>
      <c r="S26" s="131"/>
      <c r="T26" s="276"/>
      <c r="U26" s="277"/>
      <c r="V26" s="277"/>
      <c r="W26" s="277"/>
      <c r="X26" s="277"/>
      <c r="Y26" s="277"/>
      <c r="Z26" t="e">
        <f>VLOOKUP(A26,#REF!,9,FALSE)</f>
        <v>#REF!</v>
      </c>
    </row>
    <row r="27" spans="1:26" ht="15.75" thickBot="1">
      <c r="A27" s="275" t="s">
        <v>976</v>
      </c>
      <c r="B27" s="102" t="s">
        <v>50</v>
      </c>
      <c r="C27" s="215">
        <v>45772</v>
      </c>
      <c r="D27" s="282"/>
      <c r="E27" s="269" t="s">
        <v>2027</v>
      </c>
      <c r="F27" s="282"/>
      <c r="G27" s="283" t="s">
        <v>2025</v>
      </c>
      <c r="H27" s="230"/>
      <c r="I27" s="230"/>
      <c r="J27" s="45"/>
      <c r="K27" s="204"/>
      <c r="L27" s="204"/>
      <c r="M27" s="204"/>
      <c r="N27" s="284"/>
      <c r="O27" s="285"/>
      <c r="P27" s="274" t="s">
        <v>2039</v>
      </c>
      <c r="Q27" s="275" t="s">
        <v>64</v>
      </c>
      <c r="R27" s="131" t="s">
        <v>2064</v>
      </c>
      <c r="S27" s="131"/>
      <c r="T27" s="276"/>
      <c r="U27" s="277"/>
      <c r="V27" s="277"/>
      <c r="W27" s="277"/>
      <c r="X27" s="277"/>
      <c r="Y27" s="277"/>
      <c r="Z27" t="e">
        <f>VLOOKUP(A27,#REF!,9,FALSE)</f>
        <v>#REF!</v>
      </c>
    </row>
    <row r="28" spans="1:26" ht="70.150000000000006" customHeight="1" thickBot="1">
      <c r="A28" s="225" t="s">
        <v>2041</v>
      </c>
      <c r="B28" s="232"/>
      <c r="C28" s="231"/>
      <c r="D28" s="282"/>
      <c r="E28" s="269" t="s">
        <v>2027</v>
      </c>
      <c r="F28" s="282"/>
      <c r="G28" s="283" t="s">
        <v>2025</v>
      </c>
      <c r="H28" s="230"/>
      <c r="I28" s="230"/>
      <c r="J28" s="230"/>
      <c r="K28" s="229"/>
      <c r="L28" s="229"/>
      <c r="M28" s="229"/>
      <c r="N28" s="284"/>
      <c r="O28" s="285"/>
      <c r="P28" s="274" t="s">
        <v>2039</v>
      </c>
      <c r="Q28" s="225" t="s">
        <v>64</v>
      </c>
      <c r="R28" s="131" t="s">
        <v>2064</v>
      </c>
      <c r="S28" s="228"/>
      <c r="T28" s="227"/>
      <c r="U28" s="226"/>
      <c r="V28" s="226"/>
      <c r="W28" s="226"/>
      <c r="X28" s="226"/>
      <c r="Y28" s="288" t="s">
        <v>2071</v>
      </c>
      <c r="Z28" t="e">
        <f>VLOOKUP(A28,#REF!,9,FALSE)</f>
        <v>#REF!</v>
      </c>
    </row>
    <row r="29" spans="1:26" s="214" customFormat="1" ht="69.599999999999994" customHeight="1" thickBot="1">
      <c r="A29" s="225" t="s">
        <v>2044</v>
      </c>
      <c r="B29" s="232" t="e">
        <v>#N/A</v>
      </c>
      <c r="C29" s="231" t="e">
        <v>#N/A</v>
      </c>
      <c r="D29" s="282"/>
      <c r="E29" s="269" t="s">
        <v>2027</v>
      </c>
      <c r="F29" s="282"/>
      <c r="G29" s="283" t="s">
        <v>2025</v>
      </c>
      <c r="H29" s="230"/>
      <c r="I29" s="230"/>
      <c r="J29" s="230"/>
      <c r="K29" s="229"/>
      <c r="L29" s="229"/>
      <c r="M29" s="229"/>
      <c r="N29" s="284"/>
      <c r="O29" s="285"/>
      <c r="P29" s="274"/>
      <c r="Q29" s="220" t="s">
        <v>64</v>
      </c>
      <c r="R29" s="131" t="s">
        <v>2064</v>
      </c>
      <c r="S29" s="228"/>
      <c r="T29" s="227"/>
      <c r="U29" s="226"/>
      <c r="V29" s="226"/>
      <c r="W29" s="226"/>
      <c r="X29" s="226"/>
      <c r="Y29" s="226" t="s">
        <v>2071</v>
      </c>
      <c r="Z29" t="e">
        <f>VLOOKUP(A29,#REF!,9,FALSE)</f>
        <v>#REF!</v>
      </c>
    </row>
    <row r="30" spans="1:26" ht="15.75" thickBot="1">
      <c r="A30" s="275" t="s">
        <v>832</v>
      </c>
      <c r="B30" s="102" t="s">
        <v>50</v>
      </c>
      <c r="C30" s="215">
        <v>45772</v>
      </c>
      <c r="D30" s="282"/>
      <c r="E30" s="269" t="s">
        <v>2027</v>
      </c>
      <c r="F30" s="282"/>
      <c r="G30" s="283" t="s">
        <v>2046</v>
      </c>
      <c r="H30" s="230"/>
      <c r="I30" s="230"/>
      <c r="J30" s="45"/>
      <c r="K30" s="204"/>
      <c r="L30" s="204"/>
      <c r="M30" s="204"/>
      <c r="N30" s="284"/>
      <c r="O30" s="285"/>
      <c r="P30" s="274"/>
      <c r="Q30" s="275" t="s">
        <v>2046</v>
      </c>
      <c r="R30" s="131" t="s">
        <v>2064</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2027</v>
      </c>
      <c r="F31" s="289"/>
      <c r="G31" s="290" t="s">
        <v>2046</v>
      </c>
      <c r="H31" s="222"/>
      <c r="I31" s="222"/>
      <c r="J31" s="236"/>
      <c r="K31" s="237"/>
      <c r="L31" s="237"/>
      <c r="M31" s="237"/>
      <c r="N31" s="222"/>
      <c r="O31" s="291"/>
      <c r="P31" s="274"/>
      <c r="Q31" s="233" t="s">
        <v>2046</v>
      </c>
      <c r="R31" s="131" t="s">
        <v>2064</v>
      </c>
      <c r="S31" s="238"/>
      <c r="T31" s="239"/>
      <c r="U31" s="240"/>
      <c r="V31" s="240"/>
      <c r="W31" s="240"/>
      <c r="X31" s="240"/>
      <c r="Y31" s="240" t="s">
        <v>2072</v>
      </c>
      <c r="Z31" t="e">
        <f>VLOOKUP(A31,#REF!,9,FALSE)</f>
        <v>#REF!</v>
      </c>
    </row>
    <row r="32" spans="1:26" ht="15.75" thickBot="1">
      <c r="A32" s="275" t="s">
        <v>836</v>
      </c>
      <c r="B32" s="102" t="s">
        <v>50</v>
      </c>
      <c r="C32" s="215">
        <v>45772</v>
      </c>
      <c r="D32" s="282"/>
      <c r="E32" s="269" t="s">
        <v>2027</v>
      </c>
      <c r="F32" s="282"/>
      <c r="G32" s="283" t="s">
        <v>2046</v>
      </c>
      <c r="H32" s="230"/>
      <c r="I32" s="230"/>
      <c r="J32" s="45"/>
      <c r="K32" s="204"/>
      <c r="L32" s="204"/>
      <c r="M32" s="204"/>
      <c r="N32" s="284"/>
      <c r="O32" s="285"/>
      <c r="P32" s="274"/>
      <c r="Q32" s="275" t="s">
        <v>2046</v>
      </c>
      <c r="R32" s="131" t="s">
        <v>2064</v>
      </c>
      <c r="S32" s="131"/>
      <c r="T32" s="276"/>
      <c r="U32" s="277"/>
      <c r="V32" s="277"/>
      <c r="W32" s="277"/>
      <c r="X32" s="277"/>
      <c r="Y32" s="277"/>
      <c r="Z32" t="e">
        <f>VLOOKUP(A32,#REF!,9,FALSE)</f>
        <v>#REF!</v>
      </c>
    </row>
    <row r="33" spans="1:26" ht="15.75" thickBot="1">
      <c r="A33" s="275" t="s">
        <v>824</v>
      </c>
      <c r="B33" s="102" t="s">
        <v>50</v>
      </c>
      <c r="C33" s="215">
        <v>45831</v>
      </c>
      <c r="D33" s="282"/>
      <c r="E33" s="269" t="s">
        <v>2027</v>
      </c>
      <c r="F33" s="282"/>
      <c r="G33" s="283" t="s">
        <v>2025</v>
      </c>
      <c r="H33" s="230"/>
      <c r="I33" s="230"/>
      <c r="J33" s="45"/>
      <c r="K33" s="204"/>
      <c r="L33" s="204"/>
      <c r="M33" s="204"/>
      <c r="N33" s="284"/>
      <c r="O33" s="285"/>
      <c r="P33" s="274"/>
      <c r="Q33" s="225" t="s">
        <v>64</v>
      </c>
      <c r="R33" s="131" t="s">
        <v>2064</v>
      </c>
      <c r="S33" s="131"/>
      <c r="T33" s="276"/>
      <c r="U33" s="277"/>
      <c r="V33" s="277"/>
      <c r="W33" s="277"/>
      <c r="X33" s="277"/>
      <c r="Y33" s="277"/>
      <c r="Z33" t="e">
        <f>VLOOKUP(A33,#REF!,9,FALSE)</f>
        <v>#REF!</v>
      </c>
    </row>
    <row r="34" spans="1:26" ht="15.75" thickBot="1">
      <c r="A34" s="275" t="s">
        <v>818</v>
      </c>
      <c r="B34" s="102" t="s">
        <v>50</v>
      </c>
      <c r="C34" s="215">
        <v>45831</v>
      </c>
      <c r="D34" s="282"/>
      <c r="E34" s="269" t="s">
        <v>2027</v>
      </c>
      <c r="F34" s="282"/>
      <c r="G34" s="283" t="s">
        <v>2025</v>
      </c>
      <c r="H34" s="230"/>
      <c r="I34" s="230"/>
      <c r="J34" s="45"/>
      <c r="K34" s="204"/>
      <c r="L34" s="204"/>
      <c r="M34" s="204"/>
      <c r="N34" s="284"/>
      <c r="O34" s="285"/>
      <c r="P34" s="274"/>
      <c r="Q34" s="275" t="s">
        <v>64</v>
      </c>
      <c r="R34" s="131" t="s">
        <v>2064</v>
      </c>
      <c r="S34" s="131"/>
      <c r="T34" s="276"/>
      <c r="U34" s="277"/>
      <c r="V34" s="277"/>
      <c r="W34" s="277"/>
      <c r="X34" s="277"/>
      <c r="Y34" s="277"/>
      <c r="Z34" t="e">
        <f>VLOOKUP(A34,#REF!,9,FALSE)</f>
        <v>#REF!</v>
      </c>
    </row>
    <row r="35" spans="1:26" ht="15.75" thickBot="1">
      <c r="A35" s="275" t="s">
        <v>820</v>
      </c>
      <c r="B35" s="102" t="s">
        <v>50</v>
      </c>
      <c r="C35" s="215">
        <v>45831</v>
      </c>
      <c r="D35" s="282"/>
      <c r="E35" s="269" t="s">
        <v>2027</v>
      </c>
      <c r="F35" s="282"/>
      <c r="G35" s="283" t="s">
        <v>2025</v>
      </c>
      <c r="H35" s="230"/>
      <c r="I35" s="230"/>
      <c r="J35" s="45"/>
      <c r="K35" s="204"/>
      <c r="L35" s="204"/>
      <c r="M35" s="204"/>
      <c r="N35" s="284"/>
      <c r="O35" s="285"/>
      <c r="P35" s="274"/>
      <c r="Q35" s="275" t="s">
        <v>64</v>
      </c>
      <c r="R35" s="131" t="s">
        <v>2064</v>
      </c>
      <c r="S35" s="131"/>
      <c r="T35" s="276"/>
      <c r="U35" s="277"/>
      <c r="V35" s="277"/>
      <c r="W35" s="277"/>
      <c r="X35" s="277"/>
      <c r="Y35" s="277"/>
      <c r="Z35" t="e">
        <f>VLOOKUP(A35,#REF!,9,FALSE)</f>
        <v>#REF!</v>
      </c>
    </row>
    <row r="36" spans="1:26" ht="15.75" thickBot="1">
      <c r="A36" s="275" t="s">
        <v>816</v>
      </c>
      <c r="B36" s="102" t="s">
        <v>50</v>
      </c>
      <c r="C36" s="215">
        <v>45772</v>
      </c>
      <c r="D36" s="282"/>
      <c r="E36" s="269" t="s">
        <v>2027</v>
      </c>
      <c r="F36" s="282"/>
      <c r="G36" s="283" t="s">
        <v>2046</v>
      </c>
      <c r="H36" s="230"/>
      <c r="I36" s="230"/>
      <c r="J36" s="45"/>
      <c r="K36" s="204"/>
      <c r="L36" s="204"/>
      <c r="M36" s="204"/>
      <c r="N36" s="284"/>
      <c r="O36" s="285"/>
      <c r="P36" s="274"/>
      <c r="Q36" s="275" t="s">
        <v>2046</v>
      </c>
      <c r="R36" s="131" t="s">
        <v>2064</v>
      </c>
      <c r="S36" s="131"/>
      <c r="T36" s="276"/>
      <c r="U36" s="277"/>
      <c r="V36" s="277"/>
      <c r="W36" s="277"/>
      <c r="X36" s="277"/>
      <c r="Y36" s="277"/>
      <c r="Z36" t="e">
        <f>VLOOKUP(A36,#REF!,9,FALSE)</f>
        <v>#REF!</v>
      </c>
    </row>
    <row r="37" spans="1:26" ht="15.75" thickBot="1">
      <c r="A37" s="275" t="s">
        <v>826</v>
      </c>
      <c r="B37" s="102" t="s">
        <v>50</v>
      </c>
      <c r="C37" s="215">
        <v>45831</v>
      </c>
      <c r="D37" s="282"/>
      <c r="E37" s="269" t="s">
        <v>2027</v>
      </c>
      <c r="F37" s="282"/>
      <c r="G37" s="283" t="s">
        <v>2025</v>
      </c>
      <c r="H37" s="230"/>
      <c r="I37" s="230"/>
      <c r="J37" s="45"/>
      <c r="K37" s="204"/>
      <c r="L37" s="204"/>
      <c r="M37" s="204"/>
      <c r="N37" s="284"/>
      <c r="O37" s="285"/>
      <c r="P37" s="274"/>
      <c r="Q37" s="275" t="s">
        <v>64</v>
      </c>
      <c r="R37" s="131" t="s">
        <v>2064</v>
      </c>
      <c r="S37" s="131"/>
      <c r="T37" s="276"/>
      <c r="U37" s="277"/>
      <c r="V37" s="277"/>
      <c r="W37" s="277"/>
      <c r="X37" s="277"/>
      <c r="Y37" s="277"/>
      <c r="Z37" t="e">
        <f>VLOOKUP(A37,#REF!,9,FALSE)</f>
        <v>#REF!</v>
      </c>
    </row>
    <row r="38" spans="1:26" ht="15.75" thickBot="1">
      <c r="A38" s="275" t="s">
        <v>830</v>
      </c>
      <c r="B38" s="102" t="s">
        <v>50</v>
      </c>
      <c r="C38" s="215">
        <v>45831</v>
      </c>
      <c r="D38" s="282"/>
      <c r="E38" s="269" t="s">
        <v>2027</v>
      </c>
      <c r="F38" s="282"/>
      <c r="G38" s="283" t="s">
        <v>2025</v>
      </c>
      <c r="H38" s="230"/>
      <c r="I38" s="230"/>
      <c r="J38" s="45"/>
      <c r="K38" s="204"/>
      <c r="L38" s="204"/>
      <c r="M38" s="204"/>
      <c r="N38" s="284"/>
      <c r="O38" s="285"/>
      <c r="P38" s="274"/>
      <c r="Q38" s="275" t="s">
        <v>64</v>
      </c>
      <c r="R38" s="131" t="s">
        <v>2064</v>
      </c>
      <c r="S38" s="131"/>
      <c r="T38" s="276"/>
      <c r="U38" s="277"/>
      <c r="V38" s="277"/>
      <c r="W38" s="277"/>
      <c r="X38" s="277"/>
      <c r="Y38" s="277"/>
      <c r="Z38" t="e">
        <f>VLOOKUP(A38,#REF!,9,FALSE)</f>
        <v>#REF!</v>
      </c>
    </row>
    <row r="39" spans="1:26" s="216" customFormat="1" ht="70.150000000000006" customHeight="1" thickBot="1">
      <c r="A39" s="220" t="s">
        <v>2047</v>
      </c>
      <c r="B39" s="224" t="e">
        <v>#N/A</v>
      </c>
      <c r="C39" s="223" t="e">
        <v>#N/A</v>
      </c>
      <c r="D39" s="289"/>
      <c r="E39" s="269" t="s">
        <v>2027</v>
      </c>
      <c r="F39" s="289"/>
      <c r="G39" s="290" t="s">
        <v>2046</v>
      </c>
      <c r="H39" s="222"/>
      <c r="I39" s="222"/>
      <c r="J39" s="222"/>
      <c r="K39" s="221"/>
      <c r="L39" s="221"/>
      <c r="M39" s="221"/>
      <c r="N39" s="222"/>
      <c r="O39" s="291"/>
      <c r="P39" s="274"/>
      <c r="Q39" s="220" t="s">
        <v>2046</v>
      </c>
      <c r="R39" s="131" t="s">
        <v>2064</v>
      </c>
      <c r="S39" s="219"/>
      <c r="T39" s="218"/>
      <c r="U39" s="217"/>
      <c r="V39" s="217"/>
      <c r="W39" s="217"/>
      <c r="X39" s="217"/>
      <c r="Y39" s="217" t="s">
        <v>2071</v>
      </c>
      <c r="Z39" t="e">
        <f>VLOOKUP(A39,#REF!,9,FALSE)</f>
        <v>#REF!</v>
      </c>
    </row>
    <row r="40" spans="1:26" ht="15.75" thickBot="1">
      <c r="A40" s="275" t="s">
        <v>834</v>
      </c>
      <c r="B40" s="102" t="s">
        <v>50</v>
      </c>
      <c r="C40" s="215">
        <v>45831</v>
      </c>
      <c r="D40" s="282"/>
      <c r="E40" s="269" t="s">
        <v>2027</v>
      </c>
      <c r="F40" s="282"/>
      <c r="G40" s="283" t="s">
        <v>2025</v>
      </c>
      <c r="H40" s="230"/>
      <c r="I40" s="230"/>
      <c r="J40" s="45"/>
      <c r="K40" s="204"/>
      <c r="L40" s="204"/>
      <c r="M40" s="204"/>
      <c r="N40" s="284"/>
      <c r="O40" s="285"/>
      <c r="P40" s="274"/>
      <c r="Q40" s="275" t="s">
        <v>64</v>
      </c>
      <c r="R40" s="131" t="s">
        <v>2064</v>
      </c>
      <c r="S40" s="131"/>
      <c r="T40" s="276"/>
      <c r="U40" s="277"/>
      <c r="V40" s="277"/>
      <c r="W40" s="277"/>
      <c r="X40" s="277"/>
      <c r="Y40" s="277"/>
      <c r="Z40" t="e">
        <f>VLOOKUP(A40,#REF!,9,FALSE)</f>
        <v>#REF!</v>
      </c>
    </row>
    <row r="41" spans="1:26" ht="15.75" thickBot="1">
      <c r="A41" s="275" t="s">
        <v>87</v>
      </c>
      <c r="B41" s="102" t="s">
        <v>50</v>
      </c>
      <c r="C41" s="215">
        <v>45807</v>
      </c>
      <c r="D41" s="282"/>
      <c r="E41" s="269" t="s">
        <v>2062</v>
      </c>
      <c r="F41" s="282"/>
      <c r="G41" s="283" t="s">
        <v>2025</v>
      </c>
      <c r="H41" s="230"/>
      <c r="I41" s="230"/>
      <c r="J41" s="45"/>
      <c r="K41" s="204"/>
      <c r="L41" s="204"/>
      <c r="M41" s="204"/>
      <c r="N41" s="284"/>
      <c r="O41" s="285"/>
      <c r="P41" s="274" t="s">
        <v>2063</v>
      </c>
      <c r="Q41" s="275" t="s">
        <v>58</v>
      </c>
      <c r="R41" s="131" t="s">
        <v>2064</v>
      </c>
      <c r="S41" s="131"/>
      <c r="T41" s="276"/>
      <c r="U41" s="277"/>
      <c r="V41" s="277"/>
      <c r="W41" s="277"/>
      <c r="X41" s="277"/>
      <c r="Y41" s="277"/>
      <c r="Z41" t="e">
        <f>VLOOKUP(A41,#REF!,9,FALSE)</f>
        <v>#REF!</v>
      </c>
    </row>
    <row r="42" spans="1:26" ht="15.75" thickBot="1">
      <c r="A42" s="275" t="s">
        <v>85</v>
      </c>
      <c r="B42" s="102" t="s">
        <v>50</v>
      </c>
      <c r="C42" s="215">
        <v>45807</v>
      </c>
      <c r="D42" s="282"/>
      <c r="E42" s="269" t="s">
        <v>2062</v>
      </c>
      <c r="F42" s="282"/>
      <c r="G42" s="283" t="s">
        <v>2025</v>
      </c>
      <c r="H42" s="230"/>
      <c r="I42" s="230"/>
      <c r="J42" s="45"/>
      <c r="K42" s="204"/>
      <c r="L42" s="204"/>
      <c r="M42" s="204"/>
      <c r="N42" s="284"/>
      <c r="O42" s="285"/>
      <c r="P42" s="274" t="s">
        <v>2063</v>
      </c>
      <c r="Q42" s="275" t="s">
        <v>64</v>
      </c>
      <c r="R42" s="131" t="s">
        <v>2064</v>
      </c>
      <c r="S42" s="131"/>
      <c r="T42" s="276"/>
      <c r="U42" s="277"/>
      <c r="V42" s="277"/>
      <c r="W42" s="277"/>
      <c r="X42" s="277"/>
      <c r="Y42" s="277"/>
      <c r="Z42" t="e">
        <f>VLOOKUP(A42,#REF!,9,FALSE)</f>
        <v>#REF!</v>
      </c>
    </row>
    <row r="43" spans="1:26" ht="15.75" thickBot="1">
      <c r="A43" s="275" t="s">
        <v>516</v>
      </c>
      <c r="B43" s="102" t="s">
        <v>50</v>
      </c>
      <c r="C43" s="215">
        <v>45807</v>
      </c>
      <c r="D43" s="282"/>
      <c r="E43" s="269" t="s">
        <v>2062</v>
      </c>
      <c r="F43" s="282"/>
      <c r="G43" s="283" t="s">
        <v>2025</v>
      </c>
      <c r="H43" s="230"/>
      <c r="I43" s="230"/>
      <c r="J43" s="45"/>
      <c r="K43" s="204"/>
      <c r="L43" s="204"/>
      <c r="M43" s="204"/>
      <c r="N43" s="284"/>
      <c r="O43" s="285"/>
      <c r="P43" s="274" t="s">
        <v>2063</v>
      </c>
      <c r="Q43" s="275" t="s">
        <v>58</v>
      </c>
      <c r="R43" s="131" t="s">
        <v>2064</v>
      </c>
      <c r="S43" s="131"/>
      <c r="T43" s="276"/>
      <c r="U43" s="277"/>
      <c r="V43" s="277"/>
      <c r="W43" s="277"/>
      <c r="X43" s="277"/>
      <c r="Y43" s="277"/>
      <c r="Z43" t="e">
        <f>VLOOKUP(A43,#REF!,9,FALSE)</f>
        <v>#REF!</v>
      </c>
    </row>
    <row r="44" spans="1:26" ht="15.75" thickBot="1">
      <c r="A44" s="275" t="s">
        <v>81</v>
      </c>
      <c r="B44" s="102" t="s">
        <v>50</v>
      </c>
      <c r="C44" s="215">
        <v>45807</v>
      </c>
      <c r="D44" s="282"/>
      <c r="E44" s="269" t="s">
        <v>2062</v>
      </c>
      <c r="F44" s="282"/>
      <c r="G44" s="283" t="s">
        <v>2025</v>
      </c>
      <c r="H44" s="230"/>
      <c r="I44" s="230"/>
      <c r="J44" s="45"/>
      <c r="K44" s="204"/>
      <c r="L44" s="204"/>
      <c r="M44" s="204"/>
      <c r="N44" s="284"/>
      <c r="O44" s="285"/>
      <c r="P44" s="274" t="s">
        <v>2033</v>
      </c>
      <c r="Q44" s="275" t="s">
        <v>64</v>
      </c>
      <c r="R44" s="131" t="s">
        <v>2064</v>
      </c>
      <c r="S44" s="131"/>
      <c r="T44" s="276"/>
      <c r="U44" s="277"/>
      <c r="V44" s="277"/>
      <c r="W44" s="277"/>
      <c r="X44" s="277"/>
      <c r="Y44" s="277"/>
      <c r="Z44" t="e">
        <f>VLOOKUP(A44,#REF!,9,FALSE)</f>
        <v>#REF!</v>
      </c>
    </row>
    <row r="45" spans="1:26" ht="15.75" thickBot="1">
      <c r="A45" s="335" t="s">
        <v>639</v>
      </c>
      <c r="B45" s="102" t="s">
        <v>50</v>
      </c>
      <c r="C45" s="215">
        <v>45807</v>
      </c>
      <c r="D45" s="282"/>
      <c r="E45" s="269" t="s">
        <v>2027</v>
      </c>
      <c r="F45" s="282"/>
      <c r="G45" s="283" t="s">
        <v>2025</v>
      </c>
      <c r="H45" s="230"/>
      <c r="I45" s="230"/>
      <c r="J45" s="45"/>
      <c r="K45" s="204"/>
      <c r="L45" s="204"/>
      <c r="M45" s="204"/>
      <c r="N45" s="284"/>
      <c r="O45" s="285"/>
      <c r="P45" s="274"/>
      <c r="Q45" s="275" t="s">
        <v>58</v>
      </c>
      <c r="R45" s="131" t="s">
        <v>2064</v>
      </c>
      <c r="S45" s="131"/>
      <c r="T45" s="276"/>
      <c r="U45" s="277"/>
      <c r="V45" s="277"/>
      <c r="W45" s="277"/>
      <c r="X45" s="277"/>
      <c r="Y45" s="277"/>
      <c r="Z45" t="e">
        <f>VLOOKUP(A45,#REF!,9,FALSE)</f>
        <v>#REF!</v>
      </c>
    </row>
    <row r="46" spans="1:26" ht="15.75" thickBot="1">
      <c r="A46" s="292" t="s">
        <v>641</v>
      </c>
      <c r="B46" s="102" t="s">
        <v>50</v>
      </c>
      <c r="C46" s="215">
        <v>45807</v>
      </c>
      <c r="D46" s="282"/>
      <c r="E46" s="269" t="s">
        <v>2027</v>
      </c>
      <c r="F46" s="282"/>
      <c r="G46" s="290" t="s">
        <v>2025</v>
      </c>
      <c r="H46" s="230"/>
      <c r="I46" s="230"/>
      <c r="J46" s="45"/>
      <c r="K46" s="204"/>
      <c r="L46" s="204"/>
      <c r="M46" s="204"/>
      <c r="N46" s="284"/>
      <c r="O46" s="285"/>
      <c r="P46" s="274"/>
      <c r="Q46" s="275" t="s">
        <v>58</v>
      </c>
      <c r="R46" s="131" t="s">
        <v>2064</v>
      </c>
      <c r="S46" s="131"/>
      <c r="T46" s="276"/>
      <c r="U46" s="277"/>
      <c r="V46" s="277"/>
      <c r="W46" s="277"/>
      <c r="X46" s="277"/>
      <c r="Y46" s="277"/>
      <c r="Z46" t="e">
        <f>VLOOKUP(A46,#REF!,9,FALSE)</f>
        <v>#REF!</v>
      </c>
    </row>
    <row r="47" spans="1:26" ht="15.75" thickBot="1">
      <c r="A47" s="293" t="s">
        <v>194</v>
      </c>
      <c r="B47" s="102" t="s">
        <v>50</v>
      </c>
      <c r="C47" s="215">
        <v>45807</v>
      </c>
      <c r="D47" s="282"/>
      <c r="E47" s="269" t="s">
        <v>2027</v>
      </c>
      <c r="F47" s="282"/>
      <c r="G47" s="283" t="s">
        <v>2025</v>
      </c>
      <c r="H47" s="230"/>
      <c r="I47" s="230"/>
      <c r="J47" s="45"/>
      <c r="K47" s="204"/>
      <c r="L47" s="204"/>
      <c r="M47" s="204"/>
      <c r="N47" s="284"/>
      <c r="O47" s="285"/>
      <c r="P47" s="274" t="s">
        <v>2036</v>
      </c>
      <c r="Q47" s="275" t="s">
        <v>58</v>
      </c>
      <c r="R47" s="131" t="s">
        <v>2067</v>
      </c>
      <c r="S47" s="131"/>
      <c r="T47" s="276"/>
      <c r="U47" s="277"/>
      <c r="V47" s="277"/>
      <c r="W47" s="277"/>
      <c r="X47" s="277"/>
      <c r="Y47" s="277"/>
      <c r="Z47" t="e">
        <f>VLOOKUP(A47,#REF!,9,FALSE)</f>
        <v>#REF!</v>
      </c>
    </row>
    <row r="48" spans="1:26" ht="15.75" thickBot="1">
      <c r="A48" s="292" t="s">
        <v>690</v>
      </c>
      <c r="B48" s="102" t="s">
        <v>50</v>
      </c>
      <c r="C48" s="215">
        <v>45807</v>
      </c>
      <c r="D48" s="282"/>
      <c r="E48" s="269" t="s">
        <v>2027</v>
      </c>
      <c r="F48" s="282"/>
      <c r="G48" s="290" t="s">
        <v>2046</v>
      </c>
      <c r="H48" s="230"/>
      <c r="I48" s="230"/>
      <c r="J48" s="45"/>
      <c r="K48" s="204"/>
      <c r="L48" s="204"/>
      <c r="M48" s="204"/>
      <c r="N48" s="284"/>
      <c r="O48" s="285"/>
      <c r="P48" s="274" t="s">
        <v>2073</v>
      </c>
      <c r="Q48" s="275" t="s">
        <v>2046</v>
      </c>
      <c r="R48" s="131" t="s">
        <v>2064</v>
      </c>
      <c r="S48" s="131"/>
      <c r="T48" s="276"/>
      <c r="U48" s="277"/>
      <c r="V48" s="277"/>
      <c r="W48" s="277"/>
      <c r="X48" s="277"/>
      <c r="Y48" s="277"/>
      <c r="Z48" t="e">
        <f>VLOOKUP(A48,#REF!,9,FALSE)</f>
        <v>#REF!</v>
      </c>
    </row>
    <row r="49" spans="1:26" ht="15.75" thickBot="1">
      <c r="A49" s="292" t="s">
        <v>684</v>
      </c>
      <c r="B49" s="102" t="s">
        <v>117</v>
      </c>
      <c r="C49" s="215">
        <v>45772</v>
      </c>
      <c r="D49" s="282"/>
      <c r="E49" s="269" t="s">
        <v>2027</v>
      </c>
      <c r="F49" s="282"/>
      <c r="G49" s="290" t="s">
        <v>2046</v>
      </c>
      <c r="H49" s="230"/>
      <c r="I49" s="230"/>
      <c r="J49" s="45"/>
      <c r="K49" s="204"/>
      <c r="L49" s="204"/>
      <c r="M49" s="204"/>
      <c r="N49" s="284"/>
      <c r="O49" s="285"/>
      <c r="P49" s="274" t="s">
        <v>2073</v>
      </c>
      <c r="Q49" s="275" t="s">
        <v>2046</v>
      </c>
      <c r="R49" s="131" t="s">
        <v>2064</v>
      </c>
      <c r="S49" s="131"/>
      <c r="T49" s="276"/>
      <c r="U49" s="277"/>
      <c r="V49" s="277"/>
      <c r="W49" s="277"/>
      <c r="X49" s="277"/>
      <c r="Y49" s="277"/>
      <c r="Z49" t="e">
        <f>VLOOKUP(A49,#REF!,9,FALSE)</f>
        <v>#REF!</v>
      </c>
    </row>
    <row r="50" spans="1:26" ht="15.75" thickBot="1">
      <c r="A50" s="292" t="s">
        <v>682</v>
      </c>
      <c r="B50" s="102" t="s">
        <v>117</v>
      </c>
      <c r="C50" s="215">
        <v>45772</v>
      </c>
      <c r="D50" s="282"/>
      <c r="E50" s="269" t="s">
        <v>2027</v>
      </c>
      <c r="F50" s="282"/>
      <c r="G50" s="290" t="s">
        <v>2046</v>
      </c>
      <c r="H50" s="230"/>
      <c r="I50" s="230"/>
      <c r="J50" s="45"/>
      <c r="K50" s="204"/>
      <c r="L50" s="204"/>
      <c r="M50" s="204"/>
      <c r="N50" s="284"/>
      <c r="O50" s="285"/>
      <c r="P50" s="274" t="s">
        <v>2073</v>
      </c>
      <c r="Q50" s="275" t="s">
        <v>2046</v>
      </c>
      <c r="R50" s="131" t="s">
        <v>2064</v>
      </c>
      <c r="S50" s="131"/>
      <c r="T50" s="276"/>
      <c r="U50" s="277"/>
      <c r="V50" s="277"/>
      <c r="W50" s="277"/>
      <c r="X50" s="277"/>
      <c r="Y50" s="277"/>
      <c r="Z50" t="e">
        <f>VLOOKUP(A50,#REF!,9,FALSE)</f>
        <v>#REF!</v>
      </c>
    </row>
    <row r="51" spans="1:26" ht="15.75" thickBot="1">
      <c r="A51" s="292" t="s">
        <v>688</v>
      </c>
      <c r="B51" s="102" t="e">
        <v>#N/A</v>
      </c>
      <c r="C51" s="215" t="e">
        <v>#N/A</v>
      </c>
      <c r="D51" s="282"/>
      <c r="E51" s="269" t="s">
        <v>2027</v>
      </c>
      <c r="F51" s="282"/>
      <c r="G51" s="290" t="s">
        <v>2046</v>
      </c>
      <c r="H51" s="230"/>
      <c r="I51" s="230"/>
      <c r="J51" s="45"/>
      <c r="K51" s="204"/>
      <c r="L51" s="204"/>
      <c r="M51" s="204"/>
      <c r="N51" s="284"/>
      <c r="O51" s="285"/>
      <c r="P51" s="274" t="s">
        <v>2073</v>
      </c>
      <c r="Q51" s="275" t="s">
        <v>2046</v>
      </c>
      <c r="R51" s="131" t="s">
        <v>2064</v>
      </c>
      <c r="S51" s="131"/>
      <c r="T51" s="276"/>
      <c r="U51" s="277"/>
      <c r="V51" s="277"/>
      <c r="W51" s="277"/>
      <c r="X51" s="277"/>
      <c r="Y51" s="277"/>
      <c r="Z51" t="e">
        <f>VLOOKUP(A51,#REF!,9,FALSE)</f>
        <v>#REF!</v>
      </c>
    </row>
    <row r="52" spans="1:26" ht="13.9" customHeight="1" thickBot="1">
      <c r="A52" s="292" t="s">
        <v>664</v>
      </c>
      <c r="B52" s="102" t="s">
        <v>117</v>
      </c>
      <c r="C52" s="215">
        <v>45925</v>
      </c>
      <c r="D52" s="282"/>
      <c r="E52" s="269" t="s">
        <v>2062</v>
      </c>
      <c r="F52" s="282"/>
      <c r="G52" s="283" t="s">
        <v>2025</v>
      </c>
      <c r="H52" s="230"/>
      <c r="I52" s="230"/>
      <c r="J52" s="45"/>
      <c r="K52" s="204"/>
      <c r="L52" s="204"/>
      <c r="M52" s="204"/>
      <c r="N52" s="284"/>
      <c r="O52" s="285"/>
      <c r="P52" s="274" t="s">
        <v>2063</v>
      </c>
      <c r="Q52" s="275" t="s">
        <v>64</v>
      </c>
      <c r="R52" s="131" t="s">
        <v>2064</v>
      </c>
      <c r="S52" s="131"/>
      <c r="T52" s="276"/>
      <c r="U52" s="277"/>
      <c r="V52" s="277"/>
      <c r="W52" s="277"/>
      <c r="X52" s="277"/>
      <c r="Y52" s="277"/>
      <c r="Z52" t="e">
        <f>VLOOKUP(A52,#REF!,9,FALSE)</f>
        <v>#REF!</v>
      </c>
    </row>
    <row r="53" spans="1:26" ht="15.75" thickBot="1">
      <c r="A53" s="292" t="s">
        <v>666</v>
      </c>
      <c r="B53" s="102" t="s">
        <v>117</v>
      </c>
      <c r="C53" s="215">
        <v>45925</v>
      </c>
      <c r="D53" s="282"/>
      <c r="E53" s="269" t="s">
        <v>2062</v>
      </c>
      <c r="F53" s="282"/>
      <c r="G53" s="283" t="s">
        <v>2025</v>
      </c>
      <c r="H53" s="230"/>
      <c r="I53" s="230"/>
      <c r="J53" s="45"/>
      <c r="K53" s="204"/>
      <c r="L53" s="204"/>
      <c r="M53" s="204"/>
      <c r="N53" s="284"/>
      <c r="O53" s="285"/>
      <c r="P53" s="274" t="s">
        <v>2063</v>
      </c>
      <c r="Q53" s="275" t="s">
        <v>64</v>
      </c>
      <c r="R53" s="131" t="s">
        <v>2064</v>
      </c>
      <c r="S53" s="131"/>
      <c r="T53" s="276"/>
      <c r="U53" s="277"/>
      <c r="V53" s="277"/>
      <c r="W53" s="277"/>
      <c r="X53" s="277"/>
      <c r="Y53" s="277"/>
      <c r="Z53" t="e">
        <f>VLOOKUP(A53,#REF!,9,FALSE)</f>
        <v>#REF!</v>
      </c>
    </row>
    <row r="54" spans="1:26" ht="15.75" thickBot="1">
      <c r="A54" s="292" t="s">
        <v>662</v>
      </c>
      <c r="B54" s="102" t="s">
        <v>117</v>
      </c>
      <c r="C54" s="215">
        <v>45925</v>
      </c>
      <c r="D54" s="282"/>
      <c r="E54" s="269" t="s">
        <v>2062</v>
      </c>
      <c r="F54" s="282"/>
      <c r="G54" s="283" t="s">
        <v>2025</v>
      </c>
      <c r="H54" s="230"/>
      <c r="I54" s="230"/>
      <c r="J54" s="45"/>
      <c r="K54" s="204"/>
      <c r="L54" s="204"/>
      <c r="M54" s="204"/>
      <c r="N54" s="284"/>
      <c r="O54" s="285"/>
      <c r="P54" s="274" t="s">
        <v>2063</v>
      </c>
      <c r="Q54" s="275" t="s">
        <v>64</v>
      </c>
      <c r="R54" s="131" t="s">
        <v>2064</v>
      </c>
      <c r="S54" s="131"/>
      <c r="T54" s="276"/>
      <c r="U54" s="277"/>
      <c r="V54" s="277"/>
      <c r="W54" s="277"/>
      <c r="X54" s="277"/>
      <c r="Y54" s="277"/>
      <c r="Z54" t="e">
        <f>VLOOKUP(A54,#REF!,9,FALSE)</f>
        <v>#REF!</v>
      </c>
    </row>
    <row r="55" spans="1:26" ht="15.75" thickBot="1">
      <c r="A55" s="292" t="s">
        <v>712</v>
      </c>
      <c r="B55" s="102" t="s">
        <v>117</v>
      </c>
      <c r="C55" s="215">
        <v>45862</v>
      </c>
      <c r="D55" s="282"/>
      <c r="E55" s="269" t="s">
        <v>2062</v>
      </c>
      <c r="F55" s="282"/>
      <c r="G55" s="283" t="s">
        <v>2025</v>
      </c>
      <c r="H55" s="230"/>
      <c r="I55" s="230"/>
      <c r="J55" s="45"/>
      <c r="K55" s="204"/>
      <c r="L55" s="204"/>
      <c r="M55" s="204"/>
      <c r="N55" s="284"/>
      <c r="O55" s="285"/>
      <c r="P55" s="274" t="s">
        <v>2036</v>
      </c>
      <c r="Q55" s="275" t="s">
        <v>58</v>
      </c>
      <c r="R55" s="131" t="s">
        <v>2067</v>
      </c>
      <c r="S55" s="131"/>
      <c r="T55" s="276"/>
      <c r="U55" s="277"/>
      <c r="V55" s="277"/>
      <c r="W55" s="277"/>
      <c r="X55" s="277"/>
      <c r="Y55" s="277"/>
      <c r="Z55" t="e">
        <f>VLOOKUP(A55,#REF!,9,FALSE)</f>
        <v>#REF!</v>
      </c>
    </row>
    <row r="56" spans="1:26" ht="15.75" thickBot="1">
      <c r="A56" s="292" t="s">
        <v>134</v>
      </c>
      <c r="B56" s="102"/>
      <c r="C56" s="215" t="e">
        <v>#N/A</v>
      </c>
      <c r="D56" s="282"/>
      <c r="E56" s="269" t="s">
        <v>2062</v>
      </c>
      <c r="F56" s="282"/>
      <c r="G56" s="283" t="s">
        <v>2025</v>
      </c>
      <c r="H56" s="230"/>
      <c r="I56" s="230"/>
      <c r="J56" s="45"/>
      <c r="K56" s="204"/>
      <c r="L56" s="204"/>
      <c r="M56" s="204"/>
      <c r="N56" s="284"/>
      <c r="O56" s="285"/>
      <c r="P56" s="274" t="s">
        <v>2074</v>
      </c>
      <c r="Q56" s="275" t="s">
        <v>58</v>
      </c>
      <c r="R56" s="131" t="s">
        <v>2067</v>
      </c>
      <c r="S56" s="131"/>
      <c r="T56" s="276"/>
      <c r="U56" s="277"/>
      <c r="V56" s="277"/>
      <c r="W56" s="277"/>
      <c r="X56" s="277"/>
      <c r="Y56" s="277"/>
      <c r="Z56" t="e">
        <f>VLOOKUP(A56,#REF!,9,FALSE)</f>
        <v>#REF!</v>
      </c>
    </row>
    <row r="57" spans="1:26" ht="15.75" thickBot="1">
      <c r="A57" s="162" t="s">
        <v>2075</v>
      </c>
      <c r="B57" s="102" t="s">
        <v>117</v>
      </c>
      <c r="C57" s="294">
        <v>45787</v>
      </c>
      <c r="D57" s="282"/>
      <c r="E57" s="269" t="s">
        <v>2062</v>
      </c>
      <c r="F57" s="282"/>
      <c r="G57" s="283" t="s">
        <v>2025</v>
      </c>
      <c r="H57" s="230"/>
      <c r="I57" s="230"/>
      <c r="J57" s="45"/>
      <c r="K57" s="204"/>
      <c r="L57" s="204"/>
      <c r="M57" s="204"/>
      <c r="N57" s="284"/>
      <c r="O57" s="285"/>
      <c r="P57" s="274" t="s">
        <v>2036</v>
      </c>
      <c r="Q57" s="275" t="s">
        <v>2076</v>
      </c>
      <c r="R57" s="131" t="s">
        <v>2067</v>
      </c>
      <c r="S57" s="131"/>
      <c r="T57" s="276"/>
      <c r="U57" s="277"/>
      <c r="V57" s="277"/>
      <c r="W57" s="277"/>
      <c r="X57" s="277"/>
      <c r="Y57" s="277"/>
      <c r="Z57" t="e">
        <f>VLOOKUP(A57,#REF!,9,FALSE)</f>
        <v>#REF!</v>
      </c>
    </row>
    <row r="58" spans="1:26" ht="15.75" thickBot="1">
      <c r="A58" s="622" t="s">
        <v>662</v>
      </c>
      <c r="B58" s="102" t="s">
        <v>50</v>
      </c>
      <c r="C58" s="296">
        <v>45807</v>
      </c>
      <c r="D58" s="282"/>
      <c r="E58" s="269" t="s">
        <v>2027</v>
      </c>
      <c r="F58" s="282"/>
      <c r="G58" s="283" t="s">
        <v>2025</v>
      </c>
      <c r="H58" s="230"/>
      <c r="I58" s="230"/>
      <c r="J58" s="45"/>
      <c r="K58" s="204"/>
      <c r="L58" s="204"/>
      <c r="M58" s="204"/>
      <c r="N58" s="284"/>
      <c r="O58" s="285"/>
      <c r="P58" s="287"/>
      <c r="Q58" s="275" t="s">
        <v>64</v>
      </c>
      <c r="R58" s="131" t="s">
        <v>2064</v>
      </c>
      <c r="S58" s="131"/>
      <c r="T58" s="276"/>
      <c r="U58" s="277"/>
      <c r="V58" s="277"/>
      <c r="W58" s="277"/>
      <c r="X58" s="277"/>
      <c r="Y58" s="277"/>
    </row>
    <row r="59" spans="1:26" ht="15.75" thickBot="1">
      <c r="A59" s="622" t="s">
        <v>664</v>
      </c>
      <c r="B59" s="102" t="s">
        <v>117</v>
      </c>
      <c r="C59" s="296">
        <v>45772</v>
      </c>
      <c r="D59" s="282"/>
      <c r="E59" s="269" t="s">
        <v>2027</v>
      </c>
      <c r="F59" s="282"/>
      <c r="G59" s="283" t="s">
        <v>2025</v>
      </c>
      <c r="H59" s="230"/>
      <c r="I59" s="230"/>
      <c r="J59" s="45"/>
      <c r="K59" s="204"/>
      <c r="L59" s="204"/>
      <c r="M59" s="204"/>
      <c r="N59" s="284"/>
      <c r="O59" s="285"/>
      <c r="P59" s="287"/>
      <c r="Q59" s="275" t="s">
        <v>64</v>
      </c>
      <c r="R59" s="131" t="s">
        <v>2064</v>
      </c>
      <c r="S59" s="131"/>
      <c r="T59" s="276"/>
      <c r="U59" s="277"/>
      <c r="V59" s="277"/>
      <c r="W59" s="277"/>
      <c r="X59" s="277"/>
      <c r="Y59" s="277"/>
    </row>
    <row r="60" spans="1:26" ht="15.75" thickBot="1">
      <c r="A60" s="623" t="s">
        <v>666</v>
      </c>
      <c r="B60" s="102" t="s">
        <v>117</v>
      </c>
      <c r="C60" s="296">
        <v>45772</v>
      </c>
      <c r="D60" s="282"/>
      <c r="E60" s="269" t="s">
        <v>2027</v>
      </c>
      <c r="F60" s="282"/>
      <c r="G60" s="283" t="s">
        <v>2025</v>
      </c>
      <c r="H60" s="230"/>
      <c r="I60" s="230"/>
      <c r="J60" s="45"/>
      <c r="K60" s="204"/>
      <c r="L60" s="204"/>
      <c r="M60" s="204"/>
      <c r="N60" s="284"/>
      <c r="O60" s="285"/>
      <c r="P60" s="287"/>
      <c r="Q60" s="275" t="s">
        <v>64</v>
      </c>
      <c r="R60" s="131" t="s">
        <v>2064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2056</v>
      </c>
      <c r="B70" s="301">
        <f>SUM(K4:K9)</f>
        <v>0</v>
      </c>
      <c r="C70" s="302" t="e">
        <f>B70/B73</f>
        <v>#DIV/0!</v>
      </c>
    </row>
    <row r="71" spans="1:25">
      <c r="A71" s="300" t="s">
        <v>2012</v>
      </c>
      <c r="B71" s="301">
        <f>SUM(L4:L9)</f>
        <v>0</v>
      </c>
      <c r="C71" s="302" t="e">
        <f>B71/B73</f>
        <v>#DIV/0!</v>
      </c>
    </row>
    <row r="72" spans="1:25">
      <c r="A72" s="300" t="s">
        <v>2057</v>
      </c>
      <c r="B72" s="301">
        <f>SUM(M4:M9)</f>
        <v>0</v>
      </c>
      <c r="C72" s="302" t="e">
        <f>B72/B73</f>
        <v>#DIV/0!</v>
      </c>
    </row>
    <row r="73" spans="1:25">
      <c r="A73" s="300" t="s">
        <v>1027</v>
      </c>
      <c r="B73" s="301">
        <f>SUM(B70:B72)</f>
        <v>0</v>
      </c>
      <c r="C73" s="279"/>
    </row>
    <row r="80" spans="1:25">
      <c r="A80" t="s">
        <v>2077</v>
      </c>
    </row>
    <row r="81" spans="1:1">
      <c r="A81" t="s">
        <v>2078</v>
      </c>
    </row>
    <row r="82" spans="1:1">
      <c r="A82" t="s">
        <v>2063</v>
      </c>
    </row>
    <row r="83" spans="1:1">
      <c r="A83" t="s">
        <v>2079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07E55E-72C4-48FD-ACAE-CCB2058DB4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2025-12-17T22:16:27Z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