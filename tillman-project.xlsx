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69" documentId="8_{E14B221E-02E2-46A3-8CEC-C736815F2DD5}" xr6:coauthVersionLast="47" xr6:coauthVersionMax="47" xr10:uidLastSave="{22C4D3EB-33CF-4649-9B34-1DC9727FFCBF}"/>
  <bookViews>
    <workbookView minimized="1" xWindow="30465" yWindow="1065" windowWidth="21600" windowHeight="11295"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479" r:id="rId12"/>
    <pivotCache cacheId="4483" r:id="rId13"/>
    <pivotCache cacheId="4488" r:id="rId14"/>
    <pivotCache cacheId="4495" r:id="rId15"/>
    <pivotCache cacheId="44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<sst xmlns="http://schemas.openxmlformats.org/spreadsheetml/2006/main" count="14659" uniqueCount="1798">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</sst>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9"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15" xfId="0" applyFont="1" applyFill="1" applyBorder="1" applyAlignment="1"/>
    <xf numFmtId="0" fontId="7" fillId="0" borderId="21" xfId="0" applyFont="1" applyFill="1" applyBorder="1" applyAlignment="1"/>
    <xf numFmtId="0" fontId="7" fillId="0" borderId="24" xfId="0" applyFont="1" applyFill="1" applyBorder="1" applyAlignment="1"/>
    <xf numFmtId="0" fontId="32" fillId="0" borderId="35" xfId="0" applyFont="1" applyFill="1" applyBorder="1" applyAlignment="1"/>
    <xf numFmtId="0" fontId="7" fillId="0" borderId="34" xfId="0" applyFont="1" applyFill="1" applyBorder="1" applyAlignment="1"/>
    <xf numFmtId="0" fontId="7" fillId="0" borderId="35" xfId="0" applyFont="1" applyFill="1" applyBorder="1" applyAlignment="1"/>
    <xf numFmtId="0" fontId="7" fillId="0" borderId="14" xfId="0" applyFont="1" applyFill="1" applyBorder="1" applyAlignment="1"/>
    <xf numFmtId="0" fontId="7" fillId="0" borderId="62" xfId="0" applyFont="1" applyFill="1" applyBorder="1" applyAlignment="1"/>
    <xf numFmtId="0" fontId="7" fillId="0" borderId="37" xfId="0" applyFont="1" applyFill="1" applyBorder="1" applyAlignment="1"/>
    <xf numFmtId="3" fontId="0" fillId="20"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V126" activePane="topRight" state="frozen"/>
      <selection pane="topRight" activeCell="W134" sqref="W13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171">
        <v>6891</v>
      </c>
      <c r="X134" s="486">
        <f t="shared" ref="X134:X150" si="9">SUM(V134-W134)</f>
        <v>44</v>
      </c>
      <c r="Y134" s="893">
        <f t="shared" ref="Y134:Y150" si="10">IFERROR($W134/$V134, 0)</f>
        <v>0.99365537130497472</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0" activePane="topRight" state="frozen"/>
      <selection pane="topRight" activeCell="A31" sqref="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1</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1</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1</v>
      </c>
      <c r="AB29" s="366">
        <v>1</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1</v>
      </c>
      <c r="AB30" s="366">
        <v>1</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s="112">
        <v>45981</v>
      </c>
      <c r="F967" t="s">
        <v>874</v>
      </c>
    </row>
    <row r="968" spans="1:7">
      <c r="A968" t="s">
        <v>90</v>
      </c>
      <c r="B968" s="1158"/>
      <c r="C968" s="1158"/>
      <c r="D968" s="1158"/>
      <c r="E968" s="1158"/>
      <c r="F968" s="1158"/>
    </row>
    <row r="969" spans="1:7">
      <c r="A969" t="s">
        <v>272</v>
      </c>
      <c r="B969" s="1158">
        <v>446</v>
      </c>
      <c r="C969" s="1158">
        <v>120</v>
      </c>
      <c r="D969" s="1158">
        <v>550</v>
      </c>
      <c r="E969" s="1158"/>
      <c r="F969" s="1158">
        <v>1116</v>
      </c>
    </row>
    <row r="970" spans="1:7">
      <c r="A970" t="s">
        <v>417</v>
      </c>
      <c r="B970" s="1158"/>
      <c r="C970" s="1158">
        <v>17</v>
      </c>
      <c r="D970" s="1158"/>
      <c r="E970" s="1158"/>
      <c r="F970" s="1158">
        <v>17</v>
      </c>
    </row>
    <row r="971" spans="1:7">
      <c r="A971" t="s">
        <v>386</v>
      </c>
      <c r="B971" s="1158"/>
      <c r="C971" s="1158"/>
      <c r="D971" s="1158"/>
      <c r="E971" s="1158"/>
      <c r="F971" s="1158"/>
    </row>
    <row r="972" spans="1:7">
      <c r="A972" t="s">
        <v>394</v>
      </c>
      <c r="B972" s="1158">
        <v>127</v>
      </c>
      <c r="C972" s="1158"/>
      <c r="D972" s="1158"/>
      <c r="E972" s="1158"/>
      <c r="F972" s="1158">
        <v>127</v>
      </c>
    </row>
    <row r="973" spans="1:7">
      <c r="A973" t="s">
        <v>238</v>
      </c>
      <c r="B973" s="1158">
        <v>420</v>
      </c>
      <c r="C973" s="1158"/>
      <c r="D973" s="1158"/>
      <c r="E973" s="1158"/>
      <c r="F973" s="1158">
        <v>420</v>
      </c>
    </row>
    <row r="974" spans="1:7">
      <c r="A974" t="s">
        <v>397</v>
      </c>
      <c r="B974" s="1158"/>
      <c r="C974" s="1158"/>
      <c r="D974" s="1158"/>
      <c r="E974" s="1158"/>
      <c r="F974" s="1158"/>
    </row>
    <row r="975" spans="1:7">
      <c r="A975" t="s">
        <v>241</v>
      </c>
      <c r="B975" s="1158"/>
      <c r="C975" s="1158">
        <v>1917</v>
      </c>
      <c r="D975" s="1158"/>
      <c r="E975" s="1158"/>
      <c r="F975" s="1158">
        <v>1917</v>
      </c>
    </row>
    <row r="976" spans="1:7">
      <c r="A976" t="s">
        <v>140</v>
      </c>
      <c r="B976" s="1158">
        <v>956</v>
      </c>
      <c r="C976" s="1158"/>
      <c r="D976" s="1158"/>
      <c r="E976" s="1158"/>
      <c r="F976" s="1158">
        <v>956</v>
      </c>
    </row>
    <row r="977" spans="1:6">
      <c r="A977" t="s">
        <v>290</v>
      </c>
      <c r="B977" s="1158">
        <v>1449</v>
      </c>
      <c r="C977" s="1158"/>
      <c r="D977" s="1158"/>
      <c r="E977" s="1158"/>
      <c r="F977" s="1158">
        <v>1449</v>
      </c>
    </row>
    <row r="978" spans="1:6">
      <c r="A978" t="s">
        <v>318</v>
      </c>
      <c r="B978" s="1158">
        <v>1662</v>
      </c>
      <c r="C978" s="1158">
        <v>2684</v>
      </c>
      <c r="D978" s="1158"/>
      <c r="E978" s="1158"/>
      <c r="F978" s="1158">
        <v>4346</v>
      </c>
    </row>
    <row r="979" spans="1:6">
      <c r="A979" t="s">
        <v>325</v>
      </c>
      <c r="B979" s="1158">
        <v>5466</v>
      </c>
      <c r="C979" s="1158"/>
      <c r="D979" s="1158"/>
      <c r="E979" s="1158"/>
      <c r="F979" s="1158">
        <v>5466</v>
      </c>
    </row>
    <row r="980" spans="1:6">
      <c r="A980" t="s">
        <v>327</v>
      </c>
      <c r="B980" s="1158"/>
      <c r="C980" s="1158"/>
      <c r="D980" s="1158"/>
      <c r="E980" s="1158"/>
      <c r="F980" s="1158"/>
    </row>
    <row r="981" spans="1:6">
      <c r="A981" t="s">
        <v>941</v>
      </c>
      <c r="B981" s="1158">
        <v>907</v>
      </c>
      <c r="C981" s="1158"/>
      <c r="D981" s="1158"/>
      <c r="E981" s="1158"/>
      <c r="F981" s="1158">
        <v>907</v>
      </c>
    </row>
    <row r="982" spans="1:6">
      <c r="A982" t="s">
        <v>329</v>
      </c>
      <c r="B982" s="1158">
        <v>1498</v>
      </c>
      <c r="C982" s="1158">
        <v>3613</v>
      </c>
      <c r="D982" s="1158"/>
      <c r="E982" s="1158"/>
      <c r="F982" s="1158">
        <v>5111</v>
      </c>
    </row>
    <row r="983" spans="1:6">
      <c r="A983" t="s">
        <v>942</v>
      </c>
      <c r="B983" s="1158">
        <v>1505</v>
      </c>
      <c r="C983" s="1158">
        <v>1518</v>
      </c>
      <c r="D983" s="1158">
        <v>1968</v>
      </c>
      <c r="E983" s="1158"/>
      <c r="F983" s="1158">
        <v>4991</v>
      </c>
    </row>
    <row r="984" spans="1:6">
      <c r="A984" t="s">
        <v>158</v>
      </c>
      <c r="B984" s="1158">
        <v>1471</v>
      </c>
      <c r="C984" s="1158"/>
      <c r="D984" s="1158"/>
      <c r="E984" s="1158"/>
      <c r="F984" s="1158">
        <v>1471</v>
      </c>
    </row>
    <row r="985" spans="1:6">
      <c r="A985" t="s">
        <v>154</v>
      </c>
      <c r="B985" s="1158">
        <v>762</v>
      </c>
      <c r="C985" s="1158">
        <v>1530</v>
      </c>
      <c r="D985" s="1158">
        <v>954</v>
      </c>
      <c r="E985" s="1158"/>
      <c r="F985" s="1158">
        <v>3246</v>
      </c>
    </row>
    <row r="986" spans="1:6">
      <c r="A986" t="s">
        <v>156</v>
      </c>
      <c r="B986" s="1158"/>
      <c r="C986" s="1158">
        <v>1679</v>
      </c>
      <c r="D986" s="1158">
        <v>1429</v>
      </c>
      <c r="E986" s="1158"/>
      <c r="F986" s="1158">
        <v>3108</v>
      </c>
    </row>
    <row r="987" spans="1:6">
      <c r="A987" t="s">
        <v>943</v>
      </c>
      <c r="B987" s="1158"/>
      <c r="C987" s="1158"/>
      <c r="D987" s="1158"/>
      <c r="E987" s="1158"/>
      <c r="F987" s="1158"/>
    </row>
    <row r="988" spans="1:6">
      <c r="A988" t="s">
        <v>292</v>
      </c>
      <c r="B988" s="1158"/>
      <c r="C988" s="1158">
        <v>2351</v>
      </c>
      <c r="D988" s="1158">
        <v>1835</v>
      </c>
      <c r="E988" s="1158"/>
      <c r="F988" s="1158">
        <v>4186</v>
      </c>
    </row>
    <row r="989" spans="1:6">
      <c r="A989" t="s">
        <v>944</v>
      </c>
      <c r="B989" s="1158"/>
      <c r="C989" s="1158">
        <v>12</v>
      </c>
      <c r="D989" s="1158"/>
      <c r="E989" s="1158"/>
      <c r="F989" s="1158">
        <v>12</v>
      </c>
    </row>
    <row r="990" spans="1:6">
      <c r="A990" t="s">
        <v>945</v>
      </c>
      <c r="B990" s="1158"/>
      <c r="C990" s="1158"/>
      <c r="D990" s="1158">
        <v>480</v>
      </c>
      <c r="E990" s="1158"/>
      <c r="F990" s="1158">
        <v>480</v>
      </c>
    </row>
    <row r="991" spans="1:6">
      <c r="A991" t="s">
        <v>228</v>
      </c>
      <c r="B991" s="1158"/>
      <c r="C991" s="1158">
        <v>136</v>
      </c>
      <c r="D991" s="1158">
        <v>170</v>
      </c>
      <c r="E991" s="1158"/>
      <c r="F991" s="1158">
        <v>306</v>
      </c>
    </row>
    <row r="992" spans="1:6">
      <c r="A992" t="s">
        <v>331</v>
      </c>
      <c r="B992" s="1158"/>
      <c r="C992" s="1158"/>
      <c r="D992" s="1158"/>
      <c r="E992" s="1158"/>
      <c r="F992" s="1158"/>
    </row>
    <row r="993" spans="1:6">
      <c r="A993" t="s">
        <v>874</v>
      </c>
      <c r="B993" s="1158">
        <v>16669</v>
      </c>
      <c r="C993" s="1158">
        <v>15577</v>
      </c>
      <c r="D993" s="1158">
        <v>7386</v>
      </c>
      <c r="E993" s="1158"/>
      <c r="F993" s="1158">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tabSelected="1" workbookViewId="0">
      <pane ySplit="1" topLeftCell="A2068" activePane="bottomLeft" state="frozen"/>
      <selection pane="bottomLeft" activeCell="A2091" sqref="A209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944</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2684</v>
      </c>
      <c r="F2064" s="69"/>
      <c r="G2064" t="s">
        <v>1610</v>
      </c>
    </row>
    <row r="2065" spans="1:7">
      <c r="A2065" s="149" t="s">
        <v>329</v>
      </c>
      <c r="B2065" s="116" t="s">
        <v>141</v>
      </c>
      <c r="C2065" s="56">
        <v>45979</v>
      </c>
      <c r="D2065" s="156">
        <v>3613</v>
      </c>
      <c r="F2065" s="69"/>
      <c r="G2065" t="s">
        <v>1610</v>
      </c>
    </row>
    <row r="2066" spans="1:7">
      <c r="A2066" s="315" t="s">
        <v>945</v>
      </c>
      <c r="B2066" s="315" t="s">
        <v>1401</v>
      </c>
      <c r="C2066" s="56">
        <v>45980</v>
      </c>
      <c r="D2066" s="43">
        <v>480</v>
      </c>
      <c r="F2066" s="69" t="s">
        <v>1655</v>
      </c>
      <c r="G2066" t="s">
        <v>1610</v>
      </c>
    </row>
    <row r="2067" spans="1:7">
      <c r="A2067" s="142" t="s">
        <v>386</v>
      </c>
      <c r="B2067" s="142" t="s">
        <v>1315</v>
      </c>
      <c r="C2067" s="56">
        <v>45980</v>
      </c>
      <c r="E2067" s="325">
        <v>2996</v>
      </c>
      <c r="F2067" s="69" t="s">
        <v>1656</v>
      </c>
      <c r="G2067" t="s">
        <v>1610</v>
      </c>
    </row>
    <row r="2068" spans="1:7">
      <c r="A2068" s="308" t="s">
        <v>942</v>
      </c>
      <c r="B2068" s="308" t="s">
        <v>213</v>
      </c>
      <c r="C2068" s="56">
        <v>45980</v>
      </c>
      <c r="D2068" s="156">
        <v>1968</v>
      </c>
      <c r="E2068" s="204"/>
      <c r="F2068" s="149" t="s">
        <v>1657</v>
      </c>
      <c r="G2068" t="s">
        <v>1610</v>
      </c>
    </row>
    <row r="2069" spans="1:7">
      <c r="A2069" s="308" t="s">
        <v>156</v>
      </c>
      <c r="B2069" s="308" t="s">
        <v>141</v>
      </c>
      <c r="C2069" s="56">
        <v>45980</v>
      </c>
      <c r="D2069" s="325">
        <v>1429</v>
      </c>
      <c r="E2069" s="43"/>
      <c r="F2069" s="69" t="s">
        <v>1658</v>
      </c>
      <c r="G2069" t="s">
        <v>1610</v>
      </c>
    </row>
    <row r="2070" spans="1:7">
      <c r="A2070" s="309" t="s">
        <v>941</v>
      </c>
      <c r="B2070" s="308" t="s">
        <v>216</v>
      </c>
      <c r="C2070" s="56">
        <v>45980</v>
      </c>
      <c r="D2070" s="140"/>
      <c r="E2070" s="43"/>
      <c r="F2070" s="69" t="s">
        <v>1607</v>
      </c>
      <c r="G2070" t="s">
        <v>1610</v>
      </c>
    </row>
    <row r="2071" spans="1:7">
      <c r="A2071" s="315" t="s">
        <v>154</v>
      </c>
      <c r="B2071" s="311" t="s">
        <v>141</v>
      </c>
      <c r="C2071" s="56">
        <v>45980</v>
      </c>
      <c r="D2071" s="43">
        <v>954</v>
      </c>
      <c r="E2071" s="257"/>
      <c r="F2071" s="92" t="s">
        <v>1659</v>
      </c>
      <c r="G2071" t="s">
        <v>1610</v>
      </c>
    </row>
    <row r="2072" spans="1:7">
      <c r="A2072" s="755" t="s">
        <v>228</v>
      </c>
      <c r="B2072" s="322" t="s">
        <v>883</v>
      </c>
      <c r="C2072" s="56">
        <v>45980</v>
      </c>
      <c r="D2072" s="43">
        <v>170</v>
      </c>
      <c r="F2072" s="69"/>
      <c r="G2072" t="s">
        <v>1610</v>
      </c>
    </row>
    <row r="2073" spans="1:7">
      <c r="A2073" s="142" t="s">
        <v>272</v>
      </c>
      <c r="B2073" s="308" t="s">
        <v>1315</v>
      </c>
      <c r="C2073" s="56">
        <v>45980</v>
      </c>
      <c r="D2073" s="43">
        <v>550</v>
      </c>
      <c r="F2073" s="69"/>
      <c r="G2073" t="s">
        <v>1610</v>
      </c>
    </row>
    <row r="2074" spans="1:7">
      <c r="A2074" s="308" t="s">
        <v>292</v>
      </c>
      <c r="B2074" s="308" t="s">
        <v>1535</v>
      </c>
      <c r="C2074" s="56">
        <v>45980</v>
      </c>
      <c r="D2074" s="156">
        <v>1835</v>
      </c>
      <c r="F2074" s="69"/>
      <c r="G2074" t="s">
        <v>1610</v>
      </c>
    </row>
    <row r="2075" spans="1:7">
      <c r="A2075" s="1159" t="s">
        <v>90</v>
      </c>
      <c r="B2075" s="1159" t="s">
        <v>1315</v>
      </c>
      <c r="C2075" s="56">
        <v>45981</v>
      </c>
      <c r="F2075" s="69"/>
      <c r="G2075" t="s">
        <v>1610</v>
      </c>
    </row>
    <row r="2076" spans="1:7">
      <c r="A2076" s="1160" t="s">
        <v>945</v>
      </c>
      <c r="B2076" s="1160" t="s">
        <v>1660</v>
      </c>
      <c r="C2076" s="56">
        <v>45981</v>
      </c>
      <c r="F2076" s="69"/>
      <c r="G2076" t="s">
        <v>1610</v>
      </c>
    </row>
    <row r="2077" spans="1:7">
      <c r="A2077" s="1161" t="s">
        <v>945</v>
      </c>
      <c r="B2077" s="1161" t="s">
        <v>1401</v>
      </c>
      <c r="C2077" s="56">
        <v>45981</v>
      </c>
      <c r="F2077" s="69"/>
      <c r="G2077" t="s">
        <v>1610</v>
      </c>
    </row>
    <row r="2078" spans="1:7">
      <c r="A2078" s="1161" t="s">
        <v>154</v>
      </c>
      <c r="B2078" s="1159" t="s">
        <v>141</v>
      </c>
      <c r="C2078" s="56">
        <v>45981</v>
      </c>
      <c r="F2078" s="69"/>
      <c r="G2078" t="s">
        <v>1610</v>
      </c>
    </row>
    <row r="2079" spans="1:7">
      <c r="A2079" s="1162" t="s">
        <v>942</v>
      </c>
      <c r="B2079" s="1162" t="s">
        <v>213</v>
      </c>
      <c r="C2079" s="56">
        <v>45981</v>
      </c>
      <c r="F2079" s="69"/>
      <c r="G2079" t="s">
        <v>1610</v>
      </c>
    </row>
    <row r="2080" spans="1:7">
      <c r="A2080" s="1162" t="s">
        <v>156</v>
      </c>
      <c r="B2080" s="1162" t="s">
        <v>141</v>
      </c>
      <c r="C2080" s="56">
        <v>45981</v>
      </c>
      <c r="F2080" s="69"/>
      <c r="G2080" t="s">
        <v>1610</v>
      </c>
    </row>
    <row r="2081" spans="1:7">
      <c r="A2081" s="1160" t="s">
        <v>386</v>
      </c>
      <c r="B2081" s="1159" t="s">
        <v>1315</v>
      </c>
      <c r="C2081" s="56">
        <v>45981</v>
      </c>
      <c r="E2081" s="140">
        <v>728</v>
      </c>
      <c r="F2081" s="69"/>
      <c r="G2081" t="s">
        <v>1610</v>
      </c>
    </row>
    <row r="2082" spans="1:7">
      <c r="A2082" s="1163" t="s">
        <v>943</v>
      </c>
      <c r="B2082" s="1164" t="s">
        <v>883</v>
      </c>
      <c r="C2082" s="56">
        <v>45981</v>
      </c>
      <c r="F2082" s="69"/>
      <c r="G2082" t="s">
        <v>1610</v>
      </c>
    </row>
    <row r="2083" spans="1:7">
      <c r="A2083" s="1159" t="s">
        <v>272</v>
      </c>
      <c r="B2083" s="1162" t="s">
        <v>1315</v>
      </c>
      <c r="C2083" s="56">
        <v>45981</v>
      </c>
      <c r="F2083" s="69"/>
      <c r="G2083" t="s">
        <v>1610</v>
      </c>
    </row>
    <row r="2084" spans="1:7">
      <c r="A2084" s="1162" t="s">
        <v>241</v>
      </c>
      <c r="B2084" s="1165" t="s">
        <v>234</v>
      </c>
      <c r="C2084" s="56">
        <v>45981</v>
      </c>
      <c r="F2084" s="69"/>
      <c r="G2084" t="s">
        <v>1610</v>
      </c>
    </row>
    <row r="2085" spans="1:7">
      <c r="A2085" s="1162" t="s">
        <v>292</v>
      </c>
      <c r="B2085" s="1162" t="s">
        <v>1535</v>
      </c>
      <c r="C2085" s="56">
        <v>45981</v>
      </c>
      <c r="F2085" s="69"/>
      <c r="G2085" t="s">
        <v>1610</v>
      </c>
    </row>
    <row r="2086" spans="1:7">
      <c r="A2086" s="1164" t="s">
        <v>318</v>
      </c>
      <c r="B2086" s="1168" t="s">
        <v>141</v>
      </c>
      <c r="C2086" s="56">
        <v>45981</v>
      </c>
      <c r="F2086" s="69"/>
      <c r="G2086" t="s">
        <v>1610</v>
      </c>
    </row>
    <row r="2087" spans="1:7">
      <c r="A2087" s="1166" t="s">
        <v>329</v>
      </c>
      <c r="B2087" s="1169" t="s">
        <v>141</v>
      </c>
      <c r="C2087" s="56">
        <v>45981</v>
      </c>
      <c r="F2087" s="69"/>
      <c r="G2087" t="s">
        <v>1610</v>
      </c>
    </row>
    <row r="2088" spans="1:7">
      <c r="A2088" s="1164" t="s">
        <v>327</v>
      </c>
      <c r="B2088" s="1168" t="s">
        <v>141</v>
      </c>
      <c r="C2088" s="56">
        <v>45981</v>
      </c>
      <c r="F2088" s="69"/>
      <c r="G2088" t="s">
        <v>1610</v>
      </c>
    </row>
    <row r="2089" spans="1:7">
      <c r="A2089" s="1167" t="s">
        <v>331</v>
      </c>
      <c r="B2089" s="1170" t="s">
        <v>141</v>
      </c>
      <c r="C2089" s="56">
        <v>45981</v>
      </c>
      <c r="G2089"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1661</v>
      </c>
      <c r="Q1" s="160" t="s">
        <v>1662</v>
      </c>
      <c r="R1" s="128" t="s">
        <v>1663</v>
      </c>
      <c r="S1" s="128" t="s">
        <v>1664</v>
      </c>
      <c r="T1" s="160" t="s">
        <v>1665</v>
      </c>
      <c r="U1" s="128" t="s">
        <v>1020</v>
      </c>
      <c r="V1" s="161" t="s">
        <v>1666</v>
      </c>
      <c r="W1" s="161" t="s">
        <v>1667</v>
      </c>
      <c r="X1" s="164" t="s">
        <v>1668</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943</v>
      </c>
      <c r="B4" s="421" t="s">
        <v>222</v>
      </c>
      <c r="C4" s="422">
        <v>45742</v>
      </c>
      <c r="D4" s="718" t="s">
        <v>1669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1670</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1670</v>
      </c>
      <c r="S7" s="43" t="s">
        <v>218</v>
      </c>
      <c r="T7" s="43" t="s">
        <v>218</v>
      </c>
      <c r="U7" s="43" t="s">
        <v>218</v>
      </c>
      <c r="V7" s="69" t="s">
        <v>95</v>
      </c>
      <c r="W7" s="30"/>
      <c r="X7" s="69" t="s">
        <v>95</v>
      </c>
      <c r="Y7" t="e">
        <f>VLOOKUP(A7,#REF!,2,FALSE)</f>
        <v>#REF!</v>
      </c>
    </row>
    <row r="8" spans="1:25">
      <c r="A8" s="178" t="s">
        <v>426</v>
      </c>
      <c r="B8" s="183" t="s">
        <v>222</v>
      </c>
      <c r="C8" s="179">
        <v>45742</v>
      </c>
      <c r="D8" s="188" t="s">
        <v>1671</v>
      </c>
      <c r="E8" s="121"/>
      <c r="F8" s="109"/>
      <c r="G8" s="109"/>
      <c r="H8" s="182">
        <v>84</v>
      </c>
      <c r="I8" s="184"/>
      <c r="J8" s="188" t="s">
        <v>57</v>
      </c>
      <c r="K8" s="188" t="s">
        <v>57</v>
      </c>
      <c r="L8" s="188" t="s">
        <v>63</v>
      </c>
      <c r="M8" s="196">
        <v>45716</v>
      </c>
      <c r="N8" s="30" t="s">
        <v>218</v>
      </c>
      <c r="O8" s="30" t="s">
        <v>218</v>
      </c>
      <c r="P8" s="733" t="s">
        <v>218</v>
      </c>
      <c r="Q8" s="69" t="s">
        <v>218</v>
      </c>
      <c r="R8" s="43" t="s">
        <v>1670</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1670</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1670</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1670</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1670</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1672</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1673</v>
      </c>
      <c r="N16" s="30" t="s">
        <v>218</v>
      </c>
      <c r="O16" s="54" t="s">
        <v>1673</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1672</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1672</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1672</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1672</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1672</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1672</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1672</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1670</v>
      </c>
      <c r="S31" s="43" t="s">
        <v>218</v>
      </c>
      <c r="T31" s="140" t="s">
        <v>218</v>
      </c>
      <c r="U31" s="116" t="s">
        <v>218</v>
      </c>
      <c r="V31" s="69" t="s">
        <v>218</v>
      </c>
      <c r="W31" s="54">
        <v>45779</v>
      </c>
      <c r="X31" s="69" t="s">
        <v>1672</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1670</v>
      </c>
      <c r="S32" s="43" t="s">
        <v>218</v>
      </c>
      <c r="T32" s="140" t="s">
        <v>218</v>
      </c>
      <c r="U32" s="43" t="s">
        <v>218</v>
      </c>
      <c r="V32" s="69" t="s">
        <v>218</v>
      </c>
      <c r="W32" s="54">
        <v>45792</v>
      </c>
      <c r="X32" s="69" t="s">
        <v>1672</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1670</v>
      </c>
      <c r="S33" s="43" t="s">
        <v>218</v>
      </c>
      <c r="T33" s="140" t="s">
        <v>218</v>
      </c>
      <c r="U33" s="43" t="s">
        <v>218</v>
      </c>
      <c r="V33" s="345" t="s">
        <v>218</v>
      </c>
      <c r="W33" s="54">
        <v>45812</v>
      </c>
      <c r="X33" s="69" t="s">
        <v>1672</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1670</v>
      </c>
      <c r="S34" s="43" t="s">
        <v>218</v>
      </c>
      <c r="T34" s="140" t="s">
        <v>218</v>
      </c>
      <c r="U34" s="43" t="s">
        <v>218</v>
      </c>
      <c r="V34" s="418" t="s">
        <v>218</v>
      </c>
      <c r="W34" s="168">
        <v>45797</v>
      </c>
      <c r="X34" s="69" t="s">
        <v>1672</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1670</v>
      </c>
      <c r="S35" s="43" t="s">
        <v>218</v>
      </c>
      <c r="T35" s="140" t="s">
        <v>218</v>
      </c>
      <c r="U35" s="171" t="s">
        <v>218</v>
      </c>
      <c r="V35" s="69" t="s">
        <v>218</v>
      </c>
      <c r="W35" s="54">
        <v>45789</v>
      </c>
      <c r="X35" s="345" t="s">
        <v>1672</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1670</v>
      </c>
      <c r="S36" s="43" t="s">
        <v>218</v>
      </c>
      <c r="T36" s="140" t="s">
        <v>218</v>
      </c>
      <c r="U36" s="43" t="s">
        <v>218</v>
      </c>
      <c r="V36" s="69" t="s">
        <v>218</v>
      </c>
      <c r="W36" s="54">
        <v>45824</v>
      </c>
      <c r="X36" s="345" t="s">
        <v>1672</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1670</v>
      </c>
      <c r="S37" s="43" t="s">
        <v>218</v>
      </c>
      <c r="T37" s="43" t="s">
        <v>218</v>
      </c>
      <c r="U37" s="171" t="s">
        <v>218</v>
      </c>
      <c r="V37" s="69" t="s">
        <v>218</v>
      </c>
      <c r="W37" s="157">
        <v>45789</v>
      </c>
      <c r="X37" s="69" t="s">
        <v>1672</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1670</v>
      </c>
      <c r="S38" s="43" t="s">
        <v>218</v>
      </c>
      <c r="T38" s="43" t="s">
        <v>218</v>
      </c>
      <c r="U38" s="171" t="s">
        <v>218</v>
      </c>
      <c r="V38" s="69" t="s">
        <v>218</v>
      </c>
      <c r="W38" s="54">
        <v>45789</v>
      </c>
      <c r="X38" s="69" t="s">
        <v>1672</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1670</v>
      </c>
      <c r="S39" s="43" t="s">
        <v>218</v>
      </c>
      <c r="T39" s="43" t="s">
        <v>218</v>
      </c>
      <c r="U39" s="171" t="s">
        <v>218</v>
      </c>
      <c r="V39" s="69" t="s">
        <v>218</v>
      </c>
      <c r="W39" s="54">
        <v>45789</v>
      </c>
      <c r="X39" s="69" t="s">
        <v>1672</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1672</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1672</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1672</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1672</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1672</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1672</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1672</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1672</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1672</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1672</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1672</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1672</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1670</v>
      </c>
      <c r="S57" s="43" t="s">
        <v>218</v>
      </c>
      <c r="T57" s="43" t="s">
        <v>218</v>
      </c>
      <c r="U57" s="43" t="s">
        <v>218</v>
      </c>
      <c r="V57" s="69" t="s">
        <v>218</v>
      </c>
      <c r="W57" s="54">
        <v>45813</v>
      </c>
      <c r="X57" s="69" t="s">
        <v>1672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1670</v>
      </c>
      <c r="S58" s="43" t="s">
        <v>218</v>
      </c>
      <c r="T58" s="43" t="s">
        <v>218</v>
      </c>
      <c r="U58" s="43" t="s">
        <v>218</v>
      </c>
      <c r="V58" s="345" t="s">
        <v>218</v>
      </c>
      <c r="W58" s="54">
        <v>45796</v>
      </c>
      <c r="X58" s="69" t="s">
        <v>1672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1670</v>
      </c>
      <c r="S59" s="43" t="s">
        <v>218</v>
      </c>
      <c r="T59" s="43" t="s">
        <v>218</v>
      </c>
      <c r="U59" s="43" t="s">
        <v>218</v>
      </c>
      <c r="V59" s="345" t="s">
        <v>218</v>
      </c>
      <c r="W59" s="54">
        <v>45796</v>
      </c>
      <c r="X59" s="69" t="s">
        <v>1672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1670</v>
      </c>
      <c r="S60" s="43" t="s">
        <v>218</v>
      </c>
      <c r="T60" s="43" t="s">
        <v>218</v>
      </c>
      <c r="U60" s="43" t="s">
        <v>218</v>
      </c>
      <c r="V60" s="345" t="s">
        <v>218</v>
      </c>
      <c r="W60" s="54">
        <v>45824</v>
      </c>
      <c r="X60" s="69" t="s">
        <v>1672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1674</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1670</v>
      </c>
      <c r="S81" s="43" t="s">
        <v>218</v>
      </c>
      <c r="T81" s="43" t="s">
        <v>218</v>
      </c>
      <c r="U81" s="116" t="s">
        <v>218</v>
      </c>
      <c r="V81" s="69" t="s">
        <v>218</v>
      </c>
      <c r="W81" s="54">
        <v>45789</v>
      </c>
      <c r="X81" s="69" t="s">
        <v>1672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1670</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1670</v>
      </c>
      <c r="S84" s="171" t="s">
        <v>218</v>
      </c>
      <c r="T84" s="171" t="s">
        <v>218</v>
      </c>
      <c r="U84" s="92" t="s">
        <v>218</v>
      </c>
      <c r="V84" s="69" t="s">
        <v>218</v>
      </c>
      <c r="W84" s="198">
        <v>45875</v>
      </c>
      <c r="X84" s="69" t="s">
        <v>1672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1670</v>
      </c>
      <c r="S85" s="171" t="s">
        <v>218</v>
      </c>
      <c r="T85" s="171" t="s">
        <v>218</v>
      </c>
      <c r="U85" s="92" t="s">
        <v>218</v>
      </c>
      <c r="V85" s="92" t="s">
        <v>218</v>
      </c>
      <c r="W85" s="198">
        <v>45874</v>
      </c>
      <c r="X85" s="69" t="s">
        <v>1672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1670</v>
      </c>
      <c r="S86" s="43" t="s">
        <v>218</v>
      </c>
      <c r="T86" s="43" t="s">
        <v>218</v>
      </c>
      <c r="U86" s="69" t="s">
        <v>218</v>
      </c>
      <c r="V86" s="69" t="s">
        <v>218</v>
      </c>
      <c r="W86" s="54">
        <v>45824</v>
      </c>
      <c r="X86" s="69" t="s">
        <v>1672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1670</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1670</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1670</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1670</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1670</v>
      </c>
      <c r="S91" s="69" t="s">
        <v>218</v>
      </c>
      <c r="T91" s="69" t="s">
        <v>218</v>
      </c>
      <c r="U91" s="69" t="s">
        <v>218</v>
      </c>
      <c r="V91" s="69" t="s">
        <v>218</v>
      </c>
      <c r="W91" s="54">
        <v>45831</v>
      </c>
      <c r="X91" s="69" t="s">
        <v>1672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1670</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1670</v>
      </c>
      <c r="S93" s="43" t="s">
        <v>218</v>
      </c>
      <c r="T93" s="43" t="s">
        <v>218</v>
      </c>
      <c r="U93" s="345" t="s">
        <v>218</v>
      </c>
      <c r="V93" s="69" t="s">
        <v>218</v>
      </c>
      <c r="W93" s="54">
        <v>45789</v>
      </c>
      <c r="X93" s="69" t="s">
        <v>1672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1670</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1670</v>
      </c>
      <c r="S95" s="69" t="s">
        <v>218</v>
      </c>
      <c r="T95" s="43" t="s">
        <v>218</v>
      </c>
      <c r="U95" s="69" t="s">
        <v>218</v>
      </c>
      <c r="V95" s="69" t="s">
        <v>218</v>
      </c>
      <c r="W95" s="54">
        <v>45814</v>
      </c>
      <c r="X95" s="69" t="s">
        <v>1672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1670</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1670</v>
      </c>
      <c r="S97" s="69" t="s">
        <v>218</v>
      </c>
      <c r="T97" s="69" t="s">
        <v>218</v>
      </c>
      <c r="U97" s="69" t="s">
        <v>218</v>
      </c>
      <c r="V97" s="43" t="s">
        <v>218</v>
      </c>
      <c r="W97" s="54">
        <v>45824</v>
      </c>
      <c r="X97" s="69" t="s">
        <v>1672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1670</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1670</v>
      </c>
      <c r="S99" s="43" t="s">
        <v>218</v>
      </c>
      <c r="T99" s="116" t="s">
        <v>218</v>
      </c>
      <c r="U99" s="149" t="s">
        <v>218</v>
      </c>
      <c r="V99" s="69" t="s">
        <v>218</v>
      </c>
      <c r="W99" s="54">
        <v>45814</v>
      </c>
      <c r="X99" s="69" t="s">
        <v>1672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1670</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1670</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1670</v>
      </c>
      <c r="S102" s="43" t="s">
        <v>218</v>
      </c>
      <c r="T102" s="43" t="s">
        <v>218</v>
      </c>
      <c r="U102" s="43" t="s">
        <v>218</v>
      </c>
      <c r="V102" s="166" t="s">
        <v>218</v>
      </c>
      <c r="W102" s="54">
        <v>45835</v>
      </c>
      <c r="X102" s="69" t="s">
        <v>1672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1670</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1670</v>
      </c>
      <c r="S104" s="43" t="s">
        <v>218</v>
      </c>
      <c r="T104" s="43" t="s">
        <v>218</v>
      </c>
      <c r="U104" s="43" t="s">
        <v>218</v>
      </c>
      <c r="V104" s="140" t="s">
        <v>218</v>
      </c>
      <c r="W104" s="54">
        <v>45820</v>
      </c>
      <c r="X104" s="69" t="s">
        <v>1672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1670</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1670</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1670</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1670</v>
      </c>
      <c r="S108" s="43" t="s">
        <v>218</v>
      </c>
      <c r="T108" s="43" t="s">
        <v>218</v>
      </c>
      <c r="U108" s="88" t="s">
        <v>218</v>
      </c>
      <c r="V108" s="495" t="s">
        <v>218</v>
      </c>
      <c r="W108" s="367">
        <v>45798</v>
      </c>
      <c r="X108" s="69" t="s">
        <v>1672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1670</v>
      </c>
      <c r="S109" s="43" t="s">
        <v>218</v>
      </c>
      <c r="T109" s="43" t="s">
        <v>218</v>
      </c>
      <c r="U109" s="43" t="s">
        <v>1675</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1670</v>
      </c>
      <c r="S110" s="43" t="s">
        <v>218</v>
      </c>
      <c r="T110" s="43" t="s">
        <v>218</v>
      </c>
      <c r="U110" s="88" t="s">
        <v>218</v>
      </c>
      <c r="V110" s="495" t="s">
        <v>218</v>
      </c>
      <c r="W110" s="367">
        <v>45902</v>
      </c>
      <c r="X110" s="69" t="s">
        <v>1672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1670</v>
      </c>
      <c r="S111" s="43" t="s">
        <v>218</v>
      </c>
      <c r="T111" s="43" t="s">
        <v>218</v>
      </c>
      <c r="U111" s="43" t="s">
        <v>218</v>
      </c>
      <c r="V111" s="204" t="s">
        <v>218</v>
      </c>
      <c r="W111" s="168">
        <v>45790</v>
      </c>
      <c r="X111" s="69" t="s">
        <v>1672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1670</v>
      </c>
      <c r="S112" s="43" t="s">
        <v>218</v>
      </c>
      <c r="T112" s="43" t="s">
        <v>218</v>
      </c>
      <c r="U112" s="43" t="s">
        <v>218</v>
      </c>
      <c r="V112" s="204" t="s">
        <v>218</v>
      </c>
      <c r="W112" s="493">
        <v>45791</v>
      </c>
      <c r="X112" s="69" t="s">
        <v>1672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1670</v>
      </c>
      <c r="S113" s="116" t="s">
        <v>218</v>
      </c>
      <c r="T113" s="43" t="s">
        <v>218</v>
      </c>
      <c r="U113" s="43" t="s">
        <v>218</v>
      </c>
      <c r="V113" s="204" t="s">
        <v>218</v>
      </c>
      <c r="W113" s="493">
        <v>45791</v>
      </c>
      <c r="X113" s="149" t="s">
        <v>1672</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1670</v>
      </c>
      <c r="S114" s="116" t="s">
        <v>218</v>
      </c>
      <c r="T114" s="43" t="s">
        <v>218</v>
      </c>
      <c r="U114" s="158" t="s">
        <v>218</v>
      </c>
      <c r="V114" s="204" t="s">
        <v>218</v>
      </c>
      <c r="W114" s="54">
        <v>45798</v>
      </c>
      <c r="X114" s="69" t="s">
        <v>1672</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1670</v>
      </c>
      <c r="S115" s="43" t="s">
        <v>218</v>
      </c>
      <c r="T115" s="43" t="s">
        <v>218</v>
      </c>
      <c r="U115" s="43" t="s">
        <v>218</v>
      </c>
      <c r="V115" s="88" t="s">
        <v>218</v>
      </c>
      <c r="W115" s="54">
        <v>45814</v>
      </c>
      <c r="X115" s="69" t="s">
        <v>1672</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1670</v>
      </c>
      <c r="S116" s="43" t="s">
        <v>218</v>
      </c>
      <c r="T116" s="43" t="s">
        <v>218</v>
      </c>
      <c r="U116" s="43" t="s">
        <v>218</v>
      </c>
      <c r="V116" s="495" t="s">
        <v>218</v>
      </c>
      <c r="W116" s="54">
        <v>45807</v>
      </c>
      <c r="X116" s="69" t="s">
        <v>1672</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1670</v>
      </c>
      <c r="S117" s="43" t="s">
        <v>218</v>
      </c>
      <c r="T117" s="43" t="s">
        <v>218</v>
      </c>
      <c r="U117" s="43" t="s">
        <v>218</v>
      </c>
      <c r="V117" s="88" t="s">
        <v>218</v>
      </c>
      <c r="W117" s="54">
        <v>45811</v>
      </c>
      <c r="X117" s="69" t="s">
        <v>1672</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1670</v>
      </c>
      <c r="S118" s="43" t="s">
        <v>218</v>
      </c>
      <c r="T118" s="43" t="s">
        <v>218</v>
      </c>
      <c r="U118" s="158" t="s">
        <v>218</v>
      </c>
      <c r="V118" s="88" t="s">
        <v>218</v>
      </c>
      <c r="W118" s="54">
        <v>45810</v>
      </c>
      <c r="X118" s="69" t="s">
        <v>1672</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1670</v>
      </c>
      <c r="S119" s="43" t="s">
        <v>218</v>
      </c>
      <c r="T119" s="43" t="s">
        <v>218</v>
      </c>
      <c r="U119" s="158" t="s">
        <v>218</v>
      </c>
      <c r="V119" s="88" t="s">
        <v>218</v>
      </c>
      <c r="W119" s="54">
        <v>45813</v>
      </c>
      <c r="X119" s="69" t="s">
        <v>1672</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1670</v>
      </c>
      <c r="S120" s="43" t="s">
        <v>218</v>
      </c>
      <c r="T120" s="43" t="s">
        <v>218</v>
      </c>
      <c r="U120" s="43" t="s">
        <v>218</v>
      </c>
      <c r="V120" s="88" t="s">
        <v>218</v>
      </c>
      <c r="W120" s="54">
        <v>45811</v>
      </c>
      <c r="X120" s="69" t="s">
        <v>1672</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1670</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1670</v>
      </c>
      <c r="S122" s="43" t="s">
        <v>218</v>
      </c>
      <c r="T122" s="43" t="s">
        <v>218</v>
      </c>
      <c r="U122" s="158" t="s">
        <v>218</v>
      </c>
      <c r="V122" s="158" t="s">
        <v>218</v>
      </c>
      <c r="W122" s="54">
        <v>45789</v>
      </c>
      <c r="X122" s="69" t="s">
        <v>1672</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1670</v>
      </c>
      <c r="S123" s="43" t="s">
        <v>218</v>
      </c>
      <c r="T123" s="43" t="s">
        <v>218</v>
      </c>
      <c r="U123" s="43" t="s">
        <v>218</v>
      </c>
      <c r="V123" s="69" t="s">
        <v>218</v>
      </c>
      <c r="W123" s="54">
        <v>45811</v>
      </c>
      <c r="X123" s="69" t="s">
        <v>1672</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1670</v>
      </c>
      <c r="S124" s="43" t="s">
        <v>218</v>
      </c>
      <c r="T124" s="43" t="s">
        <v>218</v>
      </c>
      <c r="U124" s="43" t="s">
        <v>1675</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1670</v>
      </c>
      <c r="S125" s="43" t="s">
        <v>218</v>
      </c>
      <c r="T125" s="43" t="s">
        <v>218</v>
      </c>
      <c r="U125" s="43" t="s">
        <v>218</v>
      </c>
      <c r="V125" s="43" t="s">
        <v>218</v>
      </c>
      <c r="W125" s="54">
        <v>45814</v>
      </c>
      <c r="X125" s="69" t="s">
        <v>1672</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1670</v>
      </c>
      <c r="S126" s="43" t="s">
        <v>218</v>
      </c>
      <c r="T126" s="43" t="s">
        <v>218</v>
      </c>
      <c r="U126" s="43" t="s">
        <v>218</v>
      </c>
      <c r="V126" s="88" t="s">
        <v>218</v>
      </c>
      <c r="W126" s="54">
        <v>45819</v>
      </c>
      <c r="X126" s="69" t="s">
        <v>1672</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1670</v>
      </c>
      <c r="S127" s="43" t="s">
        <v>218</v>
      </c>
      <c r="T127" s="43" t="s">
        <v>218</v>
      </c>
      <c r="U127" s="43" t="s">
        <v>218</v>
      </c>
      <c r="V127" s="88" t="s">
        <v>218</v>
      </c>
      <c r="W127" s="54">
        <v>45812</v>
      </c>
      <c r="X127" s="69" t="s">
        <v>1672</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1670</v>
      </c>
      <c r="S128" s="43" t="s">
        <v>218</v>
      </c>
      <c r="T128" s="43" t="s">
        <v>218</v>
      </c>
      <c r="U128" s="43" t="s">
        <v>218</v>
      </c>
      <c r="V128" s="88" t="s">
        <v>218</v>
      </c>
      <c r="W128" s="168">
        <v>45883</v>
      </c>
      <c r="X128" s="69" t="s">
        <v>1672</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1670</v>
      </c>
      <c r="S129" s="43" t="s">
        <v>218</v>
      </c>
      <c r="T129" s="116" t="s">
        <v>218</v>
      </c>
      <c r="U129" s="116" t="s">
        <v>218</v>
      </c>
      <c r="V129" s="88" t="s">
        <v>218</v>
      </c>
      <c r="W129" s="168">
        <v>45814</v>
      </c>
      <c r="X129" s="69" t="s">
        <v>1672</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1670</v>
      </c>
      <c r="S130" s="43" t="s">
        <v>218</v>
      </c>
      <c r="T130" s="43" t="s">
        <v>218</v>
      </c>
      <c r="U130" s="43" t="s">
        <v>218</v>
      </c>
      <c r="V130" s="88" t="s">
        <v>218</v>
      </c>
      <c r="W130" s="54">
        <v>45798</v>
      </c>
      <c r="X130" s="69" t="s">
        <v>1672</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1670</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1670</v>
      </c>
      <c r="S132" s="43" t="s">
        <v>218</v>
      </c>
      <c r="T132" s="43" t="s">
        <v>218</v>
      </c>
      <c r="U132" s="43" t="s">
        <v>218</v>
      </c>
      <c r="V132" s="43" t="s">
        <v>218</v>
      </c>
      <c r="W132" s="54">
        <v>45820</v>
      </c>
      <c r="X132" s="69" t="s">
        <v>1672</v>
      </c>
      <c r="Y132" t="e">
        <f>VLOOKUP(A132,#REF!,2,FALSE)</f>
        <v>#REF!</v>
      </c>
    </row>
    <row r="133" spans="1:25" ht="15" customHeight="1">
      <c r="A133" s="369" t="s">
        <v>660</v>
      </c>
      <c r="B133" s="420" t="s">
        <v>50</v>
      </c>
      <c r="C133" s="378">
        <v>45742</v>
      </c>
      <c r="D133" s="433" t="s">
        <v>1676</v>
      </c>
      <c r="E133" s="372"/>
      <c r="F133" s="372"/>
      <c r="G133" s="372"/>
      <c r="H133" s="372">
        <v>38</v>
      </c>
      <c r="I133" s="371"/>
      <c r="J133" s="372" t="s">
        <v>57</v>
      </c>
      <c r="K133" s="372" t="s">
        <v>57</v>
      </c>
      <c r="L133" s="372" t="s">
        <v>63</v>
      </c>
      <c r="M133" s="49" t="s">
        <v>218</v>
      </c>
      <c r="N133" s="49" t="s">
        <v>218</v>
      </c>
      <c r="O133" s="54">
        <v>45701</v>
      </c>
      <c r="P133" s="30" t="s">
        <v>218</v>
      </c>
      <c r="Q133" s="69" t="s">
        <v>218</v>
      </c>
      <c r="R133" s="43" t="s">
        <v>1670</v>
      </c>
      <c r="S133" s="43" t="s">
        <v>218</v>
      </c>
      <c r="T133" s="43" t="s">
        <v>218</v>
      </c>
      <c r="U133" s="43" t="s">
        <v>218</v>
      </c>
      <c r="V133" s="69" t="s">
        <v>218</v>
      </c>
      <c r="W133" s="54">
        <v>45821</v>
      </c>
      <c r="X133" s="69" t="s">
        <v>1672</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1670</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1670</v>
      </c>
      <c r="S135" s="43" t="s">
        <v>218</v>
      </c>
      <c r="T135" s="43" t="s">
        <v>218</v>
      </c>
      <c r="U135" s="158" t="s">
        <v>218</v>
      </c>
      <c r="V135" s="43" t="s">
        <v>218</v>
      </c>
      <c r="W135" s="54">
        <v>45819</v>
      </c>
      <c r="X135" s="69" t="s">
        <v>1672</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1670</v>
      </c>
      <c r="S136" s="43" t="s">
        <v>218</v>
      </c>
      <c r="T136" s="43" t="s">
        <v>218</v>
      </c>
      <c r="U136" s="43" t="s">
        <v>218</v>
      </c>
      <c r="V136" s="43" t="s">
        <v>218</v>
      </c>
      <c r="W136" s="54">
        <v>45791</v>
      </c>
      <c r="X136" s="69" t="s">
        <v>1672</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1670</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1670</v>
      </c>
      <c r="S138" s="43" t="s">
        <v>218</v>
      </c>
      <c r="T138" s="43" t="s">
        <v>218</v>
      </c>
      <c r="U138" s="43" t="s">
        <v>218</v>
      </c>
      <c r="V138" s="43" t="s">
        <v>218</v>
      </c>
      <c r="W138" s="54">
        <v>45790</v>
      </c>
      <c r="X138" s="69" t="s">
        <v>1672</v>
      </c>
      <c r="Y138" t="e">
        <f>VLOOKUP(A138,#REF!,2,FALSE)</f>
        <v>#REF!</v>
      </c>
    </row>
    <row r="139" spans="1:25" ht="15" customHeight="1">
      <c r="A139" s="369" t="s">
        <v>1677</v>
      </c>
      <c r="B139" s="185" t="s">
        <v>50</v>
      </c>
      <c r="C139" s="422">
        <v>45742</v>
      </c>
      <c r="D139" s="372" t="s">
        <v>1678</v>
      </c>
      <c r="E139" s="539"/>
      <c r="F139" s="372"/>
      <c r="G139" s="372"/>
      <c r="H139" s="372">
        <v>87</v>
      </c>
      <c r="I139" s="371"/>
      <c r="J139" s="372" t="s">
        <v>57</v>
      </c>
      <c r="K139" s="372" t="s">
        <v>57</v>
      </c>
      <c r="L139" s="372" t="s">
        <v>63</v>
      </c>
      <c r="M139" s="49" t="s">
        <v>218</v>
      </c>
      <c r="N139" s="30" t="s">
        <v>218</v>
      </c>
      <c r="O139" s="30" t="s">
        <v>218</v>
      </c>
      <c r="P139" s="30" t="s">
        <v>218</v>
      </c>
      <c r="Q139" s="43" t="s">
        <v>218</v>
      </c>
      <c r="R139" s="43" t="s">
        <v>1670</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1670</v>
      </c>
      <c r="S140" s="43" t="s">
        <v>218</v>
      </c>
      <c r="T140" s="43" t="s">
        <v>218</v>
      </c>
      <c r="U140" s="88" t="s">
        <v>218</v>
      </c>
      <c r="V140" s="69" t="s">
        <v>218</v>
      </c>
      <c r="W140" s="54">
        <v>45819</v>
      </c>
      <c r="X140" s="69" t="s">
        <v>1672</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1670</v>
      </c>
      <c r="S141" s="43" t="s">
        <v>218</v>
      </c>
      <c r="T141" s="43" t="s">
        <v>218</v>
      </c>
      <c r="U141" s="88" t="s">
        <v>218</v>
      </c>
      <c r="V141" s="88" t="s">
        <v>218</v>
      </c>
      <c r="W141" s="54">
        <v>45811</v>
      </c>
      <c r="X141" s="69" t="s">
        <v>1672</v>
      </c>
      <c r="Y141" t="e">
        <f>VLOOKUP(A141,#REF!,2,FALSE)</f>
        <v>#REF!</v>
      </c>
    </row>
    <row r="142" spans="1:25" ht="15" customHeight="1">
      <c r="A142" s="369" t="s">
        <v>1679</v>
      </c>
      <c r="B142" s="420" t="s">
        <v>50</v>
      </c>
      <c r="C142" s="422">
        <v>45742</v>
      </c>
      <c r="D142" s="372" t="s">
        <v>1680</v>
      </c>
      <c r="E142" s="539"/>
      <c r="F142" s="372"/>
      <c r="G142" s="372"/>
      <c r="H142" s="372">
        <v>87</v>
      </c>
      <c r="I142" s="371"/>
      <c r="J142" s="372" t="s">
        <v>57</v>
      </c>
      <c r="K142" s="372" t="s">
        <v>57</v>
      </c>
      <c r="L142" s="372" t="s">
        <v>63</v>
      </c>
      <c r="M142" s="49" t="s">
        <v>218</v>
      </c>
      <c r="N142" s="49" t="s">
        <v>218</v>
      </c>
      <c r="O142" s="198">
        <v>45691</v>
      </c>
      <c r="P142" s="30" t="s">
        <v>218</v>
      </c>
      <c r="Q142" s="69" t="s">
        <v>218</v>
      </c>
      <c r="R142" s="43" t="s">
        <v>1670</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1670</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1672</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1681</v>
      </c>
      <c r="B146" s="420" t="s">
        <v>50</v>
      </c>
      <c r="C146" s="370">
        <v>45991</v>
      </c>
      <c r="D146" s="432" t="s">
        <v>1682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1670</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1670</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1670</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1670</v>
      </c>
      <c r="S153" s="43" t="s">
        <v>218</v>
      </c>
      <c r="T153" s="158" t="s">
        <v>218</v>
      </c>
      <c r="U153" s="158" t="s">
        <v>218</v>
      </c>
      <c r="V153" s="43" t="s">
        <v>218</v>
      </c>
      <c r="W153" s="54">
        <v>45807</v>
      </c>
      <c r="X153" s="69" t="s">
        <v>1672</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1670</v>
      </c>
      <c r="S154" s="43" t="s">
        <v>218</v>
      </c>
      <c r="T154" s="158" t="s">
        <v>218</v>
      </c>
      <c r="U154" s="158" t="s">
        <v>218</v>
      </c>
      <c r="V154" s="43" t="s">
        <v>218</v>
      </c>
      <c r="W154" s="168">
        <v>45792</v>
      </c>
      <c r="X154" s="149" t="s">
        <v>1672</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1670</v>
      </c>
      <c r="S155" s="43" t="s">
        <v>218</v>
      </c>
      <c r="T155" s="43" t="s">
        <v>218</v>
      </c>
      <c r="U155" s="158" t="s">
        <v>218</v>
      </c>
      <c r="V155" s="43" t="s">
        <v>218</v>
      </c>
      <c r="W155" s="367">
        <v>45821</v>
      </c>
      <c r="X155" s="69" t="s">
        <v>1672</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1670</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1670</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1670</v>
      </c>
      <c r="S158" s="43" t="s">
        <v>218</v>
      </c>
      <c r="T158" s="43" t="s">
        <v>218</v>
      </c>
      <c r="U158" s="158" t="s">
        <v>218</v>
      </c>
      <c r="V158" s="158" t="s">
        <v>218</v>
      </c>
      <c r="W158" s="367">
        <v>45817</v>
      </c>
      <c r="X158" s="69" t="s">
        <v>1672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1672</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1672</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1672</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1672</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1672</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1683</v>
      </c>
      <c r="W2" s="3" t="s">
        <v>1684</v>
      </c>
      <c r="X2" s="3" t="s">
        <v>1684</v>
      </c>
      <c r="Y2" s="3" t="s">
        <v>1684</v>
      </c>
      <c r="Z2" s="3" t="s">
        <v>1684</v>
      </c>
      <c r="AA2" s="8" t="s">
        <v>1685</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1686</v>
      </c>
      <c r="T3" s="19" t="s">
        <v>1687</v>
      </c>
      <c r="U3" s="19" t="s">
        <v>1688</v>
      </c>
      <c r="V3" s="5" t="s">
        <v>1689</v>
      </c>
      <c r="W3" s="5" t="s">
        <v>44</v>
      </c>
      <c r="X3" s="5" t="s">
        <v>43</v>
      </c>
      <c r="Y3" s="5" t="s">
        <v>1690</v>
      </c>
      <c r="Z3" s="5" t="s">
        <v>46</v>
      </c>
      <c r="AA3" s="90" t="s">
        <v>502</v>
      </c>
      <c r="AB3" s="68" t="s">
        <v>48</v>
      </c>
    </row>
    <row r="4" spans="1:30" ht="24.75" customHeight="1" thickBot="1">
      <c r="A4" s="454" t="s">
        <v>1691</v>
      </c>
      <c r="B4" s="454" t="s">
        <v>1692</v>
      </c>
      <c r="C4" s="16">
        <v>45717</v>
      </c>
      <c r="D4" s="63" t="s">
        <v>1693</v>
      </c>
      <c r="E4" s="51">
        <v>45707</v>
      </c>
      <c r="F4" s="51" t="s">
        <v>223</v>
      </c>
      <c r="G4" s="393" t="s">
        <v>1694</v>
      </c>
      <c r="H4" s="98">
        <v>0</v>
      </c>
      <c r="I4" s="106"/>
      <c r="J4" s="76" t="s">
        <v>63</v>
      </c>
      <c r="K4" s="76" t="s">
        <v>1695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1696</v>
      </c>
    </row>
    <row r="5" spans="1:30" ht="24.75" customHeight="1" thickBot="1">
      <c r="A5" s="454" t="s">
        <v>1697</v>
      </c>
      <c r="B5" s="454" t="s">
        <v>1692</v>
      </c>
      <c r="C5" s="16">
        <v>45717</v>
      </c>
      <c r="D5" s="63" t="s">
        <v>1693</v>
      </c>
      <c r="E5" s="51">
        <v>45707</v>
      </c>
      <c r="F5" s="392" t="s">
        <v>223</v>
      </c>
      <c r="G5" s="393" t="s">
        <v>1698</v>
      </c>
      <c r="H5" s="98">
        <v>0</v>
      </c>
      <c r="I5" s="106"/>
      <c r="J5" s="76" t="s">
        <v>63</v>
      </c>
      <c r="K5" s="76" t="s">
        <v>1695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1699</v>
      </c>
      <c r="B6" s="454" t="s">
        <v>1692</v>
      </c>
      <c r="C6" s="16">
        <v>45717</v>
      </c>
      <c r="D6" s="63" t="s">
        <v>1693</v>
      </c>
      <c r="E6" s="51">
        <v>45707</v>
      </c>
      <c r="F6" s="392" t="s">
        <v>223</v>
      </c>
      <c r="G6" s="393" t="s">
        <v>1700</v>
      </c>
      <c r="H6" s="98">
        <v>0</v>
      </c>
      <c r="I6" s="106"/>
      <c r="J6" s="76" t="s">
        <v>63</v>
      </c>
      <c r="K6" s="76" t="s">
        <v>1695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1701</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1702</v>
      </c>
      <c r="B8" s="454" t="s">
        <v>1703</v>
      </c>
      <c r="C8" s="16">
        <v>45748</v>
      </c>
      <c r="D8" s="16" t="s">
        <v>1693</v>
      </c>
      <c r="E8" s="95" t="s">
        <v>52</v>
      </c>
      <c r="F8" s="96" t="s">
        <v>52</v>
      </c>
      <c r="G8" s="638" t="s">
        <v>1704</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1705</v>
      </c>
      <c r="AC8" s="449"/>
      <c r="AD8" s="70"/>
    </row>
    <row r="9" spans="1:30" ht="24.75" customHeight="1">
      <c r="A9" s="463" t="s">
        <v>1706</v>
      </c>
      <c r="B9" s="463" t="s">
        <v>1707</v>
      </c>
      <c r="C9" s="23">
        <v>45741</v>
      </c>
      <c r="D9" s="16" t="s">
        <v>1693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1708</v>
      </c>
    </row>
    <row r="10" spans="1:30" ht="24.75" customHeight="1" thickBot="1">
      <c r="A10" s="26" t="s">
        <v>1709</v>
      </c>
      <c r="B10" s="26" t="s">
        <v>1707</v>
      </c>
      <c r="C10" s="27">
        <v>45741</v>
      </c>
      <c r="D10" s="16" t="s">
        <v>1693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1710</v>
      </c>
      <c r="B11" s="36" t="s">
        <v>1707</v>
      </c>
      <c r="C11" s="37">
        <v>45747</v>
      </c>
      <c r="D11" s="16" t="s">
        <v>1693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1711</v>
      </c>
      <c r="B12" s="26" t="s">
        <v>1707</v>
      </c>
      <c r="C12" s="27">
        <v>45741</v>
      </c>
      <c r="D12" s="16" t="s">
        <v>1693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1708</v>
      </c>
    </row>
    <row r="13" spans="1:30" ht="24.75" customHeight="1" thickBot="1">
      <c r="A13" s="26" t="s">
        <v>1712</v>
      </c>
      <c r="B13" s="26" t="s">
        <v>1707</v>
      </c>
      <c r="C13" s="27">
        <v>45741</v>
      </c>
      <c r="D13" s="27" t="s">
        <v>1693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1708</v>
      </c>
    </row>
    <row r="14" spans="1:30" ht="24.75" customHeight="1" thickBot="1">
      <c r="A14" s="26" t="s">
        <v>1713</v>
      </c>
      <c r="B14" s="26" t="s">
        <v>1707</v>
      </c>
      <c r="C14" s="27">
        <v>45747</v>
      </c>
      <c r="D14" s="27" t="s">
        <v>1693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1714</v>
      </c>
      <c r="B15" s="26" t="s">
        <v>1707</v>
      </c>
      <c r="C15" s="27">
        <v>45741</v>
      </c>
      <c r="D15" s="27" t="s">
        <v>1693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1708</v>
      </c>
    </row>
    <row r="16" spans="1:30" ht="24.75" customHeight="1" thickBot="1">
      <c r="A16" s="26" t="s">
        <v>1715</v>
      </c>
      <c r="B16" s="26" t="s">
        <v>1707</v>
      </c>
      <c r="C16" s="27">
        <v>45741</v>
      </c>
      <c r="D16" s="27" t="s">
        <v>1693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1708</v>
      </c>
    </row>
    <row r="17" spans="1:30" ht="24.75" customHeight="1" thickBot="1">
      <c r="A17" s="36" t="s">
        <v>1716</v>
      </c>
      <c r="B17" s="36" t="s">
        <v>1707</v>
      </c>
      <c r="C17" s="37">
        <v>45747</v>
      </c>
      <c r="D17" s="37" t="s">
        <v>1693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1717</v>
      </c>
      <c r="B18" s="385" t="s">
        <v>1707</v>
      </c>
      <c r="C18" s="51">
        <v>45717</v>
      </c>
      <c r="D18" s="27" t="s">
        <v>1693</v>
      </c>
      <c r="E18" s="85">
        <v>45700</v>
      </c>
      <c r="F18" s="51"/>
      <c r="G18" s="51" t="s">
        <v>1718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1708</v>
      </c>
    </row>
    <row r="19" spans="1:30" ht="24.75" customHeight="1" thickBot="1">
      <c r="A19" s="50" t="s">
        <v>1719</v>
      </c>
      <c r="B19" s="26" t="s">
        <v>1707</v>
      </c>
      <c r="C19" s="51">
        <v>45747</v>
      </c>
      <c r="D19" s="27" t="s">
        <v>1693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1720</v>
      </c>
    </row>
    <row r="20" spans="1:30" ht="24.75" customHeight="1" thickBot="1">
      <c r="A20" s="385" t="s">
        <v>1721</v>
      </c>
      <c r="B20" s="385" t="s">
        <v>1707</v>
      </c>
      <c r="C20" s="386">
        <v>45717</v>
      </c>
      <c r="D20" s="27" t="s">
        <v>1693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1708</v>
      </c>
    </row>
    <row r="21" spans="1:30" ht="24.75" customHeight="1" thickBot="1">
      <c r="A21" s="385" t="s">
        <v>1722</v>
      </c>
      <c r="B21" s="113" t="s">
        <v>50</v>
      </c>
      <c r="C21" s="51">
        <v>45717</v>
      </c>
      <c r="D21" s="27" t="s">
        <v>1723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1724</v>
      </c>
      <c r="B22" s="389" t="s">
        <v>50</v>
      </c>
      <c r="C22" s="51">
        <v>45717</v>
      </c>
      <c r="D22" s="51" t="s">
        <v>1723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1726</v>
      </c>
      <c r="B24" s="389" t="s">
        <v>50</v>
      </c>
      <c r="C24" s="392">
        <v>45688</v>
      </c>
      <c r="D24" s="402" t="s">
        <v>1725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1727</v>
      </c>
      <c r="B25" s="114" t="s">
        <v>50</v>
      </c>
      <c r="C25" s="51">
        <v>45747</v>
      </c>
      <c r="D25" s="51" t="s">
        <v>1723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1728</v>
      </c>
    </row>
    <row r="26" spans="1:30" ht="24.75" customHeight="1">
      <c r="A26" s="102" t="s">
        <v>1729</v>
      </c>
      <c r="B26" s="103" t="s">
        <v>50</v>
      </c>
      <c r="C26" s="77">
        <v>45716</v>
      </c>
      <c r="D26" s="26" t="s">
        <v>1725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1730</v>
      </c>
      <c r="B27" s="103" t="s">
        <v>50</v>
      </c>
      <c r="C27" s="77">
        <v>45716</v>
      </c>
      <c r="D27" s="50" t="s">
        <v>1725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1731</v>
      </c>
      <c r="B28" s="103" t="s">
        <v>50</v>
      </c>
      <c r="C28" s="77">
        <v>45717</v>
      </c>
      <c r="D28" s="51" t="s">
        <v>1723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1732</v>
      </c>
      <c r="B29" s="103" t="s">
        <v>50</v>
      </c>
      <c r="C29" s="77">
        <v>45717</v>
      </c>
      <c r="D29" s="51" t="s">
        <v>1723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1733</v>
      </c>
      <c r="B30" s="389" t="s">
        <v>50</v>
      </c>
      <c r="C30" s="51">
        <v>45717</v>
      </c>
      <c r="D30" s="51" t="s">
        <v>1723</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1734</v>
      </c>
      <c r="B31" s="389" t="s">
        <v>50</v>
      </c>
      <c r="C31" s="51">
        <v>45717</v>
      </c>
      <c r="D31" s="51" t="s">
        <v>1723</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1681</v>
      </c>
      <c r="B32" s="1057" t="s">
        <v>50</v>
      </c>
      <c r="C32" s="950">
        <v>45991</v>
      </c>
      <c r="D32" s="950" t="s">
        <v>71</v>
      </c>
      <c r="E32" s="1049">
        <v>45734</v>
      </c>
      <c r="F32" s="954" t="s">
        <v>61</v>
      </c>
      <c r="G32" s="1058" t="s">
        <v>1682</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1735</v>
      </c>
      <c r="B33" s="1057" t="s">
        <v>50</v>
      </c>
      <c r="C33" s="950">
        <v>45991</v>
      </c>
      <c r="D33" s="954" t="s">
        <v>71</v>
      </c>
      <c r="E33" s="1049">
        <v>45743</v>
      </c>
      <c r="F33" s="954" t="s">
        <v>61</v>
      </c>
      <c r="G33" s="1058" t="s">
        <v>1736</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1737</v>
      </c>
    </row>
    <row r="34" spans="1:28" ht="24.75" customHeight="1">
      <c r="A34" s="948" t="s">
        <v>1738</v>
      </c>
      <c r="B34" s="1057" t="s">
        <v>50</v>
      </c>
      <c r="C34" s="950">
        <v>45989</v>
      </c>
      <c r="D34" s="950" t="s">
        <v>1739</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1740</v>
      </c>
      <c r="C1" s="1154"/>
      <c r="D1" s="576"/>
      <c r="E1" s="1154" t="s">
        <v>1741</v>
      </c>
      <c r="F1" s="1154"/>
    </row>
    <row r="2" spans="1:25">
      <c r="B2" s="44" t="s">
        <v>1742</v>
      </c>
      <c r="E2" s="44" t="s">
        <v>22</v>
      </c>
      <c r="F2" t="s">
        <v>871</v>
      </c>
      <c r="P2" s="44" t="s">
        <v>27</v>
      </c>
      <c r="Q2" t="s">
        <v>1743</v>
      </c>
    </row>
    <row r="3" spans="1:25">
      <c r="B3" s="44" t="s">
        <v>22</v>
      </c>
      <c r="C3" t="s">
        <v>877</v>
      </c>
      <c r="K3" s="44" t="s">
        <v>1744</v>
      </c>
      <c r="L3" t="s">
        <v>1745</v>
      </c>
      <c r="P3" s="44" t="s">
        <v>1744</v>
      </c>
      <c r="Q3" t="s">
        <v>1745</v>
      </c>
    </row>
    <row r="4" spans="1:25">
      <c r="B4" t="s">
        <v>141</v>
      </c>
      <c r="C4" s="1158">
        <v>223696</v>
      </c>
      <c r="E4" s="44" t="s">
        <v>1742</v>
      </c>
      <c r="F4" t="s">
        <v>877</v>
      </c>
      <c r="W4" t="s">
        <v>1746</v>
      </c>
      <c r="X4">
        <v>22</v>
      </c>
    </row>
    <row r="5" spans="1:25">
      <c r="B5" t="s">
        <v>71</v>
      </c>
      <c r="C5" s="1158">
        <v>47789</v>
      </c>
      <c r="E5" t="s">
        <v>877</v>
      </c>
      <c r="F5" s="1158">
        <v>301527</v>
      </c>
      <c r="K5" s="44" t="s">
        <v>1747</v>
      </c>
      <c r="P5" s="44" t="s">
        <v>1747</v>
      </c>
      <c r="W5" t="s">
        <v>1748</v>
      </c>
      <c r="X5">
        <v>13</v>
      </c>
    </row>
    <row r="6" spans="1:25">
      <c r="B6" t="s">
        <v>102</v>
      </c>
      <c r="C6" s="1158">
        <v>22387</v>
      </c>
      <c r="K6" s="44" t="s">
        <v>27</v>
      </c>
      <c r="L6" s="44" t="s">
        <v>1749</v>
      </c>
      <c r="M6" t="s">
        <v>877</v>
      </c>
      <c r="P6" s="44" t="s">
        <v>1750</v>
      </c>
      <c r="Q6" s="44" t="s">
        <v>1749</v>
      </c>
      <c r="R6" t="s">
        <v>877</v>
      </c>
    </row>
    <row r="7" spans="1:25">
      <c r="B7" t="s">
        <v>903</v>
      </c>
      <c r="C7" s="1158">
        <v>228287</v>
      </c>
      <c r="K7" t="s">
        <v>1743</v>
      </c>
      <c r="L7" t="s">
        <v>508</v>
      </c>
      <c r="M7" s="1158">
        <v>1</v>
      </c>
      <c r="P7" t="s">
        <v>1751</v>
      </c>
      <c r="R7" s="1158">
        <v>1</v>
      </c>
      <c r="X7" t="s">
        <v>1752</v>
      </c>
      <c r="Y7" t="s">
        <v>1753</v>
      </c>
    </row>
    <row r="8" spans="1:25">
      <c r="B8" t="s">
        <v>51</v>
      </c>
      <c r="C8" s="1158">
        <v>446</v>
      </c>
      <c r="L8" t="s">
        <v>510</v>
      </c>
      <c r="M8" s="1158">
        <v>1</v>
      </c>
      <c r="P8" t="s">
        <v>1754</v>
      </c>
      <c r="R8" s="1158">
        <v>1</v>
      </c>
      <c r="V8" t="s">
        <v>1755</v>
      </c>
      <c r="W8" s="261">
        <v>203521</v>
      </c>
      <c r="X8" s="317">
        <f>X5/X4</f>
        <v>0.59090909090909094</v>
      </c>
      <c r="Y8" s="317">
        <f>W9/W8</f>
        <v>0.31446386367991508</v>
      </c>
    </row>
    <row r="9" spans="1:25">
      <c r="B9" t="s">
        <v>22</v>
      </c>
      <c r="C9" s="1158">
        <v>0</v>
      </c>
      <c r="L9" t="s">
        <v>1756</v>
      </c>
      <c r="M9" s="1158">
        <v>1</v>
      </c>
      <c r="P9" t="s">
        <v>1757</v>
      </c>
      <c r="Q9" t="s">
        <v>1756</v>
      </c>
      <c r="R9" s="1158">
        <v>1</v>
      </c>
      <c r="V9" t="s">
        <v>1758</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1759</v>
      </c>
      <c r="R12" s="1158">
        <v>1</v>
      </c>
    </row>
    <row r="13" spans="1:25">
      <c r="B13" t="s">
        <v>213</v>
      </c>
      <c r="C13" s="1158">
        <v>16290</v>
      </c>
      <c r="L13" t="s">
        <v>1760</v>
      </c>
      <c r="M13" s="1158">
        <v>1</v>
      </c>
      <c r="Q13" t="s">
        <v>827</v>
      </c>
      <c r="R13" s="1158">
        <v>1</v>
      </c>
    </row>
    <row r="14" spans="1:25">
      <c r="B14" t="s">
        <v>216</v>
      </c>
      <c r="C14" s="1158">
        <v>4725</v>
      </c>
      <c r="L14" t="s">
        <v>627</v>
      </c>
      <c r="M14" s="1158">
        <v>1</v>
      </c>
      <c r="P14" t="s">
        <v>1761</v>
      </c>
      <c r="R14" s="1158">
        <v>5</v>
      </c>
    </row>
    <row r="15" spans="1:25">
      <c r="B15" t="s">
        <v>128</v>
      </c>
      <c r="C15" s="1158">
        <v>7655</v>
      </c>
      <c r="L15" t="s">
        <v>1759</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1762</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1763</v>
      </c>
      <c r="M26" s="1158">
        <v>19</v>
      </c>
    </row>
    <row r="27" spans="2:13">
      <c r="K27" t="s">
        <v>1764</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1765</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1766</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1767</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1768</v>
      </c>
      <c r="S2" s="3" t="s">
        <v>1683</v>
      </c>
      <c r="T2" s="268" t="s">
        <v>1684</v>
      </c>
      <c r="U2" s="268" t="s">
        <v>1684</v>
      </c>
      <c r="V2" s="268" t="s">
        <v>1684</v>
      </c>
      <c r="W2" s="268" t="s">
        <v>1684</v>
      </c>
      <c r="X2" s="268" t="s">
        <v>1685</v>
      </c>
      <c r="Y2" s="268" t="s">
        <v>1769</v>
      </c>
    </row>
    <row r="3" spans="1:26" ht="15.75" thickBot="1">
      <c r="A3" s="267" t="s">
        <v>1749</v>
      </c>
      <c r="B3" s="263" t="s">
        <v>20</v>
      </c>
      <c r="C3" s="263" t="s">
        <v>1770</v>
      </c>
      <c r="D3" s="263" t="s">
        <v>26</v>
      </c>
      <c r="E3" s="263" t="s">
        <v>1744</v>
      </c>
      <c r="F3" s="263" t="s">
        <v>1771</v>
      </c>
      <c r="G3" s="263" t="s">
        <v>27</v>
      </c>
      <c r="H3" s="211" t="s">
        <v>28</v>
      </c>
      <c r="I3" s="211" t="s">
        <v>1772</v>
      </c>
      <c r="J3" s="211" t="s">
        <v>1773</v>
      </c>
      <c r="K3" s="211" t="s">
        <v>1774</v>
      </c>
      <c r="L3" s="211" t="s">
        <v>1672</v>
      </c>
      <c r="M3" s="211" t="s">
        <v>1775</v>
      </c>
      <c r="N3" s="211" t="s">
        <v>1776</v>
      </c>
      <c r="O3" s="210" t="s">
        <v>1688</v>
      </c>
      <c r="P3" s="264" t="s">
        <v>1750</v>
      </c>
      <c r="Q3" s="265" t="s">
        <v>34</v>
      </c>
      <c r="R3" s="265" t="s">
        <v>1772</v>
      </c>
      <c r="S3" s="5" t="s">
        <v>1689</v>
      </c>
      <c r="T3" s="265" t="s">
        <v>1777</v>
      </c>
      <c r="U3" s="265" t="s">
        <v>43</v>
      </c>
      <c r="V3" s="265" t="s">
        <v>1690</v>
      </c>
      <c r="W3" s="265" t="s">
        <v>46</v>
      </c>
      <c r="X3" s="265" t="s">
        <v>502</v>
      </c>
      <c r="Y3" s="265" t="s">
        <v>1778</v>
      </c>
      <c r="Z3" s="316" t="s">
        <v>1779</v>
      </c>
    </row>
    <row r="4" spans="1:26" ht="15.75" thickBot="1">
      <c r="A4" s="122" t="s">
        <v>81</v>
      </c>
      <c r="B4" s="103" t="s">
        <v>50</v>
      </c>
      <c r="C4" s="77">
        <v>45807</v>
      </c>
      <c r="D4" s="272"/>
      <c r="E4" s="273" t="s">
        <v>1780</v>
      </c>
      <c r="F4" s="272"/>
      <c r="G4" s="274" t="s">
        <v>1743</v>
      </c>
      <c r="H4" s="272"/>
      <c r="I4" s="272"/>
      <c r="J4" s="275"/>
      <c r="K4" s="209"/>
      <c r="L4" s="209"/>
      <c r="M4" s="209"/>
      <c r="N4" s="276"/>
      <c r="O4" s="277"/>
      <c r="P4" s="278" t="s">
        <v>1781</v>
      </c>
      <c r="Q4" s="279" t="s">
        <v>68</v>
      </c>
      <c r="R4" s="132" t="s">
        <v>1782</v>
      </c>
      <c r="S4" s="132"/>
      <c r="T4" s="280"/>
      <c r="U4" s="281"/>
      <c r="V4" s="281"/>
      <c r="W4" s="281"/>
      <c r="X4" s="281"/>
      <c r="Y4" s="281"/>
      <c r="Z4" t="e">
        <f>VLOOKUP(A4,#REF!,9,FALSE)</f>
        <v>#REF!</v>
      </c>
    </row>
    <row r="5" spans="1:26" ht="15.75" thickBot="1">
      <c r="A5" s="282" t="s">
        <v>1681</v>
      </c>
      <c r="B5" s="103" t="s">
        <v>50</v>
      </c>
      <c r="C5" s="219">
        <v>45807</v>
      </c>
      <c r="D5" s="272"/>
      <c r="E5" s="273" t="s">
        <v>1780</v>
      </c>
      <c r="F5" s="272"/>
      <c r="G5" s="274" t="s">
        <v>1743</v>
      </c>
      <c r="H5" s="272"/>
      <c r="I5" s="272"/>
      <c r="J5" s="283"/>
      <c r="K5" s="209"/>
      <c r="L5" s="209"/>
      <c r="M5" s="209"/>
      <c r="N5" s="276"/>
      <c r="O5" s="277"/>
      <c r="P5" s="278" t="s">
        <v>1781</v>
      </c>
      <c r="Q5" s="279" t="s">
        <v>68</v>
      </c>
      <c r="R5" s="132" t="s">
        <v>1782</v>
      </c>
      <c r="S5" s="132"/>
      <c r="T5" s="280"/>
      <c r="U5" s="281"/>
      <c r="V5" s="281"/>
      <c r="W5" s="281"/>
      <c r="X5" s="281"/>
      <c r="Y5" s="281"/>
      <c r="Z5" t="e">
        <f>VLOOKUP(A5,#REF!,9,FALSE)</f>
        <v>#REF!</v>
      </c>
    </row>
    <row r="6" spans="1:26" ht="15.75" thickBot="1">
      <c r="A6" s="122" t="s">
        <v>900</v>
      </c>
      <c r="B6" s="103" t="s">
        <v>50</v>
      </c>
      <c r="C6" s="219">
        <v>45807</v>
      </c>
      <c r="D6" s="272"/>
      <c r="E6" s="273" t="s">
        <v>1780</v>
      </c>
      <c r="F6" s="272"/>
      <c r="G6" s="274" t="s">
        <v>1743</v>
      </c>
      <c r="H6" s="272"/>
      <c r="I6" s="272"/>
      <c r="J6" s="283"/>
      <c r="K6" s="209"/>
      <c r="L6" s="209"/>
      <c r="M6" s="209"/>
      <c r="N6" s="276"/>
      <c r="O6" s="277"/>
      <c r="P6" s="278" t="s">
        <v>1781</v>
      </c>
      <c r="Q6" s="279" t="s">
        <v>68</v>
      </c>
      <c r="R6" s="132" t="s">
        <v>1782</v>
      </c>
      <c r="S6" s="132"/>
      <c r="T6" s="280"/>
      <c r="U6" s="281"/>
      <c r="V6" s="281"/>
      <c r="W6" s="281"/>
      <c r="X6" s="281"/>
      <c r="Y6" s="281"/>
      <c r="Z6" t="e">
        <f>VLOOKUP(A6,#REF!,9,FALSE)</f>
        <v>#REF!</v>
      </c>
    </row>
    <row r="7" spans="1:26" ht="15.75" thickBot="1">
      <c r="A7" s="122" t="s">
        <v>917</v>
      </c>
      <c r="B7" s="103" t="s">
        <v>50</v>
      </c>
      <c r="C7" s="219">
        <v>45807</v>
      </c>
      <c r="D7" s="272"/>
      <c r="E7" s="273" t="s">
        <v>1780</v>
      </c>
      <c r="F7" s="272"/>
      <c r="G7" s="274" t="s">
        <v>1743</v>
      </c>
      <c r="H7" s="272"/>
      <c r="I7" s="272"/>
      <c r="J7" s="283"/>
      <c r="K7" s="209"/>
      <c r="L7" s="209"/>
      <c r="M7" s="209"/>
      <c r="N7" s="276"/>
      <c r="O7" s="277"/>
      <c r="P7" s="278" t="s">
        <v>1781</v>
      </c>
      <c r="Q7" s="279" t="s">
        <v>68</v>
      </c>
      <c r="R7" s="132" t="s">
        <v>1782</v>
      </c>
      <c r="S7" s="132"/>
      <c r="T7" s="280"/>
      <c r="U7" s="281"/>
      <c r="V7" s="281"/>
      <c r="W7" s="281"/>
      <c r="X7" s="281"/>
      <c r="Y7" s="281"/>
      <c r="Z7" t="e">
        <f>VLOOKUP(A7,#REF!,9,FALSE)</f>
        <v>#REF!</v>
      </c>
    </row>
    <row r="8" spans="1:26" ht="15.75" thickBot="1">
      <c r="A8" s="282" t="s">
        <v>1783</v>
      </c>
      <c r="B8" s="103" t="s">
        <v>50</v>
      </c>
      <c r="C8" s="219">
        <v>45807</v>
      </c>
      <c r="D8" s="272"/>
      <c r="E8" s="273" t="s">
        <v>1780</v>
      </c>
      <c r="F8" s="272"/>
      <c r="G8" s="274" t="s">
        <v>1743</v>
      </c>
      <c r="H8" s="272"/>
      <c r="I8" s="272"/>
      <c r="J8" s="283"/>
      <c r="K8" s="209"/>
      <c r="L8" s="209"/>
      <c r="M8" s="209"/>
      <c r="N8" s="276"/>
      <c r="O8" s="277"/>
      <c r="P8" s="278" t="s">
        <v>1754</v>
      </c>
      <c r="Q8" s="279" t="s">
        <v>1784</v>
      </c>
      <c r="R8" s="132" t="s">
        <v>1785</v>
      </c>
      <c r="S8" s="132"/>
      <c r="T8" s="280"/>
      <c r="U8" s="281"/>
      <c r="V8" s="281"/>
      <c r="W8" s="281"/>
      <c r="X8" s="281"/>
      <c r="Y8" s="281"/>
      <c r="Z8" t="e">
        <f>VLOOKUP(A8,#REF!,9,FALSE)</f>
        <v>#REF!</v>
      </c>
    </row>
    <row r="9" spans="1:26" ht="15.75" thickBot="1">
      <c r="A9" s="122" t="s">
        <v>926</v>
      </c>
      <c r="B9" s="103" t="s">
        <v>50</v>
      </c>
      <c r="C9" s="219">
        <v>45807</v>
      </c>
      <c r="D9" s="284"/>
      <c r="E9" s="273" t="s">
        <v>1780</v>
      </c>
      <c r="F9" s="284"/>
      <c r="G9" s="285" t="s">
        <v>1743</v>
      </c>
      <c r="H9" s="272"/>
      <c r="I9" s="272"/>
      <c r="J9" s="283"/>
      <c r="K9" s="209"/>
      <c r="L9" s="209"/>
      <c r="M9" s="209"/>
      <c r="N9" s="276"/>
      <c r="O9" s="277"/>
      <c r="P9" s="278" t="s">
        <v>1781</v>
      </c>
      <c r="Q9" s="279" t="s">
        <v>68</v>
      </c>
      <c r="R9" s="132" t="s">
        <v>1782</v>
      </c>
      <c r="S9" s="132"/>
      <c r="T9" s="280"/>
      <c r="U9" s="281"/>
      <c r="V9" s="281"/>
      <c r="W9" s="281"/>
      <c r="X9" s="281"/>
      <c r="Y9" s="281"/>
      <c r="Z9" t="e">
        <f>VLOOKUP(A9,#REF!,9,FALSE)</f>
        <v>#REF!</v>
      </c>
    </row>
    <row r="10" spans="1:26" ht="15.75" thickBot="1">
      <c r="A10" s="122" t="s">
        <v>902</v>
      </c>
      <c r="B10" s="103" t="s">
        <v>50</v>
      </c>
      <c r="C10" s="219" t="e">
        <v>#N/A</v>
      </c>
      <c r="D10" s="286"/>
      <c r="E10" s="273" t="s">
        <v>1780</v>
      </c>
      <c r="F10" s="286"/>
      <c r="G10" s="287" t="s">
        <v>1743</v>
      </c>
      <c r="H10" s="234"/>
      <c r="I10" s="234"/>
      <c r="J10" s="45"/>
      <c r="K10" s="208"/>
      <c r="L10" s="208"/>
      <c r="M10" s="208"/>
      <c r="N10" s="288"/>
      <c r="O10" s="289"/>
      <c r="P10" s="278" t="s">
        <v>1781</v>
      </c>
      <c r="Q10" s="279" t="s">
        <v>58</v>
      </c>
      <c r="R10" s="132" t="s">
        <v>1782</v>
      </c>
      <c r="S10" s="132"/>
      <c r="T10" s="280"/>
      <c r="U10" s="281"/>
      <c r="V10" s="281"/>
      <c r="W10" s="281"/>
      <c r="X10" s="281"/>
      <c r="Y10" s="281"/>
      <c r="Z10" t="e">
        <f>VLOOKUP(A10,#REF!,9,FALSE)</f>
        <v>#REF!</v>
      </c>
    </row>
    <row r="11" spans="1:26" ht="15.75" thickBot="1">
      <c r="A11" s="122" t="s">
        <v>84</v>
      </c>
      <c r="B11" s="103" t="s">
        <v>50</v>
      </c>
      <c r="C11" s="219">
        <v>45807</v>
      </c>
      <c r="D11" s="286"/>
      <c r="E11" s="273" t="s">
        <v>1780</v>
      </c>
      <c r="F11" s="286"/>
      <c r="G11" s="287" t="s">
        <v>1743</v>
      </c>
      <c r="H11" s="234"/>
      <c r="I11" s="234"/>
      <c r="J11" s="45"/>
      <c r="K11" s="208"/>
      <c r="L11" s="208"/>
      <c r="M11" s="208"/>
      <c r="N11" s="288"/>
      <c r="O11" s="289"/>
      <c r="P11" s="278" t="s">
        <v>1781</v>
      </c>
      <c r="Q11" s="279" t="s">
        <v>68</v>
      </c>
      <c r="R11" s="132" t="s">
        <v>1782</v>
      </c>
      <c r="S11" s="132"/>
      <c r="T11" s="280"/>
      <c r="U11" s="281"/>
      <c r="V11" s="281"/>
      <c r="W11" s="281"/>
      <c r="X11" s="281"/>
      <c r="Y11" s="281"/>
      <c r="Z11" t="e">
        <f>VLOOKUP(A11,#REF!,9,FALSE)</f>
        <v>#REF!</v>
      </c>
    </row>
    <row r="12" spans="1:26" ht="15.75" thickBot="1">
      <c r="A12" s="122" t="s">
        <v>898</v>
      </c>
      <c r="B12" s="103" t="s">
        <v>50</v>
      </c>
      <c r="C12" s="219" t="e">
        <v>#N/A</v>
      </c>
      <c r="D12" s="286"/>
      <c r="E12" s="273" t="s">
        <v>1780</v>
      </c>
      <c r="F12" s="286"/>
      <c r="G12" s="287" t="s">
        <v>1743</v>
      </c>
      <c r="H12" s="234"/>
      <c r="I12" s="234"/>
      <c r="J12" s="45"/>
      <c r="K12" s="208"/>
      <c r="L12" s="208"/>
      <c r="M12" s="208"/>
      <c r="N12" s="288"/>
      <c r="O12" s="289"/>
      <c r="P12" s="278" t="s">
        <v>1781</v>
      </c>
      <c r="Q12" s="279" t="s">
        <v>68</v>
      </c>
      <c r="R12" s="132" t="s">
        <v>1782</v>
      </c>
      <c r="S12" s="132"/>
      <c r="T12" s="280"/>
      <c r="U12" s="281"/>
      <c r="V12" s="281"/>
      <c r="W12" s="281"/>
      <c r="X12" s="281"/>
      <c r="Y12" s="281"/>
      <c r="Z12" t="e">
        <f>VLOOKUP(A12,#REF!,9,FALSE)</f>
        <v>#REF!</v>
      </c>
    </row>
    <row r="13" spans="1:26" ht="15.75" thickBot="1">
      <c r="A13" s="122" t="s">
        <v>924</v>
      </c>
      <c r="B13" s="103" t="s">
        <v>50</v>
      </c>
      <c r="C13" s="219" t="e">
        <v>#N/A</v>
      </c>
      <c r="D13" s="286"/>
      <c r="E13" s="273" t="s">
        <v>1780</v>
      </c>
      <c r="F13" s="286"/>
      <c r="G13" s="287" t="s">
        <v>1743</v>
      </c>
      <c r="H13" s="234"/>
      <c r="I13" s="234"/>
      <c r="J13" s="45"/>
      <c r="K13" s="208"/>
      <c r="L13" s="208"/>
      <c r="M13" s="208"/>
      <c r="N13" s="288"/>
      <c r="O13" s="289"/>
      <c r="P13" s="278" t="s">
        <v>1781</v>
      </c>
      <c r="Q13" s="279" t="s">
        <v>68</v>
      </c>
      <c r="R13" s="132" t="s">
        <v>1782</v>
      </c>
      <c r="S13" s="132"/>
      <c r="T13" s="280"/>
      <c r="U13" s="281"/>
      <c r="V13" s="281"/>
      <c r="W13" s="281"/>
      <c r="X13" s="281"/>
      <c r="Y13" s="281"/>
      <c r="Z13" t="e">
        <f>VLOOKUP(A13,#REF!,9,FALSE)</f>
        <v>#REF!</v>
      </c>
    </row>
    <row r="14" spans="1:26" ht="15.75" thickBot="1">
      <c r="A14" s="282" t="s">
        <v>408</v>
      </c>
      <c r="B14" s="103" t="s">
        <v>50</v>
      </c>
      <c r="C14" s="219">
        <v>45807</v>
      </c>
      <c r="D14" s="286"/>
      <c r="E14" s="273" t="s">
        <v>1780</v>
      </c>
      <c r="F14" s="286"/>
      <c r="G14" s="287" t="s">
        <v>1743</v>
      </c>
      <c r="H14" s="234"/>
      <c r="I14" s="234"/>
      <c r="J14" s="45"/>
      <c r="K14" s="208"/>
      <c r="L14" s="208"/>
      <c r="M14" s="208"/>
      <c r="N14" s="288"/>
      <c r="O14" s="289"/>
      <c r="P14" s="278" t="s">
        <v>1781</v>
      </c>
      <c r="Q14" s="279" t="s">
        <v>68</v>
      </c>
      <c r="R14" s="132" t="s">
        <v>1782</v>
      </c>
      <c r="S14" s="132"/>
      <c r="T14" s="280"/>
      <c r="U14" s="281"/>
      <c r="V14" s="281"/>
      <c r="W14" s="281"/>
      <c r="X14" s="281"/>
      <c r="Y14" s="281"/>
      <c r="Z14" t="e">
        <f>VLOOKUP(A14,#REF!,9,FALSE)</f>
        <v>#REF!</v>
      </c>
    </row>
    <row r="15" spans="1:26" ht="15.75" thickBot="1">
      <c r="A15" s="122" t="s">
        <v>901</v>
      </c>
      <c r="B15" s="103" t="s">
        <v>50</v>
      </c>
      <c r="C15" s="219" t="e">
        <v>#N/A</v>
      </c>
      <c r="D15" s="286"/>
      <c r="E15" s="273" t="s">
        <v>1780</v>
      </c>
      <c r="F15" s="286"/>
      <c r="G15" s="287" t="s">
        <v>1743</v>
      </c>
      <c r="H15" s="234"/>
      <c r="I15" s="234"/>
      <c r="J15" s="45"/>
      <c r="K15" s="208"/>
      <c r="L15" s="208"/>
      <c r="M15" s="208"/>
      <c r="N15" s="288"/>
      <c r="O15" s="289"/>
      <c r="P15" s="278" t="s">
        <v>1781</v>
      </c>
      <c r="Q15" s="279" t="s">
        <v>68</v>
      </c>
      <c r="R15" s="132" t="s">
        <v>1782</v>
      </c>
      <c r="S15" s="132"/>
      <c r="T15" s="280"/>
      <c r="U15" s="281"/>
      <c r="V15" s="281"/>
      <c r="W15" s="281"/>
      <c r="X15" s="281"/>
      <c r="Y15" s="281"/>
      <c r="Z15" t="e">
        <f>VLOOKUP(A15,#REF!,9,FALSE)</f>
        <v>#REF!</v>
      </c>
    </row>
    <row r="16" spans="1:26" ht="15.75" thickBot="1">
      <c r="A16" s="290" t="s">
        <v>1786</v>
      </c>
      <c r="B16" s="103" t="s">
        <v>50</v>
      </c>
      <c r="C16" s="219" t="e">
        <v>#N/A</v>
      </c>
      <c r="D16" s="286"/>
      <c r="E16" s="273" t="s">
        <v>1780</v>
      </c>
      <c r="F16" s="286"/>
      <c r="G16" s="287" t="s">
        <v>1743</v>
      </c>
      <c r="H16" s="234"/>
      <c r="I16" s="234"/>
      <c r="J16" s="45"/>
      <c r="K16" s="208"/>
      <c r="L16" s="208"/>
      <c r="M16" s="208"/>
      <c r="N16" s="288"/>
      <c r="O16" s="289"/>
      <c r="P16" s="278" t="s">
        <v>1781</v>
      </c>
      <c r="Q16" s="279" t="s">
        <v>68</v>
      </c>
      <c r="R16" s="132" t="s">
        <v>1782</v>
      </c>
      <c r="S16" s="132"/>
      <c r="T16" s="280"/>
      <c r="U16" s="281"/>
      <c r="V16" s="281"/>
      <c r="W16" s="281"/>
      <c r="X16" s="281"/>
      <c r="Y16" s="281"/>
      <c r="Z16" t="e">
        <f>VLOOKUP(A16,#REF!,9,FALSE)</f>
        <v>#REF!</v>
      </c>
    </row>
    <row r="17" spans="1:26" ht="15.75" thickBot="1">
      <c r="A17" s="279" t="s">
        <v>689</v>
      </c>
      <c r="B17" s="103" t="s">
        <v>50</v>
      </c>
      <c r="C17" s="219" t="e">
        <v>#N/A</v>
      </c>
      <c r="D17" s="286"/>
      <c r="E17" s="273" t="s">
        <v>1745</v>
      </c>
      <c r="F17" s="286"/>
      <c r="G17" s="287" t="s">
        <v>1743</v>
      </c>
      <c r="H17" s="234"/>
      <c r="I17" s="234"/>
      <c r="J17" s="45"/>
      <c r="K17" s="208"/>
      <c r="L17" s="208"/>
      <c r="M17" s="208"/>
      <c r="N17" s="288"/>
      <c r="O17" s="289"/>
      <c r="P17" s="278"/>
      <c r="Q17" s="279" t="s">
        <v>68</v>
      </c>
      <c r="R17" s="132" t="s">
        <v>1782</v>
      </c>
      <c r="S17" s="132"/>
      <c r="T17" s="280"/>
      <c r="U17" s="281"/>
      <c r="V17" s="281"/>
      <c r="W17" s="281"/>
      <c r="X17" s="281"/>
      <c r="Y17" s="281"/>
      <c r="Z17" t="e">
        <f>VLOOKUP(A17,#REF!,9,FALSE)</f>
        <v>#REF!</v>
      </c>
    </row>
    <row r="18" spans="1:26" ht="15.75" thickBot="1">
      <c r="A18" s="279" t="s">
        <v>671</v>
      </c>
      <c r="B18" s="103" t="s">
        <v>50</v>
      </c>
      <c r="C18" s="219">
        <v>45807</v>
      </c>
      <c r="D18" s="286"/>
      <c r="E18" s="273" t="s">
        <v>1745</v>
      </c>
      <c r="F18" s="286"/>
      <c r="G18" s="287" t="s">
        <v>1743</v>
      </c>
      <c r="H18" s="234"/>
      <c r="I18" s="234"/>
      <c r="J18" s="45"/>
      <c r="K18" s="208"/>
      <c r="L18" s="208"/>
      <c r="M18" s="208"/>
      <c r="N18" s="288"/>
      <c r="O18" s="289"/>
      <c r="P18" s="278" t="s">
        <v>1751</v>
      </c>
      <c r="Q18" s="279"/>
      <c r="R18" s="132" t="s">
        <v>1782</v>
      </c>
      <c r="S18" s="132"/>
      <c r="T18" s="280"/>
      <c r="U18" s="281"/>
      <c r="V18" s="281"/>
      <c r="W18" s="281"/>
      <c r="X18" s="281"/>
      <c r="Y18" s="281"/>
      <c r="Z18" t="e">
        <f>VLOOKUP(A18,#REF!,9,FALSE)</f>
        <v>#REF!</v>
      </c>
    </row>
    <row r="19" spans="1:26" ht="15.75" thickBot="1">
      <c r="A19" s="279" t="s">
        <v>674</v>
      </c>
      <c r="B19" s="103" t="s">
        <v>50</v>
      </c>
      <c r="C19" s="219" t="e">
        <v>#N/A</v>
      </c>
      <c r="D19" s="286"/>
      <c r="E19" s="273" t="s">
        <v>1745</v>
      </c>
      <c r="F19" s="286"/>
      <c r="G19" s="287" t="s">
        <v>1764</v>
      </c>
      <c r="H19" s="234"/>
      <c r="I19" s="234"/>
      <c r="J19" s="45"/>
      <c r="K19" s="208"/>
      <c r="L19" s="208"/>
      <c r="M19" s="208"/>
      <c r="N19" s="288"/>
      <c r="O19" s="289"/>
      <c r="P19" s="278"/>
      <c r="Q19" s="279" t="s">
        <v>1764</v>
      </c>
      <c r="R19" s="132" t="s">
        <v>1782</v>
      </c>
      <c r="S19" s="132"/>
      <c r="T19" s="280"/>
      <c r="U19" s="281"/>
      <c r="V19" s="281"/>
      <c r="W19" s="281"/>
      <c r="X19" s="281"/>
      <c r="Y19" s="281"/>
      <c r="Z19" t="e">
        <f>VLOOKUP(A19,#REF!,9,FALSE)</f>
        <v>#REF!</v>
      </c>
    </row>
    <row r="20" spans="1:26" ht="15.75" thickBot="1">
      <c r="A20" s="279" t="s">
        <v>621</v>
      </c>
      <c r="B20" s="103" t="s">
        <v>50</v>
      </c>
      <c r="C20" s="219" t="e">
        <v>#N/A</v>
      </c>
      <c r="D20" s="286"/>
      <c r="E20" s="273" t="s">
        <v>1745</v>
      </c>
      <c r="F20" s="286"/>
      <c r="G20" s="287" t="s">
        <v>1764</v>
      </c>
      <c r="H20" s="234"/>
      <c r="I20" s="234"/>
      <c r="J20" s="45"/>
      <c r="K20" s="208"/>
      <c r="L20" s="208"/>
      <c r="M20" s="208"/>
      <c r="N20" s="288"/>
      <c r="O20" s="289"/>
      <c r="P20" s="278"/>
      <c r="Q20" s="279" t="s">
        <v>1764</v>
      </c>
      <c r="R20" s="132" t="s">
        <v>1782</v>
      </c>
      <c r="S20" s="132"/>
      <c r="T20" s="280"/>
      <c r="U20" s="281"/>
      <c r="V20" s="281"/>
      <c r="W20" s="281"/>
      <c r="X20" s="281"/>
      <c r="Y20" s="281"/>
      <c r="Z20" t="e">
        <f>VLOOKUP(A20,#REF!,9,FALSE)</f>
        <v>#REF!</v>
      </c>
    </row>
    <row r="21" spans="1:26" s="218" customFormat="1" ht="15.75" thickBot="1">
      <c r="A21" s="266" t="s">
        <v>1760</v>
      </c>
      <c r="B21" s="103" t="e">
        <v>#N/A</v>
      </c>
      <c r="C21" s="235">
        <v>45807</v>
      </c>
      <c r="D21" s="286"/>
      <c r="E21" s="273" t="s">
        <v>1745</v>
      </c>
      <c r="F21" s="286"/>
      <c r="G21" s="287" t="s">
        <v>1743</v>
      </c>
      <c r="H21" s="234"/>
      <c r="I21" s="234"/>
      <c r="J21" s="234"/>
      <c r="K21" s="233"/>
      <c r="L21" s="233"/>
      <c r="M21" s="233"/>
      <c r="N21" s="288"/>
      <c r="O21" s="289"/>
      <c r="P21" s="278"/>
      <c r="Q21" s="229" t="s">
        <v>64</v>
      </c>
      <c r="R21" s="132" t="s">
        <v>1782</v>
      </c>
      <c r="S21" s="232"/>
      <c r="T21" s="231"/>
      <c r="U21" s="230"/>
      <c r="V21" s="230"/>
      <c r="W21" s="230"/>
      <c r="X21" s="230"/>
      <c r="Y21" s="230" t="s">
        <v>1787</v>
      </c>
      <c r="Z21" t="e">
        <f>VLOOKUP(A21,#REF!,9,FALSE)</f>
        <v>#REF!</v>
      </c>
    </row>
    <row r="22" spans="1:26" ht="15.75" thickBot="1">
      <c r="A22" s="279" t="s">
        <v>623</v>
      </c>
      <c r="B22" s="103" t="s">
        <v>50</v>
      </c>
      <c r="C22" s="219" t="e">
        <v>#N/A</v>
      </c>
      <c r="D22" s="286"/>
      <c r="E22" s="273" t="s">
        <v>1745</v>
      </c>
      <c r="F22" s="286"/>
      <c r="G22" s="287" t="s">
        <v>1764</v>
      </c>
      <c r="H22" s="234"/>
      <c r="I22" s="234"/>
      <c r="J22" s="45"/>
      <c r="K22" s="208"/>
      <c r="L22" s="208"/>
      <c r="M22" s="208"/>
      <c r="N22" s="288"/>
      <c r="O22" s="289"/>
      <c r="P22" s="278"/>
      <c r="Q22" s="279" t="s">
        <v>1764</v>
      </c>
      <c r="R22" s="132" t="s">
        <v>1782</v>
      </c>
      <c r="S22" s="132"/>
      <c r="T22" s="280"/>
      <c r="U22" s="281"/>
      <c r="V22" s="281"/>
      <c r="W22" s="281"/>
      <c r="X22" s="281"/>
      <c r="Y22" s="281"/>
      <c r="Z22" t="e">
        <f>VLOOKUP(A22,#REF!,9,FALSE)</f>
        <v>#REF!</v>
      </c>
    </row>
    <row r="23" spans="1:26" ht="15.75" thickBot="1">
      <c r="A23" s="279" t="s">
        <v>609</v>
      </c>
      <c r="B23" s="103" t="s">
        <v>50</v>
      </c>
      <c r="C23" s="219" t="e">
        <v>#N/A</v>
      </c>
      <c r="D23" s="286"/>
      <c r="E23" s="273" t="s">
        <v>1745</v>
      </c>
      <c r="F23" s="286"/>
      <c r="G23" s="287" t="s">
        <v>1743</v>
      </c>
      <c r="H23" s="234"/>
      <c r="I23" s="234"/>
      <c r="J23" s="45"/>
      <c r="K23" s="208"/>
      <c r="L23" s="208"/>
      <c r="M23" s="208"/>
      <c r="N23" s="288"/>
      <c r="O23" s="289"/>
      <c r="P23" s="278"/>
      <c r="Q23" s="279" t="s">
        <v>64</v>
      </c>
      <c r="R23" s="132" t="s">
        <v>1782</v>
      </c>
      <c r="S23" s="132"/>
      <c r="T23" s="280"/>
      <c r="U23" s="281"/>
      <c r="V23" s="281"/>
      <c r="W23" s="281"/>
      <c r="X23" s="281"/>
      <c r="Y23" s="281" t="s">
        <v>1788</v>
      </c>
      <c r="Z23" t="e">
        <f>VLOOKUP(A23,#REF!,9,FALSE)</f>
        <v>#REF!</v>
      </c>
    </row>
    <row r="24" spans="1:26" s="218" customFormat="1" ht="69.599999999999994" customHeight="1" thickBot="1">
      <c r="A24" s="229" t="s">
        <v>1756</v>
      </c>
      <c r="B24" s="236" t="e">
        <v>#N/A</v>
      </c>
      <c r="C24" s="235">
        <v>45716</v>
      </c>
      <c r="D24" s="286"/>
      <c r="E24" s="273" t="s">
        <v>1745</v>
      </c>
      <c r="F24" s="286"/>
      <c r="G24" s="287" t="s">
        <v>1743</v>
      </c>
      <c r="H24" s="234"/>
      <c r="I24" s="234"/>
      <c r="J24" s="234"/>
      <c r="K24" s="233"/>
      <c r="L24" s="233"/>
      <c r="M24" s="233"/>
      <c r="N24" s="288"/>
      <c r="O24" s="289"/>
      <c r="P24" s="278" t="s">
        <v>1757</v>
      </c>
      <c r="Q24" s="229" t="s">
        <v>64</v>
      </c>
      <c r="R24" s="132" t="s">
        <v>1782</v>
      </c>
      <c r="S24" s="232"/>
      <c r="T24" s="231"/>
      <c r="U24" s="230"/>
      <c r="V24" s="230"/>
      <c r="W24" s="230"/>
      <c r="X24" s="230"/>
      <c r="Y24" s="230" t="s">
        <v>1788</v>
      </c>
      <c r="Z24" t="e">
        <f>VLOOKUP(A24,#REF!,9,FALSE)</f>
        <v>#REF!</v>
      </c>
    </row>
    <row r="25" spans="1:26" ht="15.75" thickBot="1">
      <c r="A25" s="279" t="s">
        <v>613</v>
      </c>
      <c r="B25" s="103" t="s">
        <v>50</v>
      </c>
      <c r="C25" s="219">
        <v>45772</v>
      </c>
      <c r="D25" s="286"/>
      <c r="E25" s="273" t="s">
        <v>1745</v>
      </c>
      <c r="F25" s="286"/>
      <c r="G25" s="287" t="s">
        <v>1743</v>
      </c>
      <c r="H25" s="234"/>
      <c r="I25" s="234"/>
      <c r="J25" s="45"/>
      <c r="K25" s="208"/>
      <c r="L25" s="208"/>
      <c r="M25" s="208"/>
      <c r="N25" s="288"/>
      <c r="O25" s="289"/>
      <c r="P25" s="278" t="s">
        <v>1757</v>
      </c>
      <c r="Q25" s="279" t="s">
        <v>64</v>
      </c>
      <c r="R25" s="132" t="s">
        <v>1782</v>
      </c>
      <c r="S25" s="132"/>
      <c r="T25" s="280"/>
      <c r="U25" s="281"/>
      <c r="V25" s="281"/>
      <c r="W25" s="281"/>
      <c r="X25" s="281"/>
      <c r="Y25" s="281"/>
      <c r="Z25" t="e">
        <f>VLOOKUP(A25,#REF!,9,FALSE)</f>
        <v>#REF!</v>
      </c>
    </row>
    <row r="26" spans="1:26" ht="15.75" thickBot="1">
      <c r="A26" s="279" t="s">
        <v>491</v>
      </c>
      <c r="B26" s="103" t="s">
        <v>50</v>
      </c>
      <c r="C26" s="219">
        <v>45772</v>
      </c>
      <c r="D26" s="286"/>
      <c r="E26" s="273" t="s">
        <v>1745</v>
      </c>
      <c r="F26" s="286"/>
      <c r="G26" s="287" t="s">
        <v>1743</v>
      </c>
      <c r="H26" s="234"/>
      <c r="I26" s="234"/>
      <c r="J26" s="45"/>
      <c r="K26" s="208"/>
      <c r="L26" s="208"/>
      <c r="M26" s="208"/>
      <c r="N26" s="288"/>
      <c r="O26" s="289"/>
      <c r="P26" s="278" t="s">
        <v>1757</v>
      </c>
      <c r="Q26" s="279" t="s">
        <v>64</v>
      </c>
      <c r="R26" s="132" t="s">
        <v>1782</v>
      </c>
      <c r="S26" s="132"/>
      <c r="T26" s="280"/>
      <c r="U26" s="281"/>
      <c r="V26" s="281"/>
      <c r="W26" s="281"/>
      <c r="X26" s="281"/>
      <c r="Y26" s="281"/>
      <c r="Z26" t="e">
        <f>VLOOKUP(A26,#REF!,9,FALSE)</f>
        <v>#REF!</v>
      </c>
    </row>
    <row r="27" spans="1:26" ht="15.75" thickBot="1">
      <c r="A27" s="279" t="s">
        <v>827</v>
      </c>
      <c r="B27" s="103" t="s">
        <v>50</v>
      </c>
      <c r="C27" s="219">
        <v>45772</v>
      </c>
      <c r="D27" s="286"/>
      <c r="E27" s="273" t="s">
        <v>1745</v>
      </c>
      <c r="F27" s="286"/>
      <c r="G27" s="287" t="s">
        <v>1743</v>
      </c>
      <c r="H27" s="234"/>
      <c r="I27" s="234"/>
      <c r="J27" s="45"/>
      <c r="K27" s="208"/>
      <c r="L27" s="208"/>
      <c r="M27" s="208"/>
      <c r="N27" s="288"/>
      <c r="O27" s="289"/>
      <c r="P27" s="278" t="s">
        <v>1757</v>
      </c>
      <c r="Q27" s="279" t="s">
        <v>64</v>
      </c>
      <c r="R27" s="132" t="s">
        <v>1782</v>
      </c>
      <c r="S27" s="132"/>
      <c r="T27" s="280"/>
      <c r="U27" s="281"/>
      <c r="V27" s="281"/>
      <c r="W27" s="281"/>
      <c r="X27" s="281"/>
      <c r="Y27" s="281"/>
      <c r="Z27" t="e">
        <f>VLOOKUP(A27,#REF!,9,FALSE)</f>
        <v>#REF!</v>
      </c>
    </row>
    <row r="28" spans="1:26" ht="70.150000000000006" customHeight="1" thickBot="1">
      <c r="A28" s="229" t="s">
        <v>1759</v>
      </c>
      <c r="B28" s="236"/>
      <c r="C28" s="235"/>
      <c r="D28" s="286"/>
      <c r="E28" s="273" t="s">
        <v>1745</v>
      </c>
      <c r="F28" s="286"/>
      <c r="G28" s="287" t="s">
        <v>1743</v>
      </c>
      <c r="H28" s="234"/>
      <c r="I28" s="234"/>
      <c r="J28" s="234"/>
      <c r="K28" s="233"/>
      <c r="L28" s="233"/>
      <c r="M28" s="233"/>
      <c r="N28" s="288"/>
      <c r="O28" s="289"/>
      <c r="P28" s="278" t="s">
        <v>1757</v>
      </c>
      <c r="Q28" s="229" t="s">
        <v>64</v>
      </c>
      <c r="R28" s="132" t="s">
        <v>1782</v>
      </c>
      <c r="S28" s="232"/>
      <c r="T28" s="231"/>
      <c r="U28" s="230"/>
      <c r="V28" s="230"/>
      <c r="W28" s="230"/>
      <c r="X28" s="230"/>
      <c r="Y28" s="292" t="s">
        <v>1789</v>
      </c>
      <c r="Z28" t="e">
        <f>VLOOKUP(A28,#REF!,9,FALSE)</f>
        <v>#REF!</v>
      </c>
    </row>
    <row r="29" spans="1:26" s="218" customFormat="1" ht="69.599999999999994" customHeight="1" thickBot="1">
      <c r="A29" s="229" t="s">
        <v>1762</v>
      </c>
      <c r="B29" s="236" t="e">
        <v>#N/A</v>
      </c>
      <c r="C29" s="235" t="e">
        <v>#N/A</v>
      </c>
      <c r="D29" s="286"/>
      <c r="E29" s="273" t="s">
        <v>1745</v>
      </c>
      <c r="F29" s="286"/>
      <c r="G29" s="287" t="s">
        <v>1743</v>
      </c>
      <c r="H29" s="234"/>
      <c r="I29" s="234"/>
      <c r="J29" s="234"/>
      <c r="K29" s="233"/>
      <c r="L29" s="233"/>
      <c r="M29" s="233"/>
      <c r="N29" s="288"/>
      <c r="O29" s="289"/>
      <c r="P29" s="278"/>
      <c r="Q29" s="224" t="s">
        <v>64</v>
      </c>
      <c r="R29" s="132" t="s">
        <v>1782</v>
      </c>
      <c r="S29" s="232"/>
      <c r="T29" s="231"/>
      <c r="U29" s="230"/>
      <c r="V29" s="230"/>
      <c r="W29" s="230"/>
      <c r="X29" s="230"/>
      <c r="Y29" s="230" t="s">
        <v>1789</v>
      </c>
      <c r="Z29" t="e">
        <f>VLOOKUP(A29,#REF!,9,FALSE)</f>
        <v>#REF!</v>
      </c>
    </row>
    <row r="30" spans="1:26" ht="15.75" thickBot="1">
      <c r="A30" s="279" t="s">
        <v>641</v>
      </c>
      <c r="B30" s="103" t="s">
        <v>50</v>
      </c>
      <c r="C30" s="219">
        <v>45772</v>
      </c>
      <c r="D30" s="286"/>
      <c r="E30" s="273" t="s">
        <v>1745</v>
      </c>
      <c r="F30" s="286"/>
      <c r="G30" s="287" t="s">
        <v>1764</v>
      </c>
      <c r="H30" s="234"/>
      <c r="I30" s="234"/>
      <c r="J30" s="45"/>
      <c r="K30" s="208"/>
      <c r="L30" s="208"/>
      <c r="M30" s="208"/>
      <c r="N30" s="288"/>
      <c r="O30" s="289"/>
      <c r="P30" s="278"/>
      <c r="Q30" s="279" t="s">
        <v>1764</v>
      </c>
      <c r="R30" s="132" t="s">
        <v>1782</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1745</v>
      </c>
      <c r="F31" s="293"/>
      <c r="G31" s="294" t="s">
        <v>1764</v>
      </c>
      <c r="H31" s="226"/>
      <c r="I31" s="226"/>
      <c r="J31" s="240"/>
      <c r="K31" s="241"/>
      <c r="L31" s="241"/>
      <c r="M31" s="241"/>
      <c r="N31" s="226"/>
      <c r="O31" s="295"/>
      <c r="P31" s="278"/>
      <c r="Q31" s="237" t="s">
        <v>1764</v>
      </c>
      <c r="R31" s="132" t="s">
        <v>1782</v>
      </c>
      <c r="S31" s="242"/>
      <c r="T31" s="243"/>
      <c r="U31" s="244"/>
      <c r="V31" s="244"/>
      <c r="W31" s="244"/>
      <c r="X31" s="244"/>
      <c r="Y31" s="244" t="s">
        <v>1790</v>
      </c>
      <c r="Z31" t="e">
        <f>VLOOKUP(A31,#REF!,9,FALSE)</f>
        <v>#REF!</v>
      </c>
    </row>
    <row r="32" spans="1:26" ht="15.75" thickBot="1">
      <c r="A32" s="279" t="s">
        <v>643</v>
      </c>
      <c r="B32" s="103" t="s">
        <v>50</v>
      </c>
      <c r="C32" s="219">
        <v>45772</v>
      </c>
      <c r="D32" s="286"/>
      <c r="E32" s="273" t="s">
        <v>1745</v>
      </c>
      <c r="F32" s="286"/>
      <c r="G32" s="287" t="s">
        <v>1764</v>
      </c>
      <c r="H32" s="234"/>
      <c r="I32" s="234"/>
      <c r="J32" s="45"/>
      <c r="K32" s="208"/>
      <c r="L32" s="208"/>
      <c r="M32" s="208"/>
      <c r="N32" s="288"/>
      <c r="O32" s="289"/>
      <c r="P32" s="278"/>
      <c r="Q32" s="279" t="s">
        <v>1764</v>
      </c>
      <c r="R32" s="132" t="s">
        <v>1782</v>
      </c>
      <c r="S32" s="132"/>
      <c r="T32" s="280"/>
      <c r="U32" s="281"/>
      <c r="V32" s="281"/>
      <c r="W32" s="281"/>
      <c r="X32" s="281"/>
      <c r="Y32" s="281"/>
      <c r="Z32" t="e">
        <f>VLOOKUP(A32,#REF!,9,FALSE)</f>
        <v>#REF!</v>
      </c>
    </row>
    <row r="33" spans="1:26" ht="15.75" thickBot="1">
      <c r="A33" s="279" t="s">
        <v>633</v>
      </c>
      <c r="B33" s="103" t="s">
        <v>50</v>
      </c>
      <c r="C33" s="219">
        <v>45831</v>
      </c>
      <c r="D33" s="286"/>
      <c r="E33" s="273" t="s">
        <v>1745</v>
      </c>
      <c r="F33" s="286"/>
      <c r="G33" s="287" t="s">
        <v>1743</v>
      </c>
      <c r="H33" s="234"/>
      <c r="I33" s="234"/>
      <c r="J33" s="45"/>
      <c r="K33" s="208"/>
      <c r="L33" s="208"/>
      <c r="M33" s="208"/>
      <c r="N33" s="288"/>
      <c r="O33" s="289"/>
      <c r="P33" s="278"/>
      <c r="Q33" s="229" t="s">
        <v>64</v>
      </c>
      <c r="R33" s="132" t="s">
        <v>1782</v>
      </c>
      <c r="S33" s="132"/>
      <c r="T33" s="280"/>
      <c r="U33" s="281"/>
      <c r="V33" s="281"/>
      <c r="W33" s="281"/>
      <c r="X33" s="281"/>
      <c r="Y33" s="281"/>
      <c r="Z33" t="e">
        <f>VLOOKUP(A33,#REF!,9,FALSE)</f>
        <v>#REF!</v>
      </c>
    </row>
    <row r="34" spans="1:26" ht="15.75" thickBot="1">
      <c r="A34" s="279" t="s">
        <v>627</v>
      </c>
      <c r="B34" s="103" t="s">
        <v>50</v>
      </c>
      <c r="C34" s="219">
        <v>45831</v>
      </c>
      <c r="D34" s="286"/>
      <c r="E34" s="273" t="s">
        <v>1745</v>
      </c>
      <c r="F34" s="286"/>
      <c r="G34" s="287" t="s">
        <v>1743</v>
      </c>
      <c r="H34" s="234"/>
      <c r="I34" s="234"/>
      <c r="J34" s="45"/>
      <c r="K34" s="208"/>
      <c r="L34" s="208"/>
      <c r="M34" s="208"/>
      <c r="N34" s="288"/>
      <c r="O34" s="289"/>
      <c r="P34" s="278"/>
      <c r="Q34" s="279" t="s">
        <v>64</v>
      </c>
      <c r="R34" s="132" t="s">
        <v>1782</v>
      </c>
      <c r="S34" s="132"/>
      <c r="T34" s="280"/>
      <c r="U34" s="281"/>
      <c r="V34" s="281"/>
      <c r="W34" s="281"/>
      <c r="X34" s="281"/>
      <c r="Y34" s="281"/>
      <c r="Z34" t="e">
        <f>VLOOKUP(A34,#REF!,9,FALSE)</f>
        <v>#REF!</v>
      </c>
    </row>
    <row r="35" spans="1:26" ht="15.75" thickBot="1">
      <c r="A35" s="279" t="s">
        <v>629</v>
      </c>
      <c r="B35" s="103" t="s">
        <v>50</v>
      </c>
      <c r="C35" s="219">
        <v>45831</v>
      </c>
      <c r="D35" s="286"/>
      <c r="E35" s="273" t="s">
        <v>1745</v>
      </c>
      <c r="F35" s="286"/>
      <c r="G35" s="287" t="s">
        <v>1743</v>
      </c>
      <c r="H35" s="234"/>
      <c r="I35" s="234"/>
      <c r="J35" s="45"/>
      <c r="K35" s="208"/>
      <c r="L35" s="208"/>
      <c r="M35" s="208"/>
      <c r="N35" s="288"/>
      <c r="O35" s="289"/>
      <c r="P35" s="278"/>
      <c r="Q35" s="279" t="s">
        <v>64</v>
      </c>
      <c r="R35" s="132" t="s">
        <v>1782</v>
      </c>
      <c r="S35" s="132"/>
      <c r="T35" s="280"/>
      <c r="U35" s="281"/>
      <c r="V35" s="281"/>
      <c r="W35" s="281"/>
      <c r="X35" s="281"/>
      <c r="Y35" s="281"/>
      <c r="Z35" t="e">
        <f>VLOOKUP(A35,#REF!,9,FALSE)</f>
        <v>#REF!</v>
      </c>
    </row>
    <row r="36" spans="1:26" ht="15.75" thickBot="1">
      <c r="A36" s="279" t="s">
        <v>625</v>
      </c>
      <c r="B36" s="103" t="s">
        <v>50</v>
      </c>
      <c r="C36" s="219">
        <v>45772</v>
      </c>
      <c r="D36" s="286"/>
      <c r="E36" s="273" t="s">
        <v>1745</v>
      </c>
      <c r="F36" s="286"/>
      <c r="G36" s="287" t="s">
        <v>1764</v>
      </c>
      <c r="H36" s="234"/>
      <c r="I36" s="234"/>
      <c r="J36" s="45"/>
      <c r="K36" s="208"/>
      <c r="L36" s="208"/>
      <c r="M36" s="208"/>
      <c r="N36" s="288"/>
      <c r="O36" s="289"/>
      <c r="P36" s="278"/>
      <c r="Q36" s="279" t="s">
        <v>1764</v>
      </c>
      <c r="R36" s="132" t="s">
        <v>1782</v>
      </c>
      <c r="S36" s="132"/>
      <c r="T36" s="280"/>
      <c r="U36" s="281"/>
      <c r="V36" s="281"/>
      <c r="W36" s="281"/>
      <c r="X36" s="281"/>
      <c r="Y36" s="281"/>
      <c r="Z36" t="e">
        <f>VLOOKUP(A36,#REF!,9,FALSE)</f>
        <v>#REF!</v>
      </c>
    </row>
    <row r="37" spans="1:26" ht="15.75" thickBot="1">
      <c r="A37" s="279" t="s">
        <v>635</v>
      </c>
      <c r="B37" s="103" t="s">
        <v>50</v>
      </c>
      <c r="C37" s="219">
        <v>45831</v>
      </c>
      <c r="D37" s="286"/>
      <c r="E37" s="273" t="s">
        <v>1745</v>
      </c>
      <c r="F37" s="286"/>
      <c r="G37" s="287" t="s">
        <v>1743</v>
      </c>
      <c r="H37" s="234"/>
      <c r="I37" s="234"/>
      <c r="J37" s="45"/>
      <c r="K37" s="208"/>
      <c r="L37" s="208"/>
      <c r="M37" s="208"/>
      <c r="N37" s="288"/>
      <c r="O37" s="289"/>
      <c r="P37" s="278"/>
      <c r="Q37" s="279" t="s">
        <v>64</v>
      </c>
      <c r="R37" s="132" t="s">
        <v>1782</v>
      </c>
      <c r="S37" s="132"/>
      <c r="T37" s="280"/>
      <c r="U37" s="281"/>
      <c r="V37" s="281"/>
      <c r="W37" s="281"/>
      <c r="X37" s="281"/>
      <c r="Y37" s="281"/>
      <c r="Z37" t="e">
        <f>VLOOKUP(A37,#REF!,9,FALSE)</f>
        <v>#REF!</v>
      </c>
    </row>
    <row r="38" spans="1:26" ht="15.75" thickBot="1">
      <c r="A38" s="279" t="s">
        <v>639</v>
      </c>
      <c r="B38" s="103" t="s">
        <v>50</v>
      </c>
      <c r="C38" s="219">
        <v>45831</v>
      </c>
      <c r="D38" s="286"/>
      <c r="E38" s="273" t="s">
        <v>1745</v>
      </c>
      <c r="F38" s="286"/>
      <c r="G38" s="287" t="s">
        <v>1743</v>
      </c>
      <c r="H38" s="234"/>
      <c r="I38" s="234"/>
      <c r="J38" s="45"/>
      <c r="K38" s="208"/>
      <c r="L38" s="208"/>
      <c r="M38" s="208"/>
      <c r="N38" s="288"/>
      <c r="O38" s="289"/>
      <c r="P38" s="278"/>
      <c r="Q38" s="279" t="s">
        <v>64</v>
      </c>
      <c r="R38" s="132" t="s">
        <v>1782</v>
      </c>
      <c r="S38" s="132"/>
      <c r="T38" s="280"/>
      <c r="U38" s="281"/>
      <c r="V38" s="281"/>
      <c r="W38" s="281"/>
      <c r="X38" s="281"/>
      <c r="Y38" s="281"/>
      <c r="Z38" t="e">
        <f>VLOOKUP(A38,#REF!,9,FALSE)</f>
        <v>#REF!</v>
      </c>
    </row>
    <row r="39" spans="1:26" s="220" customFormat="1" ht="70.150000000000006" customHeight="1" thickBot="1">
      <c r="A39" s="224" t="s">
        <v>1765</v>
      </c>
      <c r="B39" s="228" t="e">
        <v>#N/A</v>
      </c>
      <c r="C39" s="227" t="e">
        <v>#N/A</v>
      </c>
      <c r="D39" s="293"/>
      <c r="E39" s="273" t="s">
        <v>1745</v>
      </c>
      <c r="F39" s="293"/>
      <c r="G39" s="294" t="s">
        <v>1764</v>
      </c>
      <c r="H39" s="226"/>
      <c r="I39" s="226"/>
      <c r="J39" s="226"/>
      <c r="K39" s="225"/>
      <c r="L39" s="225"/>
      <c r="M39" s="225"/>
      <c r="N39" s="226"/>
      <c r="O39" s="295"/>
      <c r="P39" s="278"/>
      <c r="Q39" s="224" t="s">
        <v>1764</v>
      </c>
      <c r="R39" s="132" t="s">
        <v>1782</v>
      </c>
      <c r="S39" s="223"/>
      <c r="T39" s="222"/>
      <c r="U39" s="221"/>
      <c r="V39" s="221"/>
      <c r="W39" s="221"/>
      <c r="X39" s="221"/>
      <c r="Y39" s="221" t="s">
        <v>1789</v>
      </c>
      <c r="Z39" t="e">
        <f>VLOOKUP(A39,#REF!,9,FALSE)</f>
        <v>#REF!</v>
      </c>
    </row>
    <row r="40" spans="1:26" ht="15.75" thickBot="1">
      <c r="A40" s="279" t="s">
        <v>700</v>
      </c>
      <c r="B40" s="103" t="s">
        <v>50</v>
      </c>
      <c r="C40" s="219">
        <v>45831</v>
      </c>
      <c r="D40" s="286"/>
      <c r="E40" s="273" t="s">
        <v>1745</v>
      </c>
      <c r="F40" s="286"/>
      <c r="G40" s="287" t="s">
        <v>1743</v>
      </c>
      <c r="H40" s="234"/>
      <c r="I40" s="234"/>
      <c r="J40" s="45"/>
      <c r="K40" s="208"/>
      <c r="L40" s="208"/>
      <c r="M40" s="208"/>
      <c r="N40" s="288"/>
      <c r="O40" s="289"/>
      <c r="P40" s="278"/>
      <c r="Q40" s="279" t="s">
        <v>64</v>
      </c>
      <c r="R40" s="132" t="s">
        <v>1782</v>
      </c>
      <c r="S40" s="132"/>
      <c r="T40" s="280"/>
      <c r="U40" s="281"/>
      <c r="V40" s="281"/>
      <c r="W40" s="281"/>
      <c r="X40" s="281"/>
      <c r="Y40" s="281"/>
      <c r="Z40" t="e">
        <f>VLOOKUP(A40,#REF!,9,FALSE)</f>
        <v>#REF!</v>
      </c>
    </row>
    <row r="41" spans="1:26" ht="15.75" thickBot="1">
      <c r="A41" s="279" t="s">
        <v>92</v>
      </c>
      <c r="B41" s="103" t="s">
        <v>50</v>
      </c>
      <c r="C41" s="219">
        <v>45807</v>
      </c>
      <c r="D41" s="286"/>
      <c r="E41" s="273" t="s">
        <v>1780</v>
      </c>
      <c r="F41" s="286"/>
      <c r="G41" s="287" t="s">
        <v>1743</v>
      </c>
      <c r="H41" s="234"/>
      <c r="I41" s="234"/>
      <c r="J41" s="45"/>
      <c r="K41" s="208"/>
      <c r="L41" s="208"/>
      <c r="M41" s="208"/>
      <c r="N41" s="288"/>
      <c r="O41" s="289"/>
      <c r="P41" s="278" t="s">
        <v>1781</v>
      </c>
      <c r="Q41" s="279" t="s">
        <v>58</v>
      </c>
      <c r="R41" s="132" t="s">
        <v>1782</v>
      </c>
      <c r="S41" s="132"/>
      <c r="T41" s="280"/>
      <c r="U41" s="281"/>
      <c r="V41" s="281"/>
      <c r="W41" s="281"/>
      <c r="X41" s="281"/>
      <c r="Y41" s="281"/>
      <c r="Z41" t="e">
        <f>VLOOKUP(A41,#REF!,9,FALSE)</f>
        <v>#REF!</v>
      </c>
    </row>
    <row r="42" spans="1:26" ht="15.75" thickBot="1">
      <c r="A42" s="279" t="s">
        <v>90</v>
      </c>
      <c r="B42" s="103" t="s">
        <v>50</v>
      </c>
      <c r="C42" s="219">
        <v>45807</v>
      </c>
      <c r="D42" s="286"/>
      <c r="E42" s="273" t="s">
        <v>1780</v>
      </c>
      <c r="F42" s="286"/>
      <c r="G42" s="287" t="s">
        <v>1743</v>
      </c>
      <c r="H42" s="234"/>
      <c r="I42" s="234"/>
      <c r="J42" s="45"/>
      <c r="K42" s="208"/>
      <c r="L42" s="208"/>
      <c r="M42" s="208"/>
      <c r="N42" s="288"/>
      <c r="O42" s="289"/>
      <c r="P42" s="278" t="s">
        <v>1781</v>
      </c>
      <c r="Q42" s="279" t="s">
        <v>64</v>
      </c>
      <c r="R42" s="132" t="s">
        <v>1782</v>
      </c>
      <c r="S42" s="132"/>
      <c r="T42" s="280"/>
      <c r="U42" s="281"/>
      <c r="V42" s="281"/>
      <c r="W42" s="281"/>
      <c r="X42" s="281"/>
      <c r="Y42" s="281"/>
      <c r="Z42" t="e">
        <f>VLOOKUP(A42,#REF!,9,FALSE)</f>
        <v>#REF!</v>
      </c>
    </row>
    <row r="43" spans="1:26" ht="15.75" thickBot="1">
      <c r="A43" s="279" t="s">
        <v>412</v>
      </c>
      <c r="B43" s="103" t="s">
        <v>50</v>
      </c>
      <c r="C43" s="219">
        <v>45807</v>
      </c>
      <c r="D43" s="286"/>
      <c r="E43" s="273" t="s">
        <v>1780</v>
      </c>
      <c r="F43" s="286"/>
      <c r="G43" s="287" t="s">
        <v>1743</v>
      </c>
      <c r="H43" s="234"/>
      <c r="I43" s="234"/>
      <c r="J43" s="45"/>
      <c r="K43" s="208"/>
      <c r="L43" s="208"/>
      <c r="M43" s="208"/>
      <c r="N43" s="288"/>
      <c r="O43" s="289"/>
      <c r="P43" s="278" t="s">
        <v>1781</v>
      </c>
      <c r="Q43" s="279" t="s">
        <v>58</v>
      </c>
      <c r="R43" s="132" t="s">
        <v>1782</v>
      </c>
      <c r="S43" s="132"/>
      <c r="T43" s="280"/>
      <c r="U43" s="281"/>
      <c r="V43" s="281"/>
      <c r="W43" s="281"/>
      <c r="X43" s="281"/>
      <c r="Y43" s="281"/>
      <c r="Z43" t="e">
        <f>VLOOKUP(A43,#REF!,9,FALSE)</f>
        <v>#REF!</v>
      </c>
    </row>
    <row r="44" spans="1:26" ht="15.75" thickBot="1">
      <c r="A44" s="279" t="s">
        <v>87</v>
      </c>
      <c r="B44" s="103" t="s">
        <v>50</v>
      </c>
      <c r="C44" s="219">
        <v>45807</v>
      </c>
      <c r="D44" s="286"/>
      <c r="E44" s="273" t="s">
        <v>1780</v>
      </c>
      <c r="F44" s="286"/>
      <c r="G44" s="287" t="s">
        <v>1743</v>
      </c>
      <c r="H44" s="234"/>
      <c r="I44" s="234"/>
      <c r="J44" s="45"/>
      <c r="K44" s="208"/>
      <c r="L44" s="208"/>
      <c r="M44" s="208"/>
      <c r="N44" s="288"/>
      <c r="O44" s="289"/>
      <c r="P44" s="278" t="s">
        <v>1751</v>
      </c>
      <c r="Q44" s="279" t="s">
        <v>64</v>
      </c>
      <c r="R44" s="132" t="s">
        <v>1782</v>
      </c>
      <c r="S44" s="132"/>
      <c r="T44" s="280"/>
      <c r="U44" s="281"/>
      <c r="V44" s="281"/>
      <c r="W44" s="281"/>
      <c r="X44" s="281"/>
      <c r="Y44" s="281"/>
      <c r="Z44" t="e">
        <f>VLOOKUP(A44,#REF!,9,FALSE)</f>
        <v>#REF!</v>
      </c>
    </row>
    <row r="45" spans="1:26" ht="15.75" thickBot="1">
      <c r="A45" s="346" t="s">
        <v>508</v>
      </c>
      <c r="B45" s="103" t="s">
        <v>50</v>
      </c>
      <c r="C45" s="219">
        <v>45807</v>
      </c>
      <c r="D45" s="286"/>
      <c r="E45" s="273" t="s">
        <v>1745</v>
      </c>
      <c r="F45" s="286"/>
      <c r="G45" s="287" t="s">
        <v>1743</v>
      </c>
      <c r="H45" s="234"/>
      <c r="I45" s="234"/>
      <c r="J45" s="45"/>
      <c r="K45" s="208"/>
      <c r="L45" s="208"/>
      <c r="M45" s="208"/>
      <c r="N45" s="288"/>
      <c r="O45" s="289"/>
      <c r="P45" s="278"/>
      <c r="Q45" s="279" t="s">
        <v>58</v>
      </c>
      <c r="R45" s="132" t="s">
        <v>1782</v>
      </c>
      <c r="S45" s="132"/>
      <c r="T45" s="280"/>
      <c r="U45" s="281"/>
      <c r="V45" s="281"/>
      <c r="W45" s="281"/>
      <c r="X45" s="281"/>
      <c r="Y45" s="281"/>
      <c r="Z45" t="e">
        <f>VLOOKUP(A45,#REF!,9,FALSE)</f>
        <v>#REF!</v>
      </c>
    </row>
    <row r="46" spans="1:26" ht="15.75" thickBot="1">
      <c r="A46" s="296" t="s">
        <v>510</v>
      </c>
      <c r="B46" s="103" t="s">
        <v>50</v>
      </c>
      <c r="C46" s="219">
        <v>45807</v>
      </c>
      <c r="D46" s="286"/>
      <c r="E46" s="273" t="s">
        <v>1745</v>
      </c>
      <c r="F46" s="286"/>
      <c r="G46" s="294" t="s">
        <v>1743</v>
      </c>
      <c r="H46" s="234"/>
      <c r="I46" s="234"/>
      <c r="J46" s="45"/>
      <c r="K46" s="208"/>
      <c r="L46" s="208"/>
      <c r="M46" s="208"/>
      <c r="N46" s="288"/>
      <c r="O46" s="289"/>
      <c r="P46" s="278"/>
      <c r="Q46" s="279" t="s">
        <v>58</v>
      </c>
      <c r="R46" s="132" t="s">
        <v>1782</v>
      </c>
      <c r="S46" s="132"/>
      <c r="T46" s="280"/>
      <c r="U46" s="281"/>
      <c r="V46" s="281"/>
      <c r="W46" s="281"/>
      <c r="X46" s="281"/>
      <c r="Y46" s="281"/>
      <c r="Z46" t="e">
        <f>VLOOKUP(A46,#REF!,9,FALSE)</f>
        <v>#REF!</v>
      </c>
    </row>
    <row r="47" spans="1:26" ht="15.75" thickBot="1">
      <c r="A47" s="297" t="s">
        <v>182</v>
      </c>
      <c r="B47" s="103" t="s">
        <v>50</v>
      </c>
      <c r="C47" s="219">
        <v>45807</v>
      </c>
      <c r="D47" s="286"/>
      <c r="E47" s="273" t="s">
        <v>1745</v>
      </c>
      <c r="F47" s="286"/>
      <c r="G47" s="287" t="s">
        <v>1743</v>
      </c>
      <c r="H47" s="234"/>
      <c r="I47" s="234"/>
      <c r="J47" s="45"/>
      <c r="K47" s="208"/>
      <c r="L47" s="208"/>
      <c r="M47" s="208"/>
      <c r="N47" s="288"/>
      <c r="O47" s="289"/>
      <c r="P47" s="278" t="s">
        <v>1754</v>
      </c>
      <c r="Q47" s="279" t="s">
        <v>58</v>
      </c>
      <c r="R47" s="132" t="s">
        <v>1785</v>
      </c>
      <c r="S47" s="132"/>
      <c r="T47" s="280"/>
      <c r="U47" s="281"/>
      <c r="V47" s="281"/>
      <c r="W47" s="281"/>
      <c r="X47" s="281"/>
      <c r="Y47" s="281"/>
      <c r="Z47" t="e">
        <f>VLOOKUP(A47,#REF!,9,FALSE)</f>
        <v>#REF!</v>
      </c>
    </row>
    <row r="48" spans="1:26" ht="15.75" thickBot="1">
      <c r="A48" s="296" t="s">
        <v>553</v>
      </c>
      <c r="B48" s="103" t="s">
        <v>50</v>
      </c>
      <c r="C48" s="219">
        <v>45807</v>
      </c>
      <c r="D48" s="286"/>
      <c r="E48" s="273" t="s">
        <v>1745</v>
      </c>
      <c r="F48" s="286"/>
      <c r="G48" s="294" t="s">
        <v>1764</v>
      </c>
      <c r="H48" s="234"/>
      <c r="I48" s="234"/>
      <c r="J48" s="45"/>
      <c r="K48" s="208"/>
      <c r="L48" s="208"/>
      <c r="M48" s="208"/>
      <c r="N48" s="288"/>
      <c r="O48" s="289"/>
      <c r="P48" s="278" t="s">
        <v>1791</v>
      </c>
      <c r="Q48" s="279" t="s">
        <v>1764</v>
      </c>
      <c r="R48" s="132" t="s">
        <v>1782</v>
      </c>
      <c r="S48" s="132"/>
      <c r="T48" s="280"/>
      <c r="U48" s="281"/>
      <c r="V48" s="281"/>
      <c r="W48" s="281"/>
      <c r="X48" s="281"/>
      <c r="Y48" s="281"/>
      <c r="Z48" t="e">
        <f>VLOOKUP(A48,#REF!,9,FALSE)</f>
        <v>#REF!</v>
      </c>
    </row>
    <row r="49" spans="1:26" ht="15.75" thickBot="1">
      <c r="A49" s="296" t="s">
        <v>547</v>
      </c>
      <c r="B49" s="103" t="s">
        <v>116</v>
      </c>
      <c r="C49" s="219">
        <v>45772</v>
      </c>
      <c r="D49" s="286"/>
      <c r="E49" s="273" t="s">
        <v>1745</v>
      </c>
      <c r="F49" s="286"/>
      <c r="G49" s="294" t="s">
        <v>1764</v>
      </c>
      <c r="H49" s="234"/>
      <c r="I49" s="234"/>
      <c r="J49" s="45"/>
      <c r="K49" s="208"/>
      <c r="L49" s="208"/>
      <c r="M49" s="208"/>
      <c r="N49" s="288"/>
      <c r="O49" s="289"/>
      <c r="P49" s="278" t="s">
        <v>1791</v>
      </c>
      <c r="Q49" s="279" t="s">
        <v>1764</v>
      </c>
      <c r="R49" s="132" t="s">
        <v>1782</v>
      </c>
      <c r="S49" s="132"/>
      <c r="T49" s="280"/>
      <c r="U49" s="281"/>
      <c r="V49" s="281"/>
      <c r="W49" s="281"/>
      <c r="X49" s="281"/>
      <c r="Y49" s="281"/>
      <c r="Z49" t="e">
        <f>VLOOKUP(A49,#REF!,9,FALSE)</f>
        <v>#REF!</v>
      </c>
    </row>
    <row r="50" spans="1:26" ht="15.75" thickBot="1">
      <c r="A50" s="296" t="s">
        <v>545</v>
      </c>
      <c r="B50" s="103" t="s">
        <v>116</v>
      </c>
      <c r="C50" s="219">
        <v>45772</v>
      </c>
      <c r="D50" s="286"/>
      <c r="E50" s="273" t="s">
        <v>1745</v>
      </c>
      <c r="F50" s="286"/>
      <c r="G50" s="294" t="s">
        <v>1764</v>
      </c>
      <c r="H50" s="234"/>
      <c r="I50" s="234"/>
      <c r="J50" s="45"/>
      <c r="K50" s="208"/>
      <c r="L50" s="208"/>
      <c r="M50" s="208"/>
      <c r="N50" s="288"/>
      <c r="O50" s="289"/>
      <c r="P50" s="278" t="s">
        <v>1791</v>
      </c>
      <c r="Q50" s="279" t="s">
        <v>1764</v>
      </c>
      <c r="R50" s="132" t="s">
        <v>1782</v>
      </c>
      <c r="S50" s="132"/>
      <c r="T50" s="280"/>
      <c r="U50" s="281"/>
      <c r="V50" s="281"/>
      <c r="W50" s="281"/>
      <c r="X50" s="281"/>
      <c r="Y50" s="281"/>
      <c r="Z50" t="e">
        <f>VLOOKUP(A50,#REF!,9,FALSE)</f>
        <v>#REF!</v>
      </c>
    </row>
    <row r="51" spans="1:26" ht="15.75" thickBot="1">
      <c r="A51" s="296" t="s">
        <v>551</v>
      </c>
      <c r="B51" s="103" t="e">
        <v>#N/A</v>
      </c>
      <c r="C51" s="219" t="e">
        <v>#N/A</v>
      </c>
      <c r="D51" s="286"/>
      <c r="E51" s="273" t="s">
        <v>1745</v>
      </c>
      <c r="F51" s="286"/>
      <c r="G51" s="294" t="s">
        <v>1764</v>
      </c>
      <c r="H51" s="234"/>
      <c r="I51" s="234"/>
      <c r="J51" s="45"/>
      <c r="K51" s="208"/>
      <c r="L51" s="208"/>
      <c r="M51" s="208"/>
      <c r="N51" s="288"/>
      <c r="O51" s="289"/>
      <c r="P51" s="278" t="s">
        <v>1791</v>
      </c>
      <c r="Q51" s="279" t="s">
        <v>1764</v>
      </c>
      <c r="R51" s="132" t="s">
        <v>1782</v>
      </c>
      <c r="S51" s="132"/>
      <c r="T51" s="280"/>
      <c r="U51" s="281"/>
      <c r="V51" s="281"/>
      <c r="W51" s="281"/>
      <c r="X51" s="281"/>
      <c r="Y51" s="281"/>
      <c r="Z51" t="e">
        <f>VLOOKUP(A51,#REF!,9,FALSE)</f>
        <v>#REF!</v>
      </c>
    </row>
    <row r="52" spans="1:26" ht="13.9" customHeight="1" thickBot="1">
      <c r="A52" s="296" t="s">
        <v>527</v>
      </c>
      <c r="B52" s="103" t="s">
        <v>116</v>
      </c>
      <c r="C52" s="219">
        <v>45925</v>
      </c>
      <c r="D52" s="286"/>
      <c r="E52" s="273" t="s">
        <v>1780</v>
      </c>
      <c r="F52" s="286"/>
      <c r="G52" s="287" t="s">
        <v>1743</v>
      </c>
      <c r="H52" s="234"/>
      <c r="I52" s="234"/>
      <c r="J52" s="45"/>
      <c r="K52" s="208"/>
      <c r="L52" s="208"/>
      <c r="M52" s="208"/>
      <c r="N52" s="288"/>
      <c r="O52" s="289"/>
      <c r="P52" s="278" t="s">
        <v>1781</v>
      </c>
      <c r="Q52" s="279" t="s">
        <v>64</v>
      </c>
      <c r="R52" s="132" t="s">
        <v>1782</v>
      </c>
      <c r="S52" s="132"/>
      <c r="T52" s="280"/>
      <c r="U52" s="281"/>
      <c r="V52" s="281"/>
      <c r="W52" s="281"/>
      <c r="X52" s="281"/>
      <c r="Y52" s="281"/>
      <c r="Z52" t="e">
        <f>VLOOKUP(A52,#REF!,9,FALSE)</f>
        <v>#REF!</v>
      </c>
    </row>
    <row r="53" spans="1:26" ht="15.75" thickBot="1">
      <c r="A53" s="296" t="s">
        <v>529</v>
      </c>
      <c r="B53" s="103" t="s">
        <v>116</v>
      </c>
      <c r="C53" s="219">
        <v>45925</v>
      </c>
      <c r="D53" s="286"/>
      <c r="E53" s="273" t="s">
        <v>1780</v>
      </c>
      <c r="F53" s="286"/>
      <c r="G53" s="287" t="s">
        <v>1743</v>
      </c>
      <c r="H53" s="234"/>
      <c r="I53" s="234"/>
      <c r="J53" s="45"/>
      <c r="K53" s="208"/>
      <c r="L53" s="208"/>
      <c r="M53" s="208"/>
      <c r="N53" s="288"/>
      <c r="O53" s="289"/>
      <c r="P53" s="278" t="s">
        <v>1781</v>
      </c>
      <c r="Q53" s="279" t="s">
        <v>64</v>
      </c>
      <c r="R53" s="132" t="s">
        <v>1782</v>
      </c>
      <c r="S53" s="132"/>
      <c r="T53" s="280"/>
      <c r="U53" s="281"/>
      <c r="V53" s="281"/>
      <c r="W53" s="281"/>
      <c r="X53" s="281"/>
      <c r="Y53" s="281"/>
      <c r="Z53" t="e">
        <f>VLOOKUP(A53,#REF!,9,FALSE)</f>
        <v>#REF!</v>
      </c>
    </row>
    <row r="54" spans="1:26" ht="15.75" thickBot="1">
      <c r="A54" s="296" t="s">
        <v>525</v>
      </c>
      <c r="B54" s="103" t="s">
        <v>116</v>
      </c>
      <c r="C54" s="219">
        <v>45925</v>
      </c>
      <c r="D54" s="286"/>
      <c r="E54" s="273" t="s">
        <v>1780</v>
      </c>
      <c r="F54" s="286"/>
      <c r="G54" s="287" t="s">
        <v>1743</v>
      </c>
      <c r="H54" s="234"/>
      <c r="I54" s="234"/>
      <c r="J54" s="45"/>
      <c r="K54" s="208"/>
      <c r="L54" s="208"/>
      <c r="M54" s="208"/>
      <c r="N54" s="288"/>
      <c r="O54" s="289"/>
      <c r="P54" s="278" t="s">
        <v>1781</v>
      </c>
      <c r="Q54" s="279" t="s">
        <v>64</v>
      </c>
      <c r="R54" s="132" t="s">
        <v>1782</v>
      </c>
      <c r="S54" s="132"/>
      <c r="T54" s="280"/>
      <c r="U54" s="281"/>
      <c r="V54" s="281"/>
      <c r="W54" s="281"/>
      <c r="X54" s="281"/>
      <c r="Y54" s="281"/>
      <c r="Z54" t="e">
        <f>VLOOKUP(A54,#REF!,9,FALSE)</f>
        <v>#REF!</v>
      </c>
    </row>
    <row r="55" spans="1:26" ht="15.75" thickBot="1">
      <c r="A55" s="296" t="s">
        <v>563</v>
      </c>
      <c r="B55" s="103" t="s">
        <v>116</v>
      </c>
      <c r="C55" s="219">
        <v>45862</v>
      </c>
      <c r="D55" s="286"/>
      <c r="E55" s="273" t="s">
        <v>1780</v>
      </c>
      <c r="F55" s="286"/>
      <c r="G55" s="287" t="s">
        <v>1743</v>
      </c>
      <c r="H55" s="234"/>
      <c r="I55" s="234"/>
      <c r="J55" s="45"/>
      <c r="K55" s="208"/>
      <c r="L55" s="208"/>
      <c r="M55" s="208"/>
      <c r="N55" s="288"/>
      <c r="O55" s="289"/>
      <c r="P55" s="278" t="s">
        <v>1754</v>
      </c>
      <c r="Q55" s="279" t="s">
        <v>58</v>
      </c>
      <c r="R55" s="132" t="s">
        <v>1785</v>
      </c>
      <c r="S55" s="132"/>
      <c r="T55" s="280"/>
      <c r="U55" s="281"/>
      <c r="V55" s="281"/>
      <c r="W55" s="281"/>
      <c r="X55" s="281"/>
      <c r="Y55" s="281"/>
      <c r="Z55" t="e">
        <f>VLOOKUP(A55,#REF!,9,FALSE)</f>
        <v>#REF!</v>
      </c>
    </row>
    <row r="56" spans="1:26" ht="15.75" thickBot="1">
      <c r="A56" s="296" t="s">
        <v>126</v>
      </c>
      <c r="B56" s="103"/>
      <c r="C56" s="219" t="e">
        <v>#N/A</v>
      </c>
      <c r="D56" s="286"/>
      <c r="E56" s="273" t="s">
        <v>1780</v>
      </c>
      <c r="F56" s="286"/>
      <c r="G56" s="287" t="s">
        <v>1743</v>
      </c>
      <c r="H56" s="234"/>
      <c r="I56" s="234"/>
      <c r="J56" s="45"/>
      <c r="K56" s="208"/>
      <c r="L56" s="208"/>
      <c r="M56" s="208"/>
      <c r="N56" s="288"/>
      <c r="O56" s="289"/>
      <c r="P56" s="278" t="s">
        <v>1792</v>
      </c>
      <c r="Q56" s="279" t="s">
        <v>58</v>
      </c>
      <c r="R56" s="132" t="s">
        <v>1785</v>
      </c>
      <c r="S56" s="132"/>
      <c r="T56" s="280"/>
      <c r="U56" s="281"/>
      <c r="V56" s="281"/>
      <c r="W56" s="281"/>
      <c r="X56" s="281"/>
      <c r="Y56" s="281"/>
      <c r="Z56" t="e">
        <f>VLOOKUP(A56,#REF!,9,FALSE)</f>
        <v>#REF!</v>
      </c>
    </row>
    <row r="57" spans="1:26" ht="15.75" thickBot="1">
      <c r="A57" s="163" t="s">
        <v>1793</v>
      </c>
      <c r="B57" s="103" t="s">
        <v>116</v>
      </c>
      <c r="C57" s="298">
        <v>45787</v>
      </c>
      <c r="D57" s="286"/>
      <c r="E57" s="273" t="s">
        <v>1780</v>
      </c>
      <c r="F57" s="286"/>
      <c r="G57" s="287" t="s">
        <v>1743</v>
      </c>
      <c r="H57" s="234"/>
      <c r="I57" s="234"/>
      <c r="J57" s="45"/>
      <c r="K57" s="208"/>
      <c r="L57" s="208"/>
      <c r="M57" s="208"/>
      <c r="N57" s="288"/>
      <c r="O57" s="289"/>
      <c r="P57" s="278" t="s">
        <v>1754</v>
      </c>
      <c r="Q57" s="279" t="s">
        <v>1794</v>
      </c>
      <c r="R57" s="132" t="s">
        <v>1785</v>
      </c>
      <c r="S57" s="132"/>
      <c r="T57" s="280"/>
      <c r="U57" s="281"/>
      <c r="V57" s="281"/>
      <c r="W57" s="281"/>
      <c r="X57" s="281"/>
      <c r="Y57" s="281"/>
      <c r="Z57" t="e">
        <f>VLOOKUP(A57,#REF!,9,FALSE)</f>
        <v>#REF!</v>
      </c>
    </row>
    <row r="58" spans="1:26" ht="15.75" thickBot="1">
      <c r="A58" s="640" t="s">
        <v>525</v>
      </c>
      <c r="B58" s="103" t="s">
        <v>50</v>
      </c>
      <c r="C58" s="300">
        <v>45807</v>
      </c>
      <c r="D58" s="286"/>
      <c r="E58" s="273" t="s">
        <v>1745</v>
      </c>
      <c r="F58" s="286"/>
      <c r="G58" s="287" t="s">
        <v>1743</v>
      </c>
      <c r="H58" s="234"/>
      <c r="I58" s="234"/>
      <c r="J58" s="45"/>
      <c r="K58" s="208"/>
      <c r="L58" s="208"/>
      <c r="M58" s="208"/>
      <c r="N58" s="288"/>
      <c r="O58" s="289"/>
      <c r="P58" s="291"/>
      <c r="Q58" s="279" t="s">
        <v>64</v>
      </c>
      <c r="R58" s="132" t="s">
        <v>1782</v>
      </c>
      <c r="S58" s="132"/>
      <c r="T58" s="280"/>
      <c r="U58" s="281"/>
      <c r="V58" s="281"/>
      <c r="W58" s="281"/>
      <c r="X58" s="281"/>
      <c r="Y58" s="281"/>
    </row>
    <row r="59" spans="1:26" ht="15.75" thickBot="1">
      <c r="A59" s="640" t="s">
        <v>527</v>
      </c>
      <c r="B59" s="103" t="s">
        <v>116</v>
      </c>
      <c r="C59" s="300">
        <v>45772</v>
      </c>
      <c r="D59" s="286"/>
      <c r="E59" s="273" t="s">
        <v>1745</v>
      </c>
      <c r="F59" s="286"/>
      <c r="G59" s="287" t="s">
        <v>1743</v>
      </c>
      <c r="H59" s="234"/>
      <c r="I59" s="234"/>
      <c r="J59" s="45"/>
      <c r="K59" s="208"/>
      <c r="L59" s="208"/>
      <c r="M59" s="208"/>
      <c r="N59" s="288"/>
      <c r="O59" s="289"/>
      <c r="P59" s="291"/>
      <c r="Q59" s="279" t="s">
        <v>64</v>
      </c>
      <c r="R59" s="132" t="s">
        <v>1782</v>
      </c>
      <c r="S59" s="132"/>
      <c r="T59" s="280"/>
      <c r="U59" s="281"/>
      <c r="V59" s="281"/>
      <c r="W59" s="281"/>
      <c r="X59" s="281"/>
      <c r="Y59" s="281"/>
    </row>
    <row r="60" spans="1:26" ht="15.75" thickBot="1">
      <c r="A60" s="641" t="s">
        <v>529</v>
      </c>
      <c r="B60" s="103" t="s">
        <v>116</v>
      </c>
      <c r="C60" s="300">
        <v>45772</v>
      </c>
      <c r="D60" s="286"/>
      <c r="E60" s="273" t="s">
        <v>1745</v>
      </c>
      <c r="F60" s="286"/>
      <c r="G60" s="287" t="s">
        <v>1743</v>
      </c>
      <c r="H60" s="234"/>
      <c r="I60" s="234"/>
      <c r="J60" s="45"/>
      <c r="K60" s="208"/>
      <c r="L60" s="208"/>
      <c r="M60" s="208"/>
      <c r="N60" s="288"/>
      <c r="O60" s="289"/>
      <c r="P60" s="291"/>
      <c r="Q60" s="279" t="s">
        <v>64</v>
      </c>
      <c r="R60" s="132" t="s">
        <v>1782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1774</v>
      </c>
      <c r="B70" s="305">
        <f>SUM(K4:K9)</f>
        <v>0</v>
      </c>
      <c r="C70" s="306" t="e">
        <f>B70/B73</f>
        <v>#DIV/0!</v>
      </c>
    </row>
    <row r="71" spans="1:25">
      <c r="A71" s="304" t="s">
        <v>1672</v>
      </c>
      <c r="B71" s="305">
        <f>SUM(L4:L9)</f>
        <v>0</v>
      </c>
      <c r="C71" s="306" t="e">
        <f>B71/B73</f>
        <v>#DIV/0!</v>
      </c>
    </row>
    <row r="72" spans="1:25">
      <c r="A72" s="304" t="s">
        <v>1775</v>
      </c>
      <c r="B72" s="305">
        <f>SUM(M4:M9)</f>
        <v>0</v>
      </c>
      <c r="C72" s="306" t="e">
        <f>B72/B73</f>
        <v>#DIV/0!</v>
      </c>
    </row>
    <row r="73" spans="1:25">
      <c r="A73" s="304" t="s">
        <v>877</v>
      </c>
      <c r="B73" s="305">
        <f>SUM(B70:B72)</f>
        <v>0</v>
      </c>
      <c r="C73" s="283"/>
    </row>
    <row r="80" spans="1:25">
      <c r="A80" t="s">
        <v>1795</v>
      </c>
    </row>
    <row r="81" spans="1:1">
      <c r="A81" t="s">
        <v>1796</v>
      </c>
    </row>
    <row r="82" spans="1:1">
      <c r="A82" t="s">
        <v>1781</v>
      </c>
    </row>
    <row r="83" spans="1:1">
      <c r="A83" t="s">
        <v>1797</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050830F-D32A-457C-9090-A63C2396829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2025-11-20T19:24:49Z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