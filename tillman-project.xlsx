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77" documentId="120_S{26355A1A-C9FF-5539-9B49-32C1F08D0326}" xr6:coauthVersionLast="47" xr6:coauthVersionMax="47" xr10:uidLastSave="{8C90D1B7-76C4-4C06-B9D8-4A8DD4588A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6128" r:id="rId11"/>
    <pivotCache cacheId="6133" r:id="rId12"/>
    <pivotCache cacheId="6140" r:id="rId13"/>
    <pivotCache cacheId="6144" r:id="rId14"/>
    <pivotCache cacheId="615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<sst xmlns="http://schemas.openxmlformats.org/spreadsheetml/2006/main" count="18499" uniqueCount="2337">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</sst>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09125000001"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0912523147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091252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0912523147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09125462963"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254"/>
    <n v="3340"/>
    <n v="0.27296473661297344"/>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m/>
    <n v="0"/>
    <n v="0"/>
    <n v="0"/>
    <m/>
    <m/>
  </r>
  <r>
    <s v="FB-HLX409"/>
    <s v="Bradenton"/>
    <d v="2026-03-22T00:00:00"/>
    <x v="4"/>
    <d v="2026-02-24T00:00:00"/>
    <m/>
    <s v="MAN108666"/>
    <n v="0"/>
    <s v="On Track"/>
    <s v="Received"/>
    <m/>
    <m/>
    <s v="Yes"/>
    <n v="15002.75"/>
    <s v="Yes"/>
    <s v="Locates Called"/>
    <d v="2026-02-24T00:00:00"/>
    <m/>
    <m/>
    <m/>
    <n v="1175"/>
    <m/>
    <n v="1175"/>
    <n v="0"/>
    <m/>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m/>
    <n v="11028"/>
    <n v="0"/>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m/>
    <m/>
    <m/>
    <x v="1"/>
  </r>
  <r>
    <s v="FB-HLX401"/>
    <x v="29"/>
    <d v="2026-03-09T00:00:00"/>
    <n v="1146"/>
    <m/>
    <m/>
    <x v="1"/>
  </r>
  <r>
    <s v="FB-HLX409"/>
    <x v="1"/>
    <d v="2026-03-09T00:00:00"/>
    <m/>
    <m/>
    <m/>
    <x v="1"/>
  </r>
  <r>
    <s v="Willow Walk"/>
    <x v="24"/>
    <d v="2026-03-09T00:00:00"/>
    <m/>
    <m/>
    <m/>
    <x v="1"/>
  </r>
  <r>
    <s v="Sabal Lakes"/>
    <x v="31"/>
    <d v="2026-03-0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254"/>
    <n v="3340"/>
    <n v="0.27296473661297344"/>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m/>
    <n v="0"/>
    <n v="0"/>
    <n v="0"/>
    <m/>
    <m/>
  </r>
  <r>
    <s v="FB-HLX409"/>
    <s v="Bradenton"/>
    <d v="2026-03-22T00:00:00"/>
    <x v="4"/>
    <d v="2026-02-24T00:00:00"/>
    <m/>
    <s v="MAN108666"/>
    <n v="0"/>
    <s v="On Track"/>
    <s v="Received"/>
    <m/>
    <m/>
    <s v="Yes"/>
    <n v="15002.75"/>
    <s v="Yes"/>
    <s v="Locates Called"/>
    <d v="2026-02-24T00:00:00"/>
    <m/>
    <m/>
    <m/>
    <n v="1175"/>
    <m/>
    <n v="1175"/>
    <n v="0"/>
    <m/>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m/>
    <n v="11028"/>
    <n v="0"/>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m/>
    <m/>
    <m/>
  </r>
  <r>
    <x v="373"/>
    <x v="29"/>
    <x v="279"/>
    <n v="1146"/>
    <m/>
    <m/>
  </r>
  <r>
    <x v="374"/>
    <x v="1"/>
    <x v="279"/>
    <m/>
    <m/>
    <m/>
  </r>
  <r>
    <x v="375"/>
    <x v="24"/>
    <x v="279"/>
    <m/>
    <m/>
    <m/>
  </r>
  <r>
    <x v="370"/>
    <x v="31"/>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S43" activePane="topRight" state="frozen"/>
      <selection pane="topRight" activeCell="V53" sqref="V53"/>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69"/>
      <c r="L22" s="984"/>
      <c r="M22" s="887" t="s">
        <v>55</v>
      </c>
      <c r="N22" s="1370">
        <v>223.8</v>
      </c>
      <c r="O22" s="887" t="s">
        <v>55</v>
      </c>
      <c r="P22" s="889" t="s">
        <v>69</v>
      </c>
      <c r="Q22" s="1371"/>
      <c r="R22" s="1371"/>
      <c r="S22" s="1371"/>
      <c r="T22" s="1371"/>
      <c r="U22" s="805">
        <v>0</v>
      </c>
      <c r="V22" s="1251"/>
      <c r="W22" s="1372">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69"/>
      <c r="L26" s="984"/>
      <c r="M26" s="887" t="s">
        <v>55</v>
      </c>
      <c r="N26" s="1370">
        <v>12404.9</v>
      </c>
      <c r="O26" s="519" t="s">
        <v>55</v>
      </c>
      <c r="P26" s="951" t="s">
        <v>64</v>
      </c>
      <c r="Q26" s="1371">
        <v>46077</v>
      </c>
      <c r="R26" s="1371"/>
      <c r="S26" s="1371"/>
      <c r="T26" s="1371"/>
      <c r="U26" s="1372">
        <v>1111</v>
      </c>
      <c r="V26" s="1372"/>
      <c r="W26" s="1372">
        <f>SUM(U26-V26)</f>
        <v>1111</v>
      </c>
      <c r="X26" s="688">
        <f>IFERROR($V26/$U26, 0)</f>
        <v>0</v>
      </c>
      <c r="Y26" s="1373"/>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69"/>
      <c r="L27" s="984"/>
      <c r="M27" s="887" t="s">
        <v>55</v>
      </c>
      <c r="N27" s="1370">
        <v>49846.95</v>
      </c>
      <c r="O27" s="887" t="s">
        <v>55</v>
      </c>
      <c r="P27" s="1374" t="s">
        <v>69</v>
      </c>
      <c r="Q27" s="1371"/>
      <c r="R27" s="1371"/>
      <c r="S27" s="1371"/>
      <c r="T27" s="1371"/>
      <c r="U27" s="1372">
        <v>3109</v>
      </c>
      <c r="V27" s="1372"/>
      <c r="W27" s="1372">
        <v>3109</v>
      </c>
      <c r="X27" s="688">
        <f>IFERROR($V27/$U27, 0)</f>
        <v>0</v>
      </c>
      <c r="Y27" s="1373"/>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69"/>
      <c r="L28" s="984"/>
      <c r="M28" s="887" t="s">
        <v>55</v>
      </c>
      <c r="N28" s="1354">
        <v>85069.95</v>
      </c>
      <c r="O28" s="957" t="s">
        <v>55</v>
      </c>
      <c r="P28" s="951" t="s">
        <v>69</v>
      </c>
      <c r="Q28" s="1371"/>
      <c r="R28" s="1371"/>
      <c r="S28" s="1371"/>
      <c r="T28" s="1371"/>
      <c r="U28" s="1372">
        <v>311</v>
      </c>
      <c r="V28" s="1372"/>
      <c r="W28" s="1372">
        <f>SUM(U28-V28)</f>
        <v>311</v>
      </c>
      <c r="X28" s="688">
        <f>IFERROR($V28/$U28, 0)</f>
        <v>0</v>
      </c>
      <c r="Y28" s="1373"/>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1">
        <v>46077</v>
      </c>
      <c r="R32" s="890"/>
      <c r="S32" s="923"/>
      <c r="T32" s="928"/>
      <c r="U32" s="891">
        <v>4594</v>
      </c>
      <c r="V32" s="891">
        <v>1254</v>
      </c>
      <c r="W32" s="891">
        <f t="shared" si="5"/>
        <v>3340</v>
      </c>
      <c r="X32" s="521">
        <f t="shared" si="6"/>
        <v>0.27296473661297344</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5">
        <v>2</v>
      </c>
      <c r="I39" s="662" t="s">
        <v>53</v>
      </c>
      <c r="J39" s="665" t="s">
        <v>54</v>
      </c>
      <c r="K39" s="1369"/>
      <c r="L39" s="986"/>
      <c r="M39" s="662" t="s">
        <v>55</v>
      </c>
      <c r="N39" s="1376">
        <v>21370</v>
      </c>
      <c r="O39" s="662" t="s">
        <v>55</v>
      </c>
      <c r="P39" s="910" t="s">
        <v>69</v>
      </c>
      <c r="Q39" s="1377"/>
      <c r="R39" s="1377"/>
      <c r="S39" s="1377"/>
      <c r="T39" s="1377"/>
      <c r="U39" s="1378">
        <v>1782</v>
      </c>
      <c r="V39" s="1372"/>
      <c r="W39" s="1372">
        <f>SUM(U39-V39)</f>
        <v>1782</v>
      </c>
      <c r="X39" s="521">
        <f>IFERROR($V39/$U39, 0)</f>
        <v>0</v>
      </c>
      <c r="Y39" s="1379"/>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5">
        <v>0</v>
      </c>
      <c r="I44" s="662" t="s">
        <v>53</v>
      </c>
      <c r="J44" s="665" t="s">
        <v>54</v>
      </c>
      <c r="K44" s="1369"/>
      <c r="L44" s="986"/>
      <c r="M44" s="662" t="s">
        <v>55</v>
      </c>
      <c r="N44" s="1376">
        <v>36998.550000000003</v>
      </c>
      <c r="O44" s="662" t="s">
        <v>55</v>
      </c>
      <c r="P44" s="910" t="s">
        <v>69</v>
      </c>
      <c r="Q44" s="1377"/>
      <c r="R44" s="1377"/>
      <c r="S44" s="1377"/>
      <c r="T44" s="1377"/>
      <c r="U44" s="1378">
        <v>2944</v>
      </c>
      <c r="V44" s="1372"/>
      <c r="W44" s="1372">
        <f>SUM(U44-V44)</f>
        <v>2944</v>
      </c>
      <c r="X44" s="521">
        <f>IFERROR($V44/$U44, 0)</f>
        <v>0</v>
      </c>
      <c r="Y44" s="1379"/>
      <c r="Z44" s="893">
        <v>0</v>
      </c>
      <c r="AA44" s="893">
        <v>0</v>
      </c>
      <c r="AB44" s="508">
        <v>0</v>
      </c>
      <c r="AC44" s="894"/>
      <c r="AD44" s="939"/>
    </row>
    <row r="45" spans="1:55" ht="24.75" customHeight="1">
      <c r="A45" s="983" t="s">
        <v>186</v>
      </c>
      <c r="B45" s="664" t="s">
        <v>128</v>
      </c>
      <c r="C45" s="984">
        <v>46079</v>
      </c>
      <c r="D45" s="986"/>
      <c r="E45" s="986"/>
      <c r="F45" s="985"/>
      <c r="G45" s="896" t="s">
        <v>187</v>
      </c>
      <c r="H45" s="1375">
        <v>0</v>
      </c>
      <c r="I45" s="662" t="s">
        <v>53</v>
      </c>
      <c r="J45" s="665" t="s">
        <v>54</v>
      </c>
      <c r="K45" s="1369"/>
      <c r="L45" s="986"/>
      <c r="M45" s="662" t="s">
        <v>55</v>
      </c>
      <c r="N45" s="1376">
        <v>49932.800000000003</v>
      </c>
      <c r="O45" s="662" t="s">
        <v>55</v>
      </c>
      <c r="P45" s="910" t="s">
        <v>69</v>
      </c>
      <c r="Q45" s="1377"/>
      <c r="R45" s="1377"/>
      <c r="S45" s="1377"/>
      <c r="T45" s="1377"/>
      <c r="U45" s="1378">
        <v>4048</v>
      </c>
      <c r="V45" s="1372"/>
      <c r="W45" s="1372">
        <f>SUM(U45-V45)</f>
        <v>4048</v>
      </c>
      <c r="X45" s="521">
        <f>IFERROR($V45/$U45, 0)</f>
        <v>0</v>
      </c>
      <c r="Y45" s="1379"/>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69"/>
      <c r="L51" s="986"/>
      <c r="M51" s="898" t="s">
        <v>55</v>
      </c>
      <c r="N51" s="1376">
        <v>118710.8</v>
      </c>
      <c r="O51" s="898" t="s">
        <v>55</v>
      </c>
      <c r="P51" s="889" t="s">
        <v>56</v>
      </c>
      <c r="Q51" s="1377">
        <v>46062</v>
      </c>
      <c r="R51" s="1377"/>
      <c r="S51" s="1377"/>
      <c r="T51" s="1377"/>
      <c r="U51" s="1378">
        <v>9628</v>
      </c>
      <c r="V51" s="1372">
        <v>6978</v>
      </c>
      <c r="W51" s="1372">
        <f>SUM(U51-V51)</f>
        <v>2650</v>
      </c>
      <c r="X51" s="521">
        <f>IFERROR($V51/$U51, 0)</f>
        <v>0.72476111341919403</v>
      </c>
      <c r="Y51" s="1377">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892"/>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5">
        <v>0</v>
      </c>
      <c r="I53" s="662" t="s">
        <v>53</v>
      </c>
      <c r="J53" s="898" t="s">
        <v>54</v>
      </c>
      <c r="K53" s="1369"/>
      <c r="L53" s="986"/>
      <c r="M53" s="898" t="s">
        <v>55</v>
      </c>
      <c r="N53" s="1376">
        <v>15002.75</v>
      </c>
      <c r="O53" s="898" t="s">
        <v>55</v>
      </c>
      <c r="P53" s="910" t="s">
        <v>64</v>
      </c>
      <c r="Q53" s="1377">
        <v>46077</v>
      </c>
      <c r="R53" s="1377"/>
      <c r="S53" s="1377"/>
      <c r="T53" s="1377"/>
      <c r="U53" s="1378">
        <v>1175</v>
      </c>
      <c r="V53" s="1380">
        <v>535</v>
      </c>
      <c r="W53" s="1372">
        <f>SUM(U53-V53)</f>
        <v>640</v>
      </c>
      <c r="X53" s="521">
        <f>IFERROR($V53/$U53, 0)</f>
        <v>0.4553191489361702</v>
      </c>
      <c r="Y53" s="1379"/>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5">
        <v>0</v>
      </c>
      <c r="I54" s="662" t="s">
        <v>53</v>
      </c>
      <c r="J54" s="898" t="s">
        <v>54</v>
      </c>
      <c r="K54" s="1369"/>
      <c r="L54" s="986"/>
      <c r="M54" s="898" t="s">
        <v>55</v>
      </c>
      <c r="N54" s="1376">
        <v>12977.65</v>
      </c>
      <c r="O54" s="898" t="s">
        <v>55</v>
      </c>
      <c r="P54" s="910" t="s">
        <v>69</v>
      </c>
      <c r="Q54" s="1377"/>
      <c r="R54" s="1377"/>
      <c r="S54" s="1377"/>
      <c r="T54" s="1377"/>
      <c r="U54" s="1378">
        <v>1029</v>
      </c>
      <c r="V54" s="1372"/>
      <c r="W54" s="1372">
        <f>SUM(U54-V54)</f>
        <v>1029</v>
      </c>
      <c r="X54" s="521">
        <f>IFERROR($V54/$U54, 0)</f>
        <v>0</v>
      </c>
      <c r="Y54" s="1379"/>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5">
        <v>107</v>
      </c>
      <c r="I57" s="662" t="s">
        <v>53</v>
      </c>
      <c r="J57" s="957" t="s">
        <v>62</v>
      </c>
      <c r="K57" s="1369" t="s">
        <v>67</v>
      </c>
      <c r="L57" s="986"/>
      <c r="M57" s="961" t="s">
        <v>68</v>
      </c>
      <c r="N57" s="1115"/>
      <c r="O57" s="961" t="s">
        <v>68</v>
      </c>
      <c r="P57" s="951" t="s">
        <v>69</v>
      </c>
      <c r="Q57" s="1377"/>
      <c r="R57" s="1377"/>
      <c r="S57" s="1377"/>
      <c r="T57" s="1377"/>
      <c r="U57" s="1378">
        <v>9568</v>
      </c>
      <c r="V57" s="1372"/>
      <c r="W57" s="1372">
        <f>SUM(U57-V57)</f>
        <v>9568</v>
      </c>
      <c r="X57" s="521">
        <f>IFERROR($V57/$U57, 0)</f>
        <v>0</v>
      </c>
      <c r="Y57" s="1379"/>
      <c r="Z57" s="893">
        <v>0</v>
      </c>
      <c r="AA57" s="893">
        <v>0</v>
      </c>
      <c r="AB57" s="902">
        <v>0</v>
      </c>
      <c r="AC57" s="894" t="s">
        <v>218</v>
      </c>
      <c r="AD57" s="939"/>
    </row>
    <row r="58" spans="1:30" ht="24.75" customHeight="1">
      <c r="A58" s="1305" t="s">
        <v>219</v>
      </c>
      <c r="B58" s="664" t="s">
        <v>128</v>
      </c>
      <c r="C58" s="984">
        <v>46174</v>
      </c>
      <c r="D58" s="985"/>
      <c r="E58" s="986"/>
      <c r="F58" s="985"/>
      <c r="G58" s="897"/>
      <c r="H58" s="1375">
        <v>115</v>
      </c>
      <c r="I58" s="662" t="s">
        <v>53</v>
      </c>
      <c r="J58" s="957" t="s">
        <v>62</v>
      </c>
      <c r="K58" s="1369"/>
      <c r="L58" s="986"/>
      <c r="M58" s="898" t="s">
        <v>55</v>
      </c>
      <c r="N58" s="1115">
        <v>125188</v>
      </c>
      <c r="O58" s="898" t="s">
        <v>55</v>
      </c>
      <c r="P58" s="910" t="s">
        <v>69</v>
      </c>
      <c r="Q58" s="1377"/>
      <c r="R58" s="1377"/>
      <c r="S58" s="1377"/>
      <c r="T58" s="1377"/>
      <c r="U58" s="1378">
        <v>11028</v>
      </c>
      <c r="V58" s="1372"/>
      <c r="W58" s="1372">
        <f>SUM(U58-V58)</f>
        <v>11028</v>
      </c>
      <c r="X58" s="521">
        <f>IFERROR($V58/$U58, 0)</f>
        <v>0</v>
      </c>
      <c r="Y58" s="1377">
        <v>46090</v>
      </c>
      <c r="Z58" s="893">
        <v>0</v>
      </c>
      <c r="AA58" s="893">
        <v>0</v>
      </c>
      <c r="AB58" s="902">
        <v>0</v>
      </c>
      <c r="AC58" s="894"/>
      <c r="AD58" s="939"/>
    </row>
    <row r="59" spans="1:30" ht="24.75" customHeight="1">
      <c r="A59" s="983" t="s">
        <v>220</v>
      </c>
      <c r="B59" s="664" t="s">
        <v>221</v>
      </c>
      <c r="C59" s="984">
        <v>46113</v>
      </c>
      <c r="D59" s="897"/>
      <c r="E59" s="986"/>
      <c r="F59" s="985"/>
      <c r="G59" s="897"/>
      <c r="H59" s="1375">
        <v>0</v>
      </c>
      <c r="I59" s="662" t="s">
        <v>53</v>
      </c>
      <c r="J59" s="898" t="s">
        <v>54</v>
      </c>
      <c r="K59" s="1369"/>
      <c r="L59" s="986"/>
      <c r="M59" s="898" t="s">
        <v>55</v>
      </c>
      <c r="N59" s="1376">
        <v>43031.6</v>
      </c>
      <c r="O59" s="898" t="s">
        <v>55</v>
      </c>
      <c r="P59" s="910" t="s">
        <v>69</v>
      </c>
      <c r="Q59" s="1377">
        <v>46085</v>
      </c>
      <c r="R59" s="1377"/>
      <c r="S59" s="1377"/>
      <c r="T59" s="1377"/>
      <c r="U59" s="1378">
        <v>3461</v>
      </c>
      <c r="V59" s="1372"/>
      <c r="W59" s="1372">
        <f>SUM(U59-V59)</f>
        <v>3461</v>
      </c>
      <c r="X59" s="521">
        <f>IFERROR($V59/$U59, 0)</f>
        <v>0</v>
      </c>
      <c r="Y59" s="1377"/>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1">
        <v>0</v>
      </c>
      <c r="I63" s="519" t="s">
        <v>53</v>
      </c>
      <c r="J63" s="961" t="s">
        <v>88</v>
      </c>
      <c r="K63" s="1382" t="s">
        <v>67</v>
      </c>
      <c r="L63" s="1113"/>
      <c r="M63" s="961" t="s">
        <v>68</v>
      </c>
      <c r="N63" s="1115"/>
      <c r="O63" s="961" t="s">
        <v>68</v>
      </c>
      <c r="P63" s="951" t="s">
        <v>69</v>
      </c>
      <c r="Q63" s="1377"/>
      <c r="R63" s="1377"/>
      <c r="S63" s="1377"/>
      <c r="T63" s="1377"/>
      <c r="U63" s="1383">
        <v>6202</v>
      </c>
      <c r="V63" s="1384"/>
      <c r="W63" s="1384">
        <f>SUM(U63-V63)</f>
        <v>6202</v>
      </c>
      <c r="X63" s="687">
        <f>IFERROR($V63/$U63, 0)</f>
        <v>0</v>
      </c>
      <c r="Y63" s="1385"/>
      <c r="Z63" s="1097">
        <v>0</v>
      </c>
      <c r="AA63" s="1126">
        <v>0</v>
      </c>
      <c r="AB63" s="948">
        <v>0</v>
      </c>
      <c r="AC63" s="894" t="s">
        <v>233</v>
      </c>
      <c r="AD63" s="939"/>
    </row>
    <row r="64" spans="1:30" ht="24.75" customHeight="1">
      <c r="A64" s="1238" t="s">
        <v>234</v>
      </c>
      <c r="B64" s="1311" t="s">
        <v>221</v>
      </c>
      <c r="C64" s="984">
        <v>46172</v>
      </c>
      <c r="D64" s="985" t="s">
        <v>235</v>
      </c>
      <c r="E64" s="986"/>
      <c r="F64" s="985"/>
      <c r="G64" s="897"/>
      <c r="H64" s="1375">
        <v>402</v>
      </c>
      <c r="I64" s="519" t="s">
        <v>53</v>
      </c>
      <c r="J64" s="961" t="s">
        <v>88</v>
      </c>
      <c r="K64" s="1382" t="s">
        <v>67</v>
      </c>
      <c r="L64" s="986"/>
      <c r="M64" s="1011" t="s">
        <v>68</v>
      </c>
      <c r="N64" s="1329"/>
      <c r="O64" s="1011" t="s">
        <v>68</v>
      </c>
      <c r="P64" s="951" t="s">
        <v>69</v>
      </c>
      <c r="Q64" s="1377"/>
      <c r="R64" s="1377"/>
      <c r="S64" s="1377"/>
      <c r="T64" s="1377"/>
      <c r="U64" s="1378">
        <v>30807</v>
      </c>
      <c r="V64" s="1372"/>
      <c r="W64" s="1372">
        <f>SUM(U64-V64)</f>
        <v>30807</v>
      </c>
      <c r="X64" s="521">
        <f>IFERROR($V64/$U64, 0)</f>
        <v>0</v>
      </c>
      <c r="Y64" s="1377"/>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1">
        <v>0</v>
      </c>
      <c r="I65" s="519" t="s">
        <v>53</v>
      </c>
      <c r="J65" s="961" t="s">
        <v>54</v>
      </c>
      <c r="K65" s="1382"/>
      <c r="L65" s="986"/>
      <c r="M65" s="961" t="s">
        <v>55</v>
      </c>
      <c r="N65" s="1115">
        <v>12316.35</v>
      </c>
      <c r="O65" s="961" t="s">
        <v>55</v>
      </c>
      <c r="P65" s="951" t="s">
        <v>64</v>
      </c>
      <c r="Q65" s="1377">
        <v>46086</v>
      </c>
      <c r="R65" s="1377"/>
      <c r="S65" s="1377"/>
      <c r="T65" s="1377"/>
      <c r="U65" s="1378">
        <v>47</v>
      </c>
      <c r="V65" s="1372"/>
      <c r="W65" s="1372">
        <f>SUM(U65-V65)</f>
        <v>47</v>
      </c>
      <c r="X65" s="521">
        <f>IFERROR($V65/$U65, 0)</f>
        <v>0</v>
      </c>
      <c r="Y65" s="1385"/>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1">
        <v>0</v>
      </c>
      <c r="I66" s="519" t="s">
        <v>53</v>
      </c>
      <c r="J66" s="961" t="s">
        <v>54</v>
      </c>
      <c r="K66" s="1382"/>
      <c r="L66" s="986"/>
      <c r="M66" s="961" t="s">
        <v>55</v>
      </c>
      <c r="N66" s="1115">
        <v>151170.79999999999</v>
      </c>
      <c r="O66" s="961" t="s">
        <v>55</v>
      </c>
      <c r="P66" s="951" t="s">
        <v>64</v>
      </c>
      <c r="Q66" s="1377">
        <v>46086</v>
      </c>
      <c r="R66" s="1377"/>
      <c r="S66" s="1377"/>
      <c r="T66" s="1377"/>
      <c r="U66" s="1378">
        <v>11789</v>
      </c>
      <c r="V66" s="1372"/>
      <c r="W66" s="1372">
        <f>SUM(U66-V66)</f>
        <v>11789</v>
      </c>
      <c r="X66" s="521">
        <f>IFERROR($V66/$U66, 0)</f>
        <v>0</v>
      </c>
      <c r="Y66" s="1385"/>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1">
        <v>0</v>
      </c>
      <c r="I67" s="519" t="s">
        <v>53</v>
      </c>
      <c r="J67" s="961" t="s">
        <v>54</v>
      </c>
      <c r="K67" s="1382"/>
      <c r="L67" s="986"/>
      <c r="M67" s="961" t="s">
        <v>55</v>
      </c>
      <c r="N67" s="1115">
        <v>24122.75</v>
      </c>
      <c r="O67" s="961" t="s">
        <v>55</v>
      </c>
      <c r="P67" s="951" t="s">
        <v>64</v>
      </c>
      <c r="Q67" s="1377">
        <v>46087</v>
      </c>
      <c r="R67" s="1377"/>
      <c r="S67" s="1377"/>
      <c r="T67" s="1377"/>
      <c r="U67" s="1378">
        <v>1925</v>
      </c>
      <c r="V67" s="1372"/>
      <c r="W67" s="1372">
        <f>SUM(U67-V67)</f>
        <v>1925</v>
      </c>
      <c r="X67" s="521">
        <f>IFERROR($V67/$U67, 0)</f>
        <v>0</v>
      </c>
      <c r="Y67" s="1385"/>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1">
        <v>0</v>
      </c>
      <c r="I68" s="519" t="s">
        <v>53</v>
      </c>
      <c r="J68" s="961" t="s">
        <v>54</v>
      </c>
      <c r="K68" s="1382"/>
      <c r="L68" s="986"/>
      <c r="M68" s="961" t="s">
        <v>55</v>
      </c>
      <c r="N68" s="1115">
        <v>26639.1</v>
      </c>
      <c r="O68" s="961" t="s">
        <v>55</v>
      </c>
      <c r="P68" s="951" t="s">
        <v>64</v>
      </c>
      <c r="Q68" s="1377">
        <v>46087</v>
      </c>
      <c r="R68" s="1377"/>
      <c r="S68" s="1377"/>
      <c r="T68" s="1377"/>
      <c r="U68" s="1378">
        <v>2136</v>
      </c>
      <c r="V68" s="1372"/>
      <c r="W68" s="1372">
        <f>SUM(U68-V68)</f>
        <v>2136</v>
      </c>
      <c r="X68" s="521">
        <f>IFERROR($V68/$U68, 0)</f>
        <v>0</v>
      </c>
      <c r="Y68" s="1385"/>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1">
        <v>0</v>
      </c>
      <c r="I69" s="519" t="s">
        <v>53</v>
      </c>
      <c r="J69" s="961" t="s">
        <v>54</v>
      </c>
      <c r="K69" s="1382"/>
      <c r="L69" s="986"/>
      <c r="M69" s="961" t="s">
        <v>55</v>
      </c>
      <c r="N69" s="1115">
        <v>1698.25</v>
      </c>
      <c r="O69" s="961" t="s">
        <v>55</v>
      </c>
      <c r="P69" s="951" t="s">
        <v>64</v>
      </c>
      <c r="Q69" s="1377">
        <v>46087</v>
      </c>
      <c r="R69" s="1377"/>
      <c r="S69" s="1377"/>
      <c r="T69" s="1377"/>
      <c r="U69" s="1378">
        <v>105</v>
      </c>
      <c r="V69" s="1372"/>
      <c r="W69" s="1372">
        <f>SUM(U69-V69)</f>
        <v>105</v>
      </c>
      <c r="X69" s="521">
        <f>IFERROR($V69/$U69, 0)</f>
        <v>0</v>
      </c>
      <c r="Y69" s="1385"/>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1">
        <v>0</v>
      </c>
      <c r="I70" s="519" t="s">
        <v>53</v>
      </c>
      <c r="J70" s="961" t="s">
        <v>88</v>
      </c>
      <c r="K70" s="1382" t="s">
        <v>67</v>
      </c>
      <c r="L70" s="986"/>
      <c r="M70" s="961" t="s">
        <v>68</v>
      </c>
      <c r="N70" s="1115">
        <v>5779.1</v>
      </c>
      <c r="O70" s="961" t="s">
        <v>55</v>
      </c>
      <c r="P70" s="951" t="s">
        <v>69</v>
      </c>
      <c r="Q70" s="1377"/>
      <c r="R70" s="1377"/>
      <c r="S70" s="1377"/>
      <c r="T70" s="1377"/>
      <c r="U70" s="1378">
        <v>406</v>
      </c>
      <c r="V70" s="1372"/>
      <c r="W70" s="1372">
        <f>SUM(U70-V70)</f>
        <v>406</v>
      </c>
      <c r="X70" s="521">
        <f>IFERROR($V70/$U70, 0)</f>
        <v>0</v>
      </c>
      <c r="Y70" s="1385"/>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1">
        <v>0</v>
      </c>
      <c r="I71" s="519" t="s">
        <v>53</v>
      </c>
      <c r="J71" s="961" t="s">
        <v>54</v>
      </c>
      <c r="K71" s="1382"/>
      <c r="L71" s="986"/>
      <c r="M71" s="961" t="s">
        <v>55</v>
      </c>
      <c r="N71" s="1115">
        <v>6808.8</v>
      </c>
      <c r="O71" s="961" t="s">
        <v>55</v>
      </c>
      <c r="P71" s="951" t="s">
        <v>64</v>
      </c>
      <c r="Q71" s="1377">
        <v>46087</v>
      </c>
      <c r="R71" s="1377"/>
      <c r="S71" s="1377"/>
      <c r="T71" s="1377"/>
      <c r="U71" s="1378">
        <v>508</v>
      </c>
      <c r="V71" s="1372"/>
      <c r="W71" s="1372">
        <f>SUM(U71-V71)</f>
        <v>508</v>
      </c>
      <c r="X71" s="521">
        <f>IFERROR($V71/$U71, 0)</f>
        <v>0</v>
      </c>
      <c r="Y71" s="1385"/>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1">
        <v>0</v>
      </c>
      <c r="I72" s="519" t="s">
        <v>53</v>
      </c>
      <c r="J72" s="961" t="s">
        <v>88</v>
      </c>
      <c r="K72" s="1382"/>
      <c r="L72" s="986"/>
      <c r="M72" s="961" t="s">
        <v>55</v>
      </c>
      <c r="N72" s="1115">
        <v>9496.2000000000007</v>
      </c>
      <c r="O72" s="961" t="s">
        <v>55</v>
      </c>
      <c r="P72" s="951" t="s">
        <v>64</v>
      </c>
      <c r="Q72" s="1377">
        <v>46087</v>
      </c>
      <c r="R72" s="1377"/>
      <c r="S72" s="1377"/>
      <c r="T72" s="1377"/>
      <c r="U72" s="1378">
        <v>742</v>
      </c>
      <c r="V72" s="1372"/>
      <c r="W72" s="1372">
        <f>SUM(U72-V72)</f>
        <v>742</v>
      </c>
      <c r="X72" s="521">
        <f>IFERROR($V72/$U72, 0)</f>
        <v>0</v>
      </c>
      <c r="Y72" s="1385"/>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1">
        <v>0</v>
      </c>
      <c r="I73" s="519" t="s">
        <v>53</v>
      </c>
      <c r="J73" s="961" t="s">
        <v>88</v>
      </c>
      <c r="K73" s="1382" t="s">
        <v>67</v>
      </c>
      <c r="L73" s="986"/>
      <c r="M73" s="961" t="s">
        <v>68</v>
      </c>
      <c r="N73" s="1115">
        <v>16760.150000000001</v>
      </c>
      <c r="O73" s="961" t="s">
        <v>55</v>
      </c>
      <c r="P73" s="951" t="s">
        <v>69</v>
      </c>
      <c r="Q73" s="1377"/>
      <c r="R73" s="1377"/>
      <c r="S73" s="1377"/>
      <c r="T73" s="1377"/>
      <c r="U73" s="1378">
        <v>1329</v>
      </c>
      <c r="V73" s="1372"/>
      <c r="W73" s="1372">
        <f>SUM(U73-V73)</f>
        <v>1329</v>
      </c>
      <c r="X73" s="521">
        <f>IFERROR($V73/$U73, 0)</f>
        <v>0</v>
      </c>
      <c r="Y73" s="1385"/>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1">
        <v>0</v>
      </c>
      <c r="I74" s="519" t="s">
        <v>53</v>
      </c>
      <c r="J74" s="961" t="s">
        <v>88</v>
      </c>
      <c r="K74" s="1382" t="s">
        <v>67</v>
      </c>
      <c r="L74" s="986"/>
      <c r="M74" s="961" t="s">
        <v>68</v>
      </c>
      <c r="N74" s="1115">
        <v>14178.2</v>
      </c>
      <c r="O74" s="961" t="s">
        <v>55</v>
      </c>
      <c r="P74" s="951" t="s">
        <v>69</v>
      </c>
      <c r="Q74" s="1377"/>
      <c r="R74" s="1377"/>
      <c r="S74" s="1377"/>
      <c r="T74" s="1377"/>
      <c r="U74" s="1378">
        <v>1124</v>
      </c>
      <c r="V74" s="1372"/>
      <c r="W74" s="1372">
        <f>SUM(U74-V74)</f>
        <v>1124</v>
      </c>
      <c r="X74" s="521">
        <f>IFERROR($V74/$U74, 0)</f>
        <v>0</v>
      </c>
      <c r="Y74" s="1385"/>
      <c r="Z74" s="1097">
        <v>0</v>
      </c>
      <c r="AA74" s="1126">
        <v>0</v>
      </c>
      <c r="AB74" s="948">
        <v>0</v>
      </c>
      <c r="AC74" s="894" t="s">
        <v>250</v>
      </c>
      <c r="AD74" s="939"/>
    </row>
    <row r="75" spans="1:31" ht="24.75" customHeight="1">
      <c r="A75" s="983" t="s">
        <v>259</v>
      </c>
      <c r="B75" s="1312" t="s">
        <v>237</v>
      </c>
      <c r="C75" s="984">
        <v>46111</v>
      </c>
      <c r="D75" s="985"/>
      <c r="E75" s="986"/>
      <c r="F75" s="897"/>
      <c r="G75" s="897"/>
      <c r="H75" s="1381">
        <v>0</v>
      </c>
      <c r="I75" s="519" t="s">
        <v>53</v>
      </c>
      <c r="J75" s="961" t="s">
        <v>88</v>
      </c>
      <c r="K75" s="1382" t="s">
        <v>67</v>
      </c>
      <c r="L75" s="986"/>
      <c r="M75" s="961" t="s">
        <v>68</v>
      </c>
      <c r="N75" s="1115"/>
      <c r="O75" s="961" t="s">
        <v>68</v>
      </c>
      <c r="P75" s="951" t="s">
        <v>69</v>
      </c>
      <c r="Q75" s="1377"/>
      <c r="R75" s="1377"/>
      <c r="S75" s="1377"/>
      <c r="T75" s="1377"/>
      <c r="U75" s="1383"/>
      <c r="V75" s="1384"/>
      <c r="W75" s="1384">
        <f>SUM(U75-V75)</f>
        <v>0</v>
      </c>
      <c r="X75" s="687">
        <f>IFERROR($V75/$U75, 0)</f>
        <v>0</v>
      </c>
      <c r="Y75" s="1385"/>
      <c r="Z75" s="1097">
        <v>0</v>
      </c>
      <c r="AA75" s="1126">
        <v>0</v>
      </c>
      <c r="AB75" s="948">
        <v>0</v>
      </c>
      <c r="AC75" s="894" t="s">
        <v>260</v>
      </c>
      <c r="AD75" s="939"/>
    </row>
    <row r="76" spans="1:31" ht="24.75" customHeight="1">
      <c r="A76" s="983" t="s">
        <v>261</v>
      </c>
      <c r="B76" s="1312" t="s">
        <v>237</v>
      </c>
      <c r="C76" s="984">
        <v>46111</v>
      </c>
      <c r="D76" s="985"/>
      <c r="E76" s="986"/>
      <c r="F76" s="897"/>
      <c r="G76" s="897"/>
      <c r="H76" s="1381">
        <v>0</v>
      </c>
      <c r="I76" s="519" t="s">
        <v>53</v>
      </c>
      <c r="J76" s="961" t="s">
        <v>88</v>
      </c>
      <c r="K76" s="1382" t="s">
        <v>67</v>
      </c>
      <c r="L76" s="986"/>
      <c r="M76" s="961" t="s">
        <v>68</v>
      </c>
      <c r="N76" s="1115"/>
      <c r="O76" s="961" t="s">
        <v>68</v>
      </c>
      <c r="P76" s="951" t="s">
        <v>69</v>
      </c>
      <c r="Q76" s="1377"/>
      <c r="R76" s="1377"/>
      <c r="S76" s="1377"/>
      <c r="T76" s="1377"/>
      <c r="U76" s="1383"/>
      <c r="V76" s="1384"/>
      <c r="W76" s="1384">
        <f>SUM(U76-V76)</f>
        <v>0</v>
      </c>
      <c r="X76" s="516">
        <f>IFERROR($V76/$U76, 0)</f>
        <v>0</v>
      </c>
      <c r="Y76" s="1386"/>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933">
        <v>8255</v>
      </c>
      <c r="W80" s="933">
        <f>SUM(U80-V80)</f>
        <v>2508</v>
      </c>
      <c r="X80" s="699">
        <f>IFERROR($V80/$U80, 0)</f>
        <v>0.7669794666914429</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7"/>
      <c r="R84" s="1001"/>
      <c r="S84" s="1001"/>
      <c r="T84" s="1001"/>
      <c r="U84" s="970">
        <v>4564</v>
      </c>
      <c r="V84" s="933"/>
      <c r="W84" s="970">
        <v>4564</v>
      </c>
      <c r="X84" s="864"/>
      <c r="Y84" s="1388"/>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7"/>
      <c r="R85" s="1001"/>
      <c r="S85" s="1001"/>
      <c r="T85" s="1001"/>
      <c r="U85" s="970">
        <v>5936</v>
      </c>
      <c r="V85" s="933"/>
      <c r="W85" s="970">
        <v>5936</v>
      </c>
      <c r="X85" s="864"/>
      <c r="Y85" s="1388"/>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7"/>
      <c r="R86" s="1001"/>
      <c r="S86" s="1001"/>
      <c r="T86" s="1001"/>
      <c r="U86" s="970">
        <v>7117</v>
      </c>
      <c r="V86" s="933"/>
      <c r="W86" s="970">
        <v>7117</v>
      </c>
      <c r="X86" s="864"/>
      <c r="Y86" s="1388"/>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7"/>
      <c r="R87" s="1001"/>
      <c r="S87" s="1001"/>
      <c r="T87" s="1001"/>
      <c r="U87" s="970">
        <v>9590</v>
      </c>
      <c r="V87" s="933"/>
      <c r="W87" s="970">
        <v>9590</v>
      </c>
      <c r="X87" s="864"/>
      <c r="Y87" s="1388"/>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7"/>
      <c r="R88" s="1001"/>
      <c r="S88" s="1001"/>
      <c r="T88" s="1001"/>
      <c r="U88" s="970">
        <v>9329</v>
      </c>
      <c r="V88" s="933"/>
      <c r="W88" s="970">
        <v>9329</v>
      </c>
      <c r="X88" s="864"/>
      <c r="Y88" s="1388"/>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7"/>
      <c r="R89" s="1001"/>
      <c r="S89" s="1001"/>
      <c r="T89" s="1001"/>
      <c r="U89" s="970">
        <v>9709</v>
      </c>
      <c r="V89" s="933"/>
      <c r="W89" s="970">
        <v>9709</v>
      </c>
      <c r="X89" s="864"/>
      <c r="Y89" s="1388"/>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7"/>
      <c r="R90" s="1001"/>
      <c r="S90" s="1001"/>
      <c r="T90" s="1001"/>
      <c r="U90" s="970">
        <v>9263</v>
      </c>
      <c r="V90" s="933"/>
      <c r="W90" s="970">
        <v>9263</v>
      </c>
      <c r="X90" s="864"/>
      <c r="Y90" s="1388"/>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7"/>
      <c r="R91" s="1001"/>
      <c r="S91" s="1001"/>
      <c r="T91" s="1001"/>
      <c r="U91" s="970">
        <v>10385</v>
      </c>
      <c r="V91" s="933"/>
      <c r="W91" s="970">
        <v>10385</v>
      </c>
      <c r="X91" s="864"/>
      <c r="Y91" s="1388"/>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7"/>
      <c r="R92" s="1001"/>
      <c r="S92" s="1001"/>
      <c r="T92" s="1001"/>
      <c r="U92" s="970">
        <v>9398</v>
      </c>
      <c r="V92" s="933"/>
      <c r="W92" s="970">
        <v>9398</v>
      </c>
      <c r="X92" s="864"/>
      <c r="Y92" s="1388"/>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7"/>
      <c r="R93" s="1001"/>
      <c r="S93" s="1001"/>
      <c r="T93" s="1001"/>
      <c r="U93" s="970">
        <v>7517</v>
      </c>
      <c r="V93" s="933"/>
      <c r="W93" s="970">
        <v>7517</v>
      </c>
      <c r="X93" s="864"/>
      <c r="Y93" s="1388"/>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7"/>
      <c r="R94" s="1001"/>
      <c r="S94" s="1001"/>
      <c r="T94" s="1001"/>
      <c r="U94" s="970">
        <v>5920</v>
      </c>
      <c r="V94" s="933"/>
      <c r="W94" s="970">
        <v>5920</v>
      </c>
      <c r="X94" s="864"/>
      <c r="Y94" s="1388"/>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7"/>
      <c r="R95" s="1001"/>
      <c r="S95" s="1001"/>
      <c r="T95" s="1001"/>
      <c r="U95" s="970">
        <v>5589</v>
      </c>
      <c r="V95" s="933"/>
      <c r="W95" s="970">
        <v>5589</v>
      </c>
      <c r="X95" s="864"/>
      <c r="Y95" s="1388"/>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7"/>
      <c r="R96" s="1001"/>
      <c r="S96" s="1001"/>
      <c r="T96" s="1001"/>
      <c r="U96" s="970">
        <v>5515</v>
      </c>
      <c r="V96" s="933"/>
      <c r="W96" s="970">
        <v>5515</v>
      </c>
      <c r="X96" s="864"/>
      <c r="Y96" s="1388"/>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7"/>
      <c r="R97" s="1001"/>
      <c r="S97" s="1001"/>
      <c r="T97" s="1001"/>
      <c r="U97" s="970">
        <v>5191</v>
      </c>
      <c r="V97" s="933"/>
      <c r="W97" s="970">
        <v>5191</v>
      </c>
      <c r="X97" s="864"/>
      <c r="Y97" s="1388"/>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7"/>
      <c r="R98" s="1001"/>
      <c r="S98" s="1001"/>
      <c r="T98" s="1001"/>
      <c r="U98" s="970">
        <v>5620</v>
      </c>
      <c r="V98" s="933"/>
      <c r="W98" s="970">
        <v>5620</v>
      </c>
      <c r="X98" s="864"/>
      <c r="Y98" s="1388"/>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7"/>
      <c r="R99" s="1001"/>
      <c r="S99" s="1001"/>
      <c r="T99" s="1001"/>
      <c r="U99" s="970">
        <v>6864</v>
      </c>
      <c r="V99" s="933"/>
      <c r="W99" s="970">
        <v>6864</v>
      </c>
      <c r="X99" s="864"/>
      <c r="Y99" s="1388"/>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7"/>
      <c r="R100" s="1001"/>
      <c r="S100" s="1001"/>
      <c r="T100" s="1001"/>
      <c r="U100" s="970">
        <v>6461</v>
      </c>
      <c r="V100" s="933"/>
      <c r="W100" s="970">
        <v>6461</v>
      </c>
      <c r="X100" s="864"/>
      <c r="Y100" s="1388"/>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7"/>
      <c r="R101" s="1001"/>
      <c r="S101" s="1001"/>
      <c r="T101" s="1001"/>
      <c r="U101" s="970">
        <v>2790</v>
      </c>
      <c r="V101" s="933"/>
      <c r="W101" s="970">
        <v>2790</v>
      </c>
      <c r="X101" s="864"/>
      <c r="Y101" s="1388"/>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7"/>
      <c r="R102" s="1001"/>
      <c r="S102" s="1001"/>
      <c r="T102" s="1001"/>
      <c r="U102" s="970">
        <v>7368</v>
      </c>
      <c r="V102" s="933"/>
      <c r="W102" s="970">
        <v>7368</v>
      </c>
      <c r="X102" s="864"/>
      <c r="Y102" s="1388"/>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7"/>
      <c r="R103" s="1001"/>
      <c r="S103" s="1001"/>
      <c r="T103" s="1001"/>
      <c r="U103" s="970">
        <v>7844</v>
      </c>
      <c r="V103" s="933"/>
      <c r="W103" s="970">
        <v>7844</v>
      </c>
      <c r="X103" s="864"/>
      <c r="Y103" s="1388"/>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7"/>
      <c r="R104" s="1001"/>
      <c r="S104" s="1001"/>
      <c r="T104" s="1001"/>
      <c r="U104" s="970">
        <v>8148</v>
      </c>
      <c r="V104" s="933"/>
      <c r="W104" s="970">
        <v>8148</v>
      </c>
      <c r="X104" s="864"/>
      <c r="Y104" s="1388"/>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7"/>
      <c r="R105" s="1001"/>
      <c r="S105" s="1001"/>
      <c r="T105" s="1001"/>
      <c r="U105" s="970">
        <v>6829</v>
      </c>
      <c r="V105" s="933"/>
      <c r="W105" s="970">
        <v>6829</v>
      </c>
      <c r="X105" s="864"/>
      <c r="Y105" s="1388"/>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7"/>
      <c r="R106" s="1001"/>
      <c r="S106" s="1001"/>
      <c r="T106" s="1001"/>
      <c r="U106" s="970">
        <v>6157</v>
      </c>
      <c r="V106" s="933"/>
      <c r="W106" s="970">
        <v>6157</v>
      </c>
      <c r="X106" s="864"/>
      <c r="Y106" s="1388"/>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7"/>
      <c r="R107" s="1001"/>
      <c r="S107" s="1001"/>
      <c r="T107" s="1001"/>
      <c r="U107" s="970">
        <v>9537</v>
      </c>
      <c r="V107" s="933"/>
      <c r="W107" s="970">
        <v>9537</v>
      </c>
      <c r="X107" s="864"/>
      <c r="Y107" s="1388"/>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7"/>
      <c r="R108" s="1001"/>
      <c r="S108" s="1001"/>
      <c r="T108" s="1001"/>
      <c r="U108" s="970">
        <v>6796</v>
      </c>
      <c r="V108" s="933"/>
      <c r="W108" s="970">
        <v>6796</v>
      </c>
      <c r="X108" s="864"/>
      <c r="Y108" s="1388"/>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7"/>
      <c r="R109" s="1001"/>
      <c r="S109" s="1001"/>
      <c r="T109" s="1001"/>
      <c r="U109" s="970">
        <v>6149</v>
      </c>
      <c r="V109" s="933"/>
      <c r="W109" s="970">
        <v>6149</v>
      </c>
      <c r="X109" s="864"/>
      <c r="Y109" s="1388"/>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7"/>
      <c r="R110" s="1001"/>
      <c r="S110" s="1001"/>
      <c r="T110" s="1001"/>
      <c r="U110" s="970">
        <v>6284</v>
      </c>
      <c r="V110" s="933"/>
      <c r="W110" s="970">
        <v>6284</v>
      </c>
      <c r="X110" s="864"/>
      <c r="Y110" s="1388"/>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7"/>
      <c r="R111" s="1001"/>
      <c r="S111" s="1001"/>
      <c r="T111" s="1001"/>
      <c r="U111" s="970">
        <v>7743</v>
      </c>
      <c r="V111" s="933"/>
      <c r="W111" s="970">
        <v>7743</v>
      </c>
      <c r="X111" s="864"/>
      <c r="Y111" s="1388"/>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7"/>
      <c r="R112" s="1001"/>
      <c r="S112" s="1001"/>
      <c r="T112" s="1001"/>
      <c r="U112" s="970">
        <v>6932</v>
      </c>
      <c r="V112" s="933"/>
      <c r="W112" s="970">
        <v>6932</v>
      </c>
      <c r="X112" s="864"/>
      <c r="Y112" s="1388"/>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7"/>
      <c r="R113" s="1001"/>
      <c r="S113" s="1001"/>
      <c r="T113" s="1001"/>
      <c r="U113" s="970">
        <v>6213</v>
      </c>
      <c r="V113" s="933"/>
      <c r="W113" s="970">
        <v>6213</v>
      </c>
      <c r="X113" s="864"/>
      <c r="Y113" s="1388"/>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7"/>
      <c r="R114" s="1001"/>
      <c r="S114" s="1001"/>
      <c r="T114" s="1001"/>
      <c r="U114" s="970">
        <v>4339</v>
      </c>
      <c r="V114" s="933"/>
      <c r="W114" s="970">
        <v>4339</v>
      </c>
      <c r="X114" s="864"/>
      <c r="Y114" s="1388"/>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7"/>
      <c r="R115" s="1001"/>
      <c r="S115" s="1001"/>
      <c r="T115" s="1001"/>
      <c r="U115" s="970">
        <v>3940</v>
      </c>
      <c r="V115" s="933"/>
      <c r="W115" s="970">
        <v>3940</v>
      </c>
      <c r="X115" s="864"/>
      <c r="Y115" s="1388"/>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7"/>
      <c r="R116" s="1001"/>
      <c r="S116" s="1001"/>
      <c r="T116" s="1001"/>
      <c r="U116" s="970">
        <v>6855</v>
      </c>
      <c r="V116" s="933"/>
      <c r="W116" s="970">
        <v>6855</v>
      </c>
      <c r="X116" s="864"/>
      <c r="Y116" s="1388"/>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7"/>
      <c r="R117" s="1001"/>
      <c r="S117" s="1001"/>
      <c r="T117" s="1001"/>
      <c r="U117" s="970">
        <v>7147</v>
      </c>
      <c r="V117" s="933"/>
      <c r="W117" s="970">
        <v>7147</v>
      </c>
      <c r="X117" s="864"/>
      <c r="Y117" s="1388"/>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7"/>
      <c r="R118" s="1001"/>
      <c r="S118" s="1001"/>
      <c r="T118" s="1001"/>
      <c r="U118" s="970">
        <v>6376</v>
      </c>
      <c r="V118" s="933"/>
      <c r="W118" s="970">
        <v>6376</v>
      </c>
      <c r="X118" s="864"/>
      <c r="Y118" s="1388"/>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7"/>
      <c r="R119" s="1001"/>
      <c r="S119" s="1001"/>
      <c r="T119" s="1001"/>
      <c r="U119" s="970">
        <v>4784</v>
      </c>
      <c r="V119" s="933"/>
      <c r="W119" s="970">
        <v>4784</v>
      </c>
      <c r="X119" s="864"/>
      <c r="Y119" s="1388"/>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7"/>
      <c r="R120" s="1001"/>
      <c r="S120" s="1001"/>
      <c r="T120" s="1001"/>
      <c r="U120" s="970">
        <v>6387</v>
      </c>
      <c r="V120" s="933"/>
      <c r="W120" s="970">
        <v>6387</v>
      </c>
      <c r="X120" s="864"/>
      <c r="Y120" s="1388"/>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7"/>
      <c r="R121" s="1001"/>
      <c r="S121" s="1001"/>
      <c r="T121" s="1001"/>
      <c r="U121" s="970">
        <v>6372</v>
      </c>
      <c r="V121" s="933"/>
      <c r="W121" s="970">
        <v>6372</v>
      </c>
      <c r="X121" s="864"/>
      <c r="Y121" s="1388"/>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7"/>
      <c r="R122" s="1001"/>
      <c r="S122" s="1001"/>
      <c r="T122" s="1001"/>
      <c r="U122" s="970">
        <v>5363</v>
      </c>
      <c r="V122" s="933"/>
      <c r="W122" s="970">
        <v>5363</v>
      </c>
      <c r="X122" s="864"/>
      <c r="Y122" s="1388"/>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7"/>
      <c r="R123" s="1001"/>
      <c r="S123" s="1001"/>
      <c r="T123" s="1001"/>
      <c r="U123" s="970">
        <v>5199</v>
      </c>
      <c r="V123" s="933"/>
      <c r="W123" s="970">
        <v>5199</v>
      </c>
      <c r="X123" s="864"/>
      <c r="Y123" s="1388"/>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7"/>
      <c r="R124" s="1001"/>
      <c r="S124" s="1001"/>
      <c r="T124" s="1001"/>
      <c r="U124" s="970">
        <v>9771</v>
      </c>
      <c r="V124" s="933"/>
      <c r="W124" s="970">
        <v>9771</v>
      </c>
      <c r="X124" s="864"/>
      <c r="Y124" s="1388"/>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7"/>
      <c r="R125" s="1001"/>
      <c r="S125" s="1001"/>
      <c r="T125" s="1001"/>
      <c r="U125" s="970">
        <v>9562</v>
      </c>
      <c r="V125" s="933"/>
      <c r="W125" s="970">
        <v>9562</v>
      </c>
      <c r="X125" s="864"/>
      <c r="Y125" s="1388"/>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7"/>
      <c r="R126" s="1001"/>
      <c r="S126" s="1001"/>
      <c r="T126" s="1001"/>
      <c r="U126" s="970">
        <v>6309</v>
      </c>
      <c r="V126" s="933"/>
      <c r="W126" s="970">
        <v>6309</v>
      </c>
      <c r="X126" s="864"/>
      <c r="Y126" s="1388"/>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7"/>
      <c r="R127" s="1001"/>
      <c r="S127" s="1001"/>
      <c r="T127" s="1001"/>
      <c r="U127" s="970">
        <v>10260</v>
      </c>
      <c r="V127" s="933"/>
      <c r="W127" s="970">
        <v>10260</v>
      </c>
      <c r="X127" s="864"/>
      <c r="Y127" s="1388"/>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7"/>
      <c r="R128" s="1001"/>
      <c r="S128" s="1001"/>
      <c r="T128" s="1001"/>
      <c r="U128" s="970">
        <v>10080</v>
      </c>
      <c r="V128" s="933"/>
      <c r="W128" s="970">
        <v>10080</v>
      </c>
      <c r="X128" s="864"/>
      <c r="Y128" s="1388"/>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7"/>
      <c r="R129" s="1001"/>
      <c r="S129" s="1001"/>
      <c r="T129" s="1001"/>
      <c r="U129" s="970">
        <v>6859</v>
      </c>
      <c r="V129" s="933"/>
      <c r="W129" s="970">
        <v>6859</v>
      </c>
      <c r="X129" s="864"/>
      <c r="Y129" s="1388"/>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7"/>
      <c r="R130" s="1001"/>
      <c r="S130" s="1001"/>
      <c r="T130" s="1001"/>
      <c r="U130" s="970">
        <v>5873</v>
      </c>
      <c r="V130" s="933"/>
      <c r="W130" s="970">
        <v>5873</v>
      </c>
      <c r="X130" s="864"/>
      <c r="Y130" s="1388"/>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7"/>
      <c r="R131" s="1001"/>
      <c r="S131" s="1001"/>
      <c r="T131" s="1001"/>
      <c r="U131" s="970">
        <v>4945</v>
      </c>
      <c r="V131" s="933"/>
      <c r="W131" s="970">
        <v>4945</v>
      </c>
      <c r="X131" s="864"/>
      <c r="Y131" s="1388"/>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7"/>
      <c r="R132" s="1001"/>
      <c r="S132" s="1001"/>
      <c r="T132" s="1001"/>
      <c r="U132" s="970">
        <v>4275</v>
      </c>
      <c r="V132" s="933"/>
      <c r="W132" s="970">
        <v>4275</v>
      </c>
      <c r="X132" s="864"/>
      <c r="Y132" s="1388"/>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7"/>
      <c r="R133" s="1001"/>
      <c r="S133" s="1001"/>
      <c r="T133" s="1001"/>
      <c r="U133" s="970">
        <v>6378</v>
      </c>
      <c r="V133" s="933"/>
      <c r="W133" s="970">
        <v>6378</v>
      </c>
      <c r="X133" s="864"/>
      <c r="Y133" s="1388"/>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7"/>
      <c r="R134" s="1001"/>
      <c r="S134" s="1001"/>
      <c r="T134" s="1001"/>
      <c r="U134" s="970">
        <v>7373</v>
      </c>
      <c r="V134" s="933"/>
      <c r="W134" s="970">
        <v>7373</v>
      </c>
      <c r="X134" s="864"/>
      <c r="Y134" s="1388"/>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7"/>
      <c r="R135" s="1001"/>
      <c r="S135" s="1001"/>
      <c r="T135" s="1001"/>
      <c r="U135" s="970">
        <v>5781</v>
      </c>
      <c r="V135" s="933"/>
      <c r="W135" s="970">
        <v>5781</v>
      </c>
      <c r="X135" s="864"/>
      <c r="Y135" s="1388"/>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7"/>
      <c r="R136" s="1001"/>
      <c r="S136" s="1001"/>
      <c r="T136" s="1001"/>
      <c r="U136" s="970">
        <v>9051</v>
      </c>
      <c r="V136" s="933"/>
      <c r="W136" s="970">
        <v>9051</v>
      </c>
      <c r="X136" s="864"/>
      <c r="Y136" s="1388"/>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7"/>
      <c r="R137" s="1001"/>
      <c r="S137" s="1001"/>
      <c r="T137" s="1001"/>
      <c r="U137" s="970">
        <v>7261</v>
      </c>
      <c r="V137" s="933"/>
      <c r="W137" s="970">
        <v>7261</v>
      </c>
      <c r="X137" s="864"/>
      <c r="Y137" s="1388"/>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7"/>
      <c r="R138" s="1001"/>
      <c r="S138" s="1001"/>
      <c r="T138" s="1001"/>
      <c r="U138" s="970">
        <v>9638</v>
      </c>
      <c r="V138" s="933"/>
      <c r="W138" s="970">
        <v>9638</v>
      </c>
      <c r="X138" s="864"/>
      <c r="Y138" s="1388"/>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7"/>
      <c r="R139" s="1001"/>
      <c r="S139" s="1001"/>
      <c r="T139" s="1001"/>
      <c r="U139" s="970">
        <v>8746</v>
      </c>
      <c r="V139" s="933"/>
      <c r="W139" s="970">
        <v>8746</v>
      </c>
      <c r="X139" s="864"/>
      <c r="Y139" s="1388"/>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7"/>
      <c r="R141" s="1001"/>
      <c r="S141" s="1001"/>
      <c r="T141" s="1001"/>
      <c r="U141" s="1107"/>
      <c r="V141" s="933"/>
      <c r="W141" s="1107"/>
      <c r="X141" s="864"/>
      <c r="Y141" s="1388"/>
      <c r="Z141" s="1389"/>
      <c r="AA141" s="1389"/>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7"/>
      <c r="R152" s="1001"/>
      <c r="S152" s="1001"/>
      <c r="T152" s="1001"/>
      <c r="U152" s="933">
        <v>8641</v>
      </c>
      <c r="V152" s="1384"/>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0"/>
      <c r="R153" s="1003"/>
      <c r="S153" s="1003"/>
      <c r="T153" s="1003"/>
      <c r="U153" s="1005">
        <v>7502</v>
      </c>
      <c r="V153" s="1391"/>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1"/>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5">
        <v>109</v>
      </c>
      <c r="I9" s="662" t="s">
        <v>83</v>
      </c>
      <c r="J9" s="665" t="s">
        <v>54</v>
      </c>
      <c r="K9" s="1369"/>
      <c r="L9" s="986">
        <v>45663</v>
      </c>
      <c r="M9" s="898" t="s">
        <v>55</v>
      </c>
      <c r="N9" s="1376">
        <v>123587.5</v>
      </c>
      <c r="O9" s="1375" t="s">
        <v>55</v>
      </c>
      <c r="P9" s="1392" t="s">
        <v>84</v>
      </c>
      <c r="Q9" s="1377">
        <v>46008</v>
      </c>
      <c r="R9" s="1377"/>
      <c r="S9" s="1377"/>
      <c r="T9" s="1377"/>
      <c r="U9" s="1378">
        <v>6825</v>
      </c>
      <c r="V9" s="1393">
        <v>6575</v>
      </c>
      <c r="W9" s="1372">
        <f>SUM(U9-V9)</f>
        <v>250</v>
      </c>
      <c r="X9" s="521">
        <f>IFERROR($V9/$U9, 0)</f>
        <v>0.96336996336996339</v>
      </c>
      <c r="Y9" s="1377">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69">
        <v>0</v>
      </c>
      <c r="I71" s="520" t="s">
        <v>83</v>
      </c>
      <c r="J71" s="1369" t="s">
        <v>54</v>
      </c>
      <c r="K71" s="984" t="s">
        <v>98</v>
      </c>
      <c r="L71" s="1369" t="s">
        <v>55</v>
      </c>
      <c r="M71" s="1394">
        <v>15670.45</v>
      </c>
      <c r="N71" s="346">
        <v>12965</v>
      </c>
      <c r="O71" s="1369" t="s">
        <v>55</v>
      </c>
      <c r="P71" s="1395" t="s">
        <v>84</v>
      </c>
      <c r="Q71" s="1371">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8" t="s">
        <v>54</v>
      </c>
      <c r="K302" s="43"/>
      <c r="L302" s="691" t="s">
        <v>62</v>
      </c>
      <c r="M302" s="765" t="s">
        <v>55</v>
      </c>
      <c r="N302" s="1399">
        <v>1035</v>
      </c>
      <c r="O302" s="945" t="s">
        <v>55</v>
      </c>
      <c r="P302" s="1295" t="s">
        <v>84</v>
      </c>
      <c r="Q302" s="1400">
        <v>46030</v>
      </c>
      <c r="R302" s="258" t="s">
        <v>98</v>
      </c>
      <c r="S302" s="258" t="s">
        <v>98</v>
      </c>
      <c r="T302" s="258" t="s">
        <v>98</v>
      </c>
      <c r="U302" s="36"/>
      <c r="V302" s="1401">
        <v>0</v>
      </c>
      <c r="W302" s="1402">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19886</v>
      </c>
      <c r="Q9" s="1368">
        <v>8220</v>
      </c>
      <c r="R9" s="1368">
        <v>35294</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143313</v>
      </c>
      <c r="Q13" s="1368">
        <v>113546</v>
      </c>
      <c r="R13" s="1368">
        <v>307757</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c r="C1380" s="1368"/>
    </row>
    <row r="1381" spans="1:3">
      <c r="A1381" t="s">
        <v>81</v>
      </c>
      <c r="B1381" s="1368">
        <v>1561</v>
      </c>
      <c r="C1381" s="1368">
        <v>1561</v>
      </c>
    </row>
    <row r="1382" spans="1:3">
      <c r="A1382" t="s">
        <v>151</v>
      </c>
      <c r="B1382" s="1368"/>
      <c r="C1382" s="1368"/>
    </row>
    <row r="1383" spans="1:3">
      <c r="A1383" t="s">
        <v>206</v>
      </c>
      <c r="B1383" s="1368">
        <v>1146</v>
      </c>
      <c r="C1383" s="1368">
        <v>1146</v>
      </c>
    </row>
    <row r="1384" spans="1:3">
      <c r="A1384" t="s">
        <v>208</v>
      </c>
      <c r="B1384" s="1368"/>
      <c r="C1384" s="1368"/>
    </row>
    <row r="1385" spans="1:3">
      <c r="A1385" t="s">
        <v>1376</v>
      </c>
      <c r="B1385" s="1368"/>
      <c r="C1385" s="1368"/>
    </row>
    <row r="1386" spans="1:3">
      <c r="A1386" t="s">
        <v>1256</v>
      </c>
      <c r="B1386" s="1368">
        <v>2707</v>
      </c>
      <c r="C1386" s="1368">
        <v>2707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E2768" sqref="E276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G2759" t="s">
        <v>1309</v>
      </c>
    </row>
    <row r="2760" spans="1:7">
      <c r="A2760" s="745" t="s">
        <v>206</v>
      </c>
      <c r="B2760" s="745" t="s">
        <v>129</v>
      </c>
      <c r="C2760" s="24">
        <v>46090</v>
      </c>
      <c r="D2760" s="92">
        <v>1146</v>
      </c>
      <c r="G2760" t="s">
        <v>1309</v>
      </c>
    </row>
    <row r="2761" spans="1:7">
      <c r="A2761" s="745" t="s">
        <v>208</v>
      </c>
      <c r="B2761" s="745" t="s">
        <v>1312</v>
      </c>
      <c r="C2761" s="24">
        <v>46090</v>
      </c>
      <c r="G2761" t="s">
        <v>1309</v>
      </c>
    </row>
    <row r="2762" spans="1:7">
      <c r="A2762" s="745" t="s">
        <v>1376</v>
      </c>
      <c r="B2762" s="745" t="s">
        <v>371</v>
      </c>
      <c r="C2762" s="24">
        <v>46090</v>
      </c>
      <c r="G2762" t="s">
        <v>1309</v>
      </c>
    </row>
    <row r="2763" spans="1:7">
      <c r="A2763" s="607" t="s">
        <v>1375</v>
      </c>
      <c r="B2763" s="607" t="s">
        <v>1977</v>
      </c>
      <c r="C2763" s="24">
        <v>46090</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1254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0</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8255</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5FC8FC1-237C-4D7F-982E-BA09A12222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2026-03-09T21:23:05Z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