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79" documentId="8_{E14B221E-02E2-46A3-8CEC-C736815F2DD5}" xr6:coauthVersionLast="47" xr6:coauthVersionMax="47" xr10:uidLastSave="{AEDDD24A-0452-4B75-92D5-443BF2C14689}"/>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5347" r:id="rId12"/>
    <pivotCache cacheId="5352" r:id="rId13"/>
    <pivotCache cacheId="5359" r:id="rId14"/>
    <pivotCache cacheId="5365" r:id="rId15"/>
    <pivotCache cacheId="5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<sst xmlns="http://schemas.openxmlformats.org/spreadsheetml/2006/main" count="14103" uniqueCount="1729">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</sst>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14"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88" activePane="topRight" state="frozen"/>
      <selection pane="topRight" activeCell="A96" sqref="A96:XFD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B8" activePane="topRight" state="frozen"/>
      <selection pane="topRight" activeCell="W13" sqref="W13: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2"/>
        <v>0.98581877892222725</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c r="G925" s="1156">
        <v>4449</v>
      </c>
    </row>
    <row r="926" spans="1:7">
      <c r="A926" t="s">
        <v>201</v>
      </c>
      <c r="B926" s="1156"/>
      <c r="C926" s="1156"/>
      <c r="D926" s="1156">
        <v>1031</v>
      </c>
      <c r="E926" s="1156"/>
      <c r="F926" s="1156"/>
      <c r="G926" s="1156">
        <v>1031</v>
      </c>
    </row>
    <row r="927" spans="1:7">
      <c r="A927" t="s">
        <v>355</v>
      </c>
      <c r="B927" s="1156"/>
      <c r="C927" s="1156"/>
      <c r="D927" s="1156"/>
      <c r="E927" s="1156">
        <v>1063</v>
      </c>
      <c r="F927" s="1156">
        <v>350</v>
      </c>
      <c r="G927" s="1156">
        <v>1413</v>
      </c>
    </row>
    <row r="928" spans="1:7">
      <c r="A928" t="s">
        <v>910</v>
      </c>
      <c r="B928" s="1156"/>
      <c r="C928" s="1156"/>
      <c r="D928" s="1156"/>
      <c r="E928" s="1156"/>
      <c r="F928" s="1156"/>
      <c r="G928" s="1156"/>
    </row>
    <row r="929" spans="1:7">
      <c r="A929" t="s">
        <v>845</v>
      </c>
      <c r="B929" s="1156">
        <v>4876</v>
      </c>
      <c r="C929" s="1156">
        <v>6972</v>
      </c>
      <c r="D929" s="1156">
        <v>9289</v>
      </c>
      <c r="E929" s="1156">
        <v>3439</v>
      </c>
      <c r="F929" s="1156">
        <v>919</v>
      </c>
      <c r="G929" s="1156">
        <v>25495</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tabSelected="1" workbookViewId="0">
      <pane ySplit="1" topLeftCell="A1971" activePane="bottomLeft" state="frozen"/>
      <selection pane="bottomLeft" activeCell="A1978" sqref="A1978:XFD19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1155"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42" t="s">
        <v>198</v>
      </c>
      <c r="B1977" s="142" t="s">
        <v>1584</v>
      </c>
      <c r="C1977" s="56">
        <v>45968</v>
      </c>
      <c r="G1977" t="s">
        <v>1576</v>
      </c>
    </row>
    <row r="1978" spans="1:7">
      <c r="A1978" s="142" t="s">
        <v>355</v>
      </c>
      <c r="B1978" s="308" t="s">
        <v>854</v>
      </c>
      <c r="C1978" s="56">
        <v>45968</v>
      </c>
      <c r="D1978" s="43">
        <v>350</v>
      </c>
      <c r="G1978" t="s">
        <v>1576</v>
      </c>
    </row>
    <row r="1979" spans="1:7">
      <c r="A1979" s="142" t="s">
        <v>355</v>
      </c>
      <c r="B1979" s="786" t="s">
        <v>1501</v>
      </c>
      <c r="C1979" s="56">
        <v>45968</v>
      </c>
      <c r="D1979" s="43">
        <v>913</v>
      </c>
      <c r="F1979" s="43" t="s">
        <v>1002</v>
      </c>
      <c r="G1979" t="s">
        <v>1576</v>
      </c>
    </row>
    <row r="1980" spans="1:7">
      <c r="A1980" s="43" t="s">
        <v>233</v>
      </c>
      <c r="B1980" s="142" t="s">
        <v>1575</v>
      </c>
      <c r="C1980" s="56">
        <v>45968</v>
      </c>
      <c r="F1980" s="1155" t="s">
        <v>1593</v>
      </c>
      <c r="G1980" t="s">
        <v>1576</v>
      </c>
    </row>
    <row r="1981" spans="1:7">
      <c r="A1981" s="251" t="s">
        <v>352</v>
      </c>
      <c r="B1981" s="786" t="s">
        <v>1501</v>
      </c>
      <c r="C1981" s="56">
        <v>45968</v>
      </c>
      <c r="F1981" s="315" t="s">
        <v>1225</v>
      </c>
      <c r="G1981" t="s">
        <v>1576</v>
      </c>
    </row>
    <row r="1982" spans="1:7">
      <c r="A1982" s="251" t="s">
        <v>349</v>
      </c>
      <c r="B1982" s="43" t="s">
        <v>231</v>
      </c>
      <c r="C1982" s="56">
        <v>45968</v>
      </c>
      <c r="D1982" s="43">
        <v>569</v>
      </c>
      <c r="G1982" t="s">
        <v>1576</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s="1156">
        <v>155501</v>
      </c>
      <c r="E4" s="44" t="s">
        <v>1672</v>
      </c>
      <c r="F4" t="s">
        <v>848</v>
      </c>
      <c r="W4" t="s">
        <v>1676</v>
      </c>
      <c r="X4">
        <v>22</v>
      </c>
    </row>
    <row r="5" spans="1:25">
      <c r="B5" t="s">
        <v>60</v>
      </c>
      <c r="C5" s="1156">
        <v>55547</v>
      </c>
      <c r="E5" t="s">
        <v>848</v>
      </c>
      <c r="F5" s="1156">
        <v>239011</v>
      </c>
      <c r="K5" s="44" t="s">
        <v>1677</v>
      </c>
      <c r="P5" s="44" t="s">
        <v>1677</v>
      </c>
      <c r="W5" t="s">
        <v>1678</v>
      </c>
      <c r="X5">
        <v>13</v>
      </c>
    </row>
    <row r="6" spans="1:25">
      <c r="B6" t="s">
        <v>96</v>
      </c>
      <c r="C6" s="1156">
        <v>22387</v>
      </c>
      <c r="K6" s="44" t="s">
        <v>27</v>
      </c>
      <c r="L6" s="44" t="s">
        <v>1679</v>
      </c>
      <c r="M6" t="s">
        <v>848</v>
      </c>
      <c r="P6" s="44" t="s">
        <v>1680</v>
      </c>
      <c r="Q6" s="44" t="s">
        <v>1679</v>
      </c>
      <c r="R6" t="s">
        <v>848</v>
      </c>
    </row>
    <row r="7" spans="1:25">
      <c r="B7" t="s">
        <v>874</v>
      </c>
      <c r="C7" s="1156">
        <v>301904</v>
      </c>
      <c r="K7" t="s">
        <v>1673</v>
      </c>
      <c r="L7" t="s">
        <v>508</v>
      </c>
      <c r="M7" s="1156">
        <v>1</v>
      </c>
      <c r="P7" t="s">
        <v>1681</v>
      </c>
      <c r="R7" s="1156">
        <v>1</v>
      </c>
      <c r="X7" t="s">
        <v>1682</v>
      </c>
      <c r="Y7" t="s">
        <v>1683</v>
      </c>
    </row>
    <row r="8" spans="1:25">
      <c r="B8" t="s">
        <v>209</v>
      </c>
      <c r="C8" s="1156">
        <v>5576</v>
      </c>
      <c r="L8" t="s">
        <v>510</v>
      </c>
      <c r="M8" s="1156">
        <v>1</v>
      </c>
      <c r="P8" t="s">
        <v>1684</v>
      </c>
      <c r="R8" s="1156">
        <v>1</v>
      </c>
      <c r="V8" t="s">
        <v>1685</v>
      </c>
      <c r="W8" s="261">
        <v>203521</v>
      </c>
      <c r="X8" s="317">
        <f>X5/X4</f>
        <v>0.59090909090909094</v>
      </c>
      <c r="Y8" s="317">
        <f>W9/W8</f>
        <v>0.31446386367991508</v>
      </c>
    </row>
    <row r="9" spans="1:25">
      <c r="B9" t="s">
        <v>51</v>
      </c>
      <c r="C9" s="1156">
        <v>0</v>
      </c>
      <c r="L9" t="s">
        <v>1686</v>
      </c>
      <c r="M9" s="1156">
        <v>1</v>
      </c>
      <c r="P9" t="s">
        <v>1687</v>
      </c>
      <c r="Q9" t="s">
        <v>1686</v>
      </c>
      <c r="R9" s="1156">
        <v>1</v>
      </c>
      <c r="V9" t="s">
        <v>1688</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26955</v>
      </c>
      <c r="L12" t="s">
        <v>484</v>
      </c>
      <c r="M12" s="1156">
        <v>1</v>
      </c>
      <c r="Q12" t="s">
        <v>1689</v>
      </c>
      <c r="R12" s="1156">
        <v>1</v>
      </c>
    </row>
    <row r="13" spans="1:25">
      <c r="B13" t="s">
        <v>146</v>
      </c>
      <c r="C13" s="1156">
        <v>13965</v>
      </c>
      <c r="L13" t="s">
        <v>1690</v>
      </c>
      <c r="M13" s="1156">
        <v>1</v>
      </c>
      <c r="Q13" t="s">
        <v>795</v>
      </c>
      <c r="R13" s="1156">
        <v>1</v>
      </c>
    </row>
    <row r="14" spans="1:25">
      <c r="B14" t="s">
        <v>206</v>
      </c>
      <c r="C14" s="1156">
        <v>16290</v>
      </c>
      <c r="L14" t="s">
        <v>621</v>
      </c>
      <c r="M14" s="1156">
        <v>1</v>
      </c>
      <c r="P14" t="s">
        <v>1691</v>
      </c>
      <c r="R14" s="1156">
        <v>5</v>
      </c>
    </row>
    <row r="15" spans="1:25">
      <c r="B15" t="s">
        <v>199</v>
      </c>
      <c r="C15" s="1156">
        <v>5613</v>
      </c>
      <c r="L15" t="s">
        <v>1689</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623093</v>
      </c>
      <c r="L18" t="s">
        <v>629</v>
      </c>
      <c r="M18" s="1156">
        <v>1</v>
      </c>
    </row>
    <row r="19" spans="2:13">
      <c r="L19" t="s">
        <v>633</v>
      </c>
      <c r="M19" s="1156">
        <v>1</v>
      </c>
    </row>
    <row r="20" spans="2:13">
      <c r="L20" t="s">
        <v>793</v>
      </c>
      <c r="M20" s="1156">
        <v>1</v>
      </c>
    </row>
    <row r="21" spans="2:13">
      <c r="L21" t="s">
        <v>1692</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1693</v>
      </c>
      <c r="M26" s="1156">
        <v>19</v>
      </c>
    </row>
    <row r="27" spans="2:13">
      <c r="K27" t="s">
        <v>1694</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1695</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1696</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7CBFC2-7A9D-4C58-8F65-7C4C498A88B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2025-11-07T20:30:35Z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