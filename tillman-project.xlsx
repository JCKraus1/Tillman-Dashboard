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68" documentId="8_{E14B221E-02E2-46A3-8CEC-C736815F2DD5}" xr6:coauthVersionLast="47" xr6:coauthVersionMax="47" xr10:uidLastSave="{A599DAC9-9EE6-48EB-ABA4-7373719FB4A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48" r:id="rId12"/>
    <pivotCache cacheId="249" r:id="rId13"/>
    <pivotCache cacheId="250" r:id="rId14"/>
    <pivotCache cacheId="251" r:id="rId15"/>
    <pivotCache cacheId="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<sst xmlns="http://schemas.openxmlformats.org/spreadsheetml/2006/main" count="15693" uniqueCount="2025">
  <si>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</si>
  <si>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</si>
  <si>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</si>
  <si>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</si>
  <si>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</si>
  <si>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</si>
  <si>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</si>
  <si>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</si>
  <si>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</si>
  <si>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</si>
  <si>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</si>
  <si>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</si>
  <si>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</si>
  <si>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</si>
  <si>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</si>
  <si>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</si>
  <si>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</si>
  <si>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</si>
  <si>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</si>
  <si>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</si>
  <si>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</si>
  <si>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</si>
  <si>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</si>
  <si>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</si>
  <si>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</si>
  <si>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</si>
  <si>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</si>
  <si>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</si>
  <si>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</si>
  <si>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</si>
  <si>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</si>
  <si>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</si>
  <si>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</si>
  <si>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</si>
  <si>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</si>
  <si>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</si>
  <si>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</si>
  <si>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</si>
  <si>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</si>
  <si>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</si>
  <si>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</si>
  <si>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</si>
  <si>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</si>
  <si>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</si>
  <si>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</si>
  <si>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</si>
  <si>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</si>
  <si>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</si>
  <si>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</si>
  <si>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</si>
  <si>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</si>
  <si>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</si>
  <si>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</si>
  <si>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</si>
  <si>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</si>
  <si>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</si>
  <si>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</si>
  <si>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</si>
  <si>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</si>
  <si>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</si>
  <si>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</si>
  <si>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</si>
  <si>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</si>
  <si>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</si>
  <si>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</si>
  <si>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</si>
  <si>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</si>
  <si>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</si>
  <si>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</si>
  <si>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</si>
  <si>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</si>
  <si>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</si>
  <si>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</si>
  <si>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</si>
  <si>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</si>
  <si>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</si>
  <si>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</si>
  <si>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</si>
  <si>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</si>
  <si>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</si>
  <si>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</si>
  <si>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</si>
  <si>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</si>
  <si>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</si>
  <si>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</si>
  <si>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</si>
  <si>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</si>
  <si>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</si>
  <si>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</si>
  <si>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</si>
  <si>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</si>
  <si>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</si>
  <si>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</si>
  <si>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</si>
  <si>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</si>
  <si>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</si>
  <si>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</si>
  <si>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</si>
  <si>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</si>
  <si>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</si>
  <si>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</si>
  <si>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</si>
  <si>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</si>
  <si>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</si>
  <si>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</si>
  <si>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</si>
  <si>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</si>
  <si>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</si>
  <si>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</si>
  <si>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</si>
  <si>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</si>
  <si>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</si>
  <si>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</si>
  <si>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</si>
  <si>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</si>
  <si>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</si>
  <si>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</si>
  <si>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</si>
  <si>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</si>
  <si>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</si>
  <si>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</si>
  <si>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</si>
  <si>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</si>
  <si>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</si>
  <si>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</si>
  <si>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</si>
  <si>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</si>
  <si>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</si>
  <si>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</si>
  <si>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</si>
  <si>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</si>
  <si>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</si>
  <si>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</si>
  <si>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</si>
  <si>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</si>
  <si>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</si>
  <si>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</si>
  <si>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</si>
  <si>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</si>
  <si>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</si>
  <si>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</si>
  <si>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</si>
  <si>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</si>
  <si>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</si>
  <si>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</si>
  <si>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</si>
  <si>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</si>
  <si>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</si>
  <si>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</si>
  <si>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</si>
  <si>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</si>
  <si>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</si>
  <si>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</si>
  <si>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</si>
  <si>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</si>
  <si>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</si>
  <si>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</si>
  <si>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</si>
  <si>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</si>
  <si>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</si>
  <si>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</si>
  <si>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</si>
  <si>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</si>
  <si>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</si>
  <si>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</si>
  <si>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</si>
  <si>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</si>
  <si>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</si>
  <si>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</si>
  <si>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</si>
  <si>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</si>
  <si>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</si>
  <si>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</si>
  <si>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</si>
  <si>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</si>
  <si>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</si>
  <si>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</si>
  <si>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</si>
  <si>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</si>
  <si>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</si>
  <si>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</si>
  <si>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</si>
  <si>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</si>
  <si>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</si>
  <si>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</si>
  <si>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</si>
  <si>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</si>
  <si>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</si>
  <si>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</si>
  <si>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</si>
  <si>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</si>
  <si>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</si>
  <si>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</si>
  <si>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</si>
  <si>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</si>
  <si>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</si>
  <si>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</si>
  <si>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</si>
  <si>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</si>
  <si>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</si>
  <si>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</si>
  <si>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</si>
  <si>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</si>
  <si>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</si>
  <si>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</si>
  <si>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</si>
  <si>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</si>
  <si>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</si>
  <si>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</si>
  <si>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</si>
  <si>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</si>
  <si>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</si>
  <si>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</si>
  <si>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</si>
  <si>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</si>
  <si>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</si>
  <si>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</si>
  <si>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</si>
  <si>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</si>
  <si>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</si>
  <si>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</si>
  <si>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</si>
  <si>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</si>
  <si>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</si>
  <si>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</si>
  <si>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</si>
  <si>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</si>
  <si>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</si>
  <si>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</si>
  <si>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</si>
  <si>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</si>
  <si>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</si>
  <si>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</si>
  <si>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</si>
  <si>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</si>
  <si>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</si>
  <si>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</si>
  <si>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</si>
  <si>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</si>
  <si>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</si>
  <si>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</si>
  <si>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</si>
  <si>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</si>
  <si>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</si>
  <si>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</si>
  <si>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</si>
  <si>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</si>
  <si>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</si>
  <si>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</si>
  <si>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</si>
  <si>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</si>
  <si>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</si>
  <si>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</si>
  <si>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</si>
  <si>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</si>
  <si>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</si>
  <si>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</si>
  <si>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</si>
  <si>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</si>
  <si>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</si>
  <si>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</si>
  <si>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</si>
  <si>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</si>
  <si>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</si>
  <si>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</si>
  <si>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</si>
  <si>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</si>
  <si>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</si>
  <si>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</si>
  <si>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</si>
  <si>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</si>
  <si>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</si>
  <si>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</si>
  <si>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</si>
  <si>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</si>
  <si>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</si>
  <si>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</si>
  <si>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</si>
  <si>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</si>
  <si>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</si>
  <si>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</si>
  <si>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</si>
  <si>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</si>
  <si>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</si>
  <si>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</si>
  <si>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</si>
  <si>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</si>
  <si>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</si>
  <si>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</si>
  <si>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</si>
  <si>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</si>
  <si>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</si>
  <si>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</si>
  <si>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</si>
  <si>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</si>
  <si>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</si>
  <si>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</si>
  <si>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</si>
  <si>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</si>
  <si>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</si>
  <si>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</si>
  <si>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</si>
  <si>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</si>
  <si>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</si>
  <si>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</si>
  <si>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</si>
  <si>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</si>
  <si>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</si>
  <si>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</si>
  <si>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</si>
  <si>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</si>
  <si>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</si>
  <si>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</si>
  <si>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</si>
  <si>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</si>
  <si>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</si>
  <si>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</si>
  <si>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</si>
  <si>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</si>
  <si>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</si>
  <si>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</si>
  <si>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</si>
  <si>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</si>
  <si>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</si>
  <si>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</si>
  <si>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</si>
  <si>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</si>
  <si>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</si>
  <si>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</si>
  <si>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</si>
  <si>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</si>
  <si>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</si>
  <si>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</si>
  <si>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</si>
  <si>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</si>
  <si>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</si>
  <si>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</si>
  <si>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</si>
  <si>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</si>
  <si>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</si>
  <si>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</si>
  <si>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</si>
  <si>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</si>
  <si>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</si>
  <si>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</si>
  <si>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</si>
  <si>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</si>
  <si>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</si>
  <si>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</si>
  <si>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</si>
  <si>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</si>
  <si>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</si>
  <si>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</si>
  <si>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</si>
  <si>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</si>
  <si>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</si>
  <si>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</si>
  <si>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</si>
  <si>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</si>
  <si>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</si>
  <si>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</si>
  <si>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</si>
  <si>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</si>
  <si>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</si>
  <si>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</si>
  <si>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</si>
  <si>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</si>
  <si>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</si>
  <si>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</si>
  <si>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</si>
  <si>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</si>
  <si>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</si>
  <si>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</si>
  <si>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</si>
  <si>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</si>
  <si>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</si>
  <si>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</si>
  <si>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</si>
  <si>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</si>
  <si>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</si>
  <si>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</si>
  <si>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</si>
  <si>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</si>
  <si>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</si>
  <si>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</si>
  <si>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</si>
  <si>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</si>
  <si>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</si>
  <si>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</si>
  <si>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</si>
  <si>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</si>
  <si>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</si>
  <si>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</si>
  <si>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</si>
  <si>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</si>
  <si>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</si>
  <si>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</si>
  <si>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</si>
  <si>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</si>
  <si>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</si>
  <si>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</si>
  <si>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</si>
  <si>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</si>
  <si>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</si>
  <si>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</si>
  <si>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</si>
  <si>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</si>
  <si>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</si>
  <si>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</si>
  <si>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</si>
  <si>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</si>
  <si>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</si>
  <si>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</si>
  <si>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</si>
  <si>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</si>
  <si>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</si>
  <si>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</si>
  <si>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</si>
  <si>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</si>
  <si>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</si>
  <si>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</si>
  <si>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</si>
  <si>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</si>
  <si>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</si>
  <si>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</si>
  <si>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</si>
  <si>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</si>
  <si>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</si>
  <si>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</si>
  <si>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</si>
  <si>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</si>
  <si>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</si>
  <si>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</si>
  <si>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</si>
  <si>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</si>
  <si>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</si>
  <si>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</si>
  <si>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</si>
  <si>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</si>
  <si>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</si>
  <si>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</si>
  <si>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</si>
  <si>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</si>
  <si>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</si>
  <si>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</si>
  <si>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</si>
  <si>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</si>
  <si>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</si>
  <si>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</si>
  <si>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</si>
  <si>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</si>
  <si>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</si>
  <si>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</si>
  <si>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</si>
  <si>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</si>
  <si>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</si>
  <si>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</si>
  <si>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</si>
  <si>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</si>
  <si>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</si>
  <si>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</si>
  <si>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</si>
  <si>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</si>
  <si>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</si>
  <si>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</si>
  <si>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</si>
  <si>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</si>
  <si>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</si>
  <si>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</si>
  <si>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</si>
  <si>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</si>
  <si>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</si>
  <si>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</si>
  <si>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</si>
  <si>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</si>
  <si>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</si>
  <si>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</si>
  <si>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</si>
  <si>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</si>
  <si>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</si>
  <si>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</si>
  <si>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</si>
  <si>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</si>
  <si>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</si>
  <si>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</si>
  <si>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</si>
  <si>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</si>
  <si>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</si>
  <si>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</si>
  <si>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</si>
  <si>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</si>
  <si>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</si>
  <si>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</si>
  <si>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</si>
  <si>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</si>
  <si>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</si>
  <si>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</si>
  <si>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</si>
  <si>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</si>
  <si>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</si>
  <si>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</si>
  <si>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</si>
  <si>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</si>
  <si>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</si>
  <si>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</si>
  <si>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</si>
  <si>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</si>
  <si>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</si>
  <si>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</si>
  <si>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</si>
  <si>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</si>
  <si>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</si>
  <si>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</si>
  <si>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</si>
  <si>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</si>
  <si>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</si>
  <si>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</si>
  <si>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</si>
  <si>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</si>
  <si>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</si>
  <si>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</si>
  <si>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</si>
  <si>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</si>
  <si>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</si>
  <si>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</si>
  <si>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</si>
  <si>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</si>
  <si>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</si>
  <si>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</si>
  <si>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</si>
  <si>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</si>
  <si>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</si>
  <si>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</si>
  <si>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</si>
  <si>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</si>
  <si>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</si>
  <si>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</si>
  <si>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</si>
  <si>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</si>
  <si>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</si>
  <si>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</si>
  <si>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</si>
  <si>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</si>
  <si>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</si>
  <si>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</si>
  <si>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</si>
  <si>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</si>
  <si>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</si>
  <si>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</si>
  <si>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</si>
  <si>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</si>
  <si>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</si>
  <si>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</si>
  <si>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</si>
  <si>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</si>
  <si>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</si>
  <si>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</si>
  <si>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</si>
  <si>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</si>
  <si>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</si>
  <si>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</si>
  <si>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</si>
  <si>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</si>
  <si>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</si>
  <si>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</si>
  <si>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</si>
  <si>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</si>
  <si>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</si>
  <si>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</si>
  <si>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</si>
  <si>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</si>
  <si>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</si>
  <si>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</si>
  <si>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</si>
  <si>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</si>
  <si>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</si>
  <si>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</si>
  <si>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</si>
  <si>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</si>
  <si>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</si>
  <si>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</si>
  <si>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</si>
  <si>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</si>
  <si>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</si>
  <si>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</si>
  <si>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</si>
  <si>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</si>
  <si>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</si>
  <si>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</si>
  <si>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</si>
  <si>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</si>
  <si>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</si>
  <si>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</si>
  <si>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</si>
  <si>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</si>
  <si>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</si>
  <si>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</si>
  <si>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</si>
  <si>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</si>
  <si>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</si>
  <si>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</si>
  <si>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</si>
  <si>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</si>
  <si>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</si>
  <si>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</si>
  <si>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</si>
  <si>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</si>
  <si>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</si>
  <si>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</si>
  <si>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</si>
  <si>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</si>
  <si>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</si>
  <si>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</si>
  <si>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</si>
  <si>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</si>
  <si>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</si>
  <si>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</si>
  <si>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</si>
  <si>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</si>
  <si>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</si>
  <si>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</si>
  <si>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</si>
  <si>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</si>
  <si>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</si>
  <si>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</si>
  <si>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</si>
  <si>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</si>
  <si>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</si>
  <si>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</si>
  <si>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</si>
  <si>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</si>
  <si>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</si>
  <si>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</si>
  <si>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</si>
  <si>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</si>
  <si>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</si>
  <si>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</si>
  <si>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</si>
  <si>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</si>
  <si>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</si>
  <si>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</si>
  <si>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</si>
  <si>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</si>
  <si>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</si>
  <si>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</si>
  <si>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</si>
  <si>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</si>
  <si>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</si>
  <si>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</si>
  <si>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</si>
  <si>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</si>
  <si>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</si>
  <si>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</si>
  <si>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</si>
  <si>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</si>
  <si>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</si>
  <si>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</si>
  <si>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</si>
  <si>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</si>
  <si>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</si>
  <si>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</si>
  <si>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</si>
  <si>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</si>
  <si>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</si>
  <si>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</si>
  <si>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</si>
  <si>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</si>
  <si>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</si>
  <si>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</si>
  <si>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</si>
  <si>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</si>
  <si>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</si>
  <si>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</si>
  <si>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</si>
  <si>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</si>
  <si>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</si>
  <si>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</si>
  <si>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</si>
  <si>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</si>
  <si>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</si>
  <si>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</si>
  <si>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</si>
  <si>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</si>
  <si>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</si>
  <si>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</si>
  <si>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</si>
  <si>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</si>
  <si>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</si>
  <si>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</si>
  <si>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</si>
  <si>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</si>
  <si>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</si>
  <si>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</si>
  <si>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</si>
  <si>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</si>
  <si>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</si>
  <si>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</si>
  <si>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</si>
  <si>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</si>
  <si>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</si>
  <si>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</si>
  <si>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</si>
  <si>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</si>
  <si>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</si>
  <si>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</si>
  <si>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</si>
  <si>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</si>
  <si>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</si>
  <si>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</si>
  <si>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</si>
  <si>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</si>
  <si>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</si>
  <si>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</si>
  <si>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</si>
  <si>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</si>
  <si>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</si>
  <si>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</si>
  <si>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</si>
  <si>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</si>
  <si>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</si>
  <si>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</si>
  <si>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</si>
  <si>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</si>
  <si>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</si>
  <si>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</si>
  <si>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</si>
  <si>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</si>
  <si>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</si>
  <si>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</si>
  <si>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</si>
  <si>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</si>
  <si>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</si>
  <si>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</si>
  <si>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</si>
  <si>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</si>
  <si>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</si>
  <si>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</si>
  <si>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</si>
  <si>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</si>
  <si>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</si>
  <si>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</si>
  <si>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</si>
  <si>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</si>
  <si>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</si>
  <si>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</si>
  <si>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</si>
  <si>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</si>
  <si>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</si>
  <si>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</si>
  <si>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</si>
  <si>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</si>
  <si>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</si>
  <si>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</si>
  <si>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</si>
  <si>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</si>
  <si>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</si>
  <si>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</si>
  <si>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</si>
  <si>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</si>
  <si>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</si>
  <si>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</si>
  <si>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</si>
  <si>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</si>
  <si>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</si>
  <si>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</si>
  <si>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</si>
  <si>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</si>
  <si>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</si>
  <si>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</si>
  <si>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</si>
  <si>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</si>
  <si>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</si>
  <si>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</si>
  <si>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</si>
  <si>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</si>
  <si>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</si>
  <si>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</si>
  <si>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</si>
  <si>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</si>
  <si>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</si>
  <si>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</si>
  <si>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</si>
  <si>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</si>
  <si>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</si>
  <si>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</si>
  <si>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</si>
  <si>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</si>
  <si>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</si>
  <si>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</si>
  <si>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</si>
  <si>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</si>
  <si>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</si>
  <si>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</si>
  <si>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</si>
  <si>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</si>
  <si>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</si>
  <si>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</si>
  <si>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</si>
  <si>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</si>
  <si>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</si>
  <si>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</si>
  <si>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</si>
  <si>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</si>
  <si>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</si>
  <si>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</si>
  <si>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</si>
  <si>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</si>
  <si>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</si>
  <si>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</si>
  <si>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</si>
  <si>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</si>
  <si>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</si>
  <si>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</si>
  <si>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</si>
  <si>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</si>
  <si>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</si>
  <si>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</si>
  <si>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</si>
  <si>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</si>
  <si>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</si>
  <si>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</si>
  <si>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</si>
  <si>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</si>
  <si>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</si>
  <si>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</si>
  <si>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</si>
  <si>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</si>
  <si>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</si>
  <si>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</si>
  <si>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</si>
  <si>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</si>
  <si>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</si>
  <si>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</si>
  <si>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</si>
  <si>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</si>
  <si>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</si>
  <si>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</si>
  <si>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</si>
  <si>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</si>
  <si>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</si>
  <si>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</si>
  <si>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</si>
  <si>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</si>
  <si>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</si>
  <si>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</si>
  <si>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</si>
  <si>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</si>
  <si>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</si>
  <si>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</si>
  <si>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</si>
  <si>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</si>
  <si>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</si>
  <si>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</si>
  <si>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</si>
  <si>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</si>
  <si>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</si>
  <si>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</si>
  <si>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</si>
  <si>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</si>
  <si>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</si>
  <si>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</si>
  <si>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</si>
  <si>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</si>
  <si>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</si>
  <si>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</si>
  <si>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</si>
  <si>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</si>
  <si>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</si>
  <si>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</si>
  <si>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</si>
  <si>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</si>
  <si>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</si>
  <si>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</si>
  <si>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</si>
  <si>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</si>
  <si>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</si>
  <si>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</si>
  <si>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</si>
  <si>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</si>
  <si>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</si>
  <si>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</si>
  <si>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</si>
  <si>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</si>
  <si>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</si>
  <si>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</si>
  <si>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</si>
  <si>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</si>
  <si>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</si>
  <si>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</si>
  <si>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</si>
  <si>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</si>
  <si>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</si>
  <si>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</si>
  <si>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</si>
  <si>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</si>
  <si>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</si>
  <si>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</si>
  <si>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</si>
  <si>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</si>
  <si>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</si>
  <si>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</si>
  <si>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</si>
  <si>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</si>
  <si>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</si>
  <si>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</si>
  <si>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</si>
  <si>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</si>
  <si>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</si>
  <si>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</si>
  <si>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</si>
  <si>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</si>
  <si>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</si>
  <si>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</si>
  <si>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</si>
  <si>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</si>
  <si>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</si>
  <si>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</si>
  <si>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</si>
  <si>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</si>
  <si>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</si>
  <si>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</si>
  <si>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</si>
  <si>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</si>
  <si>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</si>
  <si>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</si>
  <si>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</si>
  <si>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</si>
  <si>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</si>
  <si>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</si>
  <si>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</si>
  <si>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</si>
  <si>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</si>
  <si>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</si>
  <si>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</si>
  <si>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</si>
  <si>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</si>
  <si>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</si>
  <si>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</si>
  <si>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</si>
  <si>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</si>
  <si>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</si>
  <si>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</si>
  <si>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</si>
  <si>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</si>
  <si>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</si>
  <si>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</si>
  <si>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</si>
  <si>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</si>
  <si>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</si>
  <si>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</si>
  <si>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</si>
  <si>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</si>
  <si>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</si>
  <si>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</si>
  <si>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</si>
  <si>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</si>
  <si>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</si>
  <si>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</si>
  <si>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</si>
  <si>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</si>
  <si>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</si>
  <si>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</si>
  <si>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</si>
  <si>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</si>
  <si>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</si>
  <si>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</si>
  <si>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</si>
  <si>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</si>
  <si>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</si>
  <si>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</si>
  <si>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</si>
  <si>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</si>
  <si>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</si>
  <si>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</si>
  <si>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</si>
  <si>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</si>
  <si>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</si>
  <si>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</si>
  <si>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</si>
  <si>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</si>
  <si>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</si>
  <si>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</si>
  <si>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</si>
  <si>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</si>
  <si>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</si>
  <si>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</si>
  <si>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</si>
  <si>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</si>
  <si>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</si>
  <si>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</si>
  <si>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</si>
  <si>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</si>
  <si>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</si>
  <si>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</si>
  <si>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</si>
  <si>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</si>
  <si>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</si>
  <si>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</si>
  <si>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</si>
  <si>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</si>
  <si>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</si>
  <si>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</si>
  <si>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</si>
  <si>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</si>
  <si>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</si>
  <si>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</si>
  <si>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</si>
  <si>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</si>
  <si>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</si>
  <si>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</si>
  <si>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</si>
  <si>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</si>
  <si>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</si>
  <si>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</si>
  <si>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</si>
  <si>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</si>
  <si>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</si>
  <si>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</si>
  <si>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</si>
  <si>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</si>
  <si>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</si>
  <si>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</si>
  <si>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</si>
  <si>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</si>
  <si>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</si>
  <si>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</si>
  <si>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</si>
  <si>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</si>
  <si>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</si>
  <si>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</si>
  <si>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</si>
  <si>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</si>
  <si>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</si>
  <si>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</si>
  <si>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</si>
  <si>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</si>
  <si>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</si>
  <si>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</si>
  <si>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</si>
  <si>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</si>
  <si>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</si>
  <si>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</si>
  <si>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</si>
  <si>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</si>
  <si>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</si>
  <si>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</si>
  <si>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</si>
  <si>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</si>
  <si>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</si>
  <si>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</si>
  <si>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</si>
  <si>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</si>
  <si>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</si>
  <si>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</si>
  <si>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</si>
  <si>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</si>
  <si>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</si>
  <si>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</si>
  <si>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</si>
  <si>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</si>
  <si>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</si>
  <si>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</si>
  <si>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</si>
  <si>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</si>
  <si>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</si>
  <si>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</si>
  <si>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</si>
  <si>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</si>
  <si>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</si>
  <si>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</si>
  <si>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</si>
  <si>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</si>
  <si>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</si>
  <si>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</si>
  <si>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</si>
  <si>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</si>
  <si>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</si>
  <si>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</si>
  <si>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</si>
  <si>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</si>
  <si>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</si>
  <si>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</si>
  <si>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</si>
  <si>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</si>
  <si>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</si>
  <si>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</si>
  <si>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</si>
  <si>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</si>
  <si>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</si>
  <si>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</si>
  <si>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</si>
  <si>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</si>
  <si>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</si>
  <si>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</si>
  <si>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</si>
  <si>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</si>
  <si>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</si>
  <si>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</si>
  <si>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</si>
  <si>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</si>
  <si>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</si>
  <si>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</si>
  <si>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</si>
  <si>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</si>
  <si>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</si>
  <si>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</si>
  <si>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</si>
  <si>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</si>
  <si>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</si>
  <si>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</si>
  <si>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</si>
  <si>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</si>
  <si>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</si>
  <si>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</si>
  <si>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</si>
  <si>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</si>
  <si>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</si>
  <si>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</si>
  <si>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</si>
  <si>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</si>
  <si>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</si>
  <si>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</si>
  <si>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</si>
  <si>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</si>
  <si>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</si>
  <si>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</si>
  <si>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</si>
  <si>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</si>
  <si>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</si>
  <si>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</si>
  <si>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</si>
  <si>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</si>
  <si>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</si>
  <si>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</si>
  <si>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</si>
  <si>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</si>
  <si>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</si>
  <si>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</si>
  <si>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</si>
  <si>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</si>
  <si>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</si>
  <si>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</si>
  <si>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</si>
  <si>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</si>
  <si>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</si>
  <si>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</si>
  <si>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</si>
  <si>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</si>
  <si>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</si>
  <si>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</si>
  <si>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</si>
  <si>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</si>
  <si>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</si>
  <si>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</si>
  <si>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</si>
  <si>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</si>
  <si>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</si>
  <si>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</si>
  <si>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</si>
  <si>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</si>
  <si>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</si>
  <si>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</si>
  <si>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</si>
  <si>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</si>
  <si>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</si>
  <si>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</si>
  <si>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</si>
  <si>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</si>
  <si>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</si>
  <si>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</si>
  <si>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</si>
  <si>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</si>
  <si>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</si>
  <si>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</si>
  <si>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</si>
  <si>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</si>
  <si>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</si>
  <si>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</si>
  <si>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</si>
  <si>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</si>
  <si>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</si>
  <si>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</si>
  <si>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</si>
  <si>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</si>
  <si>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</si>
  <si>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</si>
  <si>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</si>
  <si>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</si>
  <si>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</si>
  <si>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</si>
  <si>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</si>
  <si>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</si>
  <si>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</si>
  <si>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</si>
  <si>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</si>
  <si>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</si>
  <si>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</si>
  <si>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</si>
  <si>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</si>
  <si>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</si>
  <si>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</si>
  <si>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</si>
  <si>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</si>
  <si>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</si>
  <si>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</si>
  <si>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</si>
  <si>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</si>
  <si>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</si>
  <si>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</si>
  <si>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</si>
  <si>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</si>
  <si>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</si>
  <si>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</si>
  <si>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</si>
  <si>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</si>
  <si>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</si>
  <si>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</si>
  <si>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</si>
  <si>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</si>
  <si>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</si>
  <si>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</si>
  <si>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</si>
  <si>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</si>
  <si>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</si>
  <si>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</si>
  <si>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</si>
  <si>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</si>
  <si>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</si>
  <si>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</si>
  <si>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</si>
  <si>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</si>
  <si>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</si>
  <si>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</si>
  <si>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</si>
  <si>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</si>
  <si>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</si>
  <si>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</si>
  <si>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</si>
  <si>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</si>
  <si>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</si>
  <si>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</si>
  <si>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</si>
  <si>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</si>
  <si>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</si>
  <si>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</si>
  <si>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</si>
  <si>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</si>
  <si>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</si>
  <si>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</si>
  <si>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</si>
  <si>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</si>
  <si>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</si>
  <si>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</si>
  <si>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</si>
  <si>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</si>
  <si>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</si>
  <si>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</si>
  <si>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</si>
  <si>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</si>
  <si>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</si>
  <si>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</si>
  <si>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</si>
  <si>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</si>
  <si>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</si>
  <si>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</si>
  <si>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</si>
  <si>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</si>
  <si>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</si>
  <si>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</si>
  <si>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</si>
  <si>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</si>
  <si>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</si>
  <si>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</si>
  <si>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</si>
  <si>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</si>
  <si>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</si>
  <si>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</si>
  <si>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</si>
  <si>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</si>
  <si>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</si>
  <si>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</si>
  <si>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</si>
  <si>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</si>
  <si>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</si>
  <si>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</si>
  <si>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</si>
  <si>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</si>
  <si>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</si>
  <si>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</si>
  <si>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</si>
  <si>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</si>
  <si>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</si>
  <si>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</si>
  <si>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</si>
  <si>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</si>
  <si>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</si>
  <si>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</si>
  <si>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</si>
  <si>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</si>
  <si>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</si>
  <si>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</si>
  <si>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</si>
  <si>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</si>
  <si>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</si>
  <si>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</si>
  <si>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</si>
  <si>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</si>
  <si>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</si>
  <si>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</si>
  <si>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</si>
  <si>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</si>
  <si>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</si>
  <si>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</si>
  <si>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</si>
  <si>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</si>
  <si>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</si>
  <si>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</si>
  <si>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</si>
  <si>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</si>
  <si>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</si>
  <si>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</si>
  <si>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</si>
  <si>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</si>
  <si>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</si>
  <si>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</si>
  <si>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</si>
  <si>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</si>
  <si>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</si>
  <si>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</si>
  <si>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</si>
  <si>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</si>
  <si>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</si>
  <si>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</si>
  <si>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</si>
  <si>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</si>
  <si>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</si>
  <si>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</si>
  <si>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</si>
  <si>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</si>
  <si>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</si>
  <si>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</si>
  <si>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</si>
  <si>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</si>
  <si>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</si>
  <si>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</si>
  <si>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</si>
  <si>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</si>
  <si>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</si>
  <si>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</si>
  <si>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</si>
  <si>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</si>
  <si>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</si>
  <si>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</si>
  <si>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</si>
  <si>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</si>
  <si>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</si>
  <si>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</si>
  <si>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</si>
  <si>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</si>
  <si>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</si>
  <si>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</si>
  <si>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</si>
  <si>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</si>
  <si>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</si>
  <si>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</si>
  <si>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</si>
  <si>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</si>
  <si>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</si>
  <si>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</si>
  <si>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</si>
  <si>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</si>
  <si>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</si>
  <si>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</si>
  <si>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</si>
  <si>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</si>
  <si>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</si>
  <si>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</si>
  <si>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</si>
  <si>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</si>
  <si>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</si>
  <si>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</si>
  <si>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</si>
  <si>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</si>
  <si>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</si>
  <si>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</si>
  <si>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</si>
  <si>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</si>
  <si>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</si>
  <si>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</si>
  <si>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</si>
  <si>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</si>
  <si>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</si>
  <si>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</si>
  <si>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</si>
  <si>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</si>
  <si>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</si>
  <si>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</si>
  <si>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</si>
  <si>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</si>
  <si>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</si>
  <si>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</si>
  <si>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</si>
  <si>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</si>
  <si>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</si>
  <si>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</si>
  <si>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</si>
  <si>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</si>
  <si>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</si>
  <si>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</si>
  <si>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</si>
  <si>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</si>
  <si>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</si>
  <si>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</si>
  <si>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</si>
  <si>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</si>
  <si>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</si>
  <si>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</si>
  <si>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</si>
  <si>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</si>
  <si>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</si>
  <si>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</si>
  <si>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</si>
  <si>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</si>
  <si>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</si>
  <si>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</si>
  <si>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</si>
  <si>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</si>
  <si>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</si>
  <si>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</si>
  <si>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</si>
  <si>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</si>
  <si>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</si>
  <si>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</si>
  <si>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</si>
  <si>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</si>
  <si>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</si>
  <si>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</si>
  <si>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</si>
  <si>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</si>
  <si>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</si>
  <si>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</si>
  <si>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</si>
  <si>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</si>
  <si>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</si>
  <si>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</si>
  <si>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</si>
  <si>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</si>
  <si>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</si>
  <si>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</si>
  <si>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</si>
  <si>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</si>
  <si>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</si>
  <si>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</si>
  <si>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</si>
  <si>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</si>
  <si>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</si>
  <si>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</si>
  <si>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</si>
  <si>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</si>
  <si>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</si>
  <si>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</si>
  <si>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</si>
  <si>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</si>
  <si>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</si>
  <si>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</si>
  <si>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</si>
  <si>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</si>
  <si>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</si>
  <si>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</si>
  <si>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</si>
  <si>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</si>
  <si>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</si>
  <si>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</si>
  <si>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</si>
  <si>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</si>
  <si>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</si>
  <si>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</si>
  <si>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</si>
  <si>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</si>
  <si>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</si>
  <si>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</si>
  <si>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</si>
  <si>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</si>
  <si>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</si>
  <si>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</si>
  <si>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</si>
  <si>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</si>
  <si>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</si>
  <si>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</si>
  <si>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</si>
  <si>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</si>
  <si>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</si>
  <si>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</si>
  <si>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</si>
  <si>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</si>
  <si>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</si>
  <si>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</si>
  <si>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</si>
  <si>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</si>
  <si>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</si>
  <si>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</si>
  <si>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</si>
  <si>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</si>
  <si>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</si>
  <si>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</si>
  <si>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</si>
  <si>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</si>
  <si>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</si>
  <si>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</si>
  <si>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</si>
  <si>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</si>
  <si>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</si>
  <si>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</si>
  <si>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</si>
  <si>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</si>
  <si>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</si>
  <si>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</si>
  <si>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</si>
  <si>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</si>
  <si>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</si>
  <si>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</si>
  <si>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</si>
  <si>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</si>
  <si>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</si>
  <si>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</si>
  <si>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</si>
  <si>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</si>
  <si>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</si>
  <si>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</si>
  <si>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</si>
  <si>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</si>
  <si>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</si>
  <si>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</si>
  <si>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</si>
  <si>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</si>
  <si>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</si>
  <si>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</si>
  <si>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</si>
  <si>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</si>
  <si>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</si>
  <si>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</si>
  <si>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</si>
  <si>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</si>
  <si>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</si>
  <si>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</si>
  <si>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</si>
  <si>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</si>
  <si>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</si>
  <si>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</si>
  <si>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</si>
  <si>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</si>
  <si>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</si>
  <si>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</si>
  <si>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</si>
  <si>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</si>
  <si>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</si>
  <si>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</si>
  <si>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</si>
  <si>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</si>
  <si>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</si>
  <si>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</si>
  <si>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</si>
  <si>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</si>
  <si>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</si>
  <si>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</si>
  <si>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</si>
  <si>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</si>
  <si>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</si>
  <si>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</si>
  <si>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</si>
  <si>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</si>
  <si>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</si>
  <si>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</si>
  <si>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</si>
  <si>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</si>
  <si>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</si>
  <si>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</si>
  <si>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</si>
  <si>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</si>
  <si>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</si>
  <si>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</si>
  <si>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</si>
  <si>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</si>
  <si>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</si>
  <si>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</si>
  <si>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</si>
  <si>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</si>
  <si>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</si>
  <si>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</si>
  <si>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</si>
  <si>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</si>
  <si>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</si>
  <si>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</si>
  <si>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</si>
  <si>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</si>
  <si>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</si>
  <si>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</si>
  <si>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</si>
  <si>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</si>
  <si>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</si>
  <si>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</si>
  <si>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</si>
  <si>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</si>
  <si>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</si>
  <si>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</si>
  <si>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</si>
  <si>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</si>
  <si>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</si>
  <si>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</si>
  <si>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</si>
  <si>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</si>
  <si>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</si>
  <si>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</si>
  <si>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</si>
  <si>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</si>
  <si>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</si>
  <si>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</si>
  <si>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</si>
  <si>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</si>
  <si>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</si>
  <si>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</si>
  <si>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</si>
  <si>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</si>
  <si>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</si>
  <si>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</si>
  <si>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</si>
  <si>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</si>
  <si>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</si>
  <si>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</si>
  <si>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</si>
  <si>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</si>
  <si>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</si>
  <si>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</si>
  <si>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</si>
  <si>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</si>
  <si>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</si>
  <si>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</si>
  <si>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</si>
  <si>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</si>
  <si>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</si>
  <si>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</si>
  <si>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</si>
  <si>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</si>
  <si>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</si>
  <si>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</si>
  <si>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</si>
  <si>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</si>
  <si>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</si>
  <si>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</si>
  <si>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</si>
  <si>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</si>
  <si>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</si>
  <si>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</si>
  <si>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</si>
  <si>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</si>
  <si>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</si>
  <si>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</si>
  <si>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</si>
  <si>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</si>
  <si>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</si>
  <si>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</si>
  <si>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</si>
  <si>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</si>
  <si>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</si>
  <si>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</si>
  <si>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</si>
  <si>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</si>
  <si>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</si>
  <si>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</si>
  <si>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</si>
  <si>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</si>
  <si>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</si>
  <si>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</si>
  <si>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</si>
  <si>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</si>
  <si>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</si>
  <si>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</si>
  <si>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</si>
  <si>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</si>
  <si>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</si>
  <si>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</si>
  <si>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</si>
  <si>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</si>
  <si>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</si>
  <si>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</si>
  <si>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</si>
  <si>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</si>
  <si>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</si>
  <si>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</si>
  <si>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</si>
  <si>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</si>
  <si>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</si>
  <si>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</si>
  <si>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</si>
  <si>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</si>
  <si>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</si>
  <si>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</si>
  <si>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</si>
  <si>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</si>
  <si>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</si>
  <si>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</si>
  <si>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</si>
  <si>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</si>
  <si>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</si>
  <si>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</si>
  <si>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</si>
  <si>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</si>
  <si>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</si>
  <si>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</si>
  <si>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</si>
  <si>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</si>
  <si>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</si>
  <si>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</si>
  <si>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</si>
  <si>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</si>
  <si>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</si>
  <si>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</si>
  <si>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</si>
  <si>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</si>
  <si>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</si>
  <si>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</si>
  <si>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</si>
  <si>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</si>
  <si>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</si>
  <si>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</si>
  <si>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</si>
  <si>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</si>
  <si>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</si>
  <si>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</si>
  <si>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</si>
  <si>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</si>
  <si>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</si>
  <si>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</si>
  <si>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</si>
  <si>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</si>
  <si>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</si>
  <si>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</si>
  <si>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</si>
  <si>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</si>
  <si>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</si>
  <si>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</si>
  <si>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</si>
  <si>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</si>
  <si>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</si>
  <si>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</si>
  <si>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</si>
  <si>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</si>
  <si>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</si>
  <si>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</si>
  <si>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</si>
  <si>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</si>
  <si>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</si>
  <si>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</si>
  <si>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</si>
  <si>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</si>
  <si>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</si>
  <si>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</si>
  <si>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</si>
  <si>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</si>
  <si>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</si>
  <si>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</si>
  <si>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</si>
  <si>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</si>
  <si>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</si>
  <si>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</si>
  <si>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</si>
  <si>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</si>
  <si>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</si>
  <si>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</si>
  <si>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</si>
  <si>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</si>
  <si>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</si>
  <si>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</si>
  <si>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</si>
  <si>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</si>
  <si>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</si>
  <si>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</si>
  <si>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</si>
  <si>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</si>
  <si>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</si>
  <si>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</si>
  <si>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</si>
  <si>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</si>
  <si>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</si>
  <si>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</si>
  <si>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</si>
  <si>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</si>
  <si>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</si>
  <si>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</si>
  <si>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</si>
  <si>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</si>
  <si>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</si>
  <si>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</si>
  <si>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</si>
  <si>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</si>
  <si>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</si>
  <si>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</si>
  <si>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</si>
  <si>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</si>
  <si>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</si>
  <si>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</si>
  <si>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</si>
  <si>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</si>
  <si>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</si>
  <si>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</si>
  <si>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</si>
  <si>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</si>
  <si>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</si>
  <si>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</si>
  <si>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</si>
  <si>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</si>
  <si>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</si>
  <si>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</si>
  <si>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</si>
  <si>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</si>
  <si>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</si>
  <si>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</si>
  <si>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</si>
  <si>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</si>
  <si>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</si>
  <si>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</si>
  <si>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</si>
  <si>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</si>
  <si>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</si>
  <si>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</si>
  <si>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</si>
  <si>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</si>
  <si>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</si>
  <si>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</si>
  <si>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</si>
  <si>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</si>
  <si>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</si>
  <si>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</si>
  <si>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</si>
  <si>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</si>
  <si>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</si>
  <si>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</si>
  <si>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</si>
  <si>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</si>
  <si>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</si>
  <si>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</si>
  <si>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</si>
  <si>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</si>
  <si>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</si>
  <si>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</si>
  <si>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</si>
  <si>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</si>
  <si>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</si>
  <si>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</si>
  <si>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</si>
  <si>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</si>
  <si>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</si>
  <si>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</si>
  <si>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</si>
  <si>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</si>
  <si>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</si>
  <si>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</si>
  <si>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</si>
  <si>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</si>
  <si>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</si>
  <si>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</si>
  <si>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</si>
  <si>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</si>
  <si>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</si>
  <si>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</si>
  <si>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</si>
  <si>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</si>
  <si>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</si>
  <si>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</si>
  <si>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</si>
  <si>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</si>
  <si>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</si>
  <si>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</si>
  <si>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</si>
  <si>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</si>
  <si>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</si>
  <si>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</si>
  <si>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5 Toby Boxes / 5 Daps / 10 Splices</t>
  </si>
  <si>
    <t>2 Flower Pots / 11 Toby Boxes / 11 Daps / 65 Splices</t>
  </si>
  <si>
    <t>6 Toby Boxes / 6 Daps / 14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</si>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</sst>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xf numFmtId="14" fontId="0" fillId="18"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n v="265"/>
    <m/>
    <s v="5 Flower Pots / 5 Daps / 2 FDH / 2 HH / 2 Swing Arms / 2 Ground Rods"/>
    <x v="11"/>
  </r>
  <r>
    <s v="Sunset Palms MHP"/>
    <x v="46"/>
    <d v="2025-12-09T00:00:00"/>
    <m/>
    <m/>
    <m/>
    <x v="11"/>
  </r>
  <r>
    <s v="Sunset Palms MHP"/>
    <x v="32"/>
    <d v="2025-12-09T00:00:00"/>
    <m/>
    <m/>
    <m/>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m/>
    <m/>
    <m/>
    <x v="11"/>
  </r>
  <r>
    <s v="D-HSH250"/>
    <x v="5"/>
    <d v="2025-12-09T00:00:00"/>
    <m/>
    <m/>
    <m/>
    <x v="11"/>
  </r>
  <r>
    <s v="D-HSH223"/>
    <x v="5"/>
    <d v="2025-12-09T00:00:00"/>
    <m/>
    <m/>
    <m/>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n v="265"/>
    <m/>
    <s v="5 Flower Pots / 5 Daps / 2 FDH / 2 HH / 2 Swing Arms / 2 Ground Rods"/>
  </r>
  <r>
    <x v="243"/>
    <x v="46"/>
    <x v="215"/>
    <m/>
    <m/>
    <m/>
  </r>
  <r>
    <x v="243"/>
    <x v="32"/>
    <x v="215"/>
    <m/>
    <m/>
    <m/>
  </r>
  <r>
    <x v="145"/>
    <x v="27"/>
    <x v="215"/>
    <n v="194"/>
    <m/>
    <s v="1 Toby Box / 1 Dap / 2 Splices"/>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n v="1640"/>
    <m/>
    <s v="6 Toby Boxes / 6 Daps / 14 Splices"/>
  </r>
  <r>
    <x v="307"/>
    <x v="5"/>
    <x v="215"/>
    <m/>
    <m/>
    <m/>
  </r>
  <r>
    <x v="302"/>
    <x v="5"/>
    <x v="215"/>
    <m/>
    <m/>
    <m/>
  </r>
  <r>
    <x v="246"/>
    <x v="5"/>
    <x v="215"/>
    <m/>
    <m/>
    <m/>
  </r>
  <r>
    <x v="308"/>
    <x v="5"/>
    <x v="215"/>
    <m/>
    <m/>
    <m/>
  </r>
  <r>
    <x v="293"/>
    <x v="46"/>
    <x v="216"/>
    <m/>
    <m/>
    <m/>
  </r>
  <r>
    <x v="243"/>
    <x v="46"/>
    <x v="216"/>
    <m/>
    <m/>
    <m/>
  </r>
  <r>
    <x v="243"/>
    <x v="32"/>
    <x v="216"/>
    <m/>
    <m/>
    <m/>
  </r>
  <r>
    <x v="145"/>
    <x v="27"/>
    <x v="216"/>
    <m/>
    <m/>
    <m/>
  </r>
  <r>
    <x v="300"/>
    <x v="36"/>
    <x v="216"/>
    <m/>
    <m/>
    <m/>
  </r>
  <r>
    <x v="299"/>
    <x v="5"/>
    <x v="216"/>
    <m/>
    <m/>
    <m/>
  </r>
  <r>
    <x v="304"/>
    <x v="6"/>
    <x v="216"/>
    <m/>
    <m/>
    <m/>
  </r>
  <r>
    <x v="263"/>
    <x v="27"/>
    <x v="216"/>
    <m/>
    <m/>
    <m/>
  </r>
  <r>
    <x v="306"/>
    <x v="45"/>
    <x v="216"/>
    <m/>
    <m/>
    <m/>
  </r>
  <r>
    <x v="307"/>
    <x v="5"/>
    <x v="216"/>
    <m/>
    <m/>
    <m/>
  </r>
  <r>
    <x v="302"/>
    <x v="5"/>
    <x v="216"/>
    <m/>
    <m/>
    <m/>
  </r>
  <r>
    <x v="246"/>
    <x v="5"/>
    <x v="216"/>
    <m/>
    <m/>
    <m/>
  </r>
  <r>
    <x v="308"/>
    <x v="5"/>
    <x v="216"/>
    <m/>
    <m/>
    <m/>
  </r>
  <r>
    <x v="125"/>
    <x v="5"/>
    <x v="216"/>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105"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5">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6">
        <v>1980</v>
      </c>
      <c r="X114" s="485">
        <f t="shared" si="9"/>
        <v>4423</v>
      </c>
      <c r="Y114" s="898">
        <f t="shared" si="10"/>
        <v>0.30923004841480556</v>
      </c>
      <c r="Z114" s="1234">
        <v>46000</v>
      </c>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361</v>
      </c>
      <c r="AE115" s="400"/>
    </row>
    <row r="116" spans="1:31" ht="24.75" customHeight="1">
      <c r="A116" s="1042" t="s">
        <v>362</v>
      </c>
      <c r="B116" s="463" t="s">
        <v>340</v>
      </c>
      <c r="C116" s="386">
        <v>46021</v>
      </c>
      <c r="D116" s="1021" t="s">
        <v>166</v>
      </c>
      <c r="E116" s="386">
        <v>45959</v>
      </c>
      <c r="F116" s="385" t="s">
        <v>142</v>
      </c>
      <c r="G116" s="653" t="s">
        <v>363</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364</v>
      </c>
      <c r="AE116" s="400"/>
    </row>
    <row r="117" spans="1:31" ht="24.75" customHeight="1">
      <c r="A117" s="1042" t="s">
        <v>365</v>
      </c>
      <c r="B117" s="463" t="s">
        <v>340</v>
      </c>
      <c r="C117" s="386">
        <v>46021</v>
      </c>
      <c r="D117" s="1021" t="s">
        <v>166</v>
      </c>
      <c r="E117" s="386">
        <v>45959</v>
      </c>
      <c r="F117" s="385" t="s">
        <v>142</v>
      </c>
      <c r="G117" s="653" t="s">
        <v>366</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6">
        <v>2855</v>
      </c>
      <c r="X117" s="485">
        <f t="shared" si="9"/>
        <v>4110</v>
      </c>
      <c r="Y117" s="898">
        <f t="shared" si="10"/>
        <v>0.40990667623833454</v>
      </c>
      <c r="Z117" s="1233">
        <v>45999</v>
      </c>
      <c r="AA117" s="617">
        <v>0</v>
      </c>
      <c r="AB117" s="617">
        <v>0</v>
      </c>
      <c r="AC117" s="1027">
        <v>0</v>
      </c>
      <c r="AD117" s="449" t="s">
        <v>361</v>
      </c>
      <c r="AE117" s="400"/>
    </row>
    <row r="118" spans="1:31" ht="24.75" customHeight="1">
      <c r="A118" s="1042" t="s">
        <v>367</v>
      </c>
      <c r="B118" s="463" t="s">
        <v>340</v>
      </c>
      <c r="C118" s="386">
        <v>45989</v>
      </c>
      <c r="D118" s="1021" t="s">
        <v>166</v>
      </c>
      <c r="E118" s="386">
        <v>45959</v>
      </c>
      <c r="F118" s="385" t="s">
        <v>142</v>
      </c>
      <c r="G118" s="653" t="s">
        <v>368</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369</v>
      </c>
      <c r="AE118" s="400"/>
    </row>
    <row r="119" spans="1:31" ht="24.75" customHeight="1">
      <c r="A119" s="1042" t="s">
        <v>370</v>
      </c>
      <c r="B119" s="463" t="s">
        <v>340</v>
      </c>
      <c r="C119" s="386">
        <v>46021</v>
      </c>
      <c r="D119" s="1021" t="s">
        <v>166</v>
      </c>
      <c r="E119" s="386">
        <v>45987</v>
      </c>
      <c r="F119" s="385" t="s">
        <v>142</v>
      </c>
      <c r="G119" s="653" t="s">
        <v>371</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372</v>
      </c>
      <c r="AE119" s="400"/>
    </row>
    <row r="120" spans="1:31" ht="24.75" customHeight="1">
      <c r="A120" s="1042" t="s">
        <v>373</v>
      </c>
      <c r="B120" s="463" t="s">
        <v>340</v>
      </c>
      <c r="C120" s="386">
        <v>46021</v>
      </c>
      <c r="D120" s="1021" t="s">
        <v>166</v>
      </c>
      <c r="E120" s="386">
        <v>45987</v>
      </c>
      <c r="F120" s="385" t="s">
        <v>142</v>
      </c>
      <c r="G120" s="653" t="s">
        <v>374</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372</v>
      </c>
      <c r="AE120" s="400"/>
    </row>
    <row r="121" spans="1:31" ht="24.75" customHeight="1">
      <c r="A121" s="1042" t="s">
        <v>375</v>
      </c>
      <c r="B121" s="463" t="s">
        <v>340</v>
      </c>
      <c r="C121" s="386">
        <v>46021</v>
      </c>
      <c r="D121" s="1021" t="s">
        <v>166</v>
      </c>
      <c r="E121" s="386">
        <v>45987</v>
      </c>
      <c r="F121" s="385" t="s">
        <v>142</v>
      </c>
      <c r="G121" s="653" t="s">
        <v>376</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372</v>
      </c>
      <c r="AE121" s="400"/>
    </row>
    <row r="122" spans="1:31" ht="24.75" customHeight="1">
      <c r="A122" s="1042" t="s">
        <v>377</v>
      </c>
      <c r="B122" s="463" t="s">
        <v>340</v>
      </c>
      <c r="C122" s="386">
        <v>46021</v>
      </c>
      <c r="D122" s="1021" t="s">
        <v>166</v>
      </c>
      <c r="E122" s="386">
        <v>45987</v>
      </c>
      <c r="F122" s="385" t="s">
        <v>142</v>
      </c>
      <c r="G122" s="653" t="s">
        <v>378</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372</v>
      </c>
      <c r="AE122" s="400"/>
    </row>
    <row r="123" spans="1:31" ht="24.75" customHeight="1">
      <c r="A123" s="1042" t="s">
        <v>379</v>
      </c>
      <c r="B123" s="463" t="s">
        <v>340</v>
      </c>
      <c r="C123" s="386">
        <v>46021</v>
      </c>
      <c r="D123" s="1021" t="s">
        <v>166</v>
      </c>
      <c r="E123" s="386">
        <v>45987</v>
      </c>
      <c r="F123" s="385" t="s">
        <v>142</v>
      </c>
      <c r="G123" s="653" t="s">
        <v>380</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372</v>
      </c>
      <c r="AE123" s="400"/>
    </row>
    <row r="124" spans="1:31" ht="24.75" customHeight="1">
      <c r="A124" s="1043" t="s">
        <v>381</v>
      </c>
      <c r="B124" s="463" t="s">
        <v>340</v>
      </c>
      <c r="C124" s="386">
        <v>45989</v>
      </c>
      <c r="D124" s="1021" t="s">
        <v>166</v>
      </c>
      <c r="E124" s="386">
        <v>45959</v>
      </c>
      <c r="F124" s="385" t="s">
        <v>142</v>
      </c>
      <c r="G124" s="653" t="s">
        <v>382</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383</v>
      </c>
      <c r="AE124" s="400"/>
    </row>
    <row r="125" spans="1:31" ht="24.75" customHeight="1">
      <c r="A125" s="1043" t="s">
        <v>384</v>
      </c>
      <c r="B125" s="463" t="s">
        <v>340</v>
      </c>
      <c r="C125" s="386">
        <v>45989</v>
      </c>
      <c r="D125" s="1021" t="s">
        <v>166</v>
      </c>
      <c r="E125" s="386">
        <v>45959</v>
      </c>
      <c r="F125" s="385" t="s">
        <v>142</v>
      </c>
      <c r="G125" s="653" t="s">
        <v>385</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386</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388</v>
      </c>
      <c r="B2" s="857" t="s">
        <v>235</v>
      </c>
      <c r="C2" s="480">
        <v>45960</v>
      </c>
      <c r="D2" s="480" t="s">
        <v>389</v>
      </c>
      <c r="E2" s="480">
        <v>45897</v>
      </c>
      <c r="F2" s="478" t="s">
        <v>257</v>
      </c>
      <c r="G2" s="701"/>
      <c r="H2" s="482">
        <v>0</v>
      </c>
      <c r="I2" s="680" t="s">
        <v>390</v>
      </c>
      <c r="J2" s="482" t="s">
        <v>63</v>
      </c>
      <c r="K2" s="482"/>
      <c r="L2" s="480">
        <v>45891</v>
      </c>
      <c r="M2" s="482" t="s">
        <v>57</v>
      </c>
      <c r="N2" s="558">
        <v>184994.5</v>
      </c>
      <c r="O2" s="482" t="s">
        <v>57</v>
      </c>
      <c r="P2" s="642" t="s">
        <v>391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390</v>
      </c>
      <c r="J3" s="482" t="s">
        <v>63</v>
      </c>
      <c r="K3" s="482"/>
      <c r="L3" s="480">
        <v>45905</v>
      </c>
      <c r="M3" s="482" t="s">
        <v>57</v>
      </c>
      <c r="N3" s="558">
        <v>98170.1</v>
      </c>
      <c r="O3" s="482" t="s">
        <v>57</v>
      </c>
      <c r="P3" s="642" t="s">
        <v>391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390</v>
      </c>
      <c r="J4" s="482" t="s">
        <v>63</v>
      </c>
      <c r="K4" s="491"/>
      <c r="L4" s="386">
        <v>45943</v>
      </c>
      <c r="M4" s="1173" t="s">
        <v>57</v>
      </c>
      <c r="N4" s="558">
        <v>2167.3000000000002</v>
      </c>
      <c r="O4" s="482" t="s">
        <v>57</v>
      </c>
      <c r="P4" s="642" t="s">
        <v>391</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390</v>
      </c>
      <c r="J5" s="482" t="s">
        <v>63</v>
      </c>
      <c r="K5" s="482"/>
      <c r="L5" s="51">
        <v>45960</v>
      </c>
      <c r="M5" s="1051" t="s">
        <v>57</v>
      </c>
      <c r="N5" s="559">
        <v>4911.8999999999996</v>
      </c>
      <c r="O5" s="491" t="s">
        <v>57</v>
      </c>
      <c r="P5" s="642" t="s">
        <v>391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390</v>
      </c>
      <c r="J6" s="858" t="s">
        <v>63</v>
      </c>
      <c r="K6" s="502"/>
      <c r="L6" s="51">
        <v>45902</v>
      </c>
      <c r="M6" s="1174" t="s">
        <v>57</v>
      </c>
      <c r="N6" s="859">
        <v>87830</v>
      </c>
      <c r="O6" s="854" t="s">
        <v>57</v>
      </c>
      <c r="P6" s="642" t="s">
        <v>391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390</v>
      </c>
      <c r="J7" s="482" t="s">
        <v>63</v>
      </c>
      <c r="K7" s="482"/>
      <c r="L7" s="51">
        <v>45932</v>
      </c>
      <c r="M7" s="1174" t="s">
        <v>57</v>
      </c>
      <c r="N7" s="859">
        <v>47064</v>
      </c>
      <c r="O7" s="854" t="s">
        <v>57</v>
      </c>
      <c r="P7" s="642" t="s">
        <v>391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390</v>
      </c>
      <c r="J8" s="858" t="s">
        <v>63</v>
      </c>
      <c r="K8" s="854"/>
      <c r="L8" s="51">
        <v>45902</v>
      </c>
      <c r="M8" s="1174" t="s">
        <v>57</v>
      </c>
      <c r="N8" s="859">
        <v>90173</v>
      </c>
      <c r="O8" s="854" t="s">
        <v>57</v>
      </c>
      <c r="P8" s="642" t="s">
        <v>391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390</v>
      </c>
      <c r="J9" s="858" t="s">
        <v>63</v>
      </c>
      <c r="K9" s="854"/>
      <c r="L9" s="1175">
        <v>45905</v>
      </c>
      <c r="M9" s="854" t="s">
        <v>57</v>
      </c>
      <c r="N9" s="859">
        <v>66674.3</v>
      </c>
      <c r="O9" s="854" t="s">
        <v>57</v>
      </c>
      <c r="P9" s="642" t="s">
        <v>391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390</v>
      </c>
      <c r="J10" s="858" t="s">
        <v>63</v>
      </c>
      <c r="K10" s="482"/>
      <c r="L10" s="489">
        <v>45903</v>
      </c>
      <c r="M10" s="854" t="s">
        <v>57</v>
      </c>
      <c r="N10" s="859">
        <v>93666.75</v>
      </c>
      <c r="O10" s="854" t="s">
        <v>57</v>
      </c>
      <c r="P10" s="642" t="s">
        <v>391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390</v>
      </c>
      <c r="J11" s="491" t="s">
        <v>63</v>
      </c>
      <c r="K11" s="491"/>
      <c r="L11" s="489">
        <v>45716</v>
      </c>
      <c r="M11" s="491" t="s">
        <v>57</v>
      </c>
      <c r="N11" s="559">
        <v>57973.5</v>
      </c>
      <c r="O11" s="491" t="s">
        <v>57</v>
      </c>
      <c r="P11" s="642" t="s">
        <v>391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390</v>
      </c>
      <c r="J12" s="491" t="s">
        <v>63</v>
      </c>
      <c r="K12" s="502"/>
      <c r="L12" s="489">
        <v>45863</v>
      </c>
      <c r="M12" s="491" t="s">
        <v>57</v>
      </c>
      <c r="N12" s="559">
        <v>49223.7</v>
      </c>
      <c r="O12" s="491" t="s">
        <v>57</v>
      </c>
      <c r="P12" s="642" t="s">
        <v>391</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390</v>
      </c>
      <c r="J13" s="491" t="s">
        <v>63</v>
      </c>
      <c r="K13" s="502"/>
      <c r="L13" s="489">
        <v>45879</v>
      </c>
      <c r="M13" s="491" t="s">
        <v>57</v>
      </c>
      <c r="N13" s="559">
        <v>68151.75</v>
      </c>
      <c r="O13" s="491" t="s">
        <v>57</v>
      </c>
      <c r="P13" s="642" t="s">
        <v>391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390</v>
      </c>
      <c r="J14" s="491" t="s">
        <v>63</v>
      </c>
      <c r="K14" s="502"/>
      <c r="L14" s="489" t="s">
        <v>52</v>
      </c>
      <c r="M14" s="491" t="s">
        <v>57</v>
      </c>
      <c r="N14" s="559">
        <v>29960</v>
      </c>
      <c r="O14" s="491" t="s">
        <v>57</v>
      </c>
      <c r="P14" s="642" t="s">
        <v>391</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390</v>
      </c>
      <c r="J15" s="491" t="s">
        <v>63</v>
      </c>
      <c r="K15" s="502"/>
      <c r="L15" s="489" t="s">
        <v>52</v>
      </c>
      <c r="M15" s="491" t="s">
        <v>57</v>
      </c>
      <c r="N15" s="559">
        <v>50539.6</v>
      </c>
      <c r="O15" s="491" t="s">
        <v>57</v>
      </c>
      <c r="P15" s="642" t="s">
        <v>391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390</v>
      </c>
      <c r="J16" s="491" t="s">
        <v>63</v>
      </c>
      <c r="K16" s="482"/>
      <c r="L16" s="489" t="s">
        <v>52</v>
      </c>
      <c r="M16" s="491" t="s">
        <v>57</v>
      </c>
      <c r="N16" s="559">
        <v>2670.65</v>
      </c>
      <c r="O16" s="491" t="s">
        <v>57</v>
      </c>
      <c r="P16" s="642" t="s">
        <v>391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390</v>
      </c>
      <c r="J17" s="858" t="s">
        <v>63</v>
      </c>
      <c r="K17" s="482"/>
      <c r="L17" s="489" t="s">
        <v>52</v>
      </c>
      <c r="M17" s="491" t="s">
        <v>57</v>
      </c>
      <c r="N17" s="559">
        <v>111432</v>
      </c>
      <c r="O17" s="491" t="s">
        <v>57</v>
      </c>
      <c r="P17" s="642" t="s">
        <v>391</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390</v>
      </c>
      <c r="J18" s="491" t="s">
        <v>63</v>
      </c>
      <c r="K18" s="482"/>
      <c r="L18" s="489" t="s">
        <v>52</v>
      </c>
      <c r="M18" s="491" t="s">
        <v>57</v>
      </c>
      <c r="N18" s="559">
        <v>101871</v>
      </c>
      <c r="O18" s="491" t="s">
        <v>57</v>
      </c>
      <c r="P18" s="642" t="s">
        <v>391</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390</v>
      </c>
      <c r="J19" s="491" t="s">
        <v>63</v>
      </c>
      <c r="K19" s="482"/>
      <c r="L19" s="489">
        <v>45965</v>
      </c>
      <c r="M19" s="491" t="s">
        <v>57</v>
      </c>
      <c r="N19" s="559">
        <v>90786</v>
      </c>
      <c r="O19" s="491" t="s">
        <v>57</v>
      </c>
      <c r="P19" s="642" t="s">
        <v>391</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390</v>
      </c>
      <c r="J20" s="482" t="s">
        <v>63</v>
      </c>
      <c r="K20" s="974"/>
      <c r="L20" s="480">
        <v>45793</v>
      </c>
      <c r="M20" s="482" t="s">
        <v>57</v>
      </c>
      <c r="N20" s="558">
        <v>53589.8</v>
      </c>
      <c r="O20" s="482" t="s">
        <v>57</v>
      </c>
      <c r="P20" s="642" t="s">
        <v>391</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390</v>
      </c>
      <c r="J21" s="482" t="s">
        <v>63</v>
      </c>
      <c r="K21" s="482"/>
      <c r="L21" s="480">
        <v>45979</v>
      </c>
      <c r="M21" s="482" t="s">
        <v>57</v>
      </c>
      <c r="N21" s="558">
        <v>29683</v>
      </c>
      <c r="O21" s="482" t="s">
        <v>57</v>
      </c>
      <c r="P21" s="642" t="s">
        <v>391</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390</v>
      </c>
      <c r="J22" s="482" t="s">
        <v>63</v>
      </c>
      <c r="K22" s="482"/>
      <c r="L22" s="480">
        <v>45962</v>
      </c>
      <c r="M22" s="482" t="s">
        <v>57</v>
      </c>
      <c r="N22" s="558">
        <v>37418</v>
      </c>
      <c r="O22" s="482" t="s">
        <v>57</v>
      </c>
      <c r="P22" s="642" t="s">
        <v>391</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390</v>
      </c>
      <c r="J23" s="482" t="s">
        <v>63</v>
      </c>
      <c r="K23" s="482"/>
      <c r="L23" s="480">
        <v>45969</v>
      </c>
      <c r="M23" s="482" t="s">
        <v>57</v>
      </c>
      <c r="N23" s="558">
        <v>75672.100000000006</v>
      </c>
      <c r="O23" s="482" t="s">
        <v>57</v>
      </c>
      <c r="P23" s="642" t="s">
        <v>391</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390</v>
      </c>
      <c r="J24" s="482" t="s">
        <v>63</v>
      </c>
      <c r="K24" s="482"/>
      <c r="L24" s="480">
        <v>45967</v>
      </c>
      <c r="M24" s="482" t="s">
        <v>57</v>
      </c>
      <c r="N24" s="558">
        <v>76565.850000000006</v>
      </c>
      <c r="O24" s="482" t="s">
        <v>57</v>
      </c>
      <c r="P24" s="642" t="s">
        <v>391</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390</v>
      </c>
      <c r="J25" s="482" t="s">
        <v>63</v>
      </c>
      <c r="K25" s="482"/>
      <c r="L25" s="480">
        <v>45969</v>
      </c>
      <c r="M25" s="482" t="s">
        <v>57</v>
      </c>
      <c r="N25" s="558">
        <v>66402</v>
      </c>
      <c r="O25" s="482" t="s">
        <v>57</v>
      </c>
      <c r="P25" s="642" t="s">
        <v>391</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390</v>
      </c>
      <c r="J26" s="482" t="s">
        <v>63</v>
      </c>
      <c r="K26" s="482"/>
      <c r="L26" s="480">
        <v>45967</v>
      </c>
      <c r="M26" s="482" t="s">
        <v>57</v>
      </c>
      <c r="N26" s="558">
        <v>60620</v>
      </c>
      <c r="O26" s="482" t="s">
        <v>57</v>
      </c>
      <c r="P26" s="642" t="s">
        <v>391</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390</v>
      </c>
      <c r="J27" s="482" t="s">
        <v>63</v>
      </c>
      <c r="K27" s="482"/>
      <c r="L27" s="480">
        <v>45968</v>
      </c>
      <c r="M27" s="482" t="s">
        <v>57</v>
      </c>
      <c r="N27" s="558">
        <v>12840.7</v>
      </c>
      <c r="O27" s="482" t="s">
        <v>57</v>
      </c>
      <c r="P27" s="642" t="s">
        <v>391</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390</v>
      </c>
      <c r="J28" s="482" t="s">
        <v>63</v>
      </c>
      <c r="K28" s="482"/>
      <c r="L28" s="480" t="s">
        <v>180</v>
      </c>
      <c r="M28" s="482" t="s">
        <v>57</v>
      </c>
      <c r="N28" s="558">
        <v>51970</v>
      </c>
      <c r="O28" s="482" t="s">
        <v>57</v>
      </c>
      <c r="P28" s="642" t="s">
        <v>391</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390</v>
      </c>
      <c r="J29" s="482" t="s">
        <v>63</v>
      </c>
      <c r="K29" s="482"/>
      <c r="L29" s="480">
        <v>45790</v>
      </c>
      <c r="M29" s="482" t="s">
        <v>57</v>
      </c>
      <c r="N29" s="558">
        <v>63283</v>
      </c>
      <c r="O29" s="482" t="s">
        <v>57</v>
      </c>
      <c r="P29" s="642" t="s">
        <v>391</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390</v>
      </c>
      <c r="J30" s="482" t="s">
        <v>63</v>
      </c>
      <c r="K30" s="482"/>
      <c r="L30" s="480" t="s">
        <v>180</v>
      </c>
      <c r="M30" s="482" t="s">
        <v>57</v>
      </c>
      <c r="N30" s="558">
        <v>1931.75</v>
      </c>
      <c r="O30" s="482" t="s">
        <v>57</v>
      </c>
      <c r="P30" s="1126" t="s">
        <v>391</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390</v>
      </c>
      <c r="J31" s="482" t="s">
        <v>63</v>
      </c>
      <c r="K31" s="482"/>
      <c r="L31" s="480" t="s">
        <v>180</v>
      </c>
      <c r="M31" s="482" t="s">
        <v>57</v>
      </c>
      <c r="N31" s="558">
        <v>74164.05</v>
      </c>
      <c r="O31" s="482" t="s">
        <v>57</v>
      </c>
      <c r="P31" s="1126" t="s">
        <v>391</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390</v>
      </c>
      <c r="J32" s="482" t="s">
        <v>56</v>
      </c>
      <c r="K32" s="482"/>
      <c r="L32" s="480">
        <v>45937</v>
      </c>
      <c r="M32" s="482" t="s">
        <v>57</v>
      </c>
      <c r="N32" s="558">
        <v>210533.1</v>
      </c>
      <c r="O32" s="482" t="s">
        <v>57</v>
      </c>
      <c r="P32" s="642" t="s">
        <v>391</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390</v>
      </c>
      <c r="J33" s="482" t="s">
        <v>56</v>
      </c>
      <c r="K33" s="482"/>
      <c r="L33" s="480">
        <v>45953</v>
      </c>
      <c r="M33" s="482" t="s">
        <v>57</v>
      </c>
      <c r="N33" s="558">
        <v>168480.8</v>
      </c>
      <c r="O33" s="482" t="s">
        <v>57</v>
      </c>
      <c r="P33" s="642" t="s">
        <v>391</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390</v>
      </c>
      <c r="J34" s="482" t="s">
        <v>56</v>
      </c>
      <c r="K34" s="482"/>
      <c r="L34" s="480">
        <v>45943</v>
      </c>
      <c r="M34" s="482" t="s">
        <v>57</v>
      </c>
      <c r="N34" s="558">
        <v>64059.5</v>
      </c>
      <c r="O34" s="482" t="s">
        <v>57</v>
      </c>
      <c r="P34" s="642" t="s">
        <v>391</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390</v>
      </c>
      <c r="J35" s="491" t="s">
        <v>63</v>
      </c>
      <c r="K35" s="1139"/>
      <c r="L35" s="489" t="s">
        <v>52</v>
      </c>
      <c r="M35" s="491" t="s">
        <v>57</v>
      </c>
      <c r="N35" s="1140">
        <v>4046.5</v>
      </c>
      <c r="O35" s="491" t="s">
        <v>57</v>
      </c>
      <c r="P35" s="642" t="s">
        <v>391</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390</v>
      </c>
      <c r="J36" s="491" t="s">
        <v>63</v>
      </c>
      <c r="K36" s="1139"/>
      <c r="L36" s="489" t="s">
        <v>52</v>
      </c>
      <c r="M36" s="491" t="s">
        <v>57</v>
      </c>
      <c r="N36" s="1140">
        <v>29180.45</v>
      </c>
      <c r="O36" s="491" t="s">
        <v>57</v>
      </c>
      <c r="P36" s="642" t="s">
        <v>391</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390</v>
      </c>
      <c r="J37" s="491" t="s">
        <v>63</v>
      </c>
      <c r="K37" s="1139"/>
      <c r="L37" s="489" t="s">
        <v>52</v>
      </c>
      <c r="M37" s="491" t="s">
        <v>57</v>
      </c>
      <c r="N37" s="1140">
        <v>170</v>
      </c>
      <c r="O37" s="491" t="s">
        <v>57</v>
      </c>
      <c r="P37" s="731" t="s">
        <v>391</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390</v>
      </c>
      <c r="J38" s="491" t="s">
        <v>63</v>
      </c>
      <c r="K38" s="1139"/>
      <c r="L38" s="489" t="s">
        <v>52</v>
      </c>
      <c r="M38" s="491" t="s">
        <v>57</v>
      </c>
      <c r="N38" s="1140">
        <v>170</v>
      </c>
      <c r="O38" s="491" t="s">
        <v>57</v>
      </c>
      <c r="P38" s="1012" t="s">
        <v>391</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390</v>
      </c>
      <c r="J39" s="491" t="s">
        <v>63</v>
      </c>
      <c r="K39" s="1139"/>
      <c r="L39" s="489" t="s">
        <v>52</v>
      </c>
      <c r="M39" s="491" t="s">
        <v>57</v>
      </c>
      <c r="N39" s="1140">
        <v>26696</v>
      </c>
      <c r="O39" s="491" t="s">
        <v>57</v>
      </c>
      <c r="P39" s="642" t="s">
        <v>391</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390</v>
      </c>
      <c r="J40" s="491" t="s">
        <v>63</v>
      </c>
      <c r="K40" s="1139"/>
      <c r="L40" s="480">
        <v>45964</v>
      </c>
      <c r="M40" s="491" t="s">
        <v>57</v>
      </c>
      <c r="N40" s="1140">
        <v>170</v>
      </c>
      <c r="O40" s="491" t="s">
        <v>57</v>
      </c>
      <c r="P40" s="642" t="s">
        <v>391</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390</v>
      </c>
      <c r="J41" s="1026" t="s">
        <v>63</v>
      </c>
      <c r="K41" s="1064"/>
      <c r="L41" s="489" t="s">
        <v>52</v>
      </c>
      <c r="M41" s="1026" t="s">
        <v>57</v>
      </c>
      <c r="N41" s="1131">
        <v>25891</v>
      </c>
      <c r="O41" s="52" t="s">
        <v>57</v>
      </c>
      <c r="P41" s="1133" t="s">
        <v>391</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390</v>
      </c>
      <c r="J42" s="1026" t="s">
        <v>63</v>
      </c>
      <c r="K42" s="1064"/>
      <c r="L42" s="489" t="s">
        <v>52</v>
      </c>
      <c r="M42" s="1026" t="s">
        <v>57</v>
      </c>
      <c r="N42" s="1131">
        <v>170</v>
      </c>
      <c r="O42" s="52" t="s">
        <v>57</v>
      </c>
      <c r="P42" s="1133" t="s">
        <v>391</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390</v>
      </c>
      <c r="J43" s="1026" t="s">
        <v>63</v>
      </c>
      <c r="K43" s="1064"/>
      <c r="L43" s="489" t="s">
        <v>52</v>
      </c>
      <c r="M43" s="1026" t="s">
        <v>57</v>
      </c>
      <c r="N43" s="1131">
        <v>30788</v>
      </c>
      <c r="O43" s="52" t="s">
        <v>57</v>
      </c>
      <c r="P43" s="1133" t="s">
        <v>391</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390</v>
      </c>
      <c r="J44" s="1026" t="s">
        <v>63</v>
      </c>
      <c r="K44" s="1064"/>
      <c r="L44" s="489" t="s">
        <v>52</v>
      </c>
      <c r="M44" s="1026" t="s">
        <v>57</v>
      </c>
      <c r="N44" s="1131">
        <v>5668</v>
      </c>
      <c r="O44" s="52" t="s">
        <v>57</v>
      </c>
      <c r="P44" s="1133" t="s">
        <v>391</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390</v>
      </c>
      <c r="J45" s="1026" t="s">
        <v>63</v>
      </c>
      <c r="K45" s="1064"/>
      <c r="L45" s="489" t="s">
        <v>52</v>
      </c>
      <c r="M45" s="1026" t="s">
        <v>57</v>
      </c>
      <c r="N45" s="1131">
        <v>170</v>
      </c>
      <c r="O45" s="52" t="s">
        <v>57</v>
      </c>
      <c r="P45" s="1133" t="s">
        <v>391</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390</v>
      </c>
      <c r="J46" s="1026" t="s">
        <v>63</v>
      </c>
      <c r="K46" s="666"/>
      <c r="L46" s="51">
        <v>45964</v>
      </c>
      <c r="M46" s="52" t="s">
        <v>57</v>
      </c>
      <c r="N46" s="865">
        <v>84750.5</v>
      </c>
      <c r="O46" s="52" t="s">
        <v>57</v>
      </c>
      <c r="P46" s="1133" t="s">
        <v>391</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390</v>
      </c>
      <c r="J47" s="1026" t="s">
        <v>63</v>
      </c>
      <c r="K47" s="666"/>
      <c r="L47" s="51">
        <v>45964</v>
      </c>
      <c r="M47" s="1026" t="s">
        <v>57</v>
      </c>
      <c r="N47" s="865">
        <v>65066.5</v>
      </c>
      <c r="O47" s="52" t="s">
        <v>57</v>
      </c>
      <c r="P47" s="1133" t="s">
        <v>391</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390</v>
      </c>
      <c r="J48" s="1026" t="s">
        <v>63</v>
      </c>
      <c r="K48" s="666"/>
      <c r="L48" s="51">
        <v>45964</v>
      </c>
      <c r="M48" s="1026" t="s">
        <v>57</v>
      </c>
      <c r="N48" s="865">
        <v>81602</v>
      </c>
      <c r="O48" s="52" t="s">
        <v>57</v>
      </c>
      <c r="P48" s="1133" t="s">
        <v>391</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390</v>
      </c>
      <c r="J49" s="1026" t="s">
        <v>63</v>
      </c>
      <c r="K49" s="666"/>
      <c r="L49" s="51">
        <v>45961</v>
      </c>
      <c r="M49" s="52" t="s">
        <v>57</v>
      </c>
      <c r="N49" s="865">
        <v>88231.9</v>
      </c>
      <c r="O49" s="52" t="s">
        <v>57</v>
      </c>
      <c r="P49" s="1133" t="s">
        <v>391</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390</v>
      </c>
      <c r="J50" s="1026" t="s">
        <v>63</v>
      </c>
      <c r="K50" s="666"/>
      <c r="L50" s="51">
        <v>45964</v>
      </c>
      <c r="M50" s="1026" t="s">
        <v>57</v>
      </c>
      <c r="N50" s="865">
        <v>93578</v>
      </c>
      <c r="O50" s="52" t="s">
        <v>57</v>
      </c>
      <c r="P50" s="1133" t="s">
        <v>391</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390</v>
      </c>
      <c r="J51" s="1026" t="s">
        <v>63</v>
      </c>
      <c r="K51" s="666"/>
      <c r="L51" s="51">
        <v>45964</v>
      </c>
      <c r="M51" s="52" t="s">
        <v>57</v>
      </c>
      <c r="N51" s="865">
        <v>84896</v>
      </c>
      <c r="O51" s="52" t="s">
        <v>57</v>
      </c>
      <c r="P51" s="1133" t="s">
        <v>391</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390</v>
      </c>
      <c r="J52" s="1026" t="s">
        <v>63</v>
      </c>
      <c r="K52" s="666"/>
      <c r="L52" s="51">
        <v>45964</v>
      </c>
      <c r="M52" s="1026" t="s">
        <v>57</v>
      </c>
      <c r="N52" s="865">
        <v>96685</v>
      </c>
      <c r="O52" s="52" t="s">
        <v>57</v>
      </c>
      <c r="P52" s="1133" t="s">
        <v>391</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390</v>
      </c>
      <c r="J53" s="1026" t="s">
        <v>63</v>
      </c>
      <c r="K53" s="666"/>
      <c r="L53" s="51">
        <v>45961</v>
      </c>
      <c r="M53" s="1026" t="s">
        <v>57</v>
      </c>
      <c r="N53" s="865">
        <v>83615</v>
      </c>
      <c r="O53" s="52" t="s">
        <v>57</v>
      </c>
      <c r="P53" s="1133" t="s">
        <v>391</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390</v>
      </c>
      <c r="J54" s="482" t="s">
        <v>63</v>
      </c>
      <c r="K54" s="938"/>
      <c r="L54" s="51">
        <v>45741</v>
      </c>
      <c r="M54" s="387" t="s">
        <v>57</v>
      </c>
      <c r="N54" s="865">
        <v>67734.5</v>
      </c>
      <c r="O54" s="387" t="s">
        <v>57</v>
      </c>
      <c r="P54" s="1133" t="s">
        <v>391</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390</v>
      </c>
      <c r="J55" s="491" t="s">
        <v>63</v>
      </c>
      <c r="K55" s="52"/>
      <c r="L55" s="386">
        <v>45716</v>
      </c>
      <c r="M55" s="52" t="s">
        <v>57</v>
      </c>
      <c r="N55" s="1141">
        <v>56262.5</v>
      </c>
      <c r="O55" s="52" t="s">
        <v>57</v>
      </c>
      <c r="P55" s="1133" t="s">
        <v>391</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390</v>
      </c>
      <c r="J56" s="482" t="s">
        <v>63</v>
      </c>
      <c r="K56" s="850"/>
      <c r="L56" s="489">
        <v>45741</v>
      </c>
      <c r="M56" s="482" t="s">
        <v>57</v>
      </c>
      <c r="N56" s="559">
        <v>17203.45</v>
      </c>
      <c r="O56" s="482" t="s">
        <v>57</v>
      </c>
      <c r="P56" s="1012" t="s">
        <v>391</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390</v>
      </c>
      <c r="J57" s="482" t="s">
        <v>63</v>
      </c>
      <c r="K57" s="938"/>
      <c r="L57" s="51">
        <v>45742</v>
      </c>
      <c r="M57" s="944" t="s">
        <v>57</v>
      </c>
      <c r="N57" s="1141">
        <v>23800.25</v>
      </c>
      <c r="O57" s="387" t="s">
        <v>57</v>
      </c>
      <c r="P57" s="1133" t="s">
        <v>391</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390</v>
      </c>
      <c r="J58" s="482" t="s">
        <v>56</v>
      </c>
      <c r="K58" s="52"/>
      <c r="L58" s="51" t="s">
        <v>52</v>
      </c>
      <c r="M58" s="1026" t="s">
        <v>57</v>
      </c>
      <c r="N58" s="1141">
        <v>42766.5</v>
      </c>
      <c r="O58" s="52" t="s">
        <v>57</v>
      </c>
      <c r="P58" s="1133" t="s">
        <v>391</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390</v>
      </c>
      <c r="J59" s="482" t="s">
        <v>56</v>
      </c>
      <c r="K59" s="97"/>
      <c r="L59" s="51" t="s">
        <v>52</v>
      </c>
      <c r="M59" s="1026" t="s">
        <v>57</v>
      </c>
      <c r="N59" s="1141">
        <v>86136</v>
      </c>
      <c r="O59" s="52" t="s">
        <v>57</v>
      </c>
      <c r="P59" s="1133" t="s">
        <v>391</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390</v>
      </c>
      <c r="J2" s="482" t="s">
        <v>63</v>
      </c>
      <c r="K2" s="482"/>
      <c r="L2" s="480">
        <v>45852</v>
      </c>
      <c r="M2" s="482" t="s">
        <v>57</v>
      </c>
      <c r="N2" s="558">
        <v>42837.2</v>
      </c>
      <c r="O2" s="482" t="s">
        <v>57</v>
      </c>
      <c r="P2" s="827" t="s">
        <v>391</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390</v>
      </c>
      <c r="J3" s="491" t="s">
        <v>63</v>
      </c>
      <c r="K3" s="502"/>
      <c r="L3" s="480">
        <v>45716</v>
      </c>
      <c r="M3" s="491" t="s">
        <v>57</v>
      </c>
      <c r="N3" s="559">
        <v>64932.55</v>
      </c>
      <c r="O3" s="491" t="s">
        <v>57</v>
      </c>
      <c r="P3" s="827" t="s">
        <v>391</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390</v>
      </c>
      <c r="J4" s="497" t="s">
        <v>63</v>
      </c>
      <c r="K4" s="497"/>
      <c r="L4" s="489">
        <v>45708</v>
      </c>
      <c r="M4" s="497" t="s">
        <v>57</v>
      </c>
      <c r="N4" s="560">
        <v>87944.4</v>
      </c>
      <c r="O4" s="497" t="s">
        <v>57</v>
      </c>
      <c r="P4" s="827" t="s">
        <v>391</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390</v>
      </c>
      <c r="J5" s="491" t="s">
        <v>63</v>
      </c>
      <c r="K5" s="870"/>
      <c r="L5" s="480">
        <v>45716</v>
      </c>
      <c r="M5" s="491" t="s">
        <v>57</v>
      </c>
      <c r="N5" s="558">
        <v>2812.95</v>
      </c>
      <c r="O5" s="491" t="s">
        <v>57</v>
      </c>
      <c r="P5" s="827" t="s">
        <v>391</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390</v>
      </c>
      <c r="J6" s="491" t="s">
        <v>63</v>
      </c>
      <c r="K6" s="502"/>
      <c r="L6" s="480">
        <v>45716</v>
      </c>
      <c r="M6" s="491" t="s">
        <v>57</v>
      </c>
      <c r="N6" s="559">
        <v>28777</v>
      </c>
      <c r="O6" s="491" t="s">
        <v>57</v>
      </c>
      <c r="P6" s="827" t="s">
        <v>391</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390</v>
      </c>
      <c r="J7" s="491" t="s">
        <v>63</v>
      </c>
      <c r="K7" s="502"/>
      <c r="L7" s="489">
        <v>45863</v>
      </c>
      <c r="M7" s="491" t="s">
        <v>57</v>
      </c>
      <c r="N7" s="559">
        <v>143407.25</v>
      </c>
      <c r="O7" s="491" t="s">
        <v>57</v>
      </c>
      <c r="P7" s="827" t="s">
        <v>391</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390</v>
      </c>
      <c r="J8" s="491" t="s">
        <v>63</v>
      </c>
      <c r="K8" s="502"/>
      <c r="L8" s="489">
        <v>45881</v>
      </c>
      <c r="M8" s="491" t="s">
        <v>57</v>
      </c>
      <c r="N8" s="559">
        <v>4815.6499999999996</v>
      </c>
      <c r="O8" s="491" t="s">
        <v>57</v>
      </c>
      <c r="P8" s="827" t="s">
        <v>391</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390</v>
      </c>
      <c r="J9" s="405" t="s">
        <v>63</v>
      </c>
      <c r="K9" s="405"/>
      <c r="L9" s="862" t="s">
        <v>52</v>
      </c>
      <c r="M9" s="405" t="s">
        <v>57</v>
      </c>
      <c r="N9" s="865">
        <v>4646.75</v>
      </c>
      <c r="O9" s="405" t="s">
        <v>88</v>
      </c>
      <c r="P9" s="948" t="s">
        <v>391</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390</v>
      </c>
      <c r="J10" s="482" t="s">
        <v>63</v>
      </c>
      <c r="K10" s="482"/>
      <c r="L10" s="489">
        <v>45918</v>
      </c>
      <c r="M10" s="491" t="s">
        <v>57</v>
      </c>
      <c r="N10" s="559">
        <v>9611.9500000000007</v>
      </c>
      <c r="O10" s="491" t="s">
        <v>57</v>
      </c>
      <c r="P10" s="827" t="s">
        <v>391</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390</v>
      </c>
      <c r="J11" s="491" t="s">
        <v>63</v>
      </c>
      <c r="K11" s="502"/>
      <c r="L11" s="489">
        <v>45888</v>
      </c>
      <c r="M11" s="491" t="s">
        <v>57</v>
      </c>
      <c r="N11" s="559">
        <v>53902</v>
      </c>
      <c r="O11" s="491" t="s">
        <v>57</v>
      </c>
      <c r="P11" s="827" t="s">
        <v>391</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390</v>
      </c>
      <c r="J12" s="482" t="s">
        <v>63</v>
      </c>
      <c r="K12" s="482"/>
      <c r="L12" s="480">
        <v>45897</v>
      </c>
      <c r="M12" s="482" t="s">
        <v>57</v>
      </c>
      <c r="N12" s="558">
        <v>44896.1</v>
      </c>
      <c r="O12" s="482" t="s">
        <v>57</v>
      </c>
      <c r="P12" s="827" t="s">
        <v>391</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390</v>
      </c>
      <c r="J13" s="482" t="s">
        <v>63</v>
      </c>
      <c r="K13" s="482"/>
      <c r="L13" s="480">
        <v>45903</v>
      </c>
      <c r="M13" s="482" t="s">
        <v>57</v>
      </c>
      <c r="N13" s="558">
        <v>59116.7</v>
      </c>
      <c r="O13" s="482" t="s">
        <v>57</v>
      </c>
      <c r="P13" s="827" t="s">
        <v>391</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390</v>
      </c>
      <c r="J14" s="482" t="s">
        <v>63</v>
      </c>
      <c r="K14" s="482"/>
      <c r="L14" s="480">
        <v>45903</v>
      </c>
      <c r="M14" s="482" t="s">
        <v>57</v>
      </c>
      <c r="N14" s="558">
        <v>40406</v>
      </c>
      <c r="O14" s="482" t="s">
        <v>57</v>
      </c>
      <c r="P14" s="827" t="s">
        <v>391</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390</v>
      </c>
      <c r="J15" s="482" t="s">
        <v>63</v>
      </c>
      <c r="K15" s="482"/>
      <c r="L15" s="480">
        <v>45933</v>
      </c>
      <c r="M15" s="482" t="s">
        <v>57</v>
      </c>
      <c r="N15" s="558">
        <v>26026</v>
      </c>
      <c r="O15" s="482" t="s">
        <v>57</v>
      </c>
      <c r="P15" s="827" t="s">
        <v>391</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390</v>
      </c>
      <c r="J16" s="482" t="s">
        <v>63</v>
      </c>
      <c r="K16" s="482"/>
      <c r="L16" s="480">
        <v>45912</v>
      </c>
      <c r="M16" s="482" t="s">
        <v>57</v>
      </c>
      <c r="N16" s="558">
        <v>82621.149999999994</v>
      </c>
      <c r="O16" s="482" t="s">
        <v>57</v>
      </c>
      <c r="P16" s="827" t="s">
        <v>391</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390</v>
      </c>
      <c r="J17" s="482" t="s">
        <v>63</v>
      </c>
      <c r="K17" s="482"/>
      <c r="L17" s="480">
        <v>45933</v>
      </c>
      <c r="M17" s="482" t="s">
        <v>57</v>
      </c>
      <c r="N17" s="558">
        <v>29646</v>
      </c>
      <c r="O17" s="482" t="s">
        <v>57</v>
      </c>
      <c r="P17" s="827" t="s">
        <v>391</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390</v>
      </c>
      <c r="J18" s="482" t="s">
        <v>63</v>
      </c>
      <c r="K18" s="482"/>
      <c r="L18" s="480">
        <v>45933</v>
      </c>
      <c r="M18" s="482" t="s">
        <v>57</v>
      </c>
      <c r="N18" s="558">
        <v>45014</v>
      </c>
      <c r="O18" s="482" t="s">
        <v>57</v>
      </c>
      <c r="P18" s="827" t="s">
        <v>391</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390</v>
      </c>
      <c r="J19" s="482" t="s">
        <v>63</v>
      </c>
      <c r="K19" s="482"/>
      <c r="L19" s="480">
        <v>45936</v>
      </c>
      <c r="M19" s="482" t="s">
        <v>57</v>
      </c>
      <c r="N19" s="558">
        <v>38796</v>
      </c>
      <c r="O19" s="482" t="s">
        <v>57</v>
      </c>
      <c r="P19" s="827" t="s">
        <v>391</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390</v>
      </c>
      <c r="J20" s="482" t="s">
        <v>63</v>
      </c>
      <c r="K20" s="482"/>
      <c r="L20" s="480">
        <v>45962</v>
      </c>
      <c r="M20" s="482" t="s">
        <v>57</v>
      </c>
      <c r="N20" s="558">
        <v>35050</v>
      </c>
      <c r="O20" s="482" t="s">
        <v>57</v>
      </c>
      <c r="P20" s="827" t="s">
        <v>391</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390</v>
      </c>
      <c r="J21" s="482" t="s">
        <v>63</v>
      </c>
      <c r="K21" s="482"/>
      <c r="L21" s="480">
        <v>45954</v>
      </c>
      <c r="M21" s="482" t="s">
        <v>57</v>
      </c>
      <c r="N21" s="558">
        <v>54228.7</v>
      </c>
      <c r="O21" s="482" t="s">
        <v>57</v>
      </c>
      <c r="P21" s="827" t="s">
        <v>391</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390</v>
      </c>
      <c r="J22" s="482" t="s">
        <v>63</v>
      </c>
      <c r="K22" s="482"/>
      <c r="L22" s="480">
        <v>45936</v>
      </c>
      <c r="M22" s="482" t="s">
        <v>57</v>
      </c>
      <c r="N22" s="558">
        <v>96748</v>
      </c>
      <c r="O22" s="482" t="s">
        <v>57</v>
      </c>
      <c r="P22" s="827" t="s">
        <v>391</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390</v>
      </c>
      <c r="J23" s="482" t="s">
        <v>63</v>
      </c>
      <c r="K23" s="482"/>
      <c r="L23" s="489">
        <v>45902</v>
      </c>
      <c r="M23" s="482" t="s">
        <v>57</v>
      </c>
      <c r="N23" s="558">
        <v>5604.6</v>
      </c>
      <c r="O23" s="482" t="s">
        <v>57</v>
      </c>
      <c r="P23" s="827" t="s">
        <v>391</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390</v>
      </c>
      <c r="J24" s="482" t="s">
        <v>63</v>
      </c>
      <c r="K24" s="482"/>
      <c r="L24" s="480" t="s">
        <v>180</v>
      </c>
      <c r="M24" s="482" t="s">
        <v>57</v>
      </c>
      <c r="N24" s="558">
        <v>39221.800000000003</v>
      </c>
      <c r="O24" s="482" t="s">
        <v>57</v>
      </c>
      <c r="P24" s="1176" t="s">
        <v>391</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390</v>
      </c>
      <c r="J25" s="482" t="s">
        <v>56</v>
      </c>
      <c r="K25" s="482"/>
      <c r="L25" s="480">
        <v>45905</v>
      </c>
      <c r="M25" s="482" t="s">
        <v>57</v>
      </c>
      <c r="N25" s="558">
        <v>145985.5</v>
      </c>
      <c r="O25" s="482" t="s">
        <v>57</v>
      </c>
      <c r="P25" s="827" t="s">
        <v>391</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390</v>
      </c>
      <c r="J26" s="482" t="s">
        <v>56</v>
      </c>
      <c r="K26" s="482"/>
      <c r="L26" s="478" t="s">
        <v>391</v>
      </c>
      <c r="M26" s="482" t="s">
        <v>57</v>
      </c>
      <c r="N26" s="558">
        <v>30892</v>
      </c>
      <c r="O26" s="482" t="s">
        <v>57</v>
      </c>
      <c r="P26" s="827" t="s">
        <v>391</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390</v>
      </c>
      <c r="J27" s="491" t="s">
        <v>63</v>
      </c>
      <c r="K27" s="502"/>
      <c r="L27" s="489">
        <v>45728</v>
      </c>
      <c r="M27" s="491" t="s">
        <v>57</v>
      </c>
      <c r="N27" s="559">
        <v>60843.5</v>
      </c>
      <c r="O27" s="491" t="s">
        <v>57</v>
      </c>
      <c r="P27" s="827" t="s">
        <v>391</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390</v>
      </c>
      <c r="J28" s="520" t="s">
        <v>63</v>
      </c>
      <c r="K28" s="520"/>
      <c r="L28" s="527">
        <v>45714</v>
      </c>
      <c r="M28" s="520" t="s">
        <v>57</v>
      </c>
      <c r="N28" s="561">
        <v>94170.5</v>
      </c>
      <c r="O28" s="520" t="s">
        <v>57</v>
      </c>
      <c r="P28" s="963" t="s">
        <v>391</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390</v>
      </c>
      <c r="J29" s="520" t="s">
        <v>63</v>
      </c>
      <c r="K29" s="520"/>
      <c r="L29" s="527">
        <v>45695</v>
      </c>
      <c r="M29" s="520" t="s">
        <v>57</v>
      </c>
      <c r="N29" s="562">
        <v>89698.5</v>
      </c>
      <c r="O29" s="520" t="s">
        <v>57</v>
      </c>
      <c r="P29" s="963" t="s">
        <v>391</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390</v>
      </c>
      <c r="J30" s="854" t="s">
        <v>63</v>
      </c>
      <c r="K30" s="854"/>
      <c r="L30" s="851">
        <v>45686</v>
      </c>
      <c r="M30" s="854" t="s">
        <v>57</v>
      </c>
      <c r="N30" s="877">
        <v>61924</v>
      </c>
      <c r="O30" s="854" t="s">
        <v>57</v>
      </c>
      <c r="P30" s="827" t="s">
        <v>391</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390</v>
      </c>
      <c r="J31" s="854" t="s">
        <v>63</v>
      </c>
      <c r="K31" s="854"/>
      <c r="L31" s="851">
        <v>45698</v>
      </c>
      <c r="M31" s="854" t="s">
        <v>57</v>
      </c>
      <c r="N31" s="877">
        <v>63402.5</v>
      </c>
      <c r="O31" s="854" t="s">
        <v>57</v>
      </c>
      <c r="P31" s="827" t="s">
        <v>391</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391</v>
      </c>
      <c r="M32" s="391" t="s">
        <v>57</v>
      </c>
      <c r="N32" s="1141">
        <v>64790.5</v>
      </c>
      <c r="O32" s="391" t="s">
        <v>57</v>
      </c>
      <c r="P32" s="1167" t="s">
        <v>391</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390</v>
      </c>
      <c r="J33" s="482" t="s">
        <v>63</v>
      </c>
      <c r="K33" s="491"/>
      <c r="L33" s="480">
        <v>45917</v>
      </c>
      <c r="M33" s="482" t="s">
        <v>57</v>
      </c>
      <c r="N33" s="558">
        <v>45500</v>
      </c>
      <c r="O33" s="482" t="s">
        <v>57</v>
      </c>
      <c r="P33" s="827" t="s">
        <v>391</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390</v>
      </c>
      <c r="J34" s="482" t="s">
        <v>63</v>
      </c>
      <c r="K34" s="850"/>
      <c r="L34" s="489">
        <v>45741</v>
      </c>
      <c r="M34" s="482" t="s">
        <v>57</v>
      </c>
      <c r="N34" s="559">
        <v>67735.5</v>
      </c>
      <c r="O34" s="482" t="s">
        <v>57</v>
      </c>
      <c r="P34" s="827" t="s">
        <v>391</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391</v>
      </c>
      <c r="J35" s="854" t="s">
        <v>63</v>
      </c>
      <c r="K35" s="854"/>
      <c r="L35" s="851">
        <v>45705</v>
      </c>
      <c r="M35" s="854" t="s">
        <v>57</v>
      </c>
      <c r="N35" s="877">
        <v>1295</v>
      </c>
      <c r="O35" s="854" t="s">
        <v>57</v>
      </c>
      <c r="P35" s="827" t="s">
        <v>391</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387</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390</v>
      </c>
      <c r="J2" s="52" t="s">
        <v>63</v>
      </c>
      <c r="K2" s="51">
        <v>45701</v>
      </c>
      <c r="L2" s="391" t="s">
        <v>57</v>
      </c>
      <c r="M2" s="439">
        <v>55089</v>
      </c>
      <c r="N2" s="570">
        <v>57509</v>
      </c>
      <c r="O2" s="789" t="s">
        <v>57</v>
      </c>
      <c r="P2" s="387" t="s">
        <v>391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390</v>
      </c>
      <c r="J3" s="52" t="s">
        <v>63</v>
      </c>
      <c r="K3" s="628">
        <v>45718</v>
      </c>
      <c r="L3" s="52" t="s">
        <v>57</v>
      </c>
      <c r="M3" s="439">
        <v>200394.1</v>
      </c>
      <c r="N3" s="439">
        <v>209003.94</v>
      </c>
      <c r="O3" s="52" t="s">
        <v>57</v>
      </c>
      <c r="P3" s="450" t="s">
        <v>391</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390</v>
      </c>
      <c r="J4" s="52" t="s">
        <v>63</v>
      </c>
      <c r="K4" s="51">
        <v>45708</v>
      </c>
      <c r="L4" s="52" t="s">
        <v>57</v>
      </c>
      <c r="M4" s="439">
        <v>62460.45</v>
      </c>
      <c r="N4" s="570">
        <v>61491.05</v>
      </c>
      <c r="O4" s="52" t="s">
        <v>57</v>
      </c>
      <c r="P4" s="52" t="s">
        <v>391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390</v>
      </c>
      <c r="J5" s="387" t="s">
        <v>63</v>
      </c>
      <c r="K5" s="386">
        <v>45735</v>
      </c>
      <c r="L5" s="387" t="s">
        <v>57</v>
      </c>
      <c r="M5" s="442">
        <v>15690.1</v>
      </c>
      <c r="N5" s="570">
        <v>16153.75</v>
      </c>
      <c r="O5" s="387" t="s">
        <v>57</v>
      </c>
      <c r="P5" s="387" t="s">
        <v>391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390</v>
      </c>
      <c r="J6" s="387" t="s">
        <v>63</v>
      </c>
      <c r="K6" s="386">
        <v>45782</v>
      </c>
      <c r="L6" s="387" t="s">
        <v>57</v>
      </c>
      <c r="M6" s="442">
        <v>119135.3</v>
      </c>
      <c r="N6" s="439">
        <v>121256.65</v>
      </c>
      <c r="O6" s="387" t="s">
        <v>57</v>
      </c>
      <c r="P6" s="387" t="s">
        <v>391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390</v>
      </c>
      <c r="J7" s="52" t="s">
        <v>63</v>
      </c>
      <c r="K7" s="50" t="s">
        <v>391</v>
      </c>
      <c r="L7" s="52" t="s">
        <v>57</v>
      </c>
      <c r="M7" s="439">
        <v>12601.45</v>
      </c>
      <c r="N7" s="570">
        <v>13008.1</v>
      </c>
      <c r="O7" s="52" t="s">
        <v>57</v>
      </c>
      <c r="P7" s="52" t="s">
        <v>391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391</v>
      </c>
      <c r="L8" s="686" t="s">
        <v>57</v>
      </c>
      <c r="M8" s="442">
        <v>47461.5</v>
      </c>
      <c r="N8" s="585">
        <v>45340</v>
      </c>
      <c r="O8" s="686" t="s">
        <v>57</v>
      </c>
      <c r="P8" s="387" t="s">
        <v>391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391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391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390</v>
      </c>
      <c r="J11" s="52" t="s">
        <v>63</v>
      </c>
      <c r="K11" s="684">
        <v>45756</v>
      </c>
      <c r="L11" s="52" t="s">
        <v>57</v>
      </c>
      <c r="M11" s="439">
        <v>67171.5</v>
      </c>
      <c r="N11" s="570">
        <v>64739</v>
      </c>
      <c r="O11" s="52" t="s">
        <v>57</v>
      </c>
      <c r="P11" s="52" t="s">
        <v>391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390</v>
      </c>
      <c r="J12" s="52" t="s">
        <v>63</v>
      </c>
      <c r="K12" s="51">
        <v>45749</v>
      </c>
      <c r="L12" s="52" t="s">
        <v>57</v>
      </c>
      <c r="M12" s="439">
        <v>72492</v>
      </c>
      <c r="N12" s="570">
        <v>73087.5</v>
      </c>
      <c r="O12" s="52" t="s">
        <v>57</v>
      </c>
      <c r="P12" s="52" t="s">
        <v>391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390</v>
      </c>
      <c r="J13" s="52" t="s">
        <v>63</v>
      </c>
      <c r="K13" s="51">
        <v>45750</v>
      </c>
      <c r="L13" s="52" t="s">
        <v>57</v>
      </c>
      <c r="M13" s="439">
        <v>51295</v>
      </c>
      <c r="N13" s="570">
        <v>51485.5</v>
      </c>
      <c r="O13" s="52" t="s">
        <v>57</v>
      </c>
      <c r="P13" s="52" t="s">
        <v>391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390</v>
      </c>
      <c r="J14" s="52" t="s">
        <v>63</v>
      </c>
      <c r="K14" s="50" t="s">
        <v>391</v>
      </c>
      <c r="L14" s="679" t="s">
        <v>57</v>
      </c>
      <c r="M14" s="439">
        <v>26617</v>
      </c>
      <c r="N14" s="586">
        <v>25405</v>
      </c>
      <c r="O14" s="679" t="s">
        <v>57</v>
      </c>
      <c r="P14" s="52" t="s">
        <v>391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391</v>
      </c>
      <c r="L15" s="679" t="s">
        <v>57</v>
      </c>
      <c r="M15" s="439">
        <v>72118</v>
      </c>
      <c r="N15" s="692">
        <v>70778</v>
      </c>
      <c r="O15" s="679" t="s">
        <v>57</v>
      </c>
      <c r="P15" s="52" t="s">
        <v>391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391</v>
      </c>
      <c r="L16" s="679" t="s">
        <v>57</v>
      </c>
      <c r="M16" s="439">
        <v>69288</v>
      </c>
      <c r="N16" s="586">
        <v>70664</v>
      </c>
      <c r="O16" s="679" t="s">
        <v>57</v>
      </c>
      <c r="P16" s="52" t="s">
        <v>391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391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391</v>
      </c>
      <c r="L18" s="679" t="s">
        <v>57</v>
      </c>
      <c r="M18" s="439">
        <v>83754</v>
      </c>
      <c r="N18" s="586">
        <v>80572.5</v>
      </c>
      <c r="O18" s="679" t="s">
        <v>57</v>
      </c>
      <c r="P18" s="52" t="s">
        <v>391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391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390</v>
      </c>
      <c r="J20" s="52" t="s">
        <v>63</v>
      </c>
      <c r="K20" s="51">
        <v>45733</v>
      </c>
      <c r="L20" s="52" t="s">
        <v>57</v>
      </c>
      <c r="M20" s="439">
        <v>50824.5</v>
      </c>
      <c r="N20" s="586">
        <v>50928.5</v>
      </c>
      <c r="O20" s="52" t="s">
        <v>57</v>
      </c>
      <c r="P20" s="52" t="s">
        <v>391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390</v>
      </c>
      <c r="J21" s="52" t="s">
        <v>63</v>
      </c>
      <c r="K21" s="51">
        <v>45737</v>
      </c>
      <c r="L21" s="52" t="s">
        <v>57</v>
      </c>
      <c r="M21" s="439">
        <v>83462</v>
      </c>
      <c r="N21" s="586">
        <v>83033</v>
      </c>
      <c r="O21" s="52" t="s">
        <v>57</v>
      </c>
      <c r="P21" s="52" t="s">
        <v>391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391</v>
      </c>
      <c r="L22" s="52" t="s">
        <v>57</v>
      </c>
      <c r="M22" s="439">
        <v>47414</v>
      </c>
      <c r="N22" s="586">
        <v>45744</v>
      </c>
      <c r="O22" s="52" t="s">
        <v>57</v>
      </c>
      <c r="P22" s="52" t="s">
        <v>391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390</v>
      </c>
      <c r="J23" s="52" t="s">
        <v>63</v>
      </c>
      <c r="K23" s="51">
        <v>45736</v>
      </c>
      <c r="L23" s="52" t="s">
        <v>57</v>
      </c>
      <c r="M23" s="439">
        <v>59562.5</v>
      </c>
      <c r="N23" s="586">
        <v>52525.5</v>
      </c>
      <c r="O23" s="52" t="s">
        <v>57</v>
      </c>
      <c r="P23" s="52" t="s">
        <v>391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390</v>
      </c>
      <c r="J24" s="52" t="s">
        <v>63</v>
      </c>
      <c r="K24" s="51">
        <v>45735</v>
      </c>
      <c r="L24" s="52" t="s">
        <v>57</v>
      </c>
      <c r="M24" s="439">
        <v>41187</v>
      </c>
      <c r="N24" s="586">
        <v>39597.5</v>
      </c>
      <c r="O24" s="52" t="s">
        <v>57</v>
      </c>
      <c r="P24" s="52" t="s">
        <v>391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390</v>
      </c>
      <c r="J25" s="52" t="s">
        <v>63</v>
      </c>
      <c r="K25" s="50" t="s">
        <v>391</v>
      </c>
      <c r="L25" s="52" t="s">
        <v>57</v>
      </c>
      <c r="M25" s="439">
        <v>14497.5</v>
      </c>
      <c r="N25" s="586">
        <v>14042</v>
      </c>
      <c r="O25" s="52" t="s">
        <v>57</v>
      </c>
      <c r="P25" s="52" t="s">
        <v>391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390</v>
      </c>
      <c r="J26" s="52" t="s">
        <v>63</v>
      </c>
      <c r="K26" s="51">
        <v>45762</v>
      </c>
      <c r="L26" s="52" t="s">
        <v>57</v>
      </c>
      <c r="M26" s="439">
        <v>62502</v>
      </c>
      <c r="N26" s="570">
        <v>59129.5</v>
      </c>
      <c r="O26" s="52" t="s">
        <v>57</v>
      </c>
      <c r="P26" s="52" t="s">
        <v>391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390</v>
      </c>
      <c r="J27" s="52" t="s">
        <v>63</v>
      </c>
      <c r="K27" s="51">
        <v>45762</v>
      </c>
      <c r="L27" s="52" t="s">
        <v>57</v>
      </c>
      <c r="M27" s="439">
        <v>70705.5</v>
      </c>
      <c r="N27" s="570">
        <v>67666</v>
      </c>
      <c r="O27" s="52" t="s">
        <v>57</v>
      </c>
      <c r="P27" s="52" t="s">
        <v>391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390</v>
      </c>
      <c r="J28" s="52" t="s">
        <v>63</v>
      </c>
      <c r="K28" s="51">
        <v>45762</v>
      </c>
      <c r="L28" s="52" t="s">
        <v>57</v>
      </c>
      <c r="M28" s="439">
        <v>66004.5</v>
      </c>
      <c r="N28" s="570">
        <v>64943.5</v>
      </c>
      <c r="O28" s="52" t="s">
        <v>57</v>
      </c>
      <c r="P28" s="52" t="s">
        <v>391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390</v>
      </c>
      <c r="J29" s="387" t="s">
        <v>63</v>
      </c>
      <c r="K29" s="386">
        <v>45790</v>
      </c>
      <c r="L29" s="387" t="s">
        <v>57</v>
      </c>
      <c r="M29" s="442">
        <v>57237</v>
      </c>
      <c r="N29" s="584">
        <v>55777</v>
      </c>
      <c r="O29" s="52" t="s">
        <v>57</v>
      </c>
      <c r="P29" s="387" t="s">
        <v>391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391</v>
      </c>
      <c r="J30" s="117" t="s">
        <v>63</v>
      </c>
      <c r="K30" s="525">
        <v>45673</v>
      </c>
      <c r="L30" s="520" t="s">
        <v>57</v>
      </c>
      <c r="M30" s="796">
        <v>24886.5</v>
      </c>
      <c r="N30" s="828">
        <v>7262</v>
      </c>
      <c r="O30" s="520" t="s">
        <v>57</v>
      </c>
      <c r="P30" s="834" t="s">
        <v>391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390</v>
      </c>
      <c r="J31" s="387" t="s">
        <v>63</v>
      </c>
      <c r="K31" s="386">
        <v>45705</v>
      </c>
      <c r="L31" s="387" t="s">
        <v>57</v>
      </c>
      <c r="M31" s="442">
        <v>88491.8</v>
      </c>
      <c r="N31" s="439">
        <v>85791.25</v>
      </c>
      <c r="O31" s="387" t="s">
        <v>57</v>
      </c>
      <c r="P31" s="387" t="s">
        <v>391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391</v>
      </c>
      <c r="J32" s="52" t="s">
        <v>63</v>
      </c>
      <c r="K32" s="50" t="s">
        <v>391</v>
      </c>
      <c r="L32" s="52" t="s">
        <v>57</v>
      </c>
      <c r="M32" s="439">
        <v>3425.55</v>
      </c>
      <c r="N32" s="570">
        <v>7741.4</v>
      </c>
      <c r="O32" s="52" t="s">
        <v>57</v>
      </c>
      <c r="P32" s="52" t="s">
        <v>391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390</v>
      </c>
      <c r="J33" s="387" t="s">
        <v>63</v>
      </c>
      <c r="K33" s="385" t="s">
        <v>391</v>
      </c>
      <c r="L33" s="387" t="s">
        <v>57</v>
      </c>
      <c r="M33" s="442">
        <v>3707.3</v>
      </c>
      <c r="N33" s="439">
        <v>8209.69</v>
      </c>
      <c r="O33" s="387" t="s">
        <v>57</v>
      </c>
      <c r="P33" s="387" t="s">
        <v>391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391</v>
      </c>
      <c r="L34" s="52" t="s">
        <v>57</v>
      </c>
      <c r="M34" s="439">
        <v>21648.75</v>
      </c>
      <c r="N34" s="570">
        <v>35235</v>
      </c>
      <c r="O34" s="52" t="s">
        <v>57</v>
      </c>
      <c r="P34" s="52" t="s">
        <v>391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390</v>
      </c>
      <c r="J35" s="52" t="s">
        <v>63</v>
      </c>
      <c r="K35" s="51">
        <v>45716</v>
      </c>
      <c r="L35" s="52" t="s">
        <v>57</v>
      </c>
      <c r="M35" s="439">
        <v>64727</v>
      </c>
      <c r="N35" s="570">
        <v>68203</v>
      </c>
      <c r="O35" s="52" t="s">
        <v>57</v>
      </c>
      <c r="P35" s="387" t="s">
        <v>391</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391</v>
      </c>
      <c r="J36" s="52" t="s">
        <v>63</v>
      </c>
      <c r="K36" s="51">
        <v>45728</v>
      </c>
      <c r="L36" s="52" t="s">
        <v>57</v>
      </c>
      <c r="M36" s="439">
        <v>88033.5</v>
      </c>
      <c r="N36" s="570">
        <v>88045.5</v>
      </c>
      <c r="O36" s="52" t="s">
        <v>57</v>
      </c>
      <c r="P36" s="52" t="s">
        <v>391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391</v>
      </c>
      <c r="J37" s="52" t="s">
        <v>63</v>
      </c>
      <c r="K37" s="51">
        <v>45728</v>
      </c>
      <c r="L37" s="52" t="s">
        <v>57</v>
      </c>
      <c r="M37" s="439">
        <v>82979.5</v>
      </c>
      <c r="N37" s="570">
        <v>78032</v>
      </c>
      <c r="O37" s="52" t="s">
        <v>57</v>
      </c>
      <c r="P37" s="387" t="s">
        <v>391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391</v>
      </c>
      <c r="J38" s="52" t="s">
        <v>63</v>
      </c>
      <c r="K38" s="51">
        <v>45716</v>
      </c>
      <c r="L38" s="52" t="s">
        <v>57</v>
      </c>
      <c r="M38" s="439">
        <v>74446</v>
      </c>
      <c r="N38" s="584">
        <v>73894</v>
      </c>
      <c r="O38" s="52" t="s">
        <v>57</v>
      </c>
      <c r="P38" s="387" t="s">
        <v>391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391</v>
      </c>
      <c r="J39" s="52" t="s">
        <v>63</v>
      </c>
      <c r="K39" s="628">
        <v>45716</v>
      </c>
      <c r="L39" s="52" t="s">
        <v>57</v>
      </c>
      <c r="M39" s="693">
        <v>84935.5</v>
      </c>
      <c r="N39" s="585">
        <v>81445</v>
      </c>
      <c r="O39" s="52" t="s">
        <v>57</v>
      </c>
      <c r="P39" s="387" t="s">
        <v>391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390</v>
      </c>
      <c r="J40" s="679" t="s">
        <v>63</v>
      </c>
      <c r="K40" s="677">
        <v>45692</v>
      </c>
      <c r="L40" s="679" t="s">
        <v>57</v>
      </c>
      <c r="M40" s="682">
        <v>90302</v>
      </c>
      <c r="N40" s="439">
        <v>98764.5</v>
      </c>
      <c r="O40" s="679" t="s">
        <v>57</v>
      </c>
      <c r="P40" s="387" t="s">
        <v>391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390</v>
      </c>
      <c r="J41" s="391" t="s">
        <v>63</v>
      </c>
      <c r="K41" s="392">
        <v>45698</v>
      </c>
      <c r="L41" s="391" t="s">
        <v>57</v>
      </c>
      <c r="M41" s="656">
        <v>71361</v>
      </c>
      <c r="N41" s="570">
        <v>72125</v>
      </c>
      <c r="O41" s="391" t="s">
        <v>57</v>
      </c>
      <c r="P41" s="52" t="s">
        <v>391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390</v>
      </c>
      <c r="J42" s="391" t="s">
        <v>63</v>
      </c>
      <c r="K42" s="392">
        <v>45700</v>
      </c>
      <c r="L42" s="391" t="s">
        <v>57</v>
      </c>
      <c r="M42" s="656">
        <v>76139.5</v>
      </c>
      <c r="N42" s="584">
        <v>79581.5</v>
      </c>
      <c r="O42" s="391" t="s">
        <v>57</v>
      </c>
      <c r="P42" s="387" t="s">
        <v>391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390</v>
      </c>
      <c r="J43" s="391" t="s">
        <v>63</v>
      </c>
      <c r="K43" s="392">
        <v>45699</v>
      </c>
      <c r="L43" s="391" t="s">
        <v>57</v>
      </c>
      <c r="M43" s="656">
        <v>73583.5</v>
      </c>
      <c r="N43" s="570">
        <v>84066</v>
      </c>
      <c r="O43" s="789" t="s">
        <v>57</v>
      </c>
      <c r="P43" s="387" t="s">
        <v>391</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391</v>
      </c>
      <c r="L44" s="391" t="s">
        <v>57</v>
      </c>
      <c r="M44" s="656">
        <v>51958</v>
      </c>
      <c r="N44" s="570">
        <v>20330.259999999998</v>
      </c>
      <c r="O44" s="391" t="s">
        <v>57</v>
      </c>
      <c r="P44" s="52" t="s">
        <v>391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391</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391</v>
      </c>
      <c r="L46" s="679" t="s">
        <v>57</v>
      </c>
      <c r="M46" s="439">
        <v>82480.5</v>
      </c>
      <c r="N46" s="439">
        <v>77870.5</v>
      </c>
      <c r="O46" s="679" t="s">
        <v>57</v>
      </c>
      <c r="P46" s="387" t="s">
        <v>391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390</v>
      </c>
      <c r="J47" s="387" t="s">
        <v>63</v>
      </c>
      <c r="K47" s="51">
        <v>45741</v>
      </c>
      <c r="L47" s="387" t="s">
        <v>57</v>
      </c>
      <c r="M47" s="439">
        <v>74508.5</v>
      </c>
      <c r="N47" s="570">
        <v>75008.5</v>
      </c>
      <c r="O47" s="387" t="s">
        <v>57</v>
      </c>
      <c r="P47" s="387" t="s">
        <v>391</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390</v>
      </c>
      <c r="J48" s="52" t="s">
        <v>63</v>
      </c>
      <c r="K48" s="51">
        <v>45741</v>
      </c>
      <c r="L48" s="52" t="s">
        <v>57</v>
      </c>
      <c r="M48" s="439">
        <v>73070.5</v>
      </c>
      <c r="N48" s="570">
        <v>72678</v>
      </c>
      <c r="O48" s="52" t="s">
        <v>57</v>
      </c>
      <c r="P48" s="52" t="s">
        <v>391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391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391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390</v>
      </c>
      <c r="J51" s="387" t="s">
        <v>63</v>
      </c>
      <c r="K51" s="51">
        <v>45741</v>
      </c>
      <c r="L51" s="387" t="s">
        <v>57</v>
      </c>
      <c r="M51" s="439">
        <v>62104</v>
      </c>
      <c r="N51" s="585">
        <v>64186</v>
      </c>
      <c r="O51" s="387" t="s">
        <v>57</v>
      </c>
      <c r="P51" s="387" t="s">
        <v>391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390</v>
      </c>
      <c r="J52" s="387" t="s">
        <v>63</v>
      </c>
      <c r="K52" s="51">
        <v>45741</v>
      </c>
      <c r="L52" s="387" t="s">
        <v>57</v>
      </c>
      <c r="M52" s="439">
        <v>63756.5</v>
      </c>
      <c r="N52" s="585">
        <v>64902.5</v>
      </c>
      <c r="O52" s="387" t="s">
        <v>57</v>
      </c>
      <c r="P52" s="387" t="s">
        <v>391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390</v>
      </c>
      <c r="J53" s="52" t="s">
        <v>63</v>
      </c>
      <c r="K53" s="51">
        <v>45741</v>
      </c>
      <c r="L53" s="52" t="s">
        <v>57</v>
      </c>
      <c r="M53" s="439">
        <v>67840.5</v>
      </c>
      <c r="N53" s="570">
        <v>66607.5</v>
      </c>
      <c r="O53" s="52" t="s">
        <v>57</v>
      </c>
      <c r="P53" s="52" t="s">
        <v>391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390</v>
      </c>
      <c r="J54" s="52" t="s">
        <v>63</v>
      </c>
      <c r="K54" s="51">
        <v>45757</v>
      </c>
      <c r="L54" s="52" t="s">
        <v>57</v>
      </c>
      <c r="M54" s="439">
        <v>53906.75</v>
      </c>
      <c r="N54" s="570">
        <v>54578.5</v>
      </c>
      <c r="O54" s="52" t="s">
        <v>57</v>
      </c>
      <c r="P54" s="52" t="s">
        <v>391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390</v>
      </c>
      <c r="J55" s="387" t="s">
        <v>63</v>
      </c>
      <c r="K55" s="386">
        <v>45757</v>
      </c>
      <c r="L55" s="387" t="s">
        <v>57</v>
      </c>
      <c r="M55" s="442">
        <v>47432.5</v>
      </c>
      <c r="N55" s="570">
        <v>54385.09</v>
      </c>
      <c r="O55" s="387" t="s">
        <v>57</v>
      </c>
      <c r="P55" s="387" t="s">
        <v>391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391</v>
      </c>
      <c r="J56" s="52" t="s">
        <v>63</v>
      </c>
      <c r="K56" s="51">
        <v>45757</v>
      </c>
      <c r="L56" s="52" t="s">
        <v>57</v>
      </c>
      <c r="M56" s="439">
        <v>62383</v>
      </c>
      <c r="N56" s="570">
        <v>61939</v>
      </c>
      <c r="O56" s="52" t="s">
        <v>57</v>
      </c>
      <c r="P56" s="52" t="s">
        <v>391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391</v>
      </c>
      <c r="J57" s="387" t="s">
        <v>63</v>
      </c>
      <c r="K57" s="386">
        <v>45757</v>
      </c>
      <c r="L57" s="387" t="s">
        <v>57</v>
      </c>
      <c r="M57" s="442">
        <v>80443.5</v>
      </c>
      <c r="N57" s="570">
        <v>81941</v>
      </c>
      <c r="O57" s="387" t="s">
        <v>57</v>
      </c>
      <c r="P57" s="387" t="s">
        <v>391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390</v>
      </c>
      <c r="J58" s="387" t="s">
        <v>63</v>
      </c>
      <c r="K58" s="386">
        <v>45757</v>
      </c>
      <c r="L58" s="387" t="s">
        <v>57</v>
      </c>
      <c r="M58" s="442">
        <v>68736.5</v>
      </c>
      <c r="N58" s="570">
        <v>68249</v>
      </c>
      <c r="O58" s="387" t="s">
        <v>57</v>
      </c>
      <c r="P58" s="387" t="s">
        <v>391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390</v>
      </c>
      <c r="J59" s="387" t="s">
        <v>63</v>
      </c>
      <c r="K59" s="51">
        <v>45741</v>
      </c>
      <c r="L59" s="387" t="s">
        <v>57</v>
      </c>
      <c r="M59" s="439">
        <v>73491.5</v>
      </c>
      <c r="N59" s="584">
        <v>202651</v>
      </c>
      <c r="O59" s="387" t="s">
        <v>57</v>
      </c>
      <c r="P59" s="387" t="s">
        <v>391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390</v>
      </c>
      <c r="J60" s="387" t="s">
        <v>63</v>
      </c>
      <c r="K60" s="51">
        <v>45741</v>
      </c>
      <c r="L60" s="387" t="s">
        <v>57</v>
      </c>
      <c r="M60" s="439">
        <v>74961</v>
      </c>
      <c r="N60" s="439">
        <v>77123</v>
      </c>
      <c r="O60" s="387" t="s">
        <v>57</v>
      </c>
      <c r="P60" s="387" t="s">
        <v>391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390</v>
      </c>
      <c r="J61" s="387" t="s">
        <v>63</v>
      </c>
      <c r="K61" s="51">
        <v>45741</v>
      </c>
      <c r="L61" s="387" t="s">
        <v>57</v>
      </c>
      <c r="M61" s="439">
        <v>70235</v>
      </c>
      <c r="N61" s="584">
        <v>134171.5</v>
      </c>
      <c r="O61" s="387" t="s">
        <v>57</v>
      </c>
      <c r="P61" s="387" t="s">
        <v>391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391</v>
      </c>
      <c r="L62" s="679" t="s">
        <v>57</v>
      </c>
      <c r="M62" s="439">
        <v>60625.5</v>
      </c>
      <c r="N62" s="570">
        <v>59084</v>
      </c>
      <c r="O62" s="679" t="s">
        <v>57</v>
      </c>
      <c r="P62" s="52" t="s">
        <v>391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390</v>
      </c>
      <c r="J63" s="52" t="s">
        <v>63</v>
      </c>
      <c r="K63" s="51">
        <v>45721</v>
      </c>
      <c r="L63" s="52" t="s">
        <v>57</v>
      </c>
      <c r="M63" s="607">
        <v>79507</v>
      </c>
      <c r="N63" s="570">
        <v>86709.5</v>
      </c>
      <c r="O63" s="52" t="s">
        <v>57</v>
      </c>
      <c r="P63" s="52" t="s">
        <v>391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391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390</v>
      </c>
      <c r="J65" s="52" t="s">
        <v>63</v>
      </c>
      <c r="K65" s="51">
        <v>45716</v>
      </c>
      <c r="L65" s="52" t="s">
        <v>57</v>
      </c>
      <c r="M65" s="439">
        <v>64609</v>
      </c>
      <c r="N65" s="584">
        <v>76965</v>
      </c>
      <c r="O65" s="52" t="s">
        <v>57</v>
      </c>
      <c r="P65" s="387" t="s">
        <v>391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390</v>
      </c>
      <c r="J66" s="52" t="s">
        <v>63</v>
      </c>
      <c r="K66" s="51">
        <v>45701</v>
      </c>
      <c r="L66" s="391" t="s">
        <v>57</v>
      </c>
      <c r="M66" s="439">
        <v>48609</v>
      </c>
      <c r="N66" s="570">
        <v>48682.5</v>
      </c>
      <c r="O66" s="789" t="s">
        <v>57</v>
      </c>
      <c r="P66" s="387" t="s">
        <v>391</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390</v>
      </c>
      <c r="J67" s="52" t="s">
        <v>63</v>
      </c>
      <c r="K67" s="51">
        <v>45698</v>
      </c>
      <c r="L67" s="679" t="s">
        <v>57</v>
      </c>
      <c r="M67" s="439">
        <v>52222</v>
      </c>
      <c r="N67" s="570">
        <v>51838</v>
      </c>
      <c r="O67" s="679" t="s">
        <v>57</v>
      </c>
      <c r="P67" s="52" t="s">
        <v>391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391</v>
      </c>
      <c r="J68" s="52" t="s">
        <v>63</v>
      </c>
      <c r="K68" s="51">
        <v>45716</v>
      </c>
      <c r="L68" s="52" t="s">
        <v>57</v>
      </c>
      <c r="M68" s="607">
        <v>67463</v>
      </c>
      <c r="N68" s="570">
        <v>69992</v>
      </c>
      <c r="O68" s="52" t="s">
        <v>57</v>
      </c>
      <c r="P68" s="52" t="s">
        <v>391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391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390</v>
      </c>
      <c r="J70" s="795" t="s">
        <v>63</v>
      </c>
      <c r="K70" s="57">
        <v>45707</v>
      </c>
      <c r="L70" s="795" t="s">
        <v>57</v>
      </c>
      <c r="M70" s="439" t="s">
        <v>798</v>
      </c>
      <c r="N70" s="585">
        <v>67080</v>
      </c>
      <c r="O70" s="52" t="s">
        <v>57</v>
      </c>
      <c r="P70" s="1115" t="s">
        <v>391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390</v>
      </c>
      <c r="J71" s="812" t="s">
        <v>63</v>
      </c>
      <c r="K71" s="57">
        <v>45741</v>
      </c>
      <c r="L71" s="812" t="s">
        <v>57</v>
      </c>
      <c r="M71" s="439">
        <v>79069.5</v>
      </c>
      <c r="N71" s="584">
        <v>73300</v>
      </c>
      <c r="O71" s="387" t="s">
        <v>57</v>
      </c>
      <c r="P71" s="450" t="s">
        <v>391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390</v>
      </c>
      <c r="J72" s="812" t="s">
        <v>63</v>
      </c>
      <c r="K72" s="57">
        <v>45741</v>
      </c>
      <c r="L72" s="812" t="s">
        <v>57</v>
      </c>
      <c r="M72" s="439">
        <v>16398</v>
      </c>
      <c r="N72" s="570">
        <v>15664</v>
      </c>
      <c r="O72" s="387" t="s">
        <v>57</v>
      </c>
      <c r="P72" s="1107" t="s">
        <v>391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391</v>
      </c>
      <c r="J73" s="795" t="s">
        <v>63</v>
      </c>
      <c r="K73" s="57">
        <v>45708</v>
      </c>
      <c r="L73" s="795" t="s">
        <v>57</v>
      </c>
      <c r="M73" s="655">
        <v>56854</v>
      </c>
      <c r="N73" s="828">
        <v>62254</v>
      </c>
      <c r="O73" s="795" t="s">
        <v>57</v>
      </c>
      <c r="P73" s="795" t="s">
        <v>391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391</v>
      </c>
      <c r="J74" s="76" t="s">
        <v>63</v>
      </c>
      <c r="K74" s="77">
        <v>45708</v>
      </c>
      <c r="L74" s="104" t="s">
        <v>57</v>
      </c>
      <c r="M74" s="832">
        <v>73639</v>
      </c>
      <c r="N74" s="1114">
        <v>73025</v>
      </c>
      <c r="O74" s="104" t="s">
        <v>57</v>
      </c>
      <c r="P74" s="106" t="s">
        <v>391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391</v>
      </c>
      <c r="J75" s="76" t="s">
        <v>63</v>
      </c>
      <c r="K75" s="77">
        <v>45698</v>
      </c>
      <c r="L75" s="104" t="s">
        <v>57</v>
      </c>
      <c r="M75" s="832">
        <v>54861</v>
      </c>
      <c r="N75" s="833">
        <v>55197</v>
      </c>
      <c r="O75" s="104" t="s">
        <v>57</v>
      </c>
      <c r="P75" s="76" t="s">
        <v>391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390</v>
      </c>
      <c r="J76" s="795" t="s">
        <v>63</v>
      </c>
      <c r="K76" s="57">
        <v>45735</v>
      </c>
      <c r="L76" s="795" t="s">
        <v>57</v>
      </c>
      <c r="M76" s="655">
        <v>41285</v>
      </c>
      <c r="N76" s="828">
        <v>40484</v>
      </c>
      <c r="O76" s="795" t="s">
        <v>57</v>
      </c>
      <c r="P76" s="812" t="s">
        <v>391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391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391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390</v>
      </c>
      <c r="J79" s="801" t="s">
        <v>63</v>
      </c>
      <c r="K79" s="928" t="s">
        <v>391</v>
      </c>
      <c r="L79" s="801" t="s">
        <v>57</v>
      </c>
      <c r="M79" s="926">
        <v>289634.75</v>
      </c>
      <c r="N79" s="828">
        <v>296306.83</v>
      </c>
      <c r="O79" s="927" t="s">
        <v>57</v>
      </c>
      <c r="P79" s="812" t="s">
        <v>391</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390</v>
      </c>
      <c r="J80" s="795" t="s">
        <v>63</v>
      </c>
      <c r="K80" s="489">
        <v>45741</v>
      </c>
      <c r="L80" s="482" t="s">
        <v>57</v>
      </c>
      <c r="M80" s="797">
        <v>47849</v>
      </c>
      <c r="N80" s="655">
        <v>51778</v>
      </c>
      <c r="O80" s="482" t="s">
        <v>57</v>
      </c>
      <c r="P80" s="806" t="s">
        <v>391</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390</v>
      </c>
      <c r="J81" s="491" t="s">
        <v>63</v>
      </c>
      <c r="K81" s="489">
        <v>45698</v>
      </c>
      <c r="L81" s="497" t="s">
        <v>57</v>
      </c>
      <c r="M81" s="797">
        <v>68216.5</v>
      </c>
      <c r="N81" s="655">
        <v>65624.5</v>
      </c>
      <c r="O81" s="497" t="s">
        <v>57</v>
      </c>
      <c r="P81" s="1099" t="s">
        <v>391</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390</v>
      </c>
      <c r="J82" s="387" t="s">
        <v>63</v>
      </c>
      <c r="K82" s="386">
        <v>45757</v>
      </c>
      <c r="L82" s="405" t="s">
        <v>57</v>
      </c>
      <c r="M82" s="442">
        <v>78331</v>
      </c>
      <c r="N82" s="439">
        <v>82072.25</v>
      </c>
      <c r="O82" s="387" t="s">
        <v>57</v>
      </c>
      <c r="P82" s="450" t="s">
        <v>391</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390</v>
      </c>
      <c r="J83" s="52" t="s">
        <v>63</v>
      </c>
      <c r="K83" s="51">
        <v>45698</v>
      </c>
      <c r="L83" s="1103" t="s">
        <v>57</v>
      </c>
      <c r="M83" s="439">
        <v>67892.5</v>
      </c>
      <c r="N83" s="439">
        <v>65771.429999999993</v>
      </c>
      <c r="O83" s="391" t="s">
        <v>57</v>
      </c>
      <c r="P83" s="365" t="s">
        <v>391</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390</v>
      </c>
      <c r="J84" s="944" t="s">
        <v>63</v>
      </c>
      <c r="K84" s="1036">
        <v>45741</v>
      </c>
      <c r="L84" s="944" t="s">
        <v>57</v>
      </c>
      <c r="M84" s="439">
        <v>49071</v>
      </c>
      <c r="N84" s="439">
        <v>51376.61</v>
      </c>
      <c r="O84" s="387" t="s">
        <v>57</v>
      </c>
      <c r="P84" s="1115" t="s">
        <v>391</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391</v>
      </c>
      <c r="L85" s="945" t="s">
        <v>57</v>
      </c>
      <c r="M85" s="442">
        <v>43130</v>
      </c>
      <c r="N85" s="439">
        <v>43560</v>
      </c>
      <c r="O85" s="686" t="s">
        <v>57</v>
      </c>
      <c r="P85" s="1115" t="s">
        <v>391</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391</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387</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390</v>
      </c>
      <c r="J93" s="52" t="s">
        <v>63</v>
      </c>
      <c r="K93" s="51">
        <v>45701</v>
      </c>
      <c r="L93" s="52" t="s">
        <v>57</v>
      </c>
      <c r="M93" s="439">
        <v>111163</v>
      </c>
      <c r="N93" s="755"/>
      <c r="O93" s="52" t="s">
        <v>57</v>
      </c>
      <c r="P93" s="602" t="s">
        <v>391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390</v>
      </c>
      <c r="J94" s="387" t="s">
        <v>56</v>
      </c>
      <c r="K94" s="386">
        <v>45874</v>
      </c>
      <c r="L94" s="387" t="s">
        <v>57</v>
      </c>
      <c r="M94" s="442">
        <v>11894.25</v>
      </c>
      <c r="N94" s="97"/>
      <c r="O94" s="387" t="s">
        <v>57</v>
      </c>
      <c r="P94" s="603" t="s">
        <v>391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390</v>
      </c>
      <c r="J95" s="387" t="s">
        <v>63</v>
      </c>
      <c r="K95" s="386">
        <v>45793</v>
      </c>
      <c r="L95" s="387" t="s">
        <v>57</v>
      </c>
      <c r="M95" s="442">
        <v>104070.8</v>
      </c>
      <c r="N95" s="755"/>
      <c r="O95" s="387" t="s">
        <v>57</v>
      </c>
      <c r="P95" s="603" t="s">
        <v>391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390</v>
      </c>
      <c r="J96" s="482" t="s">
        <v>63</v>
      </c>
      <c r="K96" s="480">
        <v>45786</v>
      </c>
      <c r="L96" s="482" t="s">
        <v>57</v>
      </c>
      <c r="M96" s="1054">
        <v>133172.15</v>
      </c>
      <c r="N96" s="755"/>
      <c r="O96" s="482" t="s">
        <v>57</v>
      </c>
      <c r="P96" s="769" t="s">
        <v>391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390</v>
      </c>
      <c r="J97" s="52" t="s">
        <v>63</v>
      </c>
      <c r="K97" s="386">
        <v>45826</v>
      </c>
      <c r="L97" s="387" t="s">
        <v>57</v>
      </c>
      <c r="M97" s="442">
        <v>144886</v>
      </c>
      <c r="N97" s="97"/>
      <c r="O97" s="387" t="s">
        <v>57</v>
      </c>
      <c r="P97" s="603" t="s">
        <v>391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390</v>
      </c>
      <c r="J98" s="52" t="s">
        <v>63</v>
      </c>
      <c r="K98" s="51">
        <v>45918</v>
      </c>
      <c r="L98" s="387" t="s">
        <v>57</v>
      </c>
      <c r="M98" s="442">
        <v>10840.25</v>
      </c>
      <c r="N98" s="755"/>
      <c r="O98" s="387" t="s">
        <v>57</v>
      </c>
      <c r="P98" s="759" t="s">
        <v>391</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390</v>
      </c>
      <c r="J99" s="52" t="s">
        <v>63</v>
      </c>
      <c r="K99" s="386">
        <v>45853</v>
      </c>
      <c r="L99" s="391" t="s">
        <v>57</v>
      </c>
      <c r="M99" s="442">
        <v>60849.9</v>
      </c>
      <c r="N99" s="97"/>
      <c r="O99" s="391" t="s">
        <v>57</v>
      </c>
      <c r="P99" s="759" t="s">
        <v>391</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390</v>
      </c>
      <c r="J100" s="52" t="s">
        <v>63</v>
      </c>
      <c r="K100" s="386">
        <v>45884</v>
      </c>
      <c r="L100" s="387" t="s">
        <v>57</v>
      </c>
      <c r="M100" s="442">
        <v>67441</v>
      </c>
      <c r="N100" s="97"/>
      <c r="O100" s="387" t="s">
        <v>57</v>
      </c>
      <c r="P100" s="759" t="s">
        <v>391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390</v>
      </c>
      <c r="J101" s="387" t="s">
        <v>63</v>
      </c>
      <c r="K101" s="386">
        <v>45797</v>
      </c>
      <c r="L101" s="387" t="s">
        <v>57</v>
      </c>
      <c r="M101" s="442">
        <v>43097.65</v>
      </c>
      <c r="N101" s="755"/>
      <c r="O101" s="387" t="s">
        <v>57</v>
      </c>
      <c r="P101" s="759" t="s">
        <v>391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390</v>
      </c>
      <c r="J102" s="491" t="s">
        <v>63</v>
      </c>
      <c r="K102" s="480">
        <v>45880</v>
      </c>
      <c r="L102" s="482" t="s">
        <v>57</v>
      </c>
      <c r="M102" s="1054">
        <v>56807.95</v>
      </c>
      <c r="N102" s="755"/>
      <c r="O102" s="482" t="s">
        <v>57</v>
      </c>
      <c r="P102" s="769" t="s">
        <v>391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390</v>
      </c>
      <c r="J103" s="387" t="s">
        <v>63</v>
      </c>
      <c r="K103" s="386">
        <v>45882</v>
      </c>
      <c r="L103" s="387" t="s">
        <v>57</v>
      </c>
      <c r="M103" s="442">
        <v>59869.5</v>
      </c>
      <c r="N103" s="755"/>
      <c r="O103" s="387" t="s">
        <v>57</v>
      </c>
      <c r="P103" s="603" t="s">
        <v>391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390</v>
      </c>
      <c r="J104" s="387" t="s">
        <v>63</v>
      </c>
      <c r="K104" s="386">
        <v>45897</v>
      </c>
      <c r="L104" s="387" t="s">
        <v>57</v>
      </c>
      <c r="M104" s="442">
        <v>50874.95</v>
      </c>
      <c r="N104" s="755"/>
      <c r="O104" s="387" t="s">
        <v>57</v>
      </c>
      <c r="P104" s="611" t="s">
        <v>391</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390</v>
      </c>
      <c r="J105" s="387" t="s">
        <v>63</v>
      </c>
      <c r="K105" s="386">
        <v>45840</v>
      </c>
      <c r="L105" s="387" t="s">
        <v>57</v>
      </c>
      <c r="M105" s="442">
        <v>10430.549999999999</v>
      </c>
      <c r="N105" s="755"/>
      <c r="O105" s="387" t="s">
        <v>57</v>
      </c>
      <c r="P105" s="760" t="s">
        <v>391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390</v>
      </c>
      <c r="J106" s="387" t="s">
        <v>63</v>
      </c>
      <c r="K106" s="386">
        <v>45912</v>
      </c>
      <c r="L106" s="387" t="s">
        <v>57</v>
      </c>
      <c r="M106" s="442">
        <v>60115.95</v>
      </c>
      <c r="N106" s="755"/>
      <c r="O106" s="387" t="s">
        <v>57</v>
      </c>
      <c r="P106" s="759" t="s">
        <v>391</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390</v>
      </c>
      <c r="J107" s="387" t="s">
        <v>63</v>
      </c>
      <c r="K107" s="386">
        <v>45847</v>
      </c>
      <c r="L107" s="387" t="s">
        <v>57</v>
      </c>
      <c r="M107" s="442">
        <v>71310.899999999994</v>
      </c>
      <c r="N107" s="755"/>
      <c r="O107" s="387" t="s">
        <v>57</v>
      </c>
      <c r="P107" s="603" t="s">
        <v>391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390</v>
      </c>
      <c r="J108" s="387" t="s">
        <v>63</v>
      </c>
      <c r="K108" s="386">
        <v>45840</v>
      </c>
      <c r="L108" s="387" t="s">
        <v>57</v>
      </c>
      <c r="M108" s="442">
        <v>53605.2</v>
      </c>
      <c r="N108" s="755"/>
      <c r="O108" s="387" t="s">
        <v>57</v>
      </c>
      <c r="P108" s="603" t="s">
        <v>391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390</v>
      </c>
      <c r="J109" s="387" t="s">
        <v>63</v>
      </c>
      <c r="K109" s="386">
        <v>45833</v>
      </c>
      <c r="L109" s="387" t="s">
        <v>57</v>
      </c>
      <c r="M109" s="442">
        <v>32940.449999999997</v>
      </c>
      <c r="N109" s="755"/>
      <c r="O109" s="387" t="s">
        <v>57</v>
      </c>
      <c r="P109" s="602" t="s">
        <v>391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390</v>
      </c>
      <c r="J110" s="387" t="s">
        <v>63</v>
      </c>
      <c r="K110" s="386">
        <v>45840</v>
      </c>
      <c r="L110" s="387" t="s">
        <v>57</v>
      </c>
      <c r="M110" s="442">
        <v>23404.75</v>
      </c>
      <c r="N110" s="755"/>
      <c r="O110" s="387" t="s">
        <v>57</v>
      </c>
      <c r="P110" s="759" t="s">
        <v>391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390</v>
      </c>
      <c r="J111" s="387" t="s">
        <v>63</v>
      </c>
      <c r="K111" s="386">
        <v>45903</v>
      </c>
      <c r="L111" s="387" t="s">
        <v>57</v>
      </c>
      <c r="M111" s="442">
        <v>27186</v>
      </c>
      <c r="N111" s="755"/>
      <c r="O111" s="387" t="s">
        <v>57</v>
      </c>
      <c r="P111" s="759" t="s">
        <v>391</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390</v>
      </c>
      <c r="J112" s="387" t="s">
        <v>63</v>
      </c>
      <c r="K112" s="386">
        <v>45887</v>
      </c>
      <c r="L112" s="387" t="s">
        <v>57</v>
      </c>
      <c r="M112" s="442">
        <v>37930</v>
      </c>
      <c r="N112" s="97"/>
      <c r="O112" s="387" t="s">
        <v>57</v>
      </c>
      <c r="P112" s="602" t="s">
        <v>391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390</v>
      </c>
      <c r="J113" s="52" t="s">
        <v>63</v>
      </c>
      <c r="K113" s="386">
        <v>45887</v>
      </c>
      <c r="L113" s="387" t="s">
        <v>57</v>
      </c>
      <c r="M113" s="442">
        <v>69889</v>
      </c>
      <c r="N113" s="97"/>
      <c r="O113" s="387" t="s">
        <v>57</v>
      </c>
      <c r="P113" s="603" t="s">
        <v>391</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390</v>
      </c>
      <c r="J114" s="52" t="s">
        <v>63</v>
      </c>
      <c r="K114" s="386">
        <v>45887</v>
      </c>
      <c r="L114" s="387" t="s">
        <v>57</v>
      </c>
      <c r="M114" s="442">
        <v>52110</v>
      </c>
      <c r="N114" s="755"/>
      <c r="O114" s="387" t="s">
        <v>57</v>
      </c>
      <c r="P114" s="603" t="s">
        <v>391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390</v>
      </c>
      <c r="J115" s="52" t="s">
        <v>63</v>
      </c>
      <c r="K115" s="386">
        <v>45897</v>
      </c>
      <c r="L115" s="387" t="s">
        <v>57</v>
      </c>
      <c r="M115" s="442">
        <v>52204</v>
      </c>
      <c r="N115" s="755"/>
      <c r="O115" s="387" t="s">
        <v>57</v>
      </c>
      <c r="P115" s="759" t="s">
        <v>391</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390</v>
      </c>
      <c r="J116" s="52" t="s">
        <v>63</v>
      </c>
      <c r="K116" s="386">
        <v>45912</v>
      </c>
      <c r="L116" s="387" t="s">
        <v>57</v>
      </c>
      <c r="M116" s="442">
        <v>47676</v>
      </c>
      <c r="N116" s="755"/>
      <c r="O116" s="387" t="s">
        <v>57</v>
      </c>
      <c r="P116" s="759" t="s">
        <v>391</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390</v>
      </c>
      <c r="J117" s="52" t="s">
        <v>63</v>
      </c>
      <c r="K117" s="386">
        <v>45933</v>
      </c>
      <c r="L117" s="387" t="s">
        <v>57</v>
      </c>
      <c r="M117" s="442">
        <v>44697.599999999999</v>
      </c>
      <c r="N117" s="755"/>
      <c r="O117" s="387" t="s">
        <v>57</v>
      </c>
      <c r="P117" s="759" t="s">
        <v>391</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390</v>
      </c>
      <c r="J118" s="52" t="s">
        <v>63</v>
      </c>
      <c r="K118" s="386">
        <v>45933</v>
      </c>
      <c r="L118" s="387" t="s">
        <v>57</v>
      </c>
      <c r="M118" s="442">
        <v>58864</v>
      </c>
      <c r="N118" s="755"/>
      <c r="O118" s="387" t="s">
        <v>57</v>
      </c>
      <c r="P118" s="759" t="s">
        <v>391</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390</v>
      </c>
      <c r="J119" s="52" t="s">
        <v>63</v>
      </c>
      <c r="K119" s="386">
        <v>45902</v>
      </c>
      <c r="L119" s="387" t="s">
        <v>57</v>
      </c>
      <c r="M119" s="442">
        <v>12695</v>
      </c>
      <c r="N119" s="755"/>
      <c r="O119" s="387" t="s">
        <v>57</v>
      </c>
      <c r="P119" s="759" t="s">
        <v>391</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390</v>
      </c>
      <c r="J120" s="482" t="s">
        <v>63</v>
      </c>
      <c r="K120" s="386">
        <v>45848</v>
      </c>
      <c r="L120" s="387" t="s">
        <v>57</v>
      </c>
      <c r="M120" s="442">
        <v>1206</v>
      </c>
      <c r="N120" s="755"/>
      <c r="O120" s="387" t="s">
        <v>57</v>
      </c>
      <c r="P120" s="603" t="s">
        <v>391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390</v>
      </c>
      <c r="J121" s="518" t="s">
        <v>63</v>
      </c>
      <c r="K121" s="1084">
        <v>45821</v>
      </c>
      <c r="L121" s="522" t="s">
        <v>57</v>
      </c>
      <c r="M121" s="930">
        <v>23436.55</v>
      </c>
      <c r="N121" s="755"/>
      <c r="O121" s="522" t="s">
        <v>57</v>
      </c>
      <c r="P121" s="786" t="s">
        <v>391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390</v>
      </c>
      <c r="J122" s="482" t="s">
        <v>63</v>
      </c>
      <c r="K122" s="480" t="s">
        <v>52</v>
      </c>
      <c r="L122" s="482" t="s">
        <v>57</v>
      </c>
      <c r="M122" s="1054">
        <v>18903.7</v>
      </c>
      <c r="N122" s="97"/>
      <c r="O122" s="482" t="s">
        <v>57</v>
      </c>
      <c r="P122" s="769" t="s">
        <v>391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390</v>
      </c>
      <c r="J123" s="518" t="s">
        <v>63</v>
      </c>
      <c r="K123" s="519" t="s">
        <v>924</v>
      </c>
      <c r="L123" s="518" t="s">
        <v>57</v>
      </c>
      <c r="M123" s="930">
        <v>21888.65</v>
      </c>
      <c r="N123" s="97"/>
      <c r="O123" s="518" t="s">
        <v>57</v>
      </c>
      <c r="P123" s="786" t="s">
        <v>391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390</v>
      </c>
      <c r="J124" s="996" t="s">
        <v>63</v>
      </c>
      <c r="K124" s="978">
        <v>45876</v>
      </c>
      <c r="L124" s="996" t="s">
        <v>57</v>
      </c>
      <c r="M124" s="998">
        <v>1462.85</v>
      </c>
      <c r="N124" s="97"/>
      <c r="O124" s="996" t="s">
        <v>57</v>
      </c>
      <c r="P124" s="787" t="s">
        <v>391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390</v>
      </c>
      <c r="J126" s="518" t="s">
        <v>63</v>
      </c>
      <c r="K126" s="519">
        <v>45870</v>
      </c>
      <c r="L126" s="518" t="s">
        <v>57</v>
      </c>
      <c r="M126" s="930">
        <v>49307.5</v>
      </c>
      <c r="N126" s="97"/>
      <c r="O126" s="518" t="s">
        <v>57</v>
      </c>
      <c r="P126" s="804" t="s">
        <v>391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390</v>
      </c>
      <c r="J127" s="518" t="s">
        <v>63</v>
      </c>
      <c r="K127" s="519">
        <v>45870</v>
      </c>
      <c r="L127" s="518" t="s">
        <v>57</v>
      </c>
      <c r="M127" s="930">
        <v>12886.4</v>
      </c>
      <c r="N127" s="805"/>
      <c r="O127" s="518" t="s">
        <v>57</v>
      </c>
      <c r="P127" s="786" t="s">
        <v>391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390</v>
      </c>
      <c r="J128" s="812" t="s">
        <v>63</v>
      </c>
      <c r="K128" s="386">
        <v>45882</v>
      </c>
      <c r="L128" s="387" t="s">
        <v>57</v>
      </c>
      <c r="M128" s="442">
        <v>13056.5</v>
      </c>
      <c r="N128" s="805"/>
      <c r="O128" s="387" t="s">
        <v>57</v>
      </c>
      <c r="P128" s="603" t="s">
        <v>391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390</v>
      </c>
      <c r="J129" s="812" t="s">
        <v>63</v>
      </c>
      <c r="K129" s="519">
        <v>45868</v>
      </c>
      <c r="L129" s="518" t="s">
        <v>57</v>
      </c>
      <c r="M129" s="930">
        <v>14179.65</v>
      </c>
      <c r="N129" s="805"/>
      <c r="O129" s="518" t="s">
        <v>57</v>
      </c>
      <c r="P129" s="804" t="s">
        <v>391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390</v>
      </c>
      <c r="J130" s="812" t="s">
        <v>63</v>
      </c>
      <c r="K130" s="480">
        <v>45853</v>
      </c>
      <c r="L130" s="482" t="s">
        <v>57</v>
      </c>
      <c r="M130" s="1054">
        <v>68216.5</v>
      </c>
      <c r="N130" s="798"/>
      <c r="O130" s="482" t="s">
        <v>57</v>
      </c>
      <c r="P130" s="769" t="s">
        <v>391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390</v>
      </c>
      <c r="J131" s="491" t="s">
        <v>63</v>
      </c>
      <c r="K131" s="525">
        <v>45838</v>
      </c>
      <c r="L131" s="1085" t="s">
        <v>57</v>
      </c>
      <c r="M131" s="797">
        <v>72566</v>
      </c>
      <c r="N131" s="755"/>
      <c r="O131" s="491" t="s">
        <v>57</v>
      </c>
      <c r="P131" s="769" t="s">
        <v>391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390</v>
      </c>
      <c r="J132" s="52" t="s">
        <v>63</v>
      </c>
      <c r="K132" s="386">
        <v>45936</v>
      </c>
      <c r="L132" s="387" t="s">
        <v>57</v>
      </c>
      <c r="M132" s="442">
        <v>4235.8</v>
      </c>
      <c r="N132" s="755"/>
      <c r="O132" s="387" t="s">
        <v>57</v>
      </c>
      <c r="P132" s="603" t="s">
        <v>391</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390</v>
      </c>
      <c r="J133" s="795" t="s">
        <v>63</v>
      </c>
      <c r="K133" s="480">
        <v>45902</v>
      </c>
      <c r="L133" s="482" t="s">
        <v>57</v>
      </c>
      <c r="M133" s="1054">
        <v>3067.9</v>
      </c>
      <c r="N133" s="805"/>
      <c r="O133" s="482" t="s">
        <v>57</v>
      </c>
      <c r="P133" s="769" t="s">
        <v>391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390</v>
      </c>
      <c r="J134" s="795" t="s">
        <v>56</v>
      </c>
      <c r="K134" s="480">
        <v>45876</v>
      </c>
      <c r="L134" s="482" t="s">
        <v>57</v>
      </c>
      <c r="M134" s="1054">
        <v>124980</v>
      </c>
      <c r="N134" s="805"/>
      <c r="O134" s="482" t="s">
        <v>57</v>
      </c>
      <c r="P134" s="769" t="s">
        <v>391</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390</v>
      </c>
      <c r="J135" s="812" t="s">
        <v>63</v>
      </c>
      <c r="K135" s="519">
        <v>45817</v>
      </c>
      <c r="L135" s="518" t="s">
        <v>57</v>
      </c>
      <c r="M135" s="930">
        <v>75953</v>
      </c>
      <c r="N135" s="1006"/>
      <c r="O135" s="518" t="s">
        <v>57</v>
      </c>
      <c r="P135" s="804" t="s">
        <v>391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390</v>
      </c>
      <c r="J136" s="795" t="s">
        <v>63</v>
      </c>
      <c r="K136" s="519">
        <v>45716</v>
      </c>
      <c r="L136" s="117" t="s">
        <v>57</v>
      </c>
      <c r="M136" s="796">
        <v>45321.5</v>
      </c>
      <c r="N136" s="805"/>
      <c r="O136" s="117" t="s">
        <v>57</v>
      </c>
      <c r="P136" s="786" t="s">
        <v>391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390</v>
      </c>
      <c r="J137" s="812" t="s">
        <v>63</v>
      </c>
      <c r="K137" s="1078">
        <v>45741</v>
      </c>
      <c r="L137" s="885" t="s">
        <v>57</v>
      </c>
      <c r="M137" s="1079">
        <v>41813</v>
      </c>
      <c r="N137" s="805"/>
      <c r="O137" s="885" t="s">
        <v>57</v>
      </c>
      <c r="P137" s="1071" t="s">
        <v>391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390</v>
      </c>
      <c r="J138" s="795" t="s">
        <v>63</v>
      </c>
      <c r="K138" s="512">
        <v>45698</v>
      </c>
      <c r="L138" s="520" t="s">
        <v>57</v>
      </c>
      <c r="M138" s="796">
        <v>71979</v>
      </c>
      <c r="N138" s="798"/>
      <c r="O138" s="520" t="s">
        <v>57</v>
      </c>
      <c r="P138" s="804" t="s">
        <v>391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390</v>
      </c>
      <c r="J139" s="812" t="s">
        <v>63</v>
      </c>
      <c r="K139" s="512">
        <v>45741</v>
      </c>
      <c r="L139" s="518" t="s">
        <v>57</v>
      </c>
      <c r="M139" s="796">
        <v>75396.5</v>
      </c>
      <c r="N139" s="798"/>
      <c r="O139" s="518" t="s">
        <v>57</v>
      </c>
      <c r="P139" s="804" t="s">
        <v>391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391</v>
      </c>
      <c r="J140" s="491" t="s">
        <v>63</v>
      </c>
      <c r="K140" s="489">
        <v>45699</v>
      </c>
      <c r="L140" s="497" t="s">
        <v>57</v>
      </c>
      <c r="M140" s="797">
        <v>72566</v>
      </c>
      <c r="N140" s="97"/>
      <c r="O140" s="497" t="s">
        <v>57</v>
      </c>
      <c r="P140" s="769" t="s">
        <v>391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391</v>
      </c>
      <c r="J141" s="491" t="s">
        <v>63</v>
      </c>
      <c r="K141" s="489">
        <v>45712</v>
      </c>
      <c r="L141" s="491" t="s">
        <v>57</v>
      </c>
      <c r="M141" s="797">
        <v>14262</v>
      </c>
      <c r="N141" s="755"/>
      <c r="O141" s="491" t="s">
        <v>57</v>
      </c>
      <c r="P141" s="769" t="s">
        <v>391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391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390</v>
      </c>
      <c r="J143" s="52" t="s">
        <v>63</v>
      </c>
      <c r="K143" s="489" t="s">
        <v>52</v>
      </c>
      <c r="L143" s="497" t="s">
        <v>57</v>
      </c>
      <c r="M143" s="797">
        <v>1594</v>
      </c>
      <c r="N143" s="755"/>
      <c r="O143" s="497" t="s">
        <v>57</v>
      </c>
      <c r="P143" s="769" t="s">
        <v>391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390</v>
      </c>
      <c r="J144" s="795" t="s">
        <v>63</v>
      </c>
      <c r="K144" s="489">
        <v>45714</v>
      </c>
      <c r="L144" s="491" t="s">
        <v>57</v>
      </c>
      <c r="M144" s="797">
        <v>93462.85</v>
      </c>
      <c r="N144" s="798"/>
      <c r="O144" s="491" t="s">
        <v>57</v>
      </c>
      <c r="P144" s="769" t="s">
        <v>391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390</v>
      </c>
      <c r="J145" s="795" t="s">
        <v>63</v>
      </c>
      <c r="K145" s="488" t="s">
        <v>52</v>
      </c>
      <c r="L145" s="482" t="s">
        <v>57</v>
      </c>
      <c r="M145" s="1054">
        <v>4397.6499999999996</v>
      </c>
      <c r="N145" s="798"/>
      <c r="O145" s="482" t="s">
        <v>57</v>
      </c>
      <c r="P145" s="769" t="s">
        <v>391</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387</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390</v>
      </c>
      <c r="J150" s="491" t="s">
        <v>56</v>
      </c>
      <c r="K150" s="870"/>
      <c r="L150" s="480">
        <v>45716</v>
      </c>
      <c r="M150" s="491" t="s">
        <v>57</v>
      </c>
      <c r="N150" s="558">
        <v>2075.6999999999998</v>
      </c>
      <c r="O150" s="491" t="s">
        <v>57</v>
      </c>
      <c r="P150" s="954" t="s">
        <v>391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390</v>
      </c>
      <c r="J151" s="491" t="s">
        <v>56</v>
      </c>
      <c r="K151" s="502"/>
      <c r="L151" s="480">
        <v>45716</v>
      </c>
      <c r="M151" s="491" t="s">
        <v>57</v>
      </c>
      <c r="N151" s="559">
        <v>2947.5</v>
      </c>
      <c r="O151" s="491" t="s">
        <v>57</v>
      </c>
      <c r="P151" s="955" t="s">
        <v>391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390</v>
      </c>
      <c r="J152" s="491" t="s">
        <v>56</v>
      </c>
      <c r="K152" s="502"/>
      <c r="L152" s="480">
        <v>45716</v>
      </c>
      <c r="M152" s="491" t="s">
        <v>57</v>
      </c>
      <c r="N152" s="559">
        <v>2908.95</v>
      </c>
      <c r="O152" s="491" t="s">
        <v>57</v>
      </c>
      <c r="P152" s="955" t="s">
        <v>391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391</v>
      </c>
      <c r="J153" s="491" t="s">
        <v>56</v>
      </c>
      <c r="K153" s="491"/>
      <c r="L153" s="855">
        <v>45716</v>
      </c>
      <c r="M153" s="491" t="s">
        <v>57</v>
      </c>
      <c r="N153" s="559">
        <v>1134</v>
      </c>
      <c r="O153" s="491" t="s">
        <v>57</v>
      </c>
      <c r="P153" s="956" t="s">
        <v>391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391</v>
      </c>
      <c r="J154" s="491" t="s">
        <v>56</v>
      </c>
      <c r="K154" s="502"/>
      <c r="L154" s="480">
        <v>45716</v>
      </c>
      <c r="M154" s="491" t="s">
        <v>57</v>
      </c>
      <c r="N154" s="559">
        <v>870</v>
      </c>
      <c r="O154" s="491" t="s">
        <v>57</v>
      </c>
      <c r="P154" s="956" t="s">
        <v>391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390</v>
      </c>
      <c r="J155" s="491" t="s">
        <v>63</v>
      </c>
      <c r="K155" s="491"/>
      <c r="L155" s="855">
        <v>45716</v>
      </c>
      <c r="M155" s="854" t="s">
        <v>57</v>
      </c>
      <c r="N155" s="559">
        <v>2025.6</v>
      </c>
      <c r="O155" s="854" t="s">
        <v>57</v>
      </c>
      <c r="P155" s="956" t="s">
        <v>391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391</v>
      </c>
      <c r="J156" s="491" t="s">
        <v>56</v>
      </c>
      <c r="K156" s="491"/>
      <c r="L156" s="489">
        <v>45715</v>
      </c>
      <c r="M156" s="491" t="s">
        <v>57</v>
      </c>
      <c r="N156" s="559">
        <v>3801.75</v>
      </c>
      <c r="O156" s="491" t="s">
        <v>57</v>
      </c>
      <c r="P156" s="956" t="s">
        <v>391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391</v>
      </c>
      <c r="J159" s="944" t="s">
        <v>56</v>
      </c>
      <c r="K159" s="941"/>
      <c r="L159" s="946" t="s">
        <v>56</v>
      </c>
      <c r="M159" s="944" t="s">
        <v>88</v>
      </c>
      <c r="N159" s="947">
        <v>0</v>
      </c>
      <c r="O159" s="944" t="s">
        <v>88</v>
      </c>
      <c r="P159" s="948" t="s">
        <v>391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391</v>
      </c>
      <c r="J160" s="885" t="s">
        <v>56</v>
      </c>
      <c r="K160" s="890"/>
      <c r="L160" s="892" t="s">
        <v>56</v>
      </c>
      <c r="M160" s="885" t="s">
        <v>88</v>
      </c>
      <c r="N160" s="886">
        <v>0</v>
      </c>
      <c r="O160" s="885" t="s">
        <v>88</v>
      </c>
      <c r="P160" s="887" t="s">
        <v>391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296</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296</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296</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388</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388</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296</v>
      </c>
      <c r="D767">
        <v>362</v>
      </c>
      <c r="E767">
        <v>399</v>
      </c>
      <c r="G767">
        <v>761</v>
      </c>
    </row>
    <row r="768" spans="1:7">
      <c r="A768" t="s">
        <v>904</v>
      </c>
    </row>
    <row r="769" spans="1:7">
      <c r="A769" t="s">
        <v>874</v>
      </c>
    </row>
    <row r="770" spans="1:7">
      <c r="A770" t="s">
        <v>413</v>
      </c>
      <c r="C770">
        <v>120</v>
      </c>
      <c r="D770">
        <v>190</v>
      </c>
      <c r="G770">
        <v>310</v>
      </c>
    </row>
    <row r="771" spans="1:7">
      <c r="A771" t="s">
        <v>388</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388</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388</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178</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296</v>
      </c>
      <c r="E838">
        <v>170</v>
      </c>
      <c r="G838">
        <v>170</v>
      </c>
    </row>
    <row r="839" spans="1:7">
      <c r="A839" t="s">
        <v>388</v>
      </c>
      <c r="D839">
        <v>986</v>
      </c>
      <c r="G839">
        <v>986</v>
      </c>
    </row>
    <row r="840" spans="1:7">
      <c r="A840" t="s">
        <v>1067</v>
      </c>
      <c r="B840">
        <v>916</v>
      </c>
      <c r="C840">
        <v>144</v>
      </c>
      <c r="G840">
        <v>1060</v>
      </c>
    </row>
    <row r="841" spans="1:7">
      <c r="A841" t="s">
        <v>568</v>
      </c>
    </row>
    <row r="842" spans="1:7">
      <c r="A842" t="s">
        <v>906</v>
      </c>
    </row>
    <row r="843" spans="1:7">
      <c r="A843" t="s">
        <v>178</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296</v>
      </c>
    </row>
    <row r="885" spans="1:7">
      <c r="A885" t="s">
        <v>388</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252</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388</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252</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384</v>
      </c>
      <c r="E960">
        <v>424</v>
      </c>
      <c r="G960">
        <v>424</v>
      </c>
    </row>
    <row r="961" spans="1:7">
      <c r="A961" t="s">
        <v>350</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252</v>
      </c>
      <c r="B973">
        <v>420</v>
      </c>
      <c r="G973">
        <v>420</v>
      </c>
    </row>
    <row r="974" spans="1:7">
      <c r="A974" t="s">
        <v>584</v>
      </c>
    </row>
    <row r="975" spans="1:7">
      <c r="A975" t="s">
        <v>404</v>
      </c>
      <c r="C975">
        <v>1917</v>
      </c>
      <c r="E975">
        <v>272</v>
      </c>
      <c r="G975">
        <v>2189</v>
      </c>
    </row>
    <row r="976" spans="1:7">
      <c r="A976" t="s">
        <v>576</v>
      </c>
      <c r="B976">
        <v>956</v>
      </c>
      <c r="G976">
        <v>956</v>
      </c>
    </row>
    <row r="977" spans="1:7">
      <c r="A977" t="s">
        <v>239</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384</v>
      </c>
      <c r="E982">
        <v>313</v>
      </c>
      <c r="F982">
        <v>3007</v>
      </c>
      <c r="G982">
        <v>3320</v>
      </c>
    </row>
    <row r="983" spans="1:7">
      <c r="A983" t="s">
        <v>350</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353</v>
      </c>
      <c r="E995">
        <v>2376</v>
      </c>
      <c r="F995">
        <v>1217</v>
      </c>
      <c r="G995">
        <v>3593</v>
      </c>
    </row>
    <row r="996" spans="1:7">
      <c r="A996" t="s">
        <v>331</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252</v>
      </c>
      <c r="D1011">
        <v>426</v>
      </c>
      <c r="G1011">
        <v>426</v>
      </c>
    </row>
    <row r="1012" spans="1:7">
      <c r="A1012" t="s">
        <v>418</v>
      </c>
    </row>
    <row r="1013" spans="1:7">
      <c r="A1013" t="s">
        <v>484</v>
      </c>
    </row>
    <row r="1014" spans="1:7">
      <c r="A1014" t="s">
        <v>344</v>
      </c>
      <c r="C1014">
        <v>1175</v>
      </c>
      <c r="G1014">
        <v>1175</v>
      </c>
    </row>
    <row r="1015" spans="1:7">
      <c r="A1015" t="s">
        <v>339</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225</v>
      </c>
      <c r="B1025">
        <v>82</v>
      </c>
      <c r="G1025">
        <v>82</v>
      </c>
    </row>
    <row r="1026" spans="1:7">
      <c r="A1026" t="s">
        <v>353</v>
      </c>
      <c r="C1026">
        <v>3311</v>
      </c>
      <c r="G1026">
        <v>3311</v>
      </c>
    </row>
    <row r="1027" spans="1:7">
      <c r="A1027" t="s">
        <v>474</v>
      </c>
    </row>
    <row r="1028" spans="1:7">
      <c r="A1028" t="s">
        <v>331</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344</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331</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381</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347</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E1082">
        <v>1283</v>
      </c>
    </row>
    <row r="1083" spans="1:7">
      <c r="A1083" t="s">
        <v>339</v>
      </c>
    </row>
    <row r="1084" spans="1:7">
      <c r="A1084" t="s">
        <v>442</v>
      </c>
    </row>
    <row r="1085" spans="1:7">
      <c r="A1085" t="s">
        <v>331</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E1091">
        <v>1181</v>
      </c>
    </row>
    <row r="1092" spans="1:5">
      <c r="A1092" t="s">
        <v>365</v>
      </c>
    </row>
    <row r="1093" spans="1:5">
      <c r="A1093" t="s">
        <v>367</v>
      </c>
    </row>
    <row r="1094" spans="1:5">
      <c r="A1094" t="s">
        <v>1087</v>
      </c>
    </row>
    <row r="1095" spans="1:5">
      <c r="A1095" t="s">
        <v>311</v>
      </c>
      <c r="C1095">
        <v>1640</v>
      </c>
      <c r="E1095">
        <v>1640</v>
      </c>
    </row>
    <row r="1096" spans="1:5">
      <c r="A1096" t="s">
        <v>356</v>
      </c>
    </row>
    <row r="1097" spans="1:5">
      <c r="A1097" t="s">
        <v>362</v>
      </c>
    </row>
    <row r="1098" spans="1:5">
      <c r="A1098" t="s">
        <v>136</v>
      </c>
      <c r="C1098">
        <v>1500</v>
      </c>
      <c r="E1098">
        <v>1500</v>
      </c>
    </row>
    <row r="1099" spans="1:5">
      <c r="A1099" t="s">
        <v>1009</v>
      </c>
      <c r="B1099">
        <v>5343</v>
      </c>
      <c r="C1099">
        <v>5465</v>
      </c>
      <c r="E1099">
        <v>10808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36" activePane="bottomLeft" state="frozen"/>
      <selection pane="bottomLeft" activeCell="F2261" sqref="F226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388</v>
      </c>
      <c r="B1563" s="647" t="s">
        <v>389</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388</v>
      </c>
      <c r="B1570" s="251" t="s">
        <v>389</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388</v>
      </c>
      <c r="B1574" s="251" t="s">
        <v>389</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388</v>
      </c>
      <c r="B1579" s="251" t="s">
        <v>389</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388</v>
      </c>
      <c r="B1585" s="251" t="s">
        <v>389</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388</v>
      </c>
      <c r="B1593" s="142" t="s">
        <v>389</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388</v>
      </c>
      <c r="B1603" s="251" t="s">
        <v>389</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388</v>
      </c>
      <c r="B1608" s="251" t="s">
        <v>389</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388</v>
      </c>
      <c r="B1616" s="142" t="s">
        <v>389</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388</v>
      </c>
      <c r="B1625" s="251" t="s">
        <v>389</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388</v>
      </c>
      <c r="B1636" s="412" t="s">
        <v>389</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388</v>
      </c>
      <c r="B1651" s="251" t="s">
        <v>389</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389</v>
      </c>
      <c r="C1657" s="56">
        <v>45926</v>
      </c>
      <c r="D1657" s="43">
        <v>300</v>
      </c>
      <c r="G1657" t="s">
        <v>1576</v>
      </c>
    </row>
    <row r="1658" spans="1:7">
      <c r="A1658" s="308" t="s">
        <v>1068</v>
      </c>
      <c r="B1658" s="758" t="s">
        <v>1633</v>
      </c>
      <c r="C1658" s="56">
        <v>45926</v>
      </c>
      <c r="D1658" s="43">
        <v>364</v>
      </c>
      <c r="G1658" t="s">
        <v>1576</v>
      </c>
    </row>
    <row r="1659" spans="1:7">
      <c r="A1659" s="135" t="s">
        <v>388</v>
      </c>
      <c r="B1659" s="142" t="s">
        <v>389</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388</v>
      </c>
      <c r="B1669" s="142" t="s">
        <v>389</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388</v>
      </c>
      <c r="B1682" s="308" t="s">
        <v>389</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388</v>
      </c>
      <c r="B1693" s="142" t="s">
        <v>389</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388</v>
      </c>
      <c r="B1703" s="142" t="s">
        <v>389</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388</v>
      </c>
      <c r="B1713" s="142" t="s">
        <v>389</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388</v>
      </c>
      <c r="B1724" s="142" t="s">
        <v>389</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388</v>
      </c>
      <c r="B1734" s="142" t="s">
        <v>389</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388</v>
      </c>
      <c r="B1755" s="251" t="s">
        <v>389</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388</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388</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388</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388</v>
      </c>
      <c r="B1935" s="360" t="s">
        <v>1018</v>
      </c>
      <c r="C1935" s="56">
        <v>45964</v>
      </c>
      <c r="F1935" s="43" t="s">
        <v>1488</v>
      </c>
      <c r="G1935" t="s">
        <v>1752</v>
      </c>
    </row>
    <row r="1936" spans="1:7">
      <c r="A1936" s="142" t="s">
        <v>388</v>
      </c>
      <c r="B1936" s="360" t="s">
        <v>1756</v>
      </c>
      <c r="C1936" s="56">
        <v>45964</v>
      </c>
      <c r="E1936" s="325">
        <v>3846</v>
      </c>
      <c r="F1936" s="43" t="s">
        <v>1757</v>
      </c>
      <c r="G1936" t="s">
        <v>1752</v>
      </c>
    </row>
    <row r="1937" spans="1:7">
      <c r="A1937" s="142" t="s">
        <v>388</v>
      </c>
      <c r="B1937" s="360" t="s">
        <v>389</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344</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388</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344</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384</v>
      </c>
      <c r="B2031" s="43" t="s">
        <v>166</v>
      </c>
      <c r="C2031" s="56">
        <v>45974</v>
      </c>
      <c r="D2031" s="43">
        <v>424</v>
      </c>
      <c r="G2031" t="s">
        <v>1752</v>
      </c>
    </row>
    <row r="2032" spans="1:7">
      <c r="A2032" s="251" t="s">
        <v>350</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350</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350</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350</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353</v>
      </c>
      <c r="B2089" s="398" t="s">
        <v>166</v>
      </c>
      <c r="C2089" s="56">
        <v>45981</v>
      </c>
      <c r="D2089" s="156">
        <v>2376</v>
      </c>
      <c r="F2089" s="69"/>
      <c r="G2089" t="s">
        <v>1752</v>
      </c>
    </row>
    <row r="2090" spans="1:7">
      <c r="A2090" s="359" t="s">
        <v>384</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384</v>
      </c>
      <c r="B2098" s="176" t="s">
        <v>166</v>
      </c>
      <c r="C2098" s="56">
        <v>45982</v>
      </c>
      <c r="D2098" s="156">
        <v>3007</v>
      </c>
      <c r="F2098" s="69"/>
      <c r="G2098" t="s">
        <v>1752</v>
      </c>
    </row>
    <row r="2099" spans="1:7">
      <c r="A2099" s="417" t="s">
        <v>350</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353</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353</v>
      </c>
      <c r="B2139" s="176" t="s">
        <v>166</v>
      </c>
      <c r="C2139" s="56">
        <v>45986</v>
      </c>
      <c r="D2139" s="156">
        <v>3311</v>
      </c>
      <c r="G2139" t="s">
        <v>1752</v>
      </c>
    </row>
    <row r="2140" spans="1:7">
      <c r="A2140" s="69" t="s">
        <v>344</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344</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344</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381</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381</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381</v>
      </c>
      <c r="B2207" s="779" t="s">
        <v>166</v>
      </c>
      <c r="C2207" s="56">
        <v>45994</v>
      </c>
      <c r="D2207" s="43">
        <v>694</v>
      </c>
      <c r="G2207" t="s">
        <v>1837</v>
      </c>
    </row>
    <row r="2208" spans="1:7">
      <c r="A2208" s="1199" t="s">
        <v>347</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344</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339</v>
      </c>
      <c r="B2246" s="176" t="s">
        <v>166</v>
      </c>
      <c r="C2246" s="56">
        <v>45999</v>
      </c>
      <c r="D2246" s="140"/>
      <c r="E2246" s="43"/>
      <c r="G2246" t="s">
        <v>1837</v>
      </c>
    </row>
    <row r="2247" spans="1:7">
      <c r="A2247" s="417" t="s">
        <v>365</v>
      </c>
      <c r="B2247" s="176" t="s">
        <v>166</v>
      </c>
      <c r="C2247" s="56">
        <v>45999</v>
      </c>
      <c r="D2247" s="156">
        <v>2855</v>
      </c>
      <c r="E2247" s="257"/>
      <c r="F2247" s="171"/>
      <c r="G2247" t="s">
        <v>1837</v>
      </c>
    </row>
    <row r="2248" spans="1:7">
      <c r="A2248" s="43" t="s">
        <v>367</v>
      </c>
      <c r="B2248" s="43" t="s">
        <v>166</v>
      </c>
      <c r="C2248" s="56">
        <v>45999</v>
      </c>
      <c r="G2248" t="s">
        <v>1837</v>
      </c>
    </row>
    <row r="2249" spans="1:7">
      <c r="A2249" s="149" t="s">
        <v>1084</v>
      </c>
      <c r="B2249" s="149" t="s">
        <v>1704</v>
      </c>
      <c r="C2249" s="56">
        <v>46000</v>
      </c>
      <c r="D2249" s="43">
        <v>265</v>
      </c>
      <c r="F2249" s="43" t="s">
        <v>1875</v>
      </c>
      <c r="G2249" t="s">
        <v>1837</v>
      </c>
    </row>
    <row r="2250" spans="1:7">
      <c r="A2250" s="149" t="s">
        <v>96</v>
      </c>
      <c r="B2250" s="149" t="s">
        <v>1704</v>
      </c>
      <c r="C2250" s="56">
        <v>46000</v>
      </c>
      <c r="G2250" t="s">
        <v>1837</v>
      </c>
    </row>
    <row r="2251" spans="1:7">
      <c r="A2251" s="149" t="s">
        <v>96</v>
      </c>
      <c r="B2251" s="149" t="s">
        <v>1543</v>
      </c>
      <c r="C2251" s="56">
        <v>46000</v>
      </c>
      <c r="D2251" s="43">
        <v>442</v>
      </c>
      <c r="F2251" s="43" t="s">
        <v>1876</v>
      </c>
      <c r="G2251" t="s">
        <v>1837</v>
      </c>
    </row>
    <row r="2252" spans="1:7">
      <c r="A2252" s="149" t="s">
        <v>1053</v>
      </c>
      <c r="B2252" s="116" t="s">
        <v>1457</v>
      </c>
      <c r="C2252" s="56">
        <v>46000</v>
      </c>
      <c r="D2252" s="43">
        <v>194</v>
      </c>
      <c r="F2252" s="43" t="s">
        <v>1586</v>
      </c>
      <c r="G2252" t="s">
        <v>1837</v>
      </c>
    </row>
    <row r="2253" spans="1:7">
      <c r="A2253" s="382" t="s">
        <v>1085</v>
      </c>
      <c r="B2253" s="1221" t="s">
        <v>230</v>
      </c>
      <c r="C2253" s="56">
        <v>46000</v>
      </c>
      <c r="D2253" s="43">
        <v>541</v>
      </c>
      <c r="F2253" s="43" t="s">
        <v>1877</v>
      </c>
      <c r="G2253" t="s">
        <v>1837</v>
      </c>
    </row>
    <row r="2254" spans="1:7">
      <c r="A2254" s="1217" t="s">
        <v>165</v>
      </c>
      <c r="B2254" s="251" t="s">
        <v>166</v>
      </c>
      <c r="C2254" s="314">
        <v>46000</v>
      </c>
      <c r="D2254" s="156">
        <v>1325</v>
      </c>
      <c r="F2254" s="43" t="s">
        <v>1828</v>
      </c>
      <c r="G2254" t="s">
        <v>1837</v>
      </c>
    </row>
    <row r="2255" spans="1:7">
      <c r="A2255" s="1217" t="s">
        <v>434</v>
      </c>
      <c r="B2255" s="43" t="s">
        <v>1457</v>
      </c>
      <c r="C2255" s="314">
        <v>46000</v>
      </c>
      <c r="E2255" s="140">
        <v>540</v>
      </c>
      <c r="G2255" t="s">
        <v>1837</v>
      </c>
    </row>
    <row r="2256" spans="1:7">
      <c r="A2256" s="826" t="s">
        <v>136</v>
      </c>
      <c r="B2256" s="251" t="s">
        <v>133</v>
      </c>
      <c r="C2256" s="314">
        <v>46000</v>
      </c>
      <c r="D2256" s="156">
        <v>1500</v>
      </c>
      <c r="F2256" s="43" t="s">
        <v>1878</v>
      </c>
      <c r="G2256" t="s">
        <v>1837</v>
      </c>
    </row>
    <row r="2257" spans="1:7">
      <c r="A2257" s="1217" t="s">
        <v>1087</v>
      </c>
      <c r="B2257" s="43" t="s">
        <v>1457</v>
      </c>
      <c r="C2257" s="314">
        <v>46000</v>
      </c>
      <c r="E2257" s="325">
        <v>3493</v>
      </c>
      <c r="G2257" t="s">
        <v>1837</v>
      </c>
    </row>
    <row r="2258" spans="1:7">
      <c r="A2258" s="171" t="s">
        <v>311</v>
      </c>
      <c r="B2258" s="171" t="s">
        <v>1677</v>
      </c>
      <c r="C2258" s="56">
        <v>46000</v>
      </c>
      <c r="D2258" s="156">
        <v>1640</v>
      </c>
      <c r="F2258" s="43" t="s">
        <v>1879</v>
      </c>
      <c r="G2258" t="s">
        <v>1837</v>
      </c>
    </row>
    <row r="2259" spans="1:7">
      <c r="A2259" s="417" t="s">
        <v>356</v>
      </c>
      <c r="B2259" s="176" t="s">
        <v>166</v>
      </c>
      <c r="C2259" s="56">
        <v>46000</v>
      </c>
      <c r="G2259" t="s">
        <v>1837</v>
      </c>
    </row>
    <row r="2260" spans="1:7">
      <c r="A2260" s="417" t="s">
        <v>365</v>
      </c>
      <c r="B2260" s="176" t="s">
        <v>166</v>
      </c>
      <c r="C2260" s="56">
        <v>46000</v>
      </c>
      <c r="G2260" t="s">
        <v>1837</v>
      </c>
    </row>
    <row r="2261" spans="1:7">
      <c r="A2261" s="162" t="s">
        <v>339</v>
      </c>
      <c r="B2261" s="140" t="s">
        <v>166</v>
      </c>
      <c r="C2261" s="56">
        <v>46000</v>
      </c>
      <c r="G2261" t="s">
        <v>1837</v>
      </c>
    </row>
    <row r="2262" spans="1:7">
      <c r="A2262" s="992" t="s">
        <v>362</v>
      </c>
      <c r="B2262" s="140" t="s">
        <v>166</v>
      </c>
      <c r="C2262" s="56">
        <v>46000</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G2267" t="s">
        <v>1837</v>
      </c>
    </row>
    <row r="2268" spans="1:7">
      <c r="A2268" s="807" t="s">
        <v>165</v>
      </c>
      <c r="B2268" s="1223" t="s">
        <v>166</v>
      </c>
      <c r="C2268" s="56">
        <v>46001</v>
      </c>
      <c r="G2268" t="s">
        <v>1837</v>
      </c>
    </row>
    <row r="2269" spans="1:7">
      <c r="A2269" s="764" t="s">
        <v>136</v>
      </c>
      <c r="B2269" s="779" t="s">
        <v>133</v>
      </c>
      <c r="C2269" s="56">
        <v>46001</v>
      </c>
      <c r="G2269" t="s">
        <v>1837</v>
      </c>
    </row>
    <row r="2270" spans="1:7">
      <c r="A2270" s="965" t="s">
        <v>442</v>
      </c>
      <c r="B2270" s="984" t="s">
        <v>1457</v>
      </c>
      <c r="C2270" s="56">
        <v>46001</v>
      </c>
      <c r="G2270" t="s">
        <v>1837</v>
      </c>
    </row>
    <row r="2271" spans="1:7">
      <c r="A2271" s="776" t="s">
        <v>311</v>
      </c>
      <c r="B2271" s="776" t="s">
        <v>1677</v>
      </c>
      <c r="C2271" s="56">
        <v>46001</v>
      </c>
      <c r="G2271" t="s">
        <v>1837</v>
      </c>
    </row>
    <row r="2272" spans="1:7">
      <c r="A2272" s="776" t="s">
        <v>356</v>
      </c>
      <c r="B2272" s="776" t="s">
        <v>166</v>
      </c>
      <c r="C2272" s="56">
        <v>46001</v>
      </c>
      <c r="G2272" t="s">
        <v>1837</v>
      </c>
    </row>
    <row r="2273" spans="1:7">
      <c r="A2273" s="1198" t="s">
        <v>365</v>
      </c>
      <c r="B2273" s="1198" t="s">
        <v>166</v>
      </c>
      <c r="C2273" s="56">
        <v>46001</v>
      </c>
      <c r="G2273" t="s">
        <v>1837</v>
      </c>
    </row>
    <row r="2274" spans="1:7">
      <c r="A2274" s="1224" t="s">
        <v>339</v>
      </c>
      <c r="B2274" s="1224" t="s">
        <v>166</v>
      </c>
      <c r="C2274" s="56">
        <v>46001</v>
      </c>
      <c r="G2274" t="s">
        <v>1837</v>
      </c>
    </row>
    <row r="2275" spans="1:7">
      <c r="A2275" s="779" t="s">
        <v>362</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7"/>
      <c r="B1" s="1227"/>
      <c r="C1" s="1227"/>
      <c r="D1" s="1227"/>
      <c r="E1" s="1227"/>
      <c r="F1" s="1227"/>
      <c r="G1" s="1227"/>
      <c r="H1" s="1227"/>
      <c r="I1" s="1227"/>
      <c r="J1" s="1"/>
      <c r="K1" s="1"/>
      <c r="L1" s="1"/>
      <c r="M1" s="1"/>
      <c r="N1" s="1"/>
      <c r="O1" s="1"/>
      <c r="P1" s="1228" t="s">
        <v>34</v>
      </c>
      <c r="Q1" s="1228"/>
      <c r="R1" s="1228"/>
      <c r="S1" s="1228"/>
      <c r="T1" s="1228"/>
      <c r="U1" s="1228"/>
      <c r="V1" s="1228"/>
      <c r="W1" s="1228"/>
      <c r="X1" s="1228"/>
      <c r="Y1" s="1228"/>
      <c r="Z1" s="1228"/>
      <c r="AA1" s="1228"/>
      <c r="AB1" s="66"/>
    </row>
    <row r="2" spans="1:30" ht="15.75" thickBot="1">
      <c r="A2" s="2"/>
      <c r="B2" s="2"/>
      <c r="C2" s="2"/>
      <c r="D2" s="2"/>
      <c r="E2" s="2"/>
      <c r="F2" s="2"/>
      <c r="G2" s="2"/>
      <c r="H2" s="2"/>
      <c r="I2" s="2"/>
      <c r="J2" s="6"/>
      <c r="K2" s="6"/>
      <c r="L2" s="6"/>
      <c r="M2" s="6"/>
      <c r="N2" s="6"/>
      <c r="O2" s="6"/>
      <c r="P2" s="8"/>
      <c r="Q2" s="8"/>
      <c r="R2" s="3"/>
      <c r="S2" s="3"/>
      <c r="T2" s="3"/>
      <c r="U2" s="3"/>
      <c r="V2" s="3" t="s">
        <v>1880</v>
      </c>
      <c r="W2" s="3" t="s">
        <v>1881</v>
      </c>
      <c r="X2" s="3" t="s">
        <v>1881</v>
      </c>
      <c r="Y2" s="3" t="s">
        <v>1881</v>
      </c>
      <c r="Z2" s="3" t="s">
        <v>1881</v>
      </c>
      <c r="AA2" s="8" t="s">
        <v>1882</v>
      </c>
      <c r="AB2" s="67"/>
    </row>
    <row r="3" spans="1:30" ht="15.75" thickBot="1">
      <c r="A3" s="4" t="s">
        <v>387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1883</v>
      </c>
      <c r="T3" s="19" t="s">
        <v>1884</v>
      </c>
      <c r="U3" s="19" t="s">
        <v>1885</v>
      </c>
      <c r="V3" s="5" t="s">
        <v>1886</v>
      </c>
      <c r="W3" s="5" t="s">
        <v>44</v>
      </c>
      <c r="X3" s="5" t="s">
        <v>43</v>
      </c>
      <c r="Y3" s="5" t="s">
        <v>1887</v>
      </c>
      <c r="Z3" s="5" t="s">
        <v>46</v>
      </c>
      <c r="AA3" s="90" t="s">
        <v>624</v>
      </c>
      <c r="AB3" s="68" t="s">
        <v>48</v>
      </c>
    </row>
    <row r="4" spans="1:30" ht="24.75" customHeight="1" thickBot="1">
      <c r="A4" s="453" t="s">
        <v>1888</v>
      </c>
      <c r="B4" s="453" t="s">
        <v>1889</v>
      </c>
      <c r="C4" s="16">
        <v>45717</v>
      </c>
      <c r="D4" s="63" t="s">
        <v>1890</v>
      </c>
      <c r="E4" s="51">
        <v>45707</v>
      </c>
      <c r="F4" s="51" t="s">
        <v>236</v>
      </c>
      <c r="G4" s="393" t="s">
        <v>1891</v>
      </c>
      <c r="H4" s="98">
        <v>0</v>
      </c>
      <c r="I4" s="106"/>
      <c r="J4" s="76" t="s">
        <v>63</v>
      </c>
      <c r="K4" s="76" t="s">
        <v>1892</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1893</v>
      </c>
    </row>
    <row r="5" spans="1:30" ht="24.75" customHeight="1" thickBot="1">
      <c r="A5" s="453" t="s">
        <v>1894</v>
      </c>
      <c r="B5" s="453" t="s">
        <v>1889</v>
      </c>
      <c r="C5" s="16">
        <v>45717</v>
      </c>
      <c r="D5" s="63" t="s">
        <v>1890</v>
      </c>
      <c r="E5" s="51">
        <v>45707</v>
      </c>
      <c r="F5" s="392" t="s">
        <v>236</v>
      </c>
      <c r="G5" s="393" t="s">
        <v>1895</v>
      </c>
      <c r="H5" s="98">
        <v>0</v>
      </c>
      <c r="I5" s="106"/>
      <c r="J5" s="76" t="s">
        <v>63</v>
      </c>
      <c r="K5" s="76" t="s">
        <v>1892</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1896</v>
      </c>
      <c r="B6" s="453" t="s">
        <v>1889</v>
      </c>
      <c r="C6" s="16">
        <v>45717</v>
      </c>
      <c r="D6" s="63" t="s">
        <v>1890</v>
      </c>
      <c r="E6" s="51">
        <v>45707</v>
      </c>
      <c r="F6" s="392" t="s">
        <v>236</v>
      </c>
      <c r="G6" s="393" t="s">
        <v>1897</v>
      </c>
      <c r="H6" s="98">
        <v>0</v>
      </c>
      <c r="I6" s="106"/>
      <c r="J6" s="76" t="s">
        <v>63</v>
      </c>
      <c r="K6" s="76" t="s">
        <v>1892</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1898</v>
      </c>
      <c r="B8" s="453" t="s">
        <v>1899</v>
      </c>
      <c r="C8" s="16">
        <v>45748</v>
      </c>
      <c r="D8" s="16" t="s">
        <v>1890</v>
      </c>
      <c r="E8" s="95" t="s">
        <v>52</v>
      </c>
      <c r="F8" s="96" t="s">
        <v>52</v>
      </c>
      <c r="G8" s="636" t="s">
        <v>1900</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1901</v>
      </c>
      <c r="AC8" s="448"/>
      <c r="AD8" s="70"/>
    </row>
    <row r="9" spans="1:30" ht="24.75" customHeight="1">
      <c r="A9" s="462" t="s">
        <v>1902</v>
      </c>
      <c r="B9" s="462" t="s">
        <v>1903</v>
      </c>
      <c r="C9" s="23">
        <v>45741</v>
      </c>
      <c r="D9" s="16" t="s">
        <v>1890</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1904</v>
      </c>
    </row>
    <row r="10" spans="1:30" ht="24.75" customHeight="1" thickBot="1">
      <c r="A10" s="26" t="s">
        <v>1905</v>
      </c>
      <c r="B10" s="26" t="s">
        <v>1903</v>
      </c>
      <c r="C10" s="27">
        <v>45741</v>
      </c>
      <c r="D10" s="16" t="s">
        <v>1890</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1906</v>
      </c>
      <c r="B11" s="36" t="s">
        <v>1903</v>
      </c>
      <c r="C11" s="37">
        <v>45747</v>
      </c>
      <c r="D11" s="16" t="s">
        <v>1890</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1907</v>
      </c>
      <c r="B12" s="26" t="s">
        <v>1903</v>
      </c>
      <c r="C12" s="27">
        <v>45741</v>
      </c>
      <c r="D12" s="16" t="s">
        <v>1890</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1904</v>
      </c>
    </row>
    <row r="13" spans="1:30" ht="24.75" customHeight="1" thickBot="1">
      <c r="A13" s="26" t="s">
        <v>1908</v>
      </c>
      <c r="B13" s="26" t="s">
        <v>1903</v>
      </c>
      <c r="C13" s="27">
        <v>45741</v>
      </c>
      <c r="D13" s="27" t="s">
        <v>1890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1904</v>
      </c>
    </row>
    <row r="14" spans="1:30" ht="24.75" customHeight="1" thickBot="1">
      <c r="A14" s="26" t="s">
        <v>1909</v>
      </c>
      <c r="B14" s="26" t="s">
        <v>1903</v>
      </c>
      <c r="C14" s="27">
        <v>45747</v>
      </c>
      <c r="D14" s="27" t="s">
        <v>1890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1910</v>
      </c>
      <c r="B15" s="26" t="s">
        <v>1903</v>
      </c>
      <c r="C15" s="27">
        <v>45741</v>
      </c>
      <c r="D15" s="27" t="s">
        <v>1890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1904</v>
      </c>
    </row>
    <row r="16" spans="1:30" ht="24.75" customHeight="1" thickBot="1">
      <c r="A16" s="26" t="s">
        <v>1911</v>
      </c>
      <c r="B16" s="26" t="s">
        <v>1903</v>
      </c>
      <c r="C16" s="27">
        <v>45741</v>
      </c>
      <c r="D16" s="27" t="s">
        <v>1890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1904</v>
      </c>
    </row>
    <row r="17" spans="1:30" ht="24.75" customHeight="1" thickBot="1">
      <c r="A17" s="36" t="s">
        <v>1912</v>
      </c>
      <c r="B17" s="36" t="s">
        <v>1903</v>
      </c>
      <c r="C17" s="37">
        <v>45747</v>
      </c>
      <c r="D17" s="37" t="s">
        <v>1890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1913</v>
      </c>
      <c r="B18" s="385" t="s">
        <v>1903</v>
      </c>
      <c r="C18" s="51">
        <v>45717</v>
      </c>
      <c r="D18" s="27" t="s">
        <v>1890</v>
      </c>
      <c r="E18" s="85">
        <v>45700</v>
      </c>
      <c r="F18" s="51"/>
      <c r="G18" s="51" t="s">
        <v>1914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1904</v>
      </c>
    </row>
    <row r="19" spans="1:30" ht="24.75" customHeight="1" thickBot="1">
      <c r="A19" s="50" t="s">
        <v>1915</v>
      </c>
      <c r="B19" s="26" t="s">
        <v>1903</v>
      </c>
      <c r="C19" s="51">
        <v>45747</v>
      </c>
      <c r="D19" s="27" t="s">
        <v>1890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1916</v>
      </c>
    </row>
    <row r="20" spans="1:30" ht="24.75" customHeight="1" thickBot="1">
      <c r="A20" s="385" t="s">
        <v>1917</v>
      </c>
      <c r="B20" s="385" t="s">
        <v>1903</v>
      </c>
      <c r="C20" s="386">
        <v>45717</v>
      </c>
      <c r="D20" s="27" t="s">
        <v>1890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1904</v>
      </c>
    </row>
    <row r="21" spans="1:30" ht="24.75" customHeight="1" thickBot="1">
      <c r="A21" s="385" t="s">
        <v>1918</v>
      </c>
      <c r="B21" s="113" t="s">
        <v>50</v>
      </c>
      <c r="C21" s="51">
        <v>45717</v>
      </c>
      <c r="D21" s="27" t="s">
        <v>1919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1920</v>
      </c>
      <c r="B22" s="389" t="s">
        <v>50</v>
      </c>
      <c r="C22" s="51">
        <v>45717</v>
      </c>
      <c r="D22" s="51" t="s">
        <v>1919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1921</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1922</v>
      </c>
      <c r="B24" s="389" t="s">
        <v>50</v>
      </c>
      <c r="C24" s="392">
        <v>45688</v>
      </c>
      <c r="D24" s="402" t="s">
        <v>1921</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1923</v>
      </c>
      <c r="B25" s="114" t="s">
        <v>50</v>
      </c>
      <c r="C25" s="51">
        <v>45747</v>
      </c>
      <c r="D25" s="51" t="s">
        <v>1919</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1924</v>
      </c>
    </row>
    <row r="26" spans="1:30" ht="24.75" customHeight="1">
      <c r="A26" s="102" t="s">
        <v>1925</v>
      </c>
      <c r="B26" s="103" t="s">
        <v>50</v>
      </c>
      <c r="C26" s="77">
        <v>45716</v>
      </c>
      <c r="D26" s="26" t="s">
        <v>1921</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1926</v>
      </c>
      <c r="B27" s="103" t="s">
        <v>50</v>
      </c>
      <c r="C27" s="77">
        <v>45716</v>
      </c>
      <c r="D27" s="50" t="s">
        <v>1921</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1927</v>
      </c>
      <c r="B28" s="1187" t="s">
        <v>50</v>
      </c>
      <c r="C28" s="1180">
        <v>45991</v>
      </c>
      <c r="D28" s="386" t="s">
        <v>71</v>
      </c>
      <c r="E28" s="77">
        <v>45734</v>
      </c>
      <c r="F28" s="1178" t="s">
        <v>61</v>
      </c>
      <c r="G28" s="1189" t="s">
        <v>1928</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1929</v>
      </c>
      <c r="B29" s="1187" t="s">
        <v>50</v>
      </c>
      <c r="C29" s="1180">
        <v>46021</v>
      </c>
      <c r="D29" s="386" t="s">
        <v>71</v>
      </c>
      <c r="E29" s="77">
        <v>45743</v>
      </c>
      <c r="F29" s="1178" t="s">
        <v>61</v>
      </c>
      <c r="G29" s="1188" t="s">
        <v>1930</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1931</v>
      </c>
      <c r="AC29" s="1184"/>
      <c r="AD29" s="1186"/>
    </row>
    <row r="30" spans="1:30" ht="24.75" customHeight="1">
      <c r="A30" s="385" t="s">
        <v>1932</v>
      </c>
      <c r="B30" s="688" t="s">
        <v>50</v>
      </c>
      <c r="C30" s="386">
        <v>45991</v>
      </c>
      <c r="D30" s="50" t="s">
        <v>71</v>
      </c>
      <c r="E30" s="51">
        <v>45743</v>
      </c>
      <c r="F30" s="50" t="s">
        <v>61</v>
      </c>
      <c r="G30" s="390" t="s">
        <v>1933</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1934</v>
      </c>
      <c r="AC30" s="344"/>
      <c r="AD30" s="116"/>
    </row>
    <row r="31" spans="1:30" ht="24.75" customHeight="1">
      <c r="A31" s="385" t="s">
        <v>1035</v>
      </c>
      <c r="B31" s="688" t="s">
        <v>50</v>
      </c>
      <c r="C31" s="386">
        <v>46021</v>
      </c>
      <c r="D31" s="386" t="s">
        <v>71</v>
      </c>
      <c r="E31" s="51">
        <v>45735</v>
      </c>
      <c r="F31" s="50" t="s">
        <v>61</v>
      </c>
      <c r="G31" s="689" t="s">
        <v>1935</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1936</v>
      </c>
      <c r="W31" s="34">
        <v>0</v>
      </c>
      <c r="X31" s="34">
        <v>0</v>
      </c>
      <c r="Y31" s="31">
        <v>0</v>
      </c>
      <c r="Z31" s="34">
        <v>0</v>
      </c>
      <c r="AA31" s="31">
        <v>0</v>
      </c>
      <c r="AB31" s="364" t="s">
        <v>1931</v>
      </c>
    </row>
    <row r="32" spans="1:30" ht="24.75" customHeight="1">
      <c r="A32" s="940" t="s">
        <v>1937</v>
      </c>
      <c r="B32" s="1179" t="s">
        <v>50</v>
      </c>
      <c r="C32" s="1036">
        <v>45717</v>
      </c>
      <c r="D32" s="1036" t="s">
        <v>1919</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1938</v>
      </c>
      <c r="B33" s="1044" t="s">
        <v>50</v>
      </c>
      <c r="C33" s="942">
        <v>45989</v>
      </c>
      <c r="D33" s="942" t="s">
        <v>1939</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1940</v>
      </c>
    </row>
    <row r="34" spans="1:30" ht="24.75" customHeight="1">
      <c r="A34" s="940" t="s">
        <v>1941</v>
      </c>
      <c r="B34" s="1179" t="s">
        <v>50</v>
      </c>
      <c r="C34" s="1036">
        <v>45717</v>
      </c>
      <c r="D34" s="1036" t="s">
        <v>1919</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1942</v>
      </c>
      <c r="B35" s="1179" t="s">
        <v>50</v>
      </c>
      <c r="C35" s="1036">
        <v>45717</v>
      </c>
      <c r="D35" s="1036" t="s">
        <v>1919</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1943</v>
      </c>
      <c r="B36" s="1179" t="s">
        <v>50</v>
      </c>
      <c r="C36" s="1036">
        <v>45717</v>
      </c>
      <c r="D36" s="1036" t="s">
        <v>1919</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1944</v>
      </c>
      <c r="Q1" s="160" t="s">
        <v>1945</v>
      </c>
      <c r="R1" s="128" t="s">
        <v>1946</v>
      </c>
      <c r="S1" s="128" t="s">
        <v>1947</v>
      </c>
      <c r="T1" s="160" t="s">
        <v>1948</v>
      </c>
      <c r="U1" s="128" t="s">
        <v>1162</v>
      </c>
      <c r="V1" s="161" t="s">
        <v>1949</v>
      </c>
      <c r="W1" s="161" t="s">
        <v>1950</v>
      </c>
      <c r="X1" s="164" t="s">
        <v>1951</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391</v>
      </c>
      <c r="O3" s="54">
        <v>45721</v>
      </c>
      <c r="P3" s="87" t="s">
        <v>391</v>
      </c>
      <c r="Q3" s="69" t="s">
        <v>391</v>
      </c>
      <c r="R3" s="69" t="s">
        <v>391</v>
      </c>
      <c r="S3" s="69" t="s">
        <v>56</v>
      </c>
      <c r="T3" s="69" t="s">
        <v>391</v>
      </c>
      <c r="U3" s="69" t="s">
        <v>391</v>
      </c>
      <c r="V3" s="69" t="s">
        <v>87</v>
      </c>
      <c r="W3" s="79"/>
      <c r="X3" s="69" t="s">
        <v>87</v>
      </c>
      <c r="Y3" t="e">
        <f>VLOOKUP(A3,#REF!,2,FALSE)</f>
        <v>#REF!</v>
      </c>
    </row>
    <row r="4" spans="1:25">
      <c r="A4" s="376" t="s">
        <v>1952</v>
      </c>
      <c r="B4" s="420" t="s">
        <v>235</v>
      </c>
      <c r="C4" s="421">
        <v>45742</v>
      </c>
      <c r="D4" s="715" t="s">
        <v>1953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391</v>
      </c>
      <c r="O6" s="367">
        <v>45718</v>
      </c>
      <c r="P6" s="30" t="s">
        <v>391</v>
      </c>
      <c r="Q6" s="345" t="s">
        <v>391</v>
      </c>
      <c r="R6" s="43" t="s">
        <v>1954</v>
      </c>
      <c r="S6" s="43" t="s">
        <v>391</v>
      </c>
      <c r="T6" s="43" t="s">
        <v>391</v>
      </c>
      <c r="U6" s="158" t="s">
        <v>391</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391</v>
      </c>
      <c r="O7" s="79" t="s">
        <v>391</v>
      </c>
      <c r="P7" s="30" t="s">
        <v>391</v>
      </c>
      <c r="Q7" s="345" t="s">
        <v>391</v>
      </c>
      <c r="R7" s="43" t="s">
        <v>1954</v>
      </c>
      <c r="S7" s="43" t="s">
        <v>391</v>
      </c>
      <c r="T7" s="43" t="s">
        <v>391</v>
      </c>
      <c r="U7" s="43" t="s">
        <v>391</v>
      </c>
      <c r="V7" s="69" t="s">
        <v>87</v>
      </c>
      <c r="W7" s="30"/>
      <c r="X7" s="69" t="s">
        <v>87</v>
      </c>
      <c r="Y7" t="e">
        <f>VLOOKUP(A7,#REF!,2,FALSE)</f>
        <v>#REF!</v>
      </c>
    </row>
    <row r="8" spans="1:25">
      <c r="A8" s="178" t="s">
        <v>541</v>
      </c>
      <c r="B8" s="183" t="s">
        <v>235</v>
      </c>
      <c r="C8" s="179">
        <v>45742</v>
      </c>
      <c r="D8" s="188" t="s">
        <v>1955</v>
      </c>
      <c r="E8" s="121"/>
      <c r="F8" s="109"/>
      <c r="G8" s="109"/>
      <c r="H8" s="182">
        <v>84</v>
      </c>
      <c r="I8" s="184"/>
      <c r="J8" s="188" t="s">
        <v>57</v>
      </c>
      <c r="K8" s="188" t="s">
        <v>57</v>
      </c>
      <c r="L8" s="188" t="s">
        <v>63</v>
      </c>
      <c r="M8" s="196">
        <v>45716</v>
      </c>
      <c r="N8" s="30" t="s">
        <v>391</v>
      </c>
      <c r="O8" s="30" t="s">
        <v>391</v>
      </c>
      <c r="P8" s="730" t="s">
        <v>391</v>
      </c>
      <c r="Q8" s="69" t="s">
        <v>391</v>
      </c>
      <c r="R8" s="43" t="s">
        <v>1954</v>
      </c>
      <c r="S8" s="43" t="s">
        <v>391</v>
      </c>
      <c r="T8" s="43" t="s">
        <v>391</v>
      </c>
      <c r="U8" s="43" t="s">
        <v>391</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391</v>
      </c>
      <c r="O9" s="54">
        <v>45718</v>
      </c>
      <c r="P9" s="120" t="s">
        <v>391</v>
      </c>
      <c r="Q9" s="69" t="s">
        <v>391</v>
      </c>
      <c r="R9" s="43" t="s">
        <v>1954</v>
      </c>
      <c r="S9" s="43" t="s">
        <v>391</v>
      </c>
      <c r="T9" s="43" t="s">
        <v>391</v>
      </c>
      <c r="U9" s="43" t="s">
        <v>391</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391</v>
      </c>
      <c r="O10" s="30" t="s">
        <v>391</v>
      </c>
      <c r="P10" s="30" t="s">
        <v>391</v>
      </c>
      <c r="Q10" s="43" t="s">
        <v>391</v>
      </c>
      <c r="R10" s="43" t="s">
        <v>1954</v>
      </c>
      <c r="S10" s="43" t="s">
        <v>391</v>
      </c>
      <c r="T10" s="43" t="s">
        <v>391</v>
      </c>
      <c r="U10" s="162" t="s">
        <v>391</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391</v>
      </c>
      <c r="Q11" s="69" t="s">
        <v>391</v>
      </c>
      <c r="R11" s="43" t="s">
        <v>1954</v>
      </c>
      <c r="S11" s="43" t="s">
        <v>391</v>
      </c>
      <c r="T11" s="43" t="s">
        <v>391</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391</v>
      </c>
      <c r="Q12" s="69" t="s">
        <v>391</v>
      </c>
      <c r="R12" s="43" t="s">
        <v>1954</v>
      </c>
      <c r="S12" s="43" t="s">
        <v>391</v>
      </c>
      <c r="T12" s="43" t="s">
        <v>391</v>
      </c>
      <c r="U12" s="69" t="s">
        <v>87</v>
      </c>
      <c r="V12" s="69" t="s">
        <v>87</v>
      </c>
      <c r="W12" s="30"/>
      <c r="X12" s="69" t="s">
        <v>87</v>
      </c>
      <c r="Y12" t="e">
        <f>VLOOKUP(A12,#REF!,2,FALSE)</f>
        <v>#REF!</v>
      </c>
    </row>
    <row r="13" spans="1:25">
      <c r="A13" s="181" t="s">
        <v>296</v>
      </c>
      <c r="B13" s="183" t="s">
        <v>235</v>
      </c>
      <c r="C13" s="422">
        <v>45960</v>
      </c>
      <c r="D13" s="431" t="s">
        <v>1956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391</v>
      </c>
      <c r="O15" s="54">
        <v>45718</v>
      </c>
      <c r="P15" s="30" t="s">
        <v>391</v>
      </c>
      <c r="Q15" s="43" t="s">
        <v>391</v>
      </c>
      <c r="R15" s="43" t="s">
        <v>391</v>
      </c>
      <c r="S15" s="43" t="s">
        <v>56</v>
      </c>
      <c r="T15" s="43" t="s">
        <v>391</v>
      </c>
      <c r="U15" s="43" t="s">
        <v>391</v>
      </c>
      <c r="V15" s="43" t="s">
        <v>391</v>
      </c>
      <c r="W15" s="54">
        <v>45856</v>
      </c>
      <c r="X15" s="69" t="s">
        <v>1957</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1958</v>
      </c>
      <c r="N16" s="30" t="s">
        <v>391</v>
      </c>
      <c r="O16" s="54" t="s">
        <v>1958</v>
      </c>
      <c r="P16" s="30" t="s">
        <v>391</v>
      </c>
      <c r="Q16" s="69" t="s">
        <v>391</v>
      </c>
      <c r="R16" s="43" t="s">
        <v>391</v>
      </c>
      <c r="S16" s="43" t="s">
        <v>56</v>
      </c>
      <c r="T16" s="43" t="s">
        <v>391</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391</v>
      </c>
      <c r="O17" s="54">
        <v>45863</v>
      </c>
      <c r="P17" s="30" t="s">
        <v>391</v>
      </c>
      <c r="Q17" s="69" t="s">
        <v>391</v>
      </c>
      <c r="R17" s="43" t="s">
        <v>391</v>
      </c>
      <c r="S17" s="43" t="s">
        <v>56</v>
      </c>
      <c r="T17" s="43" t="s">
        <v>391</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391</v>
      </c>
      <c r="O18" s="198">
        <v>45881</v>
      </c>
      <c r="P18" s="30" t="s">
        <v>391</v>
      </c>
      <c r="Q18" s="69" t="s">
        <v>391</v>
      </c>
      <c r="R18" s="43" t="s">
        <v>391</v>
      </c>
      <c r="S18" s="43" t="s">
        <v>56</v>
      </c>
      <c r="T18" s="43" t="s">
        <v>391</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391</v>
      </c>
      <c r="O19" s="54">
        <v>45873</v>
      </c>
      <c r="P19" s="87" t="s">
        <v>391</v>
      </c>
      <c r="Q19" s="69" t="s">
        <v>391</v>
      </c>
      <c r="R19" s="69" t="s">
        <v>391</v>
      </c>
      <c r="S19" s="69" t="s">
        <v>56</v>
      </c>
      <c r="T19" s="69" t="s">
        <v>391</v>
      </c>
      <c r="U19" s="69" t="s">
        <v>391</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391</v>
      </c>
      <c r="O20" s="125">
        <v>45709</v>
      </c>
      <c r="P20" s="87" t="s">
        <v>391</v>
      </c>
      <c r="Q20" s="69" t="s">
        <v>391</v>
      </c>
      <c r="R20" s="69" t="s">
        <v>391</v>
      </c>
      <c r="S20" s="69" t="s">
        <v>56</v>
      </c>
      <c r="T20" s="69" t="s">
        <v>391</v>
      </c>
      <c r="U20" s="69" t="s">
        <v>391</v>
      </c>
      <c r="V20" s="69" t="s">
        <v>391</v>
      </c>
      <c r="W20" s="54">
        <v>45811</v>
      </c>
      <c r="X20" s="69" t="s">
        <v>1957</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391</v>
      </c>
      <c r="O21" s="54">
        <v>45737</v>
      </c>
      <c r="P21" s="87" t="s">
        <v>391</v>
      </c>
      <c r="Q21" s="69" t="s">
        <v>391</v>
      </c>
      <c r="R21" s="69" t="s">
        <v>391</v>
      </c>
      <c r="S21" s="69" t="s">
        <v>56</v>
      </c>
      <c r="T21" s="69" t="s">
        <v>391</v>
      </c>
      <c r="U21" s="69" t="s">
        <v>391</v>
      </c>
      <c r="V21" s="69" t="s">
        <v>391</v>
      </c>
      <c r="W21" s="54">
        <v>45779</v>
      </c>
      <c r="X21" s="69" t="s">
        <v>1957</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391</v>
      </c>
      <c r="O22" s="54">
        <v>45814</v>
      </c>
      <c r="P22" s="87" t="s">
        <v>391</v>
      </c>
      <c r="Q22" s="69" t="s">
        <v>391</v>
      </c>
      <c r="R22" s="69" t="s">
        <v>391</v>
      </c>
      <c r="S22" s="69" t="s">
        <v>56</v>
      </c>
      <c r="T22" s="69" t="s">
        <v>391</v>
      </c>
      <c r="U22" s="69" t="s">
        <v>391</v>
      </c>
      <c r="V22" s="69" t="s">
        <v>391</v>
      </c>
      <c r="W22" s="54">
        <v>45848</v>
      </c>
      <c r="X22" s="69" t="s">
        <v>1957</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391</v>
      </c>
      <c r="O23" s="54">
        <v>45789</v>
      </c>
      <c r="P23" s="87" t="s">
        <v>391</v>
      </c>
      <c r="Q23" s="69" t="s">
        <v>391</v>
      </c>
      <c r="R23" s="69" t="s">
        <v>391</v>
      </c>
      <c r="S23" s="69" t="s">
        <v>56</v>
      </c>
      <c r="T23" s="69" t="s">
        <v>391</v>
      </c>
      <c r="U23" s="69" t="s">
        <v>391</v>
      </c>
      <c r="V23" s="69" t="s">
        <v>391</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391</v>
      </c>
      <c r="O24" s="54">
        <v>45782</v>
      </c>
      <c r="P24" s="87" t="s">
        <v>391</v>
      </c>
      <c r="Q24" s="69" t="s">
        <v>391</v>
      </c>
      <c r="R24" s="69" t="s">
        <v>391</v>
      </c>
      <c r="S24" s="69" t="s">
        <v>56</v>
      </c>
      <c r="T24" s="69" t="s">
        <v>391</v>
      </c>
      <c r="U24" s="69" t="s">
        <v>391</v>
      </c>
      <c r="V24" s="69" t="s">
        <v>391</v>
      </c>
      <c r="W24" s="54">
        <v>45826</v>
      </c>
      <c r="X24" s="69" t="s">
        <v>1957</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391</v>
      </c>
      <c r="O25" s="125">
        <v>45716</v>
      </c>
      <c r="P25" s="87" t="s">
        <v>391</v>
      </c>
      <c r="Q25" s="69" t="s">
        <v>391</v>
      </c>
      <c r="R25" s="69" t="s">
        <v>391</v>
      </c>
      <c r="S25" s="69" t="s">
        <v>56</v>
      </c>
      <c r="T25" s="69" t="s">
        <v>391</v>
      </c>
      <c r="U25" s="69" t="s">
        <v>391</v>
      </c>
      <c r="V25" s="69" t="s">
        <v>391</v>
      </c>
      <c r="W25" s="54">
        <v>45793</v>
      </c>
      <c r="X25" s="69" t="s">
        <v>1957</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391</v>
      </c>
      <c r="O26" s="54">
        <v>45840</v>
      </c>
      <c r="P26" s="87" t="s">
        <v>391</v>
      </c>
      <c r="Q26" s="69" t="s">
        <v>391</v>
      </c>
      <c r="R26" s="69" t="s">
        <v>391</v>
      </c>
      <c r="S26" s="69" t="s">
        <v>56</v>
      </c>
      <c r="T26" s="69" t="s">
        <v>391</v>
      </c>
      <c r="U26" s="69" t="s">
        <v>391</v>
      </c>
      <c r="V26" s="69" t="s">
        <v>391</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391</v>
      </c>
      <c r="O27" s="54">
        <v>45853</v>
      </c>
      <c r="P27" s="87" t="s">
        <v>391</v>
      </c>
      <c r="Q27" s="69" t="s">
        <v>391</v>
      </c>
      <c r="R27" s="69" t="s">
        <v>391</v>
      </c>
      <c r="S27" s="69" t="s">
        <v>56</v>
      </c>
      <c r="T27" s="69" t="s">
        <v>391</v>
      </c>
      <c r="U27" s="69" t="s">
        <v>391</v>
      </c>
      <c r="V27" s="69" t="s">
        <v>391</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391</v>
      </c>
      <c r="O28" s="54">
        <v>45793</v>
      </c>
      <c r="P28" s="87" t="s">
        <v>391</v>
      </c>
      <c r="Q28" s="69" t="s">
        <v>391</v>
      </c>
      <c r="R28" s="69" t="s">
        <v>391</v>
      </c>
      <c r="S28" s="69" t="s">
        <v>56</v>
      </c>
      <c r="T28" s="69" t="s">
        <v>391</v>
      </c>
      <c r="U28" s="69" t="s">
        <v>391</v>
      </c>
      <c r="V28" s="69" t="s">
        <v>391</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391</v>
      </c>
      <c r="O29" s="125">
        <v>45692</v>
      </c>
      <c r="P29" s="30" t="s">
        <v>391</v>
      </c>
      <c r="Q29" s="43" t="s">
        <v>391</v>
      </c>
      <c r="R29" s="43" t="s">
        <v>391</v>
      </c>
      <c r="S29" s="43" t="s">
        <v>391</v>
      </c>
      <c r="T29" s="43" t="s">
        <v>391</v>
      </c>
      <c r="U29" s="43" t="s">
        <v>391</v>
      </c>
      <c r="V29" s="69" t="s">
        <v>391</v>
      </c>
      <c r="W29" s="54">
        <v>45789</v>
      </c>
      <c r="X29" s="69" t="s">
        <v>1957</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391</v>
      </c>
      <c r="O30" s="125">
        <v>45692</v>
      </c>
      <c r="P30" s="30" t="s">
        <v>391</v>
      </c>
      <c r="Q30" s="43" t="s">
        <v>391</v>
      </c>
      <c r="R30" s="43" t="s">
        <v>391</v>
      </c>
      <c r="S30" s="43" t="s">
        <v>391</v>
      </c>
      <c r="T30" s="43" t="s">
        <v>391</v>
      </c>
      <c r="U30" s="116" t="s">
        <v>391</v>
      </c>
      <c r="V30" s="69" t="s">
        <v>391</v>
      </c>
      <c r="W30" s="54">
        <v>45789</v>
      </c>
      <c r="X30" s="69" t="s">
        <v>1957</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391</v>
      </c>
      <c r="O31" s="54">
        <v>45707</v>
      </c>
      <c r="P31" s="87" t="s">
        <v>391</v>
      </c>
      <c r="Q31" s="43" t="s">
        <v>391</v>
      </c>
      <c r="R31" s="43" t="s">
        <v>1954</v>
      </c>
      <c r="S31" s="43" t="s">
        <v>391</v>
      </c>
      <c r="T31" s="140" t="s">
        <v>391</v>
      </c>
      <c r="U31" s="116" t="s">
        <v>391</v>
      </c>
      <c r="V31" s="69" t="s">
        <v>391</v>
      </c>
      <c r="W31" s="54">
        <v>45779</v>
      </c>
      <c r="X31" s="69" t="s">
        <v>1957</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391</v>
      </c>
      <c r="O32" s="54">
        <v>45756</v>
      </c>
      <c r="P32" s="30" t="s">
        <v>391</v>
      </c>
      <c r="Q32" s="69" t="s">
        <v>391</v>
      </c>
      <c r="R32" s="69" t="s">
        <v>1954</v>
      </c>
      <c r="S32" s="43" t="s">
        <v>391</v>
      </c>
      <c r="T32" s="140" t="s">
        <v>391</v>
      </c>
      <c r="U32" s="43" t="s">
        <v>391</v>
      </c>
      <c r="V32" s="69" t="s">
        <v>391</v>
      </c>
      <c r="W32" s="54">
        <v>45792</v>
      </c>
      <c r="X32" s="69" t="s">
        <v>1957</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391</v>
      </c>
      <c r="O33" s="125">
        <v>45749</v>
      </c>
      <c r="P33" s="30" t="s">
        <v>391</v>
      </c>
      <c r="Q33" s="69" t="s">
        <v>391</v>
      </c>
      <c r="R33" s="69" t="s">
        <v>1954</v>
      </c>
      <c r="S33" s="43" t="s">
        <v>391</v>
      </c>
      <c r="T33" s="140" t="s">
        <v>391</v>
      </c>
      <c r="U33" s="43" t="s">
        <v>391</v>
      </c>
      <c r="V33" s="345" t="s">
        <v>391</v>
      </c>
      <c r="W33" s="54">
        <v>45812</v>
      </c>
      <c r="X33" s="69" t="s">
        <v>1957</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391</v>
      </c>
      <c r="O34" s="125">
        <v>45750</v>
      </c>
      <c r="P34" s="30" t="s">
        <v>391</v>
      </c>
      <c r="Q34" s="69" t="s">
        <v>391</v>
      </c>
      <c r="R34" s="69" t="s">
        <v>1954</v>
      </c>
      <c r="S34" s="43" t="s">
        <v>391</v>
      </c>
      <c r="T34" s="140" t="s">
        <v>391</v>
      </c>
      <c r="U34" s="43" t="s">
        <v>391</v>
      </c>
      <c r="V34" s="417" t="s">
        <v>391</v>
      </c>
      <c r="W34" s="168">
        <v>45797</v>
      </c>
      <c r="X34" s="69" t="s">
        <v>1957</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391</v>
      </c>
      <c r="O35" s="125">
        <v>45659</v>
      </c>
      <c r="P35" s="87" t="s">
        <v>391</v>
      </c>
      <c r="Q35" s="43" t="s">
        <v>391</v>
      </c>
      <c r="R35" s="43" t="s">
        <v>1954</v>
      </c>
      <c r="S35" s="43" t="s">
        <v>391</v>
      </c>
      <c r="T35" s="140" t="s">
        <v>391</v>
      </c>
      <c r="U35" s="171" t="s">
        <v>391</v>
      </c>
      <c r="V35" s="69" t="s">
        <v>391</v>
      </c>
      <c r="W35" s="54">
        <v>45789</v>
      </c>
      <c r="X35" s="345" t="s">
        <v>1957</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391</v>
      </c>
      <c r="O36" s="125">
        <v>45659</v>
      </c>
      <c r="P36" s="87" t="s">
        <v>391</v>
      </c>
      <c r="Q36" s="43" t="s">
        <v>391</v>
      </c>
      <c r="R36" s="43" t="s">
        <v>1954</v>
      </c>
      <c r="S36" s="43" t="s">
        <v>391</v>
      </c>
      <c r="T36" s="140" t="s">
        <v>391</v>
      </c>
      <c r="U36" s="43" t="s">
        <v>391</v>
      </c>
      <c r="V36" s="69" t="s">
        <v>391</v>
      </c>
      <c r="W36" s="54">
        <v>45824</v>
      </c>
      <c r="X36" s="345" t="s">
        <v>1957</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391</v>
      </c>
      <c r="N37" s="30" t="s">
        <v>391</v>
      </c>
      <c r="O37" s="125">
        <v>45672</v>
      </c>
      <c r="P37" s="30" t="s">
        <v>391</v>
      </c>
      <c r="Q37" s="43" t="s">
        <v>391</v>
      </c>
      <c r="R37" s="43" t="s">
        <v>1954</v>
      </c>
      <c r="S37" s="43" t="s">
        <v>391</v>
      </c>
      <c r="T37" s="43" t="s">
        <v>391</v>
      </c>
      <c r="U37" s="171" t="s">
        <v>391</v>
      </c>
      <c r="V37" s="69" t="s">
        <v>391</v>
      </c>
      <c r="W37" s="157">
        <v>45789</v>
      </c>
      <c r="X37" s="69" t="s">
        <v>1957</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391</v>
      </c>
      <c r="O38" s="125">
        <v>45673</v>
      </c>
      <c r="P38" s="30" t="s">
        <v>391</v>
      </c>
      <c r="Q38" s="43" t="s">
        <v>391</v>
      </c>
      <c r="R38" s="43" t="s">
        <v>1954</v>
      </c>
      <c r="S38" s="43" t="s">
        <v>391</v>
      </c>
      <c r="T38" s="43" t="s">
        <v>391</v>
      </c>
      <c r="U38" s="171" t="s">
        <v>391</v>
      </c>
      <c r="V38" s="69" t="s">
        <v>391</v>
      </c>
      <c r="W38" s="54">
        <v>45789</v>
      </c>
      <c r="X38" s="69" t="s">
        <v>1957</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391</v>
      </c>
      <c r="N39" s="30" t="s">
        <v>391</v>
      </c>
      <c r="O39" s="125">
        <v>45672</v>
      </c>
      <c r="P39" s="30" t="s">
        <v>391</v>
      </c>
      <c r="Q39" s="43" t="s">
        <v>391</v>
      </c>
      <c r="R39" s="43" t="s">
        <v>1954</v>
      </c>
      <c r="S39" s="43" t="s">
        <v>391</v>
      </c>
      <c r="T39" s="43" t="s">
        <v>391</v>
      </c>
      <c r="U39" s="171" t="s">
        <v>391</v>
      </c>
      <c r="V39" s="69" t="s">
        <v>391</v>
      </c>
      <c r="W39" s="54">
        <v>45789</v>
      </c>
      <c r="X39" s="69" t="s">
        <v>1957</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391</v>
      </c>
      <c r="O40" s="125">
        <v>45715</v>
      </c>
      <c r="P40" s="30" t="s">
        <v>391</v>
      </c>
      <c r="Q40" s="43" t="s">
        <v>391</v>
      </c>
      <c r="R40" s="43" t="s">
        <v>391</v>
      </c>
      <c r="S40" s="43" t="s">
        <v>391</v>
      </c>
      <c r="T40" s="43" t="s">
        <v>391</v>
      </c>
      <c r="U40" s="43" t="s">
        <v>391</v>
      </c>
      <c r="V40" s="69" t="s">
        <v>391</v>
      </c>
      <c r="W40" s="54">
        <v>45789</v>
      </c>
      <c r="X40" s="69" t="s">
        <v>1957</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391</v>
      </c>
      <c r="O41" s="54">
        <v>45729</v>
      </c>
      <c r="P41" s="87" t="s">
        <v>391</v>
      </c>
      <c r="Q41" s="43" t="s">
        <v>391</v>
      </c>
      <c r="R41" s="43" t="s">
        <v>391</v>
      </c>
      <c r="S41" s="43" t="s">
        <v>391</v>
      </c>
      <c r="T41" s="43" t="s">
        <v>391</v>
      </c>
      <c r="U41" s="171" t="s">
        <v>391</v>
      </c>
      <c r="V41" s="69" t="s">
        <v>391</v>
      </c>
      <c r="W41" s="54">
        <v>45789</v>
      </c>
      <c r="X41" s="69" t="s">
        <v>1957</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391</v>
      </c>
      <c r="O42" s="54">
        <v>45737</v>
      </c>
      <c r="P42" s="87" t="s">
        <v>391</v>
      </c>
      <c r="Q42" s="43" t="s">
        <v>391</v>
      </c>
      <c r="R42" s="43" t="s">
        <v>391</v>
      </c>
      <c r="S42" s="43" t="s">
        <v>391</v>
      </c>
      <c r="T42" s="43" t="s">
        <v>391</v>
      </c>
      <c r="U42" s="43" t="s">
        <v>391</v>
      </c>
      <c r="V42" s="69" t="s">
        <v>391</v>
      </c>
      <c r="W42" s="54">
        <v>45789</v>
      </c>
      <c r="X42" s="69" t="s">
        <v>1957</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391</v>
      </c>
      <c r="N43" s="30" t="s">
        <v>391</v>
      </c>
      <c r="O43" s="125">
        <v>45726</v>
      </c>
      <c r="P43" s="30" t="s">
        <v>391</v>
      </c>
      <c r="Q43" s="43" t="s">
        <v>391</v>
      </c>
      <c r="R43" s="43" t="s">
        <v>391</v>
      </c>
      <c r="S43" s="43" t="s">
        <v>391</v>
      </c>
      <c r="T43" s="43" t="s">
        <v>391</v>
      </c>
      <c r="U43" s="43" t="s">
        <v>391</v>
      </c>
      <c r="V43" s="69" t="s">
        <v>391</v>
      </c>
      <c r="W43" s="54">
        <v>45786</v>
      </c>
      <c r="X43" s="69" t="s">
        <v>1957</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391</v>
      </c>
      <c r="O44" s="54">
        <v>45741</v>
      </c>
      <c r="P44" s="30" t="s">
        <v>391</v>
      </c>
      <c r="Q44" s="43" t="s">
        <v>391</v>
      </c>
      <c r="R44" s="43" t="s">
        <v>391</v>
      </c>
      <c r="S44" s="43" t="s">
        <v>391</v>
      </c>
      <c r="T44" s="43" t="s">
        <v>391</v>
      </c>
      <c r="U44" s="43" t="s">
        <v>391</v>
      </c>
      <c r="V44" s="69" t="s">
        <v>391</v>
      </c>
      <c r="W44" s="54">
        <v>45789</v>
      </c>
      <c r="X44" s="69" t="s">
        <v>1957</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391</v>
      </c>
      <c r="N45" s="30" t="s">
        <v>391</v>
      </c>
      <c r="O45" s="125">
        <v>45695</v>
      </c>
      <c r="P45" s="30" t="s">
        <v>391</v>
      </c>
      <c r="Q45" s="43" t="s">
        <v>391</v>
      </c>
      <c r="R45" s="43" t="s">
        <v>391</v>
      </c>
      <c r="S45" s="43" t="s">
        <v>391</v>
      </c>
      <c r="T45" s="43" t="s">
        <v>391</v>
      </c>
      <c r="U45" s="43" t="s">
        <v>391</v>
      </c>
      <c r="V45" s="69" t="s">
        <v>391</v>
      </c>
      <c r="W45" s="54">
        <v>45789</v>
      </c>
      <c r="X45" s="69" t="s">
        <v>1957</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391</v>
      </c>
      <c r="O46" s="125">
        <v>45810</v>
      </c>
      <c r="P46" s="30" t="s">
        <v>391</v>
      </c>
      <c r="Q46" s="43" t="s">
        <v>391</v>
      </c>
      <c r="R46" s="43" t="s">
        <v>391</v>
      </c>
      <c r="S46" s="43" t="s">
        <v>391</v>
      </c>
      <c r="T46" s="43" t="s">
        <v>391</v>
      </c>
      <c r="U46" s="43" t="s">
        <v>391</v>
      </c>
      <c r="V46" s="69" t="s">
        <v>391</v>
      </c>
      <c r="W46" s="54">
        <v>45847</v>
      </c>
      <c r="X46" s="69" t="s">
        <v>1957</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391</v>
      </c>
      <c r="O47" s="54">
        <v>45880</v>
      </c>
      <c r="P47" s="87" t="s">
        <v>391</v>
      </c>
      <c r="Q47" s="43" t="s">
        <v>391</v>
      </c>
      <c r="R47" s="43" t="s">
        <v>391</v>
      </c>
      <c r="S47" s="43" t="s">
        <v>56</v>
      </c>
      <c r="T47" s="43" t="s">
        <v>391</v>
      </c>
      <c r="U47" s="43" t="s">
        <v>391</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391</v>
      </c>
      <c r="O48" s="54">
        <v>45882</v>
      </c>
      <c r="P48" s="87" t="s">
        <v>391</v>
      </c>
      <c r="Q48" s="158" t="s">
        <v>391</v>
      </c>
      <c r="R48" s="158" t="s">
        <v>391</v>
      </c>
      <c r="S48" s="43" t="s">
        <v>391</v>
      </c>
      <c r="T48" s="43" t="s">
        <v>391</v>
      </c>
      <c r="U48" s="69" t="s">
        <v>391</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391</v>
      </c>
      <c r="O49" s="54">
        <v>45840</v>
      </c>
      <c r="P49" s="87" t="s">
        <v>391</v>
      </c>
      <c r="Q49" s="43" t="s">
        <v>391</v>
      </c>
      <c r="R49" s="43" t="s">
        <v>391</v>
      </c>
      <c r="S49" s="43" t="s">
        <v>56</v>
      </c>
      <c r="T49" s="43" t="s">
        <v>391</v>
      </c>
      <c r="U49" s="43" t="s">
        <v>391</v>
      </c>
      <c r="V49" s="69" t="s">
        <v>391</v>
      </c>
      <c r="W49" s="54">
        <v>45877</v>
      </c>
      <c r="X49" s="69" t="s">
        <v>1957</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391</v>
      </c>
      <c r="O50" s="54">
        <v>45847</v>
      </c>
      <c r="P50" s="87" t="s">
        <v>391</v>
      </c>
      <c r="Q50" s="43" t="s">
        <v>391</v>
      </c>
      <c r="R50" s="43" t="s">
        <v>391</v>
      </c>
      <c r="S50" s="43" t="s">
        <v>56</v>
      </c>
      <c r="T50" s="43" t="s">
        <v>391</v>
      </c>
      <c r="U50" s="43" t="s">
        <v>391</v>
      </c>
      <c r="V50" s="69" t="s">
        <v>391</v>
      </c>
      <c r="W50" s="54">
        <v>45895</v>
      </c>
      <c r="X50" s="69" t="s">
        <v>1957</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391</v>
      </c>
      <c r="O51" s="54">
        <v>45840</v>
      </c>
      <c r="P51" s="87" t="s">
        <v>391</v>
      </c>
      <c r="Q51" s="43" t="s">
        <v>391</v>
      </c>
      <c r="R51" s="43" t="s">
        <v>391</v>
      </c>
      <c r="S51" s="43" t="s">
        <v>56</v>
      </c>
      <c r="T51" s="43" t="s">
        <v>391</v>
      </c>
      <c r="U51" s="43" t="s">
        <v>391</v>
      </c>
      <c r="V51" s="69" t="s">
        <v>391</v>
      </c>
      <c r="W51" s="54">
        <v>45877</v>
      </c>
      <c r="X51" s="69" t="s">
        <v>1957</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391</v>
      </c>
      <c r="O52" s="54">
        <v>45833</v>
      </c>
      <c r="P52" s="30" t="s">
        <v>391</v>
      </c>
      <c r="Q52" s="43" t="s">
        <v>391</v>
      </c>
      <c r="R52" s="43" t="s">
        <v>391</v>
      </c>
      <c r="S52" s="43" t="s">
        <v>391</v>
      </c>
      <c r="T52" s="43" t="s">
        <v>391</v>
      </c>
      <c r="U52" s="43" t="s">
        <v>391</v>
      </c>
      <c r="V52" s="69" t="s">
        <v>391</v>
      </c>
      <c r="W52" s="54">
        <v>45848</v>
      </c>
      <c r="X52" s="69" t="s">
        <v>1957</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391</v>
      </c>
      <c r="O53" s="54">
        <v>45840</v>
      </c>
      <c r="P53" s="87" t="s">
        <v>391</v>
      </c>
      <c r="Q53" s="43" t="s">
        <v>56</v>
      </c>
      <c r="R53" s="43" t="s">
        <v>391</v>
      </c>
      <c r="S53" s="43" t="s">
        <v>391</v>
      </c>
      <c r="T53" s="43" t="s">
        <v>391</v>
      </c>
      <c r="U53" s="43" t="s">
        <v>391</v>
      </c>
      <c r="V53" s="69" t="s">
        <v>391</v>
      </c>
      <c r="W53" s="54">
        <v>45916</v>
      </c>
      <c r="X53" s="69" t="s">
        <v>1957</v>
      </c>
    </row>
    <row r="54" spans="1:56">
      <c r="A54" s="181" t="s">
        <v>895</v>
      </c>
      <c r="B54" s="545" t="s">
        <v>113</v>
      </c>
      <c r="C54" s="180">
        <v>45899</v>
      </c>
      <c r="D54" s="716"/>
      <c r="E54" s="194"/>
      <c r="F54" s="139"/>
      <c r="G54" s="139"/>
      <c r="H54" s="188">
        <v>73</v>
      </c>
      <c r="I54" s="184"/>
      <c r="J54" s="188" t="s">
        <v>57</v>
      </c>
      <c r="K54" s="188" t="s">
        <v>57</v>
      </c>
      <c r="L54" s="188" t="s">
        <v>63</v>
      </c>
      <c r="M54" s="198">
        <v>45887</v>
      </c>
      <c r="N54" s="87" t="s">
        <v>391</v>
      </c>
      <c r="O54" s="54">
        <v>45887</v>
      </c>
      <c r="P54" s="87" t="s">
        <v>391</v>
      </c>
      <c r="Q54" s="43" t="s">
        <v>391</v>
      </c>
      <c r="R54" s="43" t="s">
        <v>391</v>
      </c>
      <c r="S54" s="43" t="s">
        <v>391</v>
      </c>
      <c r="T54" s="43" t="s">
        <v>391</v>
      </c>
      <c r="U54" s="43" t="s">
        <v>391</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391</v>
      </c>
      <c r="O55" s="54">
        <v>45887</v>
      </c>
      <c r="P55" s="87" t="s">
        <v>391</v>
      </c>
      <c r="Q55" s="116" t="s">
        <v>391</v>
      </c>
      <c r="R55" s="116" t="s">
        <v>391</v>
      </c>
      <c r="S55" s="116" t="s">
        <v>391</v>
      </c>
      <c r="T55" s="116" t="s">
        <v>391</v>
      </c>
      <c r="U55" s="43" t="s">
        <v>391</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391</v>
      </c>
      <c r="O56" s="54">
        <v>45887</v>
      </c>
      <c r="P56" s="332" t="s">
        <v>391</v>
      </c>
      <c r="Q56" s="43" t="s">
        <v>391</v>
      </c>
      <c r="R56" s="43" t="s">
        <v>391</v>
      </c>
      <c r="S56" s="43" t="s">
        <v>391</v>
      </c>
      <c r="T56" s="43" t="s">
        <v>391</v>
      </c>
      <c r="U56" s="43" t="s">
        <v>391</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391</v>
      </c>
      <c r="O57" s="125">
        <v>45783</v>
      </c>
      <c r="P57" s="332" t="s">
        <v>391</v>
      </c>
      <c r="Q57" s="43" t="s">
        <v>391</v>
      </c>
      <c r="R57" s="43" t="s">
        <v>1954</v>
      </c>
      <c r="S57" s="43" t="s">
        <v>391</v>
      </c>
      <c r="T57" s="43" t="s">
        <v>391</v>
      </c>
      <c r="U57" s="43" t="s">
        <v>391</v>
      </c>
      <c r="V57" s="69" t="s">
        <v>391</v>
      </c>
      <c r="W57" s="54">
        <v>45813</v>
      </c>
      <c r="X57" s="69" t="s">
        <v>1957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391</v>
      </c>
      <c r="O58" s="54">
        <v>45776</v>
      </c>
      <c r="P58" s="332" t="s">
        <v>391</v>
      </c>
      <c r="Q58" s="43" t="s">
        <v>391</v>
      </c>
      <c r="R58" s="43" t="s">
        <v>1954</v>
      </c>
      <c r="S58" s="43" t="s">
        <v>391</v>
      </c>
      <c r="T58" s="43" t="s">
        <v>391</v>
      </c>
      <c r="U58" s="43" t="s">
        <v>391</v>
      </c>
      <c r="V58" s="345" t="s">
        <v>391</v>
      </c>
      <c r="W58" s="54">
        <v>45796</v>
      </c>
      <c r="X58" s="69" t="s">
        <v>1957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391</v>
      </c>
      <c r="O59" s="30" t="s">
        <v>1936</v>
      </c>
      <c r="P59" s="332" t="s">
        <v>391</v>
      </c>
      <c r="Q59" s="43" t="s">
        <v>391</v>
      </c>
      <c r="R59" s="43" t="s">
        <v>1954</v>
      </c>
      <c r="S59" s="43" t="s">
        <v>391</v>
      </c>
      <c r="T59" s="43" t="s">
        <v>391</v>
      </c>
      <c r="U59" s="43" t="s">
        <v>391</v>
      </c>
      <c r="V59" s="345" t="s">
        <v>391</v>
      </c>
      <c r="W59" s="54">
        <v>45796</v>
      </c>
      <c r="X59" s="69" t="s">
        <v>1957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391</v>
      </c>
      <c r="O60" s="54">
        <v>45812</v>
      </c>
      <c r="P60" s="332" t="s">
        <v>391</v>
      </c>
      <c r="Q60" s="43" t="s">
        <v>391</v>
      </c>
      <c r="R60" s="43" t="s">
        <v>1954</v>
      </c>
      <c r="S60" s="43" t="s">
        <v>391</v>
      </c>
      <c r="T60" s="43" t="s">
        <v>391</v>
      </c>
      <c r="U60" s="43" t="s">
        <v>391</v>
      </c>
      <c r="V60" s="345" t="s">
        <v>391</v>
      </c>
      <c r="W60" s="54">
        <v>45824</v>
      </c>
      <c r="X60" s="69" t="s">
        <v>1957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391</v>
      </c>
      <c r="N61" s="87" t="s">
        <v>391</v>
      </c>
      <c r="O61" s="125">
        <v>45673</v>
      </c>
      <c r="P61" s="332" t="s">
        <v>391</v>
      </c>
      <c r="Q61" s="43" t="s">
        <v>391</v>
      </c>
      <c r="R61" s="69" t="s">
        <v>64</v>
      </c>
      <c r="S61" s="43" t="s">
        <v>56</v>
      </c>
      <c r="T61" s="43" t="s">
        <v>391</v>
      </c>
      <c r="U61" s="162" t="s">
        <v>391</v>
      </c>
      <c r="V61" s="69" t="s">
        <v>391</v>
      </c>
      <c r="W61" s="54">
        <v>45758</v>
      </c>
      <c r="X61" s="69" t="s">
        <v>1957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391</v>
      </c>
      <c r="O62" s="54">
        <v>45848</v>
      </c>
      <c r="P62" s="332" t="s">
        <v>391</v>
      </c>
      <c r="Q62" s="43" t="s">
        <v>391</v>
      </c>
      <c r="R62" s="43" t="s">
        <v>391</v>
      </c>
      <c r="S62" s="43" t="s">
        <v>56</v>
      </c>
      <c r="T62" s="43" t="s">
        <v>391</v>
      </c>
      <c r="U62" s="43" t="s">
        <v>391</v>
      </c>
      <c r="V62" s="43" t="s">
        <v>391</v>
      </c>
      <c r="W62" s="54">
        <v>45876</v>
      </c>
      <c r="X62" s="69" t="s">
        <v>1957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391</v>
      </c>
      <c r="O63" s="54">
        <v>45882</v>
      </c>
      <c r="P63" s="332" t="s">
        <v>391</v>
      </c>
      <c r="Q63" s="43" t="s">
        <v>391</v>
      </c>
      <c r="R63" s="43" t="s">
        <v>391</v>
      </c>
      <c r="S63" s="43" t="s">
        <v>56</v>
      </c>
      <c r="T63" s="43" t="s">
        <v>391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391</v>
      </c>
      <c r="O64" s="54">
        <v>45884</v>
      </c>
      <c r="P64" s="332" t="s">
        <v>391</v>
      </c>
      <c r="Q64" s="43" t="s">
        <v>391</v>
      </c>
      <c r="R64" s="43" t="s">
        <v>391</v>
      </c>
      <c r="S64" s="43" t="s">
        <v>56</v>
      </c>
      <c r="T64" s="43" t="s">
        <v>391</v>
      </c>
      <c r="U64" s="43" t="s">
        <v>391</v>
      </c>
      <c r="V64" s="43" t="s">
        <v>391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391</v>
      </c>
      <c r="O65" s="54">
        <v>45824</v>
      </c>
      <c r="P65" s="332" t="s">
        <v>391</v>
      </c>
      <c r="Q65" s="43" t="s">
        <v>391</v>
      </c>
      <c r="R65" s="43" t="s">
        <v>391</v>
      </c>
      <c r="S65" s="43" t="s">
        <v>56</v>
      </c>
      <c r="T65" s="43" t="s">
        <v>391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391</v>
      </c>
      <c r="O66" s="125">
        <v>45817</v>
      </c>
      <c r="P66" s="332" t="s">
        <v>391</v>
      </c>
      <c r="Q66" s="158" t="s">
        <v>391</v>
      </c>
      <c r="R66" s="43" t="s">
        <v>391</v>
      </c>
      <c r="S66" s="43" t="s">
        <v>56</v>
      </c>
      <c r="T66" s="43" t="s">
        <v>391</v>
      </c>
      <c r="U66" s="43" t="s">
        <v>391</v>
      </c>
      <c r="V66" s="43" t="s">
        <v>391</v>
      </c>
      <c r="W66" s="54">
        <v>45876</v>
      </c>
      <c r="X66" s="69" t="s">
        <v>1957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391</v>
      </c>
      <c r="O67" s="54">
        <v>45876</v>
      </c>
      <c r="P67" s="332" t="s">
        <v>391</v>
      </c>
      <c r="Q67" s="158" t="s">
        <v>391</v>
      </c>
      <c r="R67" s="158" t="s">
        <v>391</v>
      </c>
      <c r="S67" s="43" t="s">
        <v>56</v>
      </c>
      <c r="T67" s="43" t="s">
        <v>391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391</v>
      </c>
      <c r="N68" s="87" t="s">
        <v>391</v>
      </c>
      <c r="O68" s="87" t="s">
        <v>391</v>
      </c>
      <c r="P68" s="332" t="s">
        <v>391</v>
      </c>
      <c r="Q68" s="43" t="s">
        <v>391</v>
      </c>
      <c r="R68" s="43" t="s">
        <v>391</v>
      </c>
      <c r="S68" s="43" t="s">
        <v>56</v>
      </c>
      <c r="T68" s="43" t="s">
        <v>391</v>
      </c>
      <c r="U68" s="43" t="s">
        <v>391</v>
      </c>
      <c r="V68" s="345" t="s">
        <v>391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391</v>
      </c>
      <c r="O69" s="54">
        <v>45870</v>
      </c>
      <c r="P69" s="332" t="s">
        <v>391</v>
      </c>
      <c r="Q69" s="43" t="s">
        <v>391</v>
      </c>
      <c r="R69" s="43" t="s">
        <v>391</v>
      </c>
      <c r="S69" s="43" t="s">
        <v>56</v>
      </c>
      <c r="T69" s="43" t="s">
        <v>391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391</v>
      </c>
      <c r="O70" s="125">
        <v>45705</v>
      </c>
      <c r="P70" s="79" t="s">
        <v>391</v>
      </c>
      <c r="Q70" s="43" t="s">
        <v>391</v>
      </c>
      <c r="R70" s="43" t="s">
        <v>391</v>
      </c>
      <c r="S70" s="43" t="s">
        <v>56</v>
      </c>
      <c r="T70" s="43" t="s">
        <v>391</v>
      </c>
      <c r="U70" s="43" t="s">
        <v>391</v>
      </c>
      <c r="V70" s="345" t="s">
        <v>391</v>
      </c>
      <c r="W70" s="556"/>
      <c r="X70" s="69" t="s">
        <v>1957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391</v>
      </c>
      <c r="O71" s="54">
        <v>45870</v>
      </c>
      <c r="P71" s="79" t="s">
        <v>391</v>
      </c>
      <c r="Q71" s="43" t="s">
        <v>391</v>
      </c>
      <c r="R71" s="43" t="s">
        <v>391</v>
      </c>
      <c r="S71" s="43" t="s">
        <v>56</v>
      </c>
      <c r="T71" s="43" t="s">
        <v>391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391</v>
      </c>
      <c r="O72" s="54">
        <v>45882</v>
      </c>
      <c r="P72" s="332" t="s">
        <v>391</v>
      </c>
      <c r="Q72" s="158" t="s">
        <v>391</v>
      </c>
      <c r="R72" s="43" t="s">
        <v>391</v>
      </c>
      <c r="S72" s="43" t="s">
        <v>56</v>
      </c>
      <c r="T72" s="43" t="s">
        <v>391</v>
      </c>
      <c r="U72" s="43" t="s">
        <v>391</v>
      </c>
      <c r="V72" s="43" t="s">
        <v>391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391</v>
      </c>
      <c r="O73" s="125">
        <v>45790</v>
      </c>
      <c r="P73" s="79" t="s">
        <v>391</v>
      </c>
      <c r="Q73" s="43" t="s">
        <v>391</v>
      </c>
      <c r="R73" s="43" t="s">
        <v>391</v>
      </c>
      <c r="S73" s="43" t="s">
        <v>56</v>
      </c>
      <c r="T73" s="43" t="s">
        <v>391</v>
      </c>
      <c r="U73" s="43" t="s">
        <v>391</v>
      </c>
      <c r="V73" s="345" t="s">
        <v>391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391</v>
      </c>
      <c r="O74" s="54">
        <v>45871</v>
      </c>
      <c r="P74" s="79" t="s">
        <v>391</v>
      </c>
      <c r="Q74" s="43" t="s">
        <v>391</v>
      </c>
      <c r="R74" s="43" t="s">
        <v>391</v>
      </c>
      <c r="S74" s="43" t="s">
        <v>56</v>
      </c>
      <c r="T74" s="43" t="s">
        <v>391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391</v>
      </c>
      <c r="O75" s="54">
        <v>45853</v>
      </c>
      <c r="P75" s="79" t="s">
        <v>391</v>
      </c>
      <c r="Q75" s="43" t="s">
        <v>391</v>
      </c>
      <c r="R75" s="43" t="s">
        <v>391</v>
      </c>
      <c r="S75" s="43" t="s">
        <v>56</v>
      </c>
      <c r="T75" s="43" t="s">
        <v>391</v>
      </c>
      <c r="U75" s="43" t="s">
        <v>391</v>
      </c>
      <c r="V75" s="43" t="s">
        <v>391</v>
      </c>
      <c r="W75" s="54">
        <v>45905</v>
      </c>
      <c r="X75" s="69" t="s">
        <v>1957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391</v>
      </c>
      <c r="O76" s="54">
        <v>45838</v>
      </c>
      <c r="P76" s="87" t="s">
        <v>391</v>
      </c>
      <c r="Q76" s="171" t="s">
        <v>391</v>
      </c>
      <c r="R76" s="171" t="s">
        <v>391</v>
      </c>
      <c r="S76" s="171" t="s">
        <v>56</v>
      </c>
      <c r="T76" s="171" t="s">
        <v>391</v>
      </c>
      <c r="U76" s="43" t="s">
        <v>391</v>
      </c>
      <c r="V76" s="43" t="s">
        <v>391</v>
      </c>
      <c r="W76" s="54">
        <v>45895</v>
      </c>
      <c r="X76" s="69" t="s">
        <v>1957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391</v>
      </c>
      <c r="O77" s="54">
        <v>45902</v>
      </c>
      <c r="P77" s="332" t="s">
        <v>391</v>
      </c>
      <c r="Q77" s="43" t="s">
        <v>391</v>
      </c>
      <c r="R77" s="43" t="s">
        <v>391</v>
      </c>
      <c r="S77" s="43" t="s">
        <v>56</v>
      </c>
      <c r="T77" s="43" t="s">
        <v>391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391</v>
      </c>
      <c r="O78" s="54">
        <v>45902</v>
      </c>
      <c r="P78" s="332" t="s">
        <v>391</v>
      </c>
      <c r="Q78" s="43" t="s">
        <v>391</v>
      </c>
      <c r="R78" s="43" t="s">
        <v>391</v>
      </c>
      <c r="S78" s="43" t="s">
        <v>56</v>
      </c>
      <c r="T78" s="43" t="s">
        <v>391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391</v>
      </c>
      <c r="N79" s="87" t="s">
        <v>391</v>
      </c>
      <c r="O79" s="87" t="s">
        <v>391</v>
      </c>
      <c r="P79" s="87" t="s">
        <v>391</v>
      </c>
      <c r="Q79" s="43" t="s">
        <v>56</v>
      </c>
      <c r="R79" s="43" t="s">
        <v>56</v>
      </c>
      <c r="S79" s="43" t="s">
        <v>56</v>
      </c>
      <c r="T79" s="43" t="s">
        <v>391</v>
      </c>
      <c r="U79" s="43" t="s">
        <v>391</v>
      </c>
      <c r="V79" s="345" t="s">
        <v>391</v>
      </c>
      <c r="W79" s="54">
        <v>45820</v>
      </c>
      <c r="X79" s="69" t="s">
        <v>1957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391</v>
      </c>
      <c r="O80" s="30" t="s">
        <v>52</v>
      </c>
      <c r="P80" s="87" t="s">
        <v>391</v>
      </c>
      <c r="Q80" s="43" t="s">
        <v>56</v>
      </c>
      <c r="R80" s="43" t="s">
        <v>56</v>
      </c>
      <c r="S80" s="43" t="s">
        <v>56</v>
      </c>
      <c r="T80" s="43" t="s">
        <v>391</v>
      </c>
      <c r="U80" s="43" t="s">
        <v>391</v>
      </c>
      <c r="V80" s="69" t="s">
        <v>391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1959</v>
      </c>
      <c r="B81" s="545" t="s">
        <v>113</v>
      </c>
      <c r="C81" s="179">
        <v>45688</v>
      </c>
      <c r="D81" s="635" t="s">
        <v>702</v>
      </c>
      <c r="E81" s="175"/>
      <c r="F81" s="130"/>
      <c r="G81" s="130"/>
      <c r="H81" s="182">
        <v>48</v>
      </c>
      <c r="I81" s="184"/>
      <c r="J81" s="182" t="s">
        <v>57</v>
      </c>
      <c r="K81" s="182" t="s">
        <v>57</v>
      </c>
      <c r="L81" s="182" t="s">
        <v>56</v>
      </c>
      <c r="M81" s="101" t="s">
        <v>391</v>
      </c>
      <c r="N81" s="87" t="s">
        <v>391</v>
      </c>
      <c r="O81" s="125">
        <v>45678</v>
      </c>
      <c r="P81" s="87" t="s">
        <v>391</v>
      </c>
      <c r="Q81" s="43" t="s">
        <v>391</v>
      </c>
      <c r="R81" s="43" t="s">
        <v>1954</v>
      </c>
      <c r="S81" s="43" t="s">
        <v>391</v>
      </c>
      <c r="T81" s="43" t="s">
        <v>391</v>
      </c>
      <c r="U81" s="116" t="s">
        <v>391</v>
      </c>
      <c r="V81" s="69" t="s">
        <v>391</v>
      </c>
      <c r="W81" s="54">
        <v>45789</v>
      </c>
      <c r="X81" s="69" t="s">
        <v>1957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391</v>
      </c>
      <c r="O82" s="54">
        <v>45874</v>
      </c>
      <c r="P82" s="87" t="s">
        <v>391</v>
      </c>
      <c r="Q82" s="43" t="s">
        <v>391</v>
      </c>
      <c r="R82" s="43" t="s">
        <v>1954</v>
      </c>
      <c r="S82" s="43" t="s">
        <v>391</v>
      </c>
      <c r="T82" s="43" t="s">
        <v>391</v>
      </c>
      <c r="U82" s="116" t="s">
        <v>391</v>
      </c>
      <c r="V82" s="69" t="s">
        <v>391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391</v>
      </c>
      <c r="O83" s="54">
        <v>45706</v>
      </c>
      <c r="P83" s="87" t="s">
        <v>391</v>
      </c>
      <c r="Q83" s="166" t="s">
        <v>391</v>
      </c>
      <c r="R83" s="69" t="s">
        <v>391</v>
      </c>
      <c r="S83" s="69" t="s">
        <v>56</v>
      </c>
      <c r="T83" s="69" t="s">
        <v>391</v>
      </c>
      <c r="U83" s="43" t="s">
        <v>391</v>
      </c>
      <c r="V83" s="43" t="s">
        <v>391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391</v>
      </c>
      <c r="O84" s="54">
        <v>45728</v>
      </c>
      <c r="P84" s="30" t="s">
        <v>391</v>
      </c>
      <c r="Q84" s="171" t="s">
        <v>391</v>
      </c>
      <c r="R84" s="171" t="s">
        <v>1954</v>
      </c>
      <c r="S84" s="171" t="s">
        <v>391</v>
      </c>
      <c r="T84" s="171" t="s">
        <v>391</v>
      </c>
      <c r="U84" s="92" t="s">
        <v>391</v>
      </c>
      <c r="V84" s="69" t="s">
        <v>391</v>
      </c>
      <c r="W84" s="198">
        <v>45875</v>
      </c>
      <c r="X84" s="69" t="s">
        <v>1957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391</v>
      </c>
      <c r="O85" s="54">
        <v>45719</v>
      </c>
      <c r="P85" s="30" t="s">
        <v>391</v>
      </c>
      <c r="Q85" s="43" t="s">
        <v>391</v>
      </c>
      <c r="R85" s="171" t="s">
        <v>1954</v>
      </c>
      <c r="S85" s="171" t="s">
        <v>391</v>
      </c>
      <c r="T85" s="171" t="s">
        <v>391</v>
      </c>
      <c r="U85" s="92" t="s">
        <v>391</v>
      </c>
      <c r="V85" s="92" t="s">
        <v>391</v>
      </c>
      <c r="W85" s="198">
        <v>45874</v>
      </c>
      <c r="X85" s="69" t="s">
        <v>1957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391</v>
      </c>
      <c r="O86" s="198">
        <v>45728</v>
      </c>
      <c r="P86" s="30" t="s">
        <v>391</v>
      </c>
      <c r="Q86" s="43" t="s">
        <v>391</v>
      </c>
      <c r="R86" s="43" t="s">
        <v>1954</v>
      </c>
      <c r="S86" s="43" t="s">
        <v>391</v>
      </c>
      <c r="T86" s="43" t="s">
        <v>391</v>
      </c>
      <c r="U86" s="69" t="s">
        <v>391</v>
      </c>
      <c r="V86" s="69" t="s">
        <v>391</v>
      </c>
      <c r="W86" s="54">
        <v>45824</v>
      </c>
      <c r="X86" s="69" t="s">
        <v>1957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391</v>
      </c>
      <c r="O87" s="30" t="s">
        <v>391</v>
      </c>
      <c r="P87" s="30" t="s">
        <v>391</v>
      </c>
      <c r="Q87" s="43" t="s">
        <v>391</v>
      </c>
      <c r="R87" s="43" t="s">
        <v>1954</v>
      </c>
      <c r="S87" s="43" t="s">
        <v>391</v>
      </c>
      <c r="T87" s="43" t="s">
        <v>391</v>
      </c>
      <c r="U87" s="158" t="s">
        <v>391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391</v>
      </c>
      <c r="O88" s="54">
        <v>45728</v>
      </c>
      <c r="P88" s="30" t="s">
        <v>391</v>
      </c>
      <c r="Q88" s="43" t="s">
        <v>391</v>
      </c>
      <c r="R88" s="43" t="s">
        <v>1954</v>
      </c>
      <c r="S88" s="43" t="s">
        <v>391</v>
      </c>
      <c r="T88" s="43" t="s">
        <v>391</v>
      </c>
      <c r="U88" s="158" t="s">
        <v>391</v>
      </c>
      <c r="V88" s="158" t="s">
        <v>391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391</v>
      </c>
      <c r="O89" s="54">
        <v>45722</v>
      </c>
      <c r="P89" s="30" t="s">
        <v>391</v>
      </c>
      <c r="Q89" s="69" t="s">
        <v>391</v>
      </c>
      <c r="R89" s="43" t="s">
        <v>1954</v>
      </c>
      <c r="S89" s="69" t="s">
        <v>391</v>
      </c>
      <c r="T89" s="69" t="s">
        <v>391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391</v>
      </c>
      <c r="O90" s="54">
        <v>45727</v>
      </c>
      <c r="P90" s="30" t="s">
        <v>391</v>
      </c>
      <c r="Q90" s="69" t="s">
        <v>391</v>
      </c>
      <c r="R90" s="43" t="s">
        <v>1954</v>
      </c>
      <c r="S90" s="69" t="s">
        <v>391</v>
      </c>
      <c r="T90" s="69" t="s">
        <v>391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391</v>
      </c>
      <c r="O91" s="54">
        <v>45723</v>
      </c>
      <c r="P91" s="30" t="s">
        <v>391</v>
      </c>
      <c r="Q91" s="69" t="s">
        <v>391</v>
      </c>
      <c r="R91" s="43" t="s">
        <v>1954</v>
      </c>
      <c r="S91" s="69" t="s">
        <v>391</v>
      </c>
      <c r="T91" s="69" t="s">
        <v>391</v>
      </c>
      <c r="U91" s="69" t="s">
        <v>391</v>
      </c>
      <c r="V91" s="69" t="s">
        <v>391</v>
      </c>
      <c r="W91" s="54">
        <v>45831</v>
      </c>
      <c r="X91" s="69" t="s">
        <v>1957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391</v>
      </c>
      <c r="O92" s="54">
        <v>45726</v>
      </c>
      <c r="P92" s="30" t="s">
        <v>391</v>
      </c>
      <c r="Q92" s="149" t="s">
        <v>391</v>
      </c>
      <c r="R92" s="43" t="s">
        <v>1954</v>
      </c>
      <c r="S92" s="69" t="s">
        <v>391</v>
      </c>
      <c r="T92" s="69" t="s">
        <v>391</v>
      </c>
      <c r="U92" s="345" t="s">
        <v>391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391</v>
      </c>
      <c r="O93" s="54">
        <v>45727</v>
      </c>
      <c r="P93" s="79" t="s">
        <v>391</v>
      </c>
      <c r="Q93" s="43" t="s">
        <v>391</v>
      </c>
      <c r="R93" s="43" t="s">
        <v>1954</v>
      </c>
      <c r="S93" s="43" t="s">
        <v>391</v>
      </c>
      <c r="T93" s="43" t="s">
        <v>391</v>
      </c>
      <c r="U93" s="345" t="s">
        <v>391</v>
      </c>
      <c r="V93" s="69" t="s">
        <v>391</v>
      </c>
      <c r="W93" s="54">
        <v>45789</v>
      </c>
      <c r="X93" s="69" t="s">
        <v>1957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391</v>
      </c>
      <c r="O94" s="54">
        <v>45693</v>
      </c>
      <c r="P94" s="79" t="s">
        <v>391</v>
      </c>
      <c r="Q94" s="69" t="s">
        <v>391</v>
      </c>
      <c r="R94" s="69" t="s">
        <v>1954</v>
      </c>
      <c r="S94" s="69" t="s">
        <v>391</v>
      </c>
      <c r="T94" s="69" t="s">
        <v>391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391</v>
      </c>
      <c r="O95" s="198">
        <v>45694</v>
      </c>
      <c r="P95" s="79" t="s">
        <v>391</v>
      </c>
      <c r="Q95" s="69" t="s">
        <v>391</v>
      </c>
      <c r="R95" s="69" t="s">
        <v>1954</v>
      </c>
      <c r="S95" s="69" t="s">
        <v>391</v>
      </c>
      <c r="T95" s="43" t="s">
        <v>391</v>
      </c>
      <c r="U95" s="69" t="s">
        <v>391</v>
      </c>
      <c r="V95" s="69" t="s">
        <v>391</v>
      </c>
      <c r="W95" s="54">
        <v>45814</v>
      </c>
      <c r="X95" s="69" t="s">
        <v>1957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391</v>
      </c>
      <c r="O96" s="54">
        <v>45694</v>
      </c>
      <c r="P96" s="30" t="s">
        <v>391</v>
      </c>
      <c r="Q96" s="69" t="s">
        <v>391</v>
      </c>
      <c r="R96" s="92" t="s">
        <v>1954</v>
      </c>
      <c r="S96" s="69" t="s">
        <v>391</v>
      </c>
      <c r="T96" s="69" t="s">
        <v>391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391</v>
      </c>
      <c r="O97" s="54">
        <v>45688</v>
      </c>
      <c r="P97" s="30" t="s">
        <v>391</v>
      </c>
      <c r="Q97" s="69" t="s">
        <v>391</v>
      </c>
      <c r="R97" s="69" t="s">
        <v>1954</v>
      </c>
      <c r="S97" s="69" t="s">
        <v>391</v>
      </c>
      <c r="T97" s="69" t="s">
        <v>391</v>
      </c>
      <c r="U97" s="69" t="s">
        <v>391</v>
      </c>
      <c r="V97" s="43" t="s">
        <v>391</v>
      </c>
      <c r="W97" s="54">
        <v>45824</v>
      </c>
      <c r="X97" s="69" t="s">
        <v>1957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391</v>
      </c>
      <c r="O98" s="54">
        <v>45692</v>
      </c>
      <c r="P98" s="30" t="s">
        <v>391</v>
      </c>
      <c r="Q98" s="43" t="s">
        <v>391</v>
      </c>
      <c r="R98" s="43" t="s">
        <v>1954</v>
      </c>
      <c r="S98" s="43" t="s">
        <v>391</v>
      </c>
      <c r="T98" s="43" t="s">
        <v>391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391</v>
      </c>
      <c r="O99" s="54">
        <v>45692</v>
      </c>
      <c r="P99" s="30" t="s">
        <v>391</v>
      </c>
      <c r="Q99" s="43" t="s">
        <v>391</v>
      </c>
      <c r="R99" s="43" t="s">
        <v>1954</v>
      </c>
      <c r="S99" s="43" t="s">
        <v>391</v>
      </c>
      <c r="T99" s="116" t="s">
        <v>391</v>
      </c>
      <c r="U99" s="149" t="s">
        <v>391</v>
      </c>
      <c r="V99" s="69" t="s">
        <v>391</v>
      </c>
      <c r="W99" s="54">
        <v>45814</v>
      </c>
      <c r="X99" s="69" t="s">
        <v>1957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391</v>
      </c>
      <c r="O100" s="168">
        <v>45691</v>
      </c>
      <c r="P100" s="30" t="s">
        <v>391</v>
      </c>
      <c r="Q100" s="43" t="s">
        <v>391</v>
      </c>
      <c r="R100" s="43" t="s">
        <v>1954</v>
      </c>
      <c r="S100" s="43" t="s">
        <v>391</v>
      </c>
      <c r="T100" s="43" t="s">
        <v>391</v>
      </c>
      <c r="U100" s="69" t="s">
        <v>391</v>
      </c>
      <c r="V100" s="158" t="s">
        <v>391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391</v>
      </c>
      <c r="O101" s="54">
        <v>45695</v>
      </c>
      <c r="P101" s="30" t="s">
        <v>391</v>
      </c>
      <c r="Q101" s="43" t="s">
        <v>391</v>
      </c>
      <c r="R101" s="43" t="s">
        <v>1954</v>
      </c>
      <c r="S101" s="43" t="s">
        <v>391</v>
      </c>
      <c r="T101" s="43" t="s">
        <v>391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391</v>
      </c>
      <c r="N102" s="30" t="s">
        <v>391</v>
      </c>
      <c r="O102" s="54">
        <v>45699</v>
      </c>
      <c r="P102" s="87" t="s">
        <v>391</v>
      </c>
      <c r="Q102" s="88" t="s">
        <v>391</v>
      </c>
      <c r="R102" s="43" t="s">
        <v>1954</v>
      </c>
      <c r="S102" s="43" t="s">
        <v>391</v>
      </c>
      <c r="T102" s="43" t="s">
        <v>391</v>
      </c>
      <c r="U102" s="43" t="s">
        <v>391</v>
      </c>
      <c r="V102" s="166" t="s">
        <v>391</v>
      </c>
      <c r="W102" s="54">
        <v>45835</v>
      </c>
      <c r="X102" s="69" t="s">
        <v>1957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391</v>
      </c>
      <c r="O103" s="54">
        <v>45675</v>
      </c>
      <c r="P103" s="87" t="s">
        <v>391</v>
      </c>
      <c r="Q103" s="43" t="s">
        <v>391</v>
      </c>
      <c r="R103" s="43" t="s">
        <v>1954</v>
      </c>
      <c r="S103" s="43" t="s">
        <v>391</v>
      </c>
      <c r="T103" s="43" t="s">
        <v>391</v>
      </c>
      <c r="U103" s="43" t="s">
        <v>391</v>
      </c>
      <c r="V103" s="140" t="s">
        <v>391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391</v>
      </c>
      <c r="N104" s="120" t="s">
        <v>391</v>
      </c>
      <c r="O104" s="54">
        <v>45675</v>
      </c>
      <c r="P104" s="217" t="s">
        <v>391</v>
      </c>
      <c r="Q104" s="43" t="s">
        <v>391</v>
      </c>
      <c r="R104" s="43" t="s">
        <v>1954</v>
      </c>
      <c r="S104" s="43" t="s">
        <v>391</v>
      </c>
      <c r="T104" s="43" t="s">
        <v>391</v>
      </c>
      <c r="U104" s="43" t="s">
        <v>391</v>
      </c>
      <c r="V104" s="140" t="s">
        <v>391</v>
      </c>
      <c r="W104" s="54">
        <v>45820</v>
      </c>
      <c r="X104" s="69" t="s">
        <v>1957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391</v>
      </c>
      <c r="O105" s="54">
        <v>45743</v>
      </c>
      <c r="P105" s="87" t="s">
        <v>391</v>
      </c>
      <c r="Q105" s="158" t="s">
        <v>391</v>
      </c>
      <c r="R105" s="69" t="s">
        <v>1954</v>
      </c>
      <c r="S105" s="43" t="s">
        <v>391</v>
      </c>
      <c r="T105" s="43" t="s">
        <v>391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391</v>
      </c>
      <c r="O106" s="54">
        <v>45679</v>
      </c>
      <c r="P106" s="87" t="s">
        <v>391</v>
      </c>
      <c r="Q106" s="43" t="s">
        <v>391</v>
      </c>
      <c r="R106" s="43" t="s">
        <v>1954</v>
      </c>
      <c r="S106" s="43" t="s">
        <v>391</v>
      </c>
      <c r="T106" s="43" t="s">
        <v>391</v>
      </c>
      <c r="U106" s="43" t="s">
        <v>391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391</v>
      </c>
      <c r="O107" s="54">
        <v>45749</v>
      </c>
      <c r="P107" s="30" t="s">
        <v>391</v>
      </c>
      <c r="Q107" s="43" t="s">
        <v>391</v>
      </c>
      <c r="R107" s="43" t="s">
        <v>1954</v>
      </c>
      <c r="S107" s="43" t="s">
        <v>391</v>
      </c>
      <c r="T107" s="43" t="s">
        <v>391</v>
      </c>
      <c r="U107" s="43" t="s">
        <v>391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391</v>
      </c>
      <c r="O108" s="54">
        <v>45749</v>
      </c>
      <c r="P108" s="30" t="s">
        <v>391</v>
      </c>
      <c r="Q108" s="43" t="s">
        <v>391</v>
      </c>
      <c r="R108" s="345" t="s">
        <v>1954</v>
      </c>
      <c r="S108" s="43" t="s">
        <v>391</v>
      </c>
      <c r="T108" s="43" t="s">
        <v>391</v>
      </c>
      <c r="U108" s="88" t="s">
        <v>391</v>
      </c>
      <c r="V108" s="494" t="s">
        <v>391</v>
      </c>
      <c r="W108" s="367">
        <v>45798</v>
      </c>
      <c r="X108" s="69" t="s">
        <v>1957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391</v>
      </c>
      <c r="O109" s="54">
        <v>45744</v>
      </c>
      <c r="P109" s="79" t="s">
        <v>391</v>
      </c>
      <c r="Q109" s="43" t="s">
        <v>391</v>
      </c>
      <c r="R109" s="345" t="s">
        <v>1954</v>
      </c>
      <c r="S109" s="43" t="s">
        <v>391</v>
      </c>
      <c r="T109" s="43" t="s">
        <v>391</v>
      </c>
      <c r="U109" s="43" t="s">
        <v>1960</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391</v>
      </c>
      <c r="O110" s="54">
        <v>45691</v>
      </c>
      <c r="P110" s="79" t="s">
        <v>391</v>
      </c>
      <c r="Q110" s="43" t="s">
        <v>391</v>
      </c>
      <c r="R110" s="345" t="s">
        <v>1954</v>
      </c>
      <c r="S110" s="43" t="s">
        <v>391</v>
      </c>
      <c r="T110" s="43" t="s">
        <v>391</v>
      </c>
      <c r="U110" s="88" t="s">
        <v>391</v>
      </c>
      <c r="V110" s="494" t="s">
        <v>391</v>
      </c>
      <c r="W110" s="367">
        <v>45902</v>
      </c>
      <c r="X110" s="69" t="s">
        <v>1957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391</v>
      </c>
      <c r="O111" s="54">
        <v>45708</v>
      </c>
      <c r="P111" s="30" t="s">
        <v>391</v>
      </c>
      <c r="Q111" s="171" t="s">
        <v>391</v>
      </c>
      <c r="R111" s="69" t="s">
        <v>1954</v>
      </c>
      <c r="S111" s="43" t="s">
        <v>391</v>
      </c>
      <c r="T111" s="43" t="s">
        <v>391</v>
      </c>
      <c r="U111" s="43" t="s">
        <v>391</v>
      </c>
      <c r="V111" s="204" t="s">
        <v>391</v>
      </c>
      <c r="W111" s="168">
        <v>45790</v>
      </c>
      <c r="X111" s="69" t="s">
        <v>1957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391</v>
      </c>
      <c r="O112" s="168">
        <v>45744</v>
      </c>
      <c r="P112" s="115" t="s">
        <v>391</v>
      </c>
      <c r="Q112" s="116" t="s">
        <v>391</v>
      </c>
      <c r="R112" s="149" t="s">
        <v>1954</v>
      </c>
      <c r="S112" s="43" t="s">
        <v>391</v>
      </c>
      <c r="T112" s="43" t="s">
        <v>391</v>
      </c>
      <c r="U112" s="43" t="s">
        <v>391</v>
      </c>
      <c r="V112" s="204" t="s">
        <v>391</v>
      </c>
      <c r="W112" s="492">
        <v>45791</v>
      </c>
      <c r="X112" s="69" t="s">
        <v>1957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391</v>
      </c>
      <c r="O113" s="168">
        <v>45755</v>
      </c>
      <c r="P113" s="115" t="s">
        <v>391</v>
      </c>
      <c r="Q113" s="116" t="s">
        <v>391</v>
      </c>
      <c r="R113" s="149" t="s">
        <v>1954</v>
      </c>
      <c r="S113" s="116" t="s">
        <v>391</v>
      </c>
      <c r="T113" s="43" t="s">
        <v>391</v>
      </c>
      <c r="U113" s="43" t="s">
        <v>391</v>
      </c>
      <c r="V113" s="204" t="s">
        <v>391</v>
      </c>
      <c r="W113" s="492">
        <v>45791</v>
      </c>
      <c r="X113" s="149" t="s">
        <v>1957</v>
      </c>
    </row>
    <row r="114" spans="1:25">
      <c r="A114" s="181" t="s">
        <v>754</v>
      </c>
      <c r="B114" s="185" t="s">
        <v>50</v>
      </c>
      <c r="C114" s="318">
        <v>45772</v>
      </c>
      <c r="D114" s="423" t="s">
        <v>755</v>
      </c>
      <c r="H114" s="188">
        <v>75</v>
      </c>
      <c r="I114" s="184"/>
      <c r="J114" s="182" t="s">
        <v>57</v>
      </c>
      <c r="K114" s="433" t="s">
        <v>57</v>
      </c>
      <c r="L114" s="182" t="s">
        <v>63</v>
      </c>
      <c r="M114" s="196">
        <v>45741</v>
      </c>
      <c r="N114" s="115" t="s">
        <v>391</v>
      </c>
      <c r="O114" s="54">
        <v>45747</v>
      </c>
      <c r="P114" s="115" t="s">
        <v>391</v>
      </c>
      <c r="Q114" s="116" t="s">
        <v>391</v>
      </c>
      <c r="R114" s="149" t="s">
        <v>1954</v>
      </c>
      <c r="S114" s="116" t="s">
        <v>391</v>
      </c>
      <c r="T114" s="43" t="s">
        <v>391</v>
      </c>
      <c r="U114" s="158" t="s">
        <v>391</v>
      </c>
      <c r="V114" s="204" t="s">
        <v>391</v>
      </c>
      <c r="W114" s="54">
        <v>45798</v>
      </c>
      <c r="X114" s="69" t="s">
        <v>1957</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391</v>
      </c>
      <c r="O115" s="125">
        <v>45757</v>
      </c>
      <c r="P115" s="30" t="s">
        <v>391</v>
      </c>
      <c r="Q115" s="43" t="s">
        <v>391</v>
      </c>
      <c r="R115" s="69" t="s">
        <v>1954</v>
      </c>
      <c r="S115" s="43" t="s">
        <v>391</v>
      </c>
      <c r="T115" s="43" t="s">
        <v>391</v>
      </c>
      <c r="U115" s="43" t="s">
        <v>391</v>
      </c>
      <c r="V115" s="88" t="s">
        <v>391</v>
      </c>
      <c r="W115" s="54">
        <v>45814</v>
      </c>
      <c r="X115" s="69" t="s">
        <v>1957</v>
      </c>
    </row>
    <row r="116" spans="1:25">
      <c r="A116" s="181" t="s">
        <v>758</v>
      </c>
      <c r="B116" s="185" t="s">
        <v>50</v>
      </c>
      <c r="C116" s="318">
        <v>45772</v>
      </c>
      <c r="D116" s="735" t="s">
        <v>760</v>
      </c>
      <c r="H116" s="182">
        <v>50</v>
      </c>
      <c r="I116" s="184"/>
      <c r="J116" s="182" t="s">
        <v>57</v>
      </c>
      <c r="K116" s="433" t="s">
        <v>57</v>
      </c>
      <c r="L116" s="182" t="s">
        <v>63</v>
      </c>
      <c r="M116" s="196">
        <v>45757</v>
      </c>
      <c r="N116" s="30" t="s">
        <v>391</v>
      </c>
      <c r="O116" s="125">
        <v>45757</v>
      </c>
      <c r="P116" s="30" t="s">
        <v>391</v>
      </c>
      <c r="Q116" s="43" t="s">
        <v>391</v>
      </c>
      <c r="R116" s="69" t="s">
        <v>1954</v>
      </c>
      <c r="S116" s="43" t="s">
        <v>391</v>
      </c>
      <c r="T116" s="43" t="s">
        <v>391</v>
      </c>
      <c r="U116" s="43" t="s">
        <v>391</v>
      </c>
      <c r="V116" s="494" t="s">
        <v>391</v>
      </c>
      <c r="W116" s="54">
        <v>45807</v>
      </c>
      <c r="X116" s="69" t="s">
        <v>1957</v>
      </c>
    </row>
    <row r="117" spans="1:25">
      <c r="A117" s="181" t="s">
        <v>762</v>
      </c>
      <c r="B117" s="185" t="s">
        <v>50</v>
      </c>
      <c r="C117" s="318">
        <v>45772</v>
      </c>
      <c r="D117" s="534" t="s">
        <v>763</v>
      </c>
      <c r="H117" s="182">
        <v>76</v>
      </c>
      <c r="I117" s="184"/>
      <c r="J117" s="182" t="s">
        <v>57</v>
      </c>
      <c r="K117" s="433" t="s">
        <v>57</v>
      </c>
      <c r="L117" s="182" t="s">
        <v>63</v>
      </c>
      <c r="M117" s="196">
        <v>45757</v>
      </c>
      <c r="N117" s="87" t="s">
        <v>391</v>
      </c>
      <c r="O117" s="125">
        <v>45757</v>
      </c>
      <c r="P117" s="30" t="s">
        <v>391</v>
      </c>
      <c r="Q117" s="43" t="s">
        <v>391</v>
      </c>
      <c r="R117" s="69" t="s">
        <v>1954</v>
      </c>
      <c r="S117" s="43" t="s">
        <v>391</v>
      </c>
      <c r="T117" s="43" t="s">
        <v>391</v>
      </c>
      <c r="U117" s="43" t="s">
        <v>391</v>
      </c>
      <c r="V117" s="88" t="s">
        <v>391</v>
      </c>
      <c r="W117" s="54">
        <v>45811</v>
      </c>
      <c r="X117" s="69" t="s">
        <v>1957</v>
      </c>
    </row>
    <row r="118" spans="1:25">
      <c r="A118" s="181" t="s">
        <v>764</v>
      </c>
      <c r="B118" s="185" t="s">
        <v>50</v>
      </c>
      <c r="C118" s="318">
        <v>45772</v>
      </c>
      <c r="D118" s="182" t="s">
        <v>766</v>
      </c>
      <c r="H118" s="188">
        <v>88</v>
      </c>
      <c r="I118" s="184"/>
      <c r="J118" s="182" t="s">
        <v>57</v>
      </c>
      <c r="K118" s="433" t="s">
        <v>57</v>
      </c>
      <c r="L118" s="182" t="s">
        <v>63</v>
      </c>
      <c r="M118" s="196">
        <v>45757</v>
      </c>
      <c r="N118" s="87" t="s">
        <v>391</v>
      </c>
      <c r="O118" s="125">
        <v>45757</v>
      </c>
      <c r="P118" s="87" t="s">
        <v>391</v>
      </c>
      <c r="Q118" s="43" t="s">
        <v>391</v>
      </c>
      <c r="R118" s="43" t="s">
        <v>1954</v>
      </c>
      <c r="S118" s="43" t="s">
        <v>391</v>
      </c>
      <c r="T118" s="43" t="s">
        <v>391</v>
      </c>
      <c r="U118" s="158" t="s">
        <v>391</v>
      </c>
      <c r="V118" s="88" t="s">
        <v>391</v>
      </c>
      <c r="W118" s="54">
        <v>45810</v>
      </c>
      <c r="X118" s="69" t="s">
        <v>1957</v>
      </c>
    </row>
    <row r="119" spans="1:25">
      <c r="A119" s="181" t="s">
        <v>768</v>
      </c>
      <c r="B119" s="185" t="s">
        <v>50</v>
      </c>
      <c r="C119" s="318">
        <v>45772</v>
      </c>
      <c r="D119" s="182" t="s">
        <v>769</v>
      </c>
      <c r="H119" s="188">
        <v>86</v>
      </c>
      <c r="I119" s="184"/>
      <c r="J119" s="182" t="s">
        <v>57</v>
      </c>
      <c r="K119" s="433" t="s">
        <v>57</v>
      </c>
      <c r="L119" s="182" t="s">
        <v>63</v>
      </c>
      <c r="M119" s="198">
        <v>45756</v>
      </c>
      <c r="N119" s="30" t="s">
        <v>391</v>
      </c>
      <c r="O119" s="125">
        <v>45757</v>
      </c>
      <c r="P119" s="30" t="s">
        <v>391</v>
      </c>
      <c r="Q119" s="69" t="s">
        <v>391</v>
      </c>
      <c r="R119" s="69" t="s">
        <v>1954</v>
      </c>
      <c r="S119" s="43" t="s">
        <v>391</v>
      </c>
      <c r="T119" s="43" t="s">
        <v>391</v>
      </c>
      <c r="U119" s="158" t="s">
        <v>391</v>
      </c>
      <c r="V119" s="88" t="s">
        <v>391</v>
      </c>
      <c r="W119" s="54">
        <v>45813</v>
      </c>
      <c r="X119" s="69" t="s">
        <v>1957</v>
      </c>
    </row>
    <row r="120" spans="1:25">
      <c r="A120" s="181" t="s">
        <v>770</v>
      </c>
      <c r="B120" s="185" t="s">
        <v>50</v>
      </c>
      <c r="C120" s="318">
        <v>45772</v>
      </c>
      <c r="D120" s="535" t="s">
        <v>771</v>
      </c>
      <c r="H120" s="188">
        <v>84</v>
      </c>
      <c r="I120" s="184"/>
      <c r="J120" s="182" t="s">
        <v>57</v>
      </c>
      <c r="K120" s="433" t="s">
        <v>57</v>
      </c>
      <c r="L120" s="182" t="s">
        <v>63</v>
      </c>
      <c r="M120" s="198">
        <v>45741</v>
      </c>
      <c r="N120" s="30" t="s">
        <v>391</v>
      </c>
      <c r="O120" s="54">
        <v>45748</v>
      </c>
      <c r="P120" s="30" t="s">
        <v>391</v>
      </c>
      <c r="Q120" s="43" t="s">
        <v>391</v>
      </c>
      <c r="R120" s="69" t="s">
        <v>1954</v>
      </c>
      <c r="S120" s="43" t="s">
        <v>391</v>
      </c>
      <c r="T120" s="43" t="s">
        <v>391</v>
      </c>
      <c r="U120" s="43" t="s">
        <v>391</v>
      </c>
      <c r="V120" s="88" t="s">
        <v>391</v>
      </c>
      <c r="W120" s="54">
        <v>45811</v>
      </c>
      <c r="X120" s="69" t="s">
        <v>1957</v>
      </c>
    </row>
    <row r="121" spans="1:25">
      <c r="A121" s="377" t="s">
        <v>828</v>
      </c>
      <c r="B121" s="707" t="s">
        <v>50</v>
      </c>
      <c r="C121" s="708">
        <v>45772</v>
      </c>
      <c r="D121" s="374" t="s">
        <v>829</v>
      </c>
      <c r="H121" s="352">
        <v>87</v>
      </c>
      <c r="I121" s="350"/>
      <c r="J121" s="374" t="s">
        <v>57</v>
      </c>
      <c r="K121" s="728" t="s">
        <v>57</v>
      </c>
      <c r="L121" s="182" t="s">
        <v>63</v>
      </c>
      <c r="M121" s="196">
        <v>45757</v>
      </c>
      <c r="N121" s="30" t="s">
        <v>391</v>
      </c>
      <c r="O121" s="125">
        <v>45757</v>
      </c>
      <c r="P121" s="30" t="s">
        <v>391</v>
      </c>
      <c r="Q121" s="69" t="s">
        <v>391</v>
      </c>
      <c r="R121" s="69" t="s">
        <v>1954</v>
      </c>
      <c r="S121" s="43" t="s">
        <v>391</v>
      </c>
      <c r="T121" s="43" t="s">
        <v>391</v>
      </c>
      <c r="U121" s="43" t="s">
        <v>391</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391</v>
      </c>
      <c r="O122" s="54">
        <v>45747</v>
      </c>
      <c r="P122" s="30" t="s">
        <v>391</v>
      </c>
      <c r="Q122" s="69" t="s">
        <v>391</v>
      </c>
      <c r="R122" s="69" t="s">
        <v>1954</v>
      </c>
      <c r="S122" s="43" t="s">
        <v>391</v>
      </c>
      <c r="T122" s="43" t="s">
        <v>391</v>
      </c>
      <c r="U122" s="158" t="s">
        <v>391</v>
      </c>
      <c r="V122" s="158" t="s">
        <v>391</v>
      </c>
      <c r="W122" s="54">
        <v>45789</v>
      </c>
      <c r="X122" s="69" t="s">
        <v>1957</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391</v>
      </c>
      <c r="O123" s="54">
        <v>45744</v>
      </c>
      <c r="P123" s="30" t="s">
        <v>391</v>
      </c>
      <c r="Q123" s="43" t="s">
        <v>391</v>
      </c>
      <c r="R123" s="69" t="s">
        <v>1954</v>
      </c>
      <c r="S123" s="43" t="s">
        <v>391</v>
      </c>
      <c r="T123" s="43" t="s">
        <v>391</v>
      </c>
      <c r="U123" s="43" t="s">
        <v>391</v>
      </c>
      <c r="V123" s="69" t="s">
        <v>391</v>
      </c>
      <c r="W123" s="54">
        <v>45811</v>
      </c>
      <c r="X123" s="69" t="s">
        <v>1957</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391</v>
      </c>
      <c r="O124" s="54">
        <v>45744</v>
      </c>
      <c r="P124" s="30" t="s">
        <v>391</v>
      </c>
      <c r="Q124" s="43" t="s">
        <v>391</v>
      </c>
      <c r="R124" s="69" t="s">
        <v>1954</v>
      </c>
      <c r="S124" s="43" t="s">
        <v>391</v>
      </c>
      <c r="T124" s="43" t="s">
        <v>391</v>
      </c>
      <c r="U124" s="43" t="s">
        <v>1960</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391</v>
      </c>
      <c r="N125" s="30" t="s">
        <v>391</v>
      </c>
      <c r="O125" s="54">
        <v>45679</v>
      </c>
      <c r="P125" s="30" t="s">
        <v>391</v>
      </c>
      <c r="Q125" s="69" t="s">
        <v>391</v>
      </c>
      <c r="R125" s="43" t="s">
        <v>1954</v>
      </c>
      <c r="S125" s="43" t="s">
        <v>391</v>
      </c>
      <c r="T125" s="43" t="s">
        <v>391</v>
      </c>
      <c r="U125" s="43" t="s">
        <v>391</v>
      </c>
      <c r="V125" s="43" t="s">
        <v>391</v>
      </c>
      <c r="W125" s="54">
        <v>45814</v>
      </c>
      <c r="X125" s="69" t="s">
        <v>1957</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391</v>
      </c>
      <c r="N126" s="30" t="s">
        <v>391</v>
      </c>
      <c r="O126" s="54">
        <v>45720</v>
      </c>
      <c r="P126" s="30" t="s">
        <v>391</v>
      </c>
      <c r="Q126" s="69" t="s">
        <v>391</v>
      </c>
      <c r="R126" s="43" t="s">
        <v>1954</v>
      </c>
      <c r="S126" s="43" t="s">
        <v>391</v>
      </c>
      <c r="T126" s="43" t="s">
        <v>391</v>
      </c>
      <c r="U126" s="43" t="s">
        <v>391</v>
      </c>
      <c r="V126" s="88" t="s">
        <v>391</v>
      </c>
      <c r="W126" s="54">
        <v>45819</v>
      </c>
      <c r="X126" s="69" t="s">
        <v>1957</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391</v>
      </c>
      <c r="O127" s="54">
        <v>45679</v>
      </c>
      <c r="P127" s="30" t="s">
        <v>391</v>
      </c>
      <c r="Q127" s="43" t="s">
        <v>391</v>
      </c>
      <c r="R127" s="43" t="s">
        <v>1954</v>
      </c>
      <c r="S127" s="43" t="s">
        <v>391</v>
      </c>
      <c r="T127" s="43" t="s">
        <v>391</v>
      </c>
      <c r="U127" s="43" t="s">
        <v>391</v>
      </c>
      <c r="V127" s="88" t="s">
        <v>391</v>
      </c>
      <c r="W127" s="54">
        <v>45812</v>
      </c>
      <c r="X127" s="69" t="s">
        <v>1957</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391</v>
      </c>
      <c r="O128" s="358">
        <v>45694</v>
      </c>
      <c r="P128" s="87" t="s">
        <v>391</v>
      </c>
      <c r="Q128" s="43" t="s">
        <v>391</v>
      </c>
      <c r="R128" s="43" t="s">
        <v>1954</v>
      </c>
      <c r="S128" s="43" t="s">
        <v>391</v>
      </c>
      <c r="T128" s="43" t="s">
        <v>391</v>
      </c>
      <c r="U128" s="43" t="s">
        <v>391</v>
      </c>
      <c r="V128" s="88" t="s">
        <v>391</v>
      </c>
      <c r="W128" s="168">
        <v>45883</v>
      </c>
      <c r="X128" s="69" t="s">
        <v>1957</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391</v>
      </c>
      <c r="O129" s="168">
        <v>45720</v>
      </c>
      <c r="P129" s="115" t="s">
        <v>391</v>
      </c>
      <c r="Q129" s="149" t="s">
        <v>391</v>
      </c>
      <c r="R129" s="43" t="s">
        <v>1954</v>
      </c>
      <c r="S129" s="43" t="s">
        <v>391</v>
      </c>
      <c r="T129" s="116" t="s">
        <v>391</v>
      </c>
      <c r="U129" s="116" t="s">
        <v>391</v>
      </c>
      <c r="V129" s="88" t="s">
        <v>391</v>
      </c>
      <c r="W129" s="168">
        <v>45814</v>
      </c>
      <c r="X129" s="69" t="s">
        <v>1957</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391</v>
      </c>
      <c r="O130" s="54">
        <v>45698</v>
      </c>
      <c r="P130" s="30" t="s">
        <v>391</v>
      </c>
      <c r="Q130" s="69" t="s">
        <v>391</v>
      </c>
      <c r="R130" s="43" t="s">
        <v>1954</v>
      </c>
      <c r="S130" s="43" t="s">
        <v>391</v>
      </c>
      <c r="T130" s="43" t="s">
        <v>391</v>
      </c>
      <c r="U130" s="43" t="s">
        <v>391</v>
      </c>
      <c r="V130" s="88" t="s">
        <v>391</v>
      </c>
      <c r="W130" s="54">
        <v>45798</v>
      </c>
      <c r="X130" s="69" t="s">
        <v>1957</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391</v>
      </c>
      <c r="N131" s="49" t="s">
        <v>391</v>
      </c>
      <c r="O131" s="30" t="s">
        <v>391</v>
      </c>
      <c r="P131" s="30" t="s">
        <v>391</v>
      </c>
      <c r="Q131" s="43" t="s">
        <v>391</v>
      </c>
      <c r="R131" s="43" t="s">
        <v>1954</v>
      </c>
      <c r="S131" s="43" t="s">
        <v>391</v>
      </c>
      <c r="T131" s="158" t="s">
        <v>391</v>
      </c>
      <c r="U131" s="158" t="s">
        <v>391</v>
      </c>
      <c r="V131" s="88" t="s">
        <v>391</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391</v>
      </c>
      <c r="O132" s="54">
        <v>45691</v>
      </c>
      <c r="P132" s="87" t="s">
        <v>391</v>
      </c>
      <c r="Q132" s="43" t="s">
        <v>391</v>
      </c>
      <c r="R132" s="43" t="s">
        <v>1954</v>
      </c>
      <c r="S132" s="43" t="s">
        <v>391</v>
      </c>
      <c r="T132" s="43" t="s">
        <v>391</v>
      </c>
      <c r="U132" s="43" t="s">
        <v>391</v>
      </c>
      <c r="V132" s="43" t="s">
        <v>391</v>
      </c>
      <c r="W132" s="54">
        <v>45820</v>
      </c>
      <c r="X132" s="69" t="s">
        <v>1957</v>
      </c>
      <c r="Y132" t="e">
        <f>VLOOKUP(A132,#REF!,2,FALSE)</f>
        <v>#REF!</v>
      </c>
    </row>
    <row r="133" spans="1:25" ht="15" customHeight="1">
      <c r="A133" s="369" t="s">
        <v>789</v>
      </c>
      <c r="B133" s="419" t="s">
        <v>50</v>
      </c>
      <c r="C133" s="378">
        <v>45742</v>
      </c>
      <c r="D133" s="432" t="s">
        <v>1961</v>
      </c>
      <c r="E133" s="372"/>
      <c r="F133" s="372"/>
      <c r="G133" s="372"/>
      <c r="H133" s="372">
        <v>38</v>
      </c>
      <c r="I133" s="371"/>
      <c r="J133" s="372" t="s">
        <v>57</v>
      </c>
      <c r="K133" s="372" t="s">
        <v>57</v>
      </c>
      <c r="L133" s="372" t="s">
        <v>63</v>
      </c>
      <c r="M133" s="49" t="s">
        <v>391</v>
      </c>
      <c r="N133" s="49" t="s">
        <v>391</v>
      </c>
      <c r="O133" s="54">
        <v>45701</v>
      </c>
      <c r="P133" s="30" t="s">
        <v>391</v>
      </c>
      <c r="Q133" s="69" t="s">
        <v>391</v>
      </c>
      <c r="R133" s="43" t="s">
        <v>1954</v>
      </c>
      <c r="S133" s="43" t="s">
        <v>391</v>
      </c>
      <c r="T133" s="43" t="s">
        <v>391</v>
      </c>
      <c r="U133" s="43" t="s">
        <v>391</v>
      </c>
      <c r="V133" s="69" t="s">
        <v>391</v>
      </c>
      <c r="W133" s="54">
        <v>45821</v>
      </c>
      <c r="X133" s="69" t="s">
        <v>1957</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391</v>
      </c>
      <c r="O134" s="54">
        <v>45709</v>
      </c>
      <c r="P134" s="30" t="s">
        <v>391</v>
      </c>
      <c r="Q134" s="43" t="s">
        <v>391</v>
      </c>
      <c r="R134" s="43" t="s">
        <v>1954</v>
      </c>
      <c r="S134" s="43" t="s">
        <v>391</v>
      </c>
      <c r="T134" s="43" t="s">
        <v>391</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391</v>
      </c>
      <c r="N135" s="49" t="s">
        <v>391</v>
      </c>
      <c r="O135" s="198">
        <v>45720</v>
      </c>
      <c r="P135" s="49" t="s">
        <v>391</v>
      </c>
      <c r="Q135" s="69" t="s">
        <v>391</v>
      </c>
      <c r="R135" s="43" t="s">
        <v>1954</v>
      </c>
      <c r="S135" s="43" t="s">
        <v>391</v>
      </c>
      <c r="T135" s="43" t="s">
        <v>391</v>
      </c>
      <c r="U135" s="158" t="s">
        <v>391</v>
      </c>
      <c r="V135" s="43" t="s">
        <v>391</v>
      </c>
      <c r="W135" s="54">
        <v>45819</v>
      </c>
      <c r="X135" s="69" t="s">
        <v>1957</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391</v>
      </c>
      <c r="O136" s="54">
        <v>45691</v>
      </c>
      <c r="P136" s="30" t="s">
        <v>391</v>
      </c>
      <c r="Q136" s="43" t="s">
        <v>391</v>
      </c>
      <c r="R136" s="43" t="s">
        <v>1954</v>
      </c>
      <c r="S136" s="43" t="s">
        <v>391</v>
      </c>
      <c r="T136" s="43" t="s">
        <v>391</v>
      </c>
      <c r="U136" s="43" t="s">
        <v>391</v>
      </c>
      <c r="V136" s="43" t="s">
        <v>391</v>
      </c>
      <c r="W136" s="54">
        <v>45791</v>
      </c>
      <c r="X136" s="69" t="s">
        <v>1957</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391</v>
      </c>
      <c r="O137" s="30" t="s">
        <v>391</v>
      </c>
      <c r="P137" s="49" t="s">
        <v>391</v>
      </c>
      <c r="Q137" s="69" t="s">
        <v>391</v>
      </c>
      <c r="R137" s="43" t="s">
        <v>1954</v>
      </c>
      <c r="S137" s="43" t="s">
        <v>391</v>
      </c>
      <c r="T137" s="43" t="s">
        <v>391</v>
      </c>
      <c r="U137" s="158" t="s">
        <v>391</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391</v>
      </c>
      <c r="O138" s="125">
        <v>45707</v>
      </c>
      <c r="P138" s="30" t="s">
        <v>391</v>
      </c>
      <c r="Q138" s="43" t="s">
        <v>391</v>
      </c>
      <c r="R138" s="43" t="s">
        <v>1954</v>
      </c>
      <c r="S138" s="43" t="s">
        <v>391</v>
      </c>
      <c r="T138" s="43" t="s">
        <v>391</v>
      </c>
      <c r="U138" s="43" t="s">
        <v>391</v>
      </c>
      <c r="V138" s="43" t="s">
        <v>391</v>
      </c>
      <c r="W138" s="54">
        <v>45790</v>
      </c>
      <c r="X138" s="69" t="s">
        <v>1957</v>
      </c>
      <c r="Y138" t="e">
        <f>VLOOKUP(A138,#REF!,2,FALSE)</f>
        <v>#REF!</v>
      </c>
    </row>
    <row r="139" spans="1:25" ht="15" customHeight="1">
      <c r="A139" s="369" t="s">
        <v>1962</v>
      </c>
      <c r="B139" s="185" t="s">
        <v>50</v>
      </c>
      <c r="C139" s="421">
        <v>45742</v>
      </c>
      <c r="D139" s="372" t="s">
        <v>1963</v>
      </c>
      <c r="E139" s="537"/>
      <c r="F139" s="372"/>
      <c r="G139" s="372"/>
      <c r="H139" s="372">
        <v>87</v>
      </c>
      <c r="I139" s="371"/>
      <c r="J139" s="372" t="s">
        <v>57</v>
      </c>
      <c r="K139" s="372" t="s">
        <v>57</v>
      </c>
      <c r="L139" s="372" t="s">
        <v>63</v>
      </c>
      <c r="M139" s="49" t="s">
        <v>391</v>
      </c>
      <c r="N139" s="30" t="s">
        <v>391</v>
      </c>
      <c r="O139" s="30" t="s">
        <v>391</v>
      </c>
      <c r="P139" s="30" t="s">
        <v>391</v>
      </c>
      <c r="Q139" s="43" t="s">
        <v>391</v>
      </c>
      <c r="R139" s="43" t="s">
        <v>1954</v>
      </c>
      <c r="S139" s="43" t="s">
        <v>391</v>
      </c>
      <c r="T139" s="43" t="s">
        <v>391</v>
      </c>
      <c r="U139" s="158" t="s">
        <v>391</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391</v>
      </c>
      <c r="O140" s="54">
        <v>45743</v>
      </c>
      <c r="P140" s="87" t="s">
        <v>391</v>
      </c>
      <c r="Q140" s="88" t="s">
        <v>391</v>
      </c>
      <c r="R140" s="43" t="s">
        <v>1954</v>
      </c>
      <c r="S140" s="43" t="s">
        <v>391</v>
      </c>
      <c r="T140" s="43" t="s">
        <v>391</v>
      </c>
      <c r="U140" s="88" t="s">
        <v>391</v>
      </c>
      <c r="V140" s="69" t="s">
        <v>391</v>
      </c>
      <c r="W140" s="54">
        <v>45819</v>
      </c>
      <c r="X140" s="69" t="s">
        <v>1957</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391</v>
      </c>
      <c r="O141" s="198">
        <v>45743</v>
      </c>
      <c r="P141" s="87" t="s">
        <v>391</v>
      </c>
      <c r="Q141" s="88" t="s">
        <v>391</v>
      </c>
      <c r="R141" s="43" t="s">
        <v>1954</v>
      </c>
      <c r="S141" s="43" t="s">
        <v>391</v>
      </c>
      <c r="T141" s="43" t="s">
        <v>391</v>
      </c>
      <c r="U141" s="88" t="s">
        <v>391</v>
      </c>
      <c r="V141" s="88" t="s">
        <v>391</v>
      </c>
      <c r="W141" s="54">
        <v>45811</v>
      </c>
      <c r="X141" s="69" t="s">
        <v>1957</v>
      </c>
      <c r="Y141" t="e">
        <f>VLOOKUP(A141,#REF!,2,FALSE)</f>
        <v>#REF!</v>
      </c>
    </row>
    <row r="142" spans="1:25" ht="15" customHeight="1">
      <c r="A142" s="369" t="s">
        <v>1964</v>
      </c>
      <c r="B142" s="419" t="s">
        <v>50</v>
      </c>
      <c r="C142" s="421">
        <v>45742</v>
      </c>
      <c r="D142" s="372" t="s">
        <v>1965</v>
      </c>
      <c r="E142" s="537"/>
      <c r="F142" s="372"/>
      <c r="G142" s="372"/>
      <c r="H142" s="372">
        <v>87</v>
      </c>
      <c r="I142" s="371"/>
      <c r="J142" s="372" t="s">
        <v>57</v>
      </c>
      <c r="K142" s="372" t="s">
        <v>57</v>
      </c>
      <c r="L142" s="372" t="s">
        <v>63</v>
      </c>
      <c r="M142" s="49" t="s">
        <v>391</v>
      </c>
      <c r="N142" s="49" t="s">
        <v>391</v>
      </c>
      <c r="O142" s="198">
        <v>45691</v>
      </c>
      <c r="P142" s="30" t="s">
        <v>391</v>
      </c>
      <c r="Q142" s="69" t="s">
        <v>391</v>
      </c>
      <c r="R142" s="43" t="s">
        <v>1954</v>
      </c>
      <c r="S142" s="43" t="s">
        <v>391</v>
      </c>
      <c r="T142" s="43" t="s">
        <v>391</v>
      </c>
      <c r="U142" s="158" t="s">
        <v>391</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391</v>
      </c>
      <c r="N143" s="49" t="s">
        <v>391</v>
      </c>
      <c r="O143" s="198">
        <v>45675</v>
      </c>
      <c r="P143" s="30" t="s">
        <v>391</v>
      </c>
      <c r="Q143" s="69" t="s">
        <v>391</v>
      </c>
      <c r="R143" s="43" t="s">
        <v>1954</v>
      </c>
      <c r="S143" s="43" t="s">
        <v>391</v>
      </c>
      <c r="T143" s="43" t="s">
        <v>391</v>
      </c>
      <c r="U143" s="158" t="s">
        <v>391</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391</v>
      </c>
      <c r="O144" s="198">
        <v>45749</v>
      </c>
      <c r="P144" s="30" t="s">
        <v>391</v>
      </c>
      <c r="Q144" s="43" t="s">
        <v>391</v>
      </c>
      <c r="R144" s="43" t="s">
        <v>391</v>
      </c>
      <c r="S144" s="43" t="s">
        <v>56</v>
      </c>
      <c r="T144" s="43" t="s">
        <v>391</v>
      </c>
      <c r="U144" s="88" t="s">
        <v>391</v>
      </c>
      <c r="V144" s="88" t="s">
        <v>391</v>
      </c>
      <c r="W144" s="54">
        <v>45888</v>
      </c>
      <c r="X144" s="69" t="s">
        <v>1957</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1927</v>
      </c>
      <c r="B146" s="419" t="s">
        <v>50</v>
      </c>
      <c r="C146" s="370">
        <v>45991</v>
      </c>
      <c r="D146" s="431" t="s">
        <v>1928</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1930</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391</v>
      </c>
      <c r="O148" s="198">
        <v>45744</v>
      </c>
      <c r="P148" s="49" t="s">
        <v>391</v>
      </c>
      <c r="Q148" s="43" t="s">
        <v>391</v>
      </c>
      <c r="R148" s="43" t="s">
        <v>391</v>
      </c>
      <c r="S148" s="43" t="s">
        <v>56</v>
      </c>
      <c r="T148" s="43" t="s">
        <v>391</v>
      </c>
      <c r="U148" s="69" t="s">
        <v>87</v>
      </c>
      <c r="V148" s="69" t="s">
        <v>87</v>
      </c>
      <c r="W148" s="30"/>
      <c r="X148" s="69" t="s">
        <v>87</v>
      </c>
      <c r="Y148" t="e">
        <f>VLOOKUP(A148,#REF!,2,FALSE)</f>
        <v>#REF!</v>
      </c>
    </row>
    <row r="149" spans="1:25" ht="15" customHeight="1">
      <c r="A149" s="376" t="s">
        <v>1966</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1954</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391</v>
      </c>
      <c r="O150" s="198">
        <v>45744</v>
      </c>
      <c r="P150" s="101" t="s">
        <v>391</v>
      </c>
      <c r="Q150" s="69" t="s">
        <v>391</v>
      </c>
      <c r="R150" s="43" t="s">
        <v>1954</v>
      </c>
      <c r="S150" s="43" t="s">
        <v>391</v>
      </c>
      <c r="T150" s="43" t="s">
        <v>391</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391</v>
      </c>
      <c r="O151" s="198">
        <v>45698</v>
      </c>
      <c r="P151" s="101" t="s">
        <v>391</v>
      </c>
      <c r="Q151" s="69" t="s">
        <v>391</v>
      </c>
      <c r="R151" s="43" t="s">
        <v>1954</v>
      </c>
      <c r="S151" s="43" t="s">
        <v>391</v>
      </c>
      <c r="T151" s="43" t="s">
        <v>391</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391</v>
      </c>
      <c r="O153" s="198">
        <v>45696</v>
      </c>
      <c r="P153" s="30" t="s">
        <v>391</v>
      </c>
      <c r="Q153" s="69" t="s">
        <v>391</v>
      </c>
      <c r="R153" s="43" t="s">
        <v>1954</v>
      </c>
      <c r="S153" s="43" t="s">
        <v>391</v>
      </c>
      <c r="T153" s="158" t="s">
        <v>391</v>
      </c>
      <c r="U153" s="158" t="s">
        <v>391</v>
      </c>
      <c r="V153" s="43" t="s">
        <v>391</v>
      </c>
      <c r="W153" s="54">
        <v>45807</v>
      </c>
      <c r="X153" s="69" t="s">
        <v>1957</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391</v>
      </c>
      <c r="O154" s="358">
        <v>45696</v>
      </c>
      <c r="P154" s="30" t="s">
        <v>391</v>
      </c>
      <c r="Q154" s="69" t="s">
        <v>391</v>
      </c>
      <c r="R154" s="43" t="s">
        <v>1954</v>
      </c>
      <c r="S154" s="43" t="s">
        <v>391</v>
      </c>
      <c r="T154" s="158" t="s">
        <v>391</v>
      </c>
      <c r="U154" s="158" t="s">
        <v>391</v>
      </c>
      <c r="V154" s="43" t="s">
        <v>391</v>
      </c>
      <c r="W154" s="168">
        <v>45792</v>
      </c>
      <c r="X154" s="149" t="s">
        <v>1957</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391</v>
      </c>
      <c r="O155" s="54">
        <v>45699</v>
      </c>
      <c r="P155" s="49" t="s">
        <v>391</v>
      </c>
      <c r="Q155" s="69" t="s">
        <v>391</v>
      </c>
      <c r="R155" s="43" t="s">
        <v>1954</v>
      </c>
      <c r="S155" s="43" t="s">
        <v>391</v>
      </c>
      <c r="T155" s="43" t="s">
        <v>391</v>
      </c>
      <c r="U155" s="158" t="s">
        <v>391</v>
      </c>
      <c r="V155" s="43" t="s">
        <v>391</v>
      </c>
      <c r="W155" s="367">
        <v>45821</v>
      </c>
      <c r="X155" s="69" t="s">
        <v>1957</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391</v>
      </c>
      <c r="O156" s="54">
        <v>45699</v>
      </c>
      <c r="P156" s="49" t="s">
        <v>391</v>
      </c>
      <c r="Q156" s="69" t="s">
        <v>391</v>
      </c>
      <c r="R156" s="43" t="s">
        <v>1954</v>
      </c>
      <c r="S156" s="43" t="s">
        <v>391</v>
      </c>
      <c r="T156" s="43" t="s">
        <v>391</v>
      </c>
      <c r="U156" s="69" t="s">
        <v>391</v>
      </c>
      <c r="V156" s="69" t="s">
        <v>87</v>
      </c>
      <c r="W156" s="367">
        <v>45747</v>
      </c>
      <c r="X156" s="69" t="s">
        <v>87</v>
      </c>
      <c r="Y156" t="e">
        <f>VLOOKUP(A156,#REF!,2,FALSE)</f>
        <v>#REF!</v>
      </c>
    </row>
    <row r="157" spans="1:25" ht="15" customHeight="1">
      <c r="A157" s="376" t="s">
        <v>1035</v>
      </c>
      <c r="B157" s="419" t="s">
        <v>50</v>
      </c>
      <c r="C157" s="413">
        <v>45991</v>
      </c>
      <c r="D157" s="431" t="s">
        <v>1935</v>
      </c>
      <c r="E157" s="723"/>
      <c r="F157" s="432"/>
      <c r="G157" s="432"/>
      <c r="H157" s="432">
        <v>79</v>
      </c>
      <c r="I157" s="371"/>
      <c r="J157" s="372" t="s">
        <v>57</v>
      </c>
      <c r="K157" s="569" t="s">
        <v>57</v>
      </c>
      <c r="L157" s="372" t="s">
        <v>63</v>
      </c>
      <c r="M157" s="198">
        <v>45735</v>
      </c>
      <c r="N157" s="30" t="s">
        <v>64</v>
      </c>
      <c r="O157" s="54">
        <v>45737</v>
      </c>
      <c r="P157" s="49" t="s">
        <v>64</v>
      </c>
      <c r="Q157" s="69" t="s">
        <v>64</v>
      </c>
      <c r="R157" s="69" t="s">
        <v>1954</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391</v>
      </c>
      <c r="O158" s="54">
        <v>45736</v>
      </c>
      <c r="P158" s="49" t="s">
        <v>391</v>
      </c>
      <c r="Q158" s="69" t="s">
        <v>391</v>
      </c>
      <c r="R158" s="43" t="s">
        <v>1954</v>
      </c>
      <c r="S158" s="43" t="s">
        <v>391</v>
      </c>
      <c r="T158" s="43" t="s">
        <v>391</v>
      </c>
      <c r="U158" s="158" t="s">
        <v>391</v>
      </c>
      <c r="V158" s="158" t="s">
        <v>391</v>
      </c>
      <c r="W158" s="367">
        <v>45817</v>
      </c>
      <c r="X158" s="69" t="s">
        <v>1957</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391</v>
      </c>
      <c r="O159" s="30" t="s">
        <v>391</v>
      </c>
      <c r="P159" s="49" t="s">
        <v>391</v>
      </c>
      <c r="Q159" s="43" t="s">
        <v>391</v>
      </c>
      <c r="R159" s="43" t="s">
        <v>391</v>
      </c>
      <c r="S159" s="43" t="s">
        <v>56</v>
      </c>
      <c r="T159" s="43" t="s">
        <v>391</v>
      </c>
      <c r="U159" s="43" t="s">
        <v>391</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391</v>
      </c>
      <c r="O160" s="54">
        <v>45723</v>
      </c>
      <c r="P160" s="49" t="s">
        <v>391</v>
      </c>
      <c r="Q160" s="43" t="s">
        <v>391</v>
      </c>
      <c r="R160" s="43" t="s">
        <v>391</v>
      </c>
      <c r="S160" s="43" t="s">
        <v>56</v>
      </c>
      <c r="T160" s="43" t="s">
        <v>391</v>
      </c>
      <c r="U160" s="43" t="s">
        <v>391</v>
      </c>
      <c r="V160" s="69" t="s">
        <v>391</v>
      </c>
      <c r="W160" s="367">
        <v>45897</v>
      </c>
      <c r="X160" s="69" t="s">
        <v>1957</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391</v>
      </c>
      <c r="O161" s="157">
        <v>45726</v>
      </c>
      <c r="P161" s="49" t="s">
        <v>391</v>
      </c>
      <c r="Q161" s="43" t="s">
        <v>391</v>
      </c>
      <c r="R161" s="43" t="s">
        <v>391</v>
      </c>
      <c r="S161" s="43" t="s">
        <v>56</v>
      </c>
      <c r="T161" s="43" t="s">
        <v>391</v>
      </c>
      <c r="U161" s="43" t="s">
        <v>391</v>
      </c>
      <c r="V161" s="88" t="s">
        <v>391</v>
      </c>
      <c r="W161" s="54">
        <v>45814</v>
      </c>
      <c r="X161" s="69" t="s">
        <v>1957</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391</v>
      </c>
      <c r="O162" s="598">
        <v>45693</v>
      </c>
      <c r="P162" s="30" t="s">
        <v>391</v>
      </c>
      <c r="Q162" s="43" t="s">
        <v>391</v>
      </c>
      <c r="R162" s="43" t="s">
        <v>391</v>
      </c>
      <c r="S162" s="43" t="s">
        <v>56</v>
      </c>
      <c r="T162" s="43" t="s">
        <v>391</v>
      </c>
      <c r="U162" s="43" t="s">
        <v>391</v>
      </c>
      <c r="V162" s="88" t="s">
        <v>391</v>
      </c>
      <c r="W162" s="367">
        <v>45838</v>
      </c>
      <c r="X162" s="69" t="s">
        <v>1957</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391</v>
      </c>
      <c r="O163" s="54">
        <v>45693</v>
      </c>
      <c r="P163" s="30" t="s">
        <v>391</v>
      </c>
      <c r="Q163" s="69" t="s">
        <v>391</v>
      </c>
      <c r="R163" s="69" t="s">
        <v>391</v>
      </c>
      <c r="S163" s="43" t="s">
        <v>56</v>
      </c>
      <c r="T163" s="43" t="s">
        <v>391</v>
      </c>
      <c r="U163" s="69" t="s">
        <v>391</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391</v>
      </c>
      <c r="N164" s="30" t="s">
        <v>391</v>
      </c>
      <c r="O164" s="40" t="s">
        <v>391</v>
      </c>
      <c r="P164" s="87" t="s">
        <v>391</v>
      </c>
      <c r="Q164" s="43" t="s">
        <v>391</v>
      </c>
      <c r="R164" s="43" t="s">
        <v>391</v>
      </c>
      <c r="S164" s="43" t="s">
        <v>56</v>
      </c>
      <c r="T164" s="43" t="s">
        <v>391</v>
      </c>
      <c r="U164" s="43" t="s">
        <v>391</v>
      </c>
      <c r="V164" s="43" t="s">
        <v>391</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391</v>
      </c>
      <c r="N165" s="30" t="s">
        <v>391</v>
      </c>
      <c r="O165" s="598">
        <v>45818</v>
      </c>
      <c r="P165" s="87" t="s">
        <v>391</v>
      </c>
      <c r="Q165" s="43" t="s">
        <v>391</v>
      </c>
      <c r="R165" s="43" t="s">
        <v>391</v>
      </c>
      <c r="S165" s="43" t="s">
        <v>56</v>
      </c>
      <c r="T165" s="43" t="s">
        <v>391</v>
      </c>
      <c r="U165" s="43" t="s">
        <v>391</v>
      </c>
      <c r="V165" s="43" t="s">
        <v>391</v>
      </c>
      <c r="W165" s="367">
        <v>45854</v>
      </c>
      <c r="X165" s="69" t="s">
        <v>1957</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391</v>
      </c>
      <c r="N166" s="30" t="s">
        <v>391</v>
      </c>
      <c r="O166" s="598">
        <v>45693</v>
      </c>
      <c r="P166" s="87" t="s">
        <v>391</v>
      </c>
      <c r="Q166" s="43" t="s">
        <v>391</v>
      </c>
      <c r="R166" s="43" t="s">
        <v>391</v>
      </c>
      <c r="S166" s="43" t="s">
        <v>56</v>
      </c>
      <c r="T166" s="43" t="s">
        <v>391</v>
      </c>
      <c r="U166" s="43" t="s">
        <v>391</v>
      </c>
      <c r="V166" s="43" t="s">
        <v>391</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391</v>
      </c>
      <c r="O167" s="598">
        <v>45720</v>
      </c>
      <c r="P167" s="87" t="s">
        <v>391</v>
      </c>
      <c r="Q167" s="43" t="s">
        <v>391</v>
      </c>
      <c r="R167" s="43" t="s">
        <v>391</v>
      </c>
      <c r="S167" s="43" t="s">
        <v>56</v>
      </c>
      <c r="T167" s="43" t="s">
        <v>391</v>
      </c>
      <c r="U167" s="43" t="s">
        <v>391</v>
      </c>
      <c r="V167" s="43" t="s">
        <v>391</v>
      </c>
      <c r="W167" s="367">
        <v>45902</v>
      </c>
      <c r="X167" s="69" t="s">
        <v>1957</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391</v>
      </c>
      <c r="O172" s="40" t="s">
        <v>52</v>
      </c>
      <c r="P172" s="87" t="s">
        <v>391</v>
      </c>
      <c r="Q172" s="43" t="s">
        <v>56</v>
      </c>
      <c r="R172" s="43" t="s">
        <v>56</v>
      </c>
      <c r="S172" s="43" t="s">
        <v>56</v>
      </c>
      <c r="T172" s="43" t="s">
        <v>391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9" t="s">
        <v>1967</v>
      </c>
      <c r="C1" s="1229"/>
      <c r="D1" s="574"/>
      <c r="E1" s="1229" t="s">
        <v>1968</v>
      </c>
      <c r="F1" s="1229"/>
    </row>
    <row r="2" spans="1:25">
      <c r="B2" s="44" t="s">
        <v>1969</v>
      </c>
      <c r="E2" s="44" t="s">
        <v>22</v>
      </c>
      <c r="F2" t="s">
        <v>1006</v>
      </c>
      <c r="P2" s="44" t="s">
        <v>27</v>
      </c>
      <c r="Q2" t="s">
        <v>1970</v>
      </c>
    </row>
    <row r="3" spans="1:25">
      <c r="B3" s="44" t="s">
        <v>22</v>
      </c>
      <c r="C3" t="s">
        <v>1012</v>
      </c>
      <c r="K3" s="44" t="s">
        <v>1971</v>
      </c>
      <c r="L3" t="s">
        <v>1972</v>
      </c>
      <c r="P3" s="44" t="s">
        <v>1971</v>
      </c>
      <c r="Q3" t="s">
        <v>1972</v>
      </c>
    </row>
    <row r="4" spans="1:25">
      <c r="B4" t="s">
        <v>166</v>
      </c>
      <c r="C4">
        <v>126643</v>
      </c>
      <c r="E4" s="44" t="s">
        <v>1969</v>
      </c>
      <c r="F4" t="s">
        <v>1012</v>
      </c>
      <c r="W4" t="s">
        <v>1973</v>
      </c>
      <c r="X4">
        <v>22</v>
      </c>
    </row>
    <row r="5" spans="1:25">
      <c r="B5" t="s">
        <v>71</v>
      </c>
      <c r="C5">
        <v>32354</v>
      </c>
      <c r="E5" t="s">
        <v>1012</v>
      </c>
      <c r="F5">
        <v>189039</v>
      </c>
      <c r="K5" s="44" t="s">
        <v>1974</v>
      </c>
      <c r="P5" s="44" t="s">
        <v>1974</v>
      </c>
      <c r="W5" t="s">
        <v>1975</v>
      </c>
      <c r="X5">
        <v>13</v>
      </c>
    </row>
    <row r="6" spans="1:25">
      <c r="B6" t="s">
        <v>97</v>
      </c>
      <c r="C6">
        <v>22387</v>
      </c>
      <c r="K6" s="44" t="s">
        <v>27</v>
      </c>
      <c r="L6" s="44" t="s">
        <v>1976</v>
      </c>
      <c r="M6" t="s">
        <v>1012</v>
      </c>
      <c r="P6" s="44" t="s">
        <v>1977</v>
      </c>
      <c r="Q6" s="44" t="s">
        <v>1976</v>
      </c>
      <c r="R6" t="s">
        <v>1012</v>
      </c>
    </row>
    <row r="7" spans="1:25">
      <c r="B7" t="s">
        <v>1039</v>
      </c>
      <c r="C7">
        <v>231059</v>
      </c>
      <c r="K7" t="s">
        <v>1970</v>
      </c>
      <c r="L7" t="s">
        <v>633</v>
      </c>
      <c r="M7">
        <v>1</v>
      </c>
      <c r="P7" t="s">
        <v>1978</v>
      </c>
      <c r="R7">
        <v>1</v>
      </c>
      <c r="X7" t="s">
        <v>1979</v>
      </c>
      <c r="Y7" t="s">
        <v>1980</v>
      </c>
    </row>
    <row r="8" spans="1:25">
      <c r="B8" t="s">
        <v>51</v>
      </c>
      <c r="C8">
        <v>446</v>
      </c>
      <c r="L8" t="s">
        <v>635</v>
      </c>
      <c r="M8">
        <v>1</v>
      </c>
      <c r="P8" t="s">
        <v>1981</v>
      </c>
      <c r="R8">
        <v>1</v>
      </c>
      <c r="V8" t="s">
        <v>1982</v>
      </c>
      <c r="W8" s="261">
        <v>203521</v>
      </c>
      <c r="X8" s="317">
        <f>X5/X4</f>
        <v>0.59090909090909094</v>
      </c>
      <c r="Y8" s="317">
        <f>W9/W8</f>
        <v>0.31446386367991508</v>
      </c>
    </row>
    <row r="9" spans="1:25">
      <c r="B9" t="s">
        <v>22</v>
      </c>
      <c r="C9">
        <v>0</v>
      </c>
      <c r="L9" t="s">
        <v>1983</v>
      </c>
      <c r="M9">
        <v>1</v>
      </c>
      <c r="P9" t="s">
        <v>1984</v>
      </c>
      <c r="Q9" t="s">
        <v>1983</v>
      </c>
      <c r="R9">
        <v>1</v>
      </c>
      <c r="V9" t="s">
        <v>1985</v>
      </c>
      <c r="W9">
        <v>64000</v>
      </c>
    </row>
    <row r="10" spans="1:25">
      <c r="B10" t="s">
        <v>246</v>
      </c>
      <c r="C10">
        <v>7128</v>
      </c>
      <c r="L10" t="s">
        <v>738</v>
      </c>
      <c r="M10">
        <v>1</v>
      </c>
      <c r="Q10" t="s">
        <v>742</v>
      </c>
      <c r="R10">
        <v>1</v>
      </c>
    </row>
    <row r="11" spans="1:25">
      <c r="B11" t="s">
        <v>256</v>
      </c>
      <c r="C11">
        <v>35748</v>
      </c>
      <c r="L11" t="s">
        <v>742</v>
      </c>
      <c r="M11">
        <v>1</v>
      </c>
      <c r="Q11" t="s">
        <v>833</v>
      </c>
      <c r="R11">
        <v>1</v>
      </c>
    </row>
    <row r="12" spans="1:25">
      <c r="B12" t="s">
        <v>226</v>
      </c>
      <c r="C12">
        <v>103</v>
      </c>
      <c r="L12" t="s">
        <v>833</v>
      </c>
      <c r="M12">
        <v>1</v>
      </c>
      <c r="Q12" t="s">
        <v>1986</v>
      </c>
      <c r="R12">
        <v>1</v>
      </c>
    </row>
    <row r="13" spans="1:25">
      <c r="B13" t="s">
        <v>230</v>
      </c>
      <c r="C13">
        <v>8065</v>
      </c>
      <c r="L13" t="s">
        <v>1987</v>
      </c>
      <c r="M13">
        <v>1</v>
      </c>
      <c r="Q13" t="s">
        <v>962</v>
      </c>
      <c r="R13">
        <v>1</v>
      </c>
    </row>
    <row r="14" spans="1:25">
      <c r="B14" t="s">
        <v>133</v>
      </c>
      <c r="C14">
        <v>7655</v>
      </c>
      <c r="L14" t="s">
        <v>756</v>
      </c>
      <c r="M14">
        <v>1</v>
      </c>
      <c r="P14" t="s">
        <v>1988</v>
      </c>
      <c r="R14">
        <v>5</v>
      </c>
    </row>
    <row r="15" spans="1:25">
      <c r="B15" t="s">
        <v>196</v>
      </c>
      <c r="C15">
        <v>3</v>
      </c>
      <c r="L15" t="s">
        <v>1986</v>
      </c>
      <c r="M15">
        <v>1</v>
      </c>
      <c r="P15" t="s">
        <v>1039</v>
      </c>
      <c r="R15">
        <v>12</v>
      </c>
    </row>
    <row r="16" spans="1:25">
      <c r="B16" t="s">
        <v>60</v>
      </c>
      <c r="C16">
        <v>9978</v>
      </c>
      <c r="L16" t="s">
        <v>758</v>
      </c>
      <c r="M16">
        <v>1</v>
      </c>
      <c r="P16" t="s">
        <v>1009</v>
      </c>
      <c r="R16">
        <v>19</v>
      </c>
    </row>
    <row r="17" spans="2:13">
      <c r="B17" t="s">
        <v>322</v>
      </c>
      <c r="C17">
        <v>5052</v>
      </c>
      <c r="L17" t="s">
        <v>762</v>
      </c>
      <c r="M17">
        <v>1</v>
      </c>
    </row>
    <row r="18" spans="2:13">
      <c r="B18" t="s">
        <v>1009</v>
      </c>
      <c r="C18">
        <v>486621</v>
      </c>
      <c r="L18" t="s">
        <v>764</v>
      </c>
      <c r="M18">
        <v>1</v>
      </c>
    </row>
    <row r="19" spans="2:13">
      <c r="L19" t="s">
        <v>768</v>
      </c>
      <c r="M19">
        <v>1</v>
      </c>
    </row>
    <row r="20" spans="2:13">
      <c r="L20" t="s">
        <v>828</v>
      </c>
      <c r="M20">
        <v>1</v>
      </c>
    </row>
    <row r="21" spans="2:13">
      <c r="L21" t="s">
        <v>1989</v>
      </c>
      <c r="M21">
        <v>1</v>
      </c>
    </row>
    <row r="22" spans="2:13">
      <c r="L22" t="s">
        <v>962</v>
      </c>
      <c r="M22">
        <v>1</v>
      </c>
    </row>
    <row r="23" spans="2:13">
      <c r="L23" t="s">
        <v>799</v>
      </c>
      <c r="M23">
        <v>1</v>
      </c>
    </row>
    <row r="24" spans="2:13">
      <c r="L24" t="s">
        <v>817</v>
      </c>
      <c r="M24">
        <v>1</v>
      </c>
    </row>
    <row r="25" spans="2:13">
      <c r="L25" t="s">
        <v>190</v>
      </c>
      <c r="M25">
        <v>1</v>
      </c>
    </row>
    <row r="26" spans="2:13">
      <c r="K26" t="s">
        <v>1990</v>
      </c>
      <c r="M26">
        <v>19</v>
      </c>
    </row>
    <row r="27" spans="2:13">
      <c r="K27" t="s">
        <v>1991</v>
      </c>
      <c r="L27" t="s">
        <v>750</v>
      </c>
      <c r="M27">
        <v>1</v>
      </c>
    </row>
    <row r="28" spans="2:13">
      <c r="L28" t="s">
        <v>752</v>
      </c>
      <c r="M28">
        <v>1</v>
      </c>
    </row>
    <row r="29" spans="2:13">
      <c r="L29" t="s">
        <v>754</v>
      </c>
      <c r="M29">
        <v>1</v>
      </c>
    </row>
    <row r="30" spans="2:13">
      <c r="L30" t="s">
        <v>770</v>
      </c>
      <c r="M30">
        <v>1</v>
      </c>
    </row>
    <row r="31" spans="2:13">
      <c r="L31" t="s">
        <v>772</v>
      </c>
      <c r="M31">
        <v>1</v>
      </c>
    </row>
    <row r="32" spans="2:13">
      <c r="L32" t="s">
        <v>1992</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1993</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0"/>
      <c r="B1" s="1230"/>
      <c r="C1" s="1230"/>
      <c r="D1" s="1230"/>
      <c r="E1" s="1230"/>
      <c r="F1" s="1230"/>
      <c r="G1" s="1230"/>
      <c r="H1" s="1231" t="s">
        <v>1994</v>
      </c>
      <c r="I1" s="1231"/>
      <c r="J1" s="1231"/>
      <c r="K1" s="1231"/>
      <c r="L1" s="1231"/>
      <c r="M1" s="1231"/>
      <c r="N1" s="1231"/>
      <c r="O1" s="1231"/>
      <c r="P1" s="264"/>
      <c r="Q1" s="1232" t="s">
        <v>34</v>
      </c>
      <c r="R1" s="1232"/>
      <c r="S1" s="1228"/>
      <c r="T1" s="1232"/>
      <c r="U1" s="1232"/>
      <c r="V1" s="1232"/>
      <c r="W1" s="1232"/>
      <c r="X1" s="1232"/>
      <c r="Y1" s="268"/>
    </row>
    <row r="2" spans="1:26" ht="15.75" thickBot="1">
      <c r="A2" s="269"/>
      <c r="B2" s="270"/>
      <c r="C2" s="270"/>
      <c r="D2" s="270"/>
      <c r="E2" s="270"/>
      <c r="F2" s="270"/>
      <c r="G2" s="270"/>
      <c r="H2" s="271"/>
      <c r="I2" s="271"/>
      <c r="J2" s="271"/>
      <c r="K2" s="271"/>
      <c r="L2" s="271"/>
      <c r="M2" s="271"/>
      <c r="N2" s="271"/>
      <c r="O2" s="271"/>
      <c r="P2" s="264"/>
      <c r="Q2" s="268"/>
      <c r="R2" s="268" t="s">
        <v>1995</v>
      </c>
      <c r="S2" s="3" t="s">
        <v>1880</v>
      </c>
      <c r="T2" s="268" t="s">
        <v>1881</v>
      </c>
      <c r="U2" s="268" t="s">
        <v>1881</v>
      </c>
      <c r="V2" s="268" t="s">
        <v>1881</v>
      </c>
      <c r="W2" s="268" t="s">
        <v>1881</v>
      </c>
      <c r="X2" s="268" t="s">
        <v>1882</v>
      </c>
      <c r="Y2" s="268" t="s">
        <v>1996</v>
      </c>
    </row>
    <row r="3" spans="1:26" ht="15.75" thickBot="1">
      <c r="A3" s="267" t="s">
        <v>1976</v>
      </c>
      <c r="B3" s="263" t="s">
        <v>20</v>
      </c>
      <c r="C3" s="263" t="s">
        <v>1997</v>
      </c>
      <c r="D3" s="263" t="s">
        <v>26</v>
      </c>
      <c r="E3" s="263" t="s">
        <v>1971</v>
      </c>
      <c r="F3" s="263" t="s">
        <v>1998</v>
      </c>
      <c r="G3" s="263" t="s">
        <v>27</v>
      </c>
      <c r="H3" s="211" t="s">
        <v>28</v>
      </c>
      <c r="I3" s="211" t="s">
        <v>1999</v>
      </c>
      <c r="J3" s="211" t="s">
        <v>2000</v>
      </c>
      <c r="K3" s="211" t="s">
        <v>2001</v>
      </c>
      <c r="L3" s="211" t="s">
        <v>1957</v>
      </c>
      <c r="M3" s="211" t="s">
        <v>2002</v>
      </c>
      <c r="N3" s="211" t="s">
        <v>2003</v>
      </c>
      <c r="O3" s="210" t="s">
        <v>1885</v>
      </c>
      <c r="P3" s="264" t="s">
        <v>1977</v>
      </c>
      <c r="Q3" s="265" t="s">
        <v>34</v>
      </c>
      <c r="R3" s="265" t="s">
        <v>1999</v>
      </c>
      <c r="S3" s="5" t="s">
        <v>1886</v>
      </c>
      <c r="T3" s="265" t="s">
        <v>2004</v>
      </c>
      <c r="U3" s="265" t="s">
        <v>43</v>
      </c>
      <c r="V3" s="265" t="s">
        <v>1887</v>
      </c>
      <c r="W3" s="265" t="s">
        <v>46</v>
      </c>
      <c r="X3" s="265" t="s">
        <v>624</v>
      </c>
      <c r="Y3" s="265" t="s">
        <v>2005</v>
      </c>
      <c r="Z3" s="316" t="s">
        <v>2006</v>
      </c>
    </row>
    <row r="4" spans="1:26" ht="15.75" thickBot="1">
      <c r="A4" s="122" t="s">
        <v>77</v>
      </c>
      <c r="B4" s="103" t="s">
        <v>50</v>
      </c>
      <c r="C4" s="77">
        <v>45807</v>
      </c>
      <c r="D4" s="272"/>
      <c r="E4" s="273" t="s">
        <v>2007</v>
      </c>
      <c r="F4" s="272"/>
      <c r="G4" s="274" t="s">
        <v>1970</v>
      </c>
      <c r="H4" s="272"/>
      <c r="I4" s="272"/>
      <c r="J4" s="275"/>
      <c r="K4" s="209"/>
      <c r="L4" s="209"/>
      <c r="M4" s="209"/>
      <c r="N4" s="276"/>
      <c r="O4" s="277"/>
      <c r="P4" s="278" t="s">
        <v>2008</v>
      </c>
      <c r="Q4" s="279" t="s">
        <v>68</v>
      </c>
      <c r="R4" s="132" t="s">
        <v>2009</v>
      </c>
      <c r="S4" s="132"/>
      <c r="T4" s="280"/>
      <c r="U4" s="281"/>
      <c r="V4" s="281"/>
      <c r="W4" s="281"/>
      <c r="X4" s="281"/>
      <c r="Y4" s="281"/>
      <c r="Z4" t="e">
        <f>VLOOKUP(A4,#REF!,9,FALSE)</f>
        <v>#REF!</v>
      </c>
    </row>
    <row r="5" spans="1:26" ht="15.75" thickBot="1">
      <c r="A5" s="282" t="s">
        <v>1927</v>
      </c>
      <c r="B5" s="103" t="s">
        <v>50</v>
      </c>
      <c r="C5" s="219">
        <v>45807</v>
      </c>
      <c r="D5" s="272"/>
      <c r="E5" s="273" t="s">
        <v>2007</v>
      </c>
      <c r="F5" s="272"/>
      <c r="G5" s="274" t="s">
        <v>1970</v>
      </c>
      <c r="H5" s="272"/>
      <c r="I5" s="272"/>
      <c r="J5" s="283"/>
      <c r="K5" s="209"/>
      <c r="L5" s="209"/>
      <c r="M5" s="209"/>
      <c r="N5" s="276"/>
      <c r="O5" s="277"/>
      <c r="P5" s="278" t="s">
        <v>2008</v>
      </c>
      <c r="Q5" s="279" t="s">
        <v>68</v>
      </c>
      <c r="R5" s="132" t="s">
        <v>2009</v>
      </c>
      <c r="S5" s="132"/>
      <c r="T5" s="280"/>
      <c r="U5" s="281"/>
      <c r="V5" s="281"/>
      <c r="W5" s="281"/>
      <c r="X5" s="281"/>
      <c r="Y5" s="281"/>
      <c r="Z5" t="e">
        <f>VLOOKUP(A5,#REF!,9,FALSE)</f>
        <v>#REF!</v>
      </c>
    </row>
    <row r="6" spans="1:26" ht="15.75" thickBot="1">
      <c r="A6" s="122" t="s">
        <v>1036</v>
      </c>
      <c r="B6" s="103" t="s">
        <v>50</v>
      </c>
      <c r="C6" s="219">
        <v>45807</v>
      </c>
      <c r="D6" s="272"/>
      <c r="E6" s="273" t="s">
        <v>2007</v>
      </c>
      <c r="F6" s="272"/>
      <c r="G6" s="274" t="s">
        <v>1970</v>
      </c>
      <c r="H6" s="272"/>
      <c r="I6" s="272"/>
      <c r="J6" s="283"/>
      <c r="K6" s="209"/>
      <c r="L6" s="209"/>
      <c r="M6" s="209"/>
      <c r="N6" s="276"/>
      <c r="O6" s="277"/>
      <c r="P6" s="278" t="s">
        <v>2008</v>
      </c>
      <c r="Q6" s="279" t="s">
        <v>68</v>
      </c>
      <c r="R6" s="132" t="s">
        <v>2009</v>
      </c>
      <c r="S6" s="132"/>
      <c r="T6" s="280"/>
      <c r="U6" s="281"/>
      <c r="V6" s="281"/>
      <c r="W6" s="281"/>
      <c r="X6" s="281"/>
      <c r="Y6" s="281"/>
      <c r="Z6" t="e">
        <f>VLOOKUP(A6,#REF!,9,FALSE)</f>
        <v>#REF!</v>
      </c>
    </row>
    <row r="7" spans="1:26" ht="15.75" thickBot="1">
      <c r="A7" s="122" t="s">
        <v>1053</v>
      </c>
      <c r="B7" s="103" t="s">
        <v>50</v>
      </c>
      <c r="C7" s="219">
        <v>45807</v>
      </c>
      <c r="D7" s="272"/>
      <c r="E7" s="273" t="s">
        <v>2007</v>
      </c>
      <c r="F7" s="272"/>
      <c r="G7" s="274" t="s">
        <v>1970</v>
      </c>
      <c r="H7" s="272"/>
      <c r="I7" s="272"/>
      <c r="J7" s="283"/>
      <c r="K7" s="209"/>
      <c r="L7" s="209"/>
      <c r="M7" s="209"/>
      <c r="N7" s="276"/>
      <c r="O7" s="277"/>
      <c r="P7" s="278" t="s">
        <v>2008</v>
      </c>
      <c r="Q7" s="279" t="s">
        <v>68</v>
      </c>
      <c r="R7" s="132" t="s">
        <v>2009</v>
      </c>
      <c r="S7" s="132"/>
      <c r="T7" s="280"/>
      <c r="U7" s="281"/>
      <c r="V7" s="281"/>
      <c r="W7" s="281"/>
      <c r="X7" s="281"/>
      <c r="Y7" s="281"/>
      <c r="Z7" t="e">
        <f>VLOOKUP(A7,#REF!,9,FALSE)</f>
        <v>#REF!</v>
      </c>
    </row>
    <row r="8" spans="1:26" ht="15.75" thickBot="1">
      <c r="A8" s="282" t="s">
        <v>2010</v>
      </c>
      <c r="B8" s="103" t="s">
        <v>50</v>
      </c>
      <c r="C8" s="219">
        <v>45807</v>
      </c>
      <c r="D8" s="272"/>
      <c r="E8" s="273" t="s">
        <v>2007</v>
      </c>
      <c r="F8" s="272"/>
      <c r="G8" s="274" t="s">
        <v>1970</v>
      </c>
      <c r="H8" s="272"/>
      <c r="I8" s="272"/>
      <c r="J8" s="283"/>
      <c r="K8" s="209"/>
      <c r="L8" s="209"/>
      <c r="M8" s="209"/>
      <c r="N8" s="276"/>
      <c r="O8" s="277"/>
      <c r="P8" s="278" t="s">
        <v>1981</v>
      </c>
      <c r="Q8" s="279" t="s">
        <v>2011</v>
      </c>
      <c r="R8" s="132" t="s">
        <v>2012</v>
      </c>
      <c r="S8" s="132"/>
      <c r="T8" s="280"/>
      <c r="U8" s="281"/>
      <c r="V8" s="281"/>
      <c r="W8" s="281"/>
      <c r="X8" s="281"/>
      <c r="Y8" s="281"/>
      <c r="Z8" t="e">
        <f>VLOOKUP(A8,#REF!,9,FALSE)</f>
        <v>#REF!</v>
      </c>
    </row>
    <row r="9" spans="1:26" ht="15.75" thickBot="1">
      <c r="A9" s="122" t="s">
        <v>1062</v>
      </c>
      <c r="B9" s="103" t="s">
        <v>50</v>
      </c>
      <c r="C9" s="219">
        <v>45807</v>
      </c>
      <c r="D9" s="284"/>
      <c r="E9" s="273" t="s">
        <v>2007</v>
      </c>
      <c r="F9" s="284"/>
      <c r="G9" s="285" t="s">
        <v>1970</v>
      </c>
      <c r="H9" s="272"/>
      <c r="I9" s="272"/>
      <c r="J9" s="283"/>
      <c r="K9" s="209"/>
      <c r="L9" s="209"/>
      <c r="M9" s="209"/>
      <c r="N9" s="276"/>
      <c r="O9" s="277"/>
      <c r="P9" s="278" t="s">
        <v>2008</v>
      </c>
      <c r="Q9" s="279" t="s">
        <v>68</v>
      </c>
      <c r="R9" s="132" t="s">
        <v>2009</v>
      </c>
      <c r="S9" s="132"/>
      <c r="T9" s="280"/>
      <c r="U9" s="281"/>
      <c r="V9" s="281"/>
      <c r="W9" s="281"/>
      <c r="X9" s="281"/>
      <c r="Y9" s="281"/>
      <c r="Z9" t="e">
        <f>VLOOKUP(A9,#REF!,9,FALSE)</f>
        <v>#REF!</v>
      </c>
    </row>
    <row r="10" spans="1:26" ht="15.75" thickBot="1">
      <c r="A10" s="122" t="s">
        <v>1038</v>
      </c>
      <c r="B10" s="103" t="s">
        <v>50</v>
      </c>
      <c r="C10" s="219" t="e">
        <v>#N/A</v>
      </c>
      <c r="D10" s="286"/>
      <c r="E10" s="273" t="s">
        <v>2007</v>
      </c>
      <c r="F10" s="286"/>
      <c r="G10" s="287" t="s">
        <v>1970</v>
      </c>
      <c r="H10" s="234"/>
      <c r="I10" s="234"/>
      <c r="J10" s="45"/>
      <c r="K10" s="208"/>
      <c r="L10" s="208"/>
      <c r="M10" s="208"/>
      <c r="N10" s="288"/>
      <c r="O10" s="289"/>
      <c r="P10" s="278" t="s">
        <v>2008</v>
      </c>
      <c r="Q10" s="279" t="s">
        <v>58</v>
      </c>
      <c r="R10" s="132" t="s">
        <v>2009</v>
      </c>
      <c r="S10" s="132"/>
      <c r="T10" s="280"/>
      <c r="U10" s="281"/>
      <c r="V10" s="281"/>
      <c r="W10" s="281"/>
      <c r="X10" s="281"/>
      <c r="Y10" s="281"/>
      <c r="Z10" t="e">
        <f>VLOOKUP(A10,#REF!,9,FALSE)</f>
        <v>#REF!</v>
      </c>
    </row>
    <row r="11" spans="1:26" ht="15.75" thickBot="1">
      <c r="A11" s="122" t="s">
        <v>522</v>
      </c>
      <c r="B11" s="103" t="s">
        <v>50</v>
      </c>
      <c r="C11" s="219">
        <v>45807</v>
      </c>
      <c r="D11" s="286"/>
      <c r="E11" s="273" t="s">
        <v>2007</v>
      </c>
      <c r="F11" s="286"/>
      <c r="G11" s="287" t="s">
        <v>1970</v>
      </c>
      <c r="H11" s="234"/>
      <c r="I11" s="234"/>
      <c r="J11" s="45"/>
      <c r="K11" s="208"/>
      <c r="L11" s="208"/>
      <c r="M11" s="208"/>
      <c r="N11" s="288"/>
      <c r="O11" s="289"/>
      <c r="P11" s="278" t="s">
        <v>2008</v>
      </c>
      <c r="Q11" s="279" t="s">
        <v>68</v>
      </c>
      <c r="R11" s="132" t="s">
        <v>2009</v>
      </c>
      <c r="S11" s="132"/>
      <c r="T11" s="280"/>
      <c r="U11" s="281"/>
      <c r="V11" s="281"/>
      <c r="W11" s="281"/>
      <c r="X11" s="281"/>
      <c r="Y11" s="281"/>
      <c r="Z11" t="e">
        <f>VLOOKUP(A11,#REF!,9,FALSE)</f>
        <v>#REF!</v>
      </c>
    </row>
    <row r="12" spans="1:26" ht="15.75" thickBot="1">
      <c r="A12" s="122" t="s">
        <v>1033</v>
      </c>
      <c r="B12" s="103" t="s">
        <v>50</v>
      </c>
      <c r="C12" s="219" t="e">
        <v>#N/A</v>
      </c>
      <c r="D12" s="286"/>
      <c r="E12" s="273" t="s">
        <v>2007</v>
      </c>
      <c r="F12" s="286"/>
      <c r="G12" s="287" t="s">
        <v>1970</v>
      </c>
      <c r="H12" s="234"/>
      <c r="I12" s="234"/>
      <c r="J12" s="45"/>
      <c r="K12" s="208"/>
      <c r="L12" s="208"/>
      <c r="M12" s="208"/>
      <c r="N12" s="288"/>
      <c r="O12" s="289"/>
      <c r="P12" s="278" t="s">
        <v>2008</v>
      </c>
      <c r="Q12" s="279" t="s">
        <v>68</v>
      </c>
      <c r="R12" s="132" t="s">
        <v>2009</v>
      </c>
      <c r="S12" s="132"/>
      <c r="T12" s="280"/>
      <c r="U12" s="281"/>
      <c r="V12" s="281"/>
      <c r="W12" s="281"/>
      <c r="X12" s="281"/>
      <c r="Y12" s="281"/>
      <c r="Z12" t="e">
        <f>VLOOKUP(A12,#REF!,9,FALSE)</f>
        <v>#REF!</v>
      </c>
    </row>
    <row r="13" spans="1:26" ht="15.75" thickBot="1">
      <c r="A13" s="122" t="s">
        <v>1060</v>
      </c>
      <c r="B13" s="103" t="s">
        <v>50</v>
      </c>
      <c r="C13" s="219" t="e">
        <v>#N/A</v>
      </c>
      <c r="D13" s="286"/>
      <c r="E13" s="273" t="s">
        <v>2007</v>
      </c>
      <c r="F13" s="286"/>
      <c r="G13" s="287" t="s">
        <v>1970</v>
      </c>
      <c r="H13" s="234"/>
      <c r="I13" s="234"/>
      <c r="J13" s="45"/>
      <c r="K13" s="208"/>
      <c r="L13" s="208"/>
      <c r="M13" s="208"/>
      <c r="N13" s="288"/>
      <c r="O13" s="289"/>
      <c r="P13" s="278" t="s">
        <v>2008</v>
      </c>
      <c r="Q13" s="279" t="s">
        <v>68</v>
      </c>
      <c r="R13" s="132" t="s">
        <v>2009</v>
      </c>
      <c r="S13" s="132"/>
      <c r="T13" s="280"/>
      <c r="U13" s="281"/>
      <c r="V13" s="281"/>
      <c r="W13" s="281"/>
      <c r="X13" s="281"/>
      <c r="Y13" s="281"/>
      <c r="Z13" t="e">
        <f>VLOOKUP(A13,#REF!,9,FALSE)</f>
        <v>#REF!</v>
      </c>
    </row>
    <row r="14" spans="1:26" ht="15.75" thickBot="1">
      <c r="A14" s="282" t="s">
        <v>518</v>
      </c>
      <c r="B14" s="103" t="s">
        <v>50</v>
      </c>
      <c r="C14" s="219">
        <v>45807</v>
      </c>
      <c r="D14" s="286"/>
      <c r="E14" s="273" t="s">
        <v>2007</v>
      </c>
      <c r="F14" s="286"/>
      <c r="G14" s="287" t="s">
        <v>1970</v>
      </c>
      <c r="H14" s="234"/>
      <c r="I14" s="234"/>
      <c r="J14" s="45"/>
      <c r="K14" s="208"/>
      <c r="L14" s="208"/>
      <c r="M14" s="208"/>
      <c r="N14" s="288"/>
      <c r="O14" s="289"/>
      <c r="P14" s="278" t="s">
        <v>2008</v>
      </c>
      <c r="Q14" s="279" t="s">
        <v>68</v>
      </c>
      <c r="R14" s="132" t="s">
        <v>2009</v>
      </c>
      <c r="S14" s="132"/>
      <c r="T14" s="280"/>
      <c r="U14" s="281"/>
      <c r="V14" s="281"/>
      <c r="W14" s="281"/>
      <c r="X14" s="281"/>
      <c r="Y14" s="281"/>
      <c r="Z14" t="e">
        <f>VLOOKUP(A14,#REF!,9,FALSE)</f>
        <v>#REF!</v>
      </c>
    </row>
    <row r="15" spans="1:26" ht="15.75" thickBot="1">
      <c r="A15" s="122" t="s">
        <v>1037</v>
      </c>
      <c r="B15" s="103" t="s">
        <v>50</v>
      </c>
      <c r="C15" s="219" t="e">
        <v>#N/A</v>
      </c>
      <c r="D15" s="286"/>
      <c r="E15" s="273" t="s">
        <v>2007</v>
      </c>
      <c r="F15" s="286"/>
      <c r="G15" s="287" t="s">
        <v>1970</v>
      </c>
      <c r="H15" s="234"/>
      <c r="I15" s="234"/>
      <c r="J15" s="45"/>
      <c r="K15" s="208"/>
      <c r="L15" s="208"/>
      <c r="M15" s="208"/>
      <c r="N15" s="288"/>
      <c r="O15" s="289"/>
      <c r="P15" s="278" t="s">
        <v>2008</v>
      </c>
      <c r="Q15" s="279" t="s">
        <v>68</v>
      </c>
      <c r="R15" s="132" t="s">
        <v>2009</v>
      </c>
      <c r="S15" s="132"/>
      <c r="T15" s="280"/>
      <c r="U15" s="281"/>
      <c r="V15" s="281"/>
      <c r="W15" s="281"/>
      <c r="X15" s="281"/>
      <c r="Y15" s="281"/>
      <c r="Z15" t="e">
        <f>VLOOKUP(A15,#REF!,9,FALSE)</f>
        <v>#REF!</v>
      </c>
    </row>
    <row r="16" spans="1:26" ht="15.75" thickBot="1">
      <c r="A16" s="290" t="s">
        <v>2013</v>
      </c>
      <c r="B16" s="103" t="s">
        <v>50</v>
      </c>
      <c r="C16" s="219" t="e">
        <v>#N/A</v>
      </c>
      <c r="D16" s="286"/>
      <c r="E16" s="273" t="s">
        <v>2007</v>
      </c>
      <c r="F16" s="286"/>
      <c r="G16" s="287" t="s">
        <v>1970</v>
      </c>
      <c r="H16" s="234"/>
      <c r="I16" s="234"/>
      <c r="J16" s="45"/>
      <c r="K16" s="208"/>
      <c r="L16" s="208"/>
      <c r="M16" s="208"/>
      <c r="N16" s="288"/>
      <c r="O16" s="289"/>
      <c r="P16" s="278" t="s">
        <v>2008</v>
      </c>
      <c r="Q16" s="279" t="s">
        <v>68</v>
      </c>
      <c r="R16" s="132" t="s">
        <v>2009</v>
      </c>
      <c r="S16" s="132"/>
      <c r="T16" s="280"/>
      <c r="U16" s="281"/>
      <c r="V16" s="281"/>
      <c r="W16" s="281"/>
      <c r="X16" s="281"/>
      <c r="Y16" s="281"/>
      <c r="Z16" t="e">
        <f>VLOOKUP(A16,#REF!,9,FALSE)</f>
        <v>#REF!</v>
      </c>
    </row>
    <row r="17" spans="1:26" ht="15.75" thickBot="1">
      <c r="A17" s="279" t="s">
        <v>817</v>
      </c>
      <c r="B17" s="103" t="s">
        <v>50</v>
      </c>
      <c r="C17" s="219" t="e">
        <v>#N/A</v>
      </c>
      <c r="D17" s="286"/>
      <c r="E17" s="273" t="s">
        <v>1972</v>
      </c>
      <c r="F17" s="286"/>
      <c r="G17" s="287" t="s">
        <v>1970</v>
      </c>
      <c r="H17" s="234"/>
      <c r="I17" s="234"/>
      <c r="J17" s="45"/>
      <c r="K17" s="208"/>
      <c r="L17" s="208"/>
      <c r="M17" s="208"/>
      <c r="N17" s="288"/>
      <c r="O17" s="289"/>
      <c r="P17" s="278"/>
      <c r="Q17" s="279" t="s">
        <v>68</v>
      </c>
      <c r="R17" s="132" t="s">
        <v>2009</v>
      </c>
      <c r="S17" s="132"/>
      <c r="T17" s="280"/>
      <c r="U17" s="281"/>
      <c r="V17" s="281"/>
      <c r="W17" s="281"/>
      <c r="X17" s="281"/>
      <c r="Y17" s="281"/>
      <c r="Z17" t="e">
        <f>VLOOKUP(A17,#REF!,9,FALSE)</f>
        <v>#REF!</v>
      </c>
    </row>
    <row r="18" spans="1:26" ht="15.75" thickBot="1">
      <c r="A18" s="279" t="s">
        <v>799</v>
      </c>
      <c r="B18" s="103" t="s">
        <v>50</v>
      </c>
      <c r="C18" s="219">
        <v>45807</v>
      </c>
      <c r="D18" s="286"/>
      <c r="E18" s="273" t="s">
        <v>1972</v>
      </c>
      <c r="F18" s="286"/>
      <c r="G18" s="287" t="s">
        <v>1970</v>
      </c>
      <c r="H18" s="234"/>
      <c r="I18" s="234"/>
      <c r="J18" s="45"/>
      <c r="K18" s="208"/>
      <c r="L18" s="208"/>
      <c r="M18" s="208"/>
      <c r="N18" s="288"/>
      <c r="O18" s="289"/>
      <c r="P18" s="278" t="s">
        <v>1978</v>
      </c>
      <c r="Q18" s="279"/>
      <c r="R18" s="132" t="s">
        <v>2009</v>
      </c>
      <c r="S18" s="132"/>
      <c r="T18" s="280"/>
      <c r="U18" s="281"/>
      <c r="V18" s="281"/>
      <c r="W18" s="281"/>
      <c r="X18" s="281"/>
      <c r="Y18" s="281"/>
      <c r="Z18" t="e">
        <f>VLOOKUP(A18,#REF!,9,FALSE)</f>
        <v>#REF!</v>
      </c>
    </row>
    <row r="19" spans="1:26" ht="15.75" thickBot="1">
      <c r="A19" s="279" t="s">
        <v>802</v>
      </c>
      <c r="B19" s="103" t="s">
        <v>50</v>
      </c>
      <c r="C19" s="219" t="e">
        <v>#N/A</v>
      </c>
      <c r="D19" s="286"/>
      <c r="E19" s="273" t="s">
        <v>1972</v>
      </c>
      <c r="F19" s="286"/>
      <c r="G19" s="287" t="s">
        <v>1991</v>
      </c>
      <c r="H19" s="234"/>
      <c r="I19" s="234"/>
      <c r="J19" s="45"/>
      <c r="K19" s="208"/>
      <c r="L19" s="208"/>
      <c r="M19" s="208"/>
      <c r="N19" s="288"/>
      <c r="O19" s="289"/>
      <c r="P19" s="278"/>
      <c r="Q19" s="279" t="s">
        <v>1991</v>
      </c>
      <c r="R19" s="132" t="s">
        <v>2009</v>
      </c>
      <c r="S19" s="132"/>
      <c r="T19" s="280"/>
      <c r="U19" s="281"/>
      <c r="V19" s="281"/>
      <c r="W19" s="281"/>
      <c r="X19" s="281"/>
      <c r="Y19" s="281"/>
      <c r="Z19" t="e">
        <f>VLOOKUP(A19,#REF!,9,FALSE)</f>
        <v>#REF!</v>
      </c>
    </row>
    <row r="20" spans="1:26" ht="15.75" thickBot="1">
      <c r="A20" s="279" t="s">
        <v>750</v>
      </c>
      <c r="B20" s="103" t="s">
        <v>50</v>
      </c>
      <c r="C20" s="219" t="e">
        <v>#N/A</v>
      </c>
      <c r="D20" s="286"/>
      <c r="E20" s="273" t="s">
        <v>1972</v>
      </c>
      <c r="F20" s="286"/>
      <c r="G20" s="287" t="s">
        <v>1991</v>
      </c>
      <c r="H20" s="234"/>
      <c r="I20" s="234"/>
      <c r="J20" s="45"/>
      <c r="K20" s="208"/>
      <c r="L20" s="208"/>
      <c r="M20" s="208"/>
      <c r="N20" s="288"/>
      <c r="O20" s="289"/>
      <c r="P20" s="278"/>
      <c r="Q20" s="279" t="s">
        <v>1991</v>
      </c>
      <c r="R20" s="132" t="s">
        <v>2009</v>
      </c>
      <c r="S20" s="132"/>
      <c r="T20" s="280"/>
      <c r="U20" s="281"/>
      <c r="V20" s="281"/>
      <c r="W20" s="281"/>
      <c r="X20" s="281"/>
      <c r="Y20" s="281"/>
      <c r="Z20" t="e">
        <f>VLOOKUP(A20,#REF!,9,FALSE)</f>
        <v>#REF!</v>
      </c>
    </row>
    <row r="21" spans="1:26" s="218" customFormat="1" ht="15.75" thickBot="1">
      <c r="A21" s="266" t="s">
        <v>1987</v>
      </c>
      <c r="B21" s="103" t="e">
        <v>#N/A</v>
      </c>
      <c r="C21" s="235">
        <v>45807</v>
      </c>
      <c r="D21" s="286"/>
      <c r="E21" s="273" t="s">
        <v>1972</v>
      </c>
      <c r="F21" s="286"/>
      <c r="G21" s="287" t="s">
        <v>1970</v>
      </c>
      <c r="H21" s="234"/>
      <c r="I21" s="234"/>
      <c r="J21" s="234"/>
      <c r="K21" s="233"/>
      <c r="L21" s="233"/>
      <c r="M21" s="233"/>
      <c r="N21" s="288"/>
      <c r="O21" s="289"/>
      <c r="P21" s="278"/>
      <c r="Q21" s="229" t="s">
        <v>64</v>
      </c>
      <c r="R21" s="132" t="s">
        <v>2009</v>
      </c>
      <c r="S21" s="232"/>
      <c r="T21" s="231"/>
      <c r="U21" s="230"/>
      <c r="V21" s="230"/>
      <c r="W21" s="230"/>
      <c r="X21" s="230"/>
      <c r="Y21" s="230" t="s">
        <v>2014</v>
      </c>
      <c r="Z21" t="e">
        <f>VLOOKUP(A21,#REF!,9,FALSE)</f>
        <v>#REF!</v>
      </c>
    </row>
    <row r="22" spans="1:26" ht="15.75" thickBot="1">
      <c r="A22" s="279" t="s">
        <v>752</v>
      </c>
      <c r="B22" s="103" t="s">
        <v>50</v>
      </c>
      <c r="C22" s="219" t="e">
        <v>#N/A</v>
      </c>
      <c r="D22" s="286"/>
      <c r="E22" s="273" t="s">
        <v>1972</v>
      </c>
      <c r="F22" s="286"/>
      <c r="G22" s="287" t="s">
        <v>1991</v>
      </c>
      <c r="H22" s="234"/>
      <c r="I22" s="234"/>
      <c r="J22" s="45"/>
      <c r="K22" s="208"/>
      <c r="L22" s="208"/>
      <c r="M22" s="208"/>
      <c r="N22" s="288"/>
      <c r="O22" s="289"/>
      <c r="P22" s="278"/>
      <c r="Q22" s="279" t="s">
        <v>1991</v>
      </c>
      <c r="R22" s="132" t="s">
        <v>2009</v>
      </c>
      <c r="S22" s="132"/>
      <c r="T22" s="280"/>
      <c r="U22" s="281"/>
      <c r="V22" s="281"/>
      <c r="W22" s="281"/>
      <c r="X22" s="281"/>
      <c r="Y22" s="281"/>
      <c r="Z22" t="e">
        <f>VLOOKUP(A22,#REF!,9,FALSE)</f>
        <v>#REF!</v>
      </c>
    </row>
    <row r="23" spans="1:26" ht="15.75" thickBot="1">
      <c r="A23" s="279" t="s">
        <v>738</v>
      </c>
      <c r="B23" s="103" t="s">
        <v>50</v>
      </c>
      <c r="C23" s="219" t="e">
        <v>#N/A</v>
      </c>
      <c r="D23" s="286"/>
      <c r="E23" s="273" t="s">
        <v>1972</v>
      </c>
      <c r="F23" s="286"/>
      <c r="G23" s="287" t="s">
        <v>1970</v>
      </c>
      <c r="H23" s="234"/>
      <c r="I23" s="234"/>
      <c r="J23" s="45"/>
      <c r="K23" s="208"/>
      <c r="L23" s="208"/>
      <c r="M23" s="208"/>
      <c r="N23" s="288"/>
      <c r="O23" s="289"/>
      <c r="P23" s="278"/>
      <c r="Q23" s="279" t="s">
        <v>64</v>
      </c>
      <c r="R23" s="132" t="s">
        <v>2009</v>
      </c>
      <c r="S23" s="132"/>
      <c r="T23" s="280"/>
      <c r="U23" s="281"/>
      <c r="V23" s="281"/>
      <c r="W23" s="281"/>
      <c r="X23" s="281"/>
      <c r="Y23" s="281" t="s">
        <v>2015</v>
      </c>
      <c r="Z23" t="e">
        <f>VLOOKUP(A23,#REF!,9,FALSE)</f>
        <v>#REF!</v>
      </c>
    </row>
    <row r="24" spans="1:26" s="218" customFormat="1" ht="69.599999999999994" customHeight="1" thickBot="1">
      <c r="A24" s="229" t="s">
        <v>1983</v>
      </c>
      <c r="B24" s="236" t="e">
        <v>#N/A</v>
      </c>
      <c r="C24" s="235">
        <v>45716</v>
      </c>
      <c r="D24" s="286"/>
      <c r="E24" s="273" t="s">
        <v>1972</v>
      </c>
      <c r="F24" s="286"/>
      <c r="G24" s="287" t="s">
        <v>1970</v>
      </c>
      <c r="H24" s="234"/>
      <c r="I24" s="234"/>
      <c r="J24" s="234"/>
      <c r="K24" s="233"/>
      <c r="L24" s="233"/>
      <c r="M24" s="233"/>
      <c r="N24" s="288"/>
      <c r="O24" s="289"/>
      <c r="P24" s="278" t="s">
        <v>1984</v>
      </c>
      <c r="Q24" s="229" t="s">
        <v>64</v>
      </c>
      <c r="R24" s="132" t="s">
        <v>2009</v>
      </c>
      <c r="S24" s="232"/>
      <c r="T24" s="231"/>
      <c r="U24" s="230"/>
      <c r="V24" s="230"/>
      <c r="W24" s="230"/>
      <c r="X24" s="230"/>
      <c r="Y24" s="230" t="s">
        <v>2015</v>
      </c>
      <c r="Z24" t="e">
        <f>VLOOKUP(A24,#REF!,9,FALSE)</f>
        <v>#REF!</v>
      </c>
    </row>
    <row r="25" spans="1:26" ht="15.75" thickBot="1">
      <c r="A25" s="279" t="s">
        <v>742</v>
      </c>
      <c r="B25" s="103" t="s">
        <v>50</v>
      </c>
      <c r="C25" s="219">
        <v>45772</v>
      </c>
      <c r="D25" s="286"/>
      <c r="E25" s="273" t="s">
        <v>1972</v>
      </c>
      <c r="F25" s="286"/>
      <c r="G25" s="287" t="s">
        <v>1970</v>
      </c>
      <c r="H25" s="234"/>
      <c r="I25" s="234"/>
      <c r="J25" s="45"/>
      <c r="K25" s="208"/>
      <c r="L25" s="208"/>
      <c r="M25" s="208"/>
      <c r="N25" s="288"/>
      <c r="O25" s="289"/>
      <c r="P25" s="278" t="s">
        <v>1984</v>
      </c>
      <c r="Q25" s="279" t="s">
        <v>64</v>
      </c>
      <c r="R25" s="132" t="s">
        <v>2009</v>
      </c>
      <c r="S25" s="132"/>
      <c r="T25" s="280"/>
      <c r="U25" s="281"/>
      <c r="V25" s="281"/>
      <c r="W25" s="281"/>
      <c r="X25" s="281"/>
      <c r="Y25" s="281"/>
      <c r="Z25" t="e">
        <f>VLOOKUP(A25,#REF!,9,FALSE)</f>
        <v>#REF!</v>
      </c>
    </row>
    <row r="26" spans="1:26" ht="15.75" thickBot="1">
      <c r="A26" s="279" t="s">
        <v>833</v>
      </c>
      <c r="B26" s="103" t="s">
        <v>50</v>
      </c>
      <c r="C26" s="219">
        <v>45772</v>
      </c>
      <c r="D26" s="286"/>
      <c r="E26" s="273" t="s">
        <v>1972</v>
      </c>
      <c r="F26" s="286"/>
      <c r="G26" s="287" t="s">
        <v>1970</v>
      </c>
      <c r="H26" s="234"/>
      <c r="I26" s="234"/>
      <c r="J26" s="45"/>
      <c r="K26" s="208"/>
      <c r="L26" s="208"/>
      <c r="M26" s="208"/>
      <c r="N26" s="288"/>
      <c r="O26" s="289"/>
      <c r="P26" s="278" t="s">
        <v>1984</v>
      </c>
      <c r="Q26" s="279" t="s">
        <v>64</v>
      </c>
      <c r="R26" s="132" t="s">
        <v>2009</v>
      </c>
      <c r="S26" s="132"/>
      <c r="T26" s="280"/>
      <c r="U26" s="281"/>
      <c r="V26" s="281"/>
      <c r="W26" s="281"/>
      <c r="X26" s="281"/>
      <c r="Y26" s="281"/>
      <c r="Z26" t="e">
        <f>VLOOKUP(A26,#REF!,9,FALSE)</f>
        <v>#REF!</v>
      </c>
    </row>
    <row r="27" spans="1:26" ht="15.75" thickBot="1">
      <c r="A27" s="279" t="s">
        <v>962</v>
      </c>
      <c r="B27" s="103" t="s">
        <v>50</v>
      </c>
      <c r="C27" s="219">
        <v>45772</v>
      </c>
      <c r="D27" s="286"/>
      <c r="E27" s="273" t="s">
        <v>1972</v>
      </c>
      <c r="F27" s="286"/>
      <c r="G27" s="287" t="s">
        <v>1970</v>
      </c>
      <c r="H27" s="234"/>
      <c r="I27" s="234"/>
      <c r="J27" s="45"/>
      <c r="K27" s="208"/>
      <c r="L27" s="208"/>
      <c r="M27" s="208"/>
      <c r="N27" s="288"/>
      <c r="O27" s="289"/>
      <c r="P27" s="278" t="s">
        <v>1984</v>
      </c>
      <c r="Q27" s="279" t="s">
        <v>64</v>
      </c>
      <c r="R27" s="132" t="s">
        <v>2009</v>
      </c>
      <c r="S27" s="132"/>
      <c r="T27" s="280"/>
      <c r="U27" s="281"/>
      <c r="V27" s="281"/>
      <c r="W27" s="281"/>
      <c r="X27" s="281"/>
      <c r="Y27" s="281"/>
      <c r="Z27" t="e">
        <f>VLOOKUP(A27,#REF!,9,FALSE)</f>
        <v>#REF!</v>
      </c>
    </row>
    <row r="28" spans="1:26" ht="70.150000000000006" customHeight="1" thickBot="1">
      <c r="A28" s="229" t="s">
        <v>1986</v>
      </c>
      <c r="B28" s="236"/>
      <c r="C28" s="235"/>
      <c r="D28" s="286"/>
      <c r="E28" s="273" t="s">
        <v>1972</v>
      </c>
      <c r="F28" s="286"/>
      <c r="G28" s="287" t="s">
        <v>1970</v>
      </c>
      <c r="H28" s="234"/>
      <c r="I28" s="234"/>
      <c r="J28" s="234"/>
      <c r="K28" s="233"/>
      <c r="L28" s="233"/>
      <c r="M28" s="233"/>
      <c r="N28" s="288"/>
      <c r="O28" s="289"/>
      <c r="P28" s="278" t="s">
        <v>1984</v>
      </c>
      <c r="Q28" s="229" t="s">
        <v>64</v>
      </c>
      <c r="R28" s="132" t="s">
        <v>2009</v>
      </c>
      <c r="S28" s="232"/>
      <c r="T28" s="231"/>
      <c r="U28" s="230"/>
      <c r="V28" s="230"/>
      <c r="W28" s="230"/>
      <c r="X28" s="230"/>
      <c r="Y28" s="292" t="s">
        <v>2016</v>
      </c>
      <c r="Z28" t="e">
        <f>VLOOKUP(A28,#REF!,9,FALSE)</f>
        <v>#REF!</v>
      </c>
    </row>
    <row r="29" spans="1:26" s="218" customFormat="1" ht="69.599999999999994" customHeight="1" thickBot="1">
      <c r="A29" s="229" t="s">
        <v>1989</v>
      </c>
      <c r="B29" s="236" t="e">
        <v>#N/A</v>
      </c>
      <c r="C29" s="235" t="e">
        <v>#N/A</v>
      </c>
      <c r="D29" s="286"/>
      <c r="E29" s="273" t="s">
        <v>1972</v>
      </c>
      <c r="F29" s="286"/>
      <c r="G29" s="287" t="s">
        <v>1970</v>
      </c>
      <c r="H29" s="234"/>
      <c r="I29" s="234"/>
      <c r="J29" s="234"/>
      <c r="K29" s="233"/>
      <c r="L29" s="233"/>
      <c r="M29" s="233"/>
      <c r="N29" s="288"/>
      <c r="O29" s="289"/>
      <c r="P29" s="278"/>
      <c r="Q29" s="224" t="s">
        <v>64</v>
      </c>
      <c r="R29" s="132" t="s">
        <v>2009</v>
      </c>
      <c r="S29" s="232"/>
      <c r="T29" s="231"/>
      <c r="U29" s="230"/>
      <c r="V29" s="230"/>
      <c r="W29" s="230"/>
      <c r="X29" s="230"/>
      <c r="Y29" s="230" t="s">
        <v>2016</v>
      </c>
      <c r="Z29" t="e">
        <f>VLOOKUP(A29,#REF!,9,FALSE)</f>
        <v>#REF!</v>
      </c>
    </row>
    <row r="30" spans="1:26" ht="15.75" thickBot="1">
      <c r="A30" s="279" t="s">
        <v>770</v>
      </c>
      <c r="B30" s="103" t="s">
        <v>50</v>
      </c>
      <c r="C30" s="219">
        <v>45772</v>
      </c>
      <c r="D30" s="286"/>
      <c r="E30" s="273" t="s">
        <v>1972</v>
      </c>
      <c r="F30" s="286"/>
      <c r="G30" s="287" t="s">
        <v>1991</v>
      </c>
      <c r="H30" s="234"/>
      <c r="I30" s="234"/>
      <c r="J30" s="45"/>
      <c r="K30" s="208"/>
      <c r="L30" s="208"/>
      <c r="M30" s="208"/>
      <c r="N30" s="288"/>
      <c r="O30" s="289"/>
      <c r="P30" s="278"/>
      <c r="Q30" s="279" t="s">
        <v>1991</v>
      </c>
      <c r="R30" s="132" t="s">
        <v>2009</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1972</v>
      </c>
      <c r="F31" s="293"/>
      <c r="G31" s="294" t="s">
        <v>1991</v>
      </c>
      <c r="H31" s="226"/>
      <c r="I31" s="226"/>
      <c r="J31" s="240"/>
      <c r="K31" s="241"/>
      <c r="L31" s="241"/>
      <c r="M31" s="241"/>
      <c r="N31" s="226"/>
      <c r="O31" s="295"/>
      <c r="P31" s="278"/>
      <c r="Q31" s="237" t="s">
        <v>1991</v>
      </c>
      <c r="R31" s="132" t="s">
        <v>2009</v>
      </c>
      <c r="S31" s="242"/>
      <c r="T31" s="243"/>
      <c r="U31" s="244"/>
      <c r="V31" s="244"/>
      <c r="W31" s="244"/>
      <c r="X31" s="244"/>
      <c r="Y31" s="244" t="s">
        <v>2017</v>
      </c>
      <c r="Z31" t="e">
        <f>VLOOKUP(A31,#REF!,9,FALSE)</f>
        <v>#REF!</v>
      </c>
    </row>
    <row r="32" spans="1:26" ht="15.75" thickBot="1">
      <c r="A32" s="279" t="s">
        <v>772</v>
      </c>
      <c r="B32" s="103" t="s">
        <v>50</v>
      </c>
      <c r="C32" s="219">
        <v>45772</v>
      </c>
      <c r="D32" s="286"/>
      <c r="E32" s="273" t="s">
        <v>1972</v>
      </c>
      <c r="F32" s="286"/>
      <c r="G32" s="287" t="s">
        <v>1991</v>
      </c>
      <c r="H32" s="234"/>
      <c r="I32" s="234"/>
      <c r="J32" s="45"/>
      <c r="K32" s="208"/>
      <c r="L32" s="208"/>
      <c r="M32" s="208"/>
      <c r="N32" s="288"/>
      <c r="O32" s="289"/>
      <c r="P32" s="278"/>
      <c r="Q32" s="279" t="s">
        <v>1991</v>
      </c>
      <c r="R32" s="132" t="s">
        <v>2009</v>
      </c>
      <c r="S32" s="132"/>
      <c r="T32" s="280"/>
      <c r="U32" s="281"/>
      <c r="V32" s="281"/>
      <c r="W32" s="281"/>
      <c r="X32" s="281"/>
      <c r="Y32" s="281"/>
      <c r="Z32" t="e">
        <f>VLOOKUP(A32,#REF!,9,FALSE)</f>
        <v>#REF!</v>
      </c>
    </row>
    <row r="33" spans="1:26" ht="15.75" thickBot="1">
      <c r="A33" s="279" t="s">
        <v>762</v>
      </c>
      <c r="B33" s="103" t="s">
        <v>50</v>
      </c>
      <c r="C33" s="219">
        <v>45831</v>
      </c>
      <c r="D33" s="286"/>
      <c r="E33" s="273" t="s">
        <v>1972</v>
      </c>
      <c r="F33" s="286"/>
      <c r="G33" s="287" t="s">
        <v>1970</v>
      </c>
      <c r="H33" s="234"/>
      <c r="I33" s="234"/>
      <c r="J33" s="45"/>
      <c r="K33" s="208"/>
      <c r="L33" s="208"/>
      <c r="M33" s="208"/>
      <c r="N33" s="288"/>
      <c r="O33" s="289"/>
      <c r="P33" s="278"/>
      <c r="Q33" s="229" t="s">
        <v>64</v>
      </c>
      <c r="R33" s="132" t="s">
        <v>2009</v>
      </c>
      <c r="S33" s="132"/>
      <c r="T33" s="280"/>
      <c r="U33" s="281"/>
      <c r="V33" s="281"/>
      <c r="W33" s="281"/>
      <c r="X33" s="281"/>
      <c r="Y33" s="281"/>
      <c r="Z33" t="e">
        <f>VLOOKUP(A33,#REF!,9,FALSE)</f>
        <v>#REF!</v>
      </c>
    </row>
    <row r="34" spans="1:26" ht="15.75" thickBot="1">
      <c r="A34" s="279" t="s">
        <v>756</v>
      </c>
      <c r="B34" s="103" t="s">
        <v>50</v>
      </c>
      <c r="C34" s="219">
        <v>45831</v>
      </c>
      <c r="D34" s="286"/>
      <c r="E34" s="273" t="s">
        <v>1972</v>
      </c>
      <c r="F34" s="286"/>
      <c r="G34" s="287" t="s">
        <v>1970</v>
      </c>
      <c r="H34" s="234"/>
      <c r="I34" s="234"/>
      <c r="J34" s="45"/>
      <c r="K34" s="208"/>
      <c r="L34" s="208"/>
      <c r="M34" s="208"/>
      <c r="N34" s="288"/>
      <c r="O34" s="289"/>
      <c r="P34" s="278"/>
      <c r="Q34" s="279" t="s">
        <v>64</v>
      </c>
      <c r="R34" s="132" t="s">
        <v>2009</v>
      </c>
      <c r="S34" s="132"/>
      <c r="T34" s="280"/>
      <c r="U34" s="281"/>
      <c r="V34" s="281"/>
      <c r="W34" s="281"/>
      <c r="X34" s="281"/>
      <c r="Y34" s="281"/>
      <c r="Z34" t="e">
        <f>VLOOKUP(A34,#REF!,9,FALSE)</f>
        <v>#REF!</v>
      </c>
    </row>
    <row r="35" spans="1:26" ht="15.75" thickBot="1">
      <c r="A35" s="279" t="s">
        <v>758</v>
      </c>
      <c r="B35" s="103" t="s">
        <v>50</v>
      </c>
      <c r="C35" s="219">
        <v>45831</v>
      </c>
      <c r="D35" s="286"/>
      <c r="E35" s="273" t="s">
        <v>1972</v>
      </c>
      <c r="F35" s="286"/>
      <c r="G35" s="287" t="s">
        <v>1970</v>
      </c>
      <c r="H35" s="234"/>
      <c r="I35" s="234"/>
      <c r="J35" s="45"/>
      <c r="K35" s="208"/>
      <c r="L35" s="208"/>
      <c r="M35" s="208"/>
      <c r="N35" s="288"/>
      <c r="O35" s="289"/>
      <c r="P35" s="278"/>
      <c r="Q35" s="279" t="s">
        <v>64</v>
      </c>
      <c r="R35" s="132" t="s">
        <v>2009</v>
      </c>
      <c r="S35" s="132"/>
      <c r="T35" s="280"/>
      <c r="U35" s="281"/>
      <c r="V35" s="281"/>
      <c r="W35" s="281"/>
      <c r="X35" s="281"/>
      <c r="Y35" s="281"/>
      <c r="Z35" t="e">
        <f>VLOOKUP(A35,#REF!,9,FALSE)</f>
        <v>#REF!</v>
      </c>
    </row>
    <row r="36" spans="1:26" ht="15.75" thickBot="1">
      <c r="A36" s="279" t="s">
        <v>754</v>
      </c>
      <c r="B36" s="103" t="s">
        <v>50</v>
      </c>
      <c r="C36" s="219">
        <v>45772</v>
      </c>
      <c r="D36" s="286"/>
      <c r="E36" s="273" t="s">
        <v>1972</v>
      </c>
      <c r="F36" s="286"/>
      <c r="G36" s="287" t="s">
        <v>1991</v>
      </c>
      <c r="H36" s="234"/>
      <c r="I36" s="234"/>
      <c r="J36" s="45"/>
      <c r="K36" s="208"/>
      <c r="L36" s="208"/>
      <c r="M36" s="208"/>
      <c r="N36" s="288"/>
      <c r="O36" s="289"/>
      <c r="P36" s="278"/>
      <c r="Q36" s="279" t="s">
        <v>1991</v>
      </c>
      <c r="R36" s="132" t="s">
        <v>2009</v>
      </c>
      <c r="S36" s="132"/>
      <c r="T36" s="280"/>
      <c r="U36" s="281"/>
      <c r="V36" s="281"/>
      <c r="W36" s="281"/>
      <c r="X36" s="281"/>
      <c r="Y36" s="281"/>
      <c r="Z36" t="e">
        <f>VLOOKUP(A36,#REF!,9,FALSE)</f>
        <v>#REF!</v>
      </c>
    </row>
    <row r="37" spans="1:26" ht="15.75" thickBot="1">
      <c r="A37" s="279" t="s">
        <v>764</v>
      </c>
      <c r="B37" s="103" t="s">
        <v>50</v>
      </c>
      <c r="C37" s="219">
        <v>45831</v>
      </c>
      <c r="D37" s="286"/>
      <c r="E37" s="273" t="s">
        <v>1972</v>
      </c>
      <c r="F37" s="286"/>
      <c r="G37" s="287" t="s">
        <v>1970</v>
      </c>
      <c r="H37" s="234"/>
      <c r="I37" s="234"/>
      <c r="J37" s="45"/>
      <c r="K37" s="208"/>
      <c r="L37" s="208"/>
      <c r="M37" s="208"/>
      <c r="N37" s="288"/>
      <c r="O37" s="289"/>
      <c r="P37" s="278"/>
      <c r="Q37" s="279" t="s">
        <v>64</v>
      </c>
      <c r="R37" s="132" t="s">
        <v>2009</v>
      </c>
      <c r="S37" s="132"/>
      <c r="T37" s="280"/>
      <c r="U37" s="281"/>
      <c r="V37" s="281"/>
      <c r="W37" s="281"/>
      <c r="X37" s="281"/>
      <c r="Y37" s="281"/>
      <c r="Z37" t="e">
        <f>VLOOKUP(A37,#REF!,9,FALSE)</f>
        <v>#REF!</v>
      </c>
    </row>
    <row r="38" spans="1:26" ht="15.75" thickBot="1">
      <c r="A38" s="279" t="s">
        <v>768</v>
      </c>
      <c r="B38" s="103" t="s">
        <v>50</v>
      </c>
      <c r="C38" s="219">
        <v>45831</v>
      </c>
      <c r="D38" s="286"/>
      <c r="E38" s="273" t="s">
        <v>1972</v>
      </c>
      <c r="F38" s="286"/>
      <c r="G38" s="287" t="s">
        <v>1970</v>
      </c>
      <c r="H38" s="234"/>
      <c r="I38" s="234"/>
      <c r="J38" s="45"/>
      <c r="K38" s="208"/>
      <c r="L38" s="208"/>
      <c r="M38" s="208"/>
      <c r="N38" s="288"/>
      <c r="O38" s="289"/>
      <c r="P38" s="278"/>
      <c r="Q38" s="279" t="s">
        <v>64</v>
      </c>
      <c r="R38" s="132" t="s">
        <v>2009</v>
      </c>
      <c r="S38" s="132"/>
      <c r="T38" s="280"/>
      <c r="U38" s="281"/>
      <c r="V38" s="281"/>
      <c r="W38" s="281"/>
      <c r="X38" s="281"/>
      <c r="Y38" s="281"/>
      <c r="Z38" t="e">
        <f>VLOOKUP(A38,#REF!,9,FALSE)</f>
        <v>#REF!</v>
      </c>
    </row>
    <row r="39" spans="1:26" s="220" customFormat="1" ht="70.150000000000006" customHeight="1" thickBot="1">
      <c r="A39" s="224" t="s">
        <v>1992</v>
      </c>
      <c r="B39" s="228" t="e">
        <v>#N/A</v>
      </c>
      <c r="C39" s="227" t="e">
        <v>#N/A</v>
      </c>
      <c r="D39" s="293"/>
      <c r="E39" s="273" t="s">
        <v>1972</v>
      </c>
      <c r="F39" s="293"/>
      <c r="G39" s="294" t="s">
        <v>1991</v>
      </c>
      <c r="H39" s="226"/>
      <c r="I39" s="226"/>
      <c r="J39" s="226"/>
      <c r="K39" s="225"/>
      <c r="L39" s="225"/>
      <c r="M39" s="225"/>
      <c r="N39" s="226"/>
      <c r="O39" s="295"/>
      <c r="P39" s="278"/>
      <c r="Q39" s="224" t="s">
        <v>1991</v>
      </c>
      <c r="R39" s="132" t="s">
        <v>2009</v>
      </c>
      <c r="S39" s="223"/>
      <c r="T39" s="222"/>
      <c r="U39" s="221"/>
      <c r="V39" s="221"/>
      <c r="W39" s="221"/>
      <c r="X39" s="221"/>
      <c r="Y39" s="221" t="s">
        <v>2016</v>
      </c>
      <c r="Z39" t="e">
        <f>VLOOKUP(A39,#REF!,9,FALSE)</f>
        <v>#REF!</v>
      </c>
    </row>
    <row r="40" spans="1:26" ht="15.75" thickBot="1">
      <c r="A40" s="279" t="s">
        <v>828</v>
      </c>
      <c r="B40" s="103" t="s">
        <v>50</v>
      </c>
      <c r="C40" s="219">
        <v>45831</v>
      </c>
      <c r="D40" s="286"/>
      <c r="E40" s="273" t="s">
        <v>1972</v>
      </c>
      <c r="F40" s="286"/>
      <c r="G40" s="287" t="s">
        <v>1970</v>
      </c>
      <c r="H40" s="234"/>
      <c r="I40" s="234"/>
      <c r="J40" s="45"/>
      <c r="K40" s="208"/>
      <c r="L40" s="208"/>
      <c r="M40" s="208"/>
      <c r="N40" s="288"/>
      <c r="O40" s="289"/>
      <c r="P40" s="278"/>
      <c r="Q40" s="279" t="s">
        <v>64</v>
      </c>
      <c r="R40" s="132" t="s">
        <v>2009</v>
      </c>
      <c r="S40" s="132"/>
      <c r="T40" s="280"/>
      <c r="U40" s="281"/>
      <c r="V40" s="281"/>
      <c r="W40" s="281"/>
      <c r="X40" s="281"/>
      <c r="Y40" s="281"/>
      <c r="Z40" t="e">
        <f>VLOOKUP(A40,#REF!,9,FALSE)</f>
        <v>#REF!</v>
      </c>
    </row>
    <row r="41" spans="1:26" ht="15.75" thickBot="1">
      <c r="A41" s="279" t="s">
        <v>84</v>
      </c>
      <c r="B41" s="103" t="s">
        <v>50</v>
      </c>
      <c r="C41" s="219">
        <v>45807</v>
      </c>
      <c r="D41" s="286"/>
      <c r="E41" s="273" t="s">
        <v>2007</v>
      </c>
      <c r="F41" s="286"/>
      <c r="G41" s="287" t="s">
        <v>1970</v>
      </c>
      <c r="H41" s="234"/>
      <c r="I41" s="234"/>
      <c r="J41" s="45"/>
      <c r="K41" s="208"/>
      <c r="L41" s="208"/>
      <c r="M41" s="208"/>
      <c r="N41" s="288"/>
      <c r="O41" s="289"/>
      <c r="P41" s="278" t="s">
        <v>2008</v>
      </c>
      <c r="Q41" s="279" t="s">
        <v>58</v>
      </c>
      <c r="R41" s="132" t="s">
        <v>2009</v>
      </c>
      <c r="S41" s="132"/>
      <c r="T41" s="280"/>
      <c r="U41" s="281"/>
      <c r="V41" s="281"/>
      <c r="W41" s="281"/>
      <c r="X41" s="281"/>
      <c r="Y41" s="281"/>
      <c r="Z41" t="e">
        <f>VLOOKUP(A41,#REF!,9,FALSE)</f>
        <v>#REF!</v>
      </c>
    </row>
    <row r="42" spans="1:26" ht="15.75" thickBot="1">
      <c r="A42" s="279" t="s">
        <v>82</v>
      </c>
      <c r="B42" s="103" t="s">
        <v>50</v>
      </c>
      <c r="C42" s="219">
        <v>45807</v>
      </c>
      <c r="D42" s="286"/>
      <c r="E42" s="273" t="s">
        <v>2007</v>
      </c>
      <c r="F42" s="286"/>
      <c r="G42" s="287" t="s">
        <v>1970</v>
      </c>
      <c r="H42" s="234"/>
      <c r="I42" s="234"/>
      <c r="J42" s="45"/>
      <c r="K42" s="208"/>
      <c r="L42" s="208"/>
      <c r="M42" s="208"/>
      <c r="N42" s="288"/>
      <c r="O42" s="289"/>
      <c r="P42" s="278" t="s">
        <v>2008</v>
      </c>
      <c r="Q42" s="279" t="s">
        <v>64</v>
      </c>
      <c r="R42" s="132" t="s">
        <v>2009</v>
      </c>
      <c r="S42" s="132"/>
      <c r="T42" s="280"/>
      <c r="U42" s="281"/>
      <c r="V42" s="281"/>
      <c r="W42" s="281"/>
      <c r="X42" s="281"/>
      <c r="Y42" s="281"/>
      <c r="Z42" t="e">
        <f>VLOOKUP(A42,#REF!,9,FALSE)</f>
        <v>#REF!</v>
      </c>
    </row>
    <row r="43" spans="1:26" ht="15.75" thickBot="1">
      <c r="A43" s="279" t="s">
        <v>525</v>
      </c>
      <c r="B43" s="103" t="s">
        <v>50</v>
      </c>
      <c r="C43" s="219">
        <v>45807</v>
      </c>
      <c r="D43" s="286"/>
      <c r="E43" s="273" t="s">
        <v>2007</v>
      </c>
      <c r="F43" s="286"/>
      <c r="G43" s="287" t="s">
        <v>1970</v>
      </c>
      <c r="H43" s="234"/>
      <c r="I43" s="234"/>
      <c r="J43" s="45"/>
      <c r="K43" s="208"/>
      <c r="L43" s="208"/>
      <c r="M43" s="208"/>
      <c r="N43" s="288"/>
      <c r="O43" s="289"/>
      <c r="P43" s="278" t="s">
        <v>2008</v>
      </c>
      <c r="Q43" s="279" t="s">
        <v>58</v>
      </c>
      <c r="R43" s="132" t="s">
        <v>2009</v>
      </c>
      <c r="S43" s="132"/>
      <c r="T43" s="280"/>
      <c r="U43" s="281"/>
      <c r="V43" s="281"/>
      <c r="W43" s="281"/>
      <c r="X43" s="281"/>
      <c r="Y43" s="281"/>
      <c r="Z43" t="e">
        <f>VLOOKUP(A43,#REF!,9,FALSE)</f>
        <v>#REF!</v>
      </c>
    </row>
    <row r="44" spans="1:26" ht="15.75" thickBot="1">
      <c r="A44" s="279" t="s">
        <v>80</v>
      </c>
      <c r="B44" s="103" t="s">
        <v>50</v>
      </c>
      <c r="C44" s="219">
        <v>45807</v>
      </c>
      <c r="D44" s="286"/>
      <c r="E44" s="273" t="s">
        <v>2007</v>
      </c>
      <c r="F44" s="286"/>
      <c r="G44" s="287" t="s">
        <v>1970</v>
      </c>
      <c r="H44" s="234"/>
      <c r="I44" s="234"/>
      <c r="J44" s="45"/>
      <c r="K44" s="208"/>
      <c r="L44" s="208"/>
      <c r="M44" s="208"/>
      <c r="N44" s="288"/>
      <c r="O44" s="289"/>
      <c r="P44" s="278" t="s">
        <v>1978</v>
      </c>
      <c r="Q44" s="279" t="s">
        <v>64</v>
      </c>
      <c r="R44" s="132" t="s">
        <v>2009</v>
      </c>
      <c r="S44" s="132"/>
      <c r="T44" s="280"/>
      <c r="U44" s="281"/>
      <c r="V44" s="281"/>
      <c r="W44" s="281"/>
      <c r="X44" s="281"/>
      <c r="Y44" s="281"/>
      <c r="Z44" t="e">
        <f>VLOOKUP(A44,#REF!,9,FALSE)</f>
        <v>#REF!</v>
      </c>
    </row>
    <row r="45" spans="1:26" ht="15.75" thickBot="1">
      <c r="A45" s="346" t="s">
        <v>633</v>
      </c>
      <c r="B45" s="103" t="s">
        <v>50</v>
      </c>
      <c r="C45" s="219">
        <v>45807</v>
      </c>
      <c r="D45" s="286"/>
      <c r="E45" s="273" t="s">
        <v>1972</v>
      </c>
      <c r="F45" s="286"/>
      <c r="G45" s="287" t="s">
        <v>1970</v>
      </c>
      <c r="H45" s="234"/>
      <c r="I45" s="234"/>
      <c r="J45" s="45"/>
      <c r="K45" s="208"/>
      <c r="L45" s="208"/>
      <c r="M45" s="208"/>
      <c r="N45" s="288"/>
      <c r="O45" s="289"/>
      <c r="P45" s="278"/>
      <c r="Q45" s="279" t="s">
        <v>58</v>
      </c>
      <c r="R45" s="132" t="s">
        <v>2009</v>
      </c>
      <c r="S45" s="132"/>
      <c r="T45" s="280"/>
      <c r="U45" s="281"/>
      <c r="V45" s="281"/>
      <c r="W45" s="281"/>
      <c r="X45" s="281"/>
      <c r="Y45" s="281"/>
      <c r="Z45" t="e">
        <f>VLOOKUP(A45,#REF!,9,FALSE)</f>
        <v>#REF!</v>
      </c>
    </row>
    <row r="46" spans="1:26" ht="15.75" thickBot="1">
      <c r="A46" s="296" t="s">
        <v>635</v>
      </c>
      <c r="B46" s="103" t="s">
        <v>50</v>
      </c>
      <c r="C46" s="219">
        <v>45807</v>
      </c>
      <c r="D46" s="286"/>
      <c r="E46" s="273" t="s">
        <v>1972</v>
      </c>
      <c r="F46" s="286"/>
      <c r="G46" s="294" t="s">
        <v>1970</v>
      </c>
      <c r="H46" s="234"/>
      <c r="I46" s="234"/>
      <c r="J46" s="45"/>
      <c r="K46" s="208"/>
      <c r="L46" s="208"/>
      <c r="M46" s="208"/>
      <c r="N46" s="288"/>
      <c r="O46" s="289"/>
      <c r="P46" s="278"/>
      <c r="Q46" s="279" t="s">
        <v>58</v>
      </c>
      <c r="R46" s="132" t="s">
        <v>2009</v>
      </c>
      <c r="S46" s="132"/>
      <c r="T46" s="280"/>
      <c r="U46" s="281"/>
      <c r="V46" s="281"/>
      <c r="W46" s="281"/>
      <c r="X46" s="281"/>
      <c r="Y46" s="281"/>
      <c r="Z46" t="e">
        <f>VLOOKUP(A46,#REF!,9,FALSE)</f>
        <v>#REF!</v>
      </c>
    </row>
    <row r="47" spans="1:26" ht="15.75" thickBot="1">
      <c r="A47" s="297" t="s">
        <v>190</v>
      </c>
      <c r="B47" s="103" t="s">
        <v>50</v>
      </c>
      <c r="C47" s="219">
        <v>45807</v>
      </c>
      <c r="D47" s="286"/>
      <c r="E47" s="273" t="s">
        <v>1972</v>
      </c>
      <c r="F47" s="286"/>
      <c r="G47" s="287" t="s">
        <v>1970</v>
      </c>
      <c r="H47" s="234"/>
      <c r="I47" s="234"/>
      <c r="J47" s="45"/>
      <c r="K47" s="208"/>
      <c r="L47" s="208"/>
      <c r="M47" s="208"/>
      <c r="N47" s="288"/>
      <c r="O47" s="289"/>
      <c r="P47" s="278" t="s">
        <v>1981</v>
      </c>
      <c r="Q47" s="279" t="s">
        <v>58</v>
      </c>
      <c r="R47" s="132" t="s">
        <v>2012</v>
      </c>
      <c r="S47" s="132"/>
      <c r="T47" s="280"/>
      <c r="U47" s="281"/>
      <c r="V47" s="281"/>
      <c r="W47" s="281"/>
      <c r="X47" s="281"/>
      <c r="Y47" s="281"/>
      <c r="Z47" t="e">
        <f>VLOOKUP(A47,#REF!,9,FALSE)</f>
        <v>#REF!</v>
      </c>
    </row>
    <row r="48" spans="1:26" ht="15.75" thickBot="1">
      <c r="A48" s="296" t="s">
        <v>678</v>
      </c>
      <c r="B48" s="103" t="s">
        <v>50</v>
      </c>
      <c r="C48" s="219">
        <v>45807</v>
      </c>
      <c r="D48" s="286"/>
      <c r="E48" s="273" t="s">
        <v>1972</v>
      </c>
      <c r="F48" s="286"/>
      <c r="G48" s="294" t="s">
        <v>1991</v>
      </c>
      <c r="H48" s="234"/>
      <c r="I48" s="234"/>
      <c r="J48" s="45"/>
      <c r="K48" s="208"/>
      <c r="L48" s="208"/>
      <c r="M48" s="208"/>
      <c r="N48" s="288"/>
      <c r="O48" s="289"/>
      <c r="P48" s="278" t="s">
        <v>2018</v>
      </c>
      <c r="Q48" s="279" t="s">
        <v>1991</v>
      </c>
      <c r="R48" s="132" t="s">
        <v>2009</v>
      </c>
      <c r="S48" s="132"/>
      <c r="T48" s="280"/>
      <c r="U48" s="281"/>
      <c r="V48" s="281"/>
      <c r="W48" s="281"/>
      <c r="X48" s="281"/>
      <c r="Y48" s="281"/>
      <c r="Z48" t="e">
        <f>VLOOKUP(A48,#REF!,9,FALSE)</f>
        <v>#REF!</v>
      </c>
    </row>
    <row r="49" spans="1:26" ht="15.75" thickBot="1">
      <c r="A49" s="296" t="s">
        <v>672</v>
      </c>
      <c r="B49" s="103" t="s">
        <v>113</v>
      </c>
      <c r="C49" s="219">
        <v>45772</v>
      </c>
      <c r="D49" s="286"/>
      <c r="E49" s="273" t="s">
        <v>1972</v>
      </c>
      <c r="F49" s="286"/>
      <c r="G49" s="294" t="s">
        <v>1991</v>
      </c>
      <c r="H49" s="234"/>
      <c r="I49" s="234"/>
      <c r="J49" s="45"/>
      <c r="K49" s="208"/>
      <c r="L49" s="208"/>
      <c r="M49" s="208"/>
      <c r="N49" s="288"/>
      <c r="O49" s="289"/>
      <c r="P49" s="278" t="s">
        <v>2018</v>
      </c>
      <c r="Q49" s="279" t="s">
        <v>1991</v>
      </c>
      <c r="R49" s="132" t="s">
        <v>2009</v>
      </c>
      <c r="S49" s="132"/>
      <c r="T49" s="280"/>
      <c r="U49" s="281"/>
      <c r="V49" s="281"/>
      <c r="W49" s="281"/>
      <c r="X49" s="281"/>
      <c r="Y49" s="281"/>
      <c r="Z49" t="e">
        <f>VLOOKUP(A49,#REF!,9,FALSE)</f>
        <v>#REF!</v>
      </c>
    </row>
    <row r="50" spans="1:26" ht="15.75" thickBot="1">
      <c r="A50" s="296" t="s">
        <v>670</v>
      </c>
      <c r="B50" s="103" t="s">
        <v>113</v>
      </c>
      <c r="C50" s="219">
        <v>45772</v>
      </c>
      <c r="D50" s="286"/>
      <c r="E50" s="273" t="s">
        <v>1972</v>
      </c>
      <c r="F50" s="286"/>
      <c r="G50" s="294" t="s">
        <v>1991</v>
      </c>
      <c r="H50" s="234"/>
      <c r="I50" s="234"/>
      <c r="J50" s="45"/>
      <c r="K50" s="208"/>
      <c r="L50" s="208"/>
      <c r="M50" s="208"/>
      <c r="N50" s="288"/>
      <c r="O50" s="289"/>
      <c r="P50" s="278" t="s">
        <v>2018</v>
      </c>
      <c r="Q50" s="279" t="s">
        <v>1991</v>
      </c>
      <c r="R50" s="132" t="s">
        <v>2009</v>
      </c>
      <c r="S50" s="132"/>
      <c r="T50" s="280"/>
      <c r="U50" s="281"/>
      <c r="V50" s="281"/>
      <c r="W50" s="281"/>
      <c r="X50" s="281"/>
      <c r="Y50" s="281"/>
      <c r="Z50" t="e">
        <f>VLOOKUP(A50,#REF!,9,FALSE)</f>
        <v>#REF!</v>
      </c>
    </row>
    <row r="51" spans="1:26" ht="15.75" thickBot="1">
      <c r="A51" s="296" t="s">
        <v>676</v>
      </c>
      <c r="B51" s="103" t="e">
        <v>#N/A</v>
      </c>
      <c r="C51" s="219" t="e">
        <v>#N/A</v>
      </c>
      <c r="D51" s="286"/>
      <c r="E51" s="273" t="s">
        <v>1972</v>
      </c>
      <c r="F51" s="286"/>
      <c r="G51" s="294" t="s">
        <v>1991</v>
      </c>
      <c r="H51" s="234"/>
      <c r="I51" s="234"/>
      <c r="J51" s="45"/>
      <c r="K51" s="208"/>
      <c r="L51" s="208"/>
      <c r="M51" s="208"/>
      <c r="N51" s="288"/>
      <c r="O51" s="289"/>
      <c r="P51" s="278" t="s">
        <v>2018</v>
      </c>
      <c r="Q51" s="279" t="s">
        <v>1991</v>
      </c>
      <c r="R51" s="132" t="s">
        <v>2009</v>
      </c>
      <c r="S51" s="132"/>
      <c r="T51" s="280"/>
      <c r="U51" s="281"/>
      <c r="V51" s="281"/>
      <c r="W51" s="281"/>
      <c r="X51" s="281"/>
      <c r="Y51" s="281"/>
      <c r="Z51" t="e">
        <f>VLOOKUP(A51,#REF!,9,FALSE)</f>
        <v>#REF!</v>
      </c>
    </row>
    <row r="52" spans="1:26" ht="13.9" customHeight="1" thickBot="1">
      <c r="A52" s="296" t="s">
        <v>652</v>
      </c>
      <c r="B52" s="103" t="s">
        <v>113</v>
      </c>
      <c r="C52" s="219">
        <v>45925</v>
      </c>
      <c r="D52" s="286"/>
      <c r="E52" s="273" t="s">
        <v>2007</v>
      </c>
      <c r="F52" s="286"/>
      <c r="G52" s="287" t="s">
        <v>1970</v>
      </c>
      <c r="H52" s="234"/>
      <c r="I52" s="234"/>
      <c r="J52" s="45"/>
      <c r="K52" s="208"/>
      <c r="L52" s="208"/>
      <c r="M52" s="208"/>
      <c r="N52" s="288"/>
      <c r="O52" s="289"/>
      <c r="P52" s="278" t="s">
        <v>2008</v>
      </c>
      <c r="Q52" s="279" t="s">
        <v>64</v>
      </c>
      <c r="R52" s="132" t="s">
        <v>2009</v>
      </c>
      <c r="S52" s="132"/>
      <c r="T52" s="280"/>
      <c r="U52" s="281"/>
      <c r="V52" s="281"/>
      <c r="W52" s="281"/>
      <c r="X52" s="281"/>
      <c r="Y52" s="281"/>
      <c r="Z52" t="e">
        <f>VLOOKUP(A52,#REF!,9,FALSE)</f>
        <v>#REF!</v>
      </c>
    </row>
    <row r="53" spans="1:26" ht="15.75" thickBot="1">
      <c r="A53" s="296" t="s">
        <v>654</v>
      </c>
      <c r="B53" s="103" t="s">
        <v>113</v>
      </c>
      <c r="C53" s="219">
        <v>45925</v>
      </c>
      <c r="D53" s="286"/>
      <c r="E53" s="273" t="s">
        <v>2007</v>
      </c>
      <c r="F53" s="286"/>
      <c r="G53" s="287" t="s">
        <v>1970</v>
      </c>
      <c r="H53" s="234"/>
      <c r="I53" s="234"/>
      <c r="J53" s="45"/>
      <c r="K53" s="208"/>
      <c r="L53" s="208"/>
      <c r="M53" s="208"/>
      <c r="N53" s="288"/>
      <c r="O53" s="289"/>
      <c r="P53" s="278" t="s">
        <v>2008</v>
      </c>
      <c r="Q53" s="279" t="s">
        <v>64</v>
      </c>
      <c r="R53" s="132" t="s">
        <v>2009</v>
      </c>
      <c r="S53" s="132"/>
      <c r="T53" s="280"/>
      <c r="U53" s="281"/>
      <c r="V53" s="281"/>
      <c r="W53" s="281"/>
      <c r="X53" s="281"/>
      <c r="Y53" s="281"/>
      <c r="Z53" t="e">
        <f>VLOOKUP(A53,#REF!,9,FALSE)</f>
        <v>#REF!</v>
      </c>
    </row>
    <row r="54" spans="1:26" ht="15.75" thickBot="1">
      <c r="A54" s="296" t="s">
        <v>650</v>
      </c>
      <c r="B54" s="103" t="s">
        <v>113</v>
      </c>
      <c r="C54" s="219">
        <v>45925</v>
      </c>
      <c r="D54" s="286"/>
      <c r="E54" s="273" t="s">
        <v>2007</v>
      </c>
      <c r="F54" s="286"/>
      <c r="G54" s="287" t="s">
        <v>1970</v>
      </c>
      <c r="H54" s="234"/>
      <c r="I54" s="234"/>
      <c r="J54" s="45"/>
      <c r="K54" s="208"/>
      <c r="L54" s="208"/>
      <c r="M54" s="208"/>
      <c r="N54" s="288"/>
      <c r="O54" s="289"/>
      <c r="P54" s="278" t="s">
        <v>2008</v>
      </c>
      <c r="Q54" s="279" t="s">
        <v>64</v>
      </c>
      <c r="R54" s="132" t="s">
        <v>2009</v>
      </c>
      <c r="S54" s="132"/>
      <c r="T54" s="280"/>
      <c r="U54" s="281"/>
      <c r="V54" s="281"/>
      <c r="W54" s="281"/>
      <c r="X54" s="281"/>
      <c r="Y54" s="281"/>
      <c r="Z54" t="e">
        <f>VLOOKUP(A54,#REF!,9,FALSE)</f>
        <v>#REF!</v>
      </c>
    </row>
    <row r="55" spans="1:26" ht="15.75" thickBot="1">
      <c r="A55" s="296" t="s">
        <v>688</v>
      </c>
      <c r="B55" s="103" t="s">
        <v>113</v>
      </c>
      <c r="C55" s="219">
        <v>45862</v>
      </c>
      <c r="D55" s="286"/>
      <c r="E55" s="273" t="s">
        <v>2007</v>
      </c>
      <c r="F55" s="286"/>
      <c r="G55" s="287" t="s">
        <v>1970</v>
      </c>
      <c r="H55" s="234"/>
      <c r="I55" s="234"/>
      <c r="J55" s="45"/>
      <c r="K55" s="208"/>
      <c r="L55" s="208"/>
      <c r="M55" s="208"/>
      <c r="N55" s="288"/>
      <c r="O55" s="289"/>
      <c r="P55" s="278" t="s">
        <v>1981</v>
      </c>
      <c r="Q55" s="279" t="s">
        <v>58</v>
      </c>
      <c r="R55" s="132" t="s">
        <v>2012</v>
      </c>
      <c r="S55" s="132"/>
      <c r="T55" s="280"/>
      <c r="U55" s="281"/>
      <c r="V55" s="281"/>
      <c r="W55" s="281"/>
      <c r="X55" s="281"/>
      <c r="Y55" s="281"/>
      <c r="Z55" t="e">
        <f>VLOOKUP(A55,#REF!,9,FALSE)</f>
        <v>#REF!</v>
      </c>
    </row>
    <row r="56" spans="1:26" ht="15.75" thickBot="1">
      <c r="A56" s="296" t="s">
        <v>130</v>
      </c>
      <c r="B56" s="103"/>
      <c r="C56" s="219" t="e">
        <v>#N/A</v>
      </c>
      <c r="D56" s="286"/>
      <c r="E56" s="273" t="s">
        <v>2007</v>
      </c>
      <c r="F56" s="286"/>
      <c r="G56" s="287" t="s">
        <v>1970</v>
      </c>
      <c r="H56" s="234"/>
      <c r="I56" s="234"/>
      <c r="J56" s="45"/>
      <c r="K56" s="208"/>
      <c r="L56" s="208"/>
      <c r="M56" s="208"/>
      <c r="N56" s="288"/>
      <c r="O56" s="289"/>
      <c r="P56" s="278" t="s">
        <v>2019</v>
      </c>
      <c r="Q56" s="279" t="s">
        <v>58</v>
      </c>
      <c r="R56" s="132" t="s">
        <v>2012</v>
      </c>
      <c r="S56" s="132"/>
      <c r="T56" s="280"/>
      <c r="U56" s="281"/>
      <c r="V56" s="281"/>
      <c r="W56" s="281"/>
      <c r="X56" s="281"/>
      <c r="Y56" s="281"/>
      <c r="Z56" t="e">
        <f>VLOOKUP(A56,#REF!,9,FALSE)</f>
        <v>#REF!</v>
      </c>
    </row>
    <row r="57" spans="1:26" ht="15.75" thickBot="1">
      <c r="A57" s="163" t="s">
        <v>2020</v>
      </c>
      <c r="B57" s="103" t="s">
        <v>113</v>
      </c>
      <c r="C57" s="298">
        <v>45787</v>
      </c>
      <c r="D57" s="286"/>
      <c r="E57" s="273" t="s">
        <v>2007</v>
      </c>
      <c r="F57" s="286"/>
      <c r="G57" s="287" t="s">
        <v>1970</v>
      </c>
      <c r="H57" s="234"/>
      <c r="I57" s="234"/>
      <c r="J57" s="45"/>
      <c r="K57" s="208"/>
      <c r="L57" s="208"/>
      <c r="M57" s="208"/>
      <c r="N57" s="288"/>
      <c r="O57" s="289"/>
      <c r="P57" s="278" t="s">
        <v>1981</v>
      </c>
      <c r="Q57" s="279" t="s">
        <v>2021</v>
      </c>
      <c r="R57" s="132" t="s">
        <v>2012</v>
      </c>
      <c r="S57" s="132"/>
      <c r="T57" s="280"/>
      <c r="U57" s="281"/>
      <c r="V57" s="281"/>
      <c r="W57" s="281"/>
      <c r="X57" s="281"/>
      <c r="Y57" s="281"/>
      <c r="Z57" t="e">
        <f>VLOOKUP(A57,#REF!,9,FALSE)</f>
        <v>#REF!</v>
      </c>
    </row>
    <row r="58" spans="1:26" ht="15.75" thickBot="1">
      <c r="A58" s="638" t="s">
        <v>650</v>
      </c>
      <c r="B58" s="103" t="s">
        <v>50</v>
      </c>
      <c r="C58" s="300">
        <v>45807</v>
      </c>
      <c r="D58" s="286"/>
      <c r="E58" s="273" t="s">
        <v>1972</v>
      </c>
      <c r="F58" s="286"/>
      <c r="G58" s="287" t="s">
        <v>1970</v>
      </c>
      <c r="H58" s="234"/>
      <c r="I58" s="234"/>
      <c r="J58" s="45"/>
      <c r="K58" s="208"/>
      <c r="L58" s="208"/>
      <c r="M58" s="208"/>
      <c r="N58" s="288"/>
      <c r="O58" s="289"/>
      <c r="P58" s="291"/>
      <c r="Q58" s="279" t="s">
        <v>64</v>
      </c>
      <c r="R58" s="132" t="s">
        <v>2009</v>
      </c>
      <c r="S58" s="132"/>
      <c r="T58" s="280"/>
      <c r="U58" s="281"/>
      <c r="V58" s="281"/>
      <c r="W58" s="281"/>
      <c r="X58" s="281"/>
      <c r="Y58" s="281"/>
    </row>
    <row r="59" spans="1:26" ht="15.75" thickBot="1">
      <c r="A59" s="638" t="s">
        <v>652</v>
      </c>
      <c r="B59" s="103" t="s">
        <v>113</v>
      </c>
      <c r="C59" s="300">
        <v>45772</v>
      </c>
      <c r="D59" s="286"/>
      <c r="E59" s="273" t="s">
        <v>1972</v>
      </c>
      <c r="F59" s="286"/>
      <c r="G59" s="287" t="s">
        <v>1970</v>
      </c>
      <c r="H59" s="234"/>
      <c r="I59" s="234"/>
      <c r="J59" s="45"/>
      <c r="K59" s="208"/>
      <c r="L59" s="208"/>
      <c r="M59" s="208"/>
      <c r="N59" s="288"/>
      <c r="O59" s="289"/>
      <c r="P59" s="291"/>
      <c r="Q59" s="279" t="s">
        <v>64</v>
      </c>
      <c r="R59" s="132" t="s">
        <v>2009</v>
      </c>
      <c r="S59" s="132"/>
      <c r="T59" s="280"/>
      <c r="U59" s="281"/>
      <c r="V59" s="281"/>
      <c r="W59" s="281"/>
      <c r="X59" s="281"/>
      <c r="Y59" s="281"/>
    </row>
    <row r="60" spans="1:26" ht="15.75" thickBot="1">
      <c r="A60" s="639" t="s">
        <v>654</v>
      </c>
      <c r="B60" s="103" t="s">
        <v>113</v>
      </c>
      <c r="C60" s="300">
        <v>45772</v>
      </c>
      <c r="D60" s="286"/>
      <c r="E60" s="273" t="s">
        <v>1972</v>
      </c>
      <c r="F60" s="286"/>
      <c r="G60" s="287" t="s">
        <v>1970</v>
      </c>
      <c r="H60" s="234"/>
      <c r="I60" s="234"/>
      <c r="J60" s="45"/>
      <c r="K60" s="208"/>
      <c r="L60" s="208"/>
      <c r="M60" s="208"/>
      <c r="N60" s="288"/>
      <c r="O60" s="289"/>
      <c r="P60" s="291"/>
      <c r="Q60" s="279" t="s">
        <v>64</v>
      </c>
      <c r="R60" s="132" t="s">
        <v>2009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2001</v>
      </c>
      <c r="B70" s="305">
        <f>SUM(K4:K9)</f>
        <v>0</v>
      </c>
      <c r="C70" s="306" t="e">
        <f>B70/B73</f>
        <v>#DIV/0!</v>
      </c>
    </row>
    <row r="71" spans="1:25">
      <c r="A71" s="304" t="s">
        <v>1957</v>
      </c>
      <c r="B71" s="305">
        <f>SUM(L4:L9)</f>
        <v>0</v>
      </c>
      <c r="C71" s="306" t="e">
        <f>B71/B73</f>
        <v>#DIV/0!</v>
      </c>
    </row>
    <row r="72" spans="1:25">
      <c r="A72" s="304" t="s">
        <v>2002</v>
      </c>
      <c r="B72" s="305">
        <f>SUM(M4:M9)</f>
        <v>0</v>
      </c>
      <c r="C72" s="306" t="e">
        <f>B72/B73</f>
        <v>#DIV/0!</v>
      </c>
    </row>
    <row r="73" spans="1:25">
      <c r="A73" s="304" t="s">
        <v>1012</v>
      </c>
      <c r="B73" s="305">
        <f>SUM(B70:B72)</f>
        <v>0</v>
      </c>
      <c r="C73" s="283"/>
    </row>
    <row r="80" spans="1:25">
      <c r="A80" t="s">
        <v>2022</v>
      </c>
    </row>
    <row r="81" spans="1:1">
      <c r="A81" t="s">
        <v>2023</v>
      </c>
    </row>
    <row r="82" spans="1:1">
      <c r="A82" t="s">
        <v>2008</v>
      </c>
    </row>
    <row r="83" spans="1:1">
      <c r="A83" t="s">
        <v>2024</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1387C83-EED4-462F-B197-4389AA39CA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2025-12-10T17:41:48Z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