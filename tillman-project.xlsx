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07" documentId="8_{E14B221E-02E2-46A3-8CEC-C736815F2DD5}" xr6:coauthVersionLast="47" xr6:coauthVersionMax="47" xr10:uidLastSave="{9EC2C778-916E-4656-AA1E-75743965A992}"/>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883" r:id="rId12"/>
    <pivotCache cacheId="3884" r:id="rId13"/>
    <pivotCache cacheId="3885" r:id="rId14"/>
    <pivotCache cacheId="3886" r:id="rId15"/>
    <pivotCache cacheId="3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<sst xmlns="http://schemas.openxmlformats.org/spreadsheetml/2006/main" count="16871" uniqueCount="2175">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</sst>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0"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2">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1">
        <v>109</v>
      </c>
      <c r="I87" s="828" t="s">
        <v>55</v>
      </c>
      <c r="J87" s="831" t="s">
        <v>63</v>
      </c>
      <c r="K87" s="1455"/>
      <c r="L87" s="1347">
        <v>45663</v>
      </c>
      <c r="M87" s="1461" t="s">
        <v>91</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1">
        <v>0</v>
      </c>
      <c r="I94" s="828" t="s">
        <v>55</v>
      </c>
      <c r="J94" s="1205" t="s">
        <v>90</v>
      </c>
      <c r="K94" s="1205" t="s">
        <v>76</v>
      </c>
      <c r="L94" s="1347"/>
      <c r="M94" s="1225" t="s">
        <v>91</v>
      </c>
      <c r="N94" s="1236"/>
      <c r="O94" s="1225" t="s">
        <v>91</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307</v>
      </c>
      <c r="AE94" s="1273"/>
    </row>
    <row r="95" spans="1:31" ht="24.75" customHeight="1">
      <c r="A95" s="1435" t="s">
        <v>308</v>
      </c>
      <c r="B95" s="1016" t="s">
        <v>291</v>
      </c>
      <c r="C95" s="1420">
        <v>46051</v>
      </c>
      <c r="D95" s="1346"/>
      <c r="E95" s="1347"/>
      <c r="F95" s="1346"/>
      <c r="G95" s="1224"/>
      <c r="H95" s="1461">
        <v>0</v>
      </c>
      <c r="I95" s="828" t="s">
        <v>55</v>
      </c>
      <c r="J95" s="1205" t="s">
        <v>90</v>
      </c>
      <c r="K95" s="1205" t="s">
        <v>76</v>
      </c>
      <c r="L95" s="1347"/>
      <c r="M95" s="1225" t="s">
        <v>91</v>
      </c>
      <c r="N95" s="1236"/>
      <c r="O95" s="1225" t="s">
        <v>91</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307</v>
      </c>
      <c r="AE95" s="1273"/>
    </row>
    <row r="96" spans="1:31" ht="24.75" customHeight="1">
      <c r="A96" s="1435" t="s">
        <v>309</v>
      </c>
      <c r="B96" s="1016" t="s">
        <v>291</v>
      </c>
      <c r="C96" s="1420">
        <v>46051</v>
      </c>
      <c r="D96" s="1346"/>
      <c r="E96" s="1347"/>
      <c r="F96" s="1346"/>
      <c r="G96" s="1224"/>
      <c r="H96" s="1461">
        <v>0</v>
      </c>
      <c r="I96" s="828" t="s">
        <v>55</v>
      </c>
      <c r="J96" s="1205" t="s">
        <v>90</v>
      </c>
      <c r="K96" s="1205" t="s">
        <v>76</v>
      </c>
      <c r="L96" s="1347"/>
      <c r="M96" s="1225" t="s">
        <v>91</v>
      </c>
      <c r="N96" s="1236"/>
      <c r="O96" s="1225" t="s">
        <v>91</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307</v>
      </c>
      <c r="AE96" s="1273"/>
    </row>
    <row r="97" spans="1:31" ht="24.75" customHeight="1">
      <c r="A97" s="1435" t="s">
        <v>310</v>
      </c>
      <c r="B97" s="1016" t="s">
        <v>291</v>
      </c>
      <c r="C97" s="1420">
        <v>46051</v>
      </c>
      <c r="D97" s="1346"/>
      <c r="E97" s="1347"/>
      <c r="F97" s="1346"/>
      <c r="G97" s="1224"/>
      <c r="H97" s="1461">
        <v>0</v>
      </c>
      <c r="I97" s="828" t="s">
        <v>55</v>
      </c>
      <c r="J97" s="1205" t="s">
        <v>90</v>
      </c>
      <c r="K97" s="1205" t="s">
        <v>76</v>
      </c>
      <c r="L97" s="1347"/>
      <c r="M97" s="1225" t="s">
        <v>91</v>
      </c>
      <c r="N97" s="1236"/>
      <c r="O97" s="1225" t="s">
        <v>91</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P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841" t="s">
        <v>382</v>
      </c>
      <c r="B5" s="830" t="s">
        <v>203</v>
      </c>
      <c r="C5" s="467">
        <v>45991</v>
      </c>
      <c r="D5" s="476" t="s">
        <v>217</v>
      </c>
      <c r="E5" s="476">
        <v>45950</v>
      </c>
      <c r="F5" s="475" t="s">
        <v>218</v>
      </c>
      <c r="G5" s="827"/>
      <c r="H5" s="831">
        <v>82</v>
      </c>
      <c r="I5" s="828" t="s">
        <v>374</v>
      </c>
      <c r="J5" s="831" t="s">
        <v>63</v>
      </c>
      <c r="K5" s="487"/>
      <c r="L5" s="51">
        <v>45902</v>
      </c>
      <c r="M5" s="1104" t="s">
        <v>57</v>
      </c>
      <c r="N5" s="832">
        <v>87830</v>
      </c>
      <c r="O5" s="828" t="s">
        <v>57</v>
      </c>
      <c r="P5" s="626" t="s">
        <v>328</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383</v>
      </c>
    </row>
    <row r="6" spans="1:30" ht="39.75" customHeight="1">
      <c r="A6" s="926" t="s">
        <v>384</v>
      </c>
      <c r="B6" s="830" t="s">
        <v>203</v>
      </c>
      <c r="C6" s="467">
        <v>45989</v>
      </c>
      <c r="D6" s="476" t="s">
        <v>217</v>
      </c>
      <c r="E6" s="476">
        <v>45964</v>
      </c>
      <c r="F6" s="475" t="s">
        <v>218</v>
      </c>
      <c r="G6" s="827" t="s">
        <v>385</v>
      </c>
      <c r="H6" s="831">
        <v>74</v>
      </c>
      <c r="I6" s="469" t="s">
        <v>374</v>
      </c>
      <c r="J6" s="469" t="s">
        <v>63</v>
      </c>
      <c r="K6" s="469"/>
      <c r="L6" s="51">
        <v>45932</v>
      </c>
      <c r="M6" s="1104" t="s">
        <v>57</v>
      </c>
      <c r="N6" s="832">
        <v>47064</v>
      </c>
      <c r="O6" s="828" t="s">
        <v>57</v>
      </c>
      <c r="P6" s="626" t="s">
        <v>328</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231</v>
      </c>
    </row>
    <row r="7" spans="1:30" ht="39.75" customHeight="1">
      <c r="A7" s="841" t="s">
        <v>386</v>
      </c>
      <c r="B7" s="830" t="s">
        <v>203</v>
      </c>
      <c r="C7" s="467">
        <v>45960</v>
      </c>
      <c r="D7" s="476" t="s">
        <v>217</v>
      </c>
      <c r="E7" s="476">
        <v>45930</v>
      </c>
      <c r="F7" s="475" t="s">
        <v>218</v>
      </c>
      <c r="G7" s="827"/>
      <c r="H7" s="831">
        <v>80</v>
      </c>
      <c r="I7" s="828" t="s">
        <v>374</v>
      </c>
      <c r="J7" s="831" t="s">
        <v>63</v>
      </c>
      <c r="K7" s="828"/>
      <c r="L7" s="51">
        <v>45902</v>
      </c>
      <c r="M7" s="1104" t="s">
        <v>57</v>
      </c>
      <c r="N7" s="832">
        <v>90173</v>
      </c>
      <c r="O7" s="828" t="s">
        <v>57</v>
      </c>
      <c r="P7" s="626" t="s">
        <v>328</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383</v>
      </c>
    </row>
    <row r="8" spans="1:30" ht="39.75" customHeight="1">
      <c r="A8" s="926" t="s">
        <v>387</v>
      </c>
      <c r="B8" s="830" t="s">
        <v>203</v>
      </c>
      <c r="C8" s="467">
        <v>45960</v>
      </c>
      <c r="D8" s="476" t="s">
        <v>228</v>
      </c>
      <c r="E8" s="476">
        <v>45950</v>
      </c>
      <c r="F8" s="475" t="s">
        <v>229</v>
      </c>
      <c r="G8" s="827"/>
      <c r="H8" s="831">
        <v>80</v>
      </c>
      <c r="I8" s="828" t="s">
        <v>374</v>
      </c>
      <c r="J8" s="831" t="s">
        <v>63</v>
      </c>
      <c r="K8" s="828"/>
      <c r="L8" s="1105">
        <v>45905</v>
      </c>
      <c r="M8" s="828" t="s">
        <v>57</v>
      </c>
      <c r="N8" s="832">
        <v>66674.3</v>
      </c>
      <c r="O8" s="828" t="s">
        <v>57</v>
      </c>
      <c r="P8" s="626" t="s">
        <v>328</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388</v>
      </c>
    </row>
    <row r="9" spans="1:30" ht="39.75" customHeight="1">
      <c r="A9" s="926" t="s">
        <v>389</v>
      </c>
      <c r="B9" s="830" t="s">
        <v>203</v>
      </c>
      <c r="C9" s="467">
        <v>45960</v>
      </c>
      <c r="D9" s="476" t="s">
        <v>228</v>
      </c>
      <c r="E9" s="476">
        <v>45937</v>
      </c>
      <c r="F9" s="475" t="s">
        <v>229</v>
      </c>
      <c r="G9" s="827"/>
      <c r="H9" s="831">
        <v>82</v>
      </c>
      <c r="I9" s="828" t="s">
        <v>374</v>
      </c>
      <c r="J9" s="831" t="s">
        <v>63</v>
      </c>
      <c r="K9" s="469"/>
      <c r="L9" s="476">
        <v>45903</v>
      </c>
      <c r="M9" s="828" t="s">
        <v>57</v>
      </c>
      <c r="N9" s="832">
        <v>93666.75</v>
      </c>
      <c r="O9" s="828" t="s">
        <v>57</v>
      </c>
      <c r="P9" s="626" t="s">
        <v>328</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383</v>
      </c>
    </row>
    <row r="10" spans="1:30" ht="39.75" customHeight="1">
      <c r="A10" s="926" t="s">
        <v>390</v>
      </c>
      <c r="B10" s="491" t="s">
        <v>203</v>
      </c>
      <c r="C10" s="467">
        <v>45991</v>
      </c>
      <c r="D10" s="475" t="s">
        <v>391</v>
      </c>
      <c r="E10" s="476">
        <v>45716</v>
      </c>
      <c r="F10" s="475" t="s">
        <v>218</v>
      </c>
      <c r="G10" s="477" t="s">
        <v>392</v>
      </c>
      <c r="H10" s="478">
        <v>44</v>
      </c>
      <c r="I10" s="483" t="s">
        <v>374</v>
      </c>
      <c r="J10" s="478" t="s">
        <v>63</v>
      </c>
      <c r="K10" s="478"/>
      <c r="L10" s="476">
        <v>45716</v>
      </c>
      <c r="M10" s="478" t="s">
        <v>57</v>
      </c>
      <c r="N10" s="543">
        <v>57973.5</v>
      </c>
      <c r="O10" s="478" t="s">
        <v>57</v>
      </c>
      <c r="P10" s="626" t="s">
        <v>328</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393</v>
      </c>
      <c r="B11" s="830" t="s">
        <v>203</v>
      </c>
      <c r="C11" s="467">
        <v>45991</v>
      </c>
      <c r="D11" s="475" t="s">
        <v>217</v>
      </c>
      <c r="E11" s="476">
        <v>45880</v>
      </c>
      <c r="F11" s="475" t="s">
        <v>218</v>
      </c>
      <c r="G11" s="824" t="s">
        <v>394</v>
      </c>
      <c r="H11" s="478">
        <v>57</v>
      </c>
      <c r="I11" s="828" t="s">
        <v>374</v>
      </c>
      <c r="J11" s="478" t="s">
        <v>63</v>
      </c>
      <c r="K11" s="487"/>
      <c r="L11" s="476">
        <v>45863</v>
      </c>
      <c r="M11" s="478" t="s">
        <v>57</v>
      </c>
      <c r="N11" s="543">
        <v>49223.7</v>
      </c>
      <c r="O11" s="478" t="s">
        <v>57</v>
      </c>
      <c r="P11" s="626" t="s">
        <v>328</v>
      </c>
      <c r="Q11" s="479">
        <v>45863</v>
      </c>
      <c r="R11" s="479"/>
      <c r="S11" s="479"/>
      <c r="T11" s="479"/>
      <c r="U11" s="479"/>
      <c r="V11" s="472">
        <v>3394</v>
      </c>
      <c r="W11" s="508">
        <v>3394</v>
      </c>
      <c r="X11" s="472">
        <f t="shared" si="2"/>
        <v>0</v>
      </c>
      <c r="Y11" s="662">
        <f t="shared" si="3"/>
        <v>1</v>
      </c>
      <c r="Z11" s="479">
        <v>45916</v>
      </c>
      <c r="AA11" s="355">
        <v>1</v>
      </c>
      <c r="AB11" s="355">
        <v>1</v>
      </c>
      <c r="AC11" s="41">
        <v>0</v>
      </c>
      <c r="AD11" s="170" t="s">
        <v>395</v>
      </c>
    </row>
    <row r="12" spans="1:30" ht="39.75" customHeight="1">
      <c r="A12" s="926" t="s">
        <v>396</v>
      </c>
      <c r="B12" s="830" t="s">
        <v>203</v>
      </c>
      <c r="C12" s="467">
        <v>45991</v>
      </c>
      <c r="D12" s="475" t="s">
        <v>217</v>
      </c>
      <c r="E12" s="476">
        <v>45880</v>
      </c>
      <c r="F12" s="475" t="s">
        <v>218</v>
      </c>
      <c r="G12" s="824" t="s">
        <v>397</v>
      </c>
      <c r="H12" s="478">
        <v>75</v>
      </c>
      <c r="I12" s="828" t="s">
        <v>374</v>
      </c>
      <c r="J12" s="478" t="s">
        <v>63</v>
      </c>
      <c r="K12" s="487"/>
      <c r="L12" s="476">
        <v>45879</v>
      </c>
      <c r="M12" s="478" t="s">
        <v>57</v>
      </c>
      <c r="N12" s="543">
        <v>68151.75</v>
      </c>
      <c r="O12" s="478" t="s">
        <v>57</v>
      </c>
      <c r="P12" s="626" t="s">
        <v>328</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398</v>
      </c>
      <c r="B13" s="830" t="s">
        <v>203</v>
      </c>
      <c r="C13" s="467">
        <v>45960</v>
      </c>
      <c r="D13" s="475" t="s">
        <v>228</v>
      </c>
      <c r="E13" s="476">
        <v>45966</v>
      </c>
      <c r="F13" s="475" t="s">
        <v>229</v>
      </c>
      <c r="G13" s="824"/>
      <c r="H13" s="478">
        <v>0</v>
      </c>
      <c r="I13" s="828" t="s">
        <v>374</v>
      </c>
      <c r="J13" s="478" t="s">
        <v>63</v>
      </c>
      <c r="K13" s="487"/>
      <c r="L13" s="476" t="s">
        <v>52</v>
      </c>
      <c r="M13" s="478" t="s">
        <v>57</v>
      </c>
      <c r="N13" s="543">
        <v>29960</v>
      </c>
      <c r="O13" s="478" t="s">
        <v>57</v>
      </c>
      <c r="P13" s="626" t="s">
        <v>328</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399</v>
      </c>
    </row>
    <row r="14" spans="1:30" ht="39.75" customHeight="1">
      <c r="A14" s="1364" t="s">
        <v>400</v>
      </c>
      <c r="B14" s="830" t="s">
        <v>203</v>
      </c>
      <c r="C14" s="467" t="s">
        <v>401</v>
      </c>
      <c r="D14" s="475" t="s">
        <v>84</v>
      </c>
      <c r="E14" s="476">
        <v>45964</v>
      </c>
      <c r="F14" s="475" t="s">
        <v>402</v>
      </c>
      <c r="G14" s="824"/>
      <c r="H14" s="478">
        <v>0</v>
      </c>
      <c r="I14" s="469" t="s">
        <v>374</v>
      </c>
      <c r="J14" s="478" t="s">
        <v>63</v>
      </c>
      <c r="K14" s="469"/>
      <c r="L14" s="476" t="s">
        <v>52</v>
      </c>
      <c r="M14" s="478" t="s">
        <v>57</v>
      </c>
      <c r="N14" s="543">
        <v>2670.65</v>
      </c>
      <c r="O14" s="478" t="s">
        <v>57</v>
      </c>
      <c r="P14" s="626" t="s">
        <v>328</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206</v>
      </c>
    </row>
    <row r="15" spans="1:30" ht="39.75" customHeight="1">
      <c r="A15" s="926" t="s">
        <v>403</v>
      </c>
      <c r="B15" s="830" t="s">
        <v>291</v>
      </c>
      <c r="C15" s="467">
        <v>46006</v>
      </c>
      <c r="D15" s="475" t="s">
        <v>228</v>
      </c>
      <c r="E15" s="476">
        <v>45987</v>
      </c>
      <c r="F15" s="475" t="s">
        <v>218</v>
      </c>
      <c r="G15" s="824" t="s">
        <v>404</v>
      </c>
      <c r="H15" s="478">
        <v>35</v>
      </c>
      <c r="I15" s="828" t="s">
        <v>374</v>
      </c>
      <c r="J15" s="478" t="s">
        <v>63</v>
      </c>
      <c r="K15" s="469"/>
      <c r="L15" s="476" t="s">
        <v>52</v>
      </c>
      <c r="M15" s="478" t="s">
        <v>57</v>
      </c>
      <c r="N15" s="543">
        <v>35942</v>
      </c>
      <c r="O15" s="478" t="s">
        <v>57</v>
      </c>
      <c r="P15" s="626" t="s">
        <v>328</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405</v>
      </c>
    </row>
    <row r="16" spans="1:30" ht="39.75" customHeight="1">
      <c r="A16" s="1276" t="s">
        <v>406</v>
      </c>
      <c r="B16" s="830" t="s">
        <v>291</v>
      </c>
      <c r="C16" s="1203">
        <v>46006</v>
      </c>
      <c r="D16" s="1224" t="s">
        <v>228</v>
      </c>
      <c r="E16" s="1223">
        <v>45987</v>
      </c>
      <c r="F16" s="1224" t="s">
        <v>218</v>
      </c>
      <c r="G16" s="1224" t="s">
        <v>407</v>
      </c>
      <c r="H16" s="1225">
        <v>30</v>
      </c>
      <c r="I16" s="828" t="s">
        <v>374</v>
      </c>
      <c r="J16" s="831" t="s">
        <v>63</v>
      </c>
      <c r="K16" s="1205"/>
      <c r="L16" s="476" t="s">
        <v>52</v>
      </c>
      <c r="M16" s="1225" t="s">
        <v>57</v>
      </c>
      <c r="N16" s="1236">
        <v>31387.05</v>
      </c>
      <c r="O16" s="1225" t="s">
        <v>57</v>
      </c>
      <c r="P16" s="1277" t="s">
        <v>328</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408</v>
      </c>
    </row>
    <row r="17" spans="1:30" ht="39.75" customHeight="1">
      <c r="A17" s="926" t="s">
        <v>409</v>
      </c>
      <c r="B17" s="491" t="s">
        <v>291</v>
      </c>
      <c r="C17" s="467">
        <v>46006</v>
      </c>
      <c r="D17" s="475" t="s">
        <v>228</v>
      </c>
      <c r="E17" s="476">
        <v>45975</v>
      </c>
      <c r="F17" s="475" t="s">
        <v>218</v>
      </c>
      <c r="G17" s="477" t="s">
        <v>410</v>
      </c>
      <c r="H17" s="478">
        <v>86</v>
      </c>
      <c r="I17" s="828" t="s">
        <v>374</v>
      </c>
      <c r="J17" s="831" t="s">
        <v>63</v>
      </c>
      <c r="K17" s="469"/>
      <c r="L17" s="476" t="s">
        <v>52</v>
      </c>
      <c r="M17" s="478" t="s">
        <v>57</v>
      </c>
      <c r="N17" s="543">
        <v>111432</v>
      </c>
      <c r="O17" s="478" t="s">
        <v>57</v>
      </c>
      <c r="P17" s="626" t="s">
        <v>328</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411</v>
      </c>
    </row>
    <row r="18" spans="1:30" ht="39.75" customHeight="1">
      <c r="A18" s="926" t="s">
        <v>412</v>
      </c>
      <c r="B18" s="491" t="s">
        <v>291</v>
      </c>
      <c r="C18" s="467">
        <v>46053</v>
      </c>
      <c r="D18" s="475" t="s">
        <v>228</v>
      </c>
      <c r="E18" s="476">
        <v>45964</v>
      </c>
      <c r="F18" s="475" t="s">
        <v>218</v>
      </c>
      <c r="G18" s="477"/>
      <c r="H18" s="478">
        <v>82</v>
      </c>
      <c r="I18" s="828" t="s">
        <v>374</v>
      </c>
      <c r="J18" s="478" t="s">
        <v>63</v>
      </c>
      <c r="K18" s="469"/>
      <c r="L18" s="476" t="s">
        <v>52</v>
      </c>
      <c r="M18" s="478" t="s">
        <v>57</v>
      </c>
      <c r="N18" s="543">
        <v>101871</v>
      </c>
      <c r="O18" s="478" t="s">
        <v>57</v>
      </c>
      <c r="P18" s="626" t="s">
        <v>328</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302</v>
      </c>
    </row>
    <row r="19" spans="1:30" ht="39.75" customHeight="1">
      <c r="A19" s="926" t="s">
        <v>413</v>
      </c>
      <c r="B19" s="491" t="s">
        <v>291</v>
      </c>
      <c r="C19" s="467">
        <v>46053</v>
      </c>
      <c r="D19" s="475" t="s">
        <v>228</v>
      </c>
      <c r="E19" s="476">
        <v>45974</v>
      </c>
      <c r="F19" s="475" t="s">
        <v>218</v>
      </c>
      <c r="G19" s="477" t="s">
        <v>414</v>
      </c>
      <c r="H19" s="478">
        <v>77</v>
      </c>
      <c r="I19" s="828" t="s">
        <v>374</v>
      </c>
      <c r="J19" s="478" t="s">
        <v>63</v>
      </c>
      <c r="K19" s="469"/>
      <c r="L19" s="476">
        <v>45965</v>
      </c>
      <c r="M19" s="478" t="s">
        <v>57</v>
      </c>
      <c r="N19" s="543">
        <v>90786</v>
      </c>
      <c r="O19" s="478" t="s">
        <v>57</v>
      </c>
      <c r="P19" s="626" t="s">
        <v>328</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302</v>
      </c>
    </row>
    <row r="20" spans="1:30" ht="39.75" customHeight="1">
      <c r="A20" s="926" t="s">
        <v>415</v>
      </c>
      <c r="B20" s="491" t="s">
        <v>291</v>
      </c>
      <c r="C20" s="467">
        <v>46006</v>
      </c>
      <c r="D20" s="475" t="s">
        <v>228</v>
      </c>
      <c r="E20" s="476">
        <v>45980</v>
      </c>
      <c r="F20" s="475" t="s">
        <v>218</v>
      </c>
      <c r="G20" s="824" t="s">
        <v>416</v>
      </c>
      <c r="H20" s="478">
        <v>75</v>
      </c>
      <c r="I20" s="828" t="s">
        <v>374</v>
      </c>
      <c r="J20" s="478" t="s">
        <v>63</v>
      </c>
      <c r="K20" s="469"/>
      <c r="L20" s="476" t="s">
        <v>52</v>
      </c>
      <c r="M20" s="478" t="s">
        <v>57</v>
      </c>
      <c r="N20" s="543">
        <v>82330</v>
      </c>
      <c r="O20" s="478" t="s">
        <v>57</v>
      </c>
      <c r="P20" s="626" t="s">
        <v>328</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405</v>
      </c>
    </row>
    <row r="21" spans="1:30" ht="39.75" customHeight="1">
      <c r="A21" s="1418" t="s">
        <v>417</v>
      </c>
      <c r="B21" s="1016" t="s">
        <v>291</v>
      </c>
      <c r="C21" s="1203">
        <v>46040</v>
      </c>
      <c r="D21" s="1224" t="s">
        <v>228</v>
      </c>
      <c r="E21" s="1223">
        <v>45996</v>
      </c>
      <c r="F21" s="1224" t="s">
        <v>218</v>
      </c>
      <c r="G21" s="1224" t="s">
        <v>418</v>
      </c>
      <c r="H21" s="1225">
        <v>78</v>
      </c>
      <c r="I21" s="828" t="s">
        <v>374</v>
      </c>
      <c r="J21" s="1225" t="s">
        <v>63</v>
      </c>
      <c r="K21" s="1205"/>
      <c r="L21" s="476" t="s">
        <v>52</v>
      </c>
      <c r="M21" s="1225" t="s">
        <v>57</v>
      </c>
      <c r="N21" s="1236">
        <v>84477</v>
      </c>
      <c r="O21" s="1225" t="s">
        <v>57</v>
      </c>
      <c r="P21" s="1277" t="s">
        <v>328</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405</v>
      </c>
    </row>
    <row r="22" spans="1:30" ht="39.75" customHeight="1">
      <c r="A22" s="926" t="s">
        <v>419</v>
      </c>
      <c r="B22" s="465" t="s">
        <v>107</v>
      </c>
      <c r="C22" s="476">
        <v>45976</v>
      </c>
      <c r="D22" s="467" t="s">
        <v>127</v>
      </c>
      <c r="E22" s="467">
        <v>45959</v>
      </c>
      <c r="F22" s="465" t="s">
        <v>340</v>
      </c>
      <c r="G22" s="682"/>
      <c r="H22" s="469">
        <v>69</v>
      </c>
      <c r="I22" s="661" t="s">
        <v>374</v>
      </c>
      <c r="J22" s="469" t="s">
        <v>63</v>
      </c>
      <c r="K22" s="469"/>
      <c r="L22" s="467">
        <v>45962</v>
      </c>
      <c r="M22" s="469" t="s">
        <v>57</v>
      </c>
      <c r="N22" s="542">
        <v>37418</v>
      </c>
      <c r="O22" s="469" t="s">
        <v>57</v>
      </c>
      <c r="P22" s="626" t="s">
        <v>328</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420</v>
      </c>
    </row>
    <row r="23" spans="1:30" ht="39.75" customHeight="1">
      <c r="A23" s="926" t="s">
        <v>421</v>
      </c>
      <c r="B23" s="465" t="s">
        <v>107</v>
      </c>
      <c r="C23" s="467">
        <v>45991</v>
      </c>
      <c r="D23" s="467" t="s">
        <v>127</v>
      </c>
      <c r="E23" s="467">
        <v>45966</v>
      </c>
      <c r="F23" s="465" t="s">
        <v>108</v>
      </c>
      <c r="G23" s="682" t="s">
        <v>422</v>
      </c>
      <c r="H23" s="469">
        <v>83</v>
      </c>
      <c r="I23" s="661" t="s">
        <v>374</v>
      </c>
      <c r="J23" s="469" t="s">
        <v>63</v>
      </c>
      <c r="K23" s="469"/>
      <c r="L23" s="467">
        <v>45969</v>
      </c>
      <c r="M23" s="469" t="s">
        <v>57</v>
      </c>
      <c r="N23" s="542">
        <v>66402</v>
      </c>
      <c r="O23" s="469" t="s">
        <v>57</v>
      </c>
      <c r="P23" s="626" t="s">
        <v>328</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423</v>
      </c>
    </row>
    <row r="24" spans="1:30" ht="39.75" customHeight="1">
      <c r="A24" s="926" t="s">
        <v>424</v>
      </c>
      <c r="B24" s="465" t="s">
        <v>107</v>
      </c>
      <c r="C24" s="467">
        <v>46001</v>
      </c>
      <c r="D24" s="467" t="s">
        <v>127</v>
      </c>
      <c r="E24" s="467">
        <v>45966</v>
      </c>
      <c r="F24" s="465" t="s">
        <v>108</v>
      </c>
      <c r="G24" s="682" t="s">
        <v>425</v>
      </c>
      <c r="H24" s="469">
        <v>77</v>
      </c>
      <c r="I24" s="661" t="s">
        <v>374</v>
      </c>
      <c r="J24" s="469" t="s">
        <v>63</v>
      </c>
      <c r="K24" s="469"/>
      <c r="L24" s="467">
        <v>45967</v>
      </c>
      <c r="M24" s="469" t="s">
        <v>57</v>
      </c>
      <c r="N24" s="542">
        <v>63997.35</v>
      </c>
      <c r="O24" s="469" t="s">
        <v>57</v>
      </c>
      <c r="P24" s="626" t="s">
        <v>328</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426</v>
      </c>
    </row>
    <row r="25" spans="1:30" ht="39.75" customHeight="1">
      <c r="A25" s="926" t="s">
        <v>427</v>
      </c>
      <c r="B25" s="465" t="s">
        <v>107</v>
      </c>
      <c r="C25" s="488">
        <v>45838</v>
      </c>
      <c r="D25" s="488" t="s">
        <v>127</v>
      </c>
      <c r="E25" s="476">
        <v>45786</v>
      </c>
      <c r="F25" s="488" t="s">
        <v>159</v>
      </c>
      <c r="G25" s="937" t="s">
        <v>428</v>
      </c>
      <c r="H25" s="469">
        <v>0</v>
      </c>
      <c r="I25" s="470" t="s">
        <v>374</v>
      </c>
      <c r="J25" s="469" t="s">
        <v>63</v>
      </c>
      <c r="K25" s="469"/>
      <c r="L25" s="467">
        <v>45790</v>
      </c>
      <c r="M25" s="469" t="s">
        <v>57</v>
      </c>
      <c r="N25" s="542">
        <v>63283</v>
      </c>
      <c r="O25" s="469" t="s">
        <v>57</v>
      </c>
      <c r="P25" s="626" t="s">
        <v>328</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429</v>
      </c>
    </row>
    <row r="26" spans="1:30" ht="39.75" customHeight="1">
      <c r="A26" s="926" t="s">
        <v>430</v>
      </c>
      <c r="B26" s="465" t="s">
        <v>107</v>
      </c>
      <c r="C26" s="467">
        <v>46021</v>
      </c>
      <c r="D26" s="465" t="s">
        <v>51</v>
      </c>
      <c r="E26" s="467" t="s">
        <v>52</v>
      </c>
      <c r="F26" s="465" t="s">
        <v>140</v>
      </c>
      <c r="G26" s="468" t="s">
        <v>431</v>
      </c>
      <c r="H26" s="469">
        <v>0</v>
      </c>
      <c r="I26" s="469" t="s">
        <v>374</v>
      </c>
      <c r="J26" s="469" t="s">
        <v>63</v>
      </c>
      <c r="K26" s="469"/>
      <c r="L26" s="467" t="s">
        <v>156</v>
      </c>
      <c r="M26" s="469" t="s">
        <v>57</v>
      </c>
      <c r="N26" s="542">
        <v>1931.75</v>
      </c>
      <c r="O26" s="469" t="s">
        <v>57</v>
      </c>
      <c r="P26" s="1061" t="s">
        <v>328</v>
      </c>
      <c r="Q26" s="124"/>
      <c r="R26" s="652"/>
      <c r="S26" s="471"/>
      <c r="T26" s="471"/>
      <c r="U26" s="471"/>
      <c r="V26" s="416">
        <v>0</v>
      </c>
      <c r="W26" s="581">
        <v>0</v>
      </c>
      <c r="X26" s="472">
        <f>SUM(V26-W26)</f>
        <v>0</v>
      </c>
      <c r="Y26" s="662">
        <f t="shared" si="13"/>
        <v>0</v>
      </c>
      <c r="Z26" s="479">
        <v>45996</v>
      </c>
      <c r="AA26" s="355">
        <v>0</v>
      </c>
      <c r="AB26" s="355">
        <v>1</v>
      </c>
      <c r="AC26" s="472">
        <v>0</v>
      </c>
      <c r="AD26" s="170" t="s">
        <v>432</v>
      </c>
    </row>
    <row r="27" spans="1:30" ht="39.75" customHeight="1">
      <c r="A27" s="926" t="s">
        <v>433</v>
      </c>
      <c r="B27" s="681" t="s">
        <v>107</v>
      </c>
      <c r="C27" s="476">
        <v>45991</v>
      </c>
      <c r="D27" s="465" t="s">
        <v>434</v>
      </c>
      <c r="E27" s="467">
        <v>45936</v>
      </c>
      <c r="F27" s="465" t="s">
        <v>108</v>
      </c>
      <c r="G27" s="682"/>
      <c r="H27" s="469">
        <v>0</v>
      </c>
      <c r="I27" s="469" t="s">
        <v>374</v>
      </c>
      <c r="J27" s="469" t="s">
        <v>63</v>
      </c>
      <c r="K27" s="469"/>
      <c r="L27" s="467" t="s">
        <v>156</v>
      </c>
      <c r="M27" s="469" t="s">
        <v>57</v>
      </c>
      <c r="N27" s="542">
        <v>74164.05</v>
      </c>
      <c r="O27" s="469" t="s">
        <v>57</v>
      </c>
      <c r="P27" s="1061" t="s">
        <v>328</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435</v>
      </c>
    </row>
    <row r="28" spans="1:30" ht="39.75" customHeight="1">
      <c r="A28" s="926" t="s">
        <v>436</v>
      </c>
      <c r="B28" s="465" t="s">
        <v>107</v>
      </c>
      <c r="C28" s="476">
        <v>45960</v>
      </c>
      <c r="D28" s="467" t="s">
        <v>437</v>
      </c>
      <c r="E28" s="467">
        <v>45939</v>
      </c>
      <c r="F28" s="465" t="s">
        <v>159</v>
      </c>
      <c r="G28" s="682"/>
      <c r="H28" s="469">
        <v>385</v>
      </c>
      <c r="I28" s="661" t="s">
        <v>374</v>
      </c>
      <c r="J28" s="469" t="s">
        <v>56</v>
      </c>
      <c r="K28" s="469"/>
      <c r="L28" s="467">
        <v>45937</v>
      </c>
      <c r="M28" s="469" t="s">
        <v>57</v>
      </c>
      <c r="N28" s="542">
        <v>210533.1</v>
      </c>
      <c r="O28" s="469" t="s">
        <v>57</v>
      </c>
      <c r="P28" s="626" t="s">
        <v>328</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438</v>
      </c>
    </row>
    <row r="29" spans="1:30" ht="39.75" customHeight="1">
      <c r="A29" s="1276" t="s">
        <v>439</v>
      </c>
      <c r="B29" s="681" t="s">
        <v>107</v>
      </c>
      <c r="C29" s="1203">
        <v>46020</v>
      </c>
      <c r="D29" s="1203" t="s">
        <v>440</v>
      </c>
      <c r="E29" s="1203">
        <v>45978</v>
      </c>
      <c r="F29" s="1204" t="s">
        <v>140</v>
      </c>
      <c r="G29" s="1204" t="s">
        <v>441</v>
      </c>
      <c r="H29" s="1205">
        <v>197</v>
      </c>
      <c r="I29" s="661" t="s">
        <v>374</v>
      </c>
      <c r="J29" s="1205" t="s">
        <v>56</v>
      </c>
      <c r="K29" s="469"/>
      <c r="L29" s="1203">
        <v>45978</v>
      </c>
      <c r="M29" s="1205" t="s">
        <v>57</v>
      </c>
      <c r="N29" s="1206">
        <v>87807.5</v>
      </c>
      <c r="O29" s="1205" t="s">
        <v>57</v>
      </c>
      <c r="P29" s="1277" t="s">
        <v>328</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442</v>
      </c>
    </row>
    <row r="30" spans="1:30" ht="39.75" customHeight="1">
      <c r="A30" s="1148" t="s">
        <v>443</v>
      </c>
      <c r="B30" s="1149" t="s">
        <v>313</v>
      </c>
      <c r="C30" s="375">
        <v>46019</v>
      </c>
      <c r="D30" s="975" t="s">
        <v>127</v>
      </c>
      <c r="E30" s="375">
        <v>45959</v>
      </c>
      <c r="F30" s="374" t="s">
        <v>314</v>
      </c>
      <c r="G30" s="671" t="s">
        <v>444</v>
      </c>
      <c r="H30" s="1065">
        <v>89</v>
      </c>
      <c r="I30" s="976" t="s">
        <v>374</v>
      </c>
      <c r="J30" s="977" t="s">
        <v>63</v>
      </c>
      <c r="K30" s="469"/>
      <c r="L30" s="375">
        <v>45964</v>
      </c>
      <c r="M30" s="977" t="s">
        <v>57</v>
      </c>
      <c r="N30" s="1066">
        <v>62937.05</v>
      </c>
      <c r="O30" s="52" t="s">
        <v>57</v>
      </c>
      <c r="P30" s="1068" t="s">
        <v>328</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445</v>
      </c>
    </row>
    <row r="31" spans="1:30" ht="39.75" customHeight="1">
      <c r="A31" s="1084" t="s">
        <v>446</v>
      </c>
      <c r="B31" s="979" t="s">
        <v>313</v>
      </c>
      <c r="C31" s="467">
        <v>46045</v>
      </c>
      <c r="D31" s="642" t="s">
        <v>127</v>
      </c>
      <c r="E31" s="467"/>
      <c r="F31" s="465"/>
      <c r="G31" s="468"/>
      <c r="H31" s="1073">
        <v>77</v>
      </c>
      <c r="I31" s="828" t="s">
        <v>374</v>
      </c>
      <c r="J31" s="478" t="s">
        <v>63</v>
      </c>
      <c r="K31" s="1074"/>
      <c r="L31" s="476" t="s">
        <v>52</v>
      </c>
      <c r="M31" s="478" t="s">
        <v>57</v>
      </c>
      <c r="N31" s="1075">
        <v>4046.5</v>
      </c>
      <c r="O31" s="478" t="s">
        <v>57</v>
      </c>
      <c r="P31" s="626" t="s">
        <v>328</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447</v>
      </c>
    </row>
    <row r="32" spans="1:30" ht="39.75" customHeight="1">
      <c r="A32" s="1070" t="s">
        <v>448</v>
      </c>
      <c r="B32" s="979" t="s">
        <v>313</v>
      </c>
      <c r="C32" s="467">
        <v>46045</v>
      </c>
      <c r="D32" s="642" t="s">
        <v>127</v>
      </c>
      <c r="E32" s="467"/>
      <c r="F32" s="465"/>
      <c r="G32" s="468"/>
      <c r="H32" s="1073">
        <v>85</v>
      </c>
      <c r="I32" s="828" t="s">
        <v>374</v>
      </c>
      <c r="J32" s="478" t="s">
        <v>63</v>
      </c>
      <c r="K32" s="1074"/>
      <c r="L32" s="476" t="s">
        <v>52</v>
      </c>
      <c r="M32" s="478" t="s">
        <v>57</v>
      </c>
      <c r="N32" s="1075">
        <v>29180.45</v>
      </c>
      <c r="O32" s="478" t="s">
        <v>57</v>
      </c>
      <c r="P32" s="626" t="s">
        <v>328</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449</v>
      </c>
    </row>
    <row r="33" spans="1:30" ht="39.75" customHeight="1">
      <c r="A33" s="1085" t="s">
        <v>450</v>
      </c>
      <c r="B33" s="979" t="s">
        <v>313</v>
      </c>
      <c r="C33" s="467">
        <v>46045</v>
      </c>
      <c r="D33" s="642" t="s">
        <v>127</v>
      </c>
      <c r="E33" s="467"/>
      <c r="F33" s="465"/>
      <c r="G33" s="468"/>
      <c r="H33" s="1073">
        <v>62</v>
      </c>
      <c r="I33" s="828" t="s">
        <v>374</v>
      </c>
      <c r="J33" s="478" t="s">
        <v>63</v>
      </c>
      <c r="K33" s="1074"/>
      <c r="L33" s="476" t="s">
        <v>52</v>
      </c>
      <c r="M33" s="478" t="s">
        <v>57</v>
      </c>
      <c r="N33" s="1075">
        <v>170</v>
      </c>
      <c r="O33" s="478" t="s">
        <v>57</v>
      </c>
      <c r="P33" s="712" t="s">
        <v>328</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451</v>
      </c>
    </row>
    <row r="34" spans="1:30" ht="39.75" customHeight="1">
      <c r="A34" s="1070" t="s">
        <v>452</v>
      </c>
      <c r="B34" s="979" t="s">
        <v>313</v>
      </c>
      <c r="C34" s="467">
        <v>46045</v>
      </c>
      <c r="D34" s="642" t="s">
        <v>127</v>
      </c>
      <c r="E34" s="467">
        <v>45959</v>
      </c>
      <c r="F34" s="465" t="s">
        <v>314</v>
      </c>
      <c r="G34" s="468" t="s">
        <v>453</v>
      </c>
      <c r="H34" s="1073">
        <v>78</v>
      </c>
      <c r="I34" s="828" t="s">
        <v>374</v>
      </c>
      <c r="J34" s="478" t="s">
        <v>63</v>
      </c>
      <c r="K34" s="1074"/>
      <c r="L34" s="467">
        <v>45964</v>
      </c>
      <c r="M34" s="478" t="s">
        <v>57</v>
      </c>
      <c r="N34" s="1075">
        <v>170</v>
      </c>
      <c r="O34" s="478" t="s">
        <v>57</v>
      </c>
      <c r="P34" s="626" t="s">
        <v>328</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454</v>
      </c>
    </row>
    <row r="35" spans="1:30" ht="39.75" customHeight="1">
      <c r="A35" s="1069" t="s">
        <v>455</v>
      </c>
      <c r="B35" s="450" t="s">
        <v>313</v>
      </c>
      <c r="C35" s="375">
        <v>46045</v>
      </c>
      <c r="D35" s="975" t="s">
        <v>127</v>
      </c>
      <c r="E35" s="375"/>
      <c r="F35" s="374"/>
      <c r="G35" s="637"/>
      <c r="H35" s="1065">
        <v>80</v>
      </c>
      <c r="I35" s="976" t="s">
        <v>374</v>
      </c>
      <c r="J35" s="977" t="s">
        <v>63</v>
      </c>
      <c r="K35" s="1007"/>
      <c r="L35" s="476" t="s">
        <v>52</v>
      </c>
      <c r="M35" s="977" t="s">
        <v>57</v>
      </c>
      <c r="N35" s="1066">
        <v>25891</v>
      </c>
      <c r="O35" s="52" t="s">
        <v>57</v>
      </c>
      <c r="P35" s="1068" t="s">
        <v>328</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451</v>
      </c>
    </row>
    <row r="36" spans="1:30" ht="39.75" customHeight="1">
      <c r="A36" s="1069" t="s">
        <v>456</v>
      </c>
      <c r="B36" s="450" t="s">
        <v>313</v>
      </c>
      <c r="C36" s="375">
        <v>46045</v>
      </c>
      <c r="D36" s="975" t="s">
        <v>127</v>
      </c>
      <c r="E36" s="375"/>
      <c r="F36" s="374"/>
      <c r="G36" s="637"/>
      <c r="H36" s="1065">
        <v>83</v>
      </c>
      <c r="I36" s="976" t="s">
        <v>374</v>
      </c>
      <c r="J36" s="977" t="s">
        <v>63</v>
      </c>
      <c r="K36" s="1007"/>
      <c r="L36" s="476" t="s">
        <v>52</v>
      </c>
      <c r="M36" s="977" t="s">
        <v>57</v>
      </c>
      <c r="N36" s="1066">
        <v>170</v>
      </c>
      <c r="O36" s="52" t="s">
        <v>57</v>
      </c>
      <c r="P36" s="1068" t="s">
        <v>328</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457</v>
      </c>
    </row>
    <row r="37" spans="1:30" ht="39.75" customHeight="1">
      <c r="A37" s="1069" t="s">
        <v>458</v>
      </c>
      <c r="B37" s="450" t="s">
        <v>313</v>
      </c>
      <c r="C37" s="375">
        <v>46045</v>
      </c>
      <c r="D37" s="975" t="s">
        <v>127</v>
      </c>
      <c r="E37" s="375"/>
      <c r="F37" s="374"/>
      <c r="G37" s="637"/>
      <c r="H37" s="1065">
        <v>85</v>
      </c>
      <c r="I37" s="976" t="s">
        <v>374</v>
      </c>
      <c r="J37" s="977" t="s">
        <v>63</v>
      </c>
      <c r="K37" s="1007"/>
      <c r="L37" s="476" t="s">
        <v>52</v>
      </c>
      <c r="M37" s="977" t="s">
        <v>57</v>
      </c>
      <c r="N37" s="1066">
        <v>30788</v>
      </c>
      <c r="O37" s="52" t="s">
        <v>57</v>
      </c>
      <c r="P37" s="1068" t="s">
        <v>328</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459</v>
      </c>
    </row>
    <row r="38" spans="1:30" ht="39.75" customHeight="1">
      <c r="A38" s="1069" t="s">
        <v>460</v>
      </c>
      <c r="B38" s="450" t="s">
        <v>313</v>
      </c>
      <c r="C38" s="375">
        <v>46045</v>
      </c>
      <c r="D38" s="975" t="s">
        <v>127</v>
      </c>
      <c r="E38" s="375"/>
      <c r="F38" s="374"/>
      <c r="G38" s="637"/>
      <c r="H38" s="1065">
        <v>88</v>
      </c>
      <c r="I38" s="976" t="s">
        <v>374</v>
      </c>
      <c r="J38" s="977" t="s">
        <v>63</v>
      </c>
      <c r="K38" s="1007"/>
      <c r="L38" s="476" t="s">
        <v>52</v>
      </c>
      <c r="M38" s="977" t="s">
        <v>57</v>
      </c>
      <c r="N38" s="1066">
        <v>5668</v>
      </c>
      <c r="O38" s="52" t="s">
        <v>57</v>
      </c>
      <c r="P38" s="1068" t="s">
        <v>328</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451</v>
      </c>
    </row>
    <row r="39" spans="1:30" ht="39.75" customHeight="1">
      <c r="A39" s="1069" t="s">
        <v>461</v>
      </c>
      <c r="B39" s="450" t="s">
        <v>313</v>
      </c>
      <c r="C39" s="375">
        <v>46045</v>
      </c>
      <c r="D39" s="975" t="s">
        <v>127</v>
      </c>
      <c r="E39" s="375"/>
      <c r="F39" s="374"/>
      <c r="G39" s="637"/>
      <c r="H39" s="1065">
        <v>30</v>
      </c>
      <c r="I39" s="976" t="s">
        <v>374</v>
      </c>
      <c r="J39" s="977" t="s">
        <v>63</v>
      </c>
      <c r="K39" s="1007"/>
      <c r="L39" s="476" t="s">
        <v>52</v>
      </c>
      <c r="M39" s="977" t="s">
        <v>57</v>
      </c>
      <c r="N39" s="1066">
        <v>170</v>
      </c>
      <c r="O39" s="52" t="s">
        <v>57</v>
      </c>
      <c r="P39" s="1068" t="s">
        <v>328</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451</v>
      </c>
    </row>
    <row r="40" spans="1:30" ht="39.75" customHeight="1">
      <c r="A40" s="1069" t="s">
        <v>462</v>
      </c>
      <c r="B40" s="450" t="s">
        <v>313</v>
      </c>
      <c r="C40" s="375">
        <v>46045</v>
      </c>
      <c r="D40" s="975" t="s">
        <v>127</v>
      </c>
      <c r="E40" s="375">
        <v>45959</v>
      </c>
      <c r="F40" s="374" t="s">
        <v>159</v>
      </c>
      <c r="G40" s="637"/>
      <c r="H40" s="376">
        <v>89</v>
      </c>
      <c r="I40" s="976" t="s">
        <v>374</v>
      </c>
      <c r="J40" s="977" t="s">
        <v>63</v>
      </c>
      <c r="K40" s="650"/>
      <c r="L40" s="51">
        <v>45964</v>
      </c>
      <c r="M40" s="52" t="s">
        <v>57</v>
      </c>
      <c r="N40" s="838">
        <v>84750.5</v>
      </c>
      <c r="O40" s="52" t="s">
        <v>57</v>
      </c>
      <c r="P40" s="1068" t="s">
        <v>328</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463</v>
      </c>
    </row>
    <row r="41" spans="1:30" ht="39.75" customHeight="1">
      <c r="A41" s="1069" t="s">
        <v>464</v>
      </c>
      <c r="B41" s="450" t="s">
        <v>313</v>
      </c>
      <c r="C41" s="375">
        <v>45989</v>
      </c>
      <c r="D41" s="975" t="s">
        <v>127</v>
      </c>
      <c r="E41" s="375">
        <v>45959</v>
      </c>
      <c r="F41" s="374" t="s">
        <v>159</v>
      </c>
      <c r="G41" s="637" t="s">
        <v>465</v>
      </c>
      <c r="H41" s="376">
        <v>59</v>
      </c>
      <c r="I41" s="976" t="s">
        <v>374</v>
      </c>
      <c r="J41" s="977" t="s">
        <v>63</v>
      </c>
      <c r="K41" s="650"/>
      <c r="L41" s="51">
        <v>45964</v>
      </c>
      <c r="M41" s="977" t="s">
        <v>57</v>
      </c>
      <c r="N41" s="838">
        <v>65066.5</v>
      </c>
      <c r="O41" s="52" t="s">
        <v>57</v>
      </c>
      <c r="P41" s="1068" t="s">
        <v>328</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466</v>
      </c>
    </row>
    <row r="42" spans="1:30" ht="39.75" customHeight="1">
      <c r="A42" s="1069" t="s">
        <v>467</v>
      </c>
      <c r="B42" s="450" t="s">
        <v>313</v>
      </c>
      <c r="C42" s="375">
        <v>46010</v>
      </c>
      <c r="D42" s="975" t="s">
        <v>127</v>
      </c>
      <c r="E42" s="375">
        <v>45959</v>
      </c>
      <c r="F42" s="374" t="s">
        <v>159</v>
      </c>
      <c r="G42" s="637" t="s">
        <v>468</v>
      </c>
      <c r="H42" s="376">
        <v>89</v>
      </c>
      <c r="I42" s="976" t="s">
        <v>374</v>
      </c>
      <c r="J42" s="977" t="s">
        <v>63</v>
      </c>
      <c r="K42" s="650"/>
      <c r="L42" s="51">
        <v>45964</v>
      </c>
      <c r="M42" s="977" t="s">
        <v>57</v>
      </c>
      <c r="N42" s="838">
        <v>81602</v>
      </c>
      <c r="O42" s="52" t="s">
        <v>57</v>
      </c>
      <c r="P42" s="1068" t="s">
        <v>328</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469</v>
      </c>
    </row>
    <row r="43" spans="1:30" ht="39.75" customHeight="1">
      <c r="A43" s="1069" t="s">
        <v>470</v>
      </c>
      <c r="B43" s="450" t="s">
        <v>313</v>
      </c>
      <c r="C43" s="375">
        <v>46045</v>
      </c>
      <c r="D43" s="975" t="s">
        <v>127</v>
      </c>
      <c r="E43" s="375">
        <v>45959</v>
      </c>
      <c r="F43" s="374" t="s">
        <v>159</v>
      </c>
      <c r="G43" s="637"/>
      <c r="H43" s="376">
        <v>88</v>
      </c>
      <c r="I43" s="976" t="s">
        <v>374</v>
      </c>
      <c r="J43" s="977" t="s">
        <v>63</v>
      </c>
      <c r="K43" s="650"/>
      <c r="L43" s="51">
        <v>45961</v>
      </c>
      <c r="M43" s="52" t="s">
        <v>57</v>
      </c>
      <c r="N43" s="838">
        <v>88231.9</v>
      </c>
      <c r="O43" s="52" t="s">
        <v>57</v>
      </c>
      <c r="P43" s="1068" t="s">
        <v>328</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471</v>
      </c>
    </row>
    <row r="44" spans="1:30" ht="39.75" customHeight="1">
      <c r="A44" s="1069" t="s">
        <v>472</v>
      </c>
      <c r="B44" s="450" t="s">
        <v>313</v>
      </c>
      <c r="C44" s="375">
        <v>45989</v>
      </c>
      <c r="D44" s="975" t="s">
        <v>127</v>
      </c>
      <c r="E44" s="375">
        <v>45959</v>
      </c>
      <c r="F44" s="374" t="s">
        <v>159</v>
      </c>
      <c r="G44" s="637" t="s">
        <v>473</v>
      </c>
      <c r="H44" s="376">
        <v>87</v>
      </c>
      <c r="I44" s="976" t="s">
        <v>374</v>
      </c>
      <c r="J44" s="977" t="s">
        <v>63</v>
      </c>
      <c r="K44" s="650"/>
      <c r="L44" s="51">
        <v>45964</v>
      </c>
      <c r="M44" s="977" t="s">
        <v>57</v>
      </c>
      <c r="N44" s="838">
        <v>93578</v>
      </c>
      <c r="O44" s="52" t="s">
        <v>57</v>
      </c>
      <c r="P44" s="1068" t="s">
        <v>328</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474</v>
      </c>
    </row>
    <row r="45" spans="1:30" ht="39.75" customHeight="1">
      <c r="A45" s="1069" t="s">
        <v>475</v>
      </c>
      <c r="B45" s="450" t="s">
        <v>313</v>
      </c>
      <c r="C45" s="375">
        <v>46045</v>
      </c>
      <c r="D45" s="975" t="s">
        <v>127</v>
      </c>
      <c r="E45" s="375">
        <v>45959</v>
      </c>
      <c r="F45" s="374" t="s">
        <v>159</v>
      </c>
      <c r="G45" s="637"/>
      <c r="H45" s="376">
        <v>90</v>
      </c>
      <c r="I45" s="976" t="s">
        <v>374</v>
      </c>
      <c r="J45" s="977" t="s">
        <v>63</v>
      </c>
      <c r="K45" s="650"/>
      <c r="L45" s="51">
        <v>45964</v>
      </c>
      <c r="M45" s="52" t="s">
        <v>57</v>
      </c>
      <c r="N45" s="838">
        <v>84896</v>
      </c>
      <c r="O45" s="52" t="s">
        <v>57</v>
      </c>
      <c r="P45" s="1068" t="s">
        <v>328</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476</v>
      </c>
    </row>
    <row r="46" spans="1:30" ht="39.75" customHeight="1">
      <c r="A46" s="1323" t="s">
        <v>477</v>
      </c>
      <c r="B46" s="1149" t="s">
        <v>313</v>
      </c>
      <c r="C46" s="1294">
        <v>46019</v>
      </c>
      <c r="D46" s="975" t="s">
        <v>127</v>
      </c>
      <c r="E46" s="1294">
        <v>45959</v>
      </c>
      <c r="F46" s="1295" t="s">
        <v>159</v>
      </c>
      <c r="G46" s="1295" t="s">
        <v>478</v>
      </c>
      <c r="H46" s="1296">
        <v>90</v>
      </c>
      <c r="I46" s="976" t="s">
        <v>374</v>
      </c>
      <c r="J46" s="1281" t="s">
        <v>63</v>
      </c>
      <c r="K46" s="650"/>
      <c r="L46" s="1298">
        <v>45961</v>
      </c>
      <c r="M46" s="1281" t="s">
        <v>57</v>
      </c>
      <c r="N46" s="1324">
        <v>91897</v>
      </c>
      <c r="O46" s="1300" t="s">
        <v>57</v>
      </c>
      <c r="P46" s="1325" t="s">
        <v>328</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479</v>
      </c>
    </row>
    <row r="47" spans="1:30" ht="39.75" customHeight="1">
      <c r="A47" s="1069" t="s">
        <v>480</v>
      </c>
      <c r="B47" s="450" t="s">
        <v>313</v>
      </c>
      <c r="C47" s="375">
        <v>45989</v>
      </c>
      <c r="D47" s="975" t="s">
        <v>127</v>
      </c>
      <c r="E47" s="375">
        <v>45959</v>
      </c>
      <c r="F47" s="374" t="s">
        <v>159</v>
      </c>
      <c r="G47" s="637" t="s">
        <v>481</v>
      </c>
      <c r="H47" s="376">
        <v>90</v>
      </c>
      <c r="I47" s="976" t="s">
        <v>374</v>
      </c>
      <c r="J47" s="977" t="s">
        <v>63</v>
      </c>
      <c r="K47" s="650"/>
      <c r="L47" s="51">
        <v>45964</v>
      </c>
      <c r="M47" s="977" t="s">
        <v>57</v>
      </c>
      <c r="N47" s="838">
        <v>96685</v>
      </c>
      <c r="O47" s="52" t="s">
        <v>57</v>
      </c>
      <c r="P47" s="1068" t="s">
        <v>328</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482</v>
      </c>
    </row>
    <row r="48" spans="1:30" ht="39.75" customHeight="1">
      <c r="A48" s="1323" t="s">
        <v>483</v>
      </c>
      <c r="B48" s="1149" t="s">
        <v>313</v>
      </c>
      <c r="C48" s="1294">
        <v>46019</v>
      </c>
      <c r="D48" s="975" t="s">
        <v>127</v>
      </c>
      <c r="E48" s="1294">
        <v>45959</v>
      </c>
      <c r="F48" s="1295" t="s">
        <v>159</v>
      </c>
      <c r="G48" s="1295" t="s">
        <v>484</v>
      </c>
      <c r="H48" s="1296">
        <v>90</v>
      </c>
      <c r="I48" s="976" t="s">
        <v>374</v>
      </c>
      <c r="J48" s="1281" t="s">
        <v>63</v>
      </c>
      <c r="K48" s="1297"/>
      <c r="L48" s="1298">
        <v>45964</v>
      </c>
      <c r="M48" s="1281" t="s">
        <v>57</v>
      </c>
      <c r="N48" s="1324">
        <v>85815</v>
      </c>
      <c r="O48" s="1300" t="s">
        <v>57</v>
      </c>
      <c r="P48" s="1325" t="s">
        <v>328</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485</v>
      </c>
    </row>
    <row r="49" spans="1:30" ht="39.75" customHeight="1">
      <c r="A49" s="1069" t="s">
        <v>486</v>
      </c>
      <c r="B49" s="450" t="s">
        <v>313</v>
      </c>
      <c r="C49" s="375">
        <v>46021</v>
      </c>
      <c r="D49" s="975" t="s">
        <v>127</v>
      </c>
      <c r="E49" s="375">
        <v>45959</v>
      </c>
      <c r="F49" s="374" t="s">
        <v>159</v>
      </c>
      <c r="G49" s="637" t="s">
        <v>487</v>
      </c>
      <c r="H49" s="376">
        <v>89</v>
      </c>
      <c r="I49" s="976" t="s">
        <v>374</v>
      </c>
      <c r="J49" s="977" t="s">
        <v>63</v>
      </c>
      <c r="K49" s="650"/>
      <c r="L49" s="51">
        <v>45961</v>
      </c>
      <c r="M49" s="977" t="s">
        <v>57</v>
      </c>
      <c r="N49" s="838">
        <v>83615</v>
      </c>
      <c r="O49" s="52" t="s">
        <v>57</v>
      </c>
      <c r="P49" s="1068" t="s">
        <v>328</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488</v>
      </c>
    </row>
    <row r="50" spans="1:30" ht="39.75" customHeight="1">
      <c r="A50" s="1323" t="s">
        <v>489</v>
      </c>
      <c r="B50" s="1149" t="s">
        <v>313</v>
      </c>
      <c r="C50" s="1294">
        <v>46021</v>
      </c>
      <c r="D50" s="975" t="s">
        <v>127</v>
      </c>
      <c r="E50" s="1294">
        <v>45959</v>
      </c>
      <c r="F50" s="1295" t="s">
        <v>159</v>
      </c>
      <c r="G50" s="1295" t="s">
        <v>490</v>
      </c>
      <c r="H50" s="1296">
        <v>88</v>
      </c>
      <c r="I50" s="976" t="s">
        <v>374</v>
      </c>
      <c r="J50" s="1281" t="s">
        <v>63</v>
      </c>
      <c r="K50" s="650"/>
      <c r="L50" s="1298">
        <v>45964</v>
      </c>
      <c r="M50" s="1281" t="s">
        <v>57</v>
      </c>
      <c r="N50" s="1324">
        <v>78736.5</v>
      </c>
      <c r="O50" s="1300" t="s">
        <v>57</v>
      </c>
      <c r="P50" s="1325" t="s">
        <v>328</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491</v>
      </c>
    </row>
    <row r="51" spans="1:30" ht="39.75" customHeight="1">
      <c r="A51" s="1323" t="s">
        <v>492</v>
      </c>
      <c r="B51" s="1149" t="s">
        <v>313</v>
      </c>
      <c r="C51" s="1294">
        <v>46021</v>
      </c>
      <c r="D51" s="975" t="s">
        <v>127</v>
      </c>
      <c r="E51" s="1294">
        <v>45959</v>
      </c>
      <c r="F51" s="1295" t="s">
        <v>159</v>
      </c>
      <c r="G51" s="1295" t="s">
        <v>493</v>
      </c>
      <c r="H51" s="1296">
        <v>86</v>
      </c>
      <c r="I51" s="976" t="s">
        <v>374</v>
      </c>
      <c r="J51" s="1281" t="s">
        <v>63</v>
      </c>
      <c r="K51" s="650"/>
      <c r="L51" s="1298">
        <v>45964</v>
      </c>
      <c r="M51" s="1281" t="s">
        <v>57</v>
      </c>
      <c r="N51" s="1324">
        <v>80698</v>
      </c>
      <c r="O51" s="1300" t="s">
        <v>57</v>
      </c>
      <c r="P51" s="1325" t="s">
        <v>328</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85</v>
      </c>
      <c r="I52" s="976" t="s">
        <v>374</v>
      </c>
      <c r="J52" s="1281" t="s">
        <v>63</v>
      </c>
      <c r="K52" s="650"/>
      <c r="L52" s="1298">
        <v>45964</v>
      </c>
      <c r="M52" s="1281" t="s">
        <v>57</v>
      </c>
      <c r="N52" s="1324">
        <v>84770</v>
      </c>
      <c r="O52" s="1300" t="s">
        <v>57</v>
      </c>
      <c r="P52" s="1325" t="s">
        <v>328</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497</v>
      </c>
    </row>
    <row r="53" spans="1:30" ht="39.75" customHeight="1">
      <c r="A53" s="1323" t="s">
        <v>498</v>
      </c>
      <c r="B53" s="1149" t="s">
        <v>313</v>
      </c>
      <c r="C53" s="1294">
        <v>46019</v>
      </c>
      <c r="D53" s="975" t="s">
        <v>127</v>
      </c>
      <c r="E53" s="1294">
        <v>45959</v>
      </c>
      <c r="F53" s="1295" t="s">
        <v>159</v>
      </c>
      <c r="G53" s="1295" t="s">
        <v>499</v>
      </c>
      <c r="H53" s="1296">
        <v>87</v>
      </c>
      <c r="I53" s="976" t="s">
        <v>374</v>
      </c>
      <c r="J53" s="1281" t="s">
        <v>63</v>
      </c>
      <c r="K53" s="1297"/>
      <c r="L53" s="1298">
        <v>45964</v>
      </c>
      <c r="M53" s="1281" t="s">
        <v>57</v>
      </c>
      <c r="N53" s="1324">
        <v>87875</v>
      </c>
      <c r="O53" s="1300" t="s">
        <v>57</v>
      </c>
      <c r="P53" s="1325" t="s">
        <v>328</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500</v>
      </c>
      <c r="AD53" s="1258" t="s">
        <v>501</v>
      </c>
    </row>
    <row r="54" spans="1:30" ht="39.75" customHeight="1">
      <c r="A54" s="1323" t="s">
        <v>502</v>
      </c>
      <c r="B54" s="1149" t="s">
        <v>313</v>
      </c>
      <c r="C54" s="1294">
        <v>46019</v>
      </c>
      <c r="D54" s="975" t="s">
        <v>127</v>
      </c>
      <c r="E54" s="1294">
        <v>45959</v>
      </c>
      <c r="F54" s="1295" t="s">
        <v>159</v>
      </c>
      <c r="G54" s="1295" t="s">
        <v>503</v>
      </c>
      <c r="H54" s="1296">
        <v>0</v>
      </c>
      <c r="I54" s="976" t="s">
        <v>374</v>
      </c>
      <c r="J54" s="1281" t="s">
        <v>63</v>
      </c>
      <c r="K54" s="1297"/>
      <c r="L54" s="1298">
        <v>45961</v>
      </c>
      <c r="M54" s="1281" t="s">
        <v>57</v>
      </c>
      <c r="N54" s="1324">
        <v>64985.65</v>
      </c>
      <c r="O54" s="1300" t="s">
        <v>57</v>
      </c>
      <c r="P54" s="1363" t="s">
        <v>328</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54043.5</v>
      </c>
      <c r="O55" s="1300" t="s">
        <v>57</v>
      </c>
      <c r="P55" s="1325" t="s">
        <v>328</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507</v>
      </c>
    </row>
    <row r="56" spans="1:30" ht="39.75" customHeight="1">
      <c r="A56" s="1071" t="s">
        <v>508</v>
      </c>
      <c r="B56" s="788" t="s">
        <v>50</v>
      </c>
      <c r="C56" s="887">
        <v>45991</v>
      </c>
      <c r="D56" s="1087" t="s">
        <v>84</v>
      </c>
      <c r="E56" s="57">
        <v>45743</v>
      </c>
      <c r="F56" s="771" t="s">
        <v>68</v>
      </c>
      <c r="G56" s="789" t="s">
        <v>509</v>
      </c>
      <c r="H56" s="775">
        <v>69</v>
      </c>
      <c r="I56" s="661" t="s">
        <v>374</v>
      </c>
      <c r="J56" s="469" t="s">
        <v>63</v>
      </c>
      <c r="K56" s="903"/>
      <c r="L56" s="51">
        <v>45741</v>
      </c>
      <c r="M56" s="376" t="s">
        <v>57</v>
      </c>
      <c r="N56" s="838">
        <v>67734.5</v>
      </c>
      <c r="O56" s="376" t="s">
        <v>57</v>
      </c>
      <c r="P56" s="1068" t="s">
        <v>328</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510</v>
      </c>
    </row>
    <row r="57" spans="1:30" ht="39.75" customHeight="1">
      <c r="A57" s="1071" t="s">
        <v>511</v>
      </c>
      <c r="B57" s="770" t="s">
        <v>50</v>
      </c>
      <c r="C57" s="887">
        <v>45991</v>
      </c>
      <c r="D57" s="1072" t="s">
        <v>512</v>
      </c>
      <c r="E57" s="772">
        <v>45735</v>
      </c>
      <c r="F57" s="771" t="s">
        <v>68</v>
      </c>
      <c r="G57" s="774" t="s">
        <v>513</v>
      </c>
      <c r="H57" s="775">
        <v>70</v>
      </c>
      <c r="I57" s="470" t="s">
        <v>374</v>
      </c>
      <c r="J57" s="478" t="s">
        <v>63</v>
      </c>
      <c r="K57" s="52"/>
      <c r="L57" s="375">
        <v>45716</v>
      </c>
      <c r="M57" s="52" t="s">
        <v>57</v>
      </c>
      <c r="N57" s="1076">
        <v>56262.5</v>
      </c>
      <c r="O57" s="52" t="s">
        <v>57</v>
      </c>
      <c r="P57" s="1068" t="s">
        <v>328</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514</v>
      </c>
    </row>
    <row r="58" spans="1:30" ht="39.75" customHeight="1">
      <c r="A58" s="926" t="s">
        <v>515</v>
      </c>
      <c r="B58" s="823" t="s">
        <v>50</v>
      </c>
      <c r="C58" s="467">
        <v>45991</v>
      </c>
      <c r="D58" s="467" t="s">
        <v>84</v>
      </c>
      <c r="E58" s="476">
        <v>45748</v>
      </c>
      <c r="F58" s="475" t="s">
        <v>68</v>
      </c>
      <c r="G58" s="824" t="s">
        <v>516</v>
      </c>
      <c r="H58" s="478">
        <v>0</v>
      </c>
      <c r="I58" s="478" t="s">
        <v>374</v>
      </c>
      <c r="J58" s="469" t="s">
        <v>63</v>
      </c>
      <c r="K58" s="825"/>
      <c r="L58" s="476">
        <v>45741</v>
      </c>
      <c r="M58" s="469" t="s">
        <v>57</v>
      </c>
      <c r="N58" s="543">
        <v>17203.45</v>
      </c>
      <c r="O58" s="469" t="s">
        <v>57</v>
      </c>
      <c r="P58" s="974" t="s">
        <v>328</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1" t="s">
        <v>518</v>
      </c>
      <c r="B59" s="788" t="s">
        <v>50</v>
      </c>
      <c r="C59" s="887">
        <v>45991</v>
      </c>
      <c r="D59" s="1087" t="s">
        <v>84</v>
      </c>
      <c r="E59" s="57">
        <v>45779</v>
      </c>
      <c r="F59" s="771" t="s">
        <v>68</v>
      </c>
      <c r="G59" s="789" t="s">
        <v>519</v>
      </c>
      <c r="H59" s="775">
        <v>0</v>
      </c>
      <c r="I59" s="478" t="s">
        <v>374</v>
      </c>
      <c r="J59" s="469" t="s">
        <v>63</v>
      </c>
      <c r="K59" s="903"/>
      <c r="L59" s="51">
        <v>45742</v>
      </c>
      <c r="M59" s="909" t="s">
        <v>57</v>
      </c>
      <c r="N59" s="1076">
        <v>23800.25</v>
      </c>
      <c r="O59" s="376" t="s">
        <v>57</v>
      </c>
      <c r="P59" s="1068" t="s">
        <v>328</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520</v>
      </c>
    </row>
    <row r="60" spans="1:30" ht="39.75" customHeight="1">
      <c r="A60" s="1276" t="s">
        <v>521</v>
      </c>
      <c r="B60" s="823" t="s">
        <v>50</v>
      </c>
      <c r="C60" s="1203">
        <v>46008</v>
      </c>
      <c r="D60" s="1203" t="s">
        <v>522</v>
      </c>
      <c r="E60" s="1223">
        <v>45958</v>
      </c>
      <c r="F60" s="1224" t="s">
        <v>61</v>
      </c>
      <c r="G60" s="1224" t="s">
        <v>523</v>
      </c>
      <c r="H60" s="1225">
        <v>517</v>
      </c>
      <c r="I60" s="661" t="s">
        <v>524</v>
      </c>
      <c r="J60" s="1205" t="s">
        <v>56</v>
      </c>
      <c r="K60" s="1250"/>
      <c r="L60" s="1223">
        <v>45964</v>
      </c>
      <c r="M60" s="1225" t="s">
        <v>57</v>
      </c>
      <c r="N60" s="1236">
        <v>215088</v>
      </c>
      <c r="O60" s="1225" t="s">
        <v>57</v>
      </c>
      <c r="P60" s="1277" t="s">
        <v>328</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525</v>
      </c>
    </row>
    <row r="61" spans="1:30" ht="39.75" customHeight="1">
      <c r="A61" s="1276" t="s">
        <v>526</v>
      </c>
      <c r="B61" s="823" t="s">
        <v>50</v>
      </c>
      <c r="C61" s="1203">
        <v>46218</v>
      </c>
      <c r="D61" s="1203" t="s">
        <v>527</v>
      </c>
      <c r="E61" s="51" t="s">
        <v>52</v>
      </c>
      <c r="F61" s="1224" t="s">
        <v>68</v>
      </c>
      <c r="G61" s="1224" t="s">
        <v>528</v>
      </c>
      <c r="H61" s="1225">
        <v>380</v>
      </c>
      <c r="I61" s="661" t="s">
        <v>374</v>
      </c>
      <c r="J61" s="1205" t="s">
        <v>56</v>
      </c>
      <c r="K61" s="1250"/>
      <c r="L61" s="1223">
        <v>45964</v>
      </c>
      <c r="M61" s="1225" t="s">
        <v>57</v>
      </c>
      <c r="N61" s="1236">
        <v>117414</v>
      </c>
      <c r="O61" s="1225" t="s">
        <v>57</v>
      </c>
      <c r="P61" s="1277" t="s">
        <v>328</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529</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B4" sqref="B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530</v>
      </c>
      <c r="B2" s="830" t="s">
        <v>203</v>
      </c>
      <c r="C2" s="467">
        <v>45960</v>
      </c>
      <c r="D2" s="467" t="s">
        <v>217</v>
      </c>
      <c r="E2" s="467">
        <v>45852</v>
      </c>
      <c r="F2" s="642" t="s">
        <v>218</v>
      </c>
      <c r="G2" s="682" t="s">
        <v>531</v>
      </c>
      <c r="H2" s="469">
        <v>0</v>
      </c>
      <c r="I2" s="469" t="s">
        <v>374</v>
      </c>
      <c r="J2" s="469" t="s">
        <v>63</v>
      </c>
      <c r="K2" s="469"/>
      <c r="L2" s="467">
        <v>45852</v>
      </c>
      <c r="M2" s="469" t="s">
        <v>57</v>
      </c>
      <c r="N2" s="542">
        <v>42837.2</v>
      </c>
      <c r="O2" s="469" t="s">
        <v>57</v>
      </c>
      <c r="P2" s="806" t="s">
        <v>328</v>
      </c>
      <c r="Q2" s="471">
        <v>45852</v>
      </c>
      <c r="R2" s="869"/>
      <c r="S2" s="869"/>
      <c r="T2" s="869"/>
      <c r="U2" s="87" t="s">
        <v>532</v>
      </c>
      <c r="V2" s="490">
        <v>3432</v>
      </c>
      <c r="W2" s="741">
        <v>3519</v>
      </c>
      <c r="X2" s="106">
        <f>SUM(V2-W2)</f>
        <v>-87</v>
      </c>
      <c r="Y2" s="657">
        <f>IFERROR($W2/$V2, 0)</f>
        <v>1.0253496503496504</v>
      </c>
      <c r="Z2" s="678">
        <v>45866</v>
      </c>
      <c r="AA2" s="355">
        <v>1</v>
      </c>
      <c r="AB2" s="355">
        <v>1</v>
      </c>
      <c r="AC2" s="1002">
        <v>0</v>
      </c>
      <c r="AD2" s="541"/>
    </row>
    <row r="3" spans="1:30" ht="39.75" customHeight="1">
      <c r="A3" s="842" t="s">
        <v>533</v>
      </c>
      <c r="B3" s="491" t="s">
        <v>203</v>
      </c>
      <c r="C3" s="467">
        <v>45868</v>
      </c>
      <c r="D3" s="475" t="s">
        <v>534</v>
      </c>
      <c r="E3" s="476">
        <v>45716</v>
      </c>
      <c r="F3" s="475" t="s">
        <v>218</v>
      </c>
      <c r="G3" s="597" t="s">
        <v>535</v>
      </c>
      <c r="H3" s="478">
        <v>0</v>
      </c>
      <c r="I3" s="483" t="s">
        <v>374</v>
      </c>
      <c r="J3" s="478" t="s">
        <v>63</v>
      </c>
      <c r="K3" s="487"/>
      <c r="L3" s="467">
        <v>45716</v>
      </c>
      <c r="M3" s="478" t="s">
        <v>57</v>
      </c>
      <c r="N3" s="543">
        <v>64932.55</v>
      </c>
      <c r="O3" s="478" t="s">
        <v>57</v>
      </c>
      <c r="P3" s="806" t="s">
        <v>328</v>
      </c>
      <c r="Q3" s="479">
        <v>45721</v>
      </c>
      <c r="R3" s="54"/>
      <c r="S3" s="54"/>
      <c r="T3" s="54"/>
      <c r="U3" s="87" t="s">
        <v>532</v>
      </c>
      <c r="V3" s="1100">
        <v>5151</v>
      </c>
      <c r="W3" s="742">
        <v>5207</v>
      </c>
      <c r="X3" s="106">
        <f>SUM(V3-W3)</f>
        <v>-56</v>
      </c>
      <c r="Y3" s="22">
        <f>IFERROR($W3/$V3, 0)</f>
        <v>1.0108716754028344</v>
      </c>
      <c r="Z3" s="678">
        <v>45748</v>
      </c>
      <c r="AA3" s="355">
        <v>1</v>
      </c>
      <c r="AB3" s="355">
        <v>1</v>
      </c>
      <c r="AC3" s="41">
        <v>0</v>
      </c>
      <c r="AD3" s="871"/>
    </row>
    <row r="4" spans="1:30" ht="39.75" customHeight="1">
      <c r="A4" s="854" t="s">
        <v>536</v>
      </c>
      <c r="B4" s="1453" t="s">
        <v>203</v>
      </c>
      <c r="C4" s="907">
        <v>45999</v>
      </c>
      <c r="D4" s="911" t="s">
        <v>84</v>
      </c>
      <c r="E4" s="985">
        <v>45975</v>
      </c>
      <c r="F4" s="911" t="s">
        <v>204</v>
      </c>
      <c r="G4" s="990" t="s">
        <v>537</v>
      </c>
      <c r="H4" s="977">
        <v>0</v>
      </c>
      <c r="I4" s="910" t="s">
        <v>374</v>
      </c>
      <c r="J4" s="909" t="s">
        <v>63</v>
      </c>
      <c r="K4" s="909"/>
      <c r="L4" s="51">
        <v>45960</v>
      </c>
      <c r="M4" s="1454" t="s">
        <v>57</v>
      </c>
      <c r="N4" s="987">
        <v>4911.8999999999996</v>
      </c>
      <c r="O4" s="977" t="s">
        <v>57</v>
      </c>
      <c r="P4" s="913" t="s">
        <v>328</v>
      </c>
      <c r="Q4" s="599">
        <v>45960</v>
      </c>
      <c r="R4" s="599"/>
      <c r="S4" s="599"/>
      <c r="T4" s="599"/>
      <c r="U4" s="87" t="s">
        <v>532</v>
      </c>
      <c r="V4" s="978">
        <v>294</v>
      </c>
      <c r="W4" s="940">
        <v>321</v>
      </c>
      <c r="X4" s="600">
        <f t="shared" ref="X4" si="0">SUM(V4-W4)</f>
        <v>-27</v>
      </c>
      <c r="Y4" s="970">
        <f t="shared" ref="Y4" si="1">IFERROR($W4/$V4, 0)</f>
        <v>1.0918367346938775</v>
      </c>
      <c r="Z4" s="599">
        <v>45979</v>
      </c>
      <c r="AA4" s="601">
        <v>1</v>
      </c>
      <c r="AB4" s="601">
        <v>1</v>
      </c>
      <c r="AC4" s="978">
        <v>321</v>
      </c>
      <c r="AD4" s="886" t="s">
        <v>538</v>
      </c>
    </row>
    <row r="5" spans="1:30" ht="39.75" customHeight="1">
      <c r="A5" s="878" t="s">
        <v>539</v>
      </c>
      <c r="B5" s="491" t="s">
        <v>203</v>
      </c>
      <c r="C5" s="467">
        <v>45991</v>
      </c>
      <c r="D5" s="476" t="s">
        <v>391</v>
      </c>
      <c r="E5" s="428">
        <v>45707</v>
      </c>
      <c r="F5" s="475" t="s">
        <v>218</v>
      </c>
      <c r="G5" s="492" t="s">
        <v>540</v>
      </c>
      <c r="H5" s="483">
        <v>0</v>
      </c>
      <c r="I5" s="483" t="s">
        <v>374</v>
      </c>
      <c r="J5" s="483" t="s">
        <v>63</v>
      </c>
      <c r="K5" s="483"/>
      <c r="L5" s="476">
        <v>45708</v>
      </c>
      <c r="M5" s="483" t="s">
        <v>57</v>
      </c>
      <c r="N5" s="544">
        <v>87944.4</v>
      </c>
      <c r="O5" s="483" t="s">
        <v>57</v>
      </c>
      <c r="P5" s="806" t="s">
        <v>328</v>
      </c>
      <c r="Q5" s="479">
        <v>45709</v>
      </c>
      <c r="R5" s="1101"/>
      <c r="S5" s="1101"/>
      <c r="T5" s="1101"/>
      <c r="U5" s="1102" t="s">
        <v>532</v>
      </c>
      <c r="V5" s="493">
        <v>7008</v>
      </c>
      <c r="W5" s="741">
        <v>7258</v>
      </c>
      <c r="X5" s="106">
        <f t="shared" ref="X5" si="2">SUM(V5-W5)</f>
        <v>-250</v>
      </c>
      <c r="Y5" s="22">
        <f t="shared" ref="Y5" si="3">IFERROR($W5/$V5, 0)</f>
        <v>1.0356735159817352</v>
      </c>
      <c r="Z5" s="678">
        <v>45747</v>
      </c>
      <c r="AA5" s="473">
        <v>1</v>
      </c>
      <c r="AB5" s="473">
        <v>1</v>
      </c>
      <c r="AC5" s="815">
        <v>0</v>
      </c>
      <c r="AD5" s="872" t="s">
        <v>541</v>
      </c>
    </row>
    <row r="6" spans="1:30" ht="39.75" customHeight="1">
      <c r="A6" s="842" t="s">
        <v>542</v>
      </c>
      <c r="B6" s="830" t="s">
        <v>203</v>
      </c>
      <c r="C6" s="476">
        <v>45807</v>
      </c>
      <c r="D6" s="465" t="s">
        <v>534</v>
      </c>
      <c r="E6" s="475" t="s">
        <v>52</v>
      </c>
      <c r="F6" s="465" t="s">
        <v>218</v>
      </c>
      <c r="G6" s="824" t="s">
        <v>543</v>
      </c>
      <c r="H6" s="469">
        <v>84</v>
      </c>
      <c r="I6" s="828" t="s">
        <v>374</v>
      </c>
      <c r="J6" s="478" t="s">
        <v>63</v>
      </c>
      <c r="K6" s="843"/>
      <c r="L6" s="467">
        <v>45716</v>
      </c>
      <c r="M6" s="478" t="s">
        <v>57</v>
      </c>
      <c r="N6" s="542">
        <v>2812.95</v>
      </c>
      <c r="O6" s="478" t="s">
        <v>57</v>
      </c>
      <c r="P6" s="806" t="s">
        <v>328</v>
      </c>
      <c r="Q6" s="479">
        <v>45792</v>
      </c>
      <c r="R6" s="479">
        <v>45947</v>
      </c>
      <c r="S6" s="352"/>
      <c r="T6" s="352"/>
      <c r="U6" s="486" t="s">
        <v>532</v>
      </c>
      <c r="V6" s="41">
        <v>285</v>
      </c>
      <c r="W6" s="844">
        <v>285</v>
      </c>
      <c r="X6" s="472">
        <f>SUM(V6-W6)</f>
        <v>0</v>
      </c>
      <c r="Y6" s="662">
        <f>IFERROR($W6/$V6, 0)</f>
        <v>1</v>
      </c>
      <c r="Z6" s="479">
        <v>45798</v>
      </c>
      <c r="AA6" s="662">
        <v>1</v>
      </c>
      <c r="AB6" s="662">
        <v>1</v>
      </c>
      <c r="AC6" s="472">
        <v>3451</v>
      </c>
      <c r="AD6" s="664"/>
    </row>
    <row r="7" spans="1:30" ht="39.75" customHeight="1">
      <c r="A7" s="929" t="s">
        <v>544</v>
      </c>
      <c r="B7" s="491" t="s">
        <v>203</v>
      </c>
      <c r="C7" s="467">
        <v>45991</v>
      </c>
      <c r="D7" s="475" t="s">
        <v>545</v>
      </c>
      <c r="E7" s="476">
        <v>45716</v>
      </c>
      <c r="F7" s="475" t="s">
        <v>204</v>
      </c>
      <c r="G7" s="477" t="s">
        <v>546</v>
      </c>
      <c r="H7" s="478">
        <v>31</v>
      </c>
      <c r="I7" s="483" t="s">
        <v>374</v>
      </c>
      <c r="J7" s="478" t="s">
        <v>63</v>
      </c>
      <c r="K7" s="487"/>
      <c r="L7" s="467">
        <v>45716</v>
      </c>
      <c r="M7" s="478" t="s">
        <v>57</v>
      </c>
      <c r="N7" s="543">
        <v>28777</v>
      </c>
      <c r="O7" s="478" t="s">
        <v>57</v>
      </c>
      <c r="P7" s="806" t="s">
        <v>328</v>
      </c>
      <c r="Q7" s="479">
        <v>45716</v>
      </c>
      <c r="R7" s="479">
        <v>45992</v>
      </c>
      <c r="S7" s="479"/>
      <c r="T7" s="479"/>
      <c r="U7" s="486" t="s">
        <v>532</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547</v>
      </c>
      <c r="B8" s="491" t="s">
        <v>203</v>
      </c>
      <c r="C8" s="467">
        <v>45991</v>
      </c>
      <c r="D8" s="475" t="s">
        <v>391</v>
      </c>
      <c r="E8" s="476">
        <v>45866</v>
      </c>
      <c r="F8" s="475" t="s">
        <v>218</v>
      </c>
      <c r="G8" s="477" t="s">
        <v>548</v>
      </c>
      <c r="H8" s="478">
        <v>0</v>
      </c>
      <c r="I8" s="483" t="s">
        <v>374</v>
      </c>
      <c r="J8" s="478" t="s">
        <v>63</v>
      </c>
      <c r="K8" s="487"/>
      <c r="L8" s="476">
        <v>45863</v>
      </c>
      <c r="M8" s="478" t="s">
        <v>57</v>
      </c>
      <c r="N8" s="543">
        <v>143407.25</v>
      </c>
      <c r="O8" s="478" t="s">
        <v>57</v>
      </c>
      <c r="P8" s="806" t="s">
        <v>328</v>
      </c>
      <c r="Q8" s="479">
        <v>45863</v>
      </c>
      <c r="R8" s="479"/>
      <c r="S8" s="479"/>
      <c r="T8" s="479"/>
      <c r="U8" s="486" t="s">
        <v>532</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549</v>
      </c>
      <c r="B9" s="491" t="s">
        <v>203</v>
      </c>
      <c r="C9" s="467">
        <v>45991</v>
      </c>
      <c r="D9" s="475" t="s">
        <v>84</v>
      </c>
      <c r="E9" s="476">
        <v>45880</v>
      </c>
      <c r="F9" s="475" t="s">
        <v>204</v>
      </c>
      <c r="G9" s="477" t="s">
        <v>550</v>
      </c>
      <c r="H9" s="478">
        <v>0</v>
      </c>
      <c r="I9" s="483" t="s">
        <v>374</v>
      </c>
      <c r="J9" s="478" t="s">
        <v>63</v>
      </c>
      <c r="K9" s="487"/>
      <c r="L9" s="476">
        <v>45881</v>
      </c>
      <c r="M9" s="478" t="s">
        <v>57</v>
      </c>
      <c r="N9" s="543">
        <v>4815.6499999999996</v>
      </c>
      <c r="O9" s="478" t="s">
        <v>57</v>
      </c>
      <c r="P9" s="806" t="s">
        <v>328</v>
      </c>
      <c r="Q9" s="479">
        <v>45881</v>
      </c>
      <c r="R9" s="479">
        <v>45947</v>
      </c>
      <c r="S9" s="479"/>
      <c r="T9" s="479"/>
      <c r="U9" s="486" t="s">
        <v>532</v>
      </c>
      <c r="V9" s="41">
        <v>321</v>
      </c>
      <c r="W9" s="742">
        <v>367</v>
      </c>
      <c r="X9" s="106">
        <f>SUM(V9-W9)</f>
        <v>-46</v>
      </c>
      <c r="Y9" s="22">
        <f>IFERROR($W9/$V9, 0)</f>
        <v>1.1433021806853583</v>
      </c>
      <c r="Z9" s="678">
        <v>45905</v>
      </c>
      <c r="AA9" s="355">
        <v>0</v>
      </c>
      <c r="AB9" s="355">
        <v>0</v>
      </c>
      <c r="AC9" s="41">
        <v>0</v>
      </c>
      <c r="AD9" s="515"/>
    </row>
    <row r="10" spans="1:30" ht="39.75" customHeight="1">
      <c r="A10" s="939" t="s">
        <v>551</v>
      </c>
      <c r="B10" s="833" t="s">
        <v>203</v>
      </c>
      <c r="C10" s="834">
        <v>45955</v>
      </c>
      <c r="D10" s="835" t="s">
        <v>127</v>
      </c>
      <c r="E10" s="835">
        <v>45919</v>
      </c>
      <c r="F10" s="835" t="s">
        <v>229</v>
      </c>
      <c r="G10" s="836" t="s">
        <v>552</v>
      </c>
      <c r="H10" s="393">
        <v>0</v>
      </c>
      <c r="I10" s="837" t="s">
        <v>374</v>
      </c>
      <c r="J10" s="393" t="s">
        <v>63</v>
      </c>
      <c r="K10" s="393"/>
      <c r="L10" s="835" t="s">
        <v>52</v>
      </c>
      <c r="M10" s="393" t="s">
        <v>57</v>
      </c>
      <c r="N10" s="838">
        <v>4646.75</v>
      </c>
      <c r="O10" s="393" t="s">
        <v>91</v>
      </c>
      <c r="P10" s="913" t="s">
        <v>328</v>
      </c>
      <c r="Q10" s="598"/>
      <c r="R10" s="598">
        <v>45947</v>
      </c>
      <c r="S10" s="598"/>
      <c r="T10" s="598">
        <v>46014</v>
      </c>
      <c r="U10" s="486" t="s">
        <v>532</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553</v>
      </c>
      <c r="B11" s="465" t="s">
        <v>107</v>
      </c>
      <c r="C11" s="476">
        <v>45960</v>
      </c>
      <c r="D11" s="467" t="s">
        <v>84</v>
      </c>
      <c r="E11" s="476">
        <v>45918</v>
      </c>
      <c r="F11" s="465" t="s">
        <v>108</v>
      </c>
      <c r="G11" s="50" t="s">
        <v>554</v>
      </c>
      <c r="H11" s="996">
        <v>0</v>
      </c>
      <c r="I11" s="661" t="s">
        <v>374</v>
      </c>
      <c r="J11" s="469" t="s">
        <v>63</v>
      </c>
      <c r="K11" s="469"/>
      <c r="L11" s="476">
        <v>45918</v>
      </c>
      <c r="M11" s="478" t="s">
        <v>57</v>
      </c>
      <c r="N11" s="543">
        <v>9611.9500000000007</v>
      </c>
      <c r="O11" s="478" t="s">
        <v>57</v>
      </c>
      <c r="P11" s="806" t="s">
        <v>328</v>
      </c>
      <c r="Q11" s="479">
        <v>45918</v>
      </c>
      <c r="R11" s="479"/>
      <c r="S11" s="479"/>
      <c r="T11" s="479"/>
      <c r="U11" s="486" t="s">
        <v>532</v>
      </c>
      <c r="V11" s="41">
        <v>807</v>
      </c>
      <c r="W11" s="742">
        <v>896</v>
      </c>
      <c r="X11" s="106">
        <f t="shared" si="8"/>
        <v>-89</v>
      </c>
      <c r="Y11" s="657">
        <f t="shared" si="9"/>
        <v>1.110285006195787</v>
      </c>
      <c r="Z11" s="678">
        <v>45938</v>
      </c>
      <c r="AA11" s="662">
        <v>1</v>
      </c>
      <c r="AB11" s="662">
        <v>1</v>
      </c>
      <c r="AC11" s="645">
        <v>0</v>
      </c>
      <c r="AD11" s="474" t="s">
        <v>555</v>
      </c>
    </row>
    <row r="12" spans="1:30" ht="39.75" customHeight="1">
      <c r="A12" s="1373" t="s">
        <v>556</v>
      </c>
      <c r="B12" s="1204" t="s">
        <v>107</v>
      </c>
      <c r="C12" s="1203">
        <v>46021</v>
      </c>
      <c r="D12" s="1203" t="s">
        <v>127</v>
      </c>
      <c r="E12" s="1203">
        <v>46001</v>
      </c>
      <c r="F12" s="1204" t="s">
        <v>140</v>
      </c>
      <c r="G12" s="1204"/>
      <c r="H12" s="1205">
        <v>49</v>
      </c>
      <c r="I12" s="661" t="s">
        <v>374</v>
      </c>
      <c r="J12" s="1205" t="s">
        <v>63</v>
      </c>
      <c r="K12" s="1205"/>
      <c r="L12" s="1203">
        <v>45994</v>
      </c>
      <c r="M12" s="1225" t="s">
        <v>57</v>
      </c>
      <c r="N12" s="1206">
        <v>42150</v>
      </c>
      <c r="O12" s="1225" t="s">
        <v>57</v>
      </c>
      <c r="P12" s="1374" t="s">
        <v>328</v>
      </c>
      <c r="Q12" s="1208">
        <v>45994</v>
      </c>
      <c r="R12" s="1208"/>
      <c r="S12" s="1208"/>
      <c r="T12" s="1208"/>
      <c r="U12" s="486" t="s">
        <v>532</v>
      </c>
      <c r="V12" s="787">
        <v>3885</v>
      </c>
      <c r="W12" s="1372">
        <v>3910</v>
      </c>
      <c r="X12" s="1209">
        <f>SUM(V12-W12)</f>
        <v>-25</v>
      </c>
      <c r="Y12" s="662">
        <f t="shared" si="9"/>
        <v>1.0064350064350065</v>
      </c>
      <c r="Z12" s="1228">
        <v>46006</v>
      </c>
      <c r="AA12" s="1211">
        <v>1</v>
      </c>
      <c r="AB12" s="355">
        <v>1</v>
      </c>
      <c r="AC12" s="645">
        <v>0</v>
      </c>
      <c r="AD12" s="1212" t="s">
        <v>557</v>
      </c>
    </row>
    <row r="13" spans="1:30" ht="39.75" customHeight="1">
      <c r="A13" s="845" t="s">
        <v>558</v>
      </c>
      <c r="B13" s="465" t="s">
        <v>107</v>
      </c>
      <c r="C13" s="476">
        <v>45899</v>
      </c>
      <c r="D13" s="511" t="s">
        <v>139</v>
      </c>
      <c r="E13" s="476">
        <v>45889</v>
      </c>
      <c r="F13" s="488" t="s">
        <v>159</v>
      </c>
      <c r="G13" s="477"/>
      <c r="H13" s="478">
        <v>76</v>
      </c>
      <c r="I13" s="483" t="s">
        <v>374</v>
      </c>
      <c r="J13" s="478" t="s">
        <v>63</v>
      </c>
      <c r="K13" s="487"/>
      <c r="L13" s="476">
        <v>45888</v>
      </c>
      <c r="M13" s="478" t="s">
        <v>57</v>
      </c>
      <c r="N13" s="543">
        <v>53902</v>
      </c>
      <c r="O13" s="478" t="s">
        <v>57</v>
      </c>
      <c r="P13" s="806" t="s">
        <v>328</v>
      </c>
      <c r="Q13" s="479">
        <v>45887</v>
      </c>
      <c r="R13" s="479"/>
      <c r="S13" s="479"/>
      <c r="T13" s="479"/>
      <c r="U13" s="486" t="s">
        <v>532</v>
      </c>
      <c r="V13" s="41">
        <v>3566</v>
      </c>
      <c r="W13" s="742">
        <v>3704</v>
      </c>
      <c r="X13" s="106">
        <f t="shared" si="8"/>
        <v>-138</v>
      </c>
      <c r="Y13" s="22">
        <f t="shared" si="9"/>
        <v>1.0386988222097588</v>
      </c>
      <c r="Z13" s="678">
        <v>45904</v>
      </c>
      <c r="AA13" s="355">
        <v>1</v>
      </c>
      <c r="AB13" s="355">
        <v>1</v>
      </c>
      <c r="AC13" s="645">
        <v>0</v>
      </c>
      <c r="AD13" s="515" t="s">
        <v>559</v>
      </c>
    </row>
    <row r="14" spans="1:30" ht="39.75" customHeight="1">
      <c r="A14" s="845" t="s">
        <v>560</v>
      </c>
      <c r="B14" s="465" t="s">
        <v>107</v>
      </c>
      <c r="C14" s="476">
        <v>45930</v>
      </c>
      <c r="D14" s="467" t="s">
        <v>127</v>
      </c>
      <c r="E14" s="467">
        <v>45896</v>
      </c>
      <c r="F14" s="465" t="s">
        <v>159</v>
      </c>
      <c r="G14" s="465" t="s">
        <v>561</v>
      </c>
      <c r="H14" s="469">
        <v>66</v>
      </c>
      <c r="I14" s="469" t="s">
        <v>374</v>
      </c>
      <c r="J14" s="469" t="s">
        <v>63</v>
      </c>
      <c r="K14" s="469"/>
      <c r="L14" s="467">
        <v>45897</v>
      </c>
      <c r="M14" s="469" t="s">
        <v>57</v>
      </c>
      <c r="N14" s="542">
        <v>44896.1</v>
      </c>
      <c r="O14" s="469" t="s">
        <v>57</v>
      </c>
      <c r="P14" s="806" t="s">
        <v>328</v>
      </c>
      <c r="Q14" s="471">
        <v>45897</v>
      </c>
      <c r="R14" s="482"/>
      <c r="S14" s="482"/>
      <c r="T14" s="482"/>
      <c r="U14" s="486" t="s">
        <v>532</v>
      </c>
      <c r="V14" s="472">
        <v>2385</v>
      </c>
      <c r="W14" s="742">
        <v>2385</v>
      </c>
      <c r="X14" s="106">
        <f t="shared" si="8"/>
        <v>0</v>
      </c>
      <c r="Y14" s="22">
        <f t="shared" si="9"/>
        <v>1</v>
      </c>
      <c r="Z14" s="678">
        <v>45918</v>
      </c>
      <c r="AA14" s="355">
        <v>1</v>
      </c>
      <c r="AB14" s="355">
        <v>1</v>
      </c>
      <c r="AC14" s="645">
        <v>0</v>
      </c>
      <c r="AD14" s="413" t="s">
        <v>562</v>
      </c>
    </row>
    <row r="15" spans="1:30" ht="39.75" customHeight="1">
      <c r="A15" s="845" t="s">
        <v>563</v>
      </c>
      <c r="B15" s="465" t="s">
        <v>107</v>
      </c>
      <c r="C15" s="476">
        <v>45930</v>
      </c>
      <c r="D15" s="467" t="s">
        <v>127</v>
      </c>
      <c r="E15" s="642">
        <v>45910</v>
      </c>
      <c r="F15" s="465" t="s">
        <v>108</v>
      </c>
      <c r="G15" s="465" t="s">
        <v>564</v>
      </c>
      <c r="H15" s="469">
        <v>80</v>
      </c>
      <c r="I15" s="469" t="s">
        <v>374</v>
      </c>
      <c r="J15" s="469" t="s">
        <v>63</v>
      </c>
      <c r="K15" s="469"/>
      <c r="L15" s="467">
        <v>45903</v>
      </c>
      <c r="M15" s="469" t="s">
        <v>57</v>
      </c>
      <c r="N15" s="542">
        <v>59116.7</v>
      </c>
      <c r="O15" s="469" t="s">
        <v>57</v>
      </c>
      <c r="P15" s="806" t="s">
        <v>328</v>
      </c>
      <c r="Q15" s="471">
        <v>45903</v>
      </c>
      <c r="R15" s="482"/>
      <c r="S15" s="482"/>
      <c r="T15" s="471"/>
      <c r="U15" s="486" t="s">
        <v>532</v>
      </c>
      <c r="V15" s="472">
        <v>4833</v>
      </c>
      <c r="W15" s="742">
        <v>4446</v>
      </c>
      <c r="X15" s="106">
        <f t="shared" si="8"/>
        <v>387</v>
      </c>
      <c r="Y15" s="22">
        <f t="shared" si="9"/>
        <v>0.91992551210428308</v>
      </c>
      <c r="Z15" s="678">
        <v>45923</v>
      </c>
      <c r="AA15" s="355">
        <v>1</v>
      </c>
      <c r="AB15" s="355">
        <v>1</v>
      </c>
      <c r="AC15" s="645">
        <v>0</v>
      </c>
      <c r="AD15" s="413" t="s">
        <v>565</v>
      </c>
    </row>
    <row r="16" spans="1:30" ht="39.75" customHeight="1">
      <c r="A16" s="1373" t="s">
        <v>566</v>
      </c>
      <c r="B16" s="1204" t="s">
        <v>107</v>
      </c>
      <c r="C16" s="1203">
        <v>46010</v>
      </c>
      <c r="D16" s="1203" t="s">
        <v>139</v>
      </c>
      <c r="E16" s="1203">
        <v>45974</v>
      </c>
      <c r="F16" s="1204" t="s">
        <v>108</v>
      </c>
      <c r="G16" s="1204" t="s">
        <v>567</v>
      </c>
      <c r="H16" s="1205">
        <v>67</v>
      </c>
      <c r="I16" s="661" t="s">
        <v>374</v>
      </c>
      <c r="J16" s="1205" t="s">
        <v>63</v>
      </c>
      <c r="K16" s="1205"/>
      <c r="L16" s="1203">
        <v>45936</v>
      </c>
      <c r="M16" s="1205" t="s">
        <v>57</v>
      </c>
      <c r="N16" s="1206">
        <v>38192</v>
      </c>
      <c r="O16" s="1205" t="s">
        <v>57</v>
      </c>
      <c r="P16" s="1374" t="s">
        <v>328</v>
      </c>
      <c r="Q16" s="1208">
        <v>45936</v>
      </c>
      <c r="R16" s="1255"/>
      <c r="S16" s="1255"/>
      <c r="T16" s="1255"/>
      <c r="U16" s="486" t="s">
        <v>532</v>
      </c>
      <c r="V16" s="1209">
        <v>2845</v>
      </c>
      <c r="W16" s="1372">
        <v>2825</v>
      </c>
      <c r="X16" s="1209">
        <f t="shared" si="8"/>
        <v>20</v>
      </c>
      <c r="Y16" s="662">
        <f t="shared" si="9"/>
        <v>0.99297012302284715</v>
      </c>
      <c r="Z16" s="1228">
        <v>46002</v>
      </c>
      <c r="AA16" s="1211">
        <v>1</v>
      </c>
      <c r="AB16" s="355">
        <v>1</v>
      </c>
      <c r="AC16" s="645">
        <v>0</v>
      </c>
      <c r="AD16" s="1212" t="s">
        <v>568</v>
      </c>
    </row>
    <row r="17" spans="1:30" ht="39.75" customHeight="1">
      <c r="A17" s="842" t="s">
        <v>569</v>
      </c>
      <c r="B17" s="465" t="s">
        <v>107</v>
      </c>
      <c r="C17" s="476">
        <v>45930</v>
      </c>
      <c r="D17" s="467" t="s">
        <v>127</v>
      </c>
      <c r="E17" s="642">
        <v>45910</v>
      </c>
      <c r="F17" s="642" t="s">
        <v>159</v>
      </c>
      <c r="G17" s="682" t="s">
        <v>570</v>
      </c>
      <c r="H17" s="469">
        <v>67</v>
      </c>
      <c r="I17" s="661" t="s">
        <v>374</v>
      </c>
      <c r="J17" s="469" t="s">
        <v>63</v>
      </c>
      <c r="K17" s="469"/>
      <c r="L17" s="467">
        <v>45903</v>
      </c>
      <c r="M17" s="469" t="s">
        <v>57</v>
      </c>
      <c r="N17" s="542">
        <v>40406</v>
      </c>
      <c r="O17" s="469" t="s">
        <v>57</v>
      </c>
      <c r="P17" s="806" t="s">
        <v>328</v>
      </c>
      <c r="Q17" s="471">
        <v>45903</v>
      </c>
      <c r="R17" s="552"/>
      <c r="S17" s="552"/>
      <c r="T17" s="552"/>
      <c r="U17" s="486" t="s">
        <v>532</v>
      </c>
      <c r="V17" s="472">
        <v>3895</v>
      </c>
      <c r="W17" s="742">
        <v>3809</v>
      </c>
      <c r="X17" s="106">
        <f t="shared" si="8"/>
        <v>86</v>
      </c>
      <c r="Y17" s="657">
        <f t="shared" si="9"/>
        <v>0.97792041078305525</v>
      </c>
      <c r="Z17" s="678">
        <v>45924</v>
      </c>
      <c r="AA17" s="355">
        <v>1</v>
      </c>
      <c r="AB17" s="355">
        <v>1</v>
      </c>
      <c r="AC17" s="645">
        <v>0</v>
      </c>
      <c r="AD17" s="873" t="s">
        <v>571</v>
      </c>
    </row>
    <row r="18" spans="1:30" ht="39.75" customHeight="1">
      <c r="A18" s="1373" t="s">
        <v>572</v>
      </c>
      <c r="B18" s="1204" t="s">
        <v>107</v>
      </c>
      <c r="C18" s="1203">
        <v>46010</v>
      </c>
      <c r="D18" s="1203" t="s">
        <v>139</v>
      </c>
      <c r="E18" s="1203">
        <v>45974</v>
      </c>
      <c r="F18" s="1204" t="s">
        <v>108</v>
      </c>
      <c r="G18" s="1204" t="s">
        <v>573</v>
      </c>
      <c r="H18" s="1205">
        <v>68</v>
      </c>
      <c r="I18" s="661" t="s">
        <v>374</v>
      </c>
      <c r="J18" s="1205" t="s">
        <v>63</v>
      </c>
      <c r="K18" s="1205"/>
      <c r="L18" s="1203">
        <v>45936</v>
      </c>
      <c r="M18" s="1205" t="s">
        <v>57</v>
      </c>
      <c r="N18" s="1206">
        <v>37755.599999999999</v>
      </c>
      <c r="O18" s="1205" t="s">
        <v>57</v>
      </c>
      <c r="P18" s="1374" t="s">
        <v>328</v>
      </c>
      <c r="Q18" s="1208">
        <v>45936</v>
      </c>
      <c r="R18" s="1255"/>
      <c r="S18" s="1255"/>
      <c r="T18" s="1255"/>
      <c r="U18" s="486" t="s">
        <v>532</v>
      </c>
      <c r="V18" s="1209">
        <v>2584</v>
      </c>
      <c r="W18" s="1372">
        <v>2584</v>
      </c>
      <c r="X18" s="1209">
        <f t="shared" si="8"/>
        <v>0</v>
      </c>
      <c r="Y18" s="662">
        <f t="shared" si="9"/>
        <v>1</v>
      </c>
      <c r="Z18" s="1228">
        <v>46000</v>
      </c>
      <c r="AA18" s="1211">
        <v>1</v>
      </c>
      <c r="AB18" s="355">
        <v>1</v>
      </c>
      <c r="AC18" s="645">
        <v>0</v>
      </c>
      <c r="AD18" s="1212" t="s">
        <v>574</v>
      </c>
    </row>
    <row r="19" spans="1:30" ht="39.75" customHeight="1">
      <c r="A19" s="1373" t="s">
        <v>575</v>
      </c>
      <c r="B19" s="1204" t="s">
        <v>107</v>
      </c>
      <c r="C19" s="1203">
        <v>46010</v>
      </c>
      <c r="D19" s="1203" t="s">
        <v>139</v>
      </c>
      <c r="E19" s="1203">
        <v>45974</v>
      </c>
      <c r="F19" s="1204" t="s">
        <v>108</v>
      </c>
      <c r="G19" s="1204" t="s">
        <v>576</v>
      </c>
      <c r="H19" s="1205">
        <v>28</v>
      </c>
      <c r="I19" s="661" t="s">
        <v>374</v>
      </c>
      <c r="J19" s="1205" t="s">
        <v>63</v>
      </c>
      <c r="K19" s="1205"/>
      <c r="L19" s="1203">
        <v>45972</v>
      </c>
      <c r="M19" s="1205" t="s">
        <v>57</v>
      </c>
      <c r="N19" s="1206">
        <v>27615.5</v>
      </c>
      <c r="O19" s="1205" t="s">
        <v>57</v>
      </c>
      <c r="P19" s="1374" t="s">
        <v>328</v>
      </c>
      <c r="Q19" s="1256">
        <v>45979</v>
      </c>
      <c r="R19" s="1257"/>
      <c r="S19" s="1255"/>
      <c r="T19" s="1255"/>
      <c r="U19" s="486" t="s">
        <v>532</v>
      </c>
      <c r="V19" s="1209">
        <v>2027</v>
      </c>
      <c r="W19" s="1372">
        <v>2146</v>
      </c>
      <c r="X19" s="1209">
        <f t="shared" si="8"/>
        <v>-119</v>
      </c>
      <c r="Y19" s="862">
        <f t="shared" si="9"/>
        <v>1.0587074494326592</v>
      </c>
      <c r="Z19" s="1208">
        <v>45994</v>
      </c>
      <c r="AA19" s="1211">
        <v>1</v>
      </c>
      <c r="AB19" s="355">
        <v>1</v>
      </c>
      <c r="AC19" s="645">
        <v>0</v>
      </c>
      <c r="AD19" s="1212" t="s">
        <v>577</v>
      </c>
    </row>
    <row r="20" spans="1:30" ht="39.75" customHeight="1">
      <c r="A20" s="1373" t="s">
        <v>578</v>
      </c>
      <c r="B20" s="1204" t="s">
        <v>107</v>
      </c>
      <c r="C20" s="1203">
        <v>46006</v>
      </c>
      <c r="D20" s="1203" t="s">
        <v>127</v>
      </c>
      <c r="E20" s="1203">
        <v>45999</v>
      </c>
      <c r="F20" s="1204" t="s">
        <v>108</v>
      </c>
      <c r="G20" s="1204" t="s">
        <v>579</v>
      </c>
      <c r="H20" s="1205">
        <v>87</v>
      </c>
      <c r="I20" s="661" t="s">
        <v>374</v>
      </c>
      <c r="J20" s="1205" t="s">
        <v>63</v>
      </c>
      <c r="K20" s="469"/>
      <c r="L20" s="1203">
        <v>45999</v>
      </c>
      <c r="M20" s="1205" t="s">
        <v>57</v>
      </c>
      <c r="N20" s="1206">
        <v>74384</v>
      </c>
      <c r="O20" s="1205" t="s">
        <v>57</v>
      </c>
      <c r="P20" s="1374" t="s">
        <v>328</v>
      </c>
      <c r="Q20" s="1256">
        <v>45999</v>
      </c>
      <c r="R20" s="552"/>
      <c r="S20" s="552"/>
      <c r="T20" s="552"/>
      <c r="U20" s="486" t="s">
        <v>532</v>
      </c>
      <c r="V20" s="1209">
        <v>6130</v>
      </c>
      <c r="W20" s="1372">
        <v>5915</v>
      </c>
      <c r="X20" s="1209">
        <f t="shared" si="8"/>
        <v>215</v>
      </c>
      <c r="Y20" s="662">
        <f t="shared" si="9"/>
        <v>0.96492659053833607</v>
      </c>
      <c r="Z20" s="1228">
        <v>46006</v>
      </c>
      <c r="AA20" s="1211">
        <v>1</v>
      </c>
      <c r="AB20" s="1211">
        <v>1</v>
      </c>
      <c r="AC20" s="645">
        <v>0</v>
      </c>
      <c r="AD20" s="1212" t="s">
        <v>580</v>
      </c>
    </row>
    <row r="21" spans="1:30" ht="39.75" customHeight="1">
      <c r="A21" s="929" t="s">
        <v>581</v>
      </c>
      <c r="B21" s="465" t="s">
        <v>107</v>
      </c>
      <c r="C21" s="467">
        <v>46006</v>
      </c>
      <c r="D21" s="467" t="s">
        <v>127</v>
      </c>
      <c r="E21" s="467">
        <v>45979</v>
      </c>
      <c r="F21" s="465" t="s">
        <v>159</v>
      </c>
      <c r="G21" s="682" t="s">
        <v>582</v>
      </c>
      <c r="H21" s="469">
        <v>28</v>
      </c>
      <c r="I21" s="661" t="s">
        <v>374</v>
      </c>
      <c r="J21" s="469" t="s">
        <v>63</v>
      </c>
      <c r="K21" s="469"/>
      <c r="L21" s="467">
        <v>45979</v>
      </c>
      <c r="M21" s="469" t="s">
        <v>57</v>
      </c>
      <c r="N21" s="542">
        <v>29683</v>
      </c>
      <c r="O21" s="469" t="s">
        <v>57</v>
      </c>
      <c r="P21" s="806" t="s">
        <v>328</v>
      </c>
      <c r="Q21" s="1001">
        <v>45979</v>
      </c>
      <c r="R21" s="552"/>
      <c r="S21" s="552"/>
      <c r="T21" s="552"/>
      <c r="U21" s="486" t="s">
        <v>532</v>
      </c>
      <c r="V21" s="472">
        <v>2416</v>
      </c>
      <c r="W21" s="742">
        <v>2533</v>
      </c>
      <c r="X21" s="472">
        <f t="shared" si="8"/>
        <v>-117</v>
      </c>
      <c r="Y21" s="862">
        <f t="shared" si="9"/>
        <v>1.0484271523178808</v>
      </c>
      <c r="Z21" s="471">
        <v>45994</v>
      </c>
      <c r="AA21" s="355">
        <v>1</v>
      </c>
      <c r="AB21" s="355">
        <v>1</v>
      </c>
      <c r="AC21" s="645">
        <v>0</v>
      </c>
      <c r="AD21" s="474" t="s">
        <v>583</v>
      </c>
    </row>
    <row r="22" spans="1:30" ht="39.75" customHeight="1">
      <c r="A22" s="929" t="s">
        <v>584</v>
      </c>
      <c r="B22" s="465" t="s">
        <v>107</v>
      </c>
      <c r="C22" s="476">
        <v>45960</v>
      </c>
      <c r="D22" s="467" t="s">
        <v>127</v>
      </c>
      <c r="E22" s="467">
        <v>45936</v>
      </c>
      <c r="F22" s="465" t="s">
        <v>140</v>
      </c>
      <c r="G22" s="682"/>
      <c r="H22" s="469">
        <v>35</v>
      </c>
      <c r="I22" s="661" t="s">
        <v>374</v>
      </c>
      <c r="J22" s="469" t="s">
        <v>63</v>
      </c>
      <c r="K22" s="469"/>
      <c r="L22" s="467">
        <v>45933</v>
      </c>
      <c r="M22" s="469" t="s">
        <v>57</v>
      </c>
      <c r="N22" s="542">
        <v>26026</v>
      </c>
      <c r="O22" s="469" t="s">
        <v>57</v>
      </c>
      <c r="P22" s="806" t="s">
        <v>328</v>
      </c>
      <c r="Q22" s="471">
        <v>45933</v>
      </c>
      <c r="R22" s="552"/>
      <c r="S22" s="552"/>
      <c r="T22" s="552"/>
      <c r="U22" s="486" t="s">
        <v>532</v>
      </c>
      <c r="V22" s="472">
        <v>2071</v>
      </c>
      <c r="W22" s="742">
        <v>2072</v>
      </c>
      <c r="X22" s="472">
        <f>SUM(V22-W22)</f>
        <v>-1</v>
      </c>
      <c r="Y22" s="662">
        <f t="shared" ref="Y22" si="10">IFERROR($W22/$V22, 0)</f>
        <v>1.000482858522453</v>
      </c>
      <c r="Z22" s="479">
        <v>45958</v>
      </c>
      <c r="AA22" s="355">
        <v>1</v>
      </c>
      <c r="AB22" s="355">
        <v>1</v>
      </c>
      <c r="AC22" s="787">
        <v>0</v>
      </c>
      <c r="AD22" s="474" t="s">
        <v>585</v>
      </c>
    </row>
    <row r="23" spans="1:30" ht="39.75" customHeight="1">
      <c r="A23" s="845" t="s">
        <v>586</v>
      </c>
      <c r="B23" s="465" t="s">
        <v>107</v>
      </c>
      <c r="C23" s="476">
        <v>45960</v>
      </c>
      <c r="D23" s="467" t="s">
        <v>127</v>
      </c>
      <c r="E23" s="467">
        <v>45915</v>
      </c>
      <c r="F23" s="642" t="s">
        <v>159</v>
      </c>
      <c r="G23" s="682"/>
      <c r="H23" s="469">
        <v>82</v>
      </c>
      <c r="I23" s="661" t="s">
        <v>374</v>
      </c>
      <c r="J23" s="469" t="s">
        <v>63</v>
      </c>
      <c r="K23" s="469"/>
      <c r="L23" s="467">
        <v>45912</v>
      </c>
      <c r="M23" s="469" t="s">
        <v>57</v>
      </c>
      <c r="N23" s="542">
        <v>82621.149999999994</v>
      </c>
      <c r="O23" s="469" t="s">
        <v>57</v>
      </c>
      <c r="P23" s="806" t="s">
        <v>328</v>
      </c>
      <c r="Q23" s="471">
        <v>45912</v>
      </c>
      <c r="R23" s="471"/>
      <c r="S23" s="471"/>
      <c r="T23" s="471"/>
      <c r="U23" s="486" t="s">
        <v>532</v>
      </c>
      <c r="V23" s="472">
        <v>5653</v>
      </c>
      <c r="W23" s="742">
        <v>5653</v>
      </c>
      <c r="X23" s="106">
        <f t="shared" si="8"/>
        <v>0</v>
      </c>
      <c r="Y23" s="657">
        <f t="shared" si="9"/>
        <v>1</v>
      </c>
      <c r="Z23" s="678">
        <v>45932</v>
      </c>
      <c r="AA23" s="355">
        <v>1</v>
      </c>
      <c r="AB23" s="355">
        <v>1</v>
      </c>
      <c r="AC23" s="787">
        <v>0</v>
      </c>
      <c r="AD23" s="873" t="s">
        <v>587</v>
      </c>
    </row>
    <row r="24" spans="1:30" ht="39.75" customHeight="1">
      <c r="A24" s="842" t="s">
        <v>588</v>
      </c>
      <c r="B24" s="465" t="s">
        <v>107</v>
      </c>
      <c r="C24" s="476">
        <v>45945</v>
      </c>
      <c r="D24" s="467" t="s">
        <v>127</v>
      </c>
      <c r="E24" s="467">
        <v>45932</v>
      </c>
      <c r="F24" s="465" t="s">
        <v>159</v>
      </c>
      <c r="G24" s="682"/>
      <c r="H24" s="469">
        <v>34</v>
      </c>
      <c r="I24" s="661" t="s">
        <v>374</v>
      </c>
      <c r="J24" s="469" t="s">
        <v>63</v>
      </c>
      <c r="K24" s="469"/>
      <c r="L24" s="467">
        <v>45933</v>
      </c>
      <c r="M24" s="469" t="s">
        <v>57</v>
      </c>
      <c r="N24" s="542">
        <v>29646</v>
      </c>
      <c r="O24" s="469" t="s">
        <v>57</v>
      </c>
      <c r="P24" s="806" t="s">
        <v>328</v>
      </c>
      <c r="Q24" s="471">
        <v>45933</v>
      </c>
      <c r="R24" s="552"/>
      <c r="S24" s="552"/>
      <c r="T24" s="552"/>
      <c r="U24" s="486" t="s">
        <v>532</v>
      </c>
      <c r="V24" s="472">
        <v>2188</v>
      </c>
      <c r="W24" s="742">
        <v>2278</v>
      </c>
      <c r="X24" s="106">
        <f>SUM(V24-W24)</f>
        <v>-90</v>
      </c>
      <c r="Y24" s="657">
        <f>IFERROR($W24/$V24, 0)</f>
        <v>1.0411334552102376</v>
      </c>
      <c r="Z24" s="678">
        <v>45931</v>
      </c>
      <c r="AA24" s="355">
        <v>1</v>
      </c>
      <c r="AB24" s="355">
        <v>1</v>
      </c>
      <c r="AC24" s="787">
        <v>0</v>
      </c>
      <c r="AD24" s="873" t="s">
        <v>589</v>
      </c>
    </row>
    <row r="25" spans="1:30" ht="39.75" customHeight="1">
      <c r="A25" s="929" t="s">
        <v>590</v>
      </c>
      <c r="B25" s="465" t="s">
        <v>107</v>
      </c>
      <c r="C25" s="476">
        <v>45960</v>
      </c>
      <c r="D25" s="467" t="s">
        <v>198</v>
      </c>
      <c r="E25" s="467">
        <v>45932</v>
      </c>
      <c r="F25" s="465" t="s">
        <v>108</v>
      </c>
      <c r="G25" s="682"/>
      <c r="H25" s="469">
        <v>79</v>
      </c>
      <c r="I25" s="661" t="s">
        <v>374</v>
      </c>
      <c r="J25" s="469" t="s">
        <v>63</v>
      </c>
      <c r="K25" s="469"/>
      <c r="L25" s="467">
        <v>45933</v>
      </c>
      <c r="M25" s="469" t="s">
        <v>57</v>
      </c>
      <c r="N25" s="542">
        <v>45014</v>
      </c>
      <c r="O25" s="469" t="s">
        <v>57</v>
      </c>
      <c r="P25" s="806" t="s">
        <v>328</v>
      </c>
      <c r="Q25" s="471">
        <v>45933</v>
      </c>
      <c r="R25" s="552"/>
      <c r="S25" s="552"/>
      <c r="T25" s="552"/>
      <c r="U25" s="486" t="s">
        <v>532</v>
      </c>
      <c r="V25" s="472">
        <v>3378</v>
      </c>
      <c r="W25" s="742">
        <v>3372</v>
      </c>
      <c r="X25" s="472">
        <f>SUM(V25-W25)</f>
        <v>6</v>
      </c>
      <c r="Y25" s="662">
        <f t="shared" ref="Y25" si="11">IFERROR($W25/$V25, 0)</f>
        <v>0.9982238010657194</v>
      </c>
      <c r="Z25" s="479">
        <v>45958</v>
      </c>
      <c r="AA25" s="355">
        <v>1</v>
      </c>
      <c r="AB25" s="355">
        <v>1</v>
      </c>
      <c r="AC25" s="787">
        <v>0</v>
      </c>
      <c r="AD25" s="952" t="s">
        <v>591</v>
      </c>
    </row>
    <row r="26" spans="1:30" ht="39.75" customHeight="1">
      <c r="A26" s="929" t="s">
        <v>592</v>
      </c>
      <c r="B26" s="465" t="s">
        <v>107</v>
      </c>
      <c r="C26" s="476">
        <v>45960</v>
      </c>
      <c r="D26" s="467" t="s">
        <v>127</v>
      </c>
      <c r="E26" s="467">
        <v>45936</v>
      </c>
      <c r="F26" s="465" t="s">
        <v>108</v>
      </c>
      <c r="G26" s="682"/>
      <c r="H26" s="469">
        <v>75</v>
      </c>
      <c r="I26" s="661" t="s">
        <v>374</v>
      </c>
      <c r="J26" s="469" t="s">
        <v>63</v>
      </c>
      <c r="K26" s="469"/>
      <c r="L26" s="467">
        <v>45936</v>
      </c>
      <c r="M26" s="469" t="s">
        <v>57</v>
      </c>
      <c r="N26" s="542">
        <v>38796</v>
      </c>
      <c r="O26" s="469" t="s">
        <v>57</v>
      </c>
      <c r="P26" s="806" t="s">
        <v>328</v>
      </c>
      <c r="Q26" s="471">
        <v>45936</v>
      </c>
      <c r="R26" s="552"/>
      <c r="S26" s="552"/>
      <c r="T26" s="552"/>
      <c r="U26" s="486" t="s">
        <v>532</v>
      </c>
      <c r="V26" s="416">
        <v>2874</v>
      </c>
      <c r="W26" s="951">
        <v>2875</v>
      </c>
      <c r="X26" s="106">
        <f t="shared" ref="X26:X31" si="12">SUM(V26-W26)</f>
        <v>-1</v>
      </c>
      <c r="Y26" s="657">
        <f t="shared" ref="Y26:Y31" si="13">IFERROR($W26/$V26, 0)</f>
        <v>1.0003479471120389</v>
      </c>
      <c r="Z26" s="678">
        <v>45944</v>
      </c>
      <c r="AA26" s="355">
        <v>1</v>
      </c>
      <c r="AB26" s="355">
        <v>1</v>
      </c>
      <c r="AC26" s="472">
        <v>0</v>
      </c>
      <c r="AD26" s="170" t="s">
        <v>593</v>
      </c>
    </row>
    <row r="27" spans="1:30" ht="39.75" customHeight="1">
      <c r="A27" s="929" t="s">
        <v>594</v>
      </c>
      <c r="B27" s="465" t="s">
        <v>107</v>
      </c>
      <c r="C27" s="476">
        <v>45976</v>
      </c>
      <c r="D27" s="467" t="s">
        <v>127</v>
      </c>
      <c r="E27" s="467">
        <v>45959</v>
      </c>
      <c r="F27" s="465" t="s">
        <v>140</v>
      </c>
      <c r="G27" s="682"/>
      <c r="H27" s="469">
        <v>61</v>
      </c>
      <c r="I27" s="661" t="s">
        <v>374</v>
      </c>
      <c r="J27" s="469" t="s">
        <v>63</v>
      </c>
      <c r="K27" s="469"/>
      <c r="L27" s="467">
        <v>45962</v>
      </c>
      <c r="M27" s="469" t="s">
        <v>57</v>
      </c>
      <c r="N27" s="542">
        <v>35050</v>
      </c>
      <c r="O27" s="469" t="s">
        <v>57</v>
      </c>
      <c r="P27" s="806" t="s">
        <v>328</v>
      </c>
      <c r="Q27" s="471">
        <v>45961</v>
      </c>
      <c r="R27" s="552"/>
      <c r="S27" s="552"/>
      <c r="T27" s="552"/>
      <c r="U27" s="486" t="s">
        <v>532</v>
      </c>
      <c r="V27" s="472">
        <v>2527</v>
      </c>
      <c r="W27" s="742">
        <v>2647</v>
      </c>
      <c r="X27" s="472">
        <f t="shared" si="12"/>
        <v>-120</v>
      </c>
      <c r="Y27" s="662">
        <f t="shared" si="13"/>
        <v>1.0474871388998812</v>
      </c>
      <c r="Z27" s="479">
        <v>45973</v>
      </c>
      <c r="AA27" s="355">
        <v>1</v>
      </c>
      <c r="AB27" s="355">
        <v>1</v>
      </c>
      <c r="AC27" s="787">
        <v>0</v>
      </c>
      <c r="AD27" s="436" t="s">
        <v>595</v>
      </c>
    </row>
    <row r="28" spans="1:30" ht="39.75" customHeight="1">
      <c r="A28" s="929" t="s">
        <v>596</v>
      </c>
      <c r="B28" s="465" t="s">
        <v>107</v>
      </c>
      <c r="C28" s="476">
        <v>45976</v>
      </c>
      <c r="D28" s="467" t="s">
        <v>127</v>
      </c>
      <c r="E28" s="467">
        <v>45958</v>
      </c>
      <c r="F28" s="465" t="s">
        <v>140</v>
      </c>
      <c r="G28" s="682"/>
      <c r="H28" s="469">
        <v>48</v>
      </c>
      <c r="I28" s="661" t="s">
        <v>374</v>
      </c>
      <c r="J28" s="469" t="s">
        <v>63</v>
      </c>
      <c r="K28" s="469"/>
      <c r="L28" s="467">
        <v>45954</v>
      </c>
      <c r="M28" s="469" t="s">
        <v>57</v>
      </c>
      <c r="N28" s="542">
        <v>54228.7</v>
      </c>
      <c r="O28" s="469" t="s">
        <v>57</v>
      </c>
      <c r="P28" s="806" t="s">
        <v>328</v>
      </c>
      <c r="Q28" s="471">
        <v>45953</v>
      </c>
      <c r="R28" s="552"/>
      <c r="S28" s="552"/>
      <c r="T28" s="552"/>
      <c r="U28" s="486" t="s">
        <v>532</v>
      </c>
      <c r="V28" s="472">
        <v>4141</v>
      </c>
      <c r="W28" s="742">
        <v>4316</v>
      </c>
      <c r="X28" s="472">
        <f t="shared" si="12"/>
        <v>-175</v>
      </c>
      <c r="Y28" s="662">
        <f t="shared" si="13"/>
        <v>1.042260323593335</v>
      </c>
      <c r="Z28" s="479">
        <v>45964</v>
      </c>
      <c r="AA28" s="355">
        <v>1</v>
      </c>
      <c r="AB28" s="355">
        <v>1</v>
      </c>
      <c r="AC28" s="787">
        <v>0</v>
      </c>
      <c r="AD28" s="436" t="s">
        <v>597</v>
      </c>
    </row>
    <row r="29" spans="1:30" ht="39.75" customHeight="1">
      <c r="A29" s="929" t="s">
        <v>598</v>
      </c>
      <c r="B29" s="465" t="s">
        <v>107</v>
      </c>
      <c r="C29" s="476">
        <v>45991</v>
      </c>
      <c r="D29" s="467" t="s">
        <v>198</v>
      </c>
      <c r="E29" s="467">
        <v>45936</v>
      </c>
      <c r="F29" s="465" t="s">
        <v>140</v>
      </c>
      <c r="G29" s="682"/>
      <c r="H29" s="469">
        <v>83</v>
      </c>
      <c r="I29" s="661" t="s">
        <v>374</v>
      </c>
      <c r="J29" s="469" t="s">
        <v>63</v>
      </c>
      <c r="K29" s="469"/>
      <c r="L29" s="467">
        <v>45936</v>
      </c>
      <c r="M29" s="469" t="s">
        <v>57</v>
      </c>
      <c r="N29" s="542">
        <v>96748</v>
      </c>
      <c r="O29" s="469" t="s">
        <v>57</v>
      </c>
      <c r="P29" s="844" t="s">
        <v>328</v>
      </c>
      <c r="Q29" s="347">
        <v>45936</v>
      </c>
      <c r="R29" s="1342"/>
      <c r="S29" s="1004"/>
      <c r="T29" s="552"/>
      <c r="U29" s="486" t="s">
        <v>532</v>
      </c>
      <c r="V29" s="472">
        <v>6240</v>
      </c>
      <c r="W29" s="742">
        <v>6203</v>
      </c>
      <c r="X29" s="472">
        <f t="shared" si="12"/>
        <v>37</v>
      </c>
      <c r="Y29" s="662">
        <f t="shared" si="13"/>
        <v>0.99407051282051284</v>
      </c>
      <c r="Z29" s="479">
        <v>45951</v>
      </c>
      <c r="AA29" s="355">
        <v>1</v>
      </c>
      <c r="AB29" s="355">
        <v>1</v>
      </c>
      <c r="AC29" s="645">
        <v>0</v>
      </c>
      <c r="AD29" s="1067" t="s">
        <v>599</v>
      </c>
    </row>
    <row r="30" spans="1:30" ht="39.75" customHeight="1">
      <c r="A30" s="929" t="s">
        <v>600</v>
      </c>
      <c r="B30" s="465" t="s">
        <v>107</v>
      </c>
      <c r="C30" s="467">
        <v>45991</v>
      </c>
      <c r="D30" s="467" t="s">
        <v>127</v>
      </c>
      <c r="E30" s="467">
        <v>45966</v>
      </c>
      <c r="F30" s="465" t="s">
        <v>108</v>
      </c>
      <c r="G30" s="468" t="s">
        <v>601</v>
      </c>
      <c r="H30" s="469">
        <v>69</v>
      </c>
      <c r="I30" s="661" t="s">
        <v>374</v>
      </c>
      <c r="J30" s="469" t="s">
        <v>63</v>
      </c>
      <c r="K30" s="469"/>
      <c r="L30" s="467">
        <v>45969</v>
      </c>
      <c r="M30" s="469" t="s">
        <v>57</v>
      </c>
      <c r="N30" s="542">
        <v>75672.100000000006</v>
      </c>
      <c r="O30" s="469" t="s">
        <v>57</v>
      </c>
      <c r="P30" s="1151" t="s">
        <v>328</v>
      </c>
      <c r="Q30" s="124">
        <v>45969</v>
      </c>
      <c r="R30" s="651"/>
      <c r="S30" s="1004"/>
      <c r="T30" s="552"/>
      <c r="U30" s="486" t="s">
        <v>532</v>
      </c>
      <c r="V30" s="472">
        <v>5654</v>
      </c>
      <c r="W30" s="742">
        <v>5646</v>
      </c>
      <c r="X30" s="472">
        <f t="shared" si="12"/>
        <v>8</v>
      </c>
      <c r="Y30" s="662">
        <f t="shared" si="13"/>
        <v>0.99858507251503359</v>
      </c>
      <c r="Z30" s="479">
        <v>45978</v>
      </c>
      <c r="AA30" s="355">
        <v>1</v>
      </c>
      <c r="AB30" s="355">
        <v>1</v>
      </c>
      <c r="AC30" s="787">
        <v>0</v>
      </c>
      <c r="AD30" s="474" t="s">
        <v>602</v>
      </c>
    </row>
    <row r="31" spans="1:30" ht="39.75" customHeight="1">
      <c r="A31" s="929" t="s">
        <v>603</v>
      </c>
      <c r="B31" s="465" t="s">
        <v>107</v>
      </c>
      <c r="C31" s="467">
        <v>46001</v>
      </c>
      <c r="D31" s="467" t="s">
        <v>127</v>
      </c>
      <c r="E31" s="467">
        <v>45966</v>
      </c>
      <c r="F31" s="465" t="s">
        <v>108</v>
      </c>
      <c r="G31" s="682" t="s">
        <v>604</v>
      </c>
      <c r="H31" s="469">
        <v>88</v>
      </c>
      <c r="I31" s="661" t="s">
        <v>374</v>
      </c>
      <c r="J31" s="469" t="s">
        <v>63</v>
      </c>
      <c r="K31" s="469"/>
      <c r="L31" s="467">
        <v>45967</v>
      </c>
      <c r="M31" s="469" t="s">
        <v>57</v>
      </c>
      <c r="N31" s="542">
        <v>76565.850000000006</v>
      </c>
      <c r="O31" s="469" t="s">
        <v>57</v>
      </c>
      <c r="P31" s="1151" t="s">
        <v>328</v>
      </c>
      <c r="Q31" s="124">
        <v>45967</v>
      </c>
      <c r="R31" s="651"/>
      <c r="S31" s="1004"/>
      <c r="T31" s="552"/>
      <c r="U31" s="486" t="s">
        <v>532</v>
      </c>
      <c r="V31" s="472">
        <v>6025</v>
      </c>
      <c r="W31" s="742">
        <v>6130</v>
      </c>
      <c r="X31" s="472">
        <f t="shared" si="12"/>
        <v>-105</v>
      </c>
      <c r="Y31" s="662">
        <f t="shared" si="13"/>
        <v>1.0174273858921161</v>
      </c>
      <c r="Z31" s="479">
        <v>45985</v>
      </c>
      <c r="AA31" s="355">
        <v>1</v>
      </c>
      <c r="AB31" s="355">
        <v>1</v>
      </c>
      <c r="AC31" s="787">
        <v>0</v>
      </c>
      <c r="AD31" s="474" t="s">
        <v>605</v>
      </c>
    </row>
    <row r="32" spans="1:30" ht="39.75" customHeight="1">
      <c r="A32" s="929" t="s">
        <v>606</v>
      </c>
      <c r="B32" s="465" t="s">
        <v>107</v>
      </c>
      <c r="C32" s="467">
        <v>45991</v>
      </c>
      <c r="D32" s="467" t="s">
        <v>127</v>
      </c>
      <c r="E32" s="467">
        <v>45966</v>
      </c>
      <c r="F32" s="465" t="s">
        <v>140</v>
      </c>
      <c r="G32" s="682" t="s">
        <v>607</v>
      </c>
      <c r="H32" s="469">
        <v>75</v>
      </c>
      <c r="I32" s="661" t="s">
        <v>374</v>
      </c>
      <c r="J32" s="469" t="s">
        <v>63</v>
      </c>
      <c r="K32" s="469"/>
      <c r="L32" s="467">
        <v>45967</v>
      </c>
      <c r="M32" s="469" t="s">
        <v>57</v>
      </c>
      <c r="N32" s="542">
        <v>60620</v>
      </c>
      <c r="O32" s="469" t="s">
        <v>57</v>
      </c>
      <c r="P32" s="1424" t="s">
        <v>328</v>
      </c>
      <c r="Q32" s="347">
        <v>45967</v>
      </c>
      <c r="R32" s="1342"/>
      <c r="S32" s="1004"/>
      <c r="T32" s="552"/>
      <c r="U32" s="486" t="s">
        <v>532</v>
      </c>
      <c r="V32" s="472">
        <v>4814</v>
      </c>
      <c r="W32" s="742">
        <v>4708</v>
      </c>
      <c r="X32" s="472">
        <f>SUM(V32-W32)</f>
        <v>106</v>
      </c>
      <c r="Y32" s="862">
        <f>IFERROR($W32/$V32, 0)</f>
        <v>0.97798088907353553</v>
      </c>
      <c r="Z32" s="479">
        <v>45986</v>
      </c>
      <c r="AA32" s="355">
        <v>1</v>
      </c>
      <c r="AB32" s="355">
        <v>1</v>
      </c>
      <c r="AC32" s="787">
        <v>0</v>
      </c>
      <c r="AD32" s="757" t="s">
        <v>608</v>
      </c>
    </row>
    <row r="33" spans="1:30" ht="39.75" customHeight="1">
      <c r="A33" s="1373" t="s">
        <v>609</v>
      </c>
      <c r="B33" s="1204" t="s">
        <v>107</v>
      </c>
      <c r="C33" s="1203">
        <v>46001</v>
      </c>
      <c r="D33" s="1203" t="s">
        <v>127</v>
      </c>
      <c r="E33" s="1203">
        <v>46009</v>
      </c>
      <c r="F33" s="1204" t="s">
        <v>108</v>
      </c>
      <c r="G33" s="1204" t="s">
        <v>610</v>
      </c>
      <c r="H33" s="1205">
        <v>48</v>
      </c>
      <c r="I33" s="661" t="s">
        <v>374</v>
      </c>
      <c r="J33" s="1205" t="s">
        <v>63</v>
      </c>
      <c r="K33" s="1205"/>
      <c r="L33" s="1203">
        <v>45965</v>
      </c>
      <c r="M33" s="1205" t="s">
        <v>57</v>
      </c>
      <c r="N33" s="1206">
        <v>18021.7</v>
      </c>
      <c r="O33" s="1205" t="s">
        <v>57</v>
      </c>
      <c r="P33" s="1374" t="s">
        <v>328</v>
      </c>
      <c r="Q33" s="1208">
        <v>45965</v>
      </c>
      <c r="R33" s="1255"/>
      <c r="S33" s="1255"/>
      <c r="T33" s="1255"/>
      <c r="U33" s="486" t="s">
        <v>532</v>
      </c>
      <c r="V33" s="1209">
        <v>1111</v>
      </c>
      <c r="W33" s="1372">
        <v>1188</v>
      </c>
      <c r="X33" s="1209">
        <f t="shared" ref="X33:X34" si="14">SUM(V33-W33)</f>
        <v>-77</v>
      </c>
      <c r="Y33" s="662">
        <f t="shared" ref="Y33:Y34" si="15">IFERROR($W33/$V33, 0)</f>
        <v>1.0693069306930694</v>
      </c>
      <c r="Z33" s="1228">
        <v>46020</v>
      </c>
      <c r="AA33" s="355">
        <v>1</v>
      </c>
      <c r="AB33" s="355">
        <v>1</v>
      </c>
      <c r="AC33" s="645">
        <v>0</v>
      </c>
      <c r="AD33" s="1212" t="s">
        <v>611</v>
      </c>
    </row>
    <row r="34" spans="1:30" ht="39.75" customHeight="1">
      <c r="A34" s="1373" t="s">
        <v>612</v>
      </c>
      <c r="B34" s="1204" t="s">
        <v>107</v>
      </c>
      <c r="C34" s="1203">
        <v>46001</v>
      </c>
      <c r="D34" s="1203" t="s">
        <v>127</v>
      </c>
      <c r="E34" s="1203">
        <v>46009</v>
      </c>
      <c r="F34" s="1204" t="s">
        <v>108</v>
      </c>
      <c r="G34" s="1204" t="s">
        <v>613</v>
      </c>
      <c r="H34" s="1205">
        <v>56</v>
      </c>
      <c r="I34" s="661" t="s">
        <v>374</v>
      </c>
      <c r="J34" s="1205" t="s">
        <v>63</v>
      </c>
      <c r="K34" s="1205"/>
      <c r="L34" s="1203">
        <v>45965</v>
      </c>
      <c r="M34" s="1205" t="s">
        <v>57</v>
      </c>
      <c r="N34" s="1206">
        <v>20705</v>
      </c>
      <c r="O34" s="1205" t="s">
        <v>57</v>
      </c>
      <c r="P34" s="1374" t="s">
        <v>328</v>
      </c>
      <c r="Q34" s="1208">
        <v>45965</v>
      </c>
      <c r="R34" s="1255"/>
      <c r="S34" s="1255"/>
      <c r="T34" s="1255"/>
      <c r="U34" s="486" t="s">
        <v>532</v>
      </c>
      <c r="V34" s="1209">
        <v>900</v>
      </c>
      <c r="W34" s="1372">
        <v>900</v>
      </c>
      <c r="X34" s="1209">
        <f t="shared" si="14"/>
        <v>0</v>
      </c>
      <c r="Y34" s="662">
        <f t="shared" si="15"/>
        <v>1</v>
      </c>
      <c r="Z34" s="1228">
        <v>46020</v>
      </c>
      <c r="AA34" s="1211">
        <v>1</v>
      </c>
      <c r="AB34" s="355">
        <v>1</v>
      </c>
      <c r="AC34" s="645">
        <v>0</v>
      </c>
      <c r="AD34" s="1212" t="s">
        <v>614</v>
      </c>
    </row>
    <row r="35" spans="1:30" ht="39.75" customHeight="1">
      <c r="A35" s="842" t="s">
        <v>615</v>
      </c>
      <c r="B35" s="681" t="s">
        <v>107</v>
      </c>
      <c r="C35" s="476">
        <v>45930</v>
      </c>
      <c r="D35" s="642" t="s">
        <v>84</v>
      </c>
      <c r="E35" s="467">
        <v>45902</v>
      </c>
      <c r="F35" s="465" t="s">
        <v>108</v>
      </c>
      <c r="G35" s="758"/>
      <c r="H35" s="469">
        <v>0</v>
      </c>
      <c r="I35" s="661" t="s">
        <v>374</v>
      </c>
      <c r="J35" s="469" t="s">
        <v>63</v>
      </c>
      <c r="K35" s="469"/>
      <c r="L35" s="476">
        <v>45902</v>
      </c>
      <c r="M35" s="469" t="s">
        <v>57</v>
      </c>
      <c r="N35" s="542">
        <v>5604.6</v>
      </c>
      <c r="O35" s="469" t="s">
        <v>57</v>
      </c>
      <c r="P35" s="1424" t="s">
        <v>328</v>
      </c>
      <c r="Q35" s="166">
        <v>45902</v>
      </c>
      <c r="R35" s="347"/>
      <c r="S35" s="471"/>
      <c r="T35" s="124"/>
      <c r="U35" s="87" t="s">
        <v>532</v>
      </c>
      <c r="V35" s="646">
        <v>328</v>
      </c>
      <c r="W35" s="742">
        <v>335</v>
      </c>
      <c r="X35" s="472">
        <f t="shared" si="8"/>
        <v>-7</v>
      </c>
      <c r="Y35" s="473">
        <f t="shared" si="9"/>
        <v>1.0213414634146341</v>
      </c>
      <c r="Z35" s="479">
        <v>45922</v>
      </c>
      <c r="AA35" s="355">
        <v>1</v>
      </c>
      <c r="AB35" s="355">
        <v>1</v>
      </c>
      <c r="AC35" s="472">
        <v>0</v>
      </c>
      <c r="AD35" s="757" t="s">
        <v>616</v>
      </c>
    </row>
    <row r="36" spans="1:30" ht="39.75" customHeight="1">
      <c r="A36" s="854" t="s">
        <v>617</v>
      </c>
      <c r="B36" s="681" t="s">
        <v>107</v>
      </c>
      <c r="C36" s="467">
        <v>45975</v>
      </c>
      <c r="D36" s="467" t="s">
        <v>618</v>
      </c>
      <c r="E36" s="467">
        <v>45982</v>
      </c>
      <c r="F36" s="642" t="s">
        <v>108</v>
      </c>
      <c r="G36" s="682" t="s">
        <v>619</v>
      </c>
      <c r="H36" s="469">
        <v>0</v>
      </c>
      <c r="I36" s="469" t="s">
        <v>374</v>
      </c>
      <c r="J36" s="469" t="s">
        <v>63</v>
      </c>
      <c r="K36" s="469"/>
      <c r="L36" s="467">
        <v>45968</v>
      </c>
      <c r="M36" s="469" t="s">
        <v>57</v>
      </c>
      <c r="N36" s="542">
        <v>12840.7</v>
      </c>
      <c r="O36" s="469" t="s">
        <v>57</v>
      </c>
      <c r="P36" s="806" t="s">
        <v>328</v>
      </c>
      <c r="Q36" s="124">
        <v>45937</v>
      </c>
      <c r="R36" s="347"/>
      <c r="S36" s="471"/>
      <c r="T36" s="193"/>
      <c r="U36" s="87" t="s">
        <v>532</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620</v>
      </c>
      <c r="B37" s="1204" t="s">
        <v>107</v>
      </c>
      <c r="C37" s="1203">
        <v>46031</v>
      </c>
      <c r="D37" s="1203" t="s">
        <v>127</v>
      </c>
      <c r="E37" s="1203">
        <v>46002</v>
      </c>
      <c r="F37" s="1204" t="s">
        <v>140</v>
      </c>
      <c r="G37" s="1204" t="s">
        <v>621</v>
      </c>
      <c r="H37" s="1205">
        <v>0</v>
      </c>
      <c r="I37" s="1205" t="s">
        <v>374</v>
      </c>
      <c r="J37" s="1205" t="s">
        <v>63</v>
      </c>
      <c r="K37" s="469"/>
      <c r="L37" s="1203" t="s">
        <v>156</v>
      </c>
      <c r="M37" s="1205" t="s">
        <v>57</v>
      </c>
      <c r="N37" s="1206">
        <v>23475.5</v>
      </c>
      <c r="O37" s="1271" t="s">
        <v>57</v>
      </c>
      <c r="P37" s="1430" t="s">
        <v>328</v>
      </c>
      <c r="Q37" s="1256">
        <v>45999</v>
      </c>
      <c r="R37" s="124"/>
      <c r="S37" s="124"/>
      <c r="T37" s="193"/>
      <c r="U37" s="87" t="s">
        <v>532</v>
      </c>
      <c r="V37" s="1427">
        <v>1890</v>
      </c>
      <c r="W37" s="1423">
        <v>2048</v>
      </c>
      <c r="X37" s="1267">
        <f>SUM(V37-W37)</f>
        <v>-158</v>
      </c>
      <c r="Y37" s="1365">
        <f t="shared" si="9"/>
        <v>1.0835978835978837</v>
      </c>
      <c r="Z37" s="1228">
        <v>46009</v>
      </c>
      <c r="AA37" s="1211">
        <v>1</v>
      </c>
      <c r="AB37" s="355">
        <v>1</v>
      </c>
      <c r="AC37" s="645">
        <v>0</v>
      </c>
      <c r="AD37" s="1212" t="s">
        <v>622</v>
      </c>
    </row>
    <row r="38" spans="1:30" ht="39.75" customHeight="1">
      <c r="A38" s="1373" t="s">
        <v>623</v>
      </c>
      <c r="B38" s="1204" t="s">
        <v>107</v>
      </c>
      <c r="C38" s="1203">
        <v>46003</v>
      </c>
      <c r="D38" s="1203" t="s">
        <v>127</v>
      </c>
      <c r="E38" s="1203">
        <v>46002</v>
      </c>
      <c r="F38" s="1204" t="s">
        <v>140</v>
      </c>
      <c r="G38" s="1204"/>
      <c r="H38" s="1205">
        <v>0</v>
      </c>
      <c r="I38" s="1205" t="s">
        <v>374</v>
      </c>
      <c r="J38" s="1205" t="s">
        <v>63</v>
      </c>
      <c r="K38" s="1205"/>
      <c r="L38" s="1203" t="s">
        <v>156</v>
      </c>
      <c r="M38" s="1205" t="s">
        <v>57</v>
      </c>
      <c r="N38" s="1206">
        <v>11500.3</v>
      </c>
      <c r="O38" s="1271" t="s">
        <v>57</v>
      </c>
      <c r="P38" s="1430" t="s">
        <v>328</v>
      </c>
      <c r="Q38" s="1256">
        <v>45994</v>
      </c>
      <c r="R38" s="1256"/>
      <c r="S38" s="1256"/>
      <c r="T38" s="1432"/>
      <c r="U38" s="1102" t="s">
        <v>532</v>
      </c>
      <c r="V38" s="1132">
        <v>908</v>
      </c>
      <c r="W38" s="1428">
        <v>925</v>
      </c>
      <c r="X38" s="1366">
        <f>SUM(V38-W38)</f>
        <v>-17</v>
      </c>
      <c r="Y38" s="662">
        <f t="shared" si="9"/>
        <v>1.0187224669603525</v>
      </c>
      <c r="Z38" s="1228">
        <v>46013</v>
      </c>
      <c r="AA38" s="1211">
        <v>1</v>
      </c>
      <c r="AB38" s="355">
        <v>1</v>
      </c>
      <c r="AC38" s="645">
        <v>0</v>
      </c>
      <c r="AD38" s="1212" t="s">
        <v>624</v>
      </c>
    </row>
    <row r="39" spans="1:30" ht="39.75" customHeight="1">
      <c r="A39" s="929" t="s">
        <v>625</v>
      </c>
      <c r="B39" s="465" t="s">
        <v>107</v>
      </c>
      <c r="C39" s="476">
        <v>45991</v>
      </c>
      <c r="D39" s="467" t="s">
        <v>198</v>
      </c>
      <c r="E39" s="467">
        <v>45953</v>
      </c>
      <c r="F39" s="465" t="s">
        <v>140</v>
      </c>
      <c r="G39" s="682" t="s">
        <v>626</v>
      </c>
      <c r="H39" s="469">
        <v>0</v>
      </c>
      <c r="I39" s="469" t="s">
        <v>374</v>
      </c>
      <c r="J39" s="469" t="s">
        <v>63</v>
      </c>
      <c r="K39" s="469"/>
      <c r="L39" s="467" t="s">
        <v>156</v>
      </c>
      <c r="M39" s="469" t="s">
        <v>57</v>
      </c>
      <c r="N39" s="542">
        <v>51970</v>
      </c>
      <c r="O39" s="87" t="s">
        <v>57</v>
      </c>
      <c r="P39" s="1431" t="s">
        <v>328</v>
      </c>
      <c r="Q39" s="124">
        <v>45953</v>
      </c>
      <c r="R39" s="124"/>
      <c r="S39" s="124"/>
      <c r="T39" s="652"/>
      <c r="U39" s="486" t="s">
        <v>532</v>
      </c>
      <c r="V39" s="963">
        <v>4544</v>
      </c>
      <c r="W39" s="852">
        <v>4569</v>
      </c>
      <c r="X39" s="472">
        <f>SUM(V39-W39)</f>
        <v>-25</v>
      </c>
      <c r="Y39" s="662">
        <f>IFERROR($W39/$V39, 0)</f>
        <v>1.0055017605633803</v>
      </c>
      <c r="Z39" s="479">
        <v>45960</v>
      </c>
      <c r="AA39" s="355">
        <v>1</v>
      </c>
      <c r="AB39" s="355">
        <v>0</v>
      </c>
      <c r="AC39" s="472">
        <v>0</v>
      </c>
      <c r="AD39" s="1152" t="s">
        <v>627</v>
      </c>
    </row>
    <row r="40" spans="1:30" ht="39.75" customHeight="1">
      <c r="A40" s="929" t="s">
        <v>628</v>
      </c>
      <c r="B40" s="681" t="s">
        <v>107</v>
      </c>
      <c r="C40" s="476">
        <v>45991</v>
      </c>
      <c r="D40" s="467" t="s">
        <v>198</v>
      </c>
      <c r="E40" s="467">
        <v>45961</v>
      </c>
      <c r="F40" s="465" t="s">
        <v>108</v>
      </c>
      <c r="G40" s="682"/>
      <c r="H40" s="469">
        <v>0</v>
      </c>
      <c r="I40" s="469" t="s">
        <v>374</v>
      </c>
      <c r="J40" s="469" t="s">
        <v>63</v>
      </c>
      <c r="K40" s="469"/>
      <c r="L40" s="467" t="s">
        <v>156</v>
      </c>
      <c r="M40" s="469" t="s">
        <v>57</v>
      </c>
      <c r="N40" s="542">
        <v>39221.800000000003</v>
      </c>
      <c r="O40" s="1429" t="s">
        <v>57</v>
      </c>
      <c r="P40" s="1343" t="s">
        <v>328</v>
      </c>
      <c r="Q40" s="1425">
        <v>45950</v>
      </c>
      <c r="R40" s="1426"/>
      <c r="S40" s="1001"/>
      <c r="T40" s="471"/>
      <c r="U40" s="486" t="s">
        <v>532</v>
      </c>
      <c r="V40" s="416">
        <v>3078</v>
      </c>
      <c r="W40" s="951">
        <v>3272</v>
      </c>
      <c r="X40" s="472">
        <f t="shared" si="8"/>
        <v>-194</v>
      </c>
      <c r="Y40" s="662">
        <f t="shared" si="9"/>
        <v>1.0630279402209226</v>
      </c>
      <c r="Z40" s="479">
        <v>45966</v>
      </c>
      <c r="AA40" s="355">
        <v>1</v>
      </c>
      <c r="AB40" s="355">
        <v>1</v>
      </c>
      <c r="AC40" s="472">
        <v>0</v>
      </c>
      <c r="AD40" s="170" t="s">
        <v>629</v>
      </c>
    </row>
    <row r="41" spans="1:30" ht="39.75" customHeight="1">
      <c r="A41" s="929" t="s">
        <v>630</v>
      </c>
      <c r="B41" s="465" t="s">
        <v>107</v>
      </c>
      <c r="C41" s="467">
        <v>45996</v>
      </c>
      <c r="D41" s="467" t="s">
        <v>437</v>
      </c>
      <c r="E41" s="467">
        <v>45958</v>
      </c>
      <c r="F41" s="465" t="s">
        <v>140</v>
      </c>
      <c r="G41" s="468" t="s">
        <v>631</v>
      </c>
      <c r="H41" s="469">
        <v>303</v>
      </c>
      <c r="I41" s="661" t="s">
        <v>374</v>
      </c>
      <c r="J41" s="469" t="s">
        <v>56</v>
      </c>
      <c r="K41" s="469"/>
      <c r="L41" s="467">
        <v>45953</v>
      </c>
      <c r="M41" s="469" t="s">
        <v>57</v>
      </c>
      <c r="N41" s="542">
        <v>168480.8</v>
      </c>
      <c r="O41" s="469" t="s">
        <v>57</v>
      </c>
      <c r="P41" s="806" t="s">
        <v>328</v>
      </c>
      <c r="Q41" s="471">
        <v>45953</v>
      </c>
      <c r="R41" s="471"/>
      <c r="S41" s="471"/>
      <c r="T41" s="471"/>
      <c r="U41" s="486" t="s">
        <v>532</v>
      </c>
      <c r="V41" s="472">
        <v>13760</v>
      </c>
      <c r="W41" s="742">
        <v>13760</v>
      </c>
      <c r="X41" s="106">
        <f t="shared" si="8"/>
        <v>0</v>
      </c>
      <c r="Y41" s="657">
        <f t="shared" si="9"/>
        <v>1</v>
      </c>
      <c r="Z41" s="678">
        <v>45978</v>
      </c>
      <c r="AA41" s="355">
        <v>1</v>
      </c>
      <c r="AB41" s="355">
        <v>1</v>
      </c>
      <c r="AC41" s="472">
        <v>0</v>
      </c>
      <c r="AD41" s="757" t="s">
        <v>632</v>
      </c>
    </row>
    <row r="42" spans="1:30" ht="39.75" customHeight="1">
      <c r="A42" s="842" t="s">
        <v>633</v>
      </c>
      <c r="B42" s="465" t="s">
        <v>107</v>
      </c>
      <c r="C42" s="476">
        <v>45960</v>
      </c>
      <c r="D42" s="467" t="s">
        <v>634</v>
      </c>
      <c r="E42" s="467">
        <v>45915</v>
      </c>
      <c r="F42" s="465" t="s">
        <v>635</v>
      </c>
      <c r="G42" s="682"/>
      <c r="H42" s="469">
        <v>384</v>
      </c>
      <c r="I42" s="661" t="s">
        <v>374</v>
      </c>
      <c r="J42" s="469" t="s">
        <v>56</v>
      </c>
      <c r="K42" s="469"/>
      <c r="L42" s="467">
        <v>45905</v>
      </c>
      <c r="M42" s="469" t="s">
        <v>57</v>
      </c>
      <c r="N42" s="542">
        <v>145985.5</v>
      </c>
      <c r="O42" s="469" t="s">
        <v>57</v>
      </c>
      <c r="P42" s="1106" t="s">
        <v>328</v>
      </c>
      <c r="Q42" s="1001">
        <v>45906</v>
      </c>
      <c r="R42" s="471"/>
      <c r="S42" s="471"/>
      <c r="T42" s="471"/>
      <c r="U42" s="486" t="s">
        <v>532</v>
      </c>
      <c r="V42" s="787">
        <v>14150</v>
      </c>
      <c r="W42" s="879">
        <v>15469</v>
      </c>
      <c r="X42" s="106">
        <f t="shared" si="8"/>
        <v>-1319</v>
      </c>
      <c r="Y42" s="657">
        <f t="shared" si="9"/>
        <v>1.0932155477031802</v>
      </c>
      <c r="Z42" s="678">
        <v>45926</v>
      </c>
      <c r="AA42" s="355">
        <v>1</v>
      </c>
      <c r="AB42" s="355">
        <v>1</v>
      </c>
      <c r="AC42" s="472">
        <v>0</v>
      </c>
      <c r="AD42" s="871" t="s">
        <v>636</v>
      </c>
    </row>
    <row r="43" spans="1:30" ht="39.75" customHeight="1">
      <c r="A43" s="929" t="s">
        <v>637</v>
      </c>
      <c r="B43" s="465" t="s">
        <v>107</v>
      </c>
      <c r="C43" s="476">
        <v>45930</v>
      </c>
      <c r="D43" s="467" t="s">
        <v>638</v>
      </c>
      <c r="E43" s="467">
        <v>45916</v>
      </c>
      <c r="F43" s="465" t="s">
        <v>108</v>
      </c>
      <c r="G43" s="682"/>
      <c r="H43" s="469">
        <v>84</v>
      </c>
      <c r="I43" s="661" t="s">
        <v>374</v>
      </c>
      <c r="J43" s="469" t="s">
        <v>56</v>
      </c>
      <c r="K43" s="469"/>
      <c r="L43" s="465" t="s">
        <v>328</v>
      </c>
      <c r="M43" s="469" t="s">
        <v>57</v>
      </c>
      <c r="N43" s="542">
        <v>30892</v>
      </c>
      <c r="O43" s="469" t="s">
        <v>57</v>
      </c>
      <c r="P43" s="806" t="s">
        <v>328</v>
      </c>
      <c r="Q43" s="471">
        <v>45911</v>
      </c>
      <c r="R43" s="471"/>
      <c r="S43" s="471"/>
      <c r="T43" s="471"/>
      <c r="U43" s="486" t="s">
        <v>532</v>
      </c>
      <c r="V43" s="787">
        <v>2811</v>
      </c>
      <c r="W43" s="879">
        <v>2732</v>
      </c>
      <c r="X43" s="106">
        <f>SUM(V43-W43)</f>
        <v>79</v>
      </c>
      <c r="Y43" s="22">
        <f>IFERROR($W43/$V43, 0)</f>
        <v>0.97189612237637857</v>
      </c>
      <c r="Z43" s="678">
        <v>45922</v>
      </c>
      <c r="AA43" s="355">
        <v>1</v>
      </c>
      <c r="AB43" s="355">
        <v>1</v>
      </c>
      <c r="AC43" s="472">
        <v>0</v>
      </c>
      <c r="AD43" s="664" t="s">
        <v>639</v>
      </c>
    </row>
    <row r="44" spans="1:30" ht="39.75" customHeight="1">
      <c r="A44" s="854" t="s">
        <v>640</v>
      </c>
      <c r="B44" s="465" t="s">
        <v>107</v>
      </c>
      <c r="C44" s="467">
        <v>46017</v>
      </c>
      <c r="D44" s="467" t="s">
        <v>440</v>
      </c>
      <c r="E44" s="467">
        <v>45936</v>
      </c>
      <c r="F44" s="465" t="s">
        <v>108</v>
      </c>
      <c r="G44" s="468"/>
      <c r="H44" s="469">
        <v>157</v>
      </c>
      <c r="I44" s="661" t="s">
        <v>374</v>
      </c>
      <c r="J44" s="469" t="s">
        <v>56</v>
      </c>
      <c r="K44" s="469"/>
      <c r="L44" s="467">
        <v>45943</v>
      </c>
      <c r="M44" s="469" t="s">
        <v>57</v>
      </c>
      <c r="N44" s="542">
        <v>64059.5</v>
      </c>
      <c r="O44" s="469" t="s">
        <v>57</v>
      </c>
      <c r="P44" s="860" t="s">
        <v>328</v>
      </c>
      <c r="Q44" s="471">
        <v>45943</v>
      </c>
      <c r="R44" s="471"/>
      <c r="S44" s="471"/>
      <c r="T44" s="471"/>
      <c r="U44" s="486" t="s">
        <v>532</v>
      </c>
      <c r="V44" s="472">
        <v>4725</v>
      </c>
      <c r="W44" s="879">
        <v>4725</v>
      </c>
      <c r="X44" s="495">
        <v>0</v>
      </c>
      <c r="Y44" s="861">
        <v>1</v>
      </c>
      <c r="Z44" s="678">
        <v>45971</v>
      </c>
      <c r="AA44" s="355">
        <v>1</v>
      </c>
      <c r="AB44" s="355">
        <v>1</v>
      </c>
      <c r="AC44" s="472">
        <v>0</v>
      </c>
      <c r="AD44" s="664"/>
    </row>
    <row r="45" spans="1:30" ht="39.75" customHeight="1">
      <c r="A45" s="842" t="s">
        <v>641</v>
      </c>
      <c r="B45" s="823" t="s">
        <v>50</v>
      </c>
      <c r="C45" s="642">
        <v>45838</v>
      </c>
      <c r="D45" s="475" t="s">
        <v>642</v>
      </c>
      <c r="E45" s="476">
        <v>45727</v>
      </c>
      <c r="F45" s="475" t="s">
        <v>68</v>
      </c>
      <c r="G45" s="846" t="s">
        <v>643</v>
      </c>
      <c r="H45" s="478">
        <v>71</v>
      </c>
      <c r="I45" s="828" t="s">
        <v>374</v>
      </c>
      <c r="J45" s="478" t="s">
        <v>63</v>
      </c>
      <c r="K45" s="487"/>
      <c r="L45" s="476">
        <v>45728</v>
      </c>
      <c r="M45" s="478" t="s">
        <v>57</v>
      </c>
      <c r="N45" s="543">
        <v>60843.5</v>
      </c>
      <c r="O45" s="478" t="s">
        <v>57</v>
      </c>
      <c r="P45" s="806" t="s">
        <v>328</v>
      </c>
      <c r="Q45" s="479">
        <v>45722</v>
      </c>
      <c r="R45" s="479">
        <v>45917</v>
      </c>
      <c r="S45" s="479">
        <v>45939</v>
      </c>
      <c r="T45" s="479"/>
      <c r="U45" s="486" t="s">
        <v>532</v>
      </c>
      <c r="V45" s="847">
        <v>4979</v>
      </c>
      <c r="W45" s="742">
        <v>5020</v>
      </c>
      <c r="X45" s="472">
        <f t="shared" si="8"/>
        <v>-41</v>
      </c>
      <c r="Y45" s="662">
        <f t="shared" si="9"/>
        <v>1.0082345852580838</v>
      </c>
      <c r="Z45" s="479">
        <v>45741</v>
      </c>
      <c r="AA45" s="662">
        <v>1</v>
      </c>
      <c r="AB45" s="662">
        <v>1</v>
      </c>
      <c r="AC45" s="352">
        <v>0</v>
      </c>
      <c r="AD45" s="664" t="s">
        <v>644</v>
      </c>
    </row>
    <row r="46" spans="1:30" ht="39.75" customHeight="1">
      <c r="A46" s="927" t="s">
        <v>645</v>
      </c>
      <c r="B46" s="510" t="s">
        <v>50</v>
      </c>
      <c r="C46" s="496">
        <v>45772</v>
      </c>
      <c r="D46" s="511" t="s">
        <v>646</v>
      </c>
      <c r="E46" s="511">
        <v>45693</v>
      </c>
      <c r="F46" s="501" t="s">
        <v>68</v>
      </c>
      <c r="G46" s="512" t="s">
        <v>647</v>
      </c>
      <c r="H46" s="504">
        <v>86</v>
      </c>
      <c r="I46" s="506" t="s">
        <v>374</v>
      </c>
      <c r="J46" s="504" t="s">
        <v>63</v>
      </c>
      <c r="K46" s="504"/>
      <c r="L46" s="511">
        <v>45714</v>
      </c>
      <c r="M46" s="504" t="s">
        <v>57</v>
      </c>
      <c r="N46" s="545">
        <v>94170.5</v>
      </c>
      <c r="O46" s="504" t="s">
        <v>57</v>
      </c>
      <c r="P46" s="928" t="s">
        <v>328</v>
      </c>
      <c r="Q46" s="479">
        <v>45693</v>
      </c>
      <c r="R46" s="479">
        <v>45869</v>
      </c>
      <c r="S46" s="479">
        <v>45903</v>
      </c>
      <c r="T46" s="479"/>
      <c r="U46" s="486" t="s">
        <v>532</v>
      </c>
      <c r="V46" s="493">
        <v>7980</v>
      </c>
      <c r="W46" s="741">
        <v>7901</v>
      </c>
      <c r="X46" s="106">
        <f t="shared" si="8"/>
        <v>79</v>
      </c>
      <c r="Y46" s="22">
        <f t="shared" si="9"/>
        <v>0.99010025062656637</v>
      </c>
      <c r="Z46" s="678">
        <v>45713</v>
      </c>
      <c r="AA46" s="473">
        <v>1</v>
      </c>
      <c r="AB46" s="473">
        <v>1</v>
      </c>
      <c r="AC46" s="815">
        <v>0</v>
      </c>
      <c r="AD46" s="173" t="s">
        <v>648</v>
      </c>
    </row>
    <row r="47" spans="1:30" ht="39.75" customHeight="1">
      <c r="A47" s="927" t="s">
        <v>649</v>
      </c>
      <c r="B47" s="510" t="s">
        <v>50</v>
      </c>
      <c r="C47" s="496">
        <v>45772</v>
      </c>
      <c r="D47" s="511" t="s">
        <v>646</v>
      </c>
      <c r="E47" s="511">
        <v>45698</v>
      </c>
      <c r="F47" s="496" t="s">
        <v>68</v>
      </c>
      <c r="G47" s="512" t="s">
        <v>650</v>
      </c>
      <c r="H47" s="504">
        <v>89</v>
      </c>
      <c r="I47" s="504" t="s">
        <v>374</v>
      </c>
      <c r="J47" s="504" t="s">
        <v>63</v>
      </c>
      <c r="K47" s="504"/>
      <c r="L47" s="511">
        <v>45695</v>
      </c>
      <c r="M47" s="504" t="s">
        <v>57</v>
      </c>
      <c r="N47" s="546">
        <v>89698.5</v>
      </c>
      <c r="O47" s="504" t="s">
        <v>57</v>
      </c>
      <c r="P47" s="928" t="s">
        <v>328</v>
      </c>
      <c r="Q47" s="479">
        <v>45694</v>
      </c>
      <c r="R47" s="479">
        <v>45917</v>
      </c>
      <c r="S47" s="479">
        <v>45936</v>
      </c>
      <c r="T47" s="479"/>
      <c r="U47" s="486" t="s">
        <v>532</v>
      </c>
      <c r="V47" s="493">
        <v>7562</v>
      </c>
      <c r="W47" s="741">
        <v>7556</v>
      </c>
      <c r="X47" s="106">
        <f t="shared" si="8"/>
        <v>6</v>
      </c>
      <c r="Y47" s="22">
        <f t="shared" si="9"/>
        <v>0.99920655911134626</v>
      </c>
      <c r="Z47" s="678">
        <v>45709</v>
      </c>
      <c r="AA47" s="473">
        <v>1</v>
      </c>
      <c r="AB47" s="473">
        <v>1</v>
      </c>
      <c r="AC47" s="815">
        <v>0</v>
      </c>
      <c r="AD47" s="201" t="s">
        <v>651</v>
      </c>
    </row>
    <row r="48" spans="1:30" ht="39.75" customHeight="1">
      <c r="A48" s="848" t="s">
        <v>652</v>
      </c>
      <c r="B48" s="823" t="s">
        <v>50</v>
      </c>
      <c r="C48" s="476">
        <v>45772</v>
      </c>
      <c r="D48" s="476" t="s">
        <v>642</v>
      </c>
      <c r="E48" s="826">
        <v>45686</v>
      </c>
      <c r="F48" s="475" t="s">
        <v>68</v>
      </c>
      <c r="G48" s="849" t="s">
        <v>653</v>
      </c>
      <c r="H48" s="828">
        <v>77</v>
      </c>
      <c r="I48" s="661" t="s">
        <v>374</v>
      </c>
      <c r="J48" s="828" t="s">
        <v>63</v>
      </c>
      <c r="K48" s="828"/>
      <c r="L48" s="826">
        <v>45686</v>
      </c>
      <c r="M48" s="828" t="s">
        <v>57</v>
      </c>
      <c r="N48" s="850">
        <v>61924</v>
      </c>
      <c r="O48" s="828" t="s">
        <v>57</v>
      </c>
      <c r="P48" s="806" t="s">
        <v>328</v>
      </c>
      <c r="Q48" s="479">
        <v>45692</v>
      </c>
      <c r="R48" s="479">
        <v>45847</v>
      </c>
      <c r="S48" s="479">
        <v>45852</v>
      </c>
      <c r="T48" s="479"/>
      <c r="U48" s="486" t="s">
        <v>532</v>
      </c>
      <c r="V48" s="851">
        <v>5005</v>
      </c>
      <c r="W48" s="852">
        <v>4996</v>
      </c>
      <c r="X48" s="472">
        <f t="shared" si="8"/>
        <v>9</v>
      </c>
      <c r="Y48" s="662">
        <f t="shared" si="9"/>
        <v>0.99820179820179822</v>
      </c>
      <c r="Z48" s="479">
        <v>45708</v>
      </c>
      <c r="AA48" s="662">
        <v>1</v>
      </c>
      <c r="AB48" s="662">
        <v>1</v>
      </c>
      <c r="AC48" s="815">
        <v>0</v>
      </c>
      <c r="AD48" s="853" t="s">
        <v>654</v>
      </c>
    </row>
    <row r="49" spans="1:30" ht="39.75" customHeight="1">
      <c r="A49" s="848" t="s">
        <v>655</v>
      </c>
      <c r="B49" s="823" t="s">
        <v>50</v>
      </c>
      <c r="C49" s="476">
        <v>45772</v>
      </c>
      <c r="D49" s="826" t="s">
        <v>656</v>
      </c>
      <c r="E49" s="826">
        <v>45694</v>
      </c>
      <c r="F49" s="826" t="s">
        <v>68</v>
      </c>
      <c r="G49" s="849" t="s">
        <v>657</v>
      </c>
      <c r="H49" s="828">
        <v>84</v>
      </c>
      <c r="I49" s="661" t="s">
        <v>374</v>
      </c>
      <c r="J49" s="828" t="s">
        <v>63</v>
      </c>
      <c r="K49" s="828"/>
      <c r="L49" s="826">
        <v>45698</v>
      </c>
      <c r="M49" s="828" t="s">
        <v>57</v>
      </c>
      <c r="N49" s="850">
        <v>63402.5</v>
      </c>
      <c r="O49" s="828" t="s">
        <v>57</v>
      </c>
      <c r="P49" s="806" t="s">
        <v>328</v>
      </c>
      <c r="Q49" s="479">
        <v>45695</v>
      </c>
      <c r="R49" s="479">
        <v>45847</v>
      </c>
      <c r="S49" s="479">
        <v>45852</v>
      </c>
      <c r="T49" s="479"/>
      <c r="U49" s="486" t="s">
        <v>532</v>
      </c>
      <c r="V49" s="847">
        <v>4979</v>
      </c>
      <c r="W49" s="852">
        <v>4984</v>
      </c>
      <c r="X49" s="472">
        <f t="shared" si="8"/>
        <v>-5</v>
      </c>
      <c r="Y49" s="662">
        <f t="shared" si="9"/>
        <v>1.0010042177144005</v>
      </c>
      <c r="Z49" s="479">
        <v>45714</v>
      </c>
      <c r="AA49" s="662">
        <v>1</v>
      </c>
      <c r="AB49" s="662">
        <v>1</v>
      </c>
      <c r="AC49" s="815">
        <v>0</v>
      </c>
      <c r="AD49" s="148" t="s">
        <v>658</v>
      </c>
    </row>
    <row r="50" spans="1:30" ht="39.75" customHeight="1">
      <c r="A50" s="1097" t="s">
        <v>659</v>
      </c>
      <c r="B50" s="378" t="s">
        <v>50</v>
      </c>
      <c r="C50" s="51">
        <v>45742</v>
      </c>
      <c r="D50" s="1086" t="s">
        <v>660</v>
      </c>
      <c r="E50" s="381">
        <v>45680</v>
      </c>
      <c r="F50" s="50" t="s">
        <v>68</v>
      </c>
      <c r="G50" s="572" t="s">
        <v>661</v>
      </c>
      <c r="H50" s="52">
        <v>79</v>
      </c>
      <c r="I50" s="1088" t="s">
        <v>524</v>
      </c>
      <c r="J50" s="977" t="s">
        <v>63</v>
      </c>
      <c r="K50" s="52"/>
      <c r="L50" s="374" t="s">
        <v>328</v>
      </c>
      <c r="M50" s="380" t="s">
        <v>57</v>
      </c>
      <c r="N50" s="1076">
        <v>64790.5</v>
      </c>
      <c r="O50" s="380" t="s">
        <v>57</v>
      </c>
      <c r="P50" s="1098" t="s">
        <v>328</v>
      </c>
      <c r="Q50" s="54">
        <v>45675</v>
      </c>
      <c r="R50" s="54">
        <v>45917</v>
      </c>
      <c r="S50" s="54">
        <v>45931</v>
      </c>
      <c r="T50" s="54"/>
      <c r="U50" s="486" t="s">
        <v>532</v>
      </c>
      <c r="V50" s="31">
        <v>4975</v>
      </c>
      <c r="W50" s="1099">
        <v>4975</v>
      </c>
      <c r="X50" s="106">
        <f t="shared" si="8"/>
        <v>0</v>
      </c>
      <c r="Y50" s="22">
        <f t="shared" si="9"/>
        <v>1</v>
      </c>
      <c r="Z50" s="195">
        <v>45680</v>
      </c>
      <c r="AA50" s="355">
        <v>0</v>
      </c>
      <c r="AB50" s="355">
        <v>0</v>
      </c>
      <c r="AC50" s="815">
        <v>0</v>
      </c>
      <c r="AD50" s="69" t="s">
        <v>662</v>
      </c>
    </row>
    <row r="51" spans="1:30" ht="39.75" customHeight="1">
      <c r="A51" s="842" t="s">
        <v>663</v>
      </c>
      <c r="B51" s="823" t="s">
        <v>50</v>
      </c>
      <c r="C51" s="467">
        <v>45960</v>
      </c>
      <c r="D51" s="465" t="s">
        <v>228</v>
      </c>
      <c r="E51" s="467">
        <v>45927</v>
      </c>
      <c r="F51" s="465" t="s">
        <v>61</v>
      </c>
      <c r="G51" s="682" t="s">
        <v>664</v>
      </c>
      <c r="H51" s="469">
        <v>86</v>
      </c>
      <c r="I51" s="661" t="s">
        <v>374</v>
      </c>
      <c r="J51" s="469" t="s">
        <v>63</v>
      </c>
      <c r="K51" s="478"/>
      <c r="L51" s="467">
        <v>45917</v>
      </c>
      <c r="M51" s="469" t="s">
        <v>57</v>
      </c>
      <c r="N51" s="542">
        <v>45500</v>
      </c>
      <c r="O51" s="469" t="s">
        <v>57</v>
      </c>
      <c r="P51" s="806" t="s">
        <v>328</v>
      </c>
      <c r="Q51" s="471">
        <v>45917</v>
      </c>
      <c r="R51" s="471">
        <v>45944</v>
      </c>
      <c r="S51" s="471">
        <v>45951</v>
      </c>
      <c r="T51" s="471"/>
      <c r="U51" s="486" t="s">
        <v>532</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665</v>
      </c>
      <c r="B52" s="823" t="s">
        <v>50</v>
      </c>
      <c r="C52" s="467">
        <v>45991</v>
      </c>
      <c r="D52" s="467" t="s">
        <v>84</v>
      </c>
      <c r="E52" s="476">
        <v>45743</v>
      </c>
      <c r="F52" s="475" t="s">
        <v>68</v>
      </c>
      <c r="G52" s="824" t="s">
        <v>666</v>
      </c>
      <c r="H52" s="478">
        <v>70</v>
      </c>
      <c r="I52" s="661" t="s">
        <v>374</v>
      </c>
      <c r="J52" s="469" t="s">
        <v>63</v>
      </c>
      <c r="K52" s="825"/>
      <c r="L52" s="476">
        <v>45741</v>
      </c>
      <c r="M52" s="469" t="s">
        <v>57</v>
      </c>
      <c r="N52" s="543">
        <v>67735.5</v>
      </c>
      <c r="O52" s="469" t="s">
        <v>57</v>
      </c>
      <c r="P52" s="806" t="s">
        <v>328</v>
      </c>
      <c r="Q52" s="479">
        <v>45779</v>
      </c>
      <c r="R52" s="479"/>
      <c r="S52" s="479"/>
      <c r="T52" s="479"/>
      <c r="U52" s="486" t="s">
        <v>532</v>
      </c>
      <c r="V52" s="41">
        <v>6152</v>
      </c>
      <c r="W52" s="742">
        <v>5723</v>
      </c>
      <c r="X52" s="106">
        <f>SUM(V52-W52)</f>
        <v>429</v>
      </c>
      <c r="Y52" s="657">
        <f>IFERROR($W52/$V52, 0)</f>
        <v>0.9302665799739922</v>
      </c>
      <c r="Z52" s="678">
        <v>45792</v>
      </c>
      <c r="AA52" s="355">
        <v>0</v>
      </c>
      <c r="AB52" s="355">
        <v>0</v>
      </c>
      <c r="AC52" s="645">
        <v>0</v>
      </c>
      <c r="AD52" s="353" t="s">
        <v>667</v>
      </c>
    </row>
    <row r="53" spans="1:30" ht="39.75" customHeight="1">
      <c r="A53" s="878" t="s">
        <v>668</v>
      </c>
      <c r="B53" s="823" t="s">
        <v>50</v>
      </c>
      <c r="C53" s="826">
        <v>45716</v>
      </c>
      <c r="D53" s="826" t="s">
        <v>84</v>
      </c>
      <c r="E53" s="826">
        <v>45701</v>
      </c>
      <c r="F53" s="475" t="s">
        <v>68</v>
      </c>
      <c r="G53" s="849" t="s">
        <v>540</v>
      </c>
      <c r="H53" s="828">
        <v>0</v>
      </c>
      <c r="I53" s="828" t="s">
        <v>328</v>
      </c>
      <c r="J53" s="828" t="s">
        <v>63</v>
      </c>
      <c r="K53" s="828"/>
      <c r="L53" s="826">
        <v>45705</v>
      </c>
      <c r="M53" s="828" t="s">
        <v>57</v>
      </c>
      <c r="N53" s="850">
        <v>1295</v>
      </c>
      <c r="O53" s="828" t="s">
        <v>57</v>
      </c>
      <c r="P53" s="806" t="s">
        <v>328</v>
      </c>
      <c r="Q53" s="513">
        <v>45706</v>
      </c>
      <c r="R53" s="513">
        <v>45826</v>
      </c>
      <c r="S53" s="513"/>
      <c r="T53" s="513"/>
      <c r="U53" s="486" t="s">
        <v>532</v>
      </c>
      <c r="V53" s="851">
        <v>153</v>
      </c>
      <c r="W53" s="741">
        <v>153</v>
      </c>
      <c r="X53" s="106">
        <f t="shared" si="8"/>
        <v>0</v>
      </c>
      <c r="Y53" s="657">
        <f t="shared" si="9"/>
        <v>1</v>
      </c>
      <c r="Z53" s="678">
        <v>45754</v>
      </c>
      <c r="AA53" s="473">
        <v>1</v>
      </c>
      <c r="AB53" s="473">
        <v>1</v>
      </c>
      <c r="AC53" s="815">
        <v>0</v>
      </c>
      <c r="AD53" s="173" t="s">
        <v>669</v>
      </c>
    </row>
    <row r="54" spans="1:30" ht="39.75" customHeight="1">
      <c r="A54" s="1438" t="s">
        <v>670</v>
      </c>
      <c r="B54" s="823" t="s">
        <v>50</v>
      </c>
      <c r="C54" s="887">
        <v>46008</v>
      </c>
      <c r="D54" s="1437" t="s">
        <v>671</v>
      </c>
      <c r="E54" s="57">
        <v>45938</v>
      </c>
      <c r="F54" s="771" t="s">
        <v>61</v>
      </c>
      <c r="G54" s="849"/>
      <c r="H54" s="775">
        <v>193</v>
      </c>
      <c r="I54" s="661" t="s">
        <v>374</v>
      </c>
      <c r="J54" s="469" t="s">
        <v>56</v>
      </c>
      <c r="K54" s="828"/>
      <c r="L54" s="826">
        <v>46303</v>
      </c>
      <c r="M54" s="858" t="s">
        <v>57</v>
      </c>
      <c r="N54" s="1076">
        <v>86136</v>
      </c>
      <c r="O54" s="858" t="s">
        <v>57</v>
      </c>
      <c r="P54" s="860" t="s">
        <v>328</v>
      </c>
      <c r="Q54" s="54">
        <v>45938</v>
      </c>
      <c r="R54" s="677"/>
      <c r="S54" s="513"/>
      <c r="T54" s="513"/>
      <c r="U54" s="486" t="s">
        <v>532</v>
      </c>
      <c r="V54" s="851">
        <v>8306</v>
      </c>
      <c r="W54" s="741">
        <v>8306</v>
      </c>
      <c r="X54" s="495">
        <v>0</v>
      </c>
      <c r="Y54" s="861">
        <v>1</v>
      </c>
      <c r="Z54" s="54">
        <v>45943</v>
      </c>
      <c r="AA54" s="61">
        <v>1</v>
      </c>
      <c r="AB54" s="61">
        <v>1</v>
      </c>
      <c r="AC54" s="815">
        <v>0</v>
      </c>
      <c r="AD54" s="173"/>
    </row>
    <row r="55" spans="1:30" ht="39.75" customHeight="1">
      <c r="A55" s="842" t="s">
        <v>672</v>
      </c>
      <c r="B55" s="788" t="s">
        <v>50</v>
      </c>
      <c r="C55" s="887">
        <v>46008</v>
      </c>
      <c r="D55" s="1087" t="s">
        <v>673</v>
      </c>
      <c r="E55" s="57">
        <v>45952</v>
      </c>
      <c r="F55" s="771" t="s">
        <v>61</v>
      </c>
      <c r="G55" s="789"/>
      <c r="H55" s="775">
        <v>139</v>
      </c>
      <c r="I55" s="661" t="s">
        <v>374</v>
      </c>
      <c r="J55" s="469" t="s">
        <v>56</v>
      </c>
      <c r="K55" s="775"/>
      <c r="L55" s="57" t="s">
        <v>52</v>
      </c>
      <c r="M55" s="977" t="s">
        <v>57</v>
      </c>
      <c r="N55" s="1076">
        <v>42766.5</v>
      </c>
      <c r="O55" s="52" t="s">
        <v>57</v>
      </c>
      <c r="P55" s="1098" t="s">
        <v>328</v>
      </c>
      <c r="Q55" s="54">
        <v>45939</v>
      </c>
      <c r="R55" s="195"/>
      <c r="S55" s="54"/>
      <c r="T55" s="54"/>
      <c r="U55" s="486" t="s">
        <v>532</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524</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524</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524</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524</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524</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524</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524</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524</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524</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524</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534</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524</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524</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524</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524</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524</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524</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524</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524</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524</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524</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524</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524</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522</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534</v>
      </c>
      <c r="E146" s="57">
        <v>45694</v>
      </c>
      <c r="F146" s="57" t="s">
        <v>808</v>
      </c>
      <c r="G146" s="794" t="s">
        <v>1036</v>
      </c>
      <c r="H146" s="775">
        <v>0</v>
      </c>
      <c r="I146" s="790" t="s">
        <v>524</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534</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390</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390</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533</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533</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511</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511</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515</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518</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427</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427</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511</v>
      </c>
      <c r="E501">
        <v>341</v>
      </c>
      <c r="G501">
        <v>341</v>
      </c>
    </row>
    <row r="502" spans="1:7">
      <c r="A502" t="s">
        <v>1105</v>
      </c>
    </row>
    <row r="503" spans="1:7">
      <c r="A503" t="s">
        <v>427</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533</v>
      </c>
      <c r="E534">
        <v>977</v>
      </c>
      <c r="G534">
        <v>977</v>
      </c>
    </row>
    <row r="535" spans="1:7">
      <c r="A535" t="s">
        <v>1104</v>
      </c>
      <c r="D535">
        <v>81</v>
      </c>
      <c r="F535">
        <v>114</v>
      </c>
      <c r="G535">
        <v>195</v>
      </c>
    </row>
    <row r="536" spans="1:7">
      <c r="A536" t="s">
        <v>693</v>
      </c>
    </row>
    <row r="537" spans="1:7">
      <c r="A537" t="s">
        <v>427</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533</v>
      </c>
      <c r="E549">
        <v>676</v>
      </c>
      <c r="F549">
        <v>430</v>
      </c>
      <c r="G549">
        <v>1106</v>
      </c>
    </row>
    <row r="550" spans="1:7">
      <c r="A550" t="s">
        <v>511</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533</v>
      </c>
      <c r="B565">
        <v>885</v>
      </c>
      <c r="C565">
        <v>478</v>
      </c>
      <c r="D565">
        <v>490</v>
      </c>
      <c r="E565">
        <v>372</v>
      </c>
      <c r="G565">
        <v>2225</v>
      </c>
    </row>
    <row r="566" spans="1:7">
      <c r="A566" t="s">
        <v>1097</v>
      </c>
    </row>
    <row r="567" spans="1:7">
      <c r="A567" t="s">
        <v>1104</v>
      </c>
      <c r="B567">
        <v>360</v>
      </c>
      <c r="G567">
        <v>360</v>
      </c>
    </row>
    <row r="568" spans="1:7">
      <c r="A568" t="s">
        <v>427</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533</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390</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390</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530</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530</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390</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511</v>
      </c>
    </row>
    <row r="667" spans="1:7">
      <c r="A667" t="s">
        <v>1099</v>
      </c>
      <c r="B667">
        <v>141</v>
      </c>
      <c r="D667">
        <v>181</v>
      </c>
      <c r="E667">
        <v>82</v>
      </c>
      <c r="F667">
        <v>96</v>
      </c>
      <c r="G667">
        <v>500</v>
      </c>
    </row>
    <row r="668" spans="1:7">
      <c r="A668" t="s">
        <v>791</v>
      </c>
      <c r="B668">
        <v>343</v>
      </c>
      <c r="C668">
        <v>416</v>
      </c>
      <c r="D668">
        <v>216</v>
      </c>
      <c r="G668">
        <v>975</v>
      </c>
    </row>
    <row r="669" spans="1:7">
      <c r="A669" t="s">
        <v>530</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390</v>
      </c>
      <c r="D684">
        <v>358</v>
      </c>
      <c r="G684">
        <v>358</v>
      </c>
    </row>
    <row r="685" spans="1:7">
      <c r="A685" t="s">
        <v>539</v>
      </c>
      <c r="D685">
        <v>1241</v>
      </c>
      <c r="G685">
        <v>1241</v>
      </c>
    </row>
    <row r="686" spans="1:7">
      <c r="A686" t="s">
        <v>544</v>
      </c>
      <c r="B686">
        <v>503</v>
      </c>
      <c r="C686">
        <v>295</v>
      </c>
      <c r="F686">
        <v>6</v>
      </c>
      <c r="G686">
        <v>804</v>
      </c>
    </row>
    <row r="687" spans="1:7">
      <c r="A687" t="s">
        <v>511</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390</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511</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390</v>
      </c>
    </row>
    <row r="743" spans="1:7">
      <c r="A743" t="s">
        <v>539</v>
      </c>
      <c r="D743">
        <v>139</v>
      </c>
      <c r="G743">
        <v>139</v>
      </c>
    </row>
    <row r="744" spans="1:7">
      <c r="A744" t="s">
        <v>544</v>
      </c>
    </row>
    <row r="745" spans="1:7">
      <c r="A745" t="s">
        <v>518</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393</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390</v>
      </c>
    </row>
    <row r="763" spans="1:7">
      <c r="A763" t="s">
        <v>539</v>
      </c>
      <c r="B763">
        <v>60</v>
      </c>
      <c r="G763">
        <v>60</v>
      </c>
    </row>
    <row r="764" spans="1:7">
      <c r="A764" t="s">
        <v>515</v>
      </c>
      <c r="E764">
        <v>175</v>
      </c>
      <c r="G764">
        <v>175</v>
      </c>
    </row>
    <row r="765" spans="1:7">
      <c r="A765" t="s">
        <v>1104</v>
      </c>
      <c r="C765">
        <v>224</v>
      </c>
      <c r="G765">
        <v>224</v>
      </c>
    </row>
    <row r="766" spans="1:7">
      <c r="A766" t="s">
        <v>530</v>
      </c>
      <c r="D766">
        <v>406</v>
      </c>
      <c r="G766">
        <v>406</v>
      </c>
    </row>
    <row r="767" spans="1:7">
      <c r="A767" t="s">
        <v>269</v>
      </c>
      <c r="D767">
        <v>362</v>
      </c>
      <c r="E767">
        <v>399</v>
      </c>
      <c r="G767">
        <v>761</v>
      </c>
    </row>
    <row r="768" spans="1:7">
      <c r="A768" t="s">
        <v>994</v>
      </c>
    </row>
    <row r="769" spans="1:7">
      <c r="A769" t="s">
        <v>978</v>
      </c>
    </row>
    <row r="770" spans="1:7">
      <c r="A770" t="s">
        <v>393</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396</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390</v>
      </c>
    </row>
    <row r="790" spans="1:7">
      <c r="A790" t="s">
        <v>515</v>
      </c>
      <c r="B790">
        <v>229</v>
      </c>
      <c r="G790">
        <v>229</v>
      </c>
    </row>
    <row r="791" spans="1:7">
      <c r="A791" t="s">
        <v>518</v>
      </c>
      <c r="C791">
        <v>134</v>
      </c>
      <c r="E791">
        <v>450</v>
      </c>
      <c r="F791">
        <v>352</v>
      </c>
      <c r="G791">
        <v>936</v>
      </c>
    </row>
    <row r="792" spans="1:7">
      <c r="A792" t="s">
        <v>1104</v>
      </c>
      <c r="D792">
        <v>201</v>
      </c>
      <c r="F792">
        <v>352</v>
      </c>
      <c r="G792">
        <v>553</v>
      </c>
    </row>
    <row r="793" spans="1:7">
      <c r="A793" t="s">
        <v>530</v>
      </c>
      <c r="C793">
        <v>665</v>
      </c>
      <c r="D793">
        <v>753</v>
      </c>
      <c r="E793">
        <v>305</v>
      </c>
      <c r="G793">
        <v>1723</v>
      </c>
    </row>
    <row r="794" spans="1:7">
      <c r="A794" t="s">
        <v>393</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396</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515</v>
      </c>
      <c r="E813">
        <v>270</v>
      </c>
      <c r="F813">
        <v>268</v>
      </c>
      <c r="G813">
        <v>538</v>
      </c>
    </row>
    <row r="814" spans="1:7">
      <c r="A814" t="s">
        <v>1098</v>
      </c>
      <c r="D814">
        <v>126</v>
      </c>
      <c r="E814">
        <v>229</v>
      </c>
      <c r="G814">
        <v>355</v>
      </c>
    </row>
    <row r="815" spans="1:7">
      <c r="A815" t="s">
        <v>518</v>
      </c>
      <c r="B815">
        <v>175</v>
      </c>
      <c r="C815">
        <v>270</v>
      </c>
      <c r="G815">
        <v>445</v>
      </c>
    </row>
    <row r="816" spans="1:7">
      <c r="A816" t="s">
        <v>1104</v>
      </c>
      <c r="B816">
        <v>65</v>
      </c>
      <c r="C816">
        <v>55</v>
      </c>
      <c r="G816">
        <v>120</v>
      </c>
    </row>
    <row r="817" spans="1:7">
      <c r="A817" t="s">
        <v>530</v>
      </c>
    </row>
    <row r="818" spans="1:7">
      <c r="A818" t="s">
        <v>393</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396</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386</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389</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518</v>
      </c>
      <c r="B860">
        <v>153</v>
      </c>
      <c r="C860">
        <v>244</v>
      </c>
      <c r="E860">
        <v>237</v>
      </c>
      <c r="G860">
        <v>634</v>
      </c>
    </row>
    <row r="861" spans="1:7">
      <c r="A861" t="s">
        <v>1104</v>
      </c>
      <c r="B861">
        <v>455</v>
      </c>
      <c r="G861">
        <v>455</v>
      </c>
    </row>
    <row r="862" spans="1:7">
      <c r="A862" t="s">
        <v>530</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386</v>
      </c>
      <c r="B867">
        <v>1100</v>
      </c>
      <c r="C867">
        <v>527</v>
      </c>
      <c r="D867">
        <v>553</v>
      </c>
      <c r="G867">
        <v>2180</v>
      </c>
    </row>
    <row r="868" spans="1:7">
      <c r="A868" t="s">
        <v>592</v>
      </c>
      <c r="C868">
        <v>230</v>
      </c>
      <c r="G868">
        <v>230</v>
      </c>
    </row>
    <row r="869" spans="1:7">
      <c r="A869" t="s">
        <v>998</v>
      </c>
      <c r="B869">
        <v>853</v>
      </c>
      <c r="G869">
        <v>853</v>
      </c>
    </row>
    <row r="870" spans="1:7">
      <c r="A870" t="s">
        <v>389</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387</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515</v>
      </c>
      <c r="D880">
        <v>171</v>
      </c>
      <c r="G880">
        <v>171</v>
      </c>
    </row>
    <row r="881" spans="1:7">
      <c r="A881" t="s">
        <v>1098</v>
      </c>
      <c r="B881">
        <v>567</v>
      </c>
      <c r="G881">
        <v>567</v>
      </c>
    </row>
    <row r="882" spans="1:7">
      <c r="A882" t="s">
        <v>530</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386</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387</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382</v>
      </c>
      <c r="D899">
        <v>3179</v>
      </c>
      <c r="G899">
        <v>3179</v>
      </c>
    </row>
    <row r="900" spans="1:7">
      <c r="A900" t="s">
        <v>625</v>
      </c>
      <c r="E900">
        <v>978</v>
      </c>
      <c r="G900">
        <v>978</v>
      </c>
    </row>
    <row r="901" spans="1:7">
      <c r="A901" t="s">
        <v>433</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396</v>
      </c>
      <c r="F911">
        <v>569</v>
      </c>
      <c r="G911">
        <v>569</v>
      </c>
    </row>
    <row r="912" spans="1:7">
      <c r="A912" t="s">
        <v>670</v>
      </c>
    </row>
    <row r="913" spans="1:7">
      <c r="A913" t="s">
        <v>379</v>
      </c>
      <c r="D913">
        <v>150</v>
      </c>
      <c r="G913">
        <v>150</v>
      </c>
    </row>
    <row r="914" spans="1:7">
      <c r="A914" t="s">
        <v>389</v>
      </c>
    </row>
    <row r="915" spans="1:7">
      <c r="A915" t="s">
        <v>598</v>
      </c>
      <c r="B915">
        <v>701</v>
      </c>
      <c r="G915">
        <v>701</v>
      </c>
    </row>
    <row r="916" spans="1:7">
      <c r="A916" t="s">
        <v>953</v>
      </c>
      <c r="B916">
        <v>463</v>
      </c>
      <c r="C916">
        <v>633</v>
      </c>
      <c r="D916">
        <v>625</v>
      </c>
      <c r="G916">
        <v>1721</v>
      </c>
    </row>
    <row r="917" spans="1:7">
      <c r="A917" t="s">
        <v>387</v>
      </c>
    </row>
    <row r="918" spans="1:7">
      <c r="A918" t="s">
        <v>382</v>
      </c>
      <c r="B918">
        <v>882</v>
      </c>
      <c r="C918">
        <v>1072</v>
      </c>
      <c r="D918">
        <v>1034</v>
      </c>
      <c r="E918">
        <v>209</v>
      </c>
      <c r="G918">
        <v>3197</v>
      </c>
    </row>
    <row r="919" spans="1:7">
      <c r="A919" t="s">
        <v>625</v>
      </c>
      <c r="B919">
        <v>1420</v>
      </c>
      <c r="C919">
        <v>990</v>
      </c>
      <c r="D919">
        <v>549</v>
      </c>
      <c r="G919">
        <v>2959</v>
      </c>
    </row>
    <row r="920" spans="1:7">
      <c r="A920" t="s">
        <v>433</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400</v>
      </c>
      <c r="B924">
        <v>207</v>
      </c>
      <c r="G924">
        <v>207</v>
      </c>
    </row>
    <row r="925" spans="1:7">
      <c r="A925" t="s">
        <v>521</v>
      </c>
      <c r="C925">
        <v>1691</v>
      </c>
      <c r="D925">
        <v>1998</v>
      </c>
      <c r="E925">
        <v>760</v>
      </c>
      <c r="F925">
        <v>3975</v>
      </c>
      <c r="G925">
        <v>8424</v>
      </c>
    </row>
    <row r="926" spans="1:7">
      <c r="A926" t="s">
        <v>628</v>
      </c>
      <c r="D926">
        <v>1031</v>
      </c>
      <c r="G926">
        <v>1031</v>
      </c>
    </row>
    <row r="927" spans="1:7">
      <c r="A927" t="s">
        <v>398</v>
      </c>
      <c r="E927">
        <v>1063</v>
      </c>
      <c r="F927">
        <v>1263</v>
      </c>
      <c r="G927">
        <v>2326</v>
      </c>
    </row>
    <row r="928" spans="1:7">
      <c r="A928" t="s">
        <v>672</v>
      </c>
      <c r="F928">
        <v>451</v>
      </c>
      <c r="G928">
        <v>451</v>
      </c>
    </row>
    <row r="929" spans="1:7">
      <c r="A929" t="s">
        <v>452</v>
      </c>
      <c r="B929">
        <v>3266</v>
      </c>
      <c r="C929">
        <v>3910</v>
      </c>
      <c r="D929">
        <v>346</v>
      </c>
      <c r="G929">
        <v>7522</v>
      </c>
    </row>
    <row r="930" spans="1:7">
      <c r="A930" t="s">
        <v>312</v>
      </c>
      <c r="C930">
        <v>372</v>
      </c>
      <c r="D930">
        <v>656</v>
      </c>
      <c r="G930">
        <v>1028</v>
      </c>
    </row>
    <row r="931" spans="1:7">
      <c r="A931" t="s">
        <v>443</v>
      </c>
      <c r="D931">
        <v>2985</v>
      </c>
      <c r="E931">
        <v>2373</v>
      </c>
      <c r="G931">
        <v>5358</v>
      </c>
    </row>
    <row r="932" spans="1:7">
      <c r="A932" t="s">
        <v>470</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389</v>
      </c>
    </row>
    <row r="942" spans="1:7">
      <c r="A942" t="s">
        <v>598</v>
      </c>
      <c r="B942">
        <v>138</v>
      </c>
      <c r="G942">
        <v>138</v>
      </c>
    </row>
    <row r="943" spans="1:7">
      <c r="A943" t="s">
        <v>387</v>
      </c>
    </row>
    <row r="944" spans="1:7">
      <c r="A944" t="s">
        <v>382</v>
      </c>
      <c r="B944">
        <v>96</v>
      </c>
      <c r="G944">
        <v>96</v>
      </c>
    </row>
    <row r="945" spans="1:7">
      <c r="A945" t="s">
        <v>625</v>
      </c>
      <c r="B945">
        <v>632</v>
      </c>
      <c r="G945">
        <v>632</v>
      </c>
    </row>
    <row r="946" spans="1:7">
      <c r="A946" t="s">
        <v>433</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470</v>
      </c>
      <c r="B949">
        <v>4084</v>
      </c>
      <c r="D949">
        <v>242</v>
      </c>
      <c r="G949">
        <v>4326</v>
      </c>
    </row>
    <row r="950" spans="1:7">
      <c r="A950" t="s">
        <v>1136</v>
      </c>
      <c r="B950">
        <v>748</v>
      </c>
      <c r="C950">
        <v>1062</v>
      </c>
      <c r="G950">
        <v>1810</v>
      </c>
    </row>
    <row r="951" spans="1:7">
      <c r="A951" t="s">
        <v>384</v>
      </c>
      <c r="B951">
        <v>435</v>
      </c>
      <c r="E951">
        <v>1123</v>
      </c>
      <c r="G951">
        <v>1558</v>
      </c>
    </row>
    <row r="952" spans="1:7">
      <c r="A952" t="s">
        <v>419</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412</v>
      </c>
      <c r="D955">
        <v>1486</v>
      </c>
      <c r="E955">
        <v>2912</v>
      </c>
      <c r="F955">
        <v>2125</v>
      </c>
      <c r="G955">
        <v>6523</v>
      </c>
    </row>
    <row r="956" spans="1:7">
      <c r="A956" t="s">
        <v>462</v>
      </c>
      <c r="D956">
        <v>1264</v>
      </c>
      <c r="E956">
        <v>1281</v>
      </c>
      <c r="G956">
        <v>2545</v>
      </c>
    </row>
    <row r="957" spans="1:7">
      <c r="A957" t="s">
        <v>1137</v>
      </c>
    </row>
    <row r="958" spans="1:7">
      <c r="A958" t="s">
        <v>475</v>
      </c>
      <c r="D958">
        <v>3678</v>
      </c>
      <c r="E958">
        <v>3382</v>
      </c>
      <c r="G958">
        <v>7060</v>
      </c>
    </row>
    <row r="959" spans="1:7">
      <c r="A959" t="s">
        <v>1138</v>
      </c>
      <c r="F959">
        <v>1505</v>
      </c>
      <c r="G959">
        <v>1505</v>
      </c>
    </row>
    <row r="960" spans="1:7">
      <c r="A960" t="s">
        <v>505</v>
      </c>
      <c r="E960">
        <v>424</v>
      </c>
      <c r="G960">
        <v>424</v>
      </c>
    </row>
    <row r="961" spans="1:7">
      <c r="A961" t="s">
        <v>477</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433</v>
      </c>
      <c r="B972">
        <v>127</v>
      </c>
      <c r="G972">
        <v>127</v>
      </c>
    </row>
    <row r="973" spans="1:7">
      <c r="A973" t="s">
        <v>224</v>
      </c>
      <c r="B973">
        <v>420</v>
      </c>
      <c r="G973">
        <v>420</v>
      </c>
    </row>
    <row r="974" spans="1:7">
      <c r="A974" t="s">
        <v>628</v>
      </c>
    </row>
    <row r="975" spans="1:7">
      <c r="A975" t="s">
        <v>384</v>
      </c>
      <c r="C975">
        <v>1917</v>
      </c>
      <c r="E975">
        <v>272</v>
      </c>
      <c r="G975">
        <v>2189</v>
      </c>
    </row>
    <row r="976" spans="1:7">
      <c r="A976" t="s">
        <v>594</v>
      </c>
      <c r="B976">
        <v>956</v>
      </c>
      <c r="G976">
        <v>956</v>
      </c>
    </row>
    <row r="977" spans="1:7">
      <c r="A977" t="s">
        <v>207</v>
      </c>
      <c r="E977">
        <v>195</v>
      </c>
      <c r="G977">
        <v>195</v>
      </c>
    </row>
    <row r="978" spans="1:7">
      <c r="A978" t="s">
        <v>412</v>
      </c>
      <c r="B978">
        <v>1449</v>
      </c>
      <c r="G978">
        <v>1449</v>
      </c>
    </row>
    <row r="979" spans="1:7">
      <c r="A979" t="s">
        <v>462</v>
      </c>
      <c r="B979">
        <v>1662</v>
      </c>
      <c r="C979">
        <v>2684</v>
      </c>
      <c r="F979">
        <v>51</v>
      </c>
      <c r="G979">
        <v>4397</v>
      </c>
    </row>
    <row r="980" spans="1:7">
      <c r="A980" t="s">
        <v>472</v>
      </c>
      <c r="B980">
        <v>5466</v>
      </c>
      <c r="E980">
        <v>2252</v>
      </c>
      <c r="G980">
        <v>7718</v>
      </c>
    </row>
    <row r="981" spans="1:7">
      <c r="A981" t="s">
        <v>1138</v>
      </c>
      <c r="B981">
        <v>907</v>
      </c>
      <c r="G981">
        <v>907</v>
      </c>
    </row>
    <row r="982" spans="1:7">
      <c r="A982" t="s">
        <v>505</v>
      </c>
      <c r="E982">
        <v>313</v>
      </c>
      <c r="F982">
        <v>3007</v>
      </c>
      <c r="G982">
        <v>3320</v>
      </c>
    </row>
    <row r="983" spans="1:7">
      <c r="A983" t="s">
        <v>477</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421</v>
      </c>
      <c r="C987">
        <v>1679</v>
      </c>
      <c r="D987">
        <v>1429</v>
      </c>
      <c r="E987">
        <v>1624</v>
      </c>
      <c r="G987">
        <v>4732</v>
      </c>
    </row>
    <row r="988" spans="1:7">
      <c r="A988" t="s">
        <v>413</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536</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415</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515</v>
      </c>
      <c r="C1005">
        <v>68</v>
      </c>
      <c r="G1005">
        <v>68</v>
      </c>
    </row>
    <row r="1006" spans="1:7">
      <c r="A1006" t="s">
        <v>1123</v>
      </c>
    </row>
    <row r="1007" spans="1:7">
      <c r="A1007" t="s">
        <v>376</v>
      </c>
    </row>
    <row r="1008" spans="1:7">
      <c r="A1008" t="s">
        <v>953</v>
      </c>
    </row>
    <row r="1009" spans="1:7">
      <c r="A1009" t="s">
        <v>387</v>
      </c>
    </row>
    <row r="1010" spans="1:7">
      <c r="A1010" t="s">
        <v>382</v>
      </c>
    </row>
    <row r="1011" spans="1:7">
      <c r="A1011" t="s">
        <v>224</v>
      </c>
      <c r="D1011">
        <v>426</v>
      </c>
      <c r="G1011">
        <v>426</v>
      </c>
    </row>
    <row r="1012" spans="1:7">
      <c r="A1012" t="s">
        <v>398</v>
      </c>
    </row>
    <row r="1013" spans="1:7">
      <c r="A1013" t="s">
        <v>452</v>
      </c>
    </row>
    <row r="1014" spans="1:7">
      <c r="A1014" t="s">
        <v>312</v>
      </c>
      <c r="C1014">
        <v>1175</v>
      </c>
      <c r="G1014">
        <v>1175</v>
      </c>
    </row>
    <row r="1015" spans="1:7">
      <c r="A1015" t="s">
        <v>443</v>
      </c>
      <c r="C1015">
        <v>996</v>
      </c>
      <c r="G1015">
        <v>996</v>
      </c>
    </row>
    <row r="1016" spans="1:7">
      <c r="A1016" t="s">
        <v>384</v>
      </c>
      <c r="B1016">
        <v>900</v>
      </c>
      <c r="G1016">
        <v>900</v>
      </c>
    </row>
    <row r="1017" spans="1:7">
      <c r="A1017" t="s">
        <v>419</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421</v>
      </c>
      <c r="B1022">
        <v>572</v>
      </c>
      <c r="G1022">
        <v>572</v>
      </c>
    </row>
    <row r="1023" spans="1:7">
      <c r="A1023" t="s">
        <v>1141</v>
      </c>
      <c r="B1023">
        <v>1718</v>
      </c>
      <c r="C1023">
        <v>2478</v>
      </c>
      <c r="D1023">
        <v>1567</v>
      </c>
      <c r="G1023">
        <v>5763</v>
      </c>
    </row>
    <row r="1024" spans="1:7">
      <c r="A1024" t="s">
        <v>480</v>
      </c>
      <c r="C1024">
        <v>3411</v>
      </c>
      <c r="G1024">
        <v>3411</v>
      </c>
    </row>
    <row r="1025" spans="1:7">
      <c r="A1025" t="s">
        <v>197</v>
      </c>
      <c r="B1025">
        <v>82</v>
      </c>
      <c r="G1025">
        <v>82</v>
      </c>
    </row>
    <row r="1026" spans="1:7">
      <c r="A1026" t="s">
        <v>483</v>
      </c>
      <c r="C1026">
        <v>3311</v>
      </c>
      <c r="G1026">
        <v>3311</v>
      </c>
    </row>
    <row r="1027" spans="1:7">
      <c r="A1027" t="s">
        <v>446</v>
      </c>
    </row>
    <row r="1028" spans="1:7">
      <c r="A1028" t="s">
        <v>415</v>
      </c>
      <c r="C1028">
        <v>2568</v>
      </c>
      <c r="G1028">
        <v>2568</v>
      </c>
    </row>
    <row r="1029" spans="1:7">
      <c r="A1029" t="s">
        <v>617</v>
      </c>
      <c r="B1029">
        <v>286</v>
      </c>
      <c r="C1029">
        <v>357</v>
      </c>
      <c r="D1029">
        <v>331</v>
      </c>
      <c r="G1029">
        <v>974</v>
      </c>
    </row>
    <row r="1030" spans="1:7">
      <c r="A1030" t="s">
        <v>409</v>
      </c>
      <c r="B1030">
        <v>1655</v>
      </c>
      <c r="C1030">
        <v>2537</v>
      </c>
      <c r="G1030">
        <v>4192</v>
      </c>
    </row>
    <row r="1031" spans="1:7">
      <c r="A1031" t="s">
        <v>464</v>
      </c>
      <c r="C1031">
        <v>2382</v>
      </c>
      <c r="G1031">
        <v>2382</v>
      </c>
    </row>
    <row r="1032" spans="1:7">
      <c r="A1032" t="s">
        <v>606</v>
      </c>
      <c r="C1032">
        <v>1100</v>
      </c>
      <c r="D1032">
        <v>855</v>
      </c>
      <c r="G1032">
        <v>1955</v>
      </c>
    </row>
    <row r="1033" spans="1:7">
      <c r="A1033" t="s">
        <v>1142</v>
      </c>
      <c r="C1033">
        <v>486</v>
      </c>
      <c r="G1033">
        <v>486</v>
      </c>
    </row>
    <row r="1034" spans="1:7">
      <c r="A1034" t="s">
        <v>486</v>
      </c>
      <c r="C1034">
        <v>3634</v>
      </c>
      <c r="G1034">
        <v>3634</v>
      </c>
    </row>
    <row r="1035" spans="1:7">
      <c r="A1035" t="s">
        <v>1143</v>
      </c>
      <c r="D1035">
        <v>955</v>
      </c>
      <c r="G1035">
        <v>955</v>
      </c>
    </row>
    <row r="1036" spans="1:7">
      <c r="A1036" t="s">
        <v>1144</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521</v>
      </c>
      <c r="B1052">
        <v>602</v>
      </c>
      <c r="C1052">
        <v>1069</v>
      </c>
      <c r="D1052">
        <v>1129</v>
      </c>
      <c r="E1052">
        <v>1041</v>
      </c>
      <c r="F1052">
        <v>1824</v>
      </c>
      <c r="G1052">
        <v>5665</v>
      </c>
    </row>
    <row r="1053" spans="1:7">
      <c r="A1053" t="s">
        <v>312</v>
      </c>
      <c r="B1053">
        <v>1515</v>
      </c>
      <c r="G1053">
        <v>1515</v>
      </c>
    </row>
    <row r="1054" spans="1:7">
      <c r="A1054" t="s">
        <v>472</v>
      </c>
      <c r="E1054">
        <v>64</v>
      </c>
      <c r="G1054">
        <v>64</v>
      </c>
    </row>
    <row r="1055" spans="1:7">
      <c r="A1055" t="s">
        <v>475</v>
      </c>
    </row>
    <row r="1056" spans="1:7">
      <c r="A1056" t="s">
        <v>603</v>
      </c>
      <c r="B1056">
        <v>1610</v>
      </c>
      <c r="G1056">
        <v>1610</v>
      </c>
    </row>
    <row r="1057" spans="1:7">
      <c r="A1057" t="s">
        <v>600</v>
      </c>
    </row>
    <row r="1058" spans="1:7">
      <c r="A1058" t="s">
        <v>480</v>
      </c>
      <c r="E1058">
        <v>52</v>
      </c>
      <c r="G1058">
        <v>52</v>
      </c>
    </row>
    <row r="1059" spans="1:7">
      <c r="A1059" t="s">
        <v>415</v>
      </c>
      <c r="E1059">
        <v>489</v>
      </c>
      <c r="F1059">
        <v>2020</v>
      </c>
      <c r="G1059">
        <v>2509</v>
      </c>
    </row>
    <row r="1060" spans="1:7">
      <c r="A1060" t="s">
        <v>409</v>
      </c>
      <c r="B1060">
        <v>2113</v>
      </c>
      <c r="D1060">
        <v>1677</v>
      </c>
      <c r="E1060">
        <v>1316</v>
      </c>
      <c r="G1060">
        <v>5106</v>
      </c>
    </row>
    <row r="1061" spans="1:7">
      <c r="A1061" t="s">
        <v>464</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486</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502</v>
      </c>
      <c r="B1067">
        <v>1829</v>
      </c>
      <c r="C1067">
        <v>2302</v>
      </c>
      <c r="D1067">
        <v>694</v>
      </c>
      <c r="G1067">
        <v>4825</v>
      </c>
    </row>
    <row r="1068" spans="1:7">
      <c r="A1068" t="s">
        <v>467</v>
      </c>
      <c r="B1068">
        <v>1391</v>
      </c>
      <c r="C1068">
        <v>2916</v>
      </c>
      <c r="D1068">
        <v>2430</v>
      </c>
      <c r="G1068">
        <v>6737</v>
      </c>
    </row>
    <row r="1069" spans="1:7">
      <c r="A1069" t="s">
        <v>575</v>
      </c>
      <c r="D1069">
        <v>466</v>
      </c>
      <c r="E1069">
        <v>345</v>
      </c>
      <c r="G1069">
        <v>811</v>
      </c>
    </row>
    <row r="1070" spans="1:7">
      <c r="A1070" t="s">
        <v>424</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521</v>
      </c>
      <c r="B1081">
        <v>1283</v>
      </c>
      <c r="C1081">
        <v>442</v>
      </c>
      <c r="F1081">
        <v>706</v>
      </c>
      <c r="G1081">
        <v>2431</v>
      </c>
    </row>
    <row r="1082" spans="1:7">
      <c r="A1082" t="s">
        <v>443</v>
      </c>
      <c r="C1082">
        <v>2203</v>
      </c>
      <c r="G1082">
        <v>2203</v>
      </c>
    </row>
    <row r="1083" spans="1:7">
      <c r="A1083" t="s">
        <v>477</v>
      </c>
      <c r="E1083">
        <v>242</v>
      </c>
      <c r="G1083">
        <v>242</v>
      </c>
    </row>
    <row r="1084" spans="1:7">
      <c r="A1084" t="s">
        <v>603</v>
      </c>
    </row>
    <row r="1085" spans="1:7">
      <c r="A1085" t="s">
        <v>415</v>
      </c>
      <c r="B1085">
        <v>428</v>
      </c>
      <c r="G1085">
        <v>428</v>
      </c>
    </row>
    <row r="1086" spans="1:7">
      <c r="A1086" t="s">
        <v>1143</v>
      </c>
    </row>
    <row r="1087" spans="1:7">
      <c r="A1087" t="s">
        <v>1145</v>
      </c>
      <c r="C1087">
        <v>265</v>
      </c>
      <c r="D1087">
        <v>542</v>
      </c>
      <c r="E1087">
        <v>739</v>
      </c>
      <c r="G1087">
        <v>1546</v>
      </c>
    </row>
    <row r="1088" spans="1:7">
      <c r="A1088" t="s">
        <v>502</v>
      </c>
      <c r="D1088">
        <v>91</v>
      </c>
      <c r="G1088">
        <v>91</v>
      </c>
    </row>
    <row r="1089" spans="1:7">
      <c r="A1089" t="s">
        <v>575</v>
      </c>
      <c r="B1089">
        <v>1172</v>
      </c>
      <c r="G1089">
        <v>1172</v>
      </c>
    </row>
    <row r="1090" spans="1:7">
      <c r="A1090" t="s">
        <v>424</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1148</v>
      </c>
    </row>
    <row r="1096" spans="1:7">
      <c r="A1096" t="s">
        <v>403</v>
      </c>
      <c r="C1096">
        <v>1640</v>
      </c>
      <c r="D1096">
        <v>1177</v>
      </c>
      <c r="G1096">
        <v>2817</v>
      </c>
    </row>
    <row r="1097" spans="1:7">
      <c r="A1097" t="s">
        <v>489</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406</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521</v>
      </c>
      <c r="B1109">
        <v>735</v>
      </c>
      <c r="G1109">
        <v>735</v>
      </c>
    </row>
    <row r="1110" spans="1:7">
      <c r="A1110" t="s">
        <v>452</v>
      </c>
    </row>
    <row r="1111" spans="1:7">
      <c r="A1111" t="s">
        <v>475</v>
      </c>
    </row>
    <row r="1112" spans="1:7">
      <c r="A1112" t="s">
        <v>505</v>
      </c>
      <c r="E1112">
        <v>396</v>
      </c>
      <c r="G1112">
        <v>396</v>
      </c>
    </row>
    <row r="1113" spans="1:7">
      <c r="A1113" t="s">
        <v>477</v>
      </c>
    </row>
    <row r="1114" spans="1:7">
      <c r="A1114" t="s">
        <v>603</v>
      </c>
    </row>
    <row r="1115" spans="1:7">
      <c r="A1115" t="s">
        <v>483</v>
      </c>
      <c r="B1115">
        <v>87</v>
      </c>
      <c r="G1115">
        <v>87</v>
      </c>
    </row>
    <row r="1116" spans="1:7">
      <c r="A1116" t="s">
        <v>1145</v>
      </c>
      <c r="B1116">
        <v>671</v>
      </c>
      <c r="C1116">
        <v>1204</v>
      </c>
      <c r="D1116">
        <v>1210</v>
      </c>
      <c r="E1116">
        <v>292</v>
      </c>
      <c r="G1116">
        <v>3377</v>
      </c>
    </row>
    <row r="1117" spans="1:7">
      <c r="A1117" t="s">
        <v>502</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417</v>
      </c>
      <c r="B1130">
        <v>1511</v>
      </c>
      <c r="C1130">
        <v>1887</v>
      </c>
      <c r="D1130">
        <v>916</v>
      </c>
      <c r="E1130">
        <v>1704</v>
      </c>
      <c r="F1130">
        <v>974</v>
      </c>
      <c r="G1130">
        <v>6992</v>
      </c>
    </row>
    <row r="1131" spans="1:7">
      <c r="A1131" t="s">
        <v>492</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502</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492</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470</v>
      </c>
    </row>
    <row r="1162" spans="1:7">
      <c r="A1162" t="s">
        <v>462</v>
      </c>
    </row>
    <row r="1163" spans="1:7">
      <c r="A1163" t="s">
        <v>464</v>
      </c>
    </row>
    <row r="1164" spans="1:7">
      <c r="A1164" t="s">
        <v>467</v>
      </c>
    </row>
    <row r="1165" spans="1:7">
      <c r="A1165" t="s">
        <v>424</v>
      </c>
    </row>
    <row r="1166" spans="1:7">
      <c r="A1166" t="s">
        <v>317</v>
      </c>
      <c r="B1166">
        <v>738</v>
      </c>
      <c r="C1166">
        <v>466</v>
      </c>
      <c r="G1166">
        <v>1204</v>
      </c>
    </row>
    <row r="1167" spans="1:7">
      <c r="A1167" t="s">
        <v>498</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522</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390</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390</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390</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390</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390</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533</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390</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533</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533</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533</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511</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511</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533</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533</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534</v>
      </c>
      <c r="C882" s="56">
        <v>45758</v>
      </c>
      <c r="E882" s="43"/>
      <c r="F882" s="141" t="s">
        <v>1351</v>
      </c>
      <c r="G882" t="str">
        <f t="shared" si="13"/>
        <v>April</v>
      </c>
    </row>
    <row r="883" spans="1:7">
      <c r="A883" s="141" t="s">
        <v>927</v>
      </c>
      <c r="B883" s="141" t="s">
        <v>534</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534</v>
      </c>
      <c r="C894" s="56">
        <v>45761</v>
      </c>
      <c r="E894" s="43"/>
      <c r="G894" t="str">
        <f t="shared" si="13"/>
        <v>April</v>
      </c>
    </row>
    <row r="895" spans="1:7">
      <c r="A895" s="141" t="s">
        <v>927</v>
      </c>
      <c r="B895" s="141" t="s">
        <v>534</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534</v>
      </c>
      <c r="C905" s="56">
        <v>45762</v>
      </c>
      <c r="E905" s="43"/>
      <c r="F905" s="141" t="s">
        <v>1363</v>
      </c>
      <c r="G905" t="str">
        <f t="shared" si="14"/>
        <v>April</v>
      </c>
    </row>
    <row r="906" spans="1:7">
      <c r="A906" s="141" t="s">
        <v>927</v>
      </c>
      <c r="B906" s="141" t="s">
        <v>534</v>
      </c>
      <c r="C906" s="56">
        <v>45762</v>
      </c>
      <c r="E906" s="43"/>
      <c r="F906" s="141" t="s">
        <v>1363</v>
      </c>
      <c r="G906" t="str">
        <f t="shared" si="14"/>
        <v>April</v>
      </c>
    </row>
    <row r="907" spans="1:7">
      <c r="A907" s="141" t="s">
        <v>900</v>
      </c>
      <c r="B907" s="141" t="s">
        <v>534</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534</v>
      </c>
      <c r="C920" s="56">
        <v>45763</v>
      </c>
      <c r="E920" s="43"/>
      <c r="F920" s="141" t="s">
        <v>1225</v>
      </c>
      <c r="G920" t="str">
        <f t="shared" si="14"/>
        <v>April</v>
      </c>
    </row>
    <row r="921" spans="1:7">
      <c r="A921" s="141" t="s">
        <v>900</v>
      </c>
      <c r="B921" s="141" t="s">
        <v>534</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534</v>
      </c>
      <c r="C946" s="56">
        <v>45765</v>
      </c>
      <c r="E946" s="43"/>
      <c r="F946" s="306" t="s">
        <v>1385</v>
      </c>
      <c r="G946" t="str">
        <f t="shared" si="14"/>
        <v>April</v>
      </c>
    </row>
    <row r="947" spans="1:7">
      <c r="A947" s="311" t="s">
        <v>900</v>
      </c>
      <c r="B947" s="311" t="s">
        <v>534</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534</v>
      </c>
      <c r="C959" s="56">
        <v>45768</v>
      </c>
      <c r="E959" s="43"/>
      <c r="F959" s="311" t="s">
        <v>1385</v>
      </c>
      <c r="G959" t="str">
        <f t="shared" si="15"/>
        <v>April</v>
      </c>
    </row>
    <row r="960" spans="1:7">
      <c r="A960" s="315" t="s">
        <v>927</v>
      </c>
      <c r="B960" s="141" t="s">
        <v>534</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515</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515</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511</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511</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518</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427</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427</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427</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427</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427</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427</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511</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427</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511</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533</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427</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511</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533</v>
      </c>
      <c r="B1296" s="141" t="s">
        <v>646</v>
      </c>
      <c r="C1296" s="56">
        <v>45834</v>
      </c>
      <c r="D1296" s="43">
        <v>676</v>
      </c>
      <c r="F1296" s="43" t="s">
        <v>1522</v>
      </c>
      <c r="G1296" t="s">
        <v>1529</v>
      </c>
    </row>
    <row r="1297" spans="1:7">
      <c r="A1297" s="141" t="s">
        <v>681</v>
      </c>
      <c r="B1297" s="141" t="s">
        <v>391</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533</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533</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427</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533</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533</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533</v>
      </c>
      <c r="B1316" s="317" t="s">
        <v>646</v>
      </c>
      <c r="C1316" s="56">
        <v>45841</v>
      </c>
      <c r="D1316" s="43">
        <v>372</v>
      </c>
      <c r="F1316" s="115" t="s">
        <v>1208</v>
      </c>
      <c r="G1316" t="s">
        <v>1562</v>
      </c>
    </row>
    <row r="1317" spans="1:7" ht="15.75">
      <c r="A1317" s="141" t="s">
        <v>533</v>
      </c>
      <c r="B1317" s="317" t="s">
        <v>391</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533</v>
      </c>
      <c r="B1322" s="157" t="s">
        <v>391</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391</v>
      </c>
      <c r="C1331" s="56">
        <v>45849</v>
      </c>
      <c r="D1331" s="43">
        <v>198</v>
      </c>
      <c r="G1331" t="s">
        <v>1562</v>
      </c>
    </row>
    <row r="1332" spans="1:7">
      <c r="A1332" s="247" t="s">
        <v>1015</v>
      </c>
      <c r="B1332" s="398" t="s">
        <v>1080</v>
      </c>
      <c r="C1332" s="56">
        <v>45852</v>
      </c>
      <c r="F1332" s="43" t="s">
        <v>1225</v>
      </c>
      <c r="G1332" t="s">
        <v>1562</v>
      </c>
    </row>
    <row r="1333" spans="1:7">
      <c r="A1333" s="617" t="s">
        <v>539</v>
      </c>
      <c r="B1333" s="157" t="s">
        <v>391</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390</v>
      </c>
      <c r="B1337" s="157" t="s">
        <v>391</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390</v>
      </c>
      <c r="B1343" s="318" t="s">
        <v>391</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390</v>
      </c>
      <c r="B1354" s="157" t="s">
        <v>391</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390</v>
      </c>
      <c r="B1361" s="157" t="s">
        <v>391</v>
      </c>
      <c r="C1361" s="56">
        <v>45860</v>
      </c>
      <c r="D1361" s="43">
        <v>318</v>
      </c>
      <c r="G1361" t="s">
        <v>1562</v>
      </c>
    </row>
    <row r="1362" spans="1:7">
      <c r="A1362" s="247" t="s">
        <v>1119</v>
      </c>
      <c r="B1362" s="157" t="s">
        <v>391</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391</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391</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391</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391</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530</v>
      </c>
      <c r="B1402" s="318" t="s">
        <v>391</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391</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391</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391</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391</v>
      </c>
      <c r="C1418" s="56">
        <v>45875</v>
      </c>
      <c r="D1418" s="43">
        <v>840</v>
      </c>
      <c r="G1418" t="s">
        <v>1601</v>
      </c>
    </row>
    <row r="1419" spans="1:7">
      <c r="A1419" s="141" t="s">
        <v>530</v>
      </c>
      <c r="B1419" s="550" t="s">
        <v>391</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391</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391</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391</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390</v>
      </c>
      <c r="B1435" s="311" t="s">
        <v>391</v>
      </c>
      <c r="C1435" s="56">
        <v>45881</v>
      </c>
      <c r="D1435" s="43">
        <v>319</v>
      </c>
      <c r="G1435" t="s">
        <v>1601</v>
      </c>
    </row>
    <row r="1436" spans="1:7">
      <c r="A1436" s="551" t="s">
        <v>547</v>
      </c>
      <c r="B1436" s="311" t="s">
        <v>391</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391</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391</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391</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391</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391</v>
      </c>
      <c r="C1466" s="56">
        <v>45888</v>
      </c>
      <c r="D1466" s="43">
        <v>408</v>
      </c>
      <c r="F1466" s="115"/>
      <c r="G1466" t="s">
        <v>1601</v>
      </c>
    </row>
    <row r="1467" spans="1:7">
      <c r="A1467" s="583" t="s">
        <v>544</v>
      </c>
      <c r="B1467" s="318" t="s">
        <v>1080</v>
      </c>
      <c r="C1467" s="56">
        <v>45888</v>
      </c>
      <c r="F1467" s="141" t="s">
        <v>1616</v>
      </c>
      <c r="G1467" t="s">
        <v>1601</v>
      </c>
    </row>
    <row r="1468" spans="1:7">
      <c r="A1468" s="247" t="s">
        <v>530</v>
      </c>
      <c r="B1468" s="311" t="s">
        <v>391</v>
      </c>
      <c r="C1468" s="56">
        <v>45888</v>
      </c>
      <c r="D1468" s="43">
        <v>430</v>
      </c>
      <c r="F1468" s="169"/>
      <c r="G1468" t="s">
        <v>1601</v>
      </c>
    </row>
    <row r="1469" spans="1:7">
      <c r="A1469" s="88" t="s">
        <v>1099</v>
      </c>
      <c r="B1469" s="398" t="s">
        <v>1080</v>
      </c>
      <c r="C1469" s="56">
        <v>45889</v>
      </c>
      <c r="D1469" s="43">
        <v>181</v>
      </c>
      <c r="G1469" t="s">
        <v>1601</v>
      </c>
    </row>
    <row r="1470" spans="1:7">
      <c r="A1470" s="88" t="s">
        <v>511</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391</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511</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391</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391</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391</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511</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391</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390</v>
      </c>
      <c r="B1512" s="348" t="s">
        <v>391</v>
      </c>
      <c r="C1512" s="56">
        <v>45896</v>
      </c>
      <c r="D1512" s="43">
        <v>358</v>
      </c>
      <c r="F1512" s="43" t="s">
        <v>1630</v>
      </c>
      <c r="G1512" t="s">
        <v>1601</v>
      </c>
    </row>
    <row r="1513" spans="1:7">
      <c r="A1513" s="643" t="s">
        <v>539</v>
      </c>
      <c r="B1513" s="141" t="s">
        <v>391</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391</v>
      </c>
      <c r="C1518" s="56">
        <v>45897</v>
      </c>
      <c r="F1518" s="43" t="s">
        <v>1220</v>
      </c>
      <c r="G1518" t="s">
        <v>1601</v>
      </c>
    </row>
    <row r="1519" spans="1:7">
      <c r="A1519" s="583" t="s">
        <v>269</v>
      </c>
      <c r="B1519" s="631" t="s">
        <v>1080</v>
      </c>
      <c r="C1519" s="56">
        <v>45897</v>
      </c>
      <c r="D1519" s="43">
        <v>320</v>
      </c>
      <c r="G1519" t="s">
        <v>1601</v>
      </c>
    </row>
    <row r="1520" spans="1:7">
      <c r="A1520" s="628" t="s">
        <v>390</v>
      </c>
      <c r="B1520" s="349" t="s">
        <v>391</v>
      </c>
      <c r="C1520" s="56">
        <v>45897</v>
      </c>
      <c r="F1520" s="311" t="s">
        <v>1358</v>
      </c>
      <c r="G1520" t="s">
        <v>1601</v>
      </c>
    </row>
    <row r="1521" spans="1:7">
      <c r="A1521" s="123" t="s">
        <v>539</v>
      </c>
      <c r="B1521" s="348" t="s">
        <v>391</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391</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391</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391</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391</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390</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511</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390</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393</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393</v>
      </c>
      <c r="B1594" s="305" t="s">
        <v>217</v>
      </c>
      <c r="C1594" s="56">
        <v>45917</v>
      </c>
      <c r="D1594" s="43">
        <v>253</v>
      </c>
      <c r="F1594" s="734"/>
      <c r="G1594" t="s">
        <v>1639</v>
      </c>
    </row>
    <row r="1595" spans="1:7">
      <c r="A1595" s="326" t="s">
        <v>390</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518</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393</v>
      </c>
      <c r="B1604" s="141" t="s">
        <v>217</v>
      </c>
      <c r="C1604" s="56">
        <v>45918</v>
      </c>
      <c r="D1604" s="155">
        <v>1076</v>
      </c>
      <c r="F1604" s="734"/>
      <c r="G1604" t="s">
        <v>1639</v>
      </c>
    </row>
    <row r="1605" spans="1:7">
      <c r="A1605" s="157" t="s">
        <v>390</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393</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440</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393</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440</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393</v>
      </c>
      <c r="B1626" s="756" t="s">
        <v>217</v>
      </c>
      <c r="C1626" s="56">
        <v>45923</v>
      </c>
      <c r="D1626" s="43">
        <v>120</v>
      </c>
      <c r="F1626" s="69"/>
      <c r="G1626" t="s">
        <v>1639</v>
      </c>
    </row>
    <row r="1627" spans="1:7">
      <c r="A1627" s="157" t="s">
        <v>390</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440</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393</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530</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515</v>
      </c>
      <c r="B1645" s="398" t="s">
        <v>1080</v>
      </c>
      <c r="C1645" s="56">
        <v>45925</v>
      </c>
      <c r="D1645" s="43">
        <v>175</v>
      </c>
      <c r="F1645" s="30"/>
      <c r="G1645" t="s">
        <v>1639</v>
      </c>
    </row>
    <row r="1646" spans="1:7">
      <c r="A1646" s="743" t="s">
        <v>1127</v>
      </c>
      <c r="B1646" s="141" t="s">
        <v>440</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393</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440</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396</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515</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390</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393</v>
      </c>
      <c r="B1672" s="318" t="s">
        <v>217</v>
      </c>
      <c r="C1672" s="56">
        <v>45929</v>
      </c>
      <c r="D1672" s="43">
        <v>479</v>
      </c>
      <c r="G1672" t="s">
        <v>1639</v>
      </c>
    </row>
    <row r="1673" spans="1:7">
      <c r="A1673" s="43" t="s">
        <v>396</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518</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396</v>
      </c>
      <c r="B1685" s="318" t="s">
        <v>217</v>
      </c>
      <c r="C1685" s="56">
        <v>45930</v>
      </c>
      <c r="D1685" s="43">
        <v>251</v>
      </c>
      <c r="G1685" t="s">
        <v>1639</v>
      </c>
    </row>
    <row r="1686" spans="1:7">
      <c r="A1686" s="525" t="s">
        <v>530</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530</v>
      </c>
      <c r="B1694" s="141" t="s">
        <v>217</v>
      </c>
      <c r="C1694" s="56">
        <v>45931</v>
      </c>
      <c r="D1694" s="43">
        <v>753</v>
      </c>
      <c r="G1694" t="s">
        <v>1705</v>
      </c>
    </row>
    <row r="1695" spans="1:7">
      <c r="A1695" s="305" t="s">
        <v>396</v>
      </c>
      <c r="B1695" s="348" t="s">
        <v>217</v>
      </c>
      <c r="C1695" s="56">
        <v>45931</v>
      </c>
      <c r="D1695" s="43">
        <v>224</v>
      </c>
      <c r="G1695" t="s">
        <v>1705</v>
      </c>
    </row>
    <row r="1696" spans="1:7">
      <c r="A1696" s="134" t="s">
        <v>518</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530</v>
      </c>
      <c r="B1705" s="141" t="s">
        <v>217</v>
      </c>
      <c r="C1705" s="56">
        <v>45932</v>
      </c>
      <c r="D1705" s="43">
        <v>305</v>
      </c>
      <c r="G1705" t="s">
        <v>1705</v>
      </c>
    </row>
    <row r="1706" spans="1:7">
      <c r="A1706" s="305" t="s">
        <v>396</v>
      </c>
      <c r="B1706" s="348" t="s">
        <v>217</v>
      </c>
      <c r="C1706" s="56">
        <v>45932</v>
      </c>
      <c r="D1706" s="43">
        <v>789</v>
      </c>
      <c r="F1706" s="43" t="s">
        <v>1711</v>
      </c>
      <c r="G1706" t="s">
        <v>1705</v>
      </c>
    </row>
    <row r="1707" spans="1:7">
      <c r="A1707" s="141" t="s">
        <v>393</v>
      </c>
      <c r="B1707" s="141" t="s">
        <v>217</v>
      </c>
      <c r="C1707" s="56">
        <v>45932</v>
      </c>
      <c r="D1707" s="43">
        <v>170</v>
      </c>
      <c r="G1707" t="s">
        <v>1705</v>
      </c>
    </row>
    <row r="1708" spans="1:7">
      <c r="A1708" s="134" t="s">
        <v>518</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396</v>
      </c>
      <c r="B1715" s="141" t="s">
        <v>217</v>
      </c>
      <c r="C1715" s="56">
        <v>45933</v>
      </c>
      <c r="F1715" s="43" t="s">
        <v>1714</v>
      </c>
      <c r="G1715" t="s">
        <v>1705</v>
      </c>
    </row>
    <row r="1716" spans="1:7">
      <c r="A1716" s="306" t="s">
        <v>393</v>
      </c>
      <c r="B1716" s="141" t="s">
        <v>217</v>
      </c>
      <c r="C1716" s="56">
        <v>45933</v>
      </c>
      <c r="F1716" s="43" t="s">
        <v>1714</v>
      </c>
      <c r="G1716" t="s">
        <v>1705</v>
      </c>
    </row>
    <row r="1717" spans="1:7">
      <c r="A1717" s="134" t="s">
        <v>1104</v>
      </c>
      <c r="B1717" s="311" t="s">
        <v>1080</v>
      </c>
      <c r="C1717" s="56">
        <v>45936</v>
      </c>
      <c r="D1717" s="43">
        <v>65</v>
      </c>
      <c r="G1717" t="s">
        <v>1705</v>
      </c>
    </row>
    <row r="1718" spans="1:7">
      <c r="A1718" s="583" t="s">
        <v>518</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530</v>
      </c>
      <c r="B1726" s="306" t="s">
        <v>217</v>
      </c>
      <c r="C1726" s="56">
        <v>45936</v>
      </c>
      <c r="F1726" s="337" t="s">
        <v>1358</v>
      </c>
      <c r="G1726" t="s">
        <v>1705</v>
      </c>
    </row>
    <row r="1727" spans="1:7">
      <c r="A1727" s="311" t="s">
        <v>396</v>
      </c>
      <c r="B1727" s="311" t="s">
        <v>217</v>
      </c>
      <c r="C1727" s="56">
        <v>45936</v>
      </c>
      <c r="D1727" s="155">
        <v>1088</v>
      </c>
      <c r="F1727" s="43" t="s">
        <v>1709</v>
      </c>
      <c r="G1727" t="s">
        <v>1705</v>
      </c>
    </row>
    <row r="1728" spans="1:7">
      <c r="A1728" s="134" t="s">
        <v>518</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396</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396</v>
      </c>
      <c r="B1748" s="317" t="s">
        <v>217</v>
      </c>
      <c r="C1748" s="56">
        <v>45938</v>
      </c>
      <c r="D1748" s="43">
        <v>512</v>
      </c>
      <c r="F1748" s="43" t="s">
        <v>1656</v>
      </c>
      <c r="G1748" t="s">
        <v>1705</v>
      </c>
    </row>
    <row r="1749" spans="1:7">
      <c r="A1749" s="593" t="s">
        <v>515</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396</v>
      </c>
      <c r="B1758" s="317" t="s">
        <v>217</v>
      </c>
      <c r="C1758" s="56">
        <v>45939</v>
      </c>
      <c r="D1758" s="43">
        <v>369</v>
      </c>
      <c r="G1758" t="s">
        <v>1705</v>
      </c>
    </row>
    <row r="1759" spans="1:7">
      <c r="A1759" s="115" t="s">
        <v>393</v>
      </c>
      <c r="B1759" s="317" t="s">
        <v>217</v>
      </c>
      <c r="C1759" s="56">
        <v>45939</v>
      </c>
      <c r="D1759" s="43">
        <v>725</v>
      </c>
      <c r="G1759" t="s">
        <v>1705</v>
      </c>
    </row>
    <row r="1760" spans="1:7">
      <c r="A1760" s="123" t="s">
        <v>515</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530</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437</v>
      </c>
      <c r="C1784" s="56">
        <v>45944</v>
      </c>
      <c r="D1784" s="155">
        <v>1603</v>
      </c>
      <c r="F1784" s="43" t="s">
        <v>1734</v>
      </c>
      <c r="G1784" t="s">
        <v>1705</v>
      </c>
    </row>
    <row r="1785" spans="1:7">
      <c r="A1785" s="311" t="s">
        <v>1128</v>
      </c>
      <c r="B1785" s="311" t="s">
        <v>1080</v>
      </c>
      <c r="C1785" s="56">
        <v>45944</v>
      </c>
      <c r="D1785" s="43">
        <v>144</v>
      </c>
      <c r="G1785" t="s">
        <v>1705</v>
      </c>
    </row>
    <row r="1786" spans="1:7">
      <c r="A1786" s="315" t="s">
        <v>386</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437</v>
      </c>
      <c r="C1793" s="56">
        <v>45945</v>
      </c>
      <c r="D1793" s="43">
        <v>791</v>
      </c>
      <c r="F1793" s="43" t="s">
        <v>1739</v>
      </c>
      <c r="G1793" t="s">
        <v>1705</v>
      </c>
    </row>
    <row r="1794" spans="1:7">
      <c r="A1794" s="306" t="s">
        <v>372</v>
      </c>
      <c r="B1794" s="311" t="s">
        <v>1080</v>
      </c>
      <c r="C1794" s="56">
        <v>45945</v>
      </c>
      <c r="D1794" s="43">
        <v>986</v>
      </c>
      <c r="G1794" t="s">
        <v>1705</v>
      </c>
    </row>
    <row r="1795" spans="1:7">
      <c r="A1795" s="306" t="s">
        <v>389</v>
      </c>
      <c r="B1795" s="348" t="s">
        <v>1740</v>
      </c>
      <c r="C1795" s="56">
        <v>45945</v>
      </c>
      <c r="D1795" s="155">
        <v>1457</v>
      </c>
      <c r="F1795" s="43" t="s">
        <v>1741</v>
      </c>
      <c r="G1795" t="s">
        <v>1705</v>
      </c>
    </row>
    <row r="1796" spans="1:7">
      <c r="A1796" s="311" t="s">
        <v>386</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437</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389</v>
      </c>
      <c r="B1805" s="141" t="s">
        <v>1740</v>
      </c>
      <c r="C1805" s="310">
        <v>45946</v>
      </c>
      <c r="D1805" s="155">
        <v>1142</v>
      </c>
      <c r="F1805" s="43" t="s">
        <v>1746</v>
      </c>
      <c r="G1805" t="s">
        <v>1705</v>
      </c>
    </row>
    <row r="1806" spans="1:7">
      <c r="A1806" s="304" t="s">
        <v>386</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437</v>
      </c>
      <c r="C1811" s="56">
        <v>45947</v>
      </c>
      <c r="F1811" s="43" t="s">
        <v>1750</v>
      </c>
      <c r="G1811" t="s">
        <v>1705</v>
      </c>
    </row>
    <row r="1812" spans="1:7">
      <c r="A1812" s="618" t="s">
        <v>389</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518</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437</v>
      </c>
      <c r="C1818" s="56">
        <v>45950</v>
      </c>
      <c r="D1818" s="155">
        <v>3343</v>
      </c>
      <c r="F1818" s="43" t="s">
        <v>1754</v>
      </c>
      <c r="G1818" t="s">
        <v>1705</v>
      </c>
    </row>
    <row r="1819" spans="1:7">
      <c r="A1819" s="949" t="s">
        <v>530</v>
      </c>
      <c r="B1819" s="950" t="s">
        <v>1080</v>
      </c>
      <c r="C1819" s="56">
        <v>45950</v>
      </c>
      <c r="D1819" s="43">
        <v>151</v>
      </c>
      <c r="G1819" t="s">
        <v>1705</v>
      </c>
    </row>
    <row r="1820" spans="1:7">
      <c r="A1820" s="759" t="s">
        <v>389</v>
      </c>
      <c r="B1820" s="759" t="s">
        <v>1740</v>
      </c>
      <c r="C1820" s="56">
        <v>45950</v>
      </c>
      <c r="D1820" s="155">
        <v>1186</v>
      </c>
      <c r="F1820" s="43" t="s">
        <v>1580</v>
      </c>
      <c r="G1820" t="s">
        <v>1705</v>
      </c>
    </row>
    <row r="1821" spans="1:7">
      <c r="A1821" s="947" t="s">
        <v>386</v>
      </c>
      <c r="B1821" s="947" t="s">
        <v>217</v>
      </c>
      <c r="C1821" s="56">
        <v>45950</v>
      </c>
      <c r="D1821" s="155">
        <v>1100</v>
      </c>
      <c r="G1821" t="s">
        <v>1705</v>
      </c>
    </row>
    <row r="1822" spans="1:7">
      <c r="A1822" s="965" t="s">
        <v>518</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437</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530</v>
      </c>
      <c r="B1828" s="958" t="s">
        <v>1080</v>
      </c>
      <c r="C1828" s="56">
        <v>45951</v>
      </c>
      <c r="D1828" s="43">
        <v>149</v>
      </c>
      <c r="G1828" t="s">
        <v>1705</v>
      </c>
    </row>
    <row r="1829" spans="1:7">
      <c r="A1829" s="733" t="s">
        <v>389</v>
      </c>
      <c r="B1829" s="115" t="s">
        <v>1740</v>
      </c>
      <c r="C1829" s="56">
        <v>45951</v>
      </c>
      <c r="D1829" s="155">
        <v>1564</v>
      </c>
      <c r="F1829" s="43" t="s">
        <v>1758</v>
      </c>
      <c r="G1829" t="s">
        <v>1705</v>
      </c>
    </row>
    <row r="1830" spans="1:7">
      <c r="A1830" s="43" t="s">
        <v>386</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437</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530</v>
      </c>
      <c r="B1837" s="966" t="s">
        <v>1080</v>
      </c>
      <c r="C1837" s="56">
        <v>45952</v>
      </c>
      <c r="F1837" s="306" t="s">
        <v>1763</v>
      </c>
      <c r="G1837" t="s">
        <v>1705</v>
      </c>
    </row>
    <row r="1838" spans="1:7">
      <c r="A1838" s="618" t="s">
        <v>389</v>
      </c>
      <c r="B1838" s="161" t="s">
        <v>1740</v>
      </c>
      <c r="C1838" s="56">
        <v>45952</v>
      </c>
      <c r="D1838" s="155">
        <v>1012</v>
      </c>
      <c r="F1838" s="43" t="s">
        <v>1764</v>
      </c>
      <c r="G1838" t="s">
        <v>1705</v>
      </c>
    </row>
    <row r="1839" spans="1:7">
      <c r="A1839" s="43" t="s">
        <v>386</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518</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437</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530</v>
      </c>
      <c r="B1849" s="966" t="s">
        <v>1080</v>
      </c>
      <c r="C1849" s="56">
        <v>45953</v>
      </c>
      <c r="F1849" s="306" t="s">
        <v>1358</v>
      </c>
      <c r="G1849" t="s">
        <v>1705</v>
      </c>
    </row>
    <row r="1850" spans="1:7">
      <c r="A1850" s="618" t="s">
        <v>389</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437</v>
      </c>
      <c r="C1856" s="56">
        <v>45954</v>
      </c>
      <c r="D1856" s="155">
        <v>1933</v>
      </c>
      <c r="G1856" t="s">
        <v>1705</v>
      </c>
    </row>
    <row r="1857" spans="1:7">
      <c r="A1857" s="931" t="s">
        <v>530</v>
      </c>
      <c r="B1857" s="966" t="s">
        <v>1080</v>
      </c>
      <c r="C1857" s="56">
        <v>45954</v>
      </c>
      <c r="F1857" s="43" t="s">
        <v>1775</v>
      </c>
      <c r="G1857" t="s">
        <v>1705</v>
      </c>
    </row>
    <row r="1858" spans="1:7">
      <c r="A1858" s="618" t="s">
        <v>387</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437</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387</v>
      </c>
      <c r="B1870" s="161" t="s">
        <v>1740</v>
      </c>
      <c r="C1870" s="56">
        <v>45957</v>
      </c>
      <c r="D1870" s="155">
        <v>1323</v>
      </c>
      <c r="F1870" s="43" t="s">
        <v>1783</v>
      </c>
      <c r="G1870" t="s">
        <v>1705</v>
      </c>
    </row>
    <row r="1871" spans="1:7">
      <c r="A1871" s="43" t="s">
        <v>386</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437</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387</v>
      </c>
      <c r="B1883" s="161" t="s">
        <v>1740</v>
      </c>
      <c r="C1883" s="56">
        <v>45958</v>
      </c>
      <c r="D1883" s="155">
        <v>1516</v>
      </c>
      <c r="F1883" s="43" t="s">
        <v>1790</v>
      </c>
      <c r="G1883" t="s">
        <v>1705</v>
      </c>
    </row>
    <row r="1884" spans="1:7">
      <c r="A1884" s="43" t="s">
        <v>386</v>
      </c>
      <c r="B1884" s="318" t="s">
        <v>217</v>
      </c>
      <c r="C1884" s="56">
        <v>45958</v>
      </c>
      <c r="D1884" s="155">
        <v>1224</v>
      </c>
      <c r="G1884" t="s">
        <v>1705</v>
      </c>
    </row>
    <row r="1885" spans="1:7">
      <c r="A1885" s="43" t="s">
        <v>386</v>
      </c>
      <c r="B1885" s="655" t="s">
        <v>217</v>
      </c>
      <c r="C1885" s="56">
        <v>45958</v>
      </c>
      <c r="D1885" s="155">
        <v>423</v>
      </c>
      <c r="G1885" t="s">
        <v>1705</v>
      </c>
    </row>
    <row r="1886" spans="1:7">
      <c r="A1886" s="88" t="s">
        <v>515</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437</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387</v>
      </c>
      <c r="B1894" s="161" t="s">
        <v>1740</v>
      </c>
      <c r="C1894" s="56">
        <v>45959</v>
      </c>
      <c r="D1894" s="43">
        <v>790</v>
      </c>
      <c r="F1894" s="43" t="s">
        <v>1797</v>
      </c>
      <c r="G1894" t="s">
        <v>1705</v>
      </c>
    </row>
    <row r="1895" spans="1:7">
      <c r="A1895" s="43" t="s">
        <v>386</v>
      </c>
      <c r="B1895" s="655" t="s">
        <v>217</v>
      </c>
      <c r="C1895" s="56">
        <v>45959</v>
      </c>
      <c r="D1895" s="43">
        <v>343</v>
      </c>
      <c r="G1895" t="s">
        <v>1705</v>
      </c>
    </row>
    <row r="1896" spans="1:7">
      <c r="A1896" s="69" t="s">
        <v>382</v>
      </c>
      <c r="B1896" s="43" t="s">
        <v>217</v>
      </c>
      <c r="C1896" s="56">
        <v>45959</v>
      </c>
      <c r="D1896" s="155">
        <v>3179</v>
      </c>
      <c r="G1896" t="s">
        <v>1705</v>
      </c>
    </row>
    <row r="1897" spans="1:7">
      <c r="A1897" s="311" t="s">
        <v>372</v>
      </c>
      <c r="B1897" s="311" t="s">
        <v>1080</v>
      </c>
      <c r="C1897" s="56">
        <v>45959</v>
      </c>
      <c r="F1897" s="43" t="s">
        <v>1798</v>
      </c>
      <c r="G1897" t="s">
        <v>1705</v>
      </c>
    </row>
    <row r="1898" spans="1:7">
      <c r="A1898" s="315" t="s">
        <v>530</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437</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433</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386</v>
      </c>
      <c r="B1910" s="318" t="s">
        <v>217</v>
      </c>
      <c r="C1910" s="56">
        <v>45960</v>
      </c>
      <c r="E1910" s="253"/>
      <c r="F1910" s="615" t="s">
        <v>1395</v>
      </c>
      <c r="G1910" t="s">
        <v>1705</v>
      </c>
    </row>
    <row r="1911" spans="1:7">
      <c r="A1911" s="618" t="s">
        <v>387</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437</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387</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433</v>
      </c>
      <c r="B1932" s="304" t="s">
        <v>1080</v>
      </c>
      <c r="C1932" s="56">
        <v>45964</v>
      </c>
      <c r="D1932" s="43">
        <v>259</v>
      </c>
      <c r="G1932" t="s">
        <v>1815</v>
      </c>
    </row>
    <row r="1933" spans="1:7">
      <c r="A1933" s="141" t="s">
        <v>953</v>
      </c>
      <c r="B1933" s="318" t="s">
        <v>1740</v>
      </c>
      <c r="C1933" s="56">
        <v>45964</v>
      </c>
      <c r="D1933" s="43">
        <v>463</v>
      </c>
      <c r="G1933" t="s">
        <v>1815</v>
      </c>
    </row>
    <row r="1934" spans="1:7">
      <c r="A1934" s="305" t="s">
        <v>382</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400</v>
      </c>
      <c r="B1938" s="1003" t="s">
        <v>1080</v>
      </c>
      <c r="C1938" s="56">
        <v>45964</v>
      </c>
      <c r="D1938" s="43">
        <v>207</v>
      </c>
      <c r="G1938" t="s">
        <v>1815</v>
      </c>
    </row>
    <row r="1939" spans="1:7">
      <c r="A1939" s="141" t="s">
        <v>452</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521</v>
      </c>
      <c r="B1942" s="148" t="s">
        <v>1606</v>
      </c>
      <c r="C1942" s="56">
        <v>45965</v>
      </c>
      <c r="D1942" s="43">
        <v>363</v>
      </c>
      <c r="G1942" t="s">
        <v>1815</v>
      </c>
    </row>
    <row r="1943" spans="1:7">
      <c r="A1943" s="148" t="s">
        <v>521</v>
      </c>
      <c r="B1943" s="148" t="s">
        <v>228</v>
      </c>
      <c r="C1943" s="56">
        <v>45965</v>
      </c>
      <c r="D1943" s="43">
        <v>778</v>
      </c>
      <c r="G1943" t="s">
        <v>1815</v>
      </c>
    </row>
    <row r="1944" spans="1:7">
      <c r="A1944" s="148" t="s">
        <v>521</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433</v>
      </c>
      <c r="B1947" s="43" t="s">
        <v>1824</v>
      </c>
      <c r="C1947" s="56">
        <v>45965</v>
      </c>
      <c r="D1947" s="43">
        <v>817</v>
      </c>
      <c r="G1947" t="s">
        <v>1815</v>
      </c>
    </row>
    <row r="1948" spans="1:7">
      <c r="A1948" s="43" t="s">
        <v>433</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382</v>
      </c>
      <c r="B1951" s="43" t="s">
        <v>217</v>
      </c>
      <c r="C1951" s="56">
        <v>45965</v>
      </c>
      <c r="D1951" s="155">
        <v>1072</v>
      </c>
      <c r="F1951" s="43" t="s">
        <v>1826</v>
      </c>
      <c r="G1951" t="s">
        <v>1815</v>
      </c>
    </row>
    <row r="1952" spans="1:7">
      <c r="A1952" s="1005" t="s">
        <v>389</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452</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521</v>
      </c>
      <c r="B1956" s="305" t="s">
        <v>1606</v>
      </c>
      <c r="C1956" s="56">
        <v>45966</v>
      </c>
      <c r="D1956" s="155">
        <v>1113</v>
      </c>
      <c r="E1956" s="253"/>
      <c r="F1956" s="169"/>
      <c r="G1956" t="s">
        <v>1815</v>
      </c>
    </row>
    <row r="1957" spans="1:7">
      <c r="A1957" s="311" t="s">
        <v>521</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433</v>
      </c>
      <c r="B1960" s="304" t="s">
        <v>1824</v>
      </c>
      <c r="C1960" s="56">
        <v>45966</v>
      </c>
      <c r="D1960" s="155">
        <v>1377</v>
      </c>
      <c r="G1960" t="s">
        <v>1815</v>
      </c>
    </row>
    <row r="1961" spans="1:7">
      <c r="A1961" s="304" t="s">
        <v>433</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382</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452</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443</v>
      </c>
      <c r="B1970" s="304" t="s">
        <v>127</v>
      </c>
      <c r="C1970" s="56">
        <v>45966</v>
      </c>
      <c r="D1970" s="321">
        <v>2985</v>
      </c>
      <c r="E1970" s="155"/>
      <c r="F1970" s="43" t="s">
        <v>1830</v>
      </c>
      <c r="G1970" t="s">
        <v>1815</v>
      </c>
    </row>
    <row r="1971" spans="1:7">
      <c r="A1971" s="148" t="s">
        <v>521</v>
      </c>
      <c r="B1971" s="148" t="s">
        <v>1606</v>
      </c>
      <c r="C1971" s="56">
        <v>45967</v>
      </c>
      <c r="D1971" s="139"/>
      <c r="E1971" s="43"/>
      <c r="F1971" s="141" t="s">
        <v>1831</v>
      </c>
      <c r="G1971" t="s">
        <v>1815</v>
      </c>
    </row>
    <row r="1972" spans="1:7">
      <c r="A1972" s="148" t="s">
        <v>521</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433</v>
      </c>
      <c r="B1974" s="43" t="s">
        <v>1824</v>
      </c>
      <c r="C1974" s="56">
        <v>45967</v>
      </c>
      <c r="D1974" s="43">
        <v>183</v>
      </c>
      <c r="G1974" t="s">
        <v>1815</v>
      </c>
    </row>
    <row r="1975" spans="1:7">
      <c r="A1975" s="43" t="s">
        <v>433</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382</v>
      </c>
      <c r="B1978" s="43" t="s">
        <v>217</v>
      </c>
      <c r="C1978" s="56">
        <v>45967</v>
      </c>
      <c r="D1978" s="43">
        <v>209</v>
      </c>
      <c r="G1978" t="s">
        <v>1815</v>
      </c>
    </row>
    <row r="1979" spans="1:7">
      <c r="A1979" s="618" t="s">
        <v>398</v>
      </c>
      <c r="B1979" s="756" t="s">
        <v>1740</v>
      </c>
      <c r="C1979" s="56">
        <v>45967</v>
      </c>
      <c r="D1979" s="155">
        <v>1063</v>
      </c>
      <c r="G1979" t="s">
        <v>1815</v>
      </c>
    </row>
    <row r="1980" spans="1:7">
      <c r="A1980" s="733" t="s">
        <v>443</v>
      </c>
      <c r="B1980" s="43" t="s">
        <v>127</v>
      </c>
      <c r="C1980" s="56">
        <v>45967</v>
      </c>
      <c r="D1980" s="155">
        <v>2373</v>
      </c>
      <c r="F1980" s="43" t="s">
        <v>1836</v>
      </c>
      <c r="G1980" t="s">
        <v>1815</v>
      </c>
    </row>
    <row r="1981" spans="1:7">
      <c r="A1981" s="306" t="s">
        <v>521</v>
      </c>
      <c r="B1981" s="306" t="s">
        <v>1606</v>
      </c>
      <c r="C1981" s="56">
        <v>45968</v>
      </c>
      <c r="D1981" s="43">
        <v>923</v>
      </c>
      <c r="G1981" t="s">
        <v>1815</v>
      </c>
    </row>
    <row r="1982" spans="1:7">
      <c r="A1982" s="141" t="s">
        <v>521</v>
      </c>
      <c r="B1982" s="551" t="s">
        <v>1792</v>
      </c>
      <c r="C1982" s="56">
        <v>45968</v>
      </c>
      <c r="D1982" s="155">
        <v>3052</v>
      </c>
      <c r="G1982" t="s">
        <v>1815</v>
      </c>
    </row>
    <row r="1983" spans="1:7">
      <c r="A1983" s="141" t="s">
        <v>672</v>
      </c>
      <c r="B1983" s="346" t="s">
        <v>1767</v>
      </c>
      <c r="C1983" s="56">
        <v>45968</v>
      </c>
      <c r="D1983" s="43">
        <v>451</v>
      </c>
      <c r="G1983" t="s">
        <v>1815</v>
      </c>
    </row>
    <row r="1984" spans="1:7">
      <c r="A1984" s="304" t="s">
        <v>433</v>
      </c>
      <c r="B1984" s="141" t="s">
        <v>1824</v>
      </c>
      <c r="C1984" s="56">
        <v>45968</v>
      </c>
      <c r="G1984" t="s">
        <v>1815</v>
      </c>
    </row>
    <row r="1985" spans="1:7">
      <c r="A1985" s="141" t="s">
        <v>398</v>
      </c>
      <c r="B1985" s="304" t="s">
        <v>1080</v>
      </c>
      <c r="C1985" s="56">
        <v>45968</v>
      </c>
      <c r="D1985" s="43">
        <v>350</v>
      </c>
      <c r="G1985" t="s">
        <v>1815</v>
      </c>
    </row>
    <row r="1986" spans="1:7">
      <c r="A1986" s="141" t="s">
        <v>398</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387</v>
      </c>
      <c r="B1988" s="756" t="s">
        <v>1740</v>
      </c>
      <c r="C1988" s="56">
        <v>45968</v>
      </c>
      <c r="F1988" s="311" t="s">
        <v>1465</v>
      </c>
      <c r="G1988" t="s">
        <v>1815</v>
      </c>
    </row>
    <row r="1989" spans="1:7">
      <c r="A1989" s="247" t="s">
        <v>396</v>
      </c>
      <c r="B1989" s="43" t="s">
        <v>217</v>
      </c>
      <c r="C1989" s="56">
        <v>45968</v>
      </c>
      <c r="D1989" s="43">
        <v>569</v>
      </c>
      <c r="G1989" t="s">
        <v>1815</v>
      </c>
    </row>
    <row r="1990" spans="1:7">
      <c r="A1990" s="247" t="s">
        <v>470</v>
      </c>
      <c r="B1990" s="43" t="s">
        <v>127</v>
      </c>
      <c r="C1990" s="56">
        <v>45968</v>
      </c>
      <c r="D1990" s="155">
        <v>2948</v>
      </c>
      <c r="G1990" t="s">
        <v>1815</v>
      </c>
    </row>
    <row r="1991" spans="1:7">
      <c r="A1991" s="953" t="s">
        <v>670</v>
      </c>
      <c r="B1991" s="346" t="s">
        <v>1767</v>
      </c>
      <c r="C1991" s="56">
        <v>45971</v>
      </c>
      <c r="D1991" s="155">
        <v>560</v>
      </c>
      <c r="G1991" t="s">
        <v>1815</v>
      </c>
    </row>
    <row r="1992" spans="1:7">
      <c r="A1992" s="311" t="s">
        <v>433</v>
      </c>
      <c r="B1992" s="311" t="s">
        <v>1080</v>
      </c>
      <c r="C1992" s="56">
        <v>45971</v>
      </c>
      <c r="D1992" s="43">
        <v>558</v>
      </c>
      <c r="G1992" t="s">
        <v>1815</v>
      </c>
    </row>
    <row r="1993" spans="1:7">
      <c r="A1993" s="311" t="s">
        <v>433</v>
      </c>
      <c r="B1993" s="311" t="s">
        <v>437</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382</v>
      </c>
      <c r="B1998" s="802" t="s">
        <v>217</v>
      </c>
      <c r="C1998" s="56">
        <v>45971</v>
      </c>
      <c r="D1998" s="43">
        <v>96</v>
      </c>
      <c r="G1998" t="s">
        <v>1815</v>
      </c>
    </row>
    <row r="1999" spans="1:7">
      <c r="A1999" s="304" t="s">
        <v>224</v>
      </c>
      <c r="B1999" s="349" t="s">
        <v>1814</v>
      </c>
      <c r="C1999" s="56">
        <v>45971</v>
      </c>
      <c r="D1999" s="43">
        <v>562</v>
      </c>
      <c r="G1999" t="s">
        <v>1815</v>
      </c>
    </row>
    <row r="2000" spans="1:7">
      <c r="A2000" s="141" t="s">
        <v>384</v>
      </c>
      <c r="B2000" s="802" t="s">
        <v>217</v>
      </c>
      <c r="C2000" s="56">
        <v>45971</v>
      </c>
      <c r="D2000" s="43">
        <v>435</v>
      </c>
      <c r="F2000" s="43" t="s">
        <v>1839</v>
      </c>
      <c r="G2000" t="s">
        <v>1815</v>
      </c>
    </row>
    <row r="2001" spans="1:7">
      <c r="A2001" s="1012" t="s">
        <v>470</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440</v>
      </c>
      <c r="C2003" s="56">
        <v>45972</v>
      </c>
      <c r="D2003" s="155">
        <v>1062</v>
      </c>
      <c r="F2003" s="43" t="s">
        <v>1841</v>
      </c>
      <c r="G2003" t="s">
        <v>1815</v>
      </c>
    </row>
    <row r="2004" spans="1:7">
      <c r="A2004" s="141" t="s">
        <v>389</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433</v>
      </c>
      <c r="B2007" s="43" t="s">
        <v>1520</v>
      </c>
      <c r="C2007" s="56">
        <v>45973</v>
      </c>
      <c r="F2007" s="311" t="s">
        <v>1527</v>
      </c>
      <c r="G2007" t="s">
        <v>1815</v>
      </c>
    </row>
    <row r="2008" spans="1:7">
      <c r="A2008" s="43" t="s">
        <v>419</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437</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387</v>
      </c>
      <c r="B2014" s="43" t="s">
        <v>1740</v>
      </c>
      <c r="C2014" s="56">
        <v>45973</v>
      </c>
      <c r="F2014" s="311" t="s">
        <v>1846</v>
      </c>
      <c r="G2014" t="s">
        <v>1815</v>
      </c>
    </row>
    <row r="2015" spans="1:7">
      <c r="A2015" s="618" t="s">
        <v>412</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470</v>
      </c>
      <c r="B2017" s="43" t="s">
        <v>127</v>
      </c>
      <c r="C2017" s="56">
        <v>45973</v>
      </c>
      <c r="D2017" s="43">
        <v>242</v>
      </c>
      <c r="G2017" t="s">
        <v>1815</v>
      </c>
    </row>
    <row r="2018" spans="1:7">
      <c r="A2018" s="43" t="s">
        <v>462</v>
      </c>
      <c r="B2018" s="43" t="s">
        <v>127</v>
      </c>
      <c r="C2018" s="56">
        <v>45973</v>
      </c>
      <c r="D2018" s="155">
        <v>1264</v>
      </c>
      <c r="G2018" t="s">
        <v>1815</v>
      </c>
    </row>
    <row r="2019" spans="1:7">
      <c r="A2019" s="43" t="s">
        <v>475</v>
      </c>
      <c r="B2019" s="43" t="s">
        <v>127</v>
      </c>
      <c r="C2019" s="56">
        <v>45973</v>
      </c>
      <c r="D2019" s="155">
        <v>3678</v>
      </c>
      <c r="G2019" t="s">
        <v>1815</v>
      </c>
    </row>
    <row r="2020" spans="1:7">
      <c r="A2020" s="43" t="s">
        <v>433</v>
      </c>
      <c r="B2020" s="43" t="s">
        <v>1520</v>
      </c>
      <c r="C2020" s="56">
        <v>45974</v>
      </c>
      <c r="F2020" s="43" t="s">
        <v>1588</v>
      </c>
      <c r="G2020" t="s">
        <v>1815</v>
      </c>
    </row>
    <row r="2021" spans="1:7">
      <c r="A2021" s="43" t="s">
        <v>419</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384</v>
      </c>
      <c r="B2026" s="1063" t="s">
        <v>217</v>
      </c>
      <c r="C2026" s="56">
        <v>45974</v>
      </c>
      <c r="D2026" s="155">
        <v>1123</v>
      </c>
      <c r="F2026" s="43" t="s">
        <v>1851</v>
      </c>
      <c r="G2026" t="s">
        <v>1815</v>
      </c>
    </row>
    <row r="2027" spans="1:7">
      <c r="A2027" s="618" t="s">
        <v>412</v>
      </c>
      <c r="B2027" s="43" t="s">
        <v>1740</v>
      </c>
      <c r="C2027" s="56">
        <v>45974</v>
      </c>
      <c r="D2027" s="155">
        <v>2912</v>
      </c>
      <c r="G2027" t="s">
        <v>1815</v>
      </c>
    </row>
    <row r="2028" spans="1:7">
      <c r="A2028" s="618" t="s">
        <v>376</v>
      </c>
      <c r="B2028" s="43" t="s">
        <v>1520</v>
      </c>
      <c r="C2028" s="56">
        <v>45974</v>
      </c>
      <c r="F2028" s="43" t="s">
        <v>1242</v>
      </c>
      <c r="G2028" t="s">
        <v>1815</v>
      </c>
    </row>
    <row r="2029" spans="1:7">
      <c r="A2029" s="43" t="s">
        <v>475</v>
      </c>
      <c r="B2029" s="43" t="s">
        <v>127</v>
      </c>
      <c r="C2029" s="56">
        <v>45974</v>
      </c>
      <c r="D2029" s="155">
        <v>3382</v>
      </c>
      <c r="G2029" t="s">
        <v>1815</v>
      </c>
    </row>
    <row r="2030" spans="1:7">
      <c r="A2030" s="43" t="s">
        <v>462</v>
      </c>
      <c r="B2030" s="43" t="s">
        <v>127</v>
      </c>
      <c r="C2030" s="56">
        <v>45974</v>
      </c>
      <c r="D2030" s="155">
        <v>1281</v>
      </c>
      <c r="G2030" t="s">
        <v>1815</v>
      </c>
    </row>
    <row r="2031" spans="1:7">
      <c r="A2031" s="247" t="s">
        <v>505</v>
      </c>
      <c r="B2031" s="43" t="s">
        <v>127</v>
      </c>
      <c r="C2031" s="56">
        <v>45974</v>
      </c>
      <c r="D2031" s="43">
        <v>424</v>
      </c>
      <c r="G2031" t="s">
        <v>1815</v>
      </c>
    </row>
    <row r="2032" spans="1:7">
      <c r="A2032" s="247" t="s">
        <v>477</v>
      </c>
      <c r="B2032" s="43" t="s">
        <v>127</v>
      </c>
      <c r="C2032" s="56">
        <v>45974</v>
      </c>
      <c r="D2032" s="43">
        <v>598</v>
      </c>
      <c r="G2032" t="s">
        <v>1815</v>
      </c>
    </row>
    <row r="2033" spans="1:7">
      <c r="A2033" s="141" t="s">
        <v>433</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440</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412</v>
      </c>
      <c r="B2038" s="315" t="s">
        <v>1740</v>
      </c>
      <c r="C2038" s="56">
        <v>45975</v>
      </c>
      <c r="D2038" s="155">
        <v>2125</v>
      </c>
      <c r="G2038" t="s">
        <v>1815</v>
      </c>
    </row>
    <row r="2039" spans="1:7">
      <c r="A2039" s="141" t="s">
        <v>433</v>
      </c>
      <c r="B2039" s="141" t="s">
        <v>1520</v>
      </c>
      <c r="C2039" s="56">
        <v>45978</v>
      </c>
      <c r="D2039" s="43">
        <v>127</v>
      </c>
      <c r="G2039" t="s">
        <v>1815</v>
      </c>
    </row>
    <row r="2040" spans="1:7">
      <c r="A2040" s="141" t="s">
        <v>433</v>
      </c>
      <c r="B2040" s="141" t="s">
        <v>1520</v>
      </c>
      <c r="C2040" s="56">
        <v>45978</v>
      </c>
      <c r="E2040" s="139">
        <v>300</v>
      </c>
      <c r="F2040" s="43" t="s">
        <v>1854</v>
      </c>
      <c r="G2040" t="s">
        <v>1815</v>
      </c>
    </row>
    <row r="2041" spans="1:7">
      <c r="A2041" s="304" t="s">
        <v>1139</v>
      </c>
      <c r="B2041" s="304" t="s">
        <v>437</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440</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412</v>
      </c>
      <c r="B2049" s="304" t="s">
        <v>1740</v>
      </c>
      <c r="C2049" s="56">
        <v>45978</v>
      </c>
      <c r="D2049" s="155">
        <v>1449</v>
      </c>
      <c r="G2049" t="s">
        <v>1815</v>
      </c>
    </row>
    <row r="2050" spans="1:7">
      <c r="A2050" s="141" t="s">
        <v>472</v>
      </c>
      <c r="B2050" s="141" t="s">
        <v>127</v>
      </c>
      <c r="C2050" s="56">
        <v>45978</v>
      </c>
      <c r="D2050" s="155">
        <v>5466</v>
      </c>
      <c r="G2050" t="s">
        <v>1815</v>
      </c>
    </row>
    <row r="2051" spans="1:7">
      <c r="A2051" s="304" t="s">
        <v>462</v>
      </c>
      <c r="B2051" s="304" t="s">
        <v>127</v>
      </c>
      <c r="C2051" s="56">
        <v>45978</v>
      </c>
      <c r="D2051" s="155">
        <v>1662</v>
      </c>
      <c r="G2051" t="s">
        <v>1815</v>
      </c>
    </row>
    <row r="2052" spans="1:7">
      <c r="A2052" s="304" t="s">
        <v>477</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437</v>
      </c>
      <c r="C2056" s="56">
        <v>45979</v>
      </c>
      <c r="D2056" s="155">
        <v>1518</v>
      </c>
      <c r="G2056" t="s">
        <v>1815</v>
      </c>
    </row>
    <row r="2057" spans="1:7">
      <c r="A2057" s="43" t="s">
        <v>421</v>
      </c>
      <c r="B2057" s="43" t="s">
        <v>127</v>
      </c>
      <c r="C2057" s="56">
        <v>45979</v>
      </c>
      <c r="D2057" s="155">
        <v>1679</v>
      </c>
      <c r="F2057" s="43" t="s">
        <v>1857</v>
      </c>
      <c r="G2057" t="s">
        <v>1815</v>
      </c>
    </row>
    <row r="2058" spans="1:7">
      <c r="A2058" s="43" t="s">
        <v>1138</v>
      </c>
      <c r="B2058" s="43" t="s">
        <v>440</v>
      </c>
      <c r="C2058" s="56">
        <v>45979</v>
      </c>
      <c r="F2058" s="43" t="s">
        <v>1858</v>
      </c>
      <c r="G2058" t="s">
        <v>1815</v>
      </c>
    </row>
    <row r="2059" spans="1:7">
      <c r="A2059" t="s">
        <v>600</v>
      </c>
      <c r="B2059" s="43" t="s">
        <v>127</v>
      </c>
      <c r="C2059" s="56">
        <v>45979</v>
      </c>
      <c r="D2059" s="155">
        <v>1530</v>
      </c>
      <c r="F2059" s="43" t="s">
        <v>1859</v>
      </c>
      <c r="G2059" t="s">
        <v>1815</v>
      </c>
    </row>
    <row r="2060" spans="1:7">
      <c r="A2060" s="733" t="s">
        <v>536</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384</v>
      </c>
      <c r="B2062" s="655" t="s">
        <v>217</v>
      </c>
      <c r="C2062" s="56">
        <v>45979</v>
      </c>
      <c r="D2062" s="155">
        <v>1917</v>
      </c>
      <c r="F2062" s="69"/>
      <c r="G2062" t="s">
        <v>1815</v>
      </c>
    </row>
    <row r="2063" spans="1:7">
      <c r="A2063" s="43" t="s">
        <v>413</v>
      </c>
      <c r="B2063" s="43" t="s">
        <v>1740</v>
      </c>
      <c r="C2063" s="56">
        <v>45979</v>
      </c>
      <c r="D2063" s="155">
        <v>2351</v>
      </c>
      <c r="F2063" s="69"/>
      <c r="G2063" t="s">
        <v>1815</v>
      </c>
    </row>
    <row r="2064" spans="1:7">
      <c r="A2064" s="69" t="s">
        <v>462</v>
      </c>
      <c r="B2064" s="43" t="s">
        <v>127</v>
      </c>
      <c r="C2064" s="56">
        <v>45979</v>
      </c>
      <c r="D2064" s="155">
        <v>2684</v>
      </c>
      <c r="F2064" s="69"/>
      <c r="G2064" t="s">
        <v>1815</v>
      </c>
    </row>
    <row r="2065" spans="1:7">
      <c r="A2065" s="148" t="s">
        <v>477</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437</v>
      </c>
      <c r="C2068" s="56">
        <v>45980</v>
      </c>
      <c r="D2068" s="155">
        <v>1968</v>
      </c>
      <c r="E2068" s="201"/>
      <c r="F2068" s="148" t="s">
        <v>1862</v>
      </c>
      <c r="G2068" t="s">
        <v>1815</v>
      </c>
    </row>
    <row r="2069" spans="1:7">
      <c r="A2069" s="304" t="s">
        <v>421</v>
      </c>
      <c r="B2069" s="304" t="s">
        <v>127</v>
      </c>
      <c r="C2069" s="56">
        <v>45980</v>
      </c>
      <c r="D2069" s="321">
        <v>1429</v>
      </c>
      <c r="E2069" s="43"/>
      <c r="F2069" s="69" t="s">
        <v>1863</v>
      </c>
      <c r="G2069" t="s">
        <v>1815</v>
      </c>
    </row>
    <row r="2070" spans="1:7">
      <c r="A2070" s="305" t="s">
        <v>1138</v>
      </c>
      <c r="B2070" s="304" t="s">
        <v>440</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536</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413</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437</v>
      </c>
      <c r="C2078" s="56">
        <v>45981</v>
      </c>
      <c r="D2078" s="43">
        <v>345</v>
      </c>
      <c r="F2078" s="69" t="s">
        <v>1867</v>
      </c>
      <c r="G2078" t="s">
        <v>1815</v>
      </c>
    </row>
    <row r="2079" spans="1:7">
      <c r="A2079" s="304" t="s">
        <v>421</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384</v>
      </c>
      <c r="B2083" s="1003" t="s">
        <v>217</v>
      </c>
      <c r="C2083" s="56">
        <v>45981</v>
      </c>
      <c r="D2083" s="43">
        <v>272</v>
      </c>
      <c r="F2083" s="69"/>
      <c r="G2083" t="s">
        <v>1815</v>
      </c>
    </row>
    <row r="2084" spans="1:7">
      <c r="A2084" s="43" t="s">
        <v>412</v>
      </c>
      <c r="B2084" s="43" t="s">
        <v>1740</v>
      </c>
      <c r="C2084" s="56">
        <v>45982</v>
      </c>
      <c r="E2084" s="253"/>
      <c r="F2084" s="311" t="s">
        <v>1871</v>
      </c>
      <c r="G2084" t="s">
        <v>1815</v>
      </c>
    </row>
    <row r="2085" spans="1:7">
      <c r="A2085" s="304" t="s">
        <v>413</v>
      </c>
      <c r="B2085" s="304" t="s">
        <v>1740</v>
      </c>
      <c r="C2085" s="56">
        <v>45981</v>
      </c>
      <c r="D2085" s="155">
        <v>2139</v>
      </c>
      <c r="F2085" s="69"/>
      <c r="G2085" t="s">
        <v>1815</v>
      </c>
    </row>
    <row r="2086" spans="1:7">
      <c r="A2086" s="348" t="s">
        <v>472</v>
      </c>
      <c r="B2086" s="357" t="s">
        <v>127</v>
      </c>
      <c r="C2086" s="56">
        <v>45981</v>
      </c>
      <c r="D2086" s="155">
        <v>2252</v>
      </c>
      <c r="F2086" s="69"/>
      <c r="G2086" t="s">
        <v>1815</v>
      </c>
    </row>
    <row r="2087" spans="1:7">
      <c r="A2087" s="318" t="s">
        <v>477</v>
      </c>
      <c r="B2087" s="387" t="s">
        <v>127</v>
      </c>
      <c r="C2087" s="56">
        <v>45981</v>
      </c>
      <c r="D2087" s="1083">
        <v>1027</v>
      </c>
      <c r="F2087" s="69"/>
      <c r="G2087" t="s">
        <v>1815</v>
      </c>
    </row>
    <row r="2088" spans="1:7">
      <c r="A2088" s="348" t="s">
        <v>480</v>
      </c>
      <c r="B2088" s="357" t="s">
        <v>127</v>
      </c>
      <c r="C2088" s="56">
        <v>45981</v>
      </c>
      <c r="D2088" s="155">
        <v>1420</v>
      </c>
      <c r="F2088" s="69"/>
      <c r="G2088" t="s">
        <v>1815</v>
      </c>
    </row>
    <row r="2089" spans="1:7">
      <c r="A2089" s="318" t="s">
        <v>483</v>
      </c>
      <c r="B2089" s="387" t="s">
        <v>127</v>
      </c>
      <c r="C2089" s="56">
        <v>45981</v>
      </c>
      <c r="D2089" s="155">
        <v>2376</v>
      </c>
      <c r="F2089" s="69"/>
      <c r="G2089" t="s">
        <v>1815</v>
      </c>
    </row>
    <row r="2090" spans="1:7">
      <c r="A2090" s="348" t="s">
        <v>505</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437</v>
      </c>
      <c r="C2093" s="56">
        <v>45982</v>
      </c>
      <c r="D2093" s="43">
        <v>375</v>
      </c>
      <c r="E2093" s="201"/>
      <c r="F2093" s="148"/>
      <c r="G2093" t="s">
        <v>1815</v>
      </c>
    </row>
    <row r="2094" spans="1:7">
      <c r="A2094" s="306" t="s">
        <v>536</v>
      </c>
      <c r="B2094" s="318" t="s">
        <v>1080</v>
      </c>
      <c r="C2094" s="56">
        <v>45982</v>
      </c>
      <c r="D2094" s="139">
        <v>15</v>
      </c>
      <c r="E2094" s="155">
        <v>1159</v>
      </c>
      <c r="F2094" s="1082" t="s">
        <v>1873</v>
      </c>
      <c r="G2094" t="s">
        <v>1815</v>
      </c>
    </row>
    <row r="2095" spans="1:7">
      <c r="A2095" s="43" t="s">
        <v>413</v>
      </c>
      <c r="B2095" s="43" t="s">
        <v>1740</v>
      </c>
      <c r="C2095" s="56">
        <v>45982</v>
      </c>
      <c r="D2095" s="43">
        <v>789</v>
      </c>
      <c r="E2095" s="253"/>
      <c r="F2095" s="91" t="s">
        <v>1874</v>
      </c>
      <c r="G2095" t="s">
        <v>1815</v>
      </c>
    </row>
    <row r="2096" spans="1:7">
      <c r="A2096" s="43" t="s">
        <v>415</v>
      </c>
      <c r="B2096" s="43" t="s">
        <v>1740</v>
      </c>
      <c r="C2096" s="56">
        <v>45982</v>
      </c>
      <c r="D2096" s="155">
        <v>1281</v>
      </c>
      <c r="E2096" s="253"/>
      <c r="F2096" s="91" t="s">
        <v>1875</v>
      </c>
      <c r="G2096" t="s">
        <v>1815</v>
      </c>
    </row>
    <row r="2097" spans="1:7">
      <c r="A2097" s="334" t="s">
        <v>462</v>
      </c>
      <c r="B2097" s="165" t="s">
        <v>127</v>
      </c>
      <c r="C2097" s="56">
        <v>45982</v>
      </c>
      <c r="D2097" s="43">
        <v>51</v>
      </c>
      <c r="F2097" s="69"/>
      <c r="G2097" t="s">
        <v>1815</v>
      </c>
    </row>
    <row r="2098" spans="1:7">
      <c r="A2098" s="404" t="s">
        <v>505</v>
      </c>
      <c r="B2098" s="173" t="s">
        <v>127</v>
      </c>
      <c r="C2098" s="56">
        <v>45982</v>
      </c>
      <c r="D2098" s="155">
        <v>3007</v>
      </c>
      <c r="F2098" s="69"/>
      <c r="G2098" t="s">
        <v>1815</v>
      </c>
    </row>
    <row r="2099" spans="1:7">
      <c r="A2099" s="404" t="s">
        <v>477</v>
      </c>
      <c r="B2099" s="173" t="s">
        <v>127</v>
      </c>
      <c r="C2099" s="56">
        <v>45982</v>
      </c>
      <c r="D2099" s="43">
        <v>490</v>
      </c>
      <c r="F2099" s="69"/>
      <c r="G2099" t="s">
        <v>1815</v>
      </c>
    </row>
    <row r="2100" spans="1:7">
      <c r="A2100" s="404" t="s">
        <v>480</v>
      </c>
      <c r="B2100" s="173" t="s">
        <v>127</v>
      </c>
      <c r="C2100" s="56">
        <v>45982</v>
      </c>
      <c r="D2100" s="155">
        <v>3043</v>
      </c>
      <c r="F2100" s="69"/>
      <c r="G2100" t="s">
        <v>1815</v>
      </c>
    </row>
    <row r="2101" spans="1:7">
      <c r="A2101" s="404" t="s">
        <v>483</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515</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437</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421</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419</v>
      </c>
      <c r="B2116" s="43" t="s">
        <v>1080</v>
      </c>
      <c r="C2116" s="56">
        <v>45985</v>
      </c>
      <c r="D2116" s="139"/>
      <c r="E2116" s="43">
        <v>719</v>
      </c>
      <c r="F2116" s="69"/>
      <c r="G2116" t="s">
        <v>1815</v>
      </c>
    </row>
    <row r="2117" spans="1:7">
      <c r="A2117" s="306" t="s">
        <v>384</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398</v>
      </c>
      <c r="B2119" s="247" t="s">
        <v>1740</v>
      </c>
      <c r="C2119" s="56">
        <v>45985</v>
      </c>
      <c r="D2119" s="139"/>
      <c r="E2119" s="43"/>
      <c r="F2119" s="1092" t="s">
        <v>1883</v>
      </c>
      <c r="G2119" t="s">
        <v>1815</v>
      </c>
    </row>
    <row r="2120" spans="1:7">
      <c r="A2120" s="43" t="s">
        <v>387</v>
      </c>
      <c r="B2120" s="247" t="s">
        <v>1740</v>
      </c>
      <c r="C2120" s="56">
        <v>45985</v>
      </c>
      <c r="D2120" s="139"/>
      <c r="E2120" s="43"/>
      <c r="F2120" s="1092" t="s">
        <v>1884</v>
      </c>
      <c r="G2120" t="s">
        <v>1815</v>
      </c>
    </row>
    <row r="2121" spans="1:7">
      <c r="A2121" s="43" t="s">
        <v>409</v>
      </c>
      <c r="B2121" s="43" t="s">
        <v>1740</v>
      </c>
      <c r="C2121" s="56">
        <v>45985</v>
      </c>
      <c r="D2121" s="155">
        <v>1655</v>
      </c>
      <c r="E2121" s="253"/>
      <c r="F2121" s="91" t="s">
        <v>1885</v>
      </c>
      <c r="G2121" t="s">
        <v>1815</v>
      </c>
    </row>
    <row r="2122" spans="1:7">
      <c r="A2122" s="148" t="s">
        <v>515</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437</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440</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398</v>
      </c>
      <c r="B2132" s="247" t="s">
        <v>1740</v>
      </c>
      <c r="C2132" s="56">
        <v>45986</v>
      </c>
      <c r="D2132" s="139"/>
      <c r="E2132" s="43"/>
      <c r="F2132" s="756" t="s">
        <v>1888</v>
      </c>
      <c r="G2132" t="s">
        <v>1815</v>
      </c>
    </row>
    <row r="2133" spans="1:7">
      <c r="A2133" s="43" t="s">
        <v>387</v>
      </c>
      <c r="B2133" s="247" t="s">
        <v>1740</v>
      </c>
      <c r="C2133" s="56">
        <v>45986</v>
      </c>
      <c r="D2133" s="139"/>
      <c r="E2133" s="43"/>
      <c r="F2133" s="756" t="s">
        <v>1888</v>
      </c>
      <c r="G2133" t="s">
        <v>1815</v>
      </c>
    </row>
    <row r="2134" spans="1:7">
      <c r="A2134" s="43" t="s">
        <v>415</v>
      </c>
      <c r="B2134" s="43" t="s">
        <v>1740</v>
      </c>
      <c r="C2134" s="56">
        <v>45986</v>
      </c>
      <c r="D2134" s="321">
        <v>2568</v>
      </c>
      <c r="E2134" s="43"/>
      <c r="G2134" t="s">
        <v>1815</v>
      </c>
    </row>
    <row r="2135" spans="1:7">
      <c r="A2135" s="43" t="s">
        <v>409</v>
      </c>
      <c r="B2135" s="43" t="s">
        <v>1740</v>
      </c>
      <c r="C2135" s="56">
        <v>45986</v>
      </c>
      <c r="D2135" s="155">
        <v>2537</v>
      </c>
      <c r="E2135" s="253"/>
      <c r="F2135" s="169"/>
      <c r="G2135" t="s">
        <v>1815</v>
      </c>
    </row>
    <row r="2136" spans="1:7">
      <c r="A2136" s="334" t="s">
        <v>464</v>
      </c>
      <c r="B2136" s="165" t="s">
        <v>127</v>
      </c>
      <c r="C2136" s="56">
        <v>45986</v>
      </c>
      <c r="D2136" s="155">
        <v>2382</v>
      </c>
      <c r="G2136" t="s">
        <v>1815</v>
      </c>
    </row>
    <row r="2137" spans="1:7">
      <c r="A2137" s="404" t="s">
        <v>443</v>
      </c>
      <c r="B2137" s="173" t="s">
        <v>127</v>
      </c>
      <c r="C2137" s="56">
        <v>45986</v>
      </c>
      <c r="D2137" s="43">
        <v>996</v>
      </c>
      <c r="G2137" t="s">
        <v>1815</v>
      </c>
    </row>
    <row r="2138" spans="1:7">
      <c r="A2138" s="404" t="s">
        <v>486</v>
      </c>
      <c r="B2138" s="173" t="s">
        <v>127</v>
      </c>
      <c r="C2138" s="56">
        <v>45986</v>
      </c>
      <c r="D2138" s="155">
        <v>3634</v>
      </c>
      <c r="G2138" t="s">
        <v>1815</v>
      </c>
    </row>
    <row r="2139" spans="1:7">
      <c r="A2139" s="69" t="s">
        <v>483</v>
      </c>
      <c r="B2139" s="173" t="s">
        <v>127</v>
      </c>
      <c r="C2139" s="56">
        <v>45986</v>
      </c>
      <c r="D2139" s="155">
        <v>3311</v>
      </c>
      <c r="G2139" t="s">
        <v>1815</v>
      </c>
    </row>
    <row r="2140" spans="1:7">
      <c r="A2140" s="69" t="s">
        <v>312</v>
      </c>
      <c r="B2140" s="173" t="s">
        <v>127</v>
      </c>
      <c r="C2140" s="56">
        <v>45986</v>
      </c>
      <c r="D2140" s="155">
        <v>1175</v>
      </c>
      <c r="G2140" t="s">
        <v>1815</v>
      </c>
    </row>
    <row r="2141" spans="1:7">
      <c r="A2141" s="247" t="s">
        <v>480</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515</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437</v>
      </c>
      <c r="C2149" s="56">
        <v>45987</v>
      </c>
      <c r="D2149" s="43">
        <v>955</v>
      </c>
      <c r="E2149" s="201"/>
      <c r="F2149" s="115" t="s">
        <v>1892</v>
      </c>
      <c r="G2149" t="s">
        <v>1815</v>
      </c>
    </row>
    <row r="2150" spans="1:7">
      <c r="A2150" s="315" t="s">
        <v>1144</v>
      </c>
      <c r="B2150" s="315" t="s">
        <v>440</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398</v>
      </c>
      <c r="B2152" s="141" t="s">
        <v>1740</v>
      </c>
      <c r="C2152" s="56">
        <v>45987</v>
      </c>
      <c r="D2152" s="139"/>
      <c r="E2152" s="43"/>
      <c r="F2152" s="756" t="s">
        <v>1888</v>
      </c>
      <c r="G2152" t="s">
        <v>1815</v>
      </c>
    </row>
    <row r="2153" spans="1:7">
      <c r="A2153" s="305" t="s">
        <v>387</v>
      </c>
      <c r="B2153" s="305" t="s">
        <v>1740</v>
      </c>
      <c r="C2153" s="336">
        <v>45987</v>
      </c>
      <c r="D2153" s="139"/>
      <c r="E2153" s="43"/>
      <c r="F2153" s="756" t="s">
        <v>1888</v>
      </c>
      <c r="G2153" t="s">
        <v>1815</v>
      </c>
    </row>
    <row r="2154" spans="1:7">
      <c r="A2154" s="141" t="s">
        <v>382</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384</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452</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446</v>
      </c>
      <c r="B2160" s="311" t="s">
        <v>1080</v>
      </c>
      <c r="C2160" s="56">
        <v>45987</v>
      </c>
      <c r="E2160" s="139">
        <v>175</v>
      </c>
      <c r="G2160" t="s">
        <v>1815</v>
      </c>
    </row>
    <row r="2161" spans="1:7">
      <c r="A2161" s="306" t="s">
        <v>446</v>
      </c>
      <c r="B2161" s="315" t="s">
        <v>127</v>
      </c>
      <c r="C2161" s="56">
        <v>45987</v>
      </c>
      <c r="E2161" s="321">
        <v>2455</v>
      </c>
      <c r="F2161" s="43" t="s">
        <v>1897</v>
      </c>
      <c r="G2161" t="s">
        <v>1815</v>
      </c>
    </row>
    <row r="2162" spans="1:7">
      <c r="A2162" s="306" t="s">
        <v>448</v>
      </c>
      <c r="B2162" s="315" t="s">
        <v>1080</v>
      </c>
      <c r="C2162" s="56">
        <v>45987</v>
      </c>
      <c r="E2162" s="139">
        <v>376</v>
      </c>
      <c r="G2162" t="s">
        <v>1815</v>
      </c>
    </row>
    <row r="2163" spans="1:7">
      <c r="A2163" s="306" t="s">
        <v>448</v>
      </c>
      <c r="B2163" s="737" t="s">
        <v>127</v>
      </c>
      <c r="C2163" s="56">
        <v>45987</v>
      </c>
      <c r="E2163" s="139">
        <v>404</v>
      </c>
      <c r="F2163" s="43" t="s">
        <v>1898</v>
      </c>
      <c r="G2163" t="s">
        <v>1815</v>
      </c>
    </row>
    <row r="2164" spans="1:7">
      <c r="A2164" s="311" t="s">
        <v>450</v>
      </c>
      <c r="B2164" s="311" t="s">
        <v>1080</v>
      </c>
      <c r="C2164" s="56">
        <v>45987</v>
      </c>
      <c r="E2164" s="321">
        <v>1264</v>
      </c>
      <c r="G2164" t="s">
        <v>1815</v>
      </c>
    </row>
    <row r="2165" spans="1:7">
      <c r="A2165" s="315" t="s">
        <v>455</v>
      </c>
      <c r="B2165" s="315" t="s">
        <v>1080</v>
      </c>
      <c r="C2165" s="56">
        <v>45987</v>
      </c>
      <c r="E2165" s="321">
        <v>1520</v>
      </c>
      <c r="G2165" t="s">
        <v>1815</v>
      </c>
    </row>
    <row r="2166" spans="1:7">
      <c r="A2166" s="315" t="s">
        <v>456</v>
      </c>
      <c r="B2166" s="315" t="s">
        <v>1520</v>
      </c>
      <c r="C2166" s="56">
        <v>45987</v>
      </c>
      <c r="E2166" s="321">
        <v>1739</v>
      </c>
      <c r="G2166" t="s">
        <v>1815</v>
      </c>
    </row>
    <row r="2167" spans="1:7">
      <c r="A2167" s="315" t="s">
        <v>458</v>
      </c>
      <c r="B2167" s="315" t="s">
        <v>1080</v>
      </c>
      <c r="C2167" s="56">
        <v>45987</v>
      </c>
      <c r="E2167" s="321">
        <v>1584</v>
      </c>
      <c r="G2167" t="s">
        <v>1815</v>
      </c>
    </row>
    <row r="2168" spans="1:7">
      <c r="A2168" s="315" t="s">
        <v>460</v>
      </c>
      <c r="B2168" s="315" t="s">
        <v>1080</v>
      </c>
      <c r="C2168" s="56">
        <v>45987</v>
      </c>
      <c r="E2168" s="321">
        <v>1140</v>
      </c>
      <c r="G2168" t="s">
        <v>1815</v>
      </c>
    </row>
    <row r="2169" spans="1:7">
      <c r="A2169" s="315" t="s">
        <v>461</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521</v>
      </c>
      <c r="B2174" s="306" t="s">
        <v>1606</v>
      </c>
      <c r="C2174" s="56">
        <v>45992</v>
      </c>
      <c r="D2174" s="43">
        <v>602</v>
      </c>
      <c r="F2174" s="43" t="s">
        <v>1901</v>
      </c>
      <c r="G2174" t="s">
        <v>1900</v>
      </c>
    </row>
    <row r="2175" spans="1:7">
      <c r="A2175" s="306" t="s">
        <v>521</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437</v>
      </c>
      <c r="C2178" s="56">
        <v>45992</v>
      </c>
      <c r="D2178" s="155">
        <v>1765</v>
      </c>
      <c r="G2178" t="s">
        <v>1900</v>
      </c>
    </row>
    <row r="2179" spans="1:7">
      <c r="A2179" s="304" t="s">
        <v>1142</v>
      </c>
      <c r="B2179" s="304" t="s">
        <v>440</v>
      </c>
      <c r="C2179" s="56">
        <v>45992</v>
      </c>
      <c r="D2179" s="43">
        <v>600</v>
      </c>
      <c r="G2179" t="s">
        <v>1900</v>
      </c>
    </row>
    <row r="2180" spans="1:7">
      <c r="A2180" s="141" t="s">
        <v>409</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486</v>
      </c>
      <c r="B2182" s="357" t="s">
        <v>127</v>
      </c>
      <c r="C2182" s="56">
        <v>45992</v>
      </c>
      <c r="D2182" s="155">
        <v>3376</v>
      </c>
      <c r="G2182" t="s">
        <v>1900</v>
      </c>
    </row>
    <row r="2183" spans="1:7">
      <c r="A2183" s="317" t="s">
        <v>464</v>
      </c>
      <c r="B2183" s="308" t="s">
        <v>127</v>
      </c>
      <c r="C2183" s="56">
        <v>45992</v>
      </c>
      <c r="D2183" s="155">
        <v>3084</v>
      </c>
      <c r="G2183" t="s">
        <v>1900</v>
      </c>
    </row>
    <row r="2184" spans="1:7">
      <c r="A2184" s="311" t="s">
        <v>502</v>
      </c>
      <c r="B2184" s="311" t="s">
        <v>127</v>
      </c>
      <c r="C2184" s="56">
        <v>45992</v>
      </c>
      <c r="D2184" s="155">
        <v>1829</v>
      </c>
      <c r="G2184" t="s">
        <v>1900</v>
      </c>
    </row>
    <row r="2185" spans="1:7">
      <c r="A2185" s="247" t="s">
        <v>467</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521</v>
      </c>
      <c r="B2188" s="306" t="s">
        <v>1606</v>
      </c>
      <c r="C2188" s="56">
        <v>45993</v>
      </c>
      <c r="D2188" s="43">
        <v>581</v>
      </c>
      <c r="G2188" t="s">
        <v>1900</v>
      </c>
    </row>
    <row r="2189" spans="1:7">
      <c r="A2189" s="311" t="s">
        <v>521</v>
      </c>
      <c r="B2189" s="311" t="s">
        <v>1696</v>
      </c>
      <c r="C2189" s="56">
        <v>45993</v>
      </c>
      <c r="D2189" s="43">
        <v>488</v>
      </c>
      <c r="F2189" s="43" t="s">
        <v>1907</v>
      </c>
      <c r="G2189" t="s">
        <v>1900</v>
      </c>
    </row>
    <row r="2190" spans="1:7">
      <c r="A2190" s="141" t="s">
        <v>1142</v>
      </c>
      <c r="B2190" s="141" t="s">
        <v>440</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437</v>
      </c>
      <c r="C2192" s="56">
        <v>45993</v>
      </c>
      <c r="D2192" s="155">
        <v>1153</v>
      </c>
      <c r="F2192" s="43" t="s">
        <v>1910</v>
      </c>
      <c r="G2192" t="s">
        <v>1900</v>
      </c>
    </row>
    <row r="2193" spans="1:7">
      <c r="A2193" s="304" t="s">
        <v>596</v>
      </c>
      <c r="B2193" s="304" t="s">
        <v>1080</v>
      </c>
      <c r="C2193" s="56">
        <v>45993</v>
      </c>
      <c r="D2193" s="43">
        <v>175</v>
      </c>
      <c r="G2193" t="s">
        <v>1900</v>
      </c>
    </row>
    <row r="2194" spans="1:7">
      <c r="A2194" s="311" t="s">
        <v>467</v>
      </c>
      <c r="B2194" s="311" t="s">
        <v>127</v>
      </c>
      <c r="C2194" s="56">
        <v>45993</v>
      </c>
      <c r="D2194" s="155">
        <v>2916</v>
      </c>
      <c r="G2194" t="s">
        <v>1900</v>
      </c>
    </row>
    <row r="2195" spans="1:7">
      <c r="A2195" s="315" t="s">
        <v>502</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521</v>
      </c>
      <c r="B2198" s="950" t="s">
        <v>1606</v>
      </c>
      <c r="C2198" s="56">
        <v>45994</v>
      </c>
      <c r="D2198" s="155">
        <v>1029</v>
      </c>
      <c r="F2198" s="43" t="s">
        <v>1912</v>
      </c>
      <c r="G2198" t="s">
        <v>1900</v>
      </c>
    </row>
    <row r="2199" spans="1:7">
      <c r="A2199" s="950" t="s">
        <v>521</v>
      </c>
      <c r="B2199" s="950" t="s">
        <v>1696</v>
      </c>
      <c r="C2199" s="56">
        <v>45994</v>
      </c>
      <c r="F2199" s="337" t="s">
        <v>1913</v>
      </c>
      <c r="G2199" t="s">
        <v>1900</v>
      </c>
    </row>
    <row r="2200" spans="1:7">
      <c r="A2200" s="759" t="s">
        <v>521</v>
      </c>
      <c r="B2200" s="759" t="s">
        <v>1832</v>
      </c>
      <c r="C2200" s="56">
        <v>45994</v>
      </c>
      <c r="D2200" s="43">
        <v>100</v>
      </c>
      <c r="G2200" t="s">
        <v>1900</v>
      </c>
    </row>
    <row r="2201" spans="1:7">
      <c r="A2201" s="756" t="s">
        <v>1142</v>
      </c>
      <c r="B2201" s="756" t="s">
        <v>440</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437</v>
      </c>
      <c r="C2203" s="56">
        <v>45994</v>
      </c>
      <c r="D2203" s="43">
        <v>383</v>
      </c>
      <c r="G2203" t="s">
        <v>1900</v>
      </c>
    </row>
    <row r="2204" spans="1:7">
      <c r="A2204" s="756" t="s">
        <v>581</v>
      </c>
      <c r="B2204" s="1128" t="s">
        <v>127</v>
      </c>
      <c r="C2204" s="56">
        <v>45994</v>
      </c>
      <c r="D2204" s="155">
        <v>1379</v>
      </c>
      <c r="F2204" s="43" t="s">
        <v>1915</v>
      </c>
      <c r="G2204" t="s">
        <v>1900</v>
      </c>
    </row>
    <row r="2205" spans="1:7">
      <c r="A2205" s="756" t="s">
        <v>409</v>
      </c>
      <c r="B2205" s="756" t="s">
        <v>1740</v>
      </c>
      <c r="C2205" s="56">
        <v>45994</v>
      </c>
      <c r="D2205" s="155">
        <v>1677</v>
      </c>
      <c r="G2205" t="s">
        <v>1900</v>
      </c>
    </row>
    <row r="2206" spans="1:7">
      <c r="A2206" s="1129" t="s">
        <v>467</v>
      </c>
      <c r="B2206" s="1130" t="s">
        <v>127</v>
      </c>
      <c r="C2206" s="56">
        <v>45994</v>
      </c>
      <c r="D2206" s="155">
        <v>2430</v>
      </c>
      <c r="G2206" t="s">
        <v>1900</v>
      </c>
    </row>
    <row r="2207" spans="1:7">
      <c r="A2207" s="759" t="s">
        <v>502</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521</v>
      </c>
      <c r="B2210" s="306" t="s">
        <v>1767</v>
      </c>
      <c r="C2210" s="56">
        <v>45995</v>
      </c>
      <c r="D2210" s="43">
        <v>285</v>
      </c>
      <c r="G2210" t="s">
        <v>1900</v>
      </c>
    </row>
    <row r="2211" spans="1:7">
      <c r="A2211" s="311" t="s">
        <v>521</v>
      </c>
      <c r="B2211" s="311" t="s">
        <v>1606</v>
      </c>
      <c r="C2211" s="56">
        <v>45995</v>
      </c>
      <c r="D2211" s="43">
        <v>756</v>
      </c>
      <c r="G2211" t="s">
        <v>1900</v>
      </c>
    </row>
    <row r="2212" spans="1:7">
      <c r="A2212" s="315" t="s">
        <v>521</v>
      </c>
      <c r="B2212" s="315" t="s">
        <v>1696</v>
      </c>
      <c r="C2212" s="56">
        <v>45995</v>
      </c>
      <c r="F2212" s="311" t="s">
        <v>1917</v>
      </c>
      <c r="G2212" t="s">
        <v>1900</v>
      </c>
    </row>
    <row r="2213" spans="1:7">
      <c r="A2213" s="306" t="s">
        <v>424</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437</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409</v>
      </c>
      <c r="B2218" s="141" t="s">
        <v>1740</v>
      </c>
      <c r="C2218" s="56">
        <v>45995</v>
      </c>
      <c r="D2218" s="155">
        <v>1316</v>
      </c>
      <c r="G2218" t="s">
        <v>1900</v>
      </c>
    </row>
    <row r="2219" spans="1:7">
      <c r="A2219" s="141" t="s">
        <v>415</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472</v>
      </c>
      <c r="B2221" s="311" t="s">
        <v>1080</v>
      </c>
      <c r="C2221" s="56">
        <v>45995</v>
      </c>
      <c r="D2221" s="43">
        <v>64</v>
      </c>
      <c r="F2221" s="43" t="s">
        <v>1925</v>
      </c>
      <c r="G2221" t="s">
        <v>1900</v>
      </c>
    </row>
    <row r="2222" spans="1:7">
      <c r="A2222" s="247" t="s">
        <v>480</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521</v>
      </c>
      <c r="B2224" s="950" t="s">
        <v>1767</v>
      </c>
      <c r="C2224" s="56">
        <v>45996</v>
      </c>
      <c r="D2224" s="43">
        <v>710</v>
      </c>
      <c r="G2224" t="s">
        <v>1900</v>
      </c>
    </row>
    <row r="2225" spans="1:7">
      <c r="A2225" s="950" t="s">
        <v>521</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440</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437</v>
      </c>
      <c r="C2231" s="56">
        <v>45996</v>
      </c>
      <c r="F2231" s="311" t="s">
        <v>1929</v>
      </c>
      <c r="G2231" t="s">
        <v>1900</v>
      </c>
    </row>
    <row r="2232" spans="1:7">
      <c r="A2232" s="756" t="s">
        <v>415</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475</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521</v>
      </c>
      <c r="B2236" s="148" t="s">
        <v>1767</v>
      </c>
      <c r="C2236" s="56">
        <v>45999</v>
      </c>
      <c r="F2236" s="759" t="s">
        <v>1358</v>
      </c>
      <c r="G2236" t="s">
        <v>1900</v>
      </c>
    </row>
    <row r="2237" spans="1:7">
      <c r="A2237" s="148" t="s">
        <v>521</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440</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424</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415</v>
      </c>
      <c r="B2245" s="43" t="s">
        <v>1740</v>
      </c>
      <c r="C2245" s="56">
        <v>45999</v>
      </c>
      <c r="D2245" s="139">
        <v>428</v>
      </c>
      <c r="E2245" s="43"/>
      <c r="F2245" s="43" t="s">
        <v>1937</v>
      </c>
      <c r="G2245" t="s">
        <v>1900</v>
      </c>
    </row>
    <row r="2246" spans="1:7">
      <c r="A2246" s="404" t="s">
        <v>495</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521</v>
      </c>
      <c r="B2248" s="148" t="s">
        <v>1767</v>
      </c>
      <c r="C2248" s="56">
        <v>46000</v>
      </c>
      <c r="F2248" s="311" t="s">
        <v>1358</v>
      </c>
      <c r="G2248" t="s">
        <v>1900</v>
      </c>
    </row>
    <row r="2249" spans="1:7">
      <c r="A2249" s="148" t="s">
        <v>521</v>
      </c>
      <c r="B2249" s="148" t="s">
        <v>1606</v>
      </c>
      <c r="C2249" s="56">
        <v>46000</v>
      </c>
      <c r="D2249" s="43">
        <v>442</v>
      </c>
      <c r="F2249" s="43" t="s">
        <v>1939</v>
      </c>
      <c r="G2249" t="s">
        <v>1900</v>
      </c>
    </row>
    <row r="2250" spans="1:7">
      <c r="A2250" s="148" t="s">
        <v>521</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440</v>
      </c>
      <c r="C2252" s="56">
        <v>46000</v>
      </c>
      <c r="D2252" s="43">
        <v>541</v>
      </c>
      <c r="F2252" s="43" t="s">
        <v>1941</v>
      </c>
      <c r="G2252" t="s">
        <v>1900</v>
      </c>
    </row>
    <row r="2253" spans="1:7">
      <c r="A2253" s="1140" t="s">
        <v>424</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403</v>
      </c>
      <c r="B2257" s="169" t="s">
        <v>1740</v>
      </c>
      <c r="C2257" s="56">
        <v>46000</v>
      </c>
      <c r="D2257" s="155">
        <v>1640</v>
      </c>
      <c r="F2257" s="43" t="s">
        <v>1943</v>
      </c>
      <c r="G2257" t="s">
        <v>1900</v>
      </c>
    </row>
    <row r="2258" spans="1:7">
      <c r="A2258" s="404" t="s">
        <v>489</v>
      </c>
      <c r="B2258" s="173" t="s">
        <v>127</v>
      </c>
      <c r="C2258" s="56">
        <v>46000</v>
      </c>
      <c r="D2258" s="155">
        <v>1980</v>
      </c>
      <c r="F2258" s="43" t="s">
        <v>1944</v>
      </c>
      <c r="G2258" t="s">
        <v>1900</v>
      </c>
    </row>
    <row r="2259" spans="1:7">
      <c r="A2259" s="404" t="s">
        <v>495</v>
      </c>
      <c r="B2259" s="173" t="s">
        <v>127</v>
      </c>
      <c r="C2259" s="56">
        <v>46000</v>
      </c>
      <c r="D2259" s="155">
        <v>3343</v>
      </c>
      <c r="G2259" t="s">
        <v>1900</v>
      </c>
    </row>
    <row r="2260" spans="1:7">
      <c r="A2260" s="161" t="s">
        <v>443</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498</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521</v>
      </c>
      <c r="B2264" s="950" t="s">
        <v>1767</v>
      </c>
      <c r="C2264" s="56">
        <v>46001</v>
      </c>
      <c r="F2264" s="782" t="s">
        <v>1358</v>
      </c>
      <c r="G2264" t="s">
        <v>1900</v>
      </c>
    </row>
    <row r="2265" spans="1:7">
      <c r="A2265" s="759" t="s">
        <v>521</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440</v>
      </c>
      <c r="C2267" s="56">
        <v>46001</v>
      </c>
      <c r="D2267" s="43">
        <v>330</v>
      </c>
      <c r="F2267" s="43" t="s">
        <v>1747</v>
      </c>
      <c r="G2267" t="s">
        <v>1900</v>
      </c>
    </row>
    <row r="2268" spans="1:7">
      <c r="A2268" s="786" t="s">
        <v>424</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403</v>
      </c>
      <c r="B2271" s="756" t="s">
        <v>1740</v>
      </c>
      <c r="C2271" s="56">
        <v>46001</v>
      </c>
      <c r="D2271" s="155">
        <v>1177</v>
      </c>
      <c r="F2271" s="43" t="s">
        <v>1949</v>
      </c>
      <c r="G2271" t="s">
        <v>1900</v>
      </c>
    </row>
    <row r="2272" spans="1:7">
      <c r="A2272" s="756" t="s">
        <v>406</v>
      </c>
      <c r="B2272" s="756" t="s">
        <v>1740</v>
      </c>
      <c r="C2272" s="56">
        <v>46001</v>
      </c>
      <c r="D2272" s="43">
        <v>817</v>
      </c>
      <c r="F2272" s="43" t="s">
        <v>1950</v>
      </c>
      <c r="G2272" t="s">
        <v>1900</v>
      </c>
    </row>
    <row r="2273" spans="1:7">
      <c r="A2273" s="756" t="s">
        <v>489</v>
      </c>
      <c r="B2273" s="756" t="s">
        <v>127</v>
      </c>
      <c r="C2273" s="56">
        <v>46001</v>
      </c>
      <c r="D2273" s="155">
        <v>1251</v>
      </c>
      <c r="G2273" t="s">
        <v>1900</v>
      </c>
    </row>
    <row r="2274" spans="1:7">
      <c r="A2274" s="1144" t="s">
        <v>495</v>
      </c>
      <c r="B2274" s="1128" t="s">
        <v>127</v>
      </c>
      <c r="C2274" s="56">
        <v>46001</v>
      </c>
      <c r="D2274" s="43">
        <v>931</v>
      </c>
      <c r="G2274" t="s">
        <v>1900</v>
      </c>
    </row>
    <row r="2275" spans="1:7">
      <c r="A2275" s="756" t="s">
        <v>498</v>
      </c>
      <c r="B2275" s="1003" t="s">
        <v>127</v>
      </c>
      <c r="C2275" s="56">
        <v>46001</v>
      </c>
      <c r="D2275" s="43">
        <v>522</v>
      </c>
      <c r="G2275" t="s">
        <v>1900</v>
      </c>
    </row>
    <row r="2276" spans="1:7">
      <c r="A2276" s="756" t="s">
        <v>502</v>
      </c>
      <c r="B2276" s="731" t="s">
        <v>127</v>
      </c>
      <c r="C2276" s="56">
        <v>46001</v>
      </c>
      <c r="D2276" s="43">
        <v>91</v>
      </c>
      <c r="G2276" t="s">
        <v>1900</v>
      </c>
    </row>
    <row r="2277" spans="1:7">
      <c r="A2277" s="756" t="s">
        <v>443</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521</v>
      </c>
      <c r="B2281" s="148" t="s">
        <v>1767</v>
      </c>
      <c r="C2281" s="56">
        <v>46002</v>
      </c>
      <c r="F2281" s="782" t="s">
        <v>1358</v>
      </c>
      <c r="G2281" t="s">
        <v>1900</v>
      </c>
    </row>
    <row r="2282" spans="1:7">
      <c r="A2282" s="148" t="s">
        <v>521</v>
      </c>
      <c r="B2282" s="148" t="s">
        <v>1606</v>
      </c>
      <c r="C2282" s="56">
        <v>46002</v>
      </c>
      <c r="F2282" s="311" t="s">
        <v>1954</v>
      </c>
      <c r="G2282" t="s">
        <v>1900</v>
      </c>
    </row>
    <row r="2283" spans="1:7">
      <c r="A2283" s="148" t="s">
        <v>521</v>
      </c>
      <c r="B2283" s="173" t="s">
        <v>1792</v>
      </c>
      <c r="C2283" s="56">
        <v>46002</v>
      </c>
      <c r="F2283" s="311" t="s">
        <v>1955</v>
      </c>
      <c r="G2283" t="s">
        <v>1900</v>
      </c>
    </row>
    <row r="2284" spans="1:7">
      <c r="A2284" s="247" t="s">
        <v>1146</v>
      </c>
      <c r="B2284" s="1141" t="s">
        <v>440</v>
      </c>
      <c r="C2284" s="56">
        <v>46002</v>
      </c>
      <c r="D2284" s="43">
        <v>520</v>
      </c>
      <c r="G2284" t="s">
        <v>1900</v>
      </c>
    </row>
    <row r="2285" spans="1:7">
      <c r="A2285" s="1145" t="s">
        <v>566</v>
      </c>
      <c r="B2285" s="1141" t="s">
        <v>139</v>
      </c>
      <c r="C2285" s="56">
        <v>46002</v>
      </c>
      <c r="D2285" s="155">
        <v>1351</v>
      </c>
      <c r="F2285" s="43" t="s">
        <v>1956</v>
      </c>
      <c r="G2285" t="s">
        <v>1900</v>
      </c>
    </row>
    <row r="2286" spans="1:7">
      <c r="A2286" s="43" t="s">
        <v>406</v>
      </c>
      <c r="B2286" s="43" t="s">
        <v>1740</v>
      </c>
      <c r="C2286" s="56">
        <v>46002</v>
      </c>
      <c r="D2286" s="155">
        <v>1820</v>
      </c>
      <c r="F2286" s="759" t="s">
        <v>1957</v>
      </c>
      <c r="G2286" t="s">
        <v>1900</v>
      </c>
    </row>
    <row r="2287" spans="1:7">
      <c r="A2287" s="1146" t="s">
        <v>489</v>
      </c>
      <c r="B2287" s="69" t="s">
        <v>127</v>
      </c>
      <c r="C2287" s="56">
        <v>46002</v>
      </c>
      <c r="D2287" s="155">
        <v>3172</v>
      </c>
      <c r="G2287" t="s">
        <v>1900</v>
      </c>
    </row>
    <row r="2288" spans="1:7">
      <c r="A2288" s="1146" t="s">
        <v>477</v>
      </c>
      <c r="B2288" s="69" t="s">
        <v>127</v>
      </c>
      <c r="C2288" s="56">
        <v>46002</v>
      </c>
      <c r="D2288" s="43">
        <v>242</v>
      </c>
      <c r="F2288" s="43" t="s">
        <v>1958</v>
      </c>
      <c r="G2288" t="s">
        <v>1900</v>
      </c>
    </row>
    <row r="2289" spans="1:7">
      <c r="A2289" s="395" t="s">
        <v>498</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521</v>
      </c>
      <c r="B2293" s="950" t="s">
        <v>1767</v>
      </c>
      <c r="C2293" s="56">
        <v>46003</v>
      </c>
      <c r="D2293" s="43">
        <v>706</v>
      </c>
      <c r="G2293" t="s">
        <v>1900</v>
      </c>
    </row>
    <row r="2294" spans="1:7">
      <c r="A2294" s="759" t="s">
        <v>521</v>
      </c>
      <c r="B2294" s="759" t="s">
        <v>1792</v>
      </c>
      <c r="C2294" s="56">
        <v>46003</v>
      </c>
      <c r="F2294" s="759" t="s">
        <v>1960</v>
      </c>
      <c r="G2294" t="s">
        <v>1900</v>
      </c>
    </row>
    <row r="2295" spans="1:7">
      <c r="A2295" s="950" t="s">
        <v>521</v>
      </c>
      <c r="B2295" s="950" t="s">
        <v>1606</v>
      </c>
      <c r="C2295" s="56">
        <v>46003</v>
      </c>
      <c r="F2295" s="759" t="s">
        <v>1961</v>
      </c>
      <c r="G2295" t="s">
        <v>1900</v>
      </c>
    </row>
    <row r="2296" spans="1:7">
      <c r="A2296" s="759" t="s">
        <v>1146</v>
      </c>
      <c r="B2296" s="759" t="s">
        <v>440</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477</v>
      </c>
      <c r="B2298" s="1128" t="s">
        <v>127</v>
      </c>
      <c r="C2298" s="56">
        <v>46003</v>
      </c>
      <c r="F2298" s="337" t="s">
        <v>1964</v>
      </c>
      <c r="G2298" t="s">
        <v>1900</v>
      </c>
    </row>
    <row r="2299" spans="1:7">
      <c r="A2299" s="1144" t="s">
        <v>498</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521</v>
      </c>
      <c r="B2303" s="148" t="s">
        <v>1767</v>
      </c>
      <c r="C2303" s="56">
        <v>46006</v>
      </c>
      <c r="D2303" s="43">
        <v>735</v>
      </c>
      <c r="G2303" t="s">
        <v>1900</v>
      </c>
    </row>
    <row r="2304" spans="1:7">
      <c r="A2304" s="148" t="s">
        <v>521</v>
      </c>
      <c r="B2304" s="148" t="s">
        <v>1606</v>
      </c>
      <c r="C2304" s="56">
        <v>46006</v>
      </c>
      <c r="F2304" s="759" t="s">
        <v>1381</v>
      </c>
      <c r="G2304" t="s">
        <v>1900</v>
      </c>
    </row>
    <row r="2305" spans="1:7">
      <c r="A2305" s="247" t="s">
        <v>1146</v>
      </c>
      <c r="B2305" s="1141" t="s">
        <v>440</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417</v>
      </c>
      <c r="B2310" s="43" t="s">
        <v>1740</v>
      </c>
      <c r="C2310" s="56">
        <v>46006</v>
      </c>
      <c r="D2310" s="155">
        <v>1511</v>
      </c>
      <c r="F2310" s="43" t="s">
        <v>1970</v>
      </c>
      <c r="G2310" t="s">
        <v>1900</v>
      </c>
    </row>
    <row r="2311" spans="1:7">
      <c r="A2311" s="1146" t="s">
        <v>489</v>
      </c>
      <c r="B2311" s="69" t="s">
        <v>127</v>
      </c>
      <c r="C2311" s="56">
        <v>46006</v>
      </c>
      <c r="D2311" s="43">
        <v>29</v>
      </c>
      <c r="E2311" s="201"/>
      <c r="F2311" s="115"/>
      <c r="G2311" t="s">
        <v>1900</v>
      </c>
    </row>
    <row r="2312" spans="1:7">
      <c r="A2312" s="1146" t="s">
        <v>452</v>
      </c>
      <c r="B2312" s="69" t="s">
        <v>127</v>
      </c>
      <c r="C2312" s="56">
        <v>46006</v>
      </c>
      <c r="D2312" s="139"/>
      <c r="E2312" s="43"/>
      <c r="F2312" s="756" t="s">
        <v>1381</v>
      </c>
      <c r="G2312" t="s">
        <v>1900</v>
      </c>
    </row>
    <row r="2313" spans="1:7">
      <c r="A2313" s="1146" t="s">
        <v>483</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521</v>
      </c>
      <c r="B2316" s="148" t="s">
        <v>1767</v>
      </c>
      <c r="C2316" s="56">
        <v>46007</v>
      </c>
      <c r="F2316" s="759" t="s">
        <v>1973</v>
      </c>
      <c r="G2316" t="s">
        <v>1900</v>
      </c>
    </row>
    <row r="2317" spans="1:7">
      <c r="A2317" s="247" t="s">
        <v>1146</v>
      </c>
      <c r="B2317" s="1141" t="s">
        <v>440</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417</v>
      </c>
      <c r="B2323" s="43" t="s">
        <v>1740</v>
      </c>
      <c r="C2323" s="56">
        <v>46007</v>
      </c>
      <c r="D2323" s="155">
        <v>1887</v>
      </c>
      <c r="F2323" s="43" t="s">
        <v>1979</v>
      </c>
      <c r="G2323" t="s">
        <v>1900</v>
      </c>
    </row>
    <row r="2324" spans="1:7">
      <c r="A2324" s="1082" t="s">
        <v>489</v>
      </c>
      <c r="B2324" s="69" t="s">
        <v>127</v>
      </c>
      <c r="C2324" s="56">
        <v>46007</v>
      </c>
      <c r="F2324" s="337" t="s">
        <v>1980</v>
      </c>
      <c r="G2324" t="s">
        <v>1900</v>
      </c>
    </row>
    <row r="2325" spans="1:7">
      <c r="A2325" s="69" t="s">
        <v>492</v>
      </c>
      <c r="B2325" s="69" t="s">
        <v>127</v>
      </c>
      <c r="C2325" s="56">
        <v>46007</v>
      </c>
      <c r="D2325" s="155">
        <v>1617</v>
      </c>
      <c r="G2325" t="s">
        <v>1900</v>
      </c>
    </row>
    <row r="2326" spans="1:7">
      <c r="A2326" s="148" t="s">
        <v>1145</v>
      </c>
      <c r="B2326" s="148" t="s">
        <v>1767</v>
      </c>
      <c r="C2326" s="56">
        <v>46008</v>
      </c>
      <c r="D2326" s="43">
        <v>743</v>
      </c>
      <c r="G2326" t="s">
        <v>1900</v>
      </c>
    </row>
    <row r="2327" spans="1:7">
      <c r="A2327" s="148" t="s">
        <v>521</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521</v>
      </c>
      <c r="B2329" s="115" t="s">
        <v>1696</v>
      </c>
      <c r="C2329" s="56">
        <v>46008</v>
      </c>
      <c r="F2329" s="925" t="s">
        <v>1982</v>
      </c>
      <c r="G2329" t="s">
        <v>1900</v>
      </c>
    </row>
    <row r="2330" spans="1:7">
      <c r="A2330" s="148" t="s">
        <v>521</v>
      </c>
      <c r="B2330" s="148" t="s">
        <v>1606</v>
      </c>
      <c r="C2330" s="56">
        <v>46008</v>
      </c>
      <c r="F2330" s="1349" t="s">
        <v>1960</v>
      </c>
      <c r="G2330" t="s">
        <v>1900</v>
      </c>
    </row>
    <row r="2331" spans="1:7">
      <c r="A2331" s="247" t="s">
        <v>1146</v>
      </c>
      <c r="B2331" s="1141" t="s">
        <v>440</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417</v>
      </c>
      <c r="B2338" s="43" t="s">
        <v>1740</v>
      </c>
      <c r="C2338" s="56">
        <v>46008</v>
      </c>
      <c r="D2338" s="43">
        <v>916</v>
      </c>
      <c r="F2338" s="43" t="s">
        <v>1989</v>
      </c>
      <c r="G2338" t="s">
        <v>1900</v>
      </c>
    </row>
    <row r="2339" spans="1:7">
      <c r="A2339" s="1082" t="s">
        <v>502</v>
      </c>
      <c r="B2339" s="69" t="s">
        <v>127</v>
      </c>
      <c r="C2339" s="56">
        <v>46008</v>
      </c>
      <c r="D2339" s="43">
        <v>320</v>
      </c>
      <c r="G2339" t="s">
        <v>1900</v>
      </c>
    </row>
    <row r="2340" spans="1:7">
      <c r="A2340" s="148" t="s">
        <v>492</v>
      </c>
      <c r="B2340" s="148" t="s">
        <v>127</v>
      </c>
      <c r="C2340" s="56">
        <v>46008</v>
      </c>
      <c r="D2340" s="155">
        <v>1083</v>
      </c>
      <c r="G2340" t="s">
        <v>1900</v>
      </c>
    </row>
    <row r="2341" spans="1:7">
      <c r="A2341" s="148" t="s">
        <v>477</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498</v>
      </c>
      <c r="B2344" s="69" t="s">
        <v>127</v>
      </c>
      <c r="C2344" s="56">
        <v>46008</v>
      </c>
      <c r="D2344" s="155">
        <v>1049</v>
      </c>
      <c r="G2344" t="s">
        <v>1900</v>
      </c>
    </row>
    <row r="2345" spans="1:7">
      <c r="A2345" s="148" t="s">
        <v>475</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521</v>
      </c>
      <c r="B2349" s="306" t="s">
        <v>1696</v>
      </c>
      <c r="C2349" s="56">
        <v>46009</v>
      </c>
      <c r="D2349" s="139"/>
      <c r="E2349" s="43"/>
      <c r="F2349" s="154" t="s">
        <v>1888</v>
      </c>
      <c r="G2349" t="s">
        <v>1900</v>
      </c>
    </row>
    <row r="2350" spans="1:7">
      <c r="A2350" s="317" t="s">
        <v>521</v>
      </c>
      <c r="B2350" s="141" t="s">
        <v>1606</v>
      </c>
      <c r="C2350" s="56">
        <v>46009</v>
      </c>
      <c r="D2350" s="139"/>
      <c r="E2350" s="43"/>
      <c r="F2350" s="154" t="s">
        <v>1888</v>
      </c>
      <c r="G2350" t="s">
        <v>1900</v>
      </c>
    </row>
    <row r="2351" spans="1:7">
      <c r="A2351" s="317" t="s">
        <v>521</v>
      </c>
      <c r="B2351" s="305" t="s">
        <v>1767</v>
      </c>
      <c r="C2351" s="56">
        <v>46009</v>
      </c>
      <c r="D2351" s="139"/>
      <c r="E2351" s="43"/>
      <c r="F2351" s="154" t="s">
        <v>1888</v>
      </c>
      <c r="G2351" t="s">
        <v>1900</v>
      </c>
    </row>
    <row r="2352" spans="1:7">
      <c r="A2352" s="318" t="s">
        <v>1146</v>
      </c>
      <c r="B2352" s="387" t="s">
        <v>440</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417</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502</v>
      </c>
      <c r="B2361" s="141" t="s">
        <v>127</v>
      </c>
      <c r="C2361" s="310">
        <v>46009</v>
      </c>
      <c r="D2361" s="43">
        <v>652</v>
      </c>
      <c r="G2361" t="s">
        <v>1900</v>
      </c>
    </row>
    <row r="2362" spans="1:7">
      <c r="A2362" s="304" t="s">
        <v>505</v>
      </c>
      <c r="B2362" s="304" t="s">
        <v>127</v>
      </c>
      <c r="C2362" s="56">
        <v>46009</v>
      </c>
      <c r="D2362" s="43">
        <v>396</v>
      </c>
      <c r="G2362" t="s">
        <v>1900</v>
      </c>
    </row>
    <row r="2363" spans="1:7">
      <c r="A2363" s="305" t="s">
        <v>492</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475</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521</v>
      </c>
      <c r="B2370" s="141" t="s">
        <v>1696</v>
      </c>
      <c r="C2370" s="310">
        <v>46010</v>
      </c>
      <c r="D2370" s="139"/>
      <c r="E2370" s="43"/>
      <c r="F2370" s="154" t="s">
        <v>1888</v>
      </c>
      <c r="G2370" t="s">
        <v>1900</v>
      </c>
    </row>
    <row r="2371" spans="1:7">
      <c r="A2371" s="348" t="s">
        <v>521</v>
      </c>
      <c r="B2371" s="304" t="s">
        <v>1606</v>
      </c>
      <c r="C2371" s="56">
        <v>46010</v>
      </c>
      <c r="D2371" s="139"/>
      <c r="E2371" s="43"/>
      <c r="F2371" s="154" t="s">
        <v>1888</v>
      </c>
      <c r="G2371" t="s">
        <v>1900</v>
      </c>
    </row>
    <row r="2372" spans="1:7">
      <c r="A2372" s="317" t="s">
        <v>521</v>
      </c>
      <c r="B2372" s="305" t="s">
        <v>1767</v>
      </c>
      <c r="C2372" s="56">
        <v>46010</v>
      </c>
      <c r="D2372" s="139"/>
      <c r="E2372" s="43"/>
      <c r="F2372" s="154" t="s">
        <v>1888</v>
      </c>
      <c r="G2372" t="s">
        <v>1900</v>
      </c>
    </row>
    <row r="2373" spans="1:7">
      <c r="A2373" s="317" t="s">
        <v>1146</v>
      </c>
      <c r="B2373" s="308" t="s">
        <v>440</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417</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492</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489</v>
      </c>
      <c r="B2384" s="1353" t="s">
        <v>127</v>
      </c>
      <c r="C2384" s="56">
        <v>46010</v>
      </c>
      <c r="F2384" s="43" t="s">
        <v>2002</v>
      </c>
      <c r="G2384" t="s">
        <v>1900</v>
      </c>
    </row>
    <row r="2385" spans="1:7">
      <c r="A2385" s="1352" t="s">
        <v>502</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440</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492</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502</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440</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502</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462</v>
      </c>
      <c r="B2417" s="1128" t="s">
        <v>127</v>
      </c>
      <c r="C2417" s="56">
        <v>46020</v>
      </c>
      <c r="D2417" s="43">
        <v>0</v>
      </c>
      <c r="F2417" s="311" t="s">
        <v>2012</v>
      </c>
      <c r="G2417" t="s">
        <v>1900</v>
      </c>
    </row>
    <row r="2418" spans="1:7">
      <c r="A2418" s="1128" t="s">
        <v>467</v>
      </c>
      <c r="B2418" s="1128" t="s">
        <v>127</v>
      </c>
      <c r="C2418" s="56">
        <v>46020</v>
      </c>
      <c r="D2418" s="43">
        <v>0</v>
      </c>
      <c r="F2418" s="311" t="s">
        <v>2012</v>
      </c>
      <c r="G2418" t="s">
        <v>1900</v>
      </c>
    </row>
    <row r="2419" spans="1:7">
      <c r="A2419" s="1128" t="s">
        <v>498</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424</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464</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467</v>
      </c>
      <c r="B2428" s="307" t="s">
        <v>1080</v>
      </c>
      <c r="C2428" s="56">
        <v>46022</v>
      </c>
      <c r="D2428" s="155"/>
      <c r="E2428" s="155">
        <v>2728</v>
      </c>
      <c r="G2428" t="s">
        <v>1900</v>
      </c>
    </row>
    <row r="2429" spans="1:7">
      <c r="A2429" s="141" t="s">
        <v>470</v>
      </c>
      <c r="B2429" s="307" t="s">
        <v>1080</v>
      </c>
      <c r="C2429" s="56">
        <v>46022</v>
      </c>
      <c r="E2429" s="321">
        <v>1231</v>
      </c>
      <c r="G2429" t="s">
        <v>1900</v>
      </c>
    </row>
    <row r="2430" spans="1:7">
      <c r="A2430" s="141" t="s">
        <v>498</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443</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492</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462</v>
      </c>
      <c r="B2455" s="157" t="s">
        <v>127</v>
      </c>
      <c r="C2455" s="56">
        <v>46029</v>
      </c>
      <c r="G2455" t="s">
        <v>2013</v>
      </c>
    </row>
    <row r="2456" spans="1:7">
      <c r="A2456" s="247" t="s">
        <v>464</v>
      </c>
      <c r="B2456" s="157" t="s">
        <v>127</v>
      </c>
      <c r="C2456" s="56">
        <v>46029</v>
      </c>
      <c r="G2456" t="s">
        <v>2013</v>
      </c>
    </row>
    <row r="2457" spans="1:7">
      <c r="A2457" s="247" t="s">
        <v>467</v>
      </c>
      <c r="B2457" s="157" t="s">
        <v>127</v>
      </c>
      <c r="C2457" s="56">
        <v>46029</v>
      </c>
      <c r="G2457" t="s">
        <v>2013</v>
      </c>
    </row>
    <row r="2458" spans="1:7">
      <c r="A2458" s="247" t="s">
        <v>489</v>
      </c>
      <c r="B2458" s="157" t="s">
        <v>127</v>
      </c>
      <c r="C2458" s="56">
        <v>46029</v>
      </c>
      <c r="G2458" t="s">
        <v>2013</v>
      </c>
    </row>
    <row r="2459" spans="1:7">
      <c r="A2459" s="247" t="s">
        <v>333</v>
      </c>
      <c r="B2459" s="157" t="s">
        <v>127</v>
      </c>
      <c r="C2459" s="56">
        <v>46029</v>
      </c>
      <c r="D2459" s="155">
        <v>3079</v>
      </c>
      <c r="F2459" s="43" t="s">
        <v>2016</v>
      </c>
      <c r="G2459" t="s">
        <v>2013</v>
      </c>
    </row>
    <row r="2460" spans="1:7">
      <c r="A2460" s="247" t="s">
        <v>495</v>
      </c>
      <c r="B2460" s="157" t="s">
        <v>127</v>
      </c>
      <c r="C2460" s="56">
        <v>46029</v>
      </c>
      <c r="D2460" s="43">
        <v>0</v>
      </c>
      <c r="F2460" s="1444"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t="s">
        <v>398</v>
      </c>
      <c r="B2468" s="157" t="s">
        <v>2027</v>
      </c>
      <c r="C2468" s="56">
        <v>46030</v>
      </c>
      <c r="D2468" s="155"/>
      <c r="E2468" s="155">
        <v>2706</v>
      </c>
      <c r="F2468" s="43" t="s">
        <v>2028</v>
      </c>
      <c r="G2468" t="s">
        <v>2013</v>
      </c>
    </row>
    <row r="2469" spans="1:7">
      <c r="A2469" s="247" t="s">
        <v>279</v>
      </c>
      <c r="B2469" s="157" t="s">
        <v>228</v>
      </c>
      <c r="C2469" s="56">
        <v>46030</v>
      </c>
      <c r="D2469" s="155">
        <v>1926</v>
      </c>
      <c r="F2469" s="43" t="s">
        <v>2029</v>
      </c>
      <c r="G2469" t="s">
        <v>2013</v>
      </c>
    </row>
    <row r="2470" spans="1:7">
      <c r="A2470" s="247"/>
      <c r="B2470" s="157"/>
      <c r="G2470" t="s">
        <v>2013</v>
      </c>
    </row>
    <row r="2471" spans="1:7">
      <c r="A2471" s="247"/>
      <c r="B2471" s="157"/>
      <c r="G2471" t="s">
        <v>2013</v>
      </c>
    </row>
    <row r="2472" spans="1:7">
      <c r="A2472" s="247"/>
      <c r="B2472" s="157"/>
      <c r="G2472" t="s">
        <v>2013</v>
      </c>
    </row>
    <row r="2473" spans="1:7">
      <c r="A2473" s="247"/>
      <c r="B2473" s="157"/>
      <c r="G2473" t="s">
        <v>2013</v>
      </c>
    </row>
    <row r="2474" spans="1:7">
      <c r="A2474" s="247"/>
      <c r="B2474" s="157"/>
      <c r="G2474" t="s">
        <v>2013</v>
      </c>
    </row>
    <row r="2475" spans="1:7">
      <c r="A2475" s="247"/>
      <c r="B2475" s="157"/>
      <c r="G2475" t="s">
        <v>2013</v>
      </c>
    </row>
    <row r="2476" spans="1:7">
      <c r="A2476" s="247"/>
      <c r="B2476" s="157"/>
      <c r="G2476" t="s">
        <v>2013</v>
      </c>
    </row>
    <row r="2477" spans="1:7">
      <c r="A2477" s="247"/>
      <c r="B2477" s="157"/>
      <c r="G2477" t="s">
        <v>2013</v>
      </c>
    </row>
    <row r="2478" spans="1:7">
      <c r="A2478" s="247"/>
      <c r="B2478" s="157"/>
      <c r="G2478" t="s">
        <v>2013</v>
      </c>
    </row>
    <row r="2479" spans="1:7">
      <c r="A2479" s="247"/>
      <c r="B2479" s="157"/>
      <c r="G2479" t="s">
        <v>2013</v>
      </c>
    </row>
    <row r="2480" spans="1:7">
      <c r="A2480" s="247"/>
      <c r="B2480" s="157"/>
      <c r="G2480" t="s">
        <v>2013</v>
      </c>
    </row>
    <row r="2481" spans="1:7">
      <c r="A2481" s="247"/>
      <c r="B2481" s="157"/>
      <c r="G2481" t="s">
        <v>2013</v>
      </c>
    </row>
    <row r="2482" spans="1:7">
      <c r="A2482" s="247"/>
      <c r="B2482" s="157"/>
      <c r="G2482" t="s">
        <v>2013</v>
      </c>
    </row>
    <row r="2483" spans="1:7">
      <c r="A2483" s="247"/>
      <c r="B2483" s="157"/>
      <c r="G2483" t="s">
        <v>2013</v>
      </c>
    </row>
    <row r="2484" spans="1:7">
      <c r="A2484" s="247"/>
      <c r="B2484" s="157"/>
      <c r="G2484" t="s">
        <v>2013</v>
      </c>
    </row>
    <row r="2485" spans="1:7">
      <c r="A2485" s="247"/>
      <c r="B2485" s="157"/>
      <c r="C2485" s="56"/>
      <c r="G2485" t="s">
        <v>2013</v>
      </c>
    </row>
    <row r="2486" spans="1:7">
      <c r="A2486" s="247"/>
      <c r="B2486" s="157"/>
      <c r="G2486" t="s">
        <v>2013</v>
      </c>
    </row>
    <row r="2487" spans="1:7">
      <c r="A2487" s="247"/>
      <c r="B2487" s="157"/>
      <c r="G2487" t="s">
        <v>2013</v>
      </c>
    </row>
    <row r="2488" spans="1:7">
      <c r="A2488" s="247"/>
      <c r="B2488" s="157"/>
      <c r="G2488" t="s">
        <v>2013</v>
      </c>
    </row>
    <row r="2489" spans="1:7">
      <c r="A2489" s="247"/>
      <c r="B2489" s="157"/>
      <c r="G2489" t="s">
        <v>2013</v>
      </c>
    </row>
    <row r="2490" spans="1:7">
      <c r="A2490" s="247"/>
      <c r="B2490" s="157"/>
      <c r="G2490" t="s">
        <v>2013</v>
      </c>
    </row>
    <row r="2491" spans="1:7">
      <c r="A2491" s="247"/>
      <c r="B2491" s="157"/>
      <c r="G2491" t="s">
        <v>2013</v>
      </c>
    </row>
    <row r="2492" spans="1:7">
      <c r="A2492" s="247"/>
      <c r="B2492" s="157"/>
      <c r="G2492" t="s">
        <v>2013</v>
      </c>
    </row>
    <row r="2493" spans="1:7">
      <c r="A2493" s="247"/>
      <c r="B2493" s="157"/>
      <c r="G2493" t="s">
        <v>2013</v>
      </c>
    </row>
    <row r="2494" spans="1:7">
      <c r="A2494" s="247"/>
      <c r="B2494" s="157"/>
      <c r="G2494" t="s">
        <v>2013</v>
      </c>
    </row>
    <row r="2495" spans="1:7">
      <c r="A2495" s="247"/>
      <c r="B2495" s="157"/>
      <c r="G2495" t="s">
        <v>2013</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7"/>
      <c r="B1" s="1447"/>
      <c r="C1" s="1447"/>
      <c r="D1" s="1447"/>
      <c r="E1" s="1447"/>
      <c r="F1" s="1447"/>
      <c r="G1" s="1447"/>
      <c r="H1" s="1447"/>
      <c r="I1" s="1447"/>
      <c r="J1" s="1"/>
      <c r="K1" s="1"/>
      <c r="L1" s="1"/>
      <c r="M1" s="1"/>
      <c r="N1" s="1"/>
      <c r="O1" s="1"/>
      <c r="P1" s="1448" t="s">
        <v>34</v>
      </c>
      <c r="Q1" s="1448"/>
      <c r="R1" s="1448"/>
      <c r="S1" s="1448"/>
      <c r="T1" s="1448"/>
      <c r="U1" s="1448"/>
      <c r="V1" s="1448"/>
      <c r="W1" s="1448"/>
      <c r="X1" s="1448"/>
      <c r="Y1" s="1448"/>
      <c r="Z1" s="1448"/>
      <c r="AA1" s="1448"/>
      <c r="AB1" s="66"/>
    </row>
    <row r="2" spans="1:30" ht="15.75" thickBot="1">
      <c r="A2" s="2"/>
      <c r="B2" s="2"/>
      <c r="C2" s="2"/>
      <c r="D2" s="2"/>
      <c r="E2" s="2"/>
      <c r="F2" s="2"/>
      <c r="G2" s="2"/>
      <c r="H2" s="2"/>
      <c r="I2" s="2"/>
      <c r="J2" s="6"/>
      <c r="K2" s="6"/>
      <c r="L2" s="6"/>
      <c r="M2" s="6"/>
      <c r="N2" s="6"/>
      <c r="O2" s="6"/>
      <c r="P2" s="8"/>
      <c r="Q2" s="8"/>
      <c r="R2" s="3"/>
      <c r="S2" s="3"/>
      <c r="T2" s="3"/>
      <c r="U2" s="3"/>
      <c r="V2" s="3" t="s">
        <v>2030</v>
      </c>
      <c r="W2" s="3" t="s">
        <v>2031</v>
      </c>
      <c r="X2" s="3" t="s">
        <v>2031</v>
      </c>
      <c r="Y2" s="3" t="s">
        <v>2031</v>
      </c>
      <c r="Z2" s="3" t="s">
        <v>2031</v>
      </c>
      <c r="AA2" s="8" t="s">
        <v>2032</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2033</v>
      </c>
      <c r="T3" s="19" t="s">
        <v>2034</v>
      </c>
      <c r="U3" s="19" t="s">
        <v>2035</v>
      </c>
      <c r="V3" s="5" t="s">
        <v>2036</v>
      </c>
      <c r="W3" s="5" t="s">
        <v>44</v>
      </c>
      <c r="X3" s="5" t="s">
        <v>43</v>
      </c>
      <c r="Y3" s="5" t="s">
        <v>2037</v>
      </c>
      <c r="Z3" s="5" t="s">
        <v>46</v>
      </c>
      <c r="AA3" s="89" t="s">
        <v>675</v>
      </c>
      <c r="AB3" s="68" t="s">
        <v>48</v>
      </c>
    </row>
    <row r="4" spans="1:30" ht="24.75" customHeight="1" thickBot="1">
      <c r="A4" s="440" t="s">
        <v>2038</v>
      </c>
      <c r="B4" s="440" t="s">
        <v>2039</v>
      </c>
      <c r="C4" s="16">
        <v>45717</v>
      </c>
      <c r="D4" s="63" t="s">
        <v>2040</v>
      </c>
      <c r="E4" s="51">
        <v>45707</v>
      </c>
      <c r="F4" s="51" t="s">
        <v>204</v>
      </c>
      <c r="G4" s="382" t="s">
        <v>2041</v>
      </c>
      <c r="H4" s="97">
        <v>0</v>
      </c>
      <c r="I4" s="105"/>
      <c r="J4" s="76" t="s">
        <v>63</v>
      </c>
      <c r="K4" s="76" t="s">
        <v>2042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2043</v>
      </c>
    </row>
    <row r="5" spans="1:30" ht="24.75" customHeight="1" thickBot="1">
      <c r="A5" s="440" t="s">
        <v>2044</v>
      </c>
      <c r="B5" s="440" t="s">
        <v>2039</v>
      </c>
      <c r="C5" s="16">
        <v>45717</v>
      </c>
      <c r="D5" s="63" t="s">
        <v>2040</v>
      </c>
      <c r="E5" s="51">
        <v>45707</v>
      </c>
      <c r="F5" s="381" t="s">
        <v>204</v>
      </c>
      <c r="G5" s="382" t="s">
        <v>2045</v>
      </c>
      <c r="H5" s="97">
        <v>0</v>
      </c>
      <c r="I5" s="105"/>
      <c r="J5" s="76" t="s">
        <v>63</v>
      </c>
      <c r="K5" s="76" t="s">
        <v>2042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2046</v>
      </c>
      <c r="B6" s="440" t="s">
        <v>2039</v>
      </c>
      <c r="C6" s="16">
        <v>45717</v>
      </c>
      <c r="D6" s="63" t="s">
        <v>2040</v>
      </c>
      <c r="E6" s="51">
        <v>45707</v>
      </c>
      <c r="F6" s="381" t="s">
        <v>204</v>
      </c>
      <c r="G6" s="382" t="s">
        <v>2047</v>
      </c>
      <c r="H6" s="97">
        <v>0</v>
      </c>
      <c r="I6" s="105"/>
      <c r="J6" s="76" t="s">
        <v>63</v>
      </c>
      <c r="K6" s="76" t="s">
        <v>2042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2048</v>
      </c>
      <c r="B8" s="440" t="s">
        <v>2049</v>
      </c>
      <c r="C8" s="16">
        <v>45748</v>
      </c>
      <c r="D8" s="16" t="s">
        <v>2040</v>
      </c>
      <c r="E8" s="94" t="s">
        <v>52</v>
      </c>
      <c r="F8" s="95" t="s">
        <v>52</v>
      </c>
      <c r="G8" s="620" t="s">
        <v>2050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2051</v>
      </c>
      <c r="AC8" s="435"/>
      <c r="AD8" s="70"/>
    </row>
    <row r="9" spans="1:30" ht="24.75" customHeight="1">
      <c r="A9" s="449" t="s">
        <v>2052</v>
      </c>
      <c r="B9" s="449" t="s">
        <v>2053</v>
      </c>
      <c r="C9" s="23">
        <v>45741</v>
      </c>
      <c r="D9" s="16" t="s">
        <v>2040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2054</v>
      </c>
    </row>
    <row r="10" spans="1:30" ht="24.75" customHeight="1" thickBot="1">
      <c r="A10" s="26" t="s">
        <v>2055</v>
      </c>
      <c r="B10" s="26" t="s">
        <v>2053</v>
      </c>
      <c r="C10" s="27">
        <v>45741</v>
      </c>
      <c r="D10" s="16" t="s">
        <v>2040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2056</v>
      </c>
      <c r="B11" s="36" t="s">
        <v>2053</v>
      </c>
      <c r="C11" s="37">
        <v>45747</v>
      </c>
      <c r="D11" s="16" t="s">
        <v>2040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2057</v>
      </c>
      <c r="B12" s="26" t="s">
        <v>2053</v>
      </c>
      <c r="C12" s="27">
        <v>45741</v>
      </c>
      <c r="D12" s="16" t="s">
        <v>2040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2054</v>
      </c>
    </row>
    <row r="13" spans="1:30" ht="24.75" customHeight="1" thickBot="1">
      <c r="A13" s="26" t="s">
        <v>2058</v>
      </c>
      <c r="B13" s="26" t="s">
        <v>2053</v>
      </c>
      <c r="C13" s="27">
        <v>45741</v>
      </c>
      <c r="D13" s="27" t="s">
        <v>2040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2054</v>
      </c>
    </row>
    <row r="14" spans="1:30" ht="24.75" customHeight="1" thickBot="1">
      <c r="A14" s="26" t="s">
        <v>2059</v>
      </c>
      <c r="B14" s="26" t="s">
        <v>2053</v>
      </c>
      <c r="C14" s="27">
        <v>45747</v>
      </c>
      <c r="D14" s="27" t="s">
        <v>2040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2060</v>
      </c>
      <c r="B15" s="26" t="s">
        <v>2053</v>
      </c>
      <c r="C15" s="27">
        <v>45741</v>
      </c>
      <c r="D15" s="27" t="s">
        <v>2040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2054</v>
      </c>
    </row>
    <row r="16" spans="1:30" ht="24.75" customHeight="1" thickBot="1">
      <c r="A16" s="26" t="s">
        <v>2061</v>
      </c>
      <c r="B16" s="26" t="s">
        <v>2053</v>
      </c>
      <c r="C16" s="27">
        <v>45741</v>
      </c>
      <c r="D16" s="27" t="s">
        <v>2040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2054</v>
      </c>
    </row>
    <row r="17" spans="1:30" ht="24.75" customHeight="1" thickBot="1">
      <c r="A17" s="36" t="s">
        <v>2062</v>
      </c>
      <c r="B17" s="36" t="s">
        <v>2053</v>
      </c>
      <c r="C17" s="37">
        <v>45747</v>
      </c>
      <c r="D17" s="37" t="s">
        <v>2040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2063</v>
      </c>
      <c r="B18" s="374" t="s">
        <v>2053</v>
      </c>
      <c r="C18" s="51">
        <v>45717</v>
      </c>
      <c r="D18" s="27" t="s">
        <v>2040</v>
      </c>
      <c r="E18" s="85">
        <v>45700</v>
      </c>
      <c r="F18" s="51"/>
      <c r="G18" s="51" t="s">
        <v>2064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2054</v>
      </c>
    </row>
    <row r="19" spans="1:30" ht="24.75" customHeight="1" thickBot="1">
      <c r="A19" s="50" t="s">
        <v>2065</v>
      </c>
      <c r="B19" s="26" t="s">
        <v>2053</v>
      </c>
      <c r="C19" s="51">
        <v>45747</v>
      </c>
      <c r="D19" s="27" t="s">
        <v>2040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2066</v>
      </c>
    </row>
    <row r="20" spans="1:30" ht="24.75" customHeight="1" thickBot="1">
      <c r="A20" s="374" t="s">
        <v>2067</v>
      </c>
      <c r="B20" s="374" t="s">
        <v>2053</v>
      </c>
      <c r="C20" s="375">
        <v>45717</v>
      </c>
      <c r="D20" s="27" t="s">
        <v>2040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2054</v>
      </c>
    </row>
    <row r="21" spans="1:30" ht="24.75" customHeight="1" thickBot="1">
      <c r="A21" s="374" t="s">
        <v>2068</v>
      </c>
      <c r="B21" s="112" t="s">
        <v>50</v>
      </c>
      <c r="C21" s="51">
        <v>45717</v>
      </c>
      <c r="D21" s="27" t="s">
        <v>2069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2070</v>
      </c>
      <c r="B22" s="378" t="s">
        <v>50</v>
      </c>
      <c r="C22" s="51">
        <v>45717</v>
      </c>
      <c r="D22" s="51" t="s">
        <v>2069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2071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2072</v>
      </c>
      <c r="B24" s="378" t="s">
        <v>50</v>
      </c>
      <c r="C24" s="381">
        <v>45688</v>
      </c>
      <c r="D24" s="390" t="s">
        <v>2071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2073</v>
      </c>
      <c r="B25" s="113" t="s">
        <v>50</v>
      </c>
      <c r="C25" s="51">
        <v>45747</v>
      </c>
      <c r="D25" s="51" t="s">
        <v>2069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2074</v>
      </c>
    </row>
    <row r="26" spans="1:30" ht="24.75" customHeight="1">
      <c r="A26" s="101" t="s">
        <v>2075</v>
      </c>
      <c r="B26" s="102" t="s">
        <v>50</v>
      </c>
      <c r="C26" s="77">
        <v>45716</v>
      </c>
      <c r="D26" s="26" t="s">
        <v>2071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2076</v>
      </c>
      <c r="B27" s="102" t="s">
        <v>50</v>
      </c>
      <c r="C27" s="77">
        <v>45716</v>
      </c>
      <c r="D27" s="50" t="s">
        <v>2071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2077</v>
      </c>
      <c r="B28" s="1117" t="s">
        <v>50</v>
      </c>
      <c r="C28" s="1110">
        <v>45991</v>
      </c>
      <c r="D28" s="375" t="s">
        <v>84</v>
      </c>
      <c r="E28" s="77">
        <v>45734</v>
      </c>
      <c r="F28" s="1108" t="s">
        <v>68</v>
      </c>
      <c r="G28" s="1119" t="s">
        <v>2078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2079</v>
      </c>
      <c r="B29" s="1117" t="s">
        <v>50</v>
      </c>
      <c r="C29" s="1110">
        <v>46021</v>
      </c>
      <c r="D29" s="375" t="s">
        <v>84</v>
      </c>
      <c r="E29" s="77">
        <v>45743</v>
      </c>
      <c r="F29" s="1108" t="s">
        <v>68</v>
      </c>
      <c r="G29" s="1118" t="s">
        <v>2080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2081</v>
      </c>
      <c r="AC29" s="1114"/>
      <c r="AD29" s="1116"/>
    </row>
    <row r="30" spans="1:30" ht="24.75" customHeight="1">
      <c r="A30" s="374" t="s">
        <v>2082</v>
      </c>
      <c r="B30" s="669" t="s">
        <v>50</v>
      </c>
      <c r="C30" s="375">
        <v>45991</v>
      </c>
      <c r="D30" s="50" t="s">
        <v>84</v>
      </c>
      <c r="E30" s="51">
        <v>45743</v>
      </c>
      <c r="F30" s="50" t="s">
        <v>68</v>
      </c>
      <c r="G30" s="379" t="s">
        <v>2083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2084</v>
      </c>
      <c r="AC30" s="333"/>
      <c r="AD30" s="115"/>
    </row>
    <row r="31" spans="1:30" ht="24.75" customHeight="1">
      <c r="A31" s="374" t="s">
        <v>1097</v>
      </c>
      <c r="B31" s="669" t="s">
        <v>50</v>
      </c>
      <c r="C31" s="375">
        <v>46021</v>
      </c>
      <c r="D31" s="375" t="s">
        <v>84</v>
      </c>
      <c r="E31" s="51">
        <v>45735</v>
      </c>
      <c r="F31" s="50" t="s">
        <v>68</v>
      </c>
      <c r="G31" s="670" t="s">
        <v>2085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2086</v>
      </c>
      <c r="W31" s="34">
        <v>0</v>
      </c>
      <c r="X31" s="34">
        <v>0</v>
      </c>
      <c r="Y31" s="31">
        <v>0</v>
      </c>
      <c r="Z31" s="34">
        <v>0</v>
      </c>
      <c r="AA31" s="31">
        <v>0</v>
      </c>
      <c r="AB31" s="353" t="s">
        <v>2081</v>
      </c>
    </row>
    <row r="32" spans="1:30" ht="24.75" customHeight="1">
      <c r="A32" s="905" t="s">
        <v>2087</v>
      </c>
      <c r="B32" s="1109" t="s">
        <v>50</v>
      </c>
      <c r="C32" s="985">
        <v>45717</v>
      </c>
      <c r="D32" s="985" t="s">
        <v>2069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2088</v>
      </c>
      <c r="B33" s="989" t="s">
        <v>50</v>
      </c>
      <c r="C33" s="907">
        <v>45989</v>
      </c>
      <c r="D33" s="907" t="s">
        <v>2089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2090</v>
      </c>
    </row>
    <row r="34" spans="1:30" ht="24.75" customHeight="1">
      <c r="A34" s="905" t="s">
        <v>2091</v>
      </c>
      <c r="B34" s="1109" t="s">
        <v>50</v>
      </c>
      <c r="C34" s="985">
        <v>45717</v>
      </c>
      <c r="D34" s="985" t="s">
        <v>2069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2092</v>
      </c>
      <c r="B35" s="1109" t="s">
        <v>50</v>
      </c>
      <c r="C35" s="985">
        <v>45717</v>
      </c>
      <c r="D35" s="985" t="s">
        <v>2069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2093</v>
      </c>
      <c r="B36" s="1109" t="s">
        <v>50</v>
      </c>
      <c r="C36" s="985">
        <v>45717</v>
      </c>
      <c r="D36" s="985" t="s">
        <v>2069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2094</v>
      </c>
      <c r="Q1" s="159" t="s">
        <v>2095</v>
      </c>
      <c r="R1" s="127" t="s">
        <v>2096</v>
      </c>
      <c r="S1" s="127" t="s">
        <v>2097</v>
      </c>
      <c r="T1" s="159" t="s">
        <v>2098</v>
      </c>
      <c r="U1" s="127" t="s">
        <v>1225</v>
      </c>
      <c r="V1" s="160" t="s">
        <v>2099</v>
      </c>
      <c r="W1" s="160" t="s">
        <v>2100</v>
      </c>
      <c r="X1" s="163" t="s">
        <v>2101</v>
      </c>
      <c r="Y1" s="258" t="e" cm="1">
        <f t="array" ref="Y1">VLOOKUP(#REF!,#REF!, FALSE)</f>
        <v>#REF!</v>
      </c>
    </row>
    <row r="2" spans="1:25">
      <c r="A2" s="178" t="s">
        <v>530</v>
      </c>
      <c r="B2" s="180" t="s">
        <v>203</v>
      </c>
      <c r="C2" s="177">
        <v>45991</v>
      </c>
      <c r="D2" s="624" t="s">
        <v>531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533</v>
      </c>
      <c r="B3" s="530" t="s">
        <v>203</v>
      </c>
      <c r="C3" s="689">
        <v>45742</v>
      </c>
      <c r="D3" s="690" t="s">
        <v>535</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2102</v>
      </c>
      <c r="B4" s="407" t="s">
        <v>203</v>
      </c>
      <c r="C4" s="408">
        <v>45742</v>
      </c>
      <c r="D4" s="696" t="s">
        <v>2103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2104</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2104</v>
      </c>
      <c r="S7" s="43" t="s">
        <v>328</v>
      </c>
      <c r="T7" s="43" t="s">
        <v>328</v>
      </c>
      <c r="U7" s="43" t="s">
        <v>328</v>
      </c>
      <c r="V7" s="69" t="s">
        <v>90</v>
      </c>
      <c r="W7" s="30"/>
      <c r="X7" s="69" t="s">
        <v>90</v>
      </c>
      <c r="Y7" t="e">
        <f>VLOOKUP(A7,#REF!,2,FALSE)</f>
        <v>#REF!</v>
      </c>
    </row>
    <row r="8" spans="1:25">
      <c r="A8" s="175" t="s">
        <v>542</v>
      </c>
      <c r="B8" s="180" t="s">
        <v>203</v>
      </c>
      <c r="C8" s="176">
        <v>45742</v>
      </c>
      <c r="D8" s="185" t="s">
        <v>2105</v>
      </c>
      <c r="E8" s="120"/>
      <c r="F8" s="108"/>
      <c r="G8" s="108"/>
      <c r="H8" s="179">
        <v>84</v>
      </c>
      <c r="I8" s="181"/>
      <c r="J8" s="185" t="s">
        <v>57</v>
      </c>
      <c r="K8" s="185" t="s">
        <v>57</v>
      </c>
      <c r="L8" s="185" t="s">
        <v>63</v>
      </c>
      <c r="M8" s="193">
        <v>45716</v>
      </c>
      <c r="N8" s="30" t="s">
        <v>328</v>
      </c>
      <c r="O8" s="30" t="s">
        <v>328</v>
      </c>
      <c r="P8" s="711" t="s">
        <v>328</v>
      </c>
      <c r="Q8" s="69" t="s">
        <v>328</v>
      </c>
      <c r="R8" s="43" t="s">
        <v>2104</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2104</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2104</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2104</v>
      </c>
      <c r="S11" s="43" t="s">
        <v>328</v>
      </c>
      <c r="T11" s="43" t="s">
        <v>328</v>
      </c>
      <c r="U11" s="334" t="s">
        <v>90</v>
      </c>
      <c r="V11" s="69" t="s">
        <v>90</v>
      </c>
      <c r="W11" s="30"/>
      <c r="X11" s="43"/>
    </row>
    <row r="12" spans="1:25">
      <c r="A12" s="175" t="s">
        <v>390</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2104</v>
      </c>
      <c r="S12" s="43" t="s">
        <v>328</v>
      </c>
      <c r="T12" s="43" t="s">
        <v>328</v>
      </c>
      <c r="U12" s="69" t="s">
        <v>90</v>
      </c>
      <c r="V12" s="69" t="s">
        <v>90</v>
      </c>
      <c r="W12" s="30"/>
      <c r="X12" s="69" t="s">
        <v>90</v>
      </c>
      <c r="Y12" t="e">
        <f>VLOOKUP(A12,#REF!,2,FALSE)</f>
        <v>#REF!</v>
      </c>
    </row>
    <row r="13" spans="1:25">
      <c r="A13" s="178" t="s">
        <v>269</v>
      </c>
      <c r="B13" s="180" t="s">
        <v>203</v>
      </c>
      <c r="C13" s="409">
        <v>45960</v>
      </c>
      <c r="D13" s="418" t="s">
        <v>2106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393</v>
      </c>
      <c r="B14" s="180" t="s">
        <v>203</v>
      </c>
      <c r="C14" s="177">
        <v>45991</v>
      </c>
      <c r="D14" s="410" t="s">
        <v>394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2107</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2108</v>
      </c>
      <c r="N16" s="30" t="s">
        <v>328</v>
      </c>
      <c r="O16" s="54" t="s">
        <v>2108</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2107</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2107</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2107</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2107</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2107</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392</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2107</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2107</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2104</v>
      </c>
      <c r="S31" s="43" t="s">
        <v>328</v>
      </c>
      <c r="T31" s="139" t="s">
        <v>328</v>
      </c>
      <c r="U31" s="115" t="s">
        <v>328</v>
      </c>
      <c r="V31" s="69" t="s">
        <v>328</v>
      </c>
      <c r="W31" s="54">
        <v>45779</v>
      </c>
      <c r="X31" s="69" t="s">
        <v>2107</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2104</v>
      </c>
      <c r="S32" s="43" t="s">
        <v>328</v>
      </c>
      <c r="T32" s="139" t="s">
        <v>328</v>
      </c>
      <c r="U32" s="43" t="s">
        <v>328</v>
      </c>
      <c r="V32" s="69" t="s">
        <v>328</v>
      </c>
      <c r="W32" s="54">
        <v>45792</v>
      </c>
      <c r="X32" s="69" t="s">
        <v>2107</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2104</v>
      </c>
      <c r="S33" s="43" t="s">
        <v>328</v>
      </c>
      <c r="T33" s="139" t="s">
        <v>328</v>
      </c>
      <c r="U33" s="43" t="s">
        <v>328</v>
      </c>
      <c r="V33" s="334" t="s">
        <v>328</v>
      </c>
      <c r="W33" s="54">
        <v>45812</v>
      </c>
      <c r="X33" s="69" t="s">
        <v>2107</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2104</v>
      </c>
      <c r="S34" s="43" t="s">
        <v>328</v>
      </c>
      <c r="T34" s="139" t="s">
        <v>328</v>
      </c>
      <c r="U34" s="43" t="s">
        <v>328</v>
      </c>
      <c r="V34" s="404" t="s">
        <v>328</v>
      </c>
      <c r="W34" s="166">
        <v>45797</v>
      </c>
      <c r="X34" s="69" t="s">
        <v>2107</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2104</v>
      </c>
      <c r="S35" s="43" t="s">
        <v>328</v>
      </c>
      <c r="T35" s="139" t="s">
        <v>328</v>
      </c>
      <c r="U35" s="169" t="s">
        <v>328</v>
      </c>
      <c r="V35" s="69" t="s">
        <v>328</v>
      </c>
      <c r="W35" s="54">
        <v>45789</v>
      </c>
      <c r="X35" s="334" t="s">
        <v>2107</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2104</v>
      </c>
      <c r="S36" s="43" t="s">
        <v>328</v>
      </c>
      <c r="T36" s="139" t="s">
        <v>328</v>
      </c>
      <c r="U36" s="43" t="s">
        <v>328</v>
      </c>
      <c r="V36" s="69" t="s">
        <v>328</v>
      </c>
      <c r="W36" s="54">
        <v>45824</v>
      </c>
      <c r="X36" s="334" t="s">
        <v>2107</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2104</v>
      </c>
      <c r="S37" s="43" t="s">
        <v>328</v>
      </c>
      <c r="T37" s="43" t="s">
        <v>328</v>
      </c>
      <c r="U37" s="169" t="s">
        <v>328</v>
      </c>
      <c r="V37" s="69" t="s">
        <v>328</v>
      </c>
      <c r="W37" s="156">
        <v>45789</v>
      </c>
      <c r="X37" s="69" t="s">
        <v>2107</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2104</v>
      </c>
      <c r="S38" s="43" t="s">
        <v>328</v>
      </c>
      <c r="T38" s="43" t="s">
        <v>328</v>
      </c>
      <c r="U38" s="169" t="s">
        <v>328</v>
      </c>
      <c r="V38" s="69" t="s">
        <v>328</v>
      </c>
      <c r="W38" s="54">
        <v>45789</v>
      </c>
      <c r="X38" s="69" t="s">
        <v>2107</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2104</v>
      </c>
      <c r="S39" s="43" t="s">
        <v>328</v>
      </c>
      <c r="T39" s="43" t="s">
        <v>328</v>
      </c>
      <c r="U39" s="169" t="s">
        <v>328</v>
      </c>
      <c r="V39" s="69" t="s">
        <v>328</v>
      </c>
      <c r="W39" s="54">
        <v>45789</v>
      </c>
      <c r="X39" s="69" t="s">
        <v>2107</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2107</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2107</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2107</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2107</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2107</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2107</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2107</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2107</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2107</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2107</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2107</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2107</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2104</v>
      </c>
      <c r="S57" s="43" t="s">
        <v>328</v>
      </c>
      <c r="T57" s="43" t="s">
        <v>328</v>
      </c>
      <c r="U57" s="43" t="s">
        <v>328</v>
      </c>
      <c r="V57" s="69" t="s">
        <v>328</v>
      </c>
      <c r="W57" s="54">
        <v>45813</v>
      </c>
      <c r="X57" s="69" t="s">
        <v>2107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2104</v>
      </c>
      <c r="S58" s="43" t="s">
        <v>328</v>
      </c>
      <c r="T58" s="43" t="s">
        <v>328</v>
      </c>
      <c r="U58" s="43" t="s">
        <v>328</v>
      </c>
      <c r="V58" s="334" t="s">
        <v>328</v>
      </c>
      <c r="W58" s="54">
        <v>45796</v>
      </c>
      <c r="X58" s="69" t="s">
        <v>2107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2086</v>
      </c>
      <c r="P59" s="328" t="s">
        <v>328</v>
      </c>
      <c r="Q59" s="43" t="s">
        <v>328</v>
      </c>
      <c r="R59" s="43" t="s">
        <v>2104</v>
      </c>
      <c r="S59" s="43" t="s">
        <v>328</v>
      </c>
      <c r="T59" s="43" t="s">
        <v>328</v>
      </c>
      <c r="U59" s="43" t="s">
        <v>328</v>
      </c>
      <c r="V59" s="334" t="s">
        <v>328</v>
      </c>
      <c r="W59" s="54">
        <v>45796</v>
      </c>
      <c r="X59" s="69" t="s">
        <v>2107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2104</v>
      </c>
      <c r="S60" s="43" t="s">
        <v>328</v>
      </c>
      <c r="T60" s="43" t="s">
        <v>328</v>
      </c>
      <c r="U60" s="43" t="s">
        <v>328</v>
      </c>
      <c r="V60" s="334" t="s">
        <v>328</v>
      </c>
      <c r="W60" s="54">
        <v>45824</v>
      </c>
      <c r="X60" s="69" t="s">
        <v>2107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2109</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2104</v>
      </c>
      <c r="S81" s="43" t="s">
        <v>328</v>
      </c>
      <c r="T81" s="43" t="s">
        <v>328</v>
      </c>
      <c r="U81" s="115" t="s">
        <v>328</v>
      </c>
      <c r="V81" s="69" t="s">
        <v>328</v>
      </c>
      <c r="W81" s="54">
        <v>45789</v>
      </c>
      <c r="X81" s="69" t="s">
        <v>2107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2104</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2104</v>
      </c>
      <c r="S84" s="169" t="s">
        <v>328</v>
      </c>
      <c r="T84" s="169" t="s">
        <v>328</v>
      </c>
      <c r="U84" s="91" t="s">
        <v>328</v>
      </c>
      <c r="V84" s="69" t="s">
        <v>328</v>
      </c>
      <c r="W84" s="195">
        <v>45875</v>
      </c>
      <c r="X84" s="69" t="s">
        <v>2107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2104</v>
      </c>
      <c r="S85" s="169" t="s">
        <v>328</v>
      </c>
      <c r="T85" s="169" t="s">
        <v>328</v>
      </c>
      <c r="U85" s="91" t="s">
        <v>328</v>
      </c>
      <c r="V85" s="91" t="s">
        <v>328</v>
      </c>
      <c r="W85" s="195">
        <v>45874</v>
      </c>
      <c r="X85" s="69" t="s">
        <v>2107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2104</v>
      </c>
      <c r="S86" s="43" t="s">
        <v>328</v>
      </c>
      <c r="T86" s="43" t="s">
        <v>328</v>
      </c>
      <c r="U86" s="69" t="s">
        <v>328</v>
      </c>
      <c r="V86" s="69" t="s">
        <v>328</v>
      </c>
      <c r="W86" s="54">
        <v>45824</v>
      </c>
      <c r="X86" s="69" t="s">
        <v>2107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2104</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2104</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2104</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2104</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2104</v>
      </c>
      <c r="S91" s="69" t="s">
        <v>328</v>
      </c>
      <c r="T91" s="69" t="s">
        <v>328</v>
      </c>
      <c r="U91" s="69" t="s">
        <v>328</v>
      </c>
      <c r="V91" s="69" t="s">
        <v>328</v>
      </c>
      <c r="W91" s="54">
        <v>45831</v>
      </c>
      <c r="X91" s="69" t="s">
        <v>2107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2104</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2104</v>
      </c>
      <c r="S93" s="43" t="s">
        <v>328</v>
      </c>
      <c r="T93" s="43" t="s">
        <v>328</v>
      </c>
      <c r="U93" s="334" t="s">
        <v>328</v>
      </c>
      <c r="V93" s="69" t="s">
        <v>328</v>
      </c>
      <c r="W93" s="54">
        <v>45789</v>
      </c>
      <c r="X93" s="69" t="s">
        <v>2107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2104</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2104</v>
      </c>
      <c r="S95" s="69" t="s">
        <v>328</v>
      </c>
      <c r="T95" s="43" t="s">
        <v>328</v>
      </c>
      <c r="U95" s="69" t="s">
        <v>328</v>
      </c>
      <c r="V95" s="69" t="s">
        <v>328</v>
      </c>
      <c r="W95" s="54">
        <v>45814</v>
      </c>
      <c r="X95" s="69" t="s">
        <v>2107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2104</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2104</v>
      </c>
      <c r="S97" s="69" t="s">
        <v>328</v>
      </c>
      <c r="T97" s="69" t="s">
        <v>328</v>
      </c>
      <c r="U97" s="69" t="s">
        <v>328</v>
      </c>
      <c r="V97" s="43" t="s">
        <v>328</v>
      </c>
      <c r="W97" s="54">
        <v>45824</v>
      </c>
      <c r="X97" s="69" t="s">
        <v>2107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2104</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2104</v>
      </c>
      <c r="S99" s="43" t="s">
        <v>328</v>
      </c>
      <c r="T99" s="115" t="s">
        <v>328</v>
      </c>
      <c r="U99" s="148" t="s">
        <v>328</v>
      </c>
      <c r="V99" s="69" t="s">
        <v>328</v>
      </c>
      <c r="W99" s="54">
        <v>45814</v>
      </c>
      <c r="X99" s="69" t="s">
        <v>2107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2104</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2104</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2104</v>
      </c>
      <c r="S102" s="43" t="s">
        <v>328</v>
      </c>
      <c r="T102" s="43" t="s">
        <v>328</v>
      </c>
      <c r="U102" s="43" t="s">
        <v>328</v>
      </c>
      <c r="V102" s="165" t="s">
        <v>328</v>
      </c>
      <c r="W102" s="54">
        <v>45835</v>
      </c>
      <c r="X102" s="69" t="s">
        <v>2107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2104</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2104</v>
      </c>
      <c r="S104" s="43" t="s">
        <v>328</v>
      </c>
      <c r="T104" s="43" t="s">
        <v>328</v>
      </c>
      <c r="U104" s="43" t="s">
        <v>328</v>
      </c>
      <c r="V104" s="139" t="s">
        <v>328</v>
      </c>
      <c r="W104" s="54">
        <v>45820</v>
      </c>
      <c r="X104" s="69" t="s">
        <v>2107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2104</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2104</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2104</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2104</v>
      </c>
      <c r="S108" s="43" t="s">
        <v>328</v>
      </c>
      <c r="T108" s="43" t="s">
        <v>328</v>
      </c>
      <c r="U108" s="88" t="s">
        <v>328</v>
      </c>
      <c r="V108" s="481" t="s">
        <v>328</v>
      </c>
      <c r="W108" s="356">
        <v>45798</v>
      </c>
      <c r="X108" s="69" t="s">
        <v>2107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2104</v>
      </c>
      <c r="S109" s="43" t="s">
        <v>328</v>
      </c>
      <c r="T109" s="43" t="s">
        <v>328</v>
      </c>
      <c r="U109" s="43" t="s">
        <v>2110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2104</v>
      </c>
      <c r="S110" s="43" t="s">
        <v>328</v>
      </c>
      <c r="T110" s="43" t="s">
        <v>328</v>
      </c>
      <c r="U110" s="88" t="s">
        <v>328</v>
      </c>
      <c r="V110" s="481" t="s">
        <v>328</v>
      </c>
      <c r="W110" s="356">
        <v>45902</v>
      </c>
      <c r="X110" s="69" t="s">
        <v>2107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2104</v>
      </c>
      <c r="S111" s="43" t="s">
        <v>328</v>
      </c>
      <c r="T111" s="43" t="s">
        <v>328</v>
      </c>
      <c r="U111" s="43" t="s">
        <v>328</v>
      </c>
      <c r="V111" s="201" t="s">
        <v>328</v>
      </c>
      <c r="W111" s="166">
        <v>45790</v>
      </c>
      <c r="X111" s="69" t="s">
        <v>2107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2104</v>
      </c>
      <c r="S112" s="43" t="s">
        <v>328</v>
      </c>
      <c r="T112" s="43" t="s">
        <v>328</v>
      </c>
      <c r="U112" s="43" t="s">
        <v>328</v>
      </c>
      <c r="V112" s="201" t="s">
        <v>328</v>
      </c>
      <c r="W112" s="479">
        <v>45791</v>
      </c>
      <c r="X112" s="69" t="s">
        <v>2107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2104</v>
      </c>
      <c r="S113" s="115" t="s">
        <v>328</v>
      </c>
      <c r="T113" s="43" t="s">
        <v>328</v>
      </c>
      <c r="U113" s="43" t="s">
        <v>328</v>
      </c>
      <c r="V113" s="201" t="s">
        <v>328</v>
      </c>
      <c r="W113" s="479">
        <v>45791</v>
      </c>
      <c r="X113" s="148" t="s">
        <v>2107</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2104</v>
      </c>
      <c r="S114" s="115" t="s">
        <v>328</v>
      </c>
      <c r="T114" s="43" t="s">
        <v>328</v>
      </c>
      <c r="U114" s="157" t="s">
        <v>328</v>
      </c>
      <c r="V114" s="201" t="s">
        <v>328</v>
      </c>
      <c r="W114" s="54">
        <v>45798</v>
      </c>
      <c r="X114" s="69" t="s">
        <v>2107</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2104</v>
      </c>
      <c r="S115" s="43" t="s">
        <v>328</v>
      </c>
      <c r="T115" s="43" t="s">
        <v>328</v>
      </c>
      <c r="U115" s="43" t="s">
        <v>328</v>
      </c>
      <c r="V115" s="88" t="s">
        <v>328</v>
      </c>
      <c r="W115" s="54">
        <v>45814</v>
      </c>
      <c r="X115" s="69" t="s">
        <v>2107</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2104</v>
      </c>
      <c r="S116" s="43" t="s">
        <v>328</v>
      </c>
      <c r="T116" s="43" t="s">
        <v>328</v>
      </c>
      <c r="U116" s="43" t="s">
        <v>328</v>
      </c>
      <c r="V116" s="481" t="s">
        <v>328</v>
      </c>
      <c r="W116" s="54">
        <v>45807</v>
      </c>
      <c r="X116" s="69" t="s">
        <v>2107</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2104</v>
      </c>
      <c r="S117" s="43" t="s">
        <v>328</v>
      </c>
      <c r="T117" s="43" t="s">
        <v>328</v>
      </c>
      <c r="U117" s="43" t="s">
        <v>328</v>
      </c>
      <c r="V117" s="88" t="s">
        <v>328</v>
      </c>
      <c r="W117" s="54">
        <v>45811</v>
      </c>
      <c r="X117" s="69" t="s">
        <v>2107</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2104</v>
      </c>
      <c r="S118" s="43" t="s">
        <v>328</v>
      </c>
      <c r="T118" s="43" t="s">
        <v>328</v>
      </c>
      <c r="U118" s="157" t="s">
        <v>328</v>
      </c>
      <c r="V118" s="88" t="s">
        <v>328</v>
      </c>
      <c r="W118" s="54">
        <v>45810</v>
      </c>
      <c r="X118" s="69" t="s">
        <v>2107</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2104</v>
      </c>
      <c r="S119" s="43" t="s">
        <v>328</v>
      </c>
      <c r="T119" s="43" t="s">
        <v>328</v>
      </c>
      <c r="U119" s="157" t="s">
        <v>328</v>
      </c>
      <c r="V119" s="88" t="s">
        <v>328</v>
      </c>
      <c r="W119" s="54">
        <v>45813</v>
      </c>
      <c r="X119" s="69" t="s">
        <v>2107</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2104</v>
      </c>
      <c r="S120" s="43" t="s">
        <v>328</v>
      </c>
      <c r="T120" s="43" t="s">
        <v>328</v>
      </c>
      <c r="U120" s="43" t="s">
        <v>328</v>
      </c>
      <c r="V120" s="88" t="s">
        <v>328</v>
      </c>
      <c r="W120" s="54">
        <v>45811</v>
      </c>
      <c r="X120" s="69" t="s">
        <v>2107</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2104</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2104</v>
      </c>
      <c r="S122" s="43" t="s">
        <v>328</v>
      </c>
      <c r="T122" s="43" t="s">
        <v>328</v>
      </c>
      <c r="U122" s="157" t="s">
        <v>328</v>
      </c>
      <c r="V122" s="157" t="s">
        <v>328</v>
      </c>
      <c r="W122" s="54">
        <v>45789</v>
      </c>
      <c r="X122" s="69" t="s">
        <v>2107</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2104</v>
      </c>
      <c r="S123" s="43" t="s">
        <v>328</v>
      </c>
      <c r="T123" s="43" t="s">
        <v>328</v>
      </c>
      <c r="U123" s="43" t="s">
        <v>328</v>
      </c>
      <c r="V123" s="69" t="s">
        <v>328</v>
      </c>
      <c r="W123" s="54">
        <v>45811</v>
      </c>
      <c r="X123" s="69" t="s">
        <v>2107</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2104</v>
      </c>
      <c r="S124" s="43" t="s">
        <v>328</v>
      </c>
      <c r="T124" s="43" t="s">
        <v>328</v>
      </c>
      <c r="U124" s="43" t="s">
        <v>2110</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2104</v>
      </c>
      <c r="S125" s="43" t="s">
        <v>328</v>
      </c>
      <c r="T125" s="43" t="s">
        <v>328</v>
      </c>
      <c r="U125" s="43" t="s">
        <v>328</v>
      </c>
      <c r="V125" s="43" t="s">
        <v>328</v>
      </c>
      <c r="W125" s="54">
        <v>45814</v>
      </c>
      <c r="X125" s="69" t="s">
        <v>2107</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2104</v>
      </c>
      <c r="S126" s="43" t="s">
        <v>328</v>
      </c>
      <c r="T126" s="43" t="s">
        <v>328</v>
      </c>
      <c r="U126" s="43" t="s">
        <v>328</v>
      </c>
      <c r="V126" s="88" t="s">
        <v>328</v>
      </c>
      <c r="W126" s="54">
        <v>45819</v>
      </c>
      <c r="X126" s="69" t="s">
        <v>2107</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2104</v>
      </c>
      <c r="S127" s="43" t="s">
        <v>328</v>
      </c>
      <c r="T127" s="43" t="s">
        <v>328</v>
      </c>
      <c r="U127" s="43" t="s">
        <v>328</v>
      </c>
      <c r="V127" s="88" t="s">
        <v>328</v>
      </c>
      <c r="W127" s="54">
        <v>45812</v>
      </c>
      <c r="X127" s="69" t="s">
        <v>2107</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2104</v>
      </c>
      <c r="S128" s="43" t="s">
        <v>328</v>
      </c>
      <c r="T128" s="43" t="s">
        <v>328</v>
      </c>
      <c r="U128" s="43" t="s">
        <v>328</v>
      </c>
      <c r="V128" s="88" t="s">
        <v>328</v>
      </c>
      <c r="W128" s="166">
        <v>45883</v>
      </c>
      <c r="X128" s="69" t="s">
        <v>2107</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2104</v>
      </c>
      <c r="S129" s="43" t="s">
        <v>328</v>
      </c>
      <c r="T129" s="115" t="s">
        <v>328</v>
      </c>
      <c r="U129" s="115" t="s">
        <v>328</v>
      </c>
      <c r="V129" s="88" t="s">
        <v>328</v>
      </c>
      <c r="W129" s="166">
        <v>45814</v>
      </c>
      <c r="X129" s="69" t="s">
        <v>2107</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2104</v>
      </c>
      <c r="S130" s="43" t="s">
        <v>328</v>
      </c>
      <c r="T130" s="43" t="s">
        <v>328</v>
      </c>
      <c r="U130" s="43" t="s">
        <v>328</v>
      </c>
      <c r="V130" s="88" t="s">
        <v>328</v>
      </c>
      <c r="W130" s="54">
        <v>45798</v>
      </c>
      <c r="X130" s="69" t="s">
        <v>2107</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2104</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2104</v>
      </c>
      <c r="S132" s="43" t="s">
        <v>328</v>
      </c>
      <c r="T132" s="43" t="s">
        <v>328</v>
      </c>
      <c r="U132" s="43" t="s">
        <v>328</v>
      </c>
      <c r="V132" s="43" t="s">
        <v>328</v>
      </c>
      <c r="W132" s="54">
        <v>45820</v>
      </c>
      <c r="X132" s="69" t="s">
        <v>2107</v>
      </c>
      <c r="Y132" t="e">
        <f>VLOOKUP(A132,#REF!,2,FALSE)</f>
        <v>#REF!</v>
      </c>
    </row>
    <row r="133" spans="1:25" ht="15" customHeight="1">
      <c r="A133" s="358" t="s">
        <v>900</v>
      </c>
      <c r="B133" s="406" t="s">
        <v>50</v>
      </c>
      <c r="C133" s="367">
        <v>45742</v>
      </c>
      <c r="D133" s="419" t="s">
        <v>2111</v>
      </c>
      <c r="E133" s="361"/>
      <c r="F133" s="361"/>
      <c r="G133" s="361"/>
      <c r="H133" s="361">
        <v>38</v>
      </c>
      <c r="I133" s="360"/>
      <c r="J133" s="361" t="s">
        <v>57</v>
      </c>
      <c r="K133" s="361" t="s">
        <v>57</v>
      </c>
      <c r="L133" s="361" t="s">
        <v>63</v>
      </c>
      <c r="M133" s="49" t="s">
        <v>328</v>
      </c>
      <c r="N133" s="49" t="s">
        <v>328</v>
      </c>
      <c r="O133" s="54">
        <v>45701</v>
      </c>
      <c r="P133" s="30" t="s">
        <v>328</v>
      </c>
      <c r="Q133" s="69" t="s">
        <v>328</v>
      </c>
      <c r="R133" s="43" t="s">
        <v>2104</v>
      </c>
      <c r="S133" s="43" t="s">
        <v>328</v>
      </c>
      <c r="T133" s="43" t="s">
        <v>328</v>
      </c>
      <c r="U133" s="43" t="s">
        <v>328</v>
      </c>
      <c r="V133" s="69" t="s">
        <v>328</v>
      </c>
      <c r="W133" s="54">
        <v>45821</v>
      </c>
      <c r="X133" s="69" t="s">
        <v>2107</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2104</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2104</v>
      </c>
      <c r="S135" s="43" t="s">
        <v>328</v>
      </c>
      <c r="T135" s="43" t="s">
        <v>328</v>
      </c>
      <c r="U135" s="157" t="s">
        <v>328</v>
      </c>
      <c r="V135" s="43" t="s">
        <v>328</v>
      </c>
      <c r="W135" s="54">
        <v>45819</v>
      </c>
      <c r="X135" s="69" t="s">
        <v>2107</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2104</v>
      </c>
      <c r="S136" s="43" t="s">
        <v>328</v>
      </c>
      <c r="T136" s="43" t="s">
        <v>328</v>
      </c>
      <c r="U136" s="43" t="s">
        <v>328</v>
      </c>
      <c r="V136" s="43" t="s">
        <v>328</v>
      </c>
      <c r="W136" s="54">
        <v>45791</v>
      </c>
      <c r="X136" s="69" t="s">
        <v>2107</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2104</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2104</v>
      </c>
      <c r="S138" s="43" t="s">
        <v>328</v>
      </c>
      <c r="T138" s="43" t="s">
        <v>328</v>
      </c>
      <c r="U138" s="43" t="s">
        <v>328</v>
      </c>
      <c r="V138" s="43" t="s">
        <v>328</v>
      </c>
      <c r="W138" s="54">
        <v>45790</v>
      </c>
      <c r="X138" s="69" t="s">
        <v>2107</v>
      </c>
      <c r="Y138" t="e">
        <f>VLOOKUP(A138,#REF!,2,FALSE)</f>
        <v>#REF!</v>
      </c>
    </row>
    <row r="139" spans="1:25" ht="15" customHeight="1">
      <c r="A139" s="358" t="s">
        <v>2112</v>
      </c>
      <c r="B139" s="182" t="s">
        <v>50</v>
      </c>
      <c r="C139" s="408">
        <v>45742</v>
      </c>
      <c r="D139" s="361" t="s">
        <v>2113</v>
      </c>
      <c r="E139" s="521"/>
      <c r="F139" s="361"/>
      <c r="G139" s="361"/>
      <c r="H139" s="361">
        <v>87</v>
      </c>
      <c r="I139" s="360"/>
      <c r="J139" s="361" t="s">
        <v>57</v>
      </c>
      <c r="K139" s="361" t="s">
        <v>57</v>
      </c>
      <c r="L139" s="361" t="s">
        <v>63</v>
      </c>
      <c r="M139" s="49" t="s">
        <v>328</v>
      </c>
      <c r="N139" s="30" t="s">
        <v>328</v>
      </c>
      <c r="O139" s="30" t="s">
        <v>328</v>
      </c>
      <c r="P139" s="30" t="s">
        <v>328</v>
      </c>
      <c r="Q139" s="43" t="s">
        <v>328</v>
      </c>
      <c r="R139" s="43" t="s">
        <v>2104</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2104</v>
      </c>
      <c r="S140" s="43" t="s">
        <v>328</v>
      </c>
      <c r="T140" s="43" t="s">
        <v>328</v>
      </c>
      <c r="U140" s="88" t="s">
        <v>328</v>
      </c>
      <c r="V140" s="69" t="s">
        <v>328</v>
      </c>
      <c r="W140" s="54">
        <v>45819</v>
      </c>
      <c r="X140" s="69" t="s">
        <v>2107</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2104</v>
      </c>
      <c r="S141" s="43" t="s">
        <v>328</v>
      </c>
      <c r="T141" s="43" t="s">
        <v>328</v>
      </c>
      <c r="U141" s="88" t="s">
        <v>328</v>
      </c>
      <c r="V141" s="88" t="s">
        <v>328</v>
      </c>
      <c r="W141" s="54">
        <v>45811</v>
      </c>
      <c r="X141" s="69" t="s">
        <v>2107</v>
      </c>
      <c r="Y141" t="e">
        <f>VLOOKUP(A141,#REF!,2,FALSE)</f>
        <v>#REF!</v>
      </c>
    </row>
    <row r="142" spans="1:25" ht="15" customHeight="1">
      <c r="A142" s="358" t="s">
        <v>2114</v>
      </c>
      <c r="B142" s="406" t="s">
        <v>50</v>
      </c>
      <c r="C142" s="408">
        <v>45742</v>
      </c>
      <c r="D142" s="361" t="s">
        <v>2115</v>
      </c>
      <c r="E142" s="521"/>
      <c r="F142" s="361"/>
      <c r="G142" s="361"/>
      <c r="H142" s="361">
        <v>87</v>
      </c>
      <c r="I142" s="360"/>
      <c r="J142" s="361" t="s">
        <v>57</v>
      </c>
      <c r="K142" s="361" t="s">
        <v>57</v>
      </c>
      <c r="L142" s="361" t="s">
        <v>63</v>
      </c>
      <c r="M142" s="49" t="s">
        <v>328</v>
      </c>
      <c r="N142" s="49" t="s">
        <v>328</v>
      </c>
      <c r="O142" s="195">
        <v>45691</v>
      </c>
      <c r="P142" s="30" t="s">
        <v>328</v>
      </c>
      <c r="Q142" s="69" t="s">
        <v>328</v>
      </c>
      <c r="R142" s="43" t="s">
        <v>2104</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2104</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2107</v>
      </c>
    </row>
    <row r="145" spans="1:25" ht="15" customHeight="1">
      <c r="A145" s="358" t="s">
        <v>1098</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2077</v>
      </c>
      <c r="B146" s="406" t="s">
        <v>50</v>
      </c>
      <c r="C146" s="359">
        <v>45991</v>
      </c>
      <c r="D146" s="418" t="s">
        <v>2078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2080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2104</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2104</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2104</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2104</v>
      </c>
      <c r="S153" s="43" t="s">
        <v>328</v>
      </c>
      <c r="T153" s="157" t="s">
        <v>328</v>
      </c>
      <c r="U153" s="157" t="s">
        <v>328</v>
      </c>
      <c r="V153" s="43" t="s">
        <v>328</v>
      </c>
      <c r="W153" s="54">
        <v>45807</v>
      </c>
      <c r="X153" s="69" t="s">
        <v>2107</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2104</v>
      </c>
      <c r="S154" s="43" t="s">
        <v>328</v>
      </c>
      <c r="T154" s="157" t="s">
        <v>328</v>
      </c>
      <c r="U154" s="157" t="s">
        <v>328</v>
      </c>
      <c r="V154" s="43" t="s">
        <v>328</v>
      </c>
      <c r="W154" s="166">
        <v>45792</v>
      </c>
      <c r="X154" s="148" t="s">
        <v>2107</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2104</v>
      </c>
      <c r="S155" s="43" t="s">
        <v>328</v>
      </c>
      <c r="T155" s="43" t="s">
        <v>328</v>
      </c>
      <c r="U155" s="157" t="s">
        <v>328</v>
      </c>
      <c r="V155" s="43" t="s">
        <v>328</v>
      </c>
      <c r="W155" s="356">
        <v>45821</v>
      </c>
      <c r="X155" s="69" t="s">
        <v>2107</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2104</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2085</v>
      </c>
      <c r="E157" s="704"/>
      <c r="F157" s="419"/>
      <c r="G157" s="419"/>
      <c r="H157" s="419">
        <v>79</v>
      </c>
      <c r="I157" s="360"/>
      <c r="J157" s="361" t="s">
        <v>57</v>
      </c>
      <c r="K157" s="553" t="s">
        <v>57</v>
      </c>
      <c r="L157" s="361" t="s">
        <v>63</v>
      </c>
      <c r="M157" s="195">
        <v>45735</v>
      </c>
      <c r="N157" s="30" t="s">
        <v>64</v>
      </c>
      <c r="O157" s="54">
        <v>45737</v>
      </c>
      <c r="P157" s="49" t="s">
        <v>64</v>
      </c>
      <c r="Q157" s="69" t="s">
        <v>64</v>
      </c>
      <c r="R157" s="69" t="s">
        <v>2104</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2104</v>
      </c>
      <c r="S158" s="43" t="s">
        <v>328</v>
      </c>
      <c r="T158" s="43" t="s">
        <v>328</v>
      </c>
      <c r="U158" s="157" t="s">
        <v>328</v>
      </c>
      <c r="V158" s="157" t="s">
        <v>328</v>
      </c>
      <c r="W158" s="356">
        <v>45817</v>
      </c>
      <c r="X158" s="69" t="s">
        <v>2107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2107</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2107</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2107</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2107</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9" t="s">
        <v>2117</v>
      </c>
      <c r="C1" s="1449"/>
      <c r="D1" s="558"/>
      <c r="E1" s="1449" t="s">
        <v>2118</v>
      </c>
      <c r="F1" s="1449"/>
    </row>
    <row r="2" spans="1:25">
      <c r="B2" s="44" t="s">
        <v>2119</v>
      </c>
      <c r="E2" s="44" t="s">
        <v>22</v>
      </c>
      <c r="F2" t="s">
        <v>1068</v>
      </c>
      <c r="P2" s="44" t="s">
        <v>27</v>
      </c>
      <c r="Q2" t="s">
        <v>2120</v>
      </c>
    </row>
    <row r="3" spans="1:25">
      <c r="B3" s="44" t="s">
        <v>22</v>
      </c>
      <c r="C3" t="s">
        <v>1074</v>
      </c>
      <c r="K3" s="44" t="s">
        <v>2121</v>
      </c>
      <c r="L3" t="s">
        <v>2122</v>
      </c>
      <c r="P3" s="44" t="s">
        <v>2121</v>
      </c>
      <c r="Q3" t="s">
        <v>2122</v>
      </c>
    </row>
    <row r="4" spans="1:25">
      <c r="B4" t="s">
        <v>127</v>
      </c>
      <c r="C4">
        <v>69424</v>
      </c>
      <c r="E4" s="44" t="s">
        <v>2119</v>
      </c>
      <c r="F4" t="s">
        <v>1074</v>
      </c>
      <c r="W4" t="s">
        <v>2123</v>
      </c>
      <c r="X4">
        <v>22</v>
      </c>
    </row>
    <row r="5" spans="1:25">
      <c r="B5" t="s">
        <v>84</v>
      </c>
      <c r="C5">
        <v>28636</v>
      </c>
      <c r="E5" t="s">
        <v>1074</v>
      </c>
      <c r="F5">
        <v>160466</v>
      </c>
      <c r="K5" s="44" t="s">
        <v>2124</v>
      </c>
      <c r="P5" s="44" t="s">
        <v>2124</v>
      </c>
      <c r="W5" t="s">
        <v>2125</v>
      </c>
      <c r="X5">
        <v>13</v>
      </c>
    </row>
    <row r="6" spans="1:25">
      <c r="B6" t="s">
        <v>1101</v>
      </c>
      <c r="C6">
        <v>208773</v>
      </c>
      <c r="K6" s="44" t="s">
        <v>27</v>
      </c>
      <c r="L6" s="44" t="s">
        <v>2126</v>
      </c>
      <c r="M6" t="s">
        <v>1074</v>
      </c>
      <c r="P6" s="44" t="s">
        <v>2127</v>
      </c>
      <c r="Q6" s="44" t="s">
        <v>2126</v>
      </c>
      <c r="R6" t="s">
        <v>1074</v>
      </c>
    </row>
    <row r="7" spans="1:25">
      <c r="B7" t="s">
        <v>51</v>
      </c>
      <c r="C7">
        <v>446</v>
      </c>
      <c r="K7" t="s">
        <v>2120</v>
      </c>
      <c r="L7" t="s">
        <v>684</v>
      </c>
      <c r="M7">
        <v>1</v>
      </c>
      <c r="P7" t="s">
        <v>2128</v>
      </c>
      <c r="R7">
        <v>1</v>
      </c>
      <c r="X7" t="s">
        <v>2129</v>
      </c>
      <c r="Y7" t="s">
        <v>2130</v>
      </c>
    </row>
    <row r="8" spans="1:25">
      <c r="B8" t="s">
        <v>22</v>
      </c>
      <c r="C8">
        <v>0</v>
      </c>
      <c r="L8" t="s">
        <v>686</v>
      </c>
      <c r="M8">
        <v>1</v>
      </c>
      <c r="P8" t="s">
        <v>2131</v>
      </c>
      <c r="R8">
        <v>1</v>
      </c>
      <c r="V8" t="s">
        <v>2132</v>
      </c>
      <c r="W8" s="257">
        <v>203521</v>
      </c>
      <c r="X8" s="313">
        <f>X5/X4</f>
        <v>0.59090909090909094</v>
      </c>
      <c r="Y8" s="313">
        <f>W9/W8</f>
        <v>0.31446386367991508</v>
      </c>
    </row>
    <row r="9" spans="1:25">
      <c r="B9" t="s">
        <v>217</v>
      </c>
      <c r="C9">
        <v>7128</v>
      </c>
      <c r="L9" t="s">
        <v>2133</v>
      </c>
      <c r="M9">
        <v>1</v>
      </c>
      <c r="P9" t="s">
        <v>2134</v>
      </c>
      <c r="Q9" t="s">
        <v>2133</v>
      </c>
      <c r="R9">
        <v>1</v>
      </c>
      <c r="V9" t="s">
        <v>2135</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2136</v>
      </c>
      <c r="R12">
        <v>1</v>
      </c>
    </row>
    <row r="13" spans="1:25">
      <c r="B13" t="s">
        <v>174</v>
      </c>
      <c r="C13">
        <v>3</v>
      </c>
      <c r="L13" t="s">
        <v>2137</v>
      </c>
      <c r="M13">
        <v>1</v>
      </c>
      <c r="Q13" t="s">
        <v>1025</v>
      </c>
      <c r="R13">
        <v>1</v>
      </c>
    </row>
    <row r="14" spans="1:25">
      <c r="B14" t="s">
        <v>67</v>
      </c>
      <c r="C14">
        <v>3796</v>
      </c>
      <c r="L14" t="s">
        <v>865</v>
      </c>
      <c r="M14">
        <v>1</v>
      </c>
      <c r="P14" t="s">
        <v>2138</v>
      </c>
      <c r="R14">
        <v>5</v>
      </c>
    </row>
    <row r="15" spans="1:25">
      <c r="B15" t="s">
        <v>60</v>
      </c>
      <c r="C15">
        <v>10847</v>
      </c>
      <c r="L15" t="s">
        <v>2136</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2139</v>
      </c>
      <c r="M21">
        <v>1</v>
      </c>
    </row>
    <row r="22" spans="2:13">
      <c r="L22" t="s">
        <v>1025</v>
      </c>
      <c r="M22">
        <v>1</v>
      </c>
    </row>
    <row r="23" spans="2:13">
      <c r="L23" t="s">
        <v>913</v>
      </c>
      <c r="M23">
        <v>1</v>
      </c>
    </row>
    <row r="24" spans="2:13">
      <c r="L24" t="s">
        <v>936</v>
      </c>
      <c r="M24">
        <v>1</v>
      </c>
    </row>
    <row r="25" spans="2:13">
      <c r="L25" t="s">
        <v>170</v>
      </c>
      <c r="M25">
        <v>1</v>
      </c>
    </row>
    <row r="26" spans="2:13">
      <c r="K26" t="s">
        <v>2140</v>
      </c>
      <c r="M26">
        <v>19</v>
      </c>
    </row>
    <row r="27" spans="2:13">
      <c r="K27" t="s">
        <v>2141</v>
      </c>
      <c r="L27" t="s">
        <v>859</v>
      </c>
      <c r="M27">
        <v>1</v>
      </c>
    </row>
    <row r="28" spans="2:13">
      <c r="L28" t="s">
        <v>861</v>
      </c>
      <c r="M28">
        <v>1</v>
      </c>
    </row>
    <row r="29" spans="2:13">
      <c r="L29" t="s">
        <v>863</v>
      </c>
      <c r="M29">
        <v>1</v>
      </c>
    </row>
    <row r="30" spans="2:13">
      <c r="L30" t="s">
        <v>879</v>
      </c>
      <c r="M30">
        <v>1</v>
      </c>
    </row>
    <row r="31" spans="2:13">
      <c r="L31" t="s">
        <v>883</v>
      </c>
      <c r="M31">
        <v>1</v>
      </c>
    </row>
    <row r="32" spans="2:13">
      <c r="L32" t="s">
        <v>2142</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2143</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0"/>
      <c r="B1" s="1450"/>
      <c r="C1" s="1450"/>
      <c r="D1" s="1450"/>
      <c r="E1" s="1450"/>
      <c r="F1" s="1450"/>
      <c r="G1" s="1450"/>
      <c r="H1" s="1451" t="s">
        <v>2144</v>
      </c>
      <c r="I1" s="1451"/>
      <c r="J1" s="1451"/>
      <c r="K1" s="1451"/>
      <c r="L1" s="1451"/>
      <c r="M1" s="1451"/>
      <c r="N1" s="1451"/>
      <c r="O1" s="1451"/>
      <c r="P1" s="260"/>
      <c r="Q1" s="1452" t="s">
        <v>34</v>
      </c>
      <c r="R1" s="1452"/>
      <c r="S1" s="1448"/>
      <c r="T1" s="1452"/>
      <c r="U1" s="1452"/>
      <c r="V1" s="1452"/>
      <c r="W1" s="1452"/>
      <c r="X1" s="1452"/>
      <c r="Y1" s="264"/>
    </row>
    <row r="2" spans="1:26" ht="15.75" thickBot="1">
      <c r="A2" s="265"/>
      <c r="B2" s="266"/>
      <c r="C2" s="266"/>
      <c r="D2" s="266"/>
      <c r="E2" s="266"/>
      <c r="F2" s="266"/>
      <c r="G2" s="266"/>
      <c r="H2" s="267"/>
      <c r="I2" s="267"/>
      <c r="J2" s="267"/>
      <c r="K2" s="267"/>
      <c r="L2" s="267"/>
      <c r="M2" s="267"/>
      <c r="N2" s="267"/>
      <c r="O2" s="267"/>
      <c r="P2" s="260"/>
      <c r="Q2" s="264"/>
      <c r="R2" s="264" t="s">
        <v>2145</v>
      </c>
      <c r="S2" s="3" t="s">
        <v>2030</v>
      </c>
      <c r="T2" s="264" t="s">
        <v>2031</v>
      </c>
      <c r="U2" s="264" t="s">
        <v>2031</v>
      </c>
      <c r="V2" s="264" t="s">
        <v>2031</v>
      </c>
      <c r="W2" s="264" t="s">
        <v>2031</v>
      </c>
      <c r="X2" s="264" t="s">
        <v>2032</v>
      </c>
      <c r="Y2" s="264" t="s">
        <v>2146</v>
      </c>
    </row>
    <row r="3" spans="1:26" ht="15.75" thickBot="1">
      <c r="A3" s="263" t="s">
        <v>2126</v>
      </c>
      <c r="B3" s="259" t="s">
        <v>20</v>
      </c>
      <c r="C3" s="259" t="s">
        <v>2147</v>
      </c>
      <c r="D3" s="259" t="s">
        <v>26</v>
      </c>
      <c r="E3" s="259" t="s">
        <v>2121</v>
      </c>
      <c r="F3" s="259" t="s">
        <v>2148</v>
      </c>
      <c r="G3" s="259" t="s">
        <v>27</v>
      </c>
      <c r="H3" s="207" t="s">
        <v>28</v>
      </c>
      <c r="I3" s="207" t="s">
        <v>2149</v>
      </c>
      <c r="J3" s="207" t="s">
        <v>2150</v>
      </c>
      <c r="K3" s="207" t="s">
        <v>2151</v>
      </c>
      <c r="L3" s="207" t="s">
        <v>2107</v>
      </c>
      <c r="M3" s="207" t="s">
        <v>2152</v>
      </c>
      <c r="N3" s="207" t="s">
        <v>2153</v>
      </c>
      <c r="O3" s="206" t="s">
        <v>2035</v>
      </c>
      <c r="P3" s="260" t="s">
        <v>2127</v>
      </c>
      <c r="Q3" s="261" t="s">
        <v>34</v>
      </c>
      <c r="R3" s="261" t="s">
        <v>2149</v>
      </c>
      <c r="S3" s="5" t="s">
        <v>2036</v>
      </c>
      <c r="T3" s="261" t="s">
        <v>2154</v>
      </c>
      <c r="U3" s="261" t="s">
        <v>43</v>
      </c>
      <c r="V3" s="261" t="s">
        <v>2037</v>
      </c>
      <c r="W3" s="261" t="s">
        <v>46</v>
      </c>
      <c r="X3" s="261" t="s">
        <v>675</v>
      </c>
      <c r="Y3" s="261" t="s">
        <v>2155</v>
      </c>
      <c r="Z3" s="312" t="s">
        <v>2156</v>
      </c>
    </row>
    <row r="4" spans="1:26" ht="15.75" thickBot="1">
      <c r="A4" s="121" t="s">
        <v>77</v>
      </c>
      <c r="B4" s="102" t="s">
        <v>50</v>
      </c>
      <c r="C4" s="77">
        <v>45807</v>
      </c>
      <c r="D4" s="268"/>
      <c r="E4" s="269" t="s">
        <v>2157</v>
      </c>
      <c r="F4" s="268"/>
      <c r="G4" s="270" t="s">
        <v>2120</v>
      </c>
      <c r="H4" s="268"/>
      <c r="I4" s="268"/>
      <c r="J4" s="271"/>
      <c r="K4" s="205"/>
      <c r="L4" s="205"/>
      <c r="M4" s="205"/>
      <c r="N4" s="272"/>
      <c r="O4" s="273"/>
      <c r="P4" s="274" t="s">
        <v>2158</v>
      </c>
      <c r="Q4" s="275" t="s">
        <v>82</v>
      </c>
      <c r="R4" s="131" t="s">
        <v>2159</v>
      </c>
      <c r="S4" s="131"/>
      <c r="T4" s="276"/>
      <c r="U4" s="277"/>
      <c r="V4" s="277"/>
      <c r="W4" s="277"/>
      <c r="X4" s="277"/>
      <c r="Y4" s="277"/>
      <c r="Z4" t="e">
        <f>VLOOKUP(A4,#REF!,9,FALSE)</f>
        <v>#REF!</v>
      </c>
    </row>
    <row r="5" spans="1:26" ht="15.75" thickBot="1">
      <c r="A5" s="278" t="s">
        <v>2077</v>
      </c>
      <c r="B5" s="102" t="s">
        <v>50</v>
      </c>
      <c r="C5" s="215">
        <v>45807</v>
      </c>
      <c r="D5" s="268"/>
      <c r="E5" s="269" t="s">
        <v>2157</v>
      </c>
      <c r="F5" s="268"/>
      <c r="G5" s="270" t="s">
        <v>2120</v>
      </c>
      <c r="H5" s="268"/>
      <c r="I5" s="268"/>
      <c r="J5" s="279"/>
      <c r="K5" s="205"/>
      <c r="L5" s="205"/>
      <c r="M5" s="205"/>
      <c r="N5" s="272"/>
      <c r="O5" s="273"/>
      <c r="P5" s="274" t="s">
        <v>2158</v>
      </c>
      <c r="Q5" s="275" t="s">
        <v>82</v>
      </c>
      <c r="R5" s="131" t="s">
        <v>2159</v>
      </c>
      <c r="S5" s="131"/>
      <c r="T5" s="276"/>
      <c r="U5" s="277"/>
      <c r="V5" s="277"/>
      <c r="W5" s="277"/>
      <c r="X5" s="277"/>
      <c r="Y5" s="277"/>
      <c r="Z5" t="e">
        <f>VLOOKUP(A5,#REF!,9,FALSE)</f>
        <v>#REF!</v>
      </c>
    </row>
    <row r="6" spans="1:26" ht="15.75" thickBot="1">
      <c r="A6" s="121" t="s">
        <v>1098</v>
      </c>
      <c r="B6" s="102" t="s">
        <v>50</v>
      </c>
      <c r="C6" s="215">
        <v>45807</v>
      </c>
      <c r="D6" s="268"/>
      <c r="E6" s="269" t="s">
        <v>2157</v>
      </c>
      <c r="F6" s="268"/>
      <c r="G6" s="270" t="s">
        <v>2120</v>
      </c>
      <c r="H6" s="268"/>
      <c r="I6" s="268"/>
      <c r="J6" s="279"/>
      <c r="K6" s="205"/>
      <c r="L6" s="205"/>
      <c r="M6" s="205"/>
      <c r="N6" s="272"/>
      <c r="O6" s="273"/>
      <c r="P6" s="274" t="s">
        <v>2158</v>
      </c>
      <c r="Q6" s="275" t="s">
        <v>82</v>
      </c>
      <c r="R6" s="131" t="s">
        <v>2159</v>
      </c>
      <c r="S6" s="131"/>
      <c r="T6" s="276"/>
      <c r="U6" s="277"/>
      <c r="V6" s="277"/>
      <c r="W6" s="277"/>
      <c r="X6" s="277"/>
      <c r="Y6" s="277"/>
      <c r="Z6" t="e">
        <f>VLOOKUP(A6,#REF!,9,FALSE)</f>
        <v>#REF!</v>
      </c>
    </row>
    <row r="7" spans="1:26" ht="15.75" thickBot="1">
      <c r="A7" s="121" t="s">
        <v>1115</v>
      </c>
      <c r="B7" s="102" t="s">
        <v>50</v>
      </c>
      <c r="C7" s="215">
        <v>45807</v>
      </c>
      <c r="D7" s="268"/>
      <c r="E7" s="269" t="s">
        <v>2157</v>
      </c>
      <c r="F7" s="268"/>
      <c r="G7" s="270" t="s">
        <v>2120</v>
      </c>
      <c r="H7" s="268"/>
      <c r="I7" s="268"/>
      <c r="J7" s="279"/>
      <c r="K7" s="205"/>
      <c r="L7" s="205"/>
      <c r="M7" s="205"/>
      <c r="N7" s="272"/>
      <c r="O7" s="273"/>
      <c r="P7" s="274" t="s">
        <v>2158</v>
      </c>
      <c r="Q7" s="275" t="s">
        <v>82</v>
      </c>
      <c r="R7" s="131" t="s">
        <v>2159</v>
      </c>
      <c r="S7" s="131"/>
      <c r="T7" s="276"/>
      <c r="U7" s="277"/>
      <c r="V7" s="277"/>
      <c r="W7" s="277"/>
      <c r="X7" s="277"/>
      <c r="Y7" s="277"/>
      <c r="Z7" t="e">
        <f>VLOOKUP(A7,#REF!,9,FALSE)</f>
        <v>#REF!</v>
      </c>
    </row>
    <row r="8" spans="1:26" ht="15.75" thickBot="1">
      <c r="A8" s="278" t="s">
        <v>2160</v>
      </c>
      <c r="B8" s="102" t="s">
        <v>50</v>
      </c>
      <c r="C8" s="215">
        <v>45807</v>
      </c>
      <c r="D8" s="268"/>
      <c r="E8" s="269" t="s">
        <v>2157</v>
      </c>
      <c r="F8" s="268"/>
      <c r="G8" s="270" t="s">
        <v>2120</v>
      </c>
      <c r="H8" s="268"/>
      <c r="I8" s="268"/>
      <c r="J8" s="279"/>
      <c r="K8" s="205"/>
      <c r="L8" s="205"/>
      <c r="M8" s="205"/>
      <c r="N8" s="272"/>
      <c r="O8" s="273"/>
      <c r="P8" s="274" t="s">
        <v>2131</v>
      </c>
      <c r="Q8" s="275" t="s">
        <v>2161</v>
      </c>
      <c r="R8" s="131" t="s">
        <v>2162</v>
      </c>
      <c r="S8" s="131"/>
      <c r="T8" s="276"/>
      <c r="U8" s="277"/>
      <c r="V8" s="277"/>
      <c r="W8" s="277"/>
      <c r="X8" s="277"/>
      <c r="Y8" s="277"/>
      <c r="Z8" t="e">
        <f>VLOOKUP(A8,#REF!,9,FALSE)</f>
        <v>#REF!</v>
      </c>
    </row>
    <row r="9" spans="1:26" ht="15.75" thickBot="1">
      <c r="A9" s="121" t="s">
        <v>1123</v>
      </c>
      <c r="B9" s="102" t="s">
        <v>50</v>
      </c>
      <c r="C9" s="215">
        <v>45807</v>
      </c>
      <c r="D9" s="280"/>
      <c r="E9" s="269" t="s">
        <v>2157</v>
      </c>
      <c r="F9" s="280"/>
      <c r="G9" s="281" t="s">
        <v>2120</v>
      </c>
      <c r="H9" s="268"/>
      <c r="I9" s="268"/>
      <c r="J9" s="279"/>
      <c r="K9" s="205"/>
      <c r="L9" s="205"/>
      <c r="M9" s="205"/>
      <c r="N9" s="272"/>
      <c r="O9" s="273"/>
      <c r="P9" s="274" t="s">
        <v>2158</v>
      </c>
      <c r="Q9" s="275" t="s">
        <v>82</v>
      </c>
      <c r="R9" s="131" t="s">
        <v>2159</v>
      </c>
      <c r="S9" s="131"/>
      <c r="T9" s="276"/>
      <c r="U9" s="277"/>
      <c r="V9" s="277"/>
      <c r="W9" s="277"/>
      <c r="X9" s="277"/>
      <c r="Y9" s="277"/>
      <c r="Z9" t="e">
        <f>VLOOKUP(A9,#REF!,9,FALSE)</f>
        <v>#REF!</v>
      </c>
    </row>
    <row r="10" spans="1:26" ht="15.75" thickBot="1">
      <c r="A10" s="121" t="s">
        <v>1100</v>
      </c>
      <c r="B10" s="102" t="s">
        <v>50</v>
      </c>
      <c r="C10" s="215" t="e">
        <v>#N/A</v>
      </c>
      <c r="D10" s="282"/>
      <c r="E10" s="269" t="s">
        <v>2157</v>
      </c>
      <c r="F10" s="282"/>
      <c r="G10" s="283" t="s">
        <v>2120</v>
      </c>
      <c r="H10" s="230"/>
      <c r="I10" s="230"/>
      <c r="J10" s="45"/>
      <c r="K10" s="204"/>
      <c r="L10" s="204"/>
      <c r="M10" s="204"/>
      <c r="N10" s="284"/>
      <c r="O10" s="285"/>
      <c r="P10" s="274" t="s">
        <v>2158</v>
      </c>
      <c r="Q10" s="275" t="s">
        <v>58</v>
      </c>
      <c r="R10" s="131" t="s">
        <v>2159</v>
      </c>
      <c r="S10" s="131"/>
      <c r="T10" s="276"/>
      <c r="U10" s="277"/>
      <c r="V10" s="277"/>
      <c r="W10" s="277"/>
      <c r="X10" s="277"/>
      <c r="Y10" s="277"/>
      <c r="Z10" t="e">
        <f>VLOOKUP(A10,#REF!,9,FALSE)</f>
        <v>#REF!</v>
      </c>
    </row>
    <row r="11" spans="1:26" ht="15.75" thickBot="1">
      <c r="A11" s="121" t="s">
        <v>515</v>
      </c>
      <c r="B11" s="102" t="s">
        <v>50</v>
      </c>
      <c r="C11" s="215">
        <v>45807</v>
      </c>
      <c r="D11" s="282"/>
      <c r="E11" s="269" t="s">
        <v>2157</v>
      </c>
      <c r="F11" s="282"/>
      <c r="G11" s="283" t="s">
        <v>2120</v>
      </c>
      <c r="H11" s="230"/>
      <c r="I11" s="230"/>
      <c r="J11" s="45"/>
      <c r="K11" s="204"/>
      <c r="L11" s="204"/>
      <c r="M11" s="204"/>
      <c r="N11" s="284"/>
      <c r="O11" s="285"/>
      <c r="P11" s="274" t="s">
        <v>2158</v>
      </c>
      <c r="Q11" s="275" t="s">
        <v>82</v>
      </c>
      <c r="R11" s="131" t="s">
        <v>2159</v>
      </c>
      <c r="S11" s="131"/>
      <c r="T11" s="276"/>
      <c r="U11" s="277"/>
      <c r="V11" s="277"/>
      <c r="W11" s="277"/>
      <c r="X11" s="277"/>
      <c r="Y11" s="277"/>
      <c r="Z11" t="e">
        <f>VLOOKUP(A11,#REF!,9,FALSE)</f>
        <v>#REF!</v>
      </c>
    </row>
    <row r="12" spans="1:26" ht="15.75" thickBot="1">
      <c r="A12" s="121" t="s">
        <v>1095</v>
      </c>
      <c r="B12" s="102" t="s">
        <v>50</v>
      </c>
      <c r="C12" s="215" t="e">
        <v>#N/A</v>
      </c>
      <c r="D12" s="282"/>
      <c r="E12" s="269" t="s">
        <v>2157</v>
      </c>
      <c r="F12" s="282"/>
      <c r="G12" s="283" t="s">
        <v>2120</v>
      </c>
      <c r="H12" s="230"/>
      <c r="I12" s="230"/>
      <c r="J12" s="45"/>
      <c r="K12" s="204"/>
      <c r="L12" s="204"/>
      <c r="M12" s="204"/>
      <c r="N12" s="284"/>
      <c r="O12" s="285"/>
      <c r="P12" s="274" t="s">
        <v>2158</v>
      </c>
      <c r="Q12" s="275" t="s">
        <v>82</v>
      </c>
      <c r="R12" s="131" t="s">
        <v>2159</v>
      </c>
      <c r="S12" s="131"/>
      <c r="T12" s="276"/>
      <c r="U12" s="277"/>
      <c r="V12" s="277"/>
      <c r="W12" s="277"/>
      <c r="X12" s="277"/>
      <c r="Y12" s="277"/>
      <c r="Z12" t="e">
        <f>VLOOKUP(A12,#REF!,9,FALSE)</f>
        <v>#REF!</v>
      </c>
    </row>
    <row r="13" spans="1:26" ht="15.75" thickBot="1">
      <c r="A13" s="121" t="s">
        <v>1121</v>
      </c>
      <c r="B13" s="102" t="s">
        <v>50</v>
      </c>
      <c r="C13" s="215" t="e">
        <v>#N/A</v>
      </c>
      <c r="D13" s="282"/>
      <c r="E13" s="269" t="s">
        <v>2157</v>
      </c>
      <c r="F13" s="282"/>
      <c r="G13" s="283" t="s">
        <v>2120</v>
      </c>
      <c r="H13" s="230"/>
      <c r="I13" s="230"/>
      <c r="J13" s="45"/>
      <c r="K13" s="204"/>
      <c r="L13" s="204"/>
      <c r="M13" s="204"/>
      <c r="N13" s="284"/>
      <c r="O13" s="285"/>
      <c r="P13" s="274" t="s">
        <v>2158</v>
      </c>
      <c r="Q13" s="275" t="s">
        <v>82</v>
      </c>
      <c r="R13" s="131" t="s">
        <v>2159</v>
      </c>
      <c r="S13" s="131"/>
      <c r="T13" s="276"/>
      <c r="U13" s="277"/>
      <c r="V13" s="277"/>
      <c r="W13" s="277"/>
      <c r="X13" s="277"/>
      <c r="Y13" s="277"/>
      <c r="Z13" t="e">
        <f>VLOOKUP(A13,#REF!,9,FALSE)</f>
        <v>#REF!</v>
      </c>
    </row>
    <row r="14" spans="1:26" ht="15.75" thickBot="1">
      <c r="A14" s="278" t="s">
        <v>511</v>
      </c>
      <c r="B14" s="102" t="s">
        <v>50</v>
      </c>
      <c r="C14" s="215">
        <v>45807</v>
      </c>
      <c r="D14" s="282"/>
      <c r="E14" s="269" t="s">
        <v>2157</v>
      </c>
      <c r="F14" s="282"/>
      <c r="G14" s="283" t="s">
        <v>2120</v>
      </c>
      <c r="H14" s="230"/>
      <c r="I14" s="230"/>
      <c r="J14" s="45"/>
      <c r="K14" s="204"/>
      <c r="L14" s="204"/>
      <c r="M14" s="204"/>
      <c r="N14" s="284"/>
      <c r="O14" s="285"/>
      <c r="P14" s="274" t="s">
        <v>2158</v>
      </c>
      <c r="Q14" s="275" t="s">
        <v>82</v>
      </c>
      <c r="R14" s="131" t="s">
        <v>2159</v>
      </c>
      <c r="S14" s="131"/>
      <c r="T14" s="276"/>
      <c r="U14" s="277"/>
      <c r="V14" s="277"/>
      <c r="W14" s="277"/>
      <c r="X14" s="277"/>
      <c r="Y14" s="277"/>
      <c r="Z14" t="e">
        <f>VLOOKUP(A14,#REF!,9,FALSE)</f>
        <v>#REF!</v>
      </c>
    </row>
    <row r="15" spans="1:26" ht="15.75" thickBot="1">
      <c r="A15" s="121" t="s">
        <v>1099</v>
      </c>
      <c r="B15" s="102" t="s">
        <v>50</v>
      </c>
      <c r="C15" s="215" t="e">
        <v>#N/A</v>
      </c>
      <c r="D15" s="282"/>
      <c r="E15" s="269" t="s">
        <v>2157</v>
      </c>
      <c r="F15" s="282"/>
      <c r="G15" s="283" t="s">
        <v>2120</v>
      </c>
      <c r="H15" s="230"/>
      <c r="I15" s="230"/>
      <c r="J15" s="45"/>
      <c r="K15" s="204"/>
      <c r="L15" s="204"/>
      <c r="M15" s="204"/>
      <c r="N15" s="284"/>
      <c r="O15" s="285"/>
      <c r="P15" s="274" t="s">
        <v>2158</v>
      </c>
      <c r="Q15" s="275" t="s">
        <v>82</v>
      </c>
      <c r="R15" s="131" t="s">
        <v>2159</v>
      </c>
      <c r="S15" s="131"/>
      <c r="T15" s="276"/>
      <c r="U15" s="277"/>
      <c r="V15" s="277"/>
      <c r="W15" s="277"/>
      <c r="X15" s="277"/>
      <c r="Y15" s="277"/>
      <c r="Z15" t="e">
        <f>VLOOKUP(A15,#REF!,9,FALSE)</f>
        <v>#REF!</v>
      </c>
    </row>
    <row r="16" spans="1:26" ht="15.75" thickBot="1">
      <c r="A16" s="286" t="s">
        <v>2163</v>
      </c>
      <c r="B16" s="102" t="s">
        <v>50</v>
      </c>
      <c r="C16" s="215" t="e">
        <v>#N/A</v>
      </c>
      <c r="D16" s="282"/>
      <c r="E16" s="269" t="s">
        <v>2157</v>
      </c>
      <c r="F16" s="282"/>
      <c r="G16" s="283" t="s">
        <v>2120</v>
      </c>
      <c r="H16" s="230"/>
      <c r="I16" s="230"/>
      <c r="J16" s="45"/>
      <c r="K16" s="204"/>
      <c r="L16" s="204"/>
      <c r="M16" s="204"/>
      <c r="N16" s="284"/>
      <c r="O16" s="285"/>
      <c r="P16" s="274" t="s">
        <v>2158</v>
      </c>
      <c r="Q16" s="275" t="s">
        <v>82</v>
      </c>
      <c r="R16" s="131" t="s">
        <v>2159</v>
      </c>
      <c r="S16" s="131"/>
      <c r="T16" s="276"/>
      <c r="U16" s="277"/>
      <c r="V16" s="277"/>
      <c r="W16" s="277"/>
      <c r="X16" s="277"/>
      <c r="Y16" s="277"/>
      <c r="Z16" t="e">
        <f>VLOOKUP(A16,#REF!,9,FALSE)</f>
        <v>#REF!</v>
      </c>
    </row>
    <row r="17" spans="1:26" ht="15.75" thickBot="1">
      <c r="A17" s="275" t="s">
        <v>936</v>
      </c>
      <c r="B17" s="102" t="s">
        <v>50</v>
      </c>
      <c r="C17" s="215" t="e">
        <v>#N/A</v>
      </c>
      <c r="D17" s="282"/>
      <c r="E17" s="269" t="s">
        <v>2122</v>
      </c>
      <c r="F17" s="282"/>
      <c r="G17" s="283" t="s">
        <v>2120</v>
      </c>
      <c r="H17" s="230"/>
      <c r="I17" s="230"/>
      <c r="J17" s="45"/>
      <c r="K17" s="204"/>
      <c r="L17" s="204"/>
      <c r="M17" s="204"/>
      <c r="N17" s="284"/>
      <c r="O17" s="285"/>
      <c r="P17" s="274"/>
      <c r="Q17" s="275" t="s">
        <v>82</v>
      </c>
      <c r="R17" s="131" t="s">
        <v>2159</v>
      </c>
      <c r="S17" s="131"/>
      <c r="T17" s="276"/>
      <c r="U17" s="277"/>
      <c r="V17" s="277"/>
      <c r="W17" s="277"/>
      <c r="X17" s="277"/>
      <c r="Y17" s="277"/>
      <c r="Z17" t="e">
        <f>VLOOKUP(A17,#REF!,9,FALSE)</f>
        <v>#REF!</v>
      </c>
    </row>
    <row r="18" spans="1:26" ht="15.75" thickBot="1">
      <c r="A18" s="275" t="s">
        <v>913</v>
      </c>
      <c r="B18" s="102" t="s">
        <v>50</v>
      </c>
      <c r="C18" s="215">
        <v>45807</v>
      </c>
      <c r="D18" s="282"/>
      <c r="E18" s="269" t="s">
        <v>2122</v>
      </c>
      <c r="F18" s="282"/>
      <c r="G18" s="283" t="s">
        <v>2120</v>
      </c>
      <c r="H18" s="230"/>
      <c r="I18" s="230"/>
      <c r="J18" s="45"/>
      <c r="K18" s="204"/>
      <c r="L18" s="204"/>
      <c r="M18" s="204"/>
      <c r="N18" s="284"/>
      <c r="O18" s="285"/>
      <c r="P18" s="274" t="s">
        <v>2128</v>
      </c>
      <c r="Q18" s="275"/>
      <c r="R18" s="131" t="s">
        <v>2159</v>
      </c>
      <c r="S18" s="131"/>
      <c r="T18" s="276"/>
      <c r="U18" s="277"/>
      <c r="V18" s="277"/>
      <c r="W18" s="277"/>
      <c r="X18" s="277"/>
      <c r="Y18" s="277"/>
      <c r="Z18" t="e">
        <f>VLOOKUP(A18,#REF!,9,FALSE)</f>
        <v>#REF!</v>
      </c>
    </row>
    <row r="19" spans="1:26" ht="15.75" thickBot="1">
      <c r="A19" s="275" t="s">
        <v>916</v>
      </c>
      <c r="B19" s="102" t="s">
        <v>50</v>
      </c>
      <c r="C19" s="215" t="e">
        <v>#N/A</v>
      </c>
      <c r="D19" s="282"/>
      <c r="E19" s="269" t="s">
        <v>2122</v>
      </c>
      <c r="F19" s="282"/>
      <c r="G19" s="283" t="s">
        <v>2141</v>
      </c>
      <c r="H19" s="230"/>
      <c r="I19" s="230"/>
      <c r="J19" s="45"/>
      <c r="K19" s="204"/>
      <c r="L19" s="204"/>
      <c r="M19" s="204"/>
      <c r="N19" s="284"/>
      <c r="O19" s="285"/>
      <c r="P19" s="274"/>
      <c r="Q19" s="275" t="s">
        <v>2141</v>
      </c>
      <c r="R19" s="131" t="s">
        <v>2159</v>
      </c>
      <c r="S19" s="131"/>
      <c r="T19" s="276"/>
      <c r="U19" s="277"/>
      <c r="V19" s="277"/>
      <c r="W19" s="277"/>
      <c r="X19" s="277"/>
      <c r="Y19" s="277"/>
      <c r="Z19" t="e">
        <f>VLOOKUP(A19,#REF!,9,FALSE)</f>
        <v>#REF!</v>
      </c>
    </row>
    <row r="20" spans="1:26" ht="15.75" thickBot="1">
      <c r="A20" s="275" t="s">
        <v>859</v>
      </c>
      <c r="B20" s="102" t="s">
        <v>50</v>
      </c>
      <c r="C20" s="215" t="e">
        <v>#N/A</v>
      </c>
      <c r="D20" s="282"/>
      <c r="E20" s="269" t="s">
        <v>2122</v>
      </c>
      <c r="F20" s="282"/>
      <c r="G20" s="283" t="s">
        <v>2141</v>
      </c>
      <c r="H20" s="230"/>
      <c r="I20" s="230"/>
      <c r="J20" s="45"/>
      <c r="K20" s="204"/>
      <c r="L20" s="204"/>
      <c r="M20" s="204"/>
      <c r="N20" s="284"/>
      <c r="O20" s="285"/>
      <c r="P20" s="274"/>
      <c r="Q20" s="275" t="s">
        <v>2141</v>
      </c>
      <c r="R20" s="131" t="s">
        <v>2159</v>
      </c>
      <c r="S20" s="131"/>
      <c r="T20" s="276"/>
      <c r="U20" s="277"/>
      <c r="V20" s="277"/>
      <c r="W20" s="277"/>
      <c r="X20" s="277"/>
      <c r="Y20" s="277"/>
      <c r="Z20" t="e">
        <f>VLOOKUP(A20,#REF!,9,FALSE)</f>
        <v>#REF!</v>
      </c>
    </row>
    <row r="21" spans="1:26" s="214" customFormat="1" ht="15.75" thickBot="1">
      <c r="A21" s="262" t="s">
        <v>2137</v>
      </c>
      <c r="B21" s="102" t="e">
        <v>#N/A</v>
      </c>
      <c r="C21" s="231">
        <v>45807</v>
      </c>
      <c r="D21" s="282"/>
      <c r="E21" s="269" t="s">
        <v>2122</v>
      </c>
      <c r="F21" s="282"/>
      <c r="G21" s="283" t="s">
        <v>2120</v>
      </c>
      <c r="H21" s="230"/>
      <c r="I21" s="230"/>
      <c r="J21" s="230"/>
      <c r="K21" s="229"/>
      <c r="L21" s="229"/>
      <c r="M21" s="229"/>
      <c r="N21" s="284"/>
      <c r="O21" s="285"/>
      <c r="P21" s="274"/>
      <c r="Q21" s="225" t="s">
        <v>64</v>
      </c>
      <c r="R21" s="131" t="s">
        <v>2159</v>
      </c>
      <c r="S21" s="228"/>
      <c r="T21" s="227"/>
      <c r="U21" s="226"/>
      <c r="V21" s="226"/>
      <c r="W21" s="226"/>
      <c r="X21" s="226"/>
      <c r="Y21" s="226" t="s">
        <v>2164</v>
      </c>
      <c r="Z21" t="e">
        <f>VLOOKUP(A21,#REF!,9,FALSE)</f>
        <v>#REF!</v>
      </c>
    </row>
    <row r="22" spans="1:26" ht="15.75" thickBot="1">
      <c r="A22" s="275" t="s">
        <v>861</v>
      </c>
      <c r="B22" s="102" t="s">
        <v>50</v>
      </c>
      <c r="C22" s="215" t="e">
        <v>#N/A</v>
      </c>
      <c r="D22" s="282"/>
      <c r="E22" s="269" t="s">
        <v>2122</v>
      </c>
      <c r="F22" s="282"/>
      <c r="G22" s="283" t="s">
        <v>2141</v>
      </c>
      <c r="H22" s="230"/>
      <c r="I22" s="230"/>
      <c r="J22" s="45"/>
      <c r="K22" s="204"/>
      <c r="L22" s="204"/>
      <c r="M22" s="204"/>
      <c r="N22" s="284"/>
      <c r="O22" s="285"/>
      <c r="P22" s="274"/>
      <c r="Q22" s="275" t="s">
        <v>2141</v>
      </c>
      <c r="R22" s="131" t="s">
        <v>2159</v>
      </c>
      <c r="S22" s="131"/>
      <c r="T22" s="276"/>
      <c r="U22" s="277"/>
      <c r="V22" s="277"/>
      <c r="W22" s="277"/>
      <c r="X22" s="277"/>
      <c r="Y22" s="277"/>
      <c r="Z22" t="e">
        <f>VLOOKUP(A22,#REF!,9,FALSE)</f>
        <v>#REF!</v>
      </c>
    </row>
    <row r="23" spans="1:26" ht="15.75" thickBot="1">
      <c r="A23" s="275" t="s">
        <v>844</v>
      </c>
      <c r="B23" s="102" t="s">
        <v>50</v>
      </c>
      <c r="C23" s="215" t="e">
        <v>#N/A</v>
      </c>
      <c r="D23" s="282"/>
      <c r="E23" s="269" t="s">
        <v>2122</v>
      </c>
      <c r="F23" s="282"/>
      <c r="G23" s="283" t="s">
        <v>2120</v>
      </c>
      <c r="H23" s="230"/>
      <c r="I23" s="230"/>
      <c r="J23" s="45"/>
      <c r="K23" s="204"/>
      <c r="L23" s="204"/>
      <c r="M23" s="204"/>
      <c r="N23" s="284"/>
      <c r="O23" s="285"/>
      <c r="P23" s="274"/>
      <c r="Q23" s="275" t="s">
        <v>64</v>
      </c>
      <c r="R23" s="131" t="s">
        <v>2159</v>
      </c>
      <c r="S23" s="131"/>
      <c r="T23" s="276"/>
      <c r="U23" s="277"/>
      <c r="V23" s="277"/>
      <c r="W23" s="277"/>
      <c r="X23" s="277"/>
      <c r="Y23" s="277" t="s">
        <v>2165</v>
      </c>
      <c r="Z23" t="e">
        <f>VLOOKUP(A23,#REF!,9,FALSE)</f>
        <v>#REF!</v>
      </c>
    </row>
    <row r="24" spans="1:26" s="214" customFormat="1" ht="69.599999999999994" customHeight="1" thickBot="1">
      <c r="A24" s="225" t="s">
        <v>2133</v>
      </c>
      <c r="B24" s="232" t="e">
        <v>#N/A</v>
      </c>
      <c r="C24" s="231">
        <v>45716</v>
      </c>
      <c r="D24" s="282"/>
      <c r="E24" s="269" t="s">
        <v>2122</v>
      </c>
      <c r="F24" s="282"/>
      <c r="G24" s="283" t="s">
        <v>2120</v>
      </c>
      <c r="H24" s="230"/>
      <c r="I24" s="230"/>
      <c r="J24" s="230"/>
      <c r="K24" s="229"/>
      <c r="L24" s="229"/>
      <c r="M24" s="229"/>
      <c r="N24" s="284"/>
      <c r="O24" s="285"/>
      <c r="P24" s="274" t="s">
        <v>2134</v>
      </c>
      <c r="Q24" s="225" t="s">
        <v>64</v>
      </c>
      <c r="R24" s="131" t="s">
        <v>2159</v>
      </c>
      <c r="S24" s="228"/>
      <c r="T24" s="227"/>
      <c r="U24" s="226"/>
      <c r="V24" s="226"/>
      <c r="W24" s="226"/>
      <c r="X24" s="226"/>
      <c r="Y24" s="226" t="s">
        <v>2165</v>
      </c>
      <c r="Z24" t="e">
        <f>VLOOKUP(A24,#REF!,9,FALSE)</f>
        <v>#REF!</v>
      </c>
    </row>
    <row r="25" spans="1:26" ht="15.75" thickBot="1">
      <c r="A25" s="275" t="s">
        <v>848</v>
      </c>
      <c r="B25" s="102" t="s">
        <v>50</v>
      </c>
      <c r="C25" s="215">
        <v>45772</v>
      </c>
      <c r="D25" s="282"/>
      <c r="E25" s="269" t="s">
        <v>2122</v>
      </c>
      <c r="F25" s="282"/>
      <c r="G25" s="283" t="s">
        <v>2120</v>
      </c>
      <c r="H25" s="230"/>
      <c r="I25" s="230"/>
      <c r="J25" s="45"/>
      <c r="K25" s="204"/>
      <c r="L25" s="204"/>
      <c r="M25" s="204"/>
      <c r="N25" s="284"/>
      <c r="O25" s="285"/>
      <c r="P25" s="274" t="s">
        <v>2134</v>
      </c>
      <c r="Q25" s="275" t="s">
        <v>64</v>
      </c>
      <c r="R25" s="131" t="s">
        <v>2159</v>
      </c>
      <c r="S25" s="131"/>
      <c r="T25" s="276"/>
      <c r="U25" s="277"/>
      <c r="V25" s="277"/>
      <c r="W25" s="277"/>
      <c r="X25" s="277"/>
      <c r="Y25" s="277"/>
      <c r="Z25" t="e">
        <f>VLOOKUP(A25,#REF!,9,FALSE)</f>
        <v>#REF!</v>
      </c>
    </row>
    <row r="26" spans="1:26" ht="15.75" thickBot="1">
      <c r="A26" s="275" t="s">
        <v>851</v>
      </c>
      <c r="B26" s="102" t="s">
        <v>50</v>
      </c>
      <c r="C26" s="215">
        <v>45772</v>
      </c>
      <c r="D26" s="282"/>
      <c r="E26" s="269" t="s">
        <v>2122</v>
      </c>
      <c r="F26" s="282"/>
      <c r="G26" s="283" t="s">
        <v>2120</v>
      </c>
      <c r="H26" s="230"/>
      <c r="I26" s="230"/>
      <c r="J26" s="45"/>
      <c r="K26" s="204"/>
      <c r="L26" s="204"/>
      <c r="M26" s="204"/>
      <c r="N26" s="284"/>
      <c r="O26" s="285"/>
      <c r="P26" s="274" t="s">
        <v>2134</v>
      </c>
      <c r="Q26" s="275" t="s">
        <v>64</v>
      </c>
      <c r="R26" s="131" t="s">
        <v>2159</v>
      </c>
      <c r="S26" s="131"/>
      <c r="T26" s="276"/>
      <c r="U26" s="277"/>
      <c r="V26" s="277"/>
      <c r="W26" s="277"/>
      <c r="X26" s="277"/>
      <c r="Y26" s="277"/>
      <c r="Z26" t="e">
        <f>VLOOKUP(A26,#REF!,9,FALSE)</f>
        <v>#REF!</v>
      </c>
    </row>
    <row r="27" spans="1:26" ht="15.75" thickBot="1">
      <c r="A27" s="275" t="s">
        <v>1025</v>
      </c>
      <c r="B27" s="102" t="s">
        <v>50</v>
      </c>
      <c r="C27" s="215">
        <v>45772</v>
      </c>
      <c r="D27" s="282"/>
      <c r="E27" s="269" t="s">
        <v>2122</v>
      </c>
      <c r="F27" s="282"/>
      <c r="G27" s="283" t="s">
        <v>2120</v>
      </c>
      <c r="H27" s="230"/>
      <c r="I27" s="230"/>
      <c r="J27" s="45"/>
      <c r="K27" s="204"/>
      <c r="L27" s="204"/>
      <c r="M27" s="204"/>
      <c r="N27" s="284"/>
      <c r="O27" s="285"/>
      <c r="P27" s="274" t="s">
        <v>2134</v>
      </c>
      <c r="Q27" s="275" t="s">
        <v>64</v>
      </c>
      <c r="R27" s="131" t="s">
        <v>2159</v>
      </c>
      <c r="S27" s="131"/>
      <c r="T27" s="276"/>
      <c r="U27" s="277"/>
      <c r="V27" s="277"/>
      <c r="W27" s="277"/>
      <c r="X27" s="277"/>
      <c r="Y27" s="277"/>
      <c r="Z27" t="e">
        <f>VLOOKUP(A27,#REF!,9,FALSE)</f>
        <v>#REF!</v>
      </c>
    </row>
    <row r="28" spans="1:26" ht="70.150000000000006" customHeight="1" thickBot="1">
      <c r="A28" s="225" t="s">
        <v>2136</v>
      </c>
      <c r="B28" s="232"/>
      <c r="C28" s="231"/>
      <c r="D28" s="282"/>
      <c r="E28" s="269" t="s">
        <v>2122</v>
      </c>
      <c r="F28" s="282"/>
      <c r="G28" s="283" t="s">
        <v>2120</v>
      </c>
      <c r="H28" s="230"/>
      <c r="I28" s="230"/>
      <c r="J28" s="230"/>
      <c r="K28" s="229"/>
      <c r="L28" s="229"/>
      <c r="M28" s="229"/>
      <c r="N28" s="284"/>
      <c r="O28" s="285"/>
      <c r="P28" s="274" t="s">
        <v>2134</v>
      </c>
      <c r="Q28" s="225" t="s">
        <v>64</v>
      </c>
      <c r="R28" s="131" t="s">
        <v>2159</v>
      </c>
      <c r="S28" s="228"/>
      <c r="T28" s="227"/>
      <c r="U28" s="226"/>
      <c r="V28" s="226"/>
      <c r="W28" s="226"/>
      <c r="X28" s="226"/>
      <c r="Y28" s="288" t="s">
        <v>2166</v>
      </c>
      <c r="Z28" t="e">
        <f>VLOOKUP(A28,#REF!,9,FALSE)</f>
        <v>#REF!</v>
      </c>
    </row>
    <row r="29" spans="1:26" s="214" customFormat="1" ht="69.599999999999994" customHeight="1" thickBot="1">
      <c r="A29" s="225" t="s">
        <v>2139</v>
      </c>
      <c r="B29" s="232" t="e">
        <v>#N/A</v>
      </c>
      <c r="C29" s="231" t="e">
        <v>#N/A</v>
      </c>
      <c r="D29" s="282"/>
      <c r="E29" s="269" t="s">
        <v>2122</v>
      </c>
      <c r="F29" s="282"/>
      <c r="G29" s="283" t="s">
        <v>2120</v>
      </c>
      <c r="H29" s="230"/>
      <c r="I29" s="230"/>
      <c r="J29" s="230"/>
      <c r="K29" s="229"/>
      <c r="L29" s="229"/>
      <c r="M29" s="229"/>
      <c r="N29" s="284"/>
      <c r="O29" s="285"/>
      <c r="P29" s="274"/>
      <c r="Q29" s="220" t="s">
        <v>64</v>
      </c>
      <c r="R29" s="131" t="s">
        <v>2159</v>
      </c>
      <c r="S29" s="228"/>
      <c r="T29" s="227"/>
      <c r="U29" s="226"/>
      <c r="V29" s="226"/>
      <c r="W29" s="226"/>
      <c r="X29" s="226"/>
      <c r="Y29" s="226" t="s">
        <v>2166</v>
      </c>
      <c r="Z29" t="e">
        <f>VLOOKUP(A29,#REF!,9,FALSE)</f>
        <v>#REF!</v>
      </c>
    </row>
    <row r="30" spans="1:26" ht="15.75" thickBot="1">
      <c r="A30" s="275" t="s">
        <v>879</v>
      </c>
      <c r="B30" s="102" t="s">
        <v>50</v>
      </c>
      <c r="C30" s="215">
        <v>45772</v>
      </c>
      <c r="D30" s="282"/>
      <c r="E30" s="269" t="s">
        <v>2122</v>
      </c>
      <c r="F30" s="282"/>
      <c r="G30" s="283" t="s">
        <v>2141</v>
      </c>
      <c r="H30" s="230"/>
      <c r="I30" s="230"/>
      <c r="J30" s="45"/>
      <c r="K30" s="204"/>
      <c r="L30" s="204"/>
      <c r="M30" s="204"/>
      <c r="N30" s="284"/>
      <c r="O30" s="285"/>
      <c r="P30" s="274"/>
      <c r="Q30" s="275" t="s">
        <v>2141</v>
      </c>
      <c r="R30" s="131" t="s">
        <v>2159</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2122</v>
      </c>
      <c r="F31" s="289"/>
      <c r="G31" s="290" t="s">
        <v>2141</v>
      </c>
      <c r="H31" s="222"/>
      <c r="I31" s="222"/>
      <c r="J31" s="236"/>
      <c r="K31" s="237"/>
      <c r="L31" s="237"/>
      <c r="M31" s="237"/>
      <c r="N31" s="222"/>
      <c r="O31" s="291"/>
      <c r="P31" s="274"/>
      <c r="Q31" s="233" t="s">
        <v>2141</v>
      </c>
      <c r="R31" s="131" t="s">
        <v>2159</v>
      </c>
      <c r="S31" s="238"/>
      <c r="T31" s="239"/>
      <c r="U31" s="240"/>
      <c r="V31" s="240"/>
      <c r="W31" s="240"/>
      <c r="X31" s="240"/>
      <c r="Y31" s="240" t="s">
        <v>2167</v>
      </c>
      <c r="Z31" t="e">
        <f>VLOOKUP(A31,#REF!,9,FALSE)</f>
        <v>#REF!</v>
      </c>
    </row>
    <row r="32" spans="1:26" ht="15.75" thickBot="1">
      <c r="A32" s="275" t="s">
        <v>883</v>
      </c>
      <c r="B32" s="102" t="s">
        <v>50</v>
      </c>
      <c r="C32" s="215">
        <v>45772</v>
      </c>
      <c r="D32" s="282"/>
      <c r="E32" s="269" t="s">
        <v>2122</v>
      </c>
      <c r="F32" s="282"/>
      <c r="G32" s="283" t="s">
        <v>2141</v>
      </c>
      <c r="H32" s="230"/>
      <c r="I32" s="230"/>
      <c r="J32" s="45"/>
      <c r="K32" s="204"/>
      <c r="L32" s="204"/>
      <c r="M32" s="204"/>
      <c r="N32" s="284"/>
      <c r="O32" s="285"/>
      <c r="P32" s="274"/>
      <c r="Q32" s="275" t="s">
        <v>2141</v>
      </c>
      <c r="R32" s="131" t="s">
        <v>2159</v>
      </c>
      <c r="S32" s="131"/>
      <c r="T32" s="276"/>
      <c r="U32" s="277"/>
      <c r="V32" s="277"/>
      <c r="W32" s="277"/>
      <c r="X32" s="277"/>
      <c r="Y32" s="277"/>
      <c r="Z32" t="e">
        <f>VLOOKUP(A32,#REF!,9,FALSE)</f>
        <v>#REF!</v>
      </c>
    </row>
    <row r="33" spans="1:26" ht="15.75" thickBot="1">
      <c r="A33" s="275" t="s">
        <v>871</v>
      </c>
      <c r="B33" s="102" t="s">
        <v>50</v>
      </c>
      <c r="C33" s="215">
        <v>45831</v>
      </c>
      <c r="D33" s="282"/>
      <c r="E33" s="269" t="s">
        <v>2122</v>
      </c>
      <c r="F33" s="282"/>
      <c r="G33" s="283" t="s">
        <v>2120</v>
      </c>
      <c r="H33" s="230"/>
      <c r="I33" s="230"/>
      <c r="J33" s="45"/>
      <c r="K33" s="204"/>
      <c r="L33" s="204"/>
      <c r="M33" s="204"/>
      <c r="N33" s="284"/>
      <c r="O33" s="285"/>
      <c r="P33" s="274"/>
      <c r="Q33" s="225" t="s">
        <v>64</v>
      </c>
      <c r="R33" s="131" t="s">
        <v>2159</v>
      </c>
      <c r="S33" s="131"/>
      <c r="T33" s="276"/>
      <c r="U33" s="277"/>
      <c r="V33" s="277"/>
      <c r="W33" s="277"/>
      <c r="X33" s="277"/>
      <c r="Y33" s="277"/>
      <c r="Z33" t="e">
        <f>VLOOKUP(A33,#REF!,9,FALSE)</f>
        <v>#REF!</v>
      </c>
    </row>
    <row r="34" spans="1:26" ht="15.75" thickBot="1">
      <c r="A34" s="275" t="s">
        <v>865</v>
      </c>
      <c r="B34" s="102" t="s">
        <v>50</v>
      </c>
      <c r="C34" s="215">
        <v>45831</v>
      </c>
      <c r="D34" s="282"/>
      <c r="E34" s="269" t="s">
        <v>2122</v>
      </c>
      <c r="F34" s="282"/>
      <c r="G34" s="283" t="s">
        <v>2120</v>
      </c>
      <c r="H34" s="230"/>
      <c r="I34" s="230"/>
      <c r="J34" s="45"/>
      <c r="K34" s="204"/>
      <c r="L34" s="204"/>
      <c r="M34" s="204"/>
      <c r="N34" s="284"/>
      <c r="O34" s="285"/>
      <c r="P34" s="274"/>
      <c r="Q34" s="275" t="s">
        <v>64</v>
      </c>
      <c r="R34" s="131" t="s">
        <v>2159</v>
      </c>
      <c r="S34" s="131"/>
      <c r="T34" s="276"/>
      <c r="U34" s="277"/>
      <c r="V34" s="277"/>
      <c r="W34" s="277"/>
      <c r="X34" s="277"/>
      <c r="Y34" s="277"/>
      <c r="Z34" t="e">
        <f>VLOOKUP(A34,#REF!,9,FALSE)</f>
        <v>#REF!</v>
      </c>
    </row>
    <row r="35" spans="1:26" ht="15.75" thickBot="1">
      <c r="A35" s="275" t="s">
        <v>867</v>
      </c>
      <c r="B35" s="102" t="s">
        <v>50</v>
      </c>
      <c r="C35" s="215">
        <v>45831</v>
      </c>
      <c r="D35" s="282"/>
      <c r="E35" s="269" t="s">
        <v>2122</v>
      </c>
      <c r="F35" s="282"/>
      <c r="G35" s="283" t="s">
        <v>2120</v>
      </c>
      <c r="H35" s="230"/>
      <c r="I35" s="230"/>
      <c r="J35" s="45"/>
      <c r="K35" s="204"/>
      <c r="L35" s="204"/>
      <c r="M35" s="204"/>
      <c r="N35" s="284"/>
      <c r="O35" s="285"/>
      <c r="P35" s="274"/>
      <c r="Q35" s="275" t="s">
        <v>64</v>
      </c>
      <c r="R35" s="131" t="s">
        <v>2159</v>
      </c>
      <c r="S35" s="131"/>
      <c r="T35" s="276"/>
      <c r="U35" s="277"/>
      <c r="V35" s="277"/>
      <c r="W35" s="277"/>
      <c r="X35" s="277"/>
      <c r="Y35" s="277"/>
      <c r="Z35" t="e">
        <f>VLOOKUP(A35,#REF!,9,FALSE)</f>
        <v>#REF!</v>
      </c>
    </row>
    <row r="36" spans="1:26" ht="15.75" thickBot="1">
      <c r="A36" s="275" t="s">
        <v>863</v>
      </c>
      <c r="B36" s="102" t="s">
        <v>50</v>
      </c>
      <c r="C36" s="215">
        <v>45772</v>
      </c>
      <c r="D36" s="282"/>
      <c r="E36" s="269" t="s">
        <v>2122</v>
      </c>
      <c r="F36" s="282"/>
      <c r="G36" s="283" t="s">
        <v>2141</v>
      </c>
      <c r="H36" s="230"/>
      <c r="I36" s="230"/>
      <c r="J36" s="45"/>
      <c r="K36" s="204"/>
      <c r="L36" s="204"/>
      <c r="M36" s="204"/>
      <c r="N36" s="284"/>
      <c r="O36" s="285"/>
      <c r="P36" s="274"/>
      <c r="Q36" s="275" t="s">
        <v>2141</v>
      </c>
      <c r="R36" s="131" t="s">
        <v>2159</v>
      </c>
      <c r="S36" s="131"/>
      <c r="T36" s="276"/>
      <c r="U36" s="277"/>
      <c r="V36" s="277"/>
      <c r="W36" s="277"/>
      <c r="X36" s="277"/>
      <c r="Y36" s="277"/>
      <c r="Z36" t="e">
        <f>VLOOKUP(A36,#REF!,9,FALSE)</f>
        <v>#REF!</v>
      </c>
    </row>
    <row r="37" spans="1:26" ht="15.75" thickBot="1">
      <c r="A37" s="275" t="s">
        <v>873</v>
      </c>
      <c r="B37" s="102" t="s">
        <v>50</v>
      </c>
      <c r="C37" s="215">
        <v>45831</v>
      </c>
      <c r="D37" s="282"/>
      <c r="E37" s="269" t="s">
        <v>2122</v>
      </c>
      <c r="F37" s="282"/>
      <c r="G37" s="283" t="s">
        <v>2120</v>
      </c>
      <c r="H37" s="230"/>
      <c r="I37" s="230"/>
      <c r="J37" s="45"/>
      <c r="K37" s="204"/>
      <c r="L37" s="204"/>
      <c r="M37" s="204"/>
      <c r="N37" s="284"/>
      <c r="O37" s="285"/>
      <c r="P37" s="274"/>
      <c r="Q37" s="275" t="s">
        <v>64</v>
      </c>
      <c r="R37" s="131" t="s">
        <v>2159</v>
      </c>
      <c r="S37" s="131"/>
      <c r="T37" s="276"/>
      <c r="U37" s="277"/>
      <c r="V37" s="277"/>
      <c r="W37" s="277"/>
      <c r="X37" s="277"/>
      <c r="Y37" s="277"/>
      <c r="Z37" t="e">
        <f>VLOOKUP(A37,#REF!,9,FALSE)</f>
        <v>#REF!</v>
      </c>
    </row>
    <row r="38" spans="1:26" ht="15.75" thickBot="1">
      <c r="A38" s="275" t="s">
        <v>877</v>
      </c>
      <c r="B38" s="102" t="s">
        <v>50</v>
      </c>
      <c r="C38" s="215">
        <v>45831</v>
      </c>
      <c r="D38" s="282"/>
      <c r="E38" s="269" t="s">
        <v>2122</v>
      </c>
      <c r="F38" s="282"/>
      <c r="G38" s="283" t="s">
        <v>2120</v>
      </c>
      <c r="H38" s="230"/>
      <c r="I38" s="230"/>
      <c r="J38" s="45"/>
      <c r="K38" s="204"/>
      <c r="L38" s="204"/>
      <c r="M38" s="204"/>
      <c r="N38" s="284"/>
      <c r="O38" s="285"/>
      <c r="P38" s="274"/>
      <c r="Q38" s="275" t="s">
        <v>64</v>
      </c>
      <c r="R38" s="131" t="s">
        <v>2159</v>
      </c>
      <c r="S38" s="131"/>
      <c r="T38" s="276"/>
      <c r="U38" s="277"/>
      <c r="V38" s="277"/>
      <c r="W38" s="277"/>
      <c r="X38" s="277"/>
      <c r="Y38" s="277"/>
      <c r="Z38" t="e">
        <f>VLOOKUP(A38,#REF!,9,FALSE)</f>
        <v>#REF!</v>
      </c>
    </row>
    <row r="39" spans="1:26" s="216" customFormat="1" ht="70.150000000000006" customHeight="1" thickBot="1">
      <c r="A39" s="220" t="s">
        <v>2142</v>
      </c>
      <c r="B39" s="224" t="e">
        <v>#N/A</v>
      </c>
      <c r="C39" s="223" t="e">
        <v>#N/A</v>
      </c>
      <c r="D39" s="289"/>
      <c r="E39" s="269" t="s">
        <v>2122</v>
      </c>
      <c r="F39" s="289"/>
      <c r="G39" s="290" t="s">
        <v>2141</v>
      </c>
      <c r="H39" s="222"/>
      <c r="I39" s="222"/>
      <c r="J39" s="222"/>
      <c r="K39" s="221"/>
      <c r="L39" s="221"/>
      <c r="M39" s="221"/>
      <c r="N39" s="222"/>
      <c r="O39" s="291"/>
      <c r="P39" s="274"/>
      <c r="Q39" s="220" t="s">
        <v>2141</v>
      </c>
      <c r="R39" s="131" t="s">
        <v>2159</v>
      </c>
      <c r="S39" s="219"/>
      <c r="T39" s="218"/>
      <c r="U39" s="217"/>
      <c r="V39" s="217"/>
      <c r="W39" s="217"/>
      <c r="X39" s="217"/>
      <c r="Y39" s="217" t="s">
        <v>2166</v>
      </c>
      <c r="Z39" t="e">
        <f>VLOOKUP(A39,#REF!,9,FALSE)</f>
        <v>#REF!</v>
      </c>
    </row>
    <row r="40" spans="1:26" ht="15.75" thickBot="1">
      <c r="A40" s="275" t="s">
        <v>881</v>
      </c>
      <c r="B40" s="102" t="s">
        <v>50</v>
      </c>
      <c r="C40" s="215">
        <v>45831</v>
      </c>
      <c r="D40" s="282"/>
      <c r="E40" s="269" t="s">
        <v>2122</v>
      </c>
      <c r="F40" s="282"/>
      <c r="G40" s="283" t="s">
        <v>2120</v>
      </c>
      <c r="H40" s="230"/>
      <c r="I40" s="230"/>
      <c r="J40" s="45"/>
      <c r="K40" s="204"/>
      <c r="L40" s="204"/>
      <c r="M40" s="204"/>
      <c r="N40" s="284"/>
      <c r="O40" s="285"/>
      <c r="P40" s="274"/>
      <c r="Q40" s="275" t="s">
        <v>64</v>
      </c>
      <c r="R40" s="131" t="s">
        <v>2159</v>
      </c>
      <c r="S40" s="131"/>
      <c r="T40" s="276"/>
      <c r="U40" s="277"/>
      <c r="V40" s="277"/>
      <c r="W40" s="277"/>
      <c r="X40" s="277"/>
      <c r="Y40" s="277"/>
      <c r="Z40" t="e">
        <f>VLOOKUP(A40,#REF!,9,FALSE)</f>
        <v>#REF!</v>
      </c>
    </row>
    <row r="41" spans="1:26" ht="15.75" thickBot="1">
      <c r="A41" s="275" t="s">
        <v>87</v>
      </c>
      <c r="B41" s="102" t="s">
        <v>50</v>
      </c>
      <c r="C41" s="215">
        <v>45807</v>
      </c>
      <c r="D41" s="282"/>
      <c r="E41" s="269" t="s">
        <v>2157</v>
      </c>
      <c r="F41" s="282"/>
      <c r="G41" s="283" t="s">
        <v>2120</v>
      </c>
      <c r="H41" s="230"/>
      <c r="I41" s="230"/>
      <c r="J41" s="45"/>
      <c r="K41" s="204"/>
      <c r="L41" s="204"/>
      <c r="M41" s="204"/>
      <c r="N41" s="284"/>
      <c r="O41" s="285"/>
      <c r="P41" s="274" t="s">
        <v>2158</v>
      </c>
      <c r="Q41" s="275" t="s">
        <v>58</v>
      </c>
      <c r="R41" s="131" t="s">
        <v>2159</v>
      </c>
      <c r="S41" s="131"/>
      <c r="T41" s="276"/>
      <c r="U41" s="277"/>
      <c r="V41" s="277"/>
      <c r="W41" s="277"/>
      <c r="X41" s="277"/>
      <c r="Y41" s="277"/>
      <c r="Z41" t="e">
        <f>VLOOKUP(A41,#REF!,9,FALSE)</f>
        <v>#REF!</v>
      </c>
    </row>
    <row r="42" spans="1:26" ht="15.75" thickBot="1">
      <c r="A42" s="275" t="s">
        <v>83</v>
      </c>
      <c r="B42" s="102" t="s">
        <v>50</v>
      </c>
      <c r="C42" s="215">
        <v>45807</v>
      </c>
      <c r="D42" s="282"/>
      <c r="E42" s="269" t="s">
        <v>2157</v>
      </c>
      <c r="F42" s="282"/>
      <c r="G42" s="283" t="s">
        <v>2120</v>
      </c>
      <c r="H42" s="230"/>
      <c r="I42" s="230"/>
      <c r="J42" s="45"/>
      <c r="K42" s="204"/>
      <c r="L42" s="204"/>
      <c r="M42" s="204"/>
      <c r="N42" s="284"/>
      <c r="O42" s="285"/>
      <c r="P42" s="274" t="s">
        <v>2158</v>
      </c>
      <c r="Q42" s="275" t="s">
        <v>64</v>
      </c>
      <c r="R42" s="131" t="s">
        <v>2159</v>
      </c>
      <c r="S42" s="131"/>
      <c r="T42" s="276"/>
      <c r="U42" s="277"/>
      <c r="V42" s="277"/>
      <c r="W42" s="277"/>
      <c r="X42" s="277"/>
      <c r="Y42" s="277"/>
      <c r="Z42" t="e">
        <f>VLOOKUP(A42,#REF!,9,FALSE)</f>
        <v>#REF!</v>
      </c>
    </row>
    <row r="43" spans="1:26" ht="15.75" thickBot="1">
      <c r="A43" s="275" t="s">
        <v>518</v>
      </c>
      <c r="B43" s="102" t="s">
        <v>50</v>
      </c>
      <c r="C43" s="215">
        <v>45807</v>
      </c>
      <c r="D43" s="282"/>
      <c r="E43" s="269" t="s">
        <v>2157</v>
      </c>
      <c r="F43" s="282"/>
      <c r="G43" s="283" t="s">
        <v>2120</v>
      </c>
      <c r="H43" s="230"/>
      <c r="I43" s="230"/>
      <c r="J43" s="45"/>
      <c r="K43" s="204"/>
      <c r="L43" s="204"/>
      <c r="M43" s="204"/>
      <c r="N43" s="284"/>
      <c r="O43" s="285"/>
      <c r="P43" s="274" t="s">
        <v>2158</v>
      </c>
      <c r="Q43" s="275" t="s">
        <v>58</v>
      </c>
      <c r="R43" s="131" t="s">
        <v>2159</v>
      </c>
      <c r="S43" s="131"/>
      <c r="T43" s="276"/>
      <c r="U43" s="277"/>
      <c r="V43" s="277"/>
      <c r="W43" s="277"/>
      <c r="X43" s="277"/>
      <c r="Y43" s="277"/>
      <c r="Z43" t="e">
        <f>VLOOKUP(A43,#REF!,9,FALSE)</f>
        <v>#REF!</v>
      </c>
    </row>
    <row r="44" spans="1:26" ht="15.75" thickBot="1">
      <c r="A44" s="275" t="s">
        <v>80</v>
      </c>
      <c r="B44" s="102" t="s">
        <v>50</v>
      </c>
      <c r="C44" s="215">
        <v>45807</v>
      </c>
      <c r="D44" s="282"/>
      <c r="E44" s="269" t="s">
        <v>2157</v>
      </c>
      <c r="F44" s="282"/>
      <c r="G44" s="283" t="s">
        <v>2120</v>
      </c>
      <c r="H44" s="230"/>
      <c r="I44" s="230"/>
      <c r="J44" s="45"/>
      <c r="K44" s="204"/>
      <c r="L44" s="204"/>
      <c r="M44" s="204"/>
      <c r="N44" s="284"/>
      <c r="O44" s="285"/>
      <c r="P44" s="274" t="s">
        <v>2128</v>
      </c>
      <c r="Q44" s="275" t="s">
        <v>64</v>
      </c>
      <c r="R44" s="131" t="s">
        <v>2159</v>
      </c>
      <c r="S44" s="131"/>
      <c r="T44" s="276"/>
      <c r="U44" s="277"/>
      <c r="V44" s="277"/>
      <c r="W44" s="277"/>
      <c r="X44" s="277"/>
      <c r="Y44" s="277"/>
      <c r="Z44" t="e">
        <f>VLOOKUP(A44,#REF!,9,FALSE)</f>
        <v>#REF!</v>
      </c>
    </row>
    <row r="45" spans="1:26" ht="15.75" thickBot="1">
      <c r="A45" s="335" t="s">
        <v>684</v>
      </c>
      <c r="B45" s="102" t="s">
        <v>50</v>
      </c>
      <c r="C45" s="215">
        <v>45807</v>
      </c>
      <c r="D45" s="282"/>
      <c r="E45" s="269" t="s">
        <v>2122</v>
      </c>
      <c r="F45" s="282"/>
      <c r="G45" s="283" t="s">
        <v>2120</v>
      </c>
      <c r="H45" s="230"/>
      <c r="I45" s="230"/>
      <c r="J45" s="45"/>
      <c r="K45" s="204"/>
      <c r="L45" s="204"/>
      <c r="M45" s="204"/>
      <c r="N45" s="284"/>
      <c r="O45" s="285"/>
      <c r="P45" s="274"/>
      <c r="Q45" s="275" t="s">
        <v>58</v>
      </c>
      <c r="R45" s="131" t="s">
        <v>2159</v>
      </c>
      <c r="S45" s="131"/>
      <c r="T45" s="276"/>
      <c r="U45" s="277"/>
      <c r="V45" s="277"/>
      <c r="W45" s="277"/>
      <c r="X45" s="277"/>
      <c r="Y45" s="277"/>
      <c r="Z45" t="e">
        <f>VLOOKUP(A45,#REF!,9,FALSE)</f>
        <v>#REF!</v>
      </c>
    </row>
    <row r="46" spans="1:26" ht="15.75" thickBot="1">
      <c r="A46" s="292" t="s">
        <v>686</v>
      </c>
      <c r="B46" s="102" t="s">
        <v>50</v>
      </c>
      <c r="C46" s="215">
        <v>45807</v>
      </c>
      <c r="D46" s="282"/>
      <c r="E46" s="269" t="s">
        <v>2122</v>
      </c>
      <c r="F46" s="282"/>
      <c r="G46" s="290" t="s">
        <v>2120</v>
      </c>
      <c r="H46" s="230"/>
      <c r="I46" s="230"/>
      <c r="J46" s="45"/>
      <c r="K46" s="204"/>
      <c r="L46" s="204"/>
      <c r="M46" s="204"/>
      <c r="N46" s="284"/>
      <c r="O46" s="285"/>
      <c r="P46" s="274"/>
      <c r="Q46" s="275" t="s">
        <v>58</v>
      </c>
      <c r="R46" s="131" t="s">
        <v>2159</v>
      </c>
      <c r="S46" s="131"/>
      <c r="T46" s="276"/>
      <c r="U46" s="277"/>
      <c r="V46" s="277"/>
      <c r="W46" s="277"/>
      <c r="X46" s="277"/>
      <c r="Y46" s="277"/>
      <c r="Z46" t="e">
        <f>VLOOKUP(A46,#REF!,9,FALSE)</f>
        <v>#REF!</v>
      </c>
    </row>
    <row r="47" spans="1:26" ht="15.75" thickBot="1">
      <c r="A47" s="293" t="s">
        <v>170</v>
      </c>
      <c r="B47" s="102" t="s">
        <v>50</v>
      </c>
      <c r="C47" s="215">
        <v>45807</v>
      </c>
      <c r="D47" s="282"/>
      <c r="E47" s="269" t="s">
        <v>2122</v>
      </c>
      <c r="F47" s="282"/>
      <c r="G47" s="283" t="s">
        <v>2120</v>
      </c>
      <c r="H47" s="230"/>
      <c r="I47" s="230"/>
      <c r="J47" s="45"/>
      <c r="K47" s="204"/>
      <c r="L47" s="204"/>
      <c r="M47" s="204"/>
      <c r="N47" s="284"/>
      <c r="O47" s="285"/>
      <c r="P47" s="274" t="s">
        <v>2131</v>
      </c>
      <c r="Q47" s="275" t="s">
        <v>58</v>
      </c>
      <c r="R47" s="131" t="s">
        <v>2162</v>
      </c>
      <c r="S47" s="131"/>
      <c r="T47" s="276"/>
      <c r="U47" s="277"/>
      <c r="V47" s="277"/>
      <c r="W47" s="277"/>
      <c r="X47" s="277"/>
      <c r="Y47" s="277"/>
      <c r="Z47" t="e">
        <f>VLOOKUP(A47,#REF!,9,FALSE)</f>
        <v>#REF!</v>
      </c>
    </row>
    <row r="48" spans="1:26" ht="15.75" thickBot="1">
      <c r="A48" s="292" t="s">
        <v>735</v>
      </c>
      <c r="B48" s="102" t="s">
        <v>50</v>
      </c>
      <c r="C48" s="215">
        <v>45807</v>
      </c>
      <c r="D48" s="282"/>
      <c r="E48" s="269" t="s">
        <v>2122</v>
      </c>
      <c r="F48" s="282"/>
      <c r="G48" s="290" t="s">
        <v>2141</v>
      </c>
      <c r="H48" s="230"/>
      <c r="I48" s="230"/>
      <c r="J48" s="45"/>
      <c r="K48" s="204"/>
      <c r="L48" s="204"/>
      <c r="M48" s="204"/>
      <c r="N48" s="284"/>
      <c r="O48" s="285"/>
      <c r="P48" s="274" t="s">
        <v>2168</v>
      </c>
      <c r="Q48" s="275" t="s">
        <v>2141</v>
      </c>
      <c r="R48" s="131" t="s">
        <v>2159</v>
      </c>
      <c r="S48" s="131"/>
      <c r="T48" s="276"/>
      <c r="U48" s="277"/>
      <c r="V48" s="277"/>
      <c r="W48" s="277"/>
      <c r="X48" s="277"/>
      <c r="Y48" s="277"/>
      <c r="Z48" t="e">
        <f>VLOOKUP(A48,#REF!,9,FALSE)</f>
        <v>#REF!</v>
      </c>
    </row>
    <row r="49" spans="1:26" ht="15.75" thickBot="1">
      <c r="A49" s="292" t="s">
        <v>729</v>
      </c>
      <c r="B49" s="102" t="s">
        <v>107</v>
      </c>
      <c r="C49" s="215">
        <v>45772</v>
      </c>
      <c r="D49" s="282"/>
      <c r="E49" s="269" t="s">
        <v>2122</v>
      </c>
      <c r="F49" s="282"/>
      <c r="G49" s="290" t="s">
        <v>2141</v>
      </c>
      <c r="H49" s="230"/>
      <c r="I49" s="230"/>
      <c r="J49" s="45"/>
      <c r="K49" s="204"/>
      <c r="L49" s="204"/>
      <c r="M49" s="204"/>
      <c r="N49" s="284"/>
      <c r="O49" s="285"/>
      <c r="P49" s="274" t="s">
        <v>2168</v>
      </c>
      <c r="Q49" s="275" t="s">
        <v>2141</v>
      </c>
      <c r="R49" s="131" t="s">
        <v>2159</v>
      </c>
      <c r="S49" s="131"/>
      <c r="T49" s="276"/>
      <c r="U49" s="277"/>
      <c r="V49" s="277"/>
      <c r="W49" s="277"/>
      <c r="X49" s="277"/>
      <c r="Y49" s="277"/>
      <c r="Z49" t="e">
        <f>VLOOKUP(A49,#REF!,9,FALSE)</f>
        <v>#REF!</v>
      </c>
    </row>
    <row r="50" spans="1:26" ht="15.75" thickBot="1">
      <c r="A50" s="292" t="s">
        <v>727</v>
      </c>
      <c r="B50" s="102" t="s">
        <v>107</v>
      </c>
      <c r="C50" s="215">
        <v>45772</v>
      </c>
      <c r="D50" s="282"/>
      <c r="E50" s="269" t="s">
        <v>2122</v>
      </c>
      <c r="F50" s="282"/>
      <c r="G50" s="290" t="s">
        <v>2141</v>
      </c>
      <c r="H50" s="230"/>
      <c r="I50" s="230"/>
      <c r="J50" s="45"/>
      <c r="K50" s="204"/>
      <c r="L50" s="204"/>
      <c r="M50" s="204"/>
      <c r="N50" s="284"/>
      <c r="O50" s="285"/>
      <c r="P50" s="274" t="s">
        <v>2168</v>
      </c>
      <c r="Q50" s="275" t="s">
        <v>2141</v>
      </c>
      <c r="R50" s="131" t="s">
        <v>2159</v>
      </c>
      <c r="S50" s="131"/>
      <c r="T50" s="276"/>
      <c r="U50" s="277"/>
      <c r="V50" s="277"/>
      <c r="W50" s="277"/>
      <c r="X50" s="277"/>
      <c r="Y50" s="277"/>
      <c r="Z50" t="e">
        <f>VLOOKUP(A50,#REF!,9,FALSE)</f>
        <v>#REF!</v>
      </c>
    </row>
    <row r="51" spans="1:26" ht="15.75" thickBot="1">
      <c r="A51" s="292" t="s">
        <v>733</v>
      </c>
      <c r="B51" s="102" t="e">
        <v>#N/A</v>
      </c>
      <c r="C51" s="215" t="e">
        <v>#N/A</v>
      </c>
      <c r="D51" s="282"/>
      <c r="E51" s="269" t="s">
        <v>2122</v>
      </c>
      <c r="F51" s="282"/>
      <c r="G51" s="290" t="s">
        <v>2141</v>
      </c>
      <c r="H51" s="230"/>
      <c r="I51" s="230"/>
      <c r="J51" s="45"/>
      <c r="K51" s="204"/>
      <c r="L51" s="204"/>
      <c r="M51" s="204"/>
      <c r="N51" s="284"/>
      <c r="O51" s="285"/>
      <c r="P51" s="274" t="s">
        <v>2168</v>
      </c>
      <c r="Q51" s="275" t="s">
        <v>2141</v>
      </c>
      <c r="R51" s="131" t="s">
        <v>2159</v>
      </c>
      <c r="S51" s="131"/>
      <c r="T51" s="276"/>
      <c r="U51" s="277"/>
      <c r="V51" s="277"/>
      <c r="W51" s="277"/>
      <c r="X51" s="277"/>
      <c r="Y51" s="277"/>
      <c r="Z51" t="e">
        <f>VLOOKUP(A51,#REF!,9,FALSE)</f>
        <v>#REF!</v>
      </c>
    </row>
    <row r="52" spans="1:26" ht="13.9" customHeight="1" thickBot="1">
      <c r="A52" s="292" t="s">
        <v>709</v>
      </c>
      <c r="B52" s="102" t="s">
        <v>107</v>
      </c>
      <c r="C52" s="215">
        <v>45925</v>
      </c>
      <c r="D52" s="282"/>
      <c r="E52" s="269" t="s">
        <v>2157</v>
      </c>
      <c r="F52" s="282"/>
      <c r="G52" s="283" t="s">
        <v>2120</v>
      </c>
      <c r="H52" s="230"/>
      <c r="I52" s="230"/>
      <c r="J52" s="45"/>
      <c r="K52" s="204"/>
      <c r="L52" s="204"/>
      <c r="M52" s="204"/>
      <c r="N52" s="284"/>
      <c r="O52" s="285"/>
      <c r="P52" s="274" t="s">
        <v>2158</v>
      </c>
      <c r="Q52" s="275" t="s">
        <v>64</v>
      </c>
      <c r="R52" s="131" t="s">
        <v>2159</v>
      </c>
      <c r="S52" s="131"/>
      <c r="T52" s="276"/>
      <c r="U52" s="277"/>
      <c r="V52" s="277"/>
      <c r="W52" s="277"/>
      <c r="X52" s="277"/>
      <c r="Y52" s="277"/>
      <c r="Z52" t="e">
        <f>VLOOKUP(A52,#REF!,9,FALSE)</f>
        <v>#REF!</v>
      </c>
    </row>
    <row r="53" spans="1:26" ht="15.75" thickBot="1">
      <c r="A53" s="292" t="s">
        <v>711</v>
      </c>
      <c r="B53" s="102" t="s">
        <v>107</v>
      </c>
      <c r="C53" s="215">
        <v>45925</v>
      </c>
      <c r="D53" s="282"/>
      <c r="E53" s="269" t="s">
        <v>2157</v>
      </c>
      <c r="F53" s="282"/>
      <c r="G53" s="283" t="s">
        <v>2120</v>
      </c>
      <c r="H53" s="230"/>
      <c r="I53" s="230"/>
      <c r="J53" s="45"/>
      <c r="K53" s="204"/>
      <c r="L53" s="204"/>
      <c r="M53" s="204"/>
      <c r="N53" s="284"/>
      <c r="O53" s="285"/>
      <c r="P53" s="274" t="s">
        <v>2158</v>
      </c>
      <c r="Q53" s="275" t="s">
        <v>64</v>
      </c>
      <c r="R53" s="131" t="s">
        <v>2159</v>
      </c>
      <c r="S53" s="131"/>
      <c r="T53" s="276"/>
      <c r="U53" s="277"/>
      <c r="V53" s="277"/>
      <c r="W53" s="277"/>
      <c r="X53" s="277"/>
      <c r="Y53" s="277"/>
      <c r="Z53" t="e">
        <f>VLOOKUP(A53,#REF!,9,FALSE)</f>
        <v>#REF!</v>
      </c>
    </row>
    <row r="54" spans="1:26" ht="15.75" thickBot="1">
      <c r="A54" s="292" t="s">
        <v>707</v>
      </c>
      <c r="B54" s="102" t="s">
        <v>107</v>
      </c>
      <c r="C54" s="215">
        <v>45925</v>
      </c>
      <c r="D54" s="282"/>
      <c r="E54" s="269" t="s">
        <v>2157</v>
      </c>
      <c r="F54" s="282"/>
      <c r="G54" s="283" t="s">
        <v>2120</v>
      </c>
      <c r="H54" s="230"/>
      <c r="I54" s="230"/>
      <c r="J54" s="45"/>
      <c r="K54" s="204"/>
      <c r="L54" s="204"/>
      <c r="M54" s="204"/>
      <c r="N54" s="284"/>
      <c r="O54" s="285"/>
      <c r="P54" s="274" t="s">
        <v>2158</v>
      </c>
      <c r="Q54" s="275" t="s">
        <v>64</v>
      </c>
      <c r="R54" s="131" t="s">
        <v>2159</v>
      </c>
      <c r="S54" s="131"/>
      <c r="T54" s="276"/>
      <c r="U54" s="277"/>
      <c r="V54" s="277"/>
      <c r="W54" s="277"/>
      <c r="X54" s="277"/>
      <c r="Y54" s="277"/>
      <c r="Z54" t="e">
        <f>VLOOKUP(A54,#REF!,9,FALSE)</f>
        <v>#REF!</v>
      </c>
    </row>
    <row r="55" spans="1:26" ht="15.75" thickBot="1">
      <c r="A55" s="292" t="s">
        <v>759</v>
      </c>
      <c r="B55" s="102" t="s">
        <v>107</v>
      </c>
      <c r="C55" s="215">
        <v>45862</v>
      </c>
      <c r="D55" s="282"/>
      <c r="E55" s="269" t="s">
        <v>2157</v>
      </c>
      <c r="F55" s="282"/>
      <c r="G55" s="283" t="s">
        <v>2120</v>
      </c>
      <c r="H55" s="230"/>
      <c r="I55" s="230"/>
      <c r="J55" s="45"/>
      <c r="K55" s="204"/>
      <c r="L55" s="204"/>
      <c r="M55" s="204"/>
      <c r="N55" s="284"/>
      <c r="O55" s="285"/>
      <c r="P55" s="274" t="s">
        <v>2131</v>
      </c>
      <c r="Q55" s="275" t="s">
        <v>58</v>
      </c>
      <c r="R55" s="131" t="s">
        <v>2162</v>
      </c>
      <c r="S55" s="131"/>
      <c r="T55" s="276"/>
      <c r="U55" s="277"/>
      <c r="V55" s="277"/>
      <c r="W55" s="277"/>
      <c r="X55" s="277"/>
      <c r="Y55" s="277"/>
      <c r="Z55" t="e">
        <f>VLOOKUP(A55,#REF!,9,FALSE)</f>
        <v>#REF!</v>
      </c>
    </row>
    <row r="56" spans="1:26" ht="15.75" thickBot="1">
      <c r="A56" s="292" t="s">
        <v>124</v>
      </c>
      <c r="B56" s="102"/>
      <c r="C56" s="215" t="e">
        <v>#N/A</v>
      </c>
      <c r="D56" s="282"/>
      <c r="E56" s="269" t="s">
        <v>2157</v>
      </c>
      <c r="F56" s="282"/>
      <c r="G56" s="283" t="s">
        <v>2120</v>
      </c>
      <c r="H56" s="230"/>
      <c r="I56" s="230"/>
      <c r="J56" s="45"/>
      <c r="K56" s="204"/>
      <c r="L56" s="204"/>
      <c r="M56" s="204"/>
      <c r="N56" s="284"/>
      <c r="O56" s="285"/>
      <c r="P56" s="274" t="s">
        <v>2169</v>
      </c>
      <c r="Q56" s="275" t="s">
        <v>58</v>
      </c>
      <c r="R56" s="131" t="s">
        <v>2162</v>
      </c>
      <c r="S56" s="131"/>
      <c r="T56" s="276"/>
      <c r="U56" s="277"/>
      <c r="V56" s="277"/>
      <c r="W56" s="277"/>
      <c r="X56" s="277"/>
      <c r="Y56" s="277"/>
      <c r="Z56" t="e">
        <f>VLOOKUP(A56,#REF!,9,FALSE)</f>
        <v>#REF!</v>
      </c>
    </row>
    <row r="57" spans="1:26" ht="15.75" thickBot="1">
      <c r="A57" s="162" t="s">
        <v>2170</v>
      </c>
      <c r="B57" s="102" t="s">
        <v>107</v>
      </c>
      <c r="C57" s="294">
        <v>45787</v>
      </c>
      <c r="D57" s="282"/>
      <c r="E57" s="269" t="s">
        <v>2157</v>
      </c>
      <c r="F57" s="282"/>
      <c r="G57" s="283" t="s">
        <v>2120</v>
      </c>
      <c r="H57" s="230"/>
      <c r="I57" s="230"/>
      <c r="J57" s="45"/>
      <c r="K57" s="204"/>
      <c r="L57" s="204"/>
      <c r="M57" s="204"/>
      <c r="N57" s="284"/>
      <c r="O57" s="285"/>
      <c r="P57" s="274" t="s">
        <v>2131</v>
      </c>
      <c r="Q57" s="275" t="s">
        <v>2171</v>
      </c>
      <c r="R57" s="131" t="s">
        <v>2162</v>
      </c>
      <c r="S57" s="131"/>
      <c r="T57" s="276"/>
      <c r="U57" s="277"/>
      <c r="V57" s="277"/>
      <c r="W57" s="277"/>
      <c r="X57" s="277"/>
      <c r="Y57" s="277"/>
      <c r="Z57" t="e">
        <f>VLOOKUP(A57,#REF!,9,FALSE)</f>
        <v>#REF!</v>
      </c>
    </row>
    <row r="58" spans="1:26" ht="15.75" thickBot="1">
      <c r="A58" s="622" t="s">
        <v>707</v>
      </c>
      <c r="B58" s="102" t="s">
        <v>50</v>
      </c>
      <c r="C58" s="296">
        <v>45807</v>
      </c>
      <c r="D58" s="282"/>
      <c r="E58" s="269" t="s">
        <v>2122</v>
      </c>
      <c r="F58" s="282"/>
      <c r="G58" s="283" t="s">
        <v>2120</v>
      </c>
      <c r="H58" s="230"/>
      <c r="I58" s="230"/>
      <c r="J58" s="45"/>
      <c r="K58" s="204"/>
      <c r="L58" s="204"/>
      <c r="M58" s="204"/>
      <c r="N58" s="284"/>
      <c r="O58" s="285"/>
      <c r="P58" s="287"/>
      <c r="Q58" s="275" t="s">
        <v>64</v>
      </c>
      <c r="R58" s="131" t="s">
        <v>2159</v>
      </c>
      <c r="S58" s="131"/>
      <c r="T58" s="276"/>
      <c r="U58" s="277"/>
      <c r="V58" s="277"/>
      <c r="W58" s="277"/>
      <c r="X58" s="277"/>
      <c r="Y58" s="277"/>
    </row>
    <row r="59" spans="1:26" ht="15.75" thickBot="1">
      <c r="A59" s="622" t="s">
        <v>709</v>
      </c>
      <c r="B59" s="102" t="s">
        <v>107</v>
      </c>
      <c r="C59" s="296">
        <v>45772</v>
      </c>
      <c r="D59" s="282"/>
      <c r="E59" s="269" t="s">
        <v>2122</v>
      </c>
      <c r="F59" s="282"/>
      <c r="G59" s="283" t="s">
        <v>2120</v>
      </c>
      <c r="H59" s="230"/>
      <c r="I59" s="230"/>
      <c r="J59" s="45"/>
      <c r="K59" s="204"/>
      <c r="L59" s="204"/>
      <c r="M59" s="204"/>
      <c r="N59" s="284"/>
      <c r="O59" s="285"/>
      <c r="P59" s="287"/>
      <c r="Q59" s="275" t="s">
        <v>64</v>
      </c>
      <c r="R59" s="131" t="s">
        <v>2159</v>
      </c>
      <c r="S59" s="131"/>
      <c r="T59" s="276"/>
      <c r="U59" s="277"/>
      <c r="V59" s="277"/>
      <c r="W59" s="277"/>
      <c r="X59" s="277"/>
      <c r="Y59" s="277"/>
    </row>
    <row r="60" spans="1:26" ht="15.75" thickBot="1">
      <c r="A60" s="623" t="s">
        <v>711</v>
      </c>
      <c r="B60" s="102" t="s">
        <v>107</v>
      </c>
      <c r="C60" s="296">
        <v>45772</v>
      </c>
      <c r="D60" s="282"/>
      <c r="E60" s="269" t="s">
        <v>2122</v>
      </c>
      <c r="F60" s="282"/>
      <c r="G60" s="283" t="s">
        <v>2120</v>
      </c>
      <c r="H60" s="230"/>
      <c r="I60" s="230"/>
      <c r="J60" s="45"/>
      <c r="K60" s="204"/>
      <c r="L60" s="204"/>
      <c r="M60" s="204"/>
      <c r="N60" s="284"/>
      <c r="O60" s="285"/>
      <c r="P60" s="287"/>
      <c r="Q60" s="275" t="s">
        <v>64</v>
      </c>
      <c r="R60" s="131" t="s">
        <v>2159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2151</v>
      </c>
      <c r="B70" s="301">
        <f>SUM(K4:K9)</f>
        <v>0</v>
      </c>
      <c r="C70" s="302" t="e">
        <f>B70/B73</f>
        <v>#DIV/0!</v>
      </c>
    </row>
    <row r="71" spans="1:25">
      <c r="A71" s="300" t="s">
        <v>2107</v>
      </c>
      <c r="B71" s="301">
        <f>SUM(L4:L9)</f>
        <v>0</v>
      </c>
      <c r="C71" s="302" t="e">
        <f>B71/B73</f>
        <v>#DIV/0!</v>
      </c>
    </row>
    <row r="72" spans="1:25">
      <c r="A72" s="300" t="s">
        <v>2152</v>
      </c>
      <c r="B72" s="301">
        <f>SUM(M4:M9)</f>
        <v>0</v>
      </c>
      <c r="C72" s="302" t="e">
        <f>B72/B73</f>
        <v>#DIV/0!</v>
      </c>
    </row>
    <row r="73" spans="1:25">
      <c r="A73" s="300" t="s">
        <v>1074</v>
      </c>
      <c r="B73" s="301">
        <f>SUM(B70:B72)</f>
        <v>0</v>
      </c>
      <c r="C73" s="279"/>
    </row>
    <row r="80" spans="1:25">
      <c r="A80" t="s">
        <v>2172</v>
      </c>
    </row>
    <row r="81" spans="1:1">
      <c r="A81" t="s">
        <v>2173</v>
      </c>
    </row>
    <row r="82" spans="1:1">
      <c r="A82" t="s">
        <v>2158</v>
      </c>
    </row>
    <row r="83" spans="1:1">
      <c r="A83" t="s">
        <v>2174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5613D68-2BF0-4686-A957-0E8071EF3D8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2026-01-08T23:46:58Z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