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0" documentId="120_S{26355A1A-C9FF-5539-9B49-32C1F08D0326}" xr6:coauthVersionLast="47" xr6:coauthVersionMax="47" xr10:uidLastSave="{344A7222-C37C-418A-A93A-74B20AE7D7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6864" r:id="rId12"/>
    <pivotCache cacheId="6865" r:id="rId13"/>
    <pivotCache cacheId="6866" r:id="rId14"/>
    <pivotCache cacheId="6867" r:id="rId15"/>
    <pivotCache cacheId="68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15" i="31"/>
  <c r="X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<sst xmlns="http://schemas.openxmlformats.org/spreadsheetml/2006/main" count="18110" uniqueCount="2286">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</sst>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300925"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2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68"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648148" createdVersion="8" refreshedVersion="8" minRefreshableVersion="3" recordCount="2668"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m/>
    <m/>
    <m/>
    <x v="0"/>
  </r>
  <r>
    <s v="FB-HNP104"/>
    <x v="1"/>
    <d v="2026-02-10T00:00:00"/>
    <m/>
    <m/>
    <m/>
    <x v="0"/>
  </r>
  <r>
    <s v="D-HO306A-1"/>
    <x v="1"/>
    <d v="2026-02-10T00:00:00"/>
    <m/>
    <m/>
    <m/>
    <x v="0"/>
  </r>
  <r>
    <s v="D-HWP109"/>
    <x v="39"/>
    <d v="2026-02-10T00:00:00"/>
    <m/>
    <m/>
    <m/>
    <x v="0"/>
  </r>
  <r>
    <s v="FB-HOE401-V2"/>
    <x v="38"/>
    <d v="2026-02-10T00:00:00"/>
    <m/>
    <m/>
    <m/>
    <x v="0"/>
  </r>
  <r>
    <s v="FB-HAL175"/>
    <x v="29"/>
    <d v="2026-02-10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m/>
    <m/>
    <m/>
  </r>
  <r>
    <x v="200"/>
    <x v="1"/>
    <x v="260"/>
    <m/>
    <m/>
    <m/>
  </r>
  <r>
    <x v="361"/>
    <x v="1"/>
    <x v="260"/>
    <m/>
    <m/>
    <m/>
  </r>
  <r>
    <x v="360"/>
    <x v="39"/>
    <x v="260"/>
    <m/>
    <m/>
    <m/>
  </r>
  <r>
    <x v="356"/>
    <x v="38"/>
    <x v="260"/>
    <m/>
    <m/>
    <m/>
  </r>
  <r>
    <x v="362"/>
    <x v="29"/>
    <x v="260"/>
    <m/>
    <m/>
    <m/>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9">
    <i>
      <x v="177"/>
    </i>
    <i>
      <x v="182"/>
    </i>
    <i>
      <x v="204"/>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U1" activePane="topRight" state="frozen"/>
      <selection pane="topRight" activeCell="W2" sqref="W2:W3"/>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8">
        <v>0</v>
      </c>
      <c r="I46" s="796" t="s">
        <v>54</v>
      </c>
      <c r="J46" s="799" t="s">
        <v>55</v>
      </c>
      <c r="K46" s="1549"/>
      <c r="L46" s="1243"/>
      <c r="M46" s="796" t="s">
        <v>56</v>
      </c>
      <c r="N46" s="1550">
        <v>36998.550000000003</v>
      </c>
      <c r="O46" s="796" t="s">
        <v>56</v>
      </c>
      <c r="P46" s="1157" t="s">
        <v>75</v>
      </c>
      <c r="Q46" s="1551"/>
      <c r="R46" s="1551"/>
      <c r="S46" s="1551"/>
      <c r="T46" s="1551"/>
      <c r="U46" s="1551"/>
      <c r="V46" s="1552">
        <v>2944</v>
      </c>
      <c r="W46" s="1553"/>
      <c r="X46" s="1553">
        <f>SUM(V46-W46)</f>
        <v>2944</v>
      </c>
      <c r="Y46" s="639">
        <f>IFERROR($W46/$V46, 0)</f>
        <v>0</v>
      </c>
      <c r="Z46" s="1554"/>
      <c r="AA46" s="1139">
        <v>0</v>
      </c>
      <c r="AB46" s="1139">
        <v>0</v>
      </c>
      <c r="AC46" s="624">
        <v>0</v>
      </c>
      <c r="AD46" s="1140"/>
      <c r="AE46" s="1187"/>
    </row>
    <row r="47" spans="1:56" ht="24.75" customHeight="1">
      <c r="A47" s="1240" t="s">
        <v>185</v>
      </c>
      <c r="B47" s="798" t="s">
        <v>147</v>
      </c>
      <c r="C47" s="1241">
        <v>46079</v>
      </c>
      <c r="D47" s="1243"/>
      <c r="E47" s="1243"/>
      <c r="F47" s="1242"/>
      <c r="G47" s="1142"/>
      <c r="H47" s="1548">
        <v>0</v>
      </c>
      <c r="I47" s="796" t="s">
        <v>54</v>
      </c>
      <c r="J47" s="799" t="s">
        <v>55</v>
      </c>
      <c r="K47" s="1549"/>
      <c r="L47" s="1243"/>
      <c r="M47" s="796" t="s">
        <v>56</v>
      </c>
      <c r="N47" s="1550">
        <v>49932.800000000003</v>
      </c>
      <c r="O47" s="796" t="s">
        <v>56</v>
      </c>
      <c r="P47" s="1157" t="s">
        <v>75</v>
      </c>
      <c r="Q47" s="1551"/>
      <c r="R47" s="1551"/>
      <c r="S47" s="1551"/>
      <c r="T47" s="1551"/>
      <c r="U47" s="1551"/>
      <c r="V47" s="1552">
        <v>4048</v>
      </c>
      <c r="W47" s="1553"/>
      <c r="X47" s="1553">
        <f>SUM(V47-W47)</f>
        <v>4048</v>
      </c>
      <c r="Y47" s="639">
        <f>IFERROR($W47/$V47, 0)</f>
        <v>0</v>
      </c>
      <c r="Z47" s="1554"/>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49"/>
      <c r="L53" s="1243"/>
      <c r="M53" s="1144" t="s">
        <v>56</v>
      </c>
      <c r="N53" s="1550">
        <v>118710.8</v>
      </c>
      <c r="O53" s="1144" t="s">
        <v>56</v>
      </c>
      <c r="P53" s="1135" t="s">
        <v>75</v>
      </c>
      <c r="Q53" s="1551"/>
      <c r="R53" s="1551"/>
      <c r="S53" s="1551"/>
      <c r="T53" s="1551"/>
      <c r="U53" s="1551"/>
      <c r="V53" s="1552">
        <v>9628</v>
      </c>
      <c r="W53" s="1553"/>
      <c r="X53" s="1553">
        <f>SUM(V53-W53)</f>
        <v>9628</v>
      </c>
      <c r="Y53" s="639">
        <f>IFERROR($W53/$V53, 0)</f>
        <v>0</v>
      </c>
      <c r="Z53" s="1551"/>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8">
        <v>0</v>
      </c>
      <c r="I56" s="796" t="s">
        <v>54</v>
      </c>
      <c r="J56" s="1144" t="s">
        <v>55</v>
      </c>
      <c r="K56" s="1549"/>
      <c r="L56" s="1243"/>
      <c r="M56" s="1144" t="s">
        <v>56</v>
      </c>
      <c r="N56" s="1550">
        <v>15002.75</v>
      </c>
      <c r="O56" s="1144" t="s">
        <v>56</v>
      </c>
      <c r="P56" s="1157" t="s">
        <v>75</v>
      </c>
      <c r="Q56" s="1551"/>
      <c r="R56" s="1551"/>
      <c r="S56" s="1551"/>
      <c r="T56" s="1551"/>
      <c r="U56" s="1551"/>
      <c r="V56" s="1552">
        <v>1175</v>
      </c>
      <c r="W56" s="1553"/>
      <c r="X56" s="1553">
        <f>SUM(V56-W56)</f>
        <v>1175</v>
      </c>
      <c r="Y56" s="639">
        <f>IFERROR($W56/$V56, 0)</f>
        <v>0</v>
      </c>
      <c r="Z56" s="1554"/>
      <c r="AA56" s="1139">
        <v>0</v>
      </c>
      <c r="AB56" s="1139">
        <v>0</v>
      </c>
      <c r="AC56" s="1148">
        <v>0</v>
      </c>
      <c r="AD56" s="1140"/>
      <c r="AE56" s="1187"/>
    </row>
    <row r="57" spans="1:31" ht="24.75" customHeight="1">
      <c r="A57" s="1130" t="s">
        <v>208</v>
      </c>
      <c r="B57" s="798" t="s">
        <v>147</v>
      </c>
      <c r="C57" s="1131">
        <v>46103</v>
      </c>
      <c r="D57" s="1242"/>
      <c r="E57" s="1243"/>
      <c r="F57" s="1242"/>
      <c r="G57" s="1143"/>
      <c r="H57" s="1548">
        <v>0</v>
      </c>
      <c r="I57" s="796" t="s">
        <v>54</v>
      </c>
      <c r="J57" s="1144" t="s">
        <v>55</v>
      </c>
      <c r="K57" s="1549"/>
      <c r="L57" s="1243"/>
      <c r="M57" s="1144" t="s">
        <v>56</v>
      </c>
      <c r="N57" s="1550">
        <v>12977.65</v>
      </c>
      <c r="O57" s="1144" t="s">
        <v>56</v>
      </c>
      <c r="P57" s="1157" t="s">
        <v>75</v>
      </c>
      <c r="Q57" s="1551"/>
      <c r="R57" s="1551"/>
      <c r="S57" s="1551"/>
      <c r="T57" s="1551"/>
      <c r="U57" s="1551"/>
      <c r="V57" s="1552">
        <v>1029</v>
      </c>
      <c r="W57" s="1553"/>
      <c r="X57" s="1553">
        <f>SUM(V57-W57)</f>
        <v>1029</v>
      </c>
      <c r="Y57" s="639">
        <f>IFERROR($W57/$V57, 0)</f>
        <v>0</v>
      </c>
      <c r="Z57" s="1554"/>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5">
        <v>0</v>
      </c>
      <c r="I63" s="637" t="s">
        <v>54</v>
      </c>
      <c r="J63" s="1209" t="s">
        <v>103</v>
      </c>
      <c r="K63" s="1556" t="s">
        <v>73</v>
      </c>
      <c r="L63" s="1420"/>
      <c r="M63" s="1209" t="s">
        <v>74</v>
      </c>
      <c r="N63" s="1422"/>
      <c r="O63" s="1209" t="s">
        <v>74</v>
      </c>
      <c r="P63" s="1199" t="s">
        <v>75</v>
      </c>
      <c r="Q63" s="1551"/>
      <c r="R63" s="1551"/>
      <c r="S63" s="1551"/>
      <c r="T63" s="1551"/>
      <c r="U63" s="1551"/>
      <c r="V63" s="1557">
        <v>6202</v>
      </c>
      <c r="W63" s="1558"/>
      <c r="X63" s="1558">
        <f>SUM(V63-W63)</f>
        <v>6202</v>
      </c>
      <c r="Y63" s="634">
        <f>IFERROR($W63/$V63, 0)</f>
        <v>0</v>
      </c>
      <c r="Z63" s="1559"/>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0"/>
      <c r="R71" s="1259"/>
      <c r="S71" s="1259"/>
      <c r="T71" s="1259"/>
      <c r="U71" s="1259"/>
      <c r="V71" s="1220">
        <v>4564</v>
      </c>
      <c r="W71" s="1181"/>
      <c r="X71" s="1220">
        <v>4564</v>
      </c>
      <c r="Y71" s="1086"/>
      <c r="Z71" s="1561"/>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0"/>
      <c r="R72" s="1259"/>
      <c r="S72" s="1259"/>
      <c r="T72" s="1259"/>
      <c r="U72" s="1259"/>
      <c r="V72" s="1220">
        <v>5936</v>
      </c>
      <c r="W72" s="1181"/>
      <c r="X72" s="1220">
        <v>5936</v>
      </c>
      <c r="Y72" s="1086"/>
      <c r="Z72" s="1561"/>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0"/>
      <c r="R73" s="1259"/>
      <c r="S73" s="1259"/>
      <c r="T73" s="1259"/>
      <c r="U73" s="1259"/>
      <c r="V73" s="1220">
        <v>7117</v>
      </c>
      <c r="W73" s="1181"/>
      <c r="X73" s="1220">
        <v>7117</v>
      </c>
      <c r="Y73" s="1086"/>
      <c r="Z73" s="1561"/>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0"/>
      <c r="R74" s="1259"/>
      <c r="S74" s="1259"/>
      <c r="T74" s="1259"/>
      <c r="U74" s="1259"/>
      <c r="V74" s="1220">
        <v>9590</v>
      </c>
      <c r="W74" s="1181"/>
      <c r="X74" s="1220">
        <v>9590</v>
      </c>
      <c r="Y74" s="1086"/>
      <c r="Z74" s="1561"/>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0"/>
      <c r="R75" s="1259"/>
      <c r="S75" s="1259"/>
      <c r="T75" s="1259"/>
      <c r="U75" s="1259"/>
      <c r="V75" s="1220">
        <v>9329</v>
      </c>
      <c r="W75" s="1181"/>
      <c r="X75" s="1220">
        <v>9329</v>
      </c>
      <c r="Y75" s="1086"/>
      <c r="Z75" s="1561"/>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0"/>
      <c r="R76" s="1259"/>
      <c r="S76" s="1259"/>
      <c r="T76" s="1259"/>
      <c r="U76" s="1259"/>
      <c r="V76" s="1220">
        <v>9709</v>
      </c>
      <c r="W76" s="1181"/>
      <c r="X76" s="1220">
        <v>9709</v>
      </c>
      <c r="Y76" s="1086"/>
      <c r="Z76" s="1561"/>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0"/>
      <c r="R77" s="1259"/>
      <c r="S77" s="1259"/>
      <c r="T77" s="1259"/>
      <c r="U77" s="1259"/>
      <c r="V77" s="1220">
        <v>9263</v>
      </c>
      <c r="W77" s="1181"/>
      <c r="X77" s="1220">
        <v>9263</v>
      </c>
      <c r="Y77" s="1086"/>
      <c r="Z77" s="1561"/>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0"/>
      <c r="R78" s="1259"/>
      <c r="S78" s="1259"/>
      <c r="T78" s="1259"/>
      <c r="U78" s="1259"/>
      <c r="V78" s="1220">
        <v>10385</v>
      </c>
      <c r="W78" s="1181"/>
      <c r="X78" s="1220">
        <v>10385</v>
      </c>
      <c r="Y78" s="1086"/>
      <c r="Z78" s="1561"/>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0"/>
      <c r="R79" s="1259"/>
      <c r="S79" s="1259"/>
      <c r="T79" s="1259"/>
      <c r="U79" s="1259"/>
      <c r="V79" s="1220">
        <v>9398</v>
      </c>
      <c r="W79" s="1181"/>
      <c r="X79" s="1220">
        <v>9398</v>
      </c>
      <c r="Y79" s="1086"/>
      <c r="Z79" s="1561"/>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0"/>
      <c r="R80" s="1259"/>
      <c r="S80" s="1259"/>
      <c r="T80" s="1259"/>
      <c r="U80" s="1259"/>
      <c r="V80" s="1220">
        <v>7517</v>
      </c>
      <c r="W80" s="1181"/>
      <c r="X80" s="1220">
        <v>7517</v>
      </c>
      <c r="Y80" s="1086"/>
      <c r="Z80" s="1561"/>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0"/>
      <c r="R81" s="1259"/>
      <c r="S81" s="1259"/>
      <c r="T81" s="1259"/>
      <c r="U81" s="1259"/>
      <c r="V81" s="1220">
        <v>5920</v>
      </c>
      <c r="W81" s="1181"/>
      <c r="X81" s="1220">
        <v>5920</v>
      </c>
      <c r="Y81" s="1086"/>
      <c r="Z81" s="1561"/>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0"/>
      <c r="R82" s="1259"/>
      <c r="S82" s="1259"/>
      <c r="T82" s="1259"/>
      <c r="U82" s="1259"/>
      <c r="V82" s="1220">
        <v>5589</v>
      </c>
      <c r="W82" s="1181"/>
      <c r="X82" s="1220">
        <v>5589</v>
      </c>
      <c r="Y82" s="1086"/>
      <c r="Z82" s="1561"/>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0"/>
      <c r="R83" s="1259"/>
      <c r="S83" s="1259"/>
      <c r="T83" s="1259"/>
      <c r="U83" s="1259"/>
      <c r="V83" s="1220">
        <v>5515</v>
      </c>
      <c r="W83" s="1181"/>
      <c r="X83" s="1220">
        <v>5515</v>
      </c>
      <c r="Y83" s="1086"/>
      <c r="Z83" s="1561"/>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0"/>
      <c r="R84" s="1259"/>
      <c r="S84" s="1259"/>
      <c r="T84" s="1259"/>
      <c r="U84" s="1259"/>
      <c r="V84" s="1220">
        <v>5191</v>
      </c>
      <c r="W84" s="1181"/>
      <c r="X84" s="1220">
        <v>5191</v>
      </c>
      <c r="Y84" s="1086"/>
      <c r="Z84" s="1561"/>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0"/>
      <c r="R85" s="1259"/>
      <c r="S85" s="1259"/>
      <c r="T85" s="1259"/>
      <c r="U85" s="1259"/>
      <c r="V85" s="1220">
        <v>5620</v>
      </c>
      <c r="W85" s="1181"/>
      <c r="X85" s="1220">
        <v>5620</v>
      </c>
      <c r="Y85" s="1086"/>
      <c r="Z85" s="1561"/>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0"/>
      <c r="R86" s="1259"/>
      <c r="S86" s="1259"/>
      <c r="T86" s="1259"/>
      <c r="U86" s="1259"/>
      <c r="V86" s="1220">
        <v>6864</v>
      </c>
      <c r="W86" s="1181"/>
      <c r="X86" s="1220">
        <v>6864</v>
      </c>
      <c r="Y86" s="1086"/>
      <c r="Z86" s="1561"/>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0"/>
      <c r="R87" s="1259"/>
      <c r="S87" s="1259"/>
      <c r="T87" s="1259"/>
      <c r="U87" s="1259"/>
      <c r="V87" s="1220">
        <v>6461</v>
      </c>
      <c r="W87" s="1181"/>
      <c r="X87" s="1220">
        <v>6461</v>
      </c>
      <c r="Y87" s="1086"/>
      <c r="Z87" s="1561"/>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0"/>
      <c r="R88" s="1259"/>
      <c r="S88" s="1259"/>
      <c r="T88" s="1259"/>
      <c r="U88" s="1259"/>
      <c r="V88" s="1220">
        <v>2790</v>
      </c>
      <c r="W88" s="1181"/>
      <c r="X88" s="1220">
        <v>2790</v>
      </c>
      <c r="Y88" s="1086"/>
      <c r="Z88" s="1561"/>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0"/>
      <c r="R89" s="1259"/>
      <c r="S89" s="1259"/>
      <c r="T89" s="1259"/>
      <c r="U89" s="1259"/>
      <c r="V89" s="1220">
        <v>7368</v>
      </c>
      <c r="W89" s="1181"/>
      <c r="X89" s="1220">
        <v>7368</v>
      </c>
      <c r="Y89" s="1086"/>
      <c r="Z89" s="1561"/>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0"/>
      <c r="R90" s="1259"/>
      <c r="S90" s="1259"/>
      <c r="T90" s="1259"/>
      <c r="U90" s="1259"/>
      <c r="V90" s="1220">
        <v>7844</v>
      </c>
      <c r="W90" s="1181"/>
      <c r="X90" s="1220">
        <v>7844</v>
      </c>
      <c r="Y90" s="1086"/>
      <c r="Z90" s="1561"/>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0"/>
      <c r="R91" s="1259"/>
      <c r="S91" s="1259"/>
      <c r="T91" s="1259"/>
      <c r="U91" s="1259"/>
      <c r="V91" s="1220">
        <v>8148</v>
      </c>
      <c r="W91" s="1181"/>
      <c r="X91" s="1220">
        <v>8148</v>
      </c>
      <c r="Y91" s="1086"/>
      <c r="Z91" s="1561"/>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0"/>
      <c r="R92" s="1259"/>
      <c r="S92" s="1259"/>
      <c r="T92" s="1259"/>
      <c r="U92" s="1259"/>
      <c r="V92" s="1220">
        <v>6829</v>
      </c>
      <c r="W92" s="1181"/>
      <c r="X92" s="1220">
        <v>6829</v>
      </c>
      <c r="Y92" s="1086"/>
      <c r="Z92" s="1561"/>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0"/>
      <c r="R93" s="1259"/>
      <c r="S93" s="1259"/>
      <c r="T93" s="1259"/>
      <c r="U93" s="1259"/>
      <c r="V93" s="1220">
        <v>6157</v>
      </c>
      <c r="W93" s="1181"/>
      <c r="X93" s="1220">
        <v>6157</v>
      </c>
      <c r="Y93" s="1086"/>
      <c r="Z93" s="1561"/>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0"/>
      <c r="R94" s="1259"/>
      <c r="S94" s="1259"/>
      <c r="T94" s="1259"/>
      <c r="U94" s="1259"/>
      <c r="V94" s="1220">
        <v>9537</v>
      </c>
      <c r="W94" s="1181"/>
      <c r="X94" s="1220">
        <v>9537</v>
      </c>
      <c r="Y94" s="1086"/>
      <c r="Z94" s="1561"/>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0"/>
      <c r="R95" s="1259"/>
      <c r="S95" s="1259"/>
      <c r="T95" s="1259"/>
      <c r="U95" s="1259"/>
      <c r="V95" s="1220">
        <v>6796</v>
      </c>
      <c r="W95" s="1181"/>
      <c r="X95" s="1220">
        <v>6796</v>
      </c>
      <c r="Y95" s="1086"/>
      <c r="Z95" s="1561"/>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0"/>
      <c r="R96" s="1259"/>
      <c r="S96" s="1259"/>
      <c r="T96" s="1259"/>
      <c r="U96" s="1259"/>
      <c r="V96" s="1220">
        <v>6149</v>
      </c>
      <c r="W96" s="1181"/>
      <c r="X96" s="1220">
        <v>6149</v>
      </c>
      <c r="Y96" s="1086"/>
      <c r="Z96" s="1561"/>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0"/>
      <c r="R97" s="1259"/>
      <c r="S97" s="1259"/>
      <c r="T97" s="1259"/>
      <c r="U97" s="1259"/>
      <c r="V97" s="1220">
        <v>6284</v>
      </c>
      <c r="W97" s="1181"/>
      <c r="X97" s="1220">
        <v>6284</v>
      </c>
      <c r="Y97" s="1086"/>
      <c r="Z97" s="1561"/>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0"/>
      <c r="R98" s="1259"/>
      <c r="S98" s="1259"/>
      <c r="T98" s="1259"/>
      <c r="U98" s="1259"/>
      <c r="V98" s="1220">
        <v>7743</v>
      </c>
      <c r="W98" s="1181"/>
      <c r="X98" s="1220">
        <v>7743</v>
      </c>
      <c r="Y98" s="1086"/>
      <c r="Z98" s="1561"/>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0"/>
      <c r="R99" s="1259"/>
      <c r="S99" s="1259"/>
      <c r="T99" s="1259"/>
      <c r="U99" s="1259"/>
      <c r="V99" s="1220">
        <v>6932</v>
      </c>
      <c r="W99" s="1181"/>
      <c r="X99" s="1220">
        <v>6932</v>
      </c>
      <c r="Y99" s="1086"/>
      <c r="Z99" s="1561"/>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0"/>
      <c r="R100" s="1259"/>
      <c r="S100" s="1259"/>
      <c r="T100" s="1259"/>
      <c r="U100" s="1259"/>
      <c r="V100" s="1220">
        <v>6213</v>
      </c>
      <c r="W100" s="1181"/>
      <c r="X100" s="1220">
        <v>6213</v>
      </c>
      <c r="Y100" s="1086"/>
      <c r="Z100" s="1561"/>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0"/>
      <c r="R101" s="1259"/>
      <c r="S101" s="1259"/>
      <c r="T101" s="1259"/>
      <c r="U101" s="1259"/>
      <c r="V101" s="1220">
        <v>4339</v>
      </c>
      <c r="W101" s="1181"/>
      <c r="X101" s="1220">
        <v>4339</v>
      </c>
      <c r="Y101" s="1086"/>
      <c r="Z101" s="1561"/>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0"/>
      <c r="R102" s="1259"/>
      <c r="S102" s="1259"/>
      <c r="T102" s="1259"/>
      <c r="U102" s="1259"/>
      <c r="V102" s="1220">
        <v>3940</v>
      </c>
      <c r="W102" s="1181"/>
      <c r="X102" s="1220">
        <v>3940</v>
      </c>
      <c r="Y102" s="1086"/>
      <c r="Z102" s="1561"/>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0"/>
      <c r="R103" s="1259"/>
      <c r="S103" s="1259"/>
      <c r="T103" s="1259"/>
      <c r="U103" s="1259"/>
      <c r="V103" s="1220">
        <v>6855</v>
      </c>
      <c r="W103" s="1181"/>
      <c r="X103" s="1220">
        <v>6855</v>
      </c>
      <c r="Y103" s="1086"/>
      <c r="Z103" s="1561"/>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0"/>
      <c r="R104" s="1259"/>
      <c r="S104" s="1259"/>
      <c r="T104" s="1259"/>
      <c r="U104" s="1259"/>
      <c r="V104" s="1220">
        <v>7147</v>
      </c>
      <c r="W104" s="1181"/>
      <c r="X104" s="1220">
        <v>7147</v>
      </c>
      <c r="Y104" s="1086"/>
      <c r="Z104" s="1561"/>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0"/>
      <c r="R105" s="1259"/>
      <c r="S105" s="1259"/>
      <c r="T105" s="1259"/>
      <c r="U105" s="1259"/>
      <c r="V105" s="1220">
        <v>6376</v>
      </c>
      <c r="W105" s="1181"/>
      <c r="X105" s="1220">
        <v>6376</v>
      </c>
      <c r="Y105" s="1086"/>
      <c r="Z105" s="1561"/>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0"/>
      <c r="R106" s="1259"/>
      <c r="S106" s="1259"/>
      <c r="T106" s="1259"/>
      <c r="U106" s="1259"/>
      <c r="V106" s="1220">
        <v>4784</v>
      </c>
      <c r="W106" s="1181"/>
      <c r="X106" s="1220">
        <v>4784</v>
      </c>
      <c r="Y106" s="1086"/>
      <c r="Z106" s="1561"/>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0"/>
      <c r="R107" s="1259"/>
      <c r="S107" s="1259"/>
      <c r="T107" s="1259"/>
      <c r="U107" s="1259"/>
      <c r="V107" s="1220">
        <v>6387</v>
      </c>
      <c r="W107" s="1181"/>
      <c r="X107" s="1220">
        <v>6387</v>
      </c>
      <c r="Y107" s="1086"/>
      <c r="Z107" s="1561"/>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0"/>
      <c r="R108" s="1259"/>
      <c r="S108" s="1259"/>
      <c r="T108" s="1259"/>
      <c r="U108" s="1259"/>
      <c r="V108" s="1220">
        <v>6372</v>
      </c>
      <c r="W108" s="1181"/>
      <c r="X108" s="1220">
        <v>6372</v>
      </c>
      <c r="Y108" s="1086"/>
      <c r="Z108" s="1561"/>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0"/>
      <c r="R109" s="1259"/>
      <c r="S109" s="1259"/>
      <c r="T109" s="1259"/>
      <c r="U109" s="1259"/>
      <c r="V109" s="1220">
        <v>5363</v>
      </c>
      <c r="W109" s="1181"/>
      <c r="X109" s="1220">
        <v>5363</v>
      </c>
      <c r="Y109" s="1086"/>
      <c r="Z109" s="1561"/>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0"/>
      <c r="R110" s="1259"/>
      <c r="S110" s="1259"/>
      <c r="T110" s="1259"/>
      <c r="U110" s="1259"/>
      <c r="V110" s="1220">
        <v>5199</v>
      </c>
      <c r="W110" s="1181"/>
      <c r="X110" s="1220">
        <v>5199</v>
      </c>
      <c r="Y110" s="1086"/>
      <c r="Z110" s="1561"/>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0"/>
      <c r="R111" s="1259"/>
      <c r="S111" s="1259"/>
      <c r="T111" s="1259"/>
      <c r="U111" s="1259"/>
      <c r="V111" s="1220">
        <v>9771</v>
      </c>
      <c r="W111" s="1181"/>
      <c r="X111" s="1220">
        <v>9771</v>
      </c>
      <c r="Y111" s="1086"/>
      <c r="Z111" s="1561"/>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0"/>
      <c r="R112" s="1259"/>
      <c r="S112" s="1259"/>
      <c r="T112" s="1259"/>
      <c r="U112" s="1259"/>
      <c r="V112" s="1220">
        <v>9562</v>
      </c>
      <c r="W112" s="1181"/>
      <c r="X112" s="1220">
        <v>9562</v>
      </c>
      <c r="Y112" s="1086"/>
      <c r="Z112" s="1561"/>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0"/>
      <c r="R113" s="1259"/>
      <c r="S113" s="1259"/>
      <c r="T113" s="1259"/>
      <c r="U113" s="1259"/>
      <c r="V113" s="1220">
        <v>6309</v>
      </c>
      <c r="W113" s="1181"/>
      <c r="X113" s="1220">
        <v>6309</v>
      </c>
      <c r="Y113" s="1086"/>
      <c r="Z113" s="1561"/>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0"/>
      <c r="R114" s="1259"/>
      <c r="S114" s="1259"/>
      <c r="T114" s="1259"/>
      <c r="U114" s="1259"/>
      <c r="V114" s="1220">
        <v>10260</v>
      </c>
      <c r="W114" s="1181"/>
      <c r="X114" s="1220">
        <v>10260</v>
      </c>
      <c r="Y114" s="1086"/>
      <c r="Z114" s="1561"/>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0"/>
      <c r="R115" s="1259"/>
      <c r="S115" s="1259"/>
      <c r="T115" s="1259"/>
      <c r="U115" s="1259"/>
      <c r="V115" s="1220">
        <v>10080</v>
      </c>
      <c r="W115" s="1181"/>
      <c r="X115" s="1220">
        <v>10080</v>
      </c>
      <c r="Y115" s="1086"/>
      <c r="Z115" s="1561"/>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0"/>
      <c r="R116" s="1259"/>
      <c r="S116" s="1259"/>
      <c r="T116" s="1259"/>
      <c r="U116" s="1259"/>
      <c r="V116" s="1220">
        <v>6859</v>
      </c>
      <c r="W116" s="1181"/>
      <c r="X116" s="1220">
        <v>6859</v>
      </c>
      <c r="Y116" s="1086"/>
      <c r="Z116" s="1561"/>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0"/>
      <c r="R117" s="1259"/>
      <c r="S117" s="1259"/>
      <c r="T117" s="1259"/>
      <c r="U117" s="1259"/>
      <c r="V117" s="1220">
        <v>5873</v>
      </c>
      <c r="W117" s="1181"/>
      <c r="X117" s="1220">
        <v>5873</v>
      </c>
      <c r="Y117" s="1086"/>
      <c r="Z117" s="1561"/>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0"/>
      <c r="R118" s="1259"/>
      <c r="S118" s="1259"/>
      <c r="T118" s="1259"/>
      <c r="U118" s="1259"/>
      <c r="V118" s="1220">
        <v>4945</v>
      </c>
      <c r="W118" s="1181"/>
      <c r="X118" s="1220">
        <v>4945</v>
      </c>
      <c r="Y118" s="1086"/>
      <c r="Z118" s="1561"/>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0"/>
      <c r="R119" s="1259"/>
      <c r="S119" s="1259"/>
      <c r="T119" s="1259"/>
      <c r="U119" s="1259"/>
      <c r="V119" s="1220">
        <v>4275</v>
      </c>
      <c r="W119" s="1181"/>
      <c r="X119" s="1220">
        <v>4275</v>
      </c>
      <c r="Y119" s="1086"/>
      <c r="Z119" s="1561"/>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0"/>
      <c r="R120" s="1259"/>
      <c r="S120" s="1259"/>
      <c r="T120" s="1259"/>
      <c r="U120" s="1259"/>
      <c r="V120" s="1220">
        <v>6378</v>
      </c>
      <c r="W120" s="1181"/>
      <c r="X120" s="1220">
        <v>6378</v>
      </c>
      <c r="Y120" s="1086"/>
      <c r="Z120" s="1561"/>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0"/>
      <c r="R121" s="1259"/>
      <c r="S121" s="1259"/>
      <c r="T121" s="1259"/>
      <c r="U121" s="1259"/>
      <c r="V121" s="1220">
        <v>7373</v>
      </c>
      <c r="W121" s="1181"/>
      <c r="X121" s="1220">
        <v>7373</v>
      </c>
      <c r="Y121" s="1086"/>
      <c r="Z121" s="1561"/>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0"/>
      <c r="R122" s="1259"/>
      <c r="S122" s="1259"/>
      <c r="T122" s="1259"/>
      <c r="U122" s="1259"/>
      <c r="V122" s="1220">
        <v>5781</v>
      </c>
      <c r="W122" s="1181"/>
      <c r="X122" s="1220">
        <v>5781</v>
      </c>
      <c r="Y122" s="1086"/>
      <c r="Z122" s="1561"/>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0"/>
      <c r="R123" s="1259"/>
      <c r="S123" s="1259"/>
      <c r="T123" s="1259"/>
      <c r="U123" s="1259"/>
      <c r="V123" s="1220">
        <v>9051</v>
      </c>
      <c r="W123" s="1181"/>
      <c r="X123" s="1220">
        <v>9051</v>
      </c>
      <c r="Y123" s="1086"/>
      <c r="Z123" s="1561"/>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0"/>
      <c r="R124" s="1259"/>
      <c r="S124" s="1259"/>
      <c r="T124" s="1259"/>
      <c r="U124" s="1259"/>
      <c r="V124" s="1220">
        <v>7261</v>
      </c>
      <c r="W124" s="1181"/>
      <c r="X124" s="1220">
        <v>7261</v>
      </c>
      <c r="Y124" s="1086"/>
      <c r="Z124" s="1561"/>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0"/>
      <c r="R125" s="1259"/>
      <c r="S125" s="1259"/>
      <c r="T125" s="1259"/>
      <c r="U125" s="1259"/>
      <c r="V125" s="1220">
        <v>9638</v>
      </c>
      <c r="W125" s="1181"/>
      <c r="X125" s="1220">
        <v>9638</v>
      </c>
      <c r="Y125" s="1086"/>
      <c r="Z125" s="1561"/>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0"/>
      <c r="R126" s="1259"/>
      <c r="S126" s="1259"/>
      <c r="T126" s="1259"/>
      <c r="U126" s="1259"/>
      <c r="V126" s="1220">
        <v>8746</v>
      </c>
      <c r="W126" s="1181"/>
      <c r="X126" s="1220">
        <v>8746</v>
      </c>
      <c r="Y126" s="1086"/>
      <c r="Z126" s="1561"/>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0"/>
      <c r="R127" s="1259"/>
      <c r="S127" s="1259"/>
      <c r="T127" s="1259"/>
      <c r="U127" s="1259"/>
      <c r="V127" s="1414"/>
      <c r="W127" s="1181"/>
      <c r="X127" s="1414"/>
      <c r="Y127" s="1086"/>
      <c r="Z127" s="1561"/>
      <c r="AA127" s="1562"/>
      <c r="AB127" s="1562"/>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0"/>
      <c r="R128" s="1259"/>
      <c r="S128" s="1259"/>
      <c r="T128" s="1259"/>
      <c r="U128" s="1259"/>
      <c r="V128" s="1414"/>
      <c r="W128" s="1181"/>
      <c r="X128" s="1414"/>
      <c r="Y128" s="1086"/>
      <c r="Z128" s="1561"/>
      <c r="AA128" s="1562"/>
      <c r="AB128" s="1562"/>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0"/>
      <c r="R139" s="1259"/>
      <c r="S139" s="1259"/>
      <c r="T139" s="1259"/>
      <c r="U139" s="1259"/>
      <c r="V139" s="1181">
        <v>8641</v>
      </c>
      <c r="W139" s="1558"/>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3"/>
      <c r="R140" s="1261"/>
      <c r="S140" s="1261"/>
      <c r="T140" s="1261"/>
      <c r="U140" s="1261"/>
      <c r="V140" s="1263">
        <v>7502</v>
      </c>
      <c r="W140" s="1564"/>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4"/>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Y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5" si="2">SUM(V6-W6)</f>
        <v>91</v>
      </c>
      <c r="Y6" s="634">
        <f t="shared" ref="Y6:Y15"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 t="shared" si="2"/>
        <v>64</v>
      </c>
      <c r="Y15" s="639">
        <f t="shared" si="3"/>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3"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49" t="s">
        <v>55</v>
      </c>
      <c r="K19" s="1549"/>
      <c r="L19" s="467" t="s">
        <v>323</v>
      </c>
      <c r="M19" s="469" t="s">
        <v>56</v>
      </c>
      <c r="N19" s="1550">
        <v>1035</v>
      </c>
      <c r="O19" s="1144" t="s">
        <v>56</v>
      </c>
      <c r="P19" s="1191" t="s">
        <v>310</v>
      </c>
      <c r="Q19" s="1551">
        <v>46030</v>
      </c>
      <c r="R19" s="1237"/>
      <c r="S19" s="1237"/>
      <c r="T19" s="1237"/>
      <c r="U19" s="1237"/>
      <c r="V19" s="1552">
        <v>0</v>
      </c>
      <c r="W19" s="1565">
        <v>0</v>
      </c>
      <c r="X19" s="1553">
        <f>SUM(V19-W19)</f>
        <v>0</v>
      </c>
      <c r="Y19" s="639">
        <v>1</v>
      </c>
      <c r="Z19" s="1551">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49"/>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8">
        <v>109</v>
      </c>
      <c r="I21" s="796" t="s">
        <v>309</v>
      </c>
      <c r="J21" s="799" t="s">
        <v>55</v>
      </c>
      <c r="K21" s="1549"/>
      <c r="L21" s="1243">
        <v>45663</v>
      </c>
      <c r="M21" s="1144" t="s">
        <v>56</v>
      </c>
      <c r="N21" s="1550">
        <v>123587.5</v>
      </c>
      <c r="O21" s="1548" t="s">
        <v>56</v>
      </c>
      <c r="P21" s="1566" t="s">
        <v>310</v>
      </c>
      <c r="Q21" s="1551">
        <v>46008</v>
      </c>
      <c r="R21" s="1551"/>
      <c r="S21" s="1551"/>
      <c r="T21" s="1551"/>
      <c r="U21" s="1551"/>
      <c r="V21" s="1552">
        <v>6825</v>
      </c>
      <c r="W21" s="1565">
        <v>6575</v>
      </c>
      <c r="X21" s="1553">
        <f>SUM(V21-W21)</f>
        <v>250</v>
      </c>
      <c r="Y21" s="639">
        <f>IFERROR($W21/$V21, 0)</f>
        <v>0.96336996336996339</v>
      </c>
      <c r="Z21" s="1551">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 t="shared" si="5"/>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49">
        <v>0</v>
      </c>
      <c r="I36" s="638" t="s">
        <v>309</v>
      </c>
      <c r="J36" s="1549" t="s">
        <v>55</v>
      </c>
      <c r="K36" s="1549"/>
      <c r="L36" s="1241" t="s">
        <v>116</v>
      </c>
      <c r="M36" s="1549" t="s">
        <v>56</v>
      </c>
      <c r="N36" s="1567">
        <v>15670.45</v>
      </c>
      <c r="O36" s="1549" t="s">
        <v>56</v>
      </c>
      <c r="P36" s="1566" t="s">
        <v>310</v>
      </c>
      <c r="Q36" s="1568">
        <v>46031</v>
      </c>
      <c r="R36" s="1568"/>
      <c r="S36" s="1568"/>
      <c r="T36" s="1568"/>
      <c r="U36" s="1568"/>
      <c r="V36" s="756">
        <v>1202</v>
      </c>
      <c r="W36" s="1192">
        <v>1208</v>
      </c>
      <c r="X36" s="1553">
        <f>SUM(V36-W36)</f>
        <v>-6</v>
      </c>
      <c r="Y36" s="639">
        <v>1</v>
      </c>
      <c r="Z36" s="1147">
        <v>46035</v>
      </c>
      <c r="AA36" s="350">
        <v>1</v>
      </c>
      <c r="AB36" s="1569">
        <v>0</v>
      </c>
      <c r="AC36" s="1553">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0">
        <v>5829</v>
      </c>
      <c r="X41" s="1294">
        <f t="shared" ref="X41:X48" si="15">SUM(V41-W41)</f>
        <v>31</v>
      </c>
      <c r="Y41" s="1086">
        <f t="shared" si="12"/>
        <v>0.99470989761092155</v>
      </c>
      <c r="Z41" s="1560">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0">
        <v>6080</v>
      </c>
      <c r="X42" s="1294">
        <f t="shared" si="15"/>
        <v>-59</v>
      </c>
      <c r="Y42" s="1086">
        <f t="shared" si="12"/>
        <v>1.0097990367048664</v>
      </c>
      <c r="Z42" s="1560">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0">
        <v>4810</v>
      </c>
      <c r="X45" s="1295">
        <f t="shared" si="15"/>
        <v>26</v>
      </c>
      <c r="Y45" s="1284">
        <f t="shared" si="12"/>
        <v>0.9946236559139785</v>
      </c>
      <c r="Z45" s="1563">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1">
        <v>7151</v>
      </c>
      <c r="X46" s="1181">
        <f t="shared" si="15"/>
        <v>190</v>
      </c>
      <c r="Y46" s="841">
        <f t="shared" si="12"/>
        <v>0.97411796757934888</v>
      </c>
      <c r="Z46" s="1560">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1">
        <v>1277</v>
      </c>
      <c r="X48" s="1181">
        <f t="shared" si="15"/>
        <v>7</v>
      </c>
      <c r="Y48" s="841">
        <f t="shared" si="12"/>
        <v>0.99454828660436134</v>
      </c>
      <c r="Z48" s="1560">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B126" activePane="topRight" state="frozen"/>
      <selection pane="topRight" activeCell="X131" sqref="X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408">
        <v>14790</v>
      </c>
      <c r="S131" s="494">
        <v>14871</v>
      </c>
      <c r="T131" s="1547">
        <v>0</v>
      </c>
      <c r="U131" s="634">
        <v>1.01</v>
      </c>
      <c r="V131" s="655">
        <v>45910</v>
      </c>
      <c r="W131" s="350">
        <v>1</v>
      </c>
      <c r="X131" s="350">
        <v>0</v>
      </c>
      <c r="Y131" s="463">
        <v>0</v>
      </c>
      <c r="Z131" s="462">
        <v>46059</v>
      </c>
      <c r="AA131" s="1358"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6"/>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4164</v>
      </c>
      <c r="P9">
        <v>19886</v>
      </c>
      <c r="Q9">
        <v>8220</v>
      </c>
      <c r="R9">
        <v>32270</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37822</v>
      </c>
      <c r="P13">
        <v>138513</v>
      </c>
      <c r="Q13">
        <v>113546</v>
      </c>
      <c r="R13">
        <v>289881</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D1319">
        <v>389</v>
      </c>
    </row>
    <row r="1320" spans="1:7">
      <c r="A1320" t="s">
        <v>62</v>
      </c>
    </row>
    <row r="1321" spans="1:7">
      <c r="A1321" t="s">
        <v>352</v>
      </c>
    </row>
    <row r="1322" spans="1:7">
      <c r="A1322" t="s">
        <v>391</v>
      </c>
    </row>
    <row r="1323" spans="1:7">
      <c r="A1323" t="s">
        <v>94</v>
      </c>
      <c r="B1323">
        <v>712</v>
      </c>
      <c r="D1323">
        <v>712</v>
      </c>
    </row>
    <row r="1324" spans="1:7">
      <c r="A1324" t="s">
        <v>1208</v>
      </c>
    </row>
    <row r="1325" spans="1:7">
      <c r="A1325" t="s">
        <v>343</v>
      </c>
    </row>
    <row r="1326" spans="1:7">
      <c r="A1326" t="s">
        <v>1128</v>
      </c>
      <c r="B1326">
        <v>1101</v>
      </c>
      <c r="D1326">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4" activePane="bottomLeft" state="frozen"/>
      <selection pane="bottomLeft" activeCell="F2665" sqref="F266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G2663" t="s">
        <v>1132</v>
      </c>
    </row>
    <row r="2664" spans="1:7">
      <c r="A2664" s="311" t="s">
        <v>62</v>
      </c>
      <c r="B2664" s="311" t="s">
        <v>1136</v>
      </c>
      <c r="C2664" s="56">
        <v>46063</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G2666" t="s">
        <v>1132</v>
      </c>
    </row>
    <row r="2667" spans="1:7">
      <c r="A2667" s="307" t="s">
        <v>352</v>
      </c>
      <c r="B2667" s="307" t="s">
        <v>2058</v>
      </c>
      <c r="C2667" s="56">
        <v>46063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660</v>
      </c>
      <c r="AB3" s="68" t="s">
        <v>48</v>
      </c>
    </row>
    <row r="4" spans="1:30" ht="24.75" customHeight="1" thickBot="1">
      <c r="A4" s="431" t="s">
        <v>2148</v>
      </c>
      <c r="B4" s="431" t="s">
        <v>2149</v>
      </c>
      <c r="C4" s="16">
        <v>45717</v>
      </c>
      <c r="D4" s="63" t="s">
        <v>2150</v>
      </c>
      <c r="E4" s="51">
        <v>45707</v>
      </c>
      <c r="F4" s="51" t="s">
        <v>148</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148</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148</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2158</v>
      </c>
      <c r="B8" s="431" t="s">
        <v>225</v>
      </c>
      <c r="C8" s="16">
        <v>45748</v>
      </c>
      <c r="D8" s="16" t="s">
        <v>2150</v>
      </c>
      <c r="E8" s="94" t="s">
        <v>323</v>
      </c>
      <c r="F8" s="95" t="s">
        <v>323</v>
      </c>
      <c r="G8" s="602" t="s">
        <v>2159</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110</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110</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110</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1153</v>
      </c>
      <c r="B31" s="646" t="s">
        <v>50</v>
      </c>
      <c r="C31" s="369">
        <v>46021</v>
      </c>
      <c r="D31" s="369" t="s">
        <v>110</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1283</v>
      </c>
      <c r="V1" s="160" t="s">
        <v>2208</v>
      </c>
      <c r="W1" s="160" t="s">
        <v>2209</v>
      </c>
      <c r="X1" s="163" t="s">
        <v>2210</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2211</v>
      </c>
      <c r="B4" s="399" t="s">
        <v>147</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2213</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2213</v>
      </c>
      <c r="S7" s="43" t="s">
        <v>310</v>
      </c>
      <c r="T7" s="43" t="s">
        <v>310</v>
      </c>
      <c r="U7" s="43" t="s">
        <v>310</v>
      </c>
      <c r="V7" s="69" t="s">
        <v>103</v>
      </c>
      <c r="W7" s="30"/>
      <c r="X7" s="69" t="s">
        <v>103</v>
      </c>
      <c r="Y7" t="e">
        <f>VLOOKUP(A7,#REF!,2,FALSE)</f>
        <v>#REF!</v>
      </c>
    </row>
    <row r="8" spans="1:25">
      <c r="A8" s="175" t="s">
        <v>543</v>
      </c>
      <c r="B8" s="180" t="s">
        <v>147</v>
      </c>
      <c r="C8" s="176">
        <v>45742</v>
      </c>
      <c r="D8" s="185" t="s">
        <v>2214</v>
      </c>
      <c r="E8" s="120"/>
      <c r="F8" s="108"/>
      <c r="G8" s="108"/>
      <c r="H8" s="179">
        <v>84</v>
      </c>
      <c r="I8" s="181"/>
      <c r="J8" s="185" t="s">
        <v>56</v>
      </c>
      <c r="K8" s="185" t="s">
        <v>56</v>
      </c>
      <c r="L8" s="185" t="s">
        <v>55</v>
      </c>
      <c r="M8" s="193">
        <v>45716</v>
      </c>
      <c r="N8" s="30" t="s">
        <v>310</v>
      </c>
      <c r="O8" s="30" t="s">
        <v>310</v>
      </c>
      <c r="P8" s="688" t="s">
        <v>310</v>
      </c>
      <c r="Q8" s="69" t="s">
        <v>310</v>
      </c>
      <c r="R8" s="43" t="s">
        <v>2213</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2213</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2213</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2213</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2213</v>
      </c>
      <c r="S12" s="43" t="s">
        <v>310</v>
      </c>
      <c r="T12" s="43" t="s">
        <v>310</v>
      </c>
      <c r="U12" s="69" t="s">
        <v>103</v>
      </c>
      <c r="V12" s="69" t="s">
        <v>103</v>
      </c>
      <c r="W12" s="30"/>
      <c r="X12" s="69" t="s">
        <v>103</v>
      </c>
      <c r="Y12" t="e">
        <f>VLOOKUP(A12,#REF!,2,FALSE)</f>
        <v>#REF!</v>
      </c>
    </row>
    <row r="13" spans="1:25">
      <c r="A13" s="178" t="s">
        <v>328</v>
      </c>
      <c r="B13" s="180" t="s">
        <v>147</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2216</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2217</v>
      </c>
      <c r="N16" s="30" t="s">
        <v>310</v>
      </c>
      <c r="O16" s="54" t="s">
        <v>2217</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2216</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2216</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2216</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2216</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2216</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2216</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2216</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2213</v>
      </c>
      <c r="S31" s="43" t="s">
        <v>310</v>
      </c>
      <c r="T31" s="139" t="s">
        <v>310</v>
      </c>
      <c r="U31" s="115" t="s">
        <v>310</v>
      </c>
      <c r="V31" s="69" t="s">
        <v>310</v>
      </c>
      <c r="W31" s="54">
        <v>45779</v>
      </c>
      <c r="X31" s="69" t="s">
        <v>2216</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2213</v>
      </c>
      <c r="S32" s="43" t="s">
        <v>310</v>
      </c>
      <c r="T32" s="139" t="s">
        <v>310</v>
      </c>
      <c r="U32" s="43" t="s">
        <v>310</v>
      </c>
      <c r="V32" s="69" t="s">
        <v>310</v>
      </c>
      <c r="W32" s="54">
        <v>45792</v>
      </c>
      <c r="X32" s="69" t="s">
        <v>2216</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2213</v>
      </c>
      <c r="S33" s="43" t="s">
        <v>310</v>
      </c>
      <c r="T33" s="139" t="s">
        <v>310</v>
      </c>
      <c r="U33" s="43" t="s">
        <v>310</v>
      </c>
      <c r="V33" s="329" t="s">
        <v>310</v>
      </c>
      <c r="W33" s="54">
        <v>45812</v>
      </c>
      <c r="X33" s="69" t="s">
        <v>2216</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2213</v>
      </c>
      <c r="S34" s="43" t="s">
        <v>310</v>
      </c>
      <c r="T34" s="139" t="s">
        <v>310</v>
      </c>
      <c r="U34" s="43" t="s">
        <v>310</v>
      </c>
      <c r="V34" s="396" t="s">
        <v>310</v>
      </c>
      <c r="W34" s="166">
        <v>45797</v>
      </c>
      <c r="X34" s="69" t="s">
        <v>2216</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2213</v>
      </c>
      <c r="S35" s="43" t="s">
        <v>310</v>
      </c>
      <c r="T35" s="139" t="s">
        <v>310</v>
      </c>
      <c r="U35" s="169" t="s">
        <v>310</v>
      </c>
      <c r="V35" s="69" t="s">
        <v>310</v>
      </c>
      <c r="W35" s="54">
        <v>45789</v>
      </c>
      <c r="X35" s="329" t="s">
        <v>2216</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2213</v>
      </c>
      <c r="S36" s="43" t="s">
        <v>310</v>
      </c>
      <c r="T36" s="139" t="s">
        <v>310</v>
      </c>
      <c r="U36" s="43" t="s">
        <v>310</v>
      </c>
      <c r="V36" s="69" t="s">
        <v>310</v>
      </c>
      <c r="W36" s="54">
        <v>45824</v>
      </c>
      <c r="X36" s="329" t="s">
        <v>2216</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2213</v>
      </c>
      <c r="S37" s="43" t="s">
        <v>310</v>
      </c>
      <c r="T37" s="43" t="s">
        <v>310</v>
      </c>
      <c r="U37" s="169" t="s">
        <v>310</v>
      </c>
      <c r="V37" s="69" t="s">
        <v>310</v>
      </c>
      <c r="W37" s="156">
        <v>45789</v>
      </c>
      <c r="X37" s="69" t="s">
        <v>2216</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2213</v>
      </c>
      <c r="S38" s="43" t="s">
        <v>310</v>
      </c>
      <c r="T38" s="43" t="s">
        <v>310</v>
      </c>
      <c r="U38" s="169" t="s">
        <v>310</v>
      </c>
      <c r="V38" s="69" t="s">
        <v>310</v>
      </c>
      <c r="W38" s="54">
        <v>45789</v>
      </c>
      <c r="X38" s="69" t="s">
        <v>2216</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2213</v>
      </c>
      <c r="S39" s="43" t="s">
        <v>310</v>
      </c>
      <c r="T39" s="43" t="s">
        <v>310</v>
      </c>
      <c r="U39" s="169" t="s">
        <v>310</v>
      </c>
      <c r="V39" s="69" t="s">
        <v>310</v>
      </c>
      <c r="W39" s="54">
        <v>45789</v>
      </c>
      <c r="X39" s="69" t="s">
        <v>2216</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2216</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2216</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2216</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2216</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2216</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2216</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2216</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2216</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2216</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2216</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2216</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2216</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2213</v>
      </c>
      <c r="S57" s="43" t="s">
        <v>310</v>
      </c>
      <c r="T57" s="43" t="s">
        <v>310</v>
      </c>
      <c r="U57" s="43" t="s">
        <v>310</v>
      </c>
      <c r="V57" s="69" t="s">
        <v>310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2213</v>
      </c>
      <c r="S58" s="43" t="s">
        <v>310</v>
      </c>
      <c r="T58" s="43" t="s">
        <v>310</v>
      </c>
      <c r="U58" s="43" t="s">
        <v>310</v>
      </c>
      <c r="V58" s="329" t="s">
        <v>310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2195</v>
      </c>
      <c r="P59" s="323" t="s">
        <v>310</v>
      </c>
      <c r="Q59" s="43" t="s">
        <v>310</v>
      </c>
      <c r="R59" s="43" t="s">
        <v>2213</v>
      </c>
      <c r="S59" s="43" t="s">
        <v>310</v>
      </c>
      <c r="T59" s="43" t="s">
        <v>310</v>
      </c>
      <c r="U59" s="43" t="s">
        <v>310</v>
      </c>
      <c r="V59" s="329" t="s">
        <v>310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2213</v>
      </c>
      <c r="S60" s="43" t="s">
        <v>310</v>
      </c>
      <c r="T60" s="43" t="s">
        <v>310</v>
      </c>
      <c r="U60" s="43" t="s">
        <v>310</v>
      </c>
      <c r="V60" s="329" t="s">
        <v>310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2213</v>
      </c>
      <c r="S81" s="43" t="s">
        <v>310</v>
      </c>
      <c r="T81" s="43" t="s">
        <v>310</v>
      </c>
      <c r="U81" s="115" t="s">
        <v>310</v>
      </c>
      <c r="V81" s="69" t="s">
        <v>310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2213</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2213</v>
      </c>
      <c r="S84" s="169" t="s">
        <v>310</v>
      </c>
      <c r="T84" s="169" t="s">
        <v>310</v>
      </c>
      <c r="U84" s="91" t="s">
        <v>310</v>
      </c>
      <c r="V84" s="69" t="s">
        <v>310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2213</v>
      </c>
      <c r="S85" s="169" t="s">
        <v>310</v>
      </c>
      <c r="T85" s="169" t="s">
        <v>310</v>
      </c>
      <c r="U85" s="91" t="s">
        <v>310</v>
      </c>
      <c r="V85" s="91" t="s">
        <v>310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2213</v>
      </c>
      <c r="S86" s="43" t="s">
        <v>310</v>
      </c>
      <c r="T86" s="43" t="s">
        <v>310</v>
      </c>
      <c r="U86" s="69" t="s">
        <v>310</v>
      </c>
      <c r="V86" s="69" t="s">
        <v>310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2213</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2213</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2213</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2213</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2213</v>
      </c>
      <c r="S91" s="69" t="s">
        <v>310</v>
      </c>
      <c r="T91" s="69" t="s">
        <v>310</v>
      </c>
      <c r="U91" s="69" t="s">
        <v>310</v>
      </c>
      <c r="V91" s="69" t="s">
        <v>310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2213</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2213</v>
      </c>
      <c r="S93" s="43" t="s">
        <v>310</v>
      </c>
      <c r="T93" s="43" t="s">
        <v>310</v>
      </c>
      <c r="U93" s="329" t="s">
        <v>310</v>
      </c>
      <c r="V93" s="69" t="s">
        <v>310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2213</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2213</v>
      </c>
      <c r="S95" s="69" t="s">
        <v>310</v>
      </c>
      <c r="T95" s="43" t="s">
        <v>310</v>
      </c>
      <c r="U95" s="69" t="s">
        <v>310</v>
      </c>
      <c r="V95" s="69" t="s">
        <v>310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2213</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2213</v>
      </c>
      <c r="S97" s="69" t="s">
        <v>310</v>
      </c>
      <c r="T97" s="69" t="s">
        <v>310</v>
      </c>
      <c r="U97" s="69" t="s">
        <v>310</v>
      </c>
      <c r="V97" s="43" t="s">
        <v>310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2213</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2213</v>
      </c>
      <c r="S99" s="43" t="s">
        <v>310</v>
      </c>
      <c r="T99" s="115" t="s">
        <v>310</v>
      </c>
      <c r="U99" s="148" t="s">
        <v>310</v>
      </c>
      <c r="V99" s="69" t="s">
        <v>310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2213</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2213</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2213</v>
      </c>
      <c r="S102" s="43" t="s">
        <v>310</v>
      </c>
      <c r="T102" s="43" t="s">
        <v>310</v>
      </c>
      <c r="U102" s="43" t="s">
        <v>310</v>
      </c>
      <c r="V102" s="165" t="s">
        <v>310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2213</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2213</v>
      </c>
      <c r="S104" s="43" t="s">
        <v>310</v>
      </c>
      <c r="T104" s="43" t="s">
        <v>310</v>
      </c>
      <c r="U104" s="43" t="s">
        <v>310</v>
      </c>
      <c r="V104" s="139" t="s">
        <v>310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2213</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2213</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2213</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2213</v>
      </c>
      <c r="S108" s="43" t="s">
        <v>310</v>
      </c>
      <c r="T108" s="43" t="s">
        <v>310</v>
      </c>
      <c r="U108" s="88" t="s">
        <v>310</v>
      </c>
      <c r="V108" s="472" t="s">
        <v>310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2213</v>
      </c>
      <c r="S109" s="43" t="s">
        <v>310</v>
      </c>
      <c r="T109" s="43" t="s">
        <v>310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2213</v>
      </c>
      <c r="S110" s="43" t="s">
        <v>310</v>
      </c>
      <c r="T110" s="43" t="s">
        <v>310</v>
      </c>
      <c r="U110" s="88" t="s">
        <v>310</v>
      </c>
      <c r="V110" s="472" t="s">
        <v>310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2213</v>
      </c>
      <c r="S111" s="43" t="s">
        <v>310</v>
      </c>
      <c r="T111" s="43" t="s">
        <v>310</v>
      </c>
      <c r="U111" s="43" t="s">
        <v>310</v>
      </c>
      <c r="V111" s="201" t="s">
        <v>310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2213</v>
      </c>
      <c r="S112" s="43" t="s">
        <v>310</v>
      </c>
      <c r="T112" s="43" t="s">
        <v>310</v>
      </c>
      <c r="U112" s="43" t="s">
        <v>310</v>
      </c>
      <c r="V112" s="201" t="s">
        <v>310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2213</v>
      </c>
      <c r="S113" s="115" t="s">
        <v>310</v>
      </c>
      <c r="T113" s="43" t="s">
        <v>310</v>
      </c>
      <c r="U113" s="43" t="s">
        <v>310</v>
      </c>
      <c r="V113" s="201" t="s">
        <v>310</v>
      </c>
      <c r="W113" s="470">
        <v>45791</v>
      </c>
      <c r="X113" s="148" t="s">
        <v>2216</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2213</v>
      </c>
      <c r="S114" s="115" t="s">
        <v>310</v>
      </c>
      <c r="T114" s="43" t="s">
        <v>310</v>
      </c>
      <c r="U114" s="157" t="s">
        <v>310</v>
      </c>
      <c r="V114" s="201" t="s">
        <v>310</v>
      </c>
      <c r="W114" s="54">
        <v>45798</v>
      </c>
      <c r="X114" s="69" t="s">
        <v>2216</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2213</v>
      </c>
      <c r="S115" s="43" t="s">
        <v>310</v>
      </c>
      <c r="T115" s="43" t="s">
        <v>310</v>
      </c>
      <c r="U115" s="43" t="s">
        <v>310</v>
      </c>
      <c r="V115" s="88" t="s">
        <v>310</v>
      </c>
      <c r="W115" s="54">
        <v>45814</v>
      </c>
      <c r="X115" s="69" t="s">
        <v>2216</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2213</v>
      </c>
      <c r="S116" s="43" t="s">
        <v>310</v>
      </c>
      <c r="T116" s="43" t="s">
        <v>310</v>
      </c>
      <c r="U116" s="43" t="s">
        <v>310</v>
      </c>
      <c r="V116" s="472" t="s">
        <v>310</v>
      </c>
      <c r="W116" s="54">
        <v>45807</v>
      </c>
      <c r="X116" s="69" t="s">
        <v>2216</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2213</v>
      </c>
      <c r="S117" s="43" t="s">
        <v>310</v>
      </c>
      <c r="T117" s="43" t="s">
        <v>310</v>
      </c>
      <c r="U117" s="43" t="s">
        <v>310</v>
      </c>
      <c r="V117" s="88" t="s">
        <v>310</v>
      </c>
      <c r="W117" s="54">
        <v>45811</v>
      </c>
      <c r="X117" s="69" t="s">
        <v>2216</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2213</v>
      </c>
      <c r="S118" s="43" t="s">
        <v>310</v>
      </c>
      <c r="T118" s="43" t="s">
        <v>310</v>
      </c>
      <c r="U118" s="157" t="s">
        <v>310</v>
      </c>
      <c r="V118" s="88" t="s">
        <v>310</v>
      </c>
      <c r="W118" s="54">
        <v>45810</v>
      </c>
      <c r="X118" s="69" t="s">
        <v>2216</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2213</v>
      </c>
      <c r="S119" s="43" t="s">
        <v>310</v>
      </c>
      <c r="T119" s="43" t="s">
        <v>310</v>
      </c>
      <c r="U119" s="157" t="s">
        <v>310</v>
      </c>
      <c r="V119" s="88" t="s">
        <v>310</v>
      </c>
      <c r="W119" s="54">
        <v>45813</v>
      </c>
      <c r="X119" s="69" t="s">
        <v>2216</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2213</v>
      </c>
      <c r="S120" s="43" t="s">
        <v>310</v>
      </c>
      <c r="T120" s="43" t="s">
        <v>310</v>
      </c>
      <c r="U120" s="43" t="s">
        <v>310</v>
      </c>
      <c r="V120" s="88" t="s">
        <v>310</v>
      </c>
      <c r="W120" s="54">
        <v>45811</v>
      </c>
      <c r="X120" s="69" t="s">
        <v>2216</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2213</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2213</v>
      </c>
      <c r="S122" s="43" t="s">
        <v>310</v>
      </c>
      <c r="T122" s="43" t="s">
        <v>310</v>
      </c>
      <c r="U122" s="157" t="s">
        <v>310</v>
      </c>
      <c r="V122" s="157" t="s">
        <v>310</v>
      </c>
      <c r="W122" s="54">
        <v>45789</v>
      </c>
      <c r="X122" s="69" t="s">
        <v>2216</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2213</v>
      </c>
      <c r="S123" s="43" t="s">
        <v>310</v>
      </c>
      <c r="T123" s="43" t="s">
        <v>310</v>
      </c>
      <c r="U123" s="43" t="s">
        <v>310</v>
      </c>
      <c r="V123" s="69" t="s">
        <v>310</v>
      </c>
      <c r="W123" s="54">
        <v>45811</v>
      </c>
      <c r="X123" s="69" t="s">
        <v>2216</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2213</v>
      </c>
      <c r="S124" s="43" t="s">
        <v>310</v>
      </c>
      <c r="T124" s="43" t="s">
        <v>310</v>
      </c>
      <c r="U124" s="43" t="s">
        <v>2219</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2213</v>
      </c>
      <c r="S125" s="43" t="s">
        <v>310</v>
      </c>
      <c r="T125" s="43" t="s">
        <v>310</v>
      </c>
      <c r="U125" s="43" t="s">
        <v>310</v>
      </c>
      <c r="V125" s="43" t="s">
        <v>310</v>
      </c>
      <c r="W125" s="54">
        <v>45814</v>
      </c>
      <c r="X125" s="69" t="s">
        <v>2216</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2213</v>
      </c>
      <c r="S126" s="43" t="s">
        <v>310</v>
      </c>
      <c r="T126" s="43" t="s">
        <v>310</v>
      </c>
      <c r="U126" s="43" t="s">
        <v>310</v>
      </c>
      <c r="V126" s="88" t="s">
        <v>310</v>
      </c>
      <c r="W126" s="54">
        <v>45819</v>
      </c>
      <c r="X126" s="69" t="s">
        <v>2216</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2213</v>
      </c>
      <c r="S127" s="43" t="s">
        <v>310</v>
      </c>
      <c r="T127" s="43" t="s">
        <v>310</v>
      </c>
      <c r="U127" s="43" t="s">
        <v>310</v>
      </c>
      <c r="V127" s="88" t="s">
        <v>310</v>
      </c>
      <c r="W127" s="54">
        <v>45812</v>
      </c>
      <c r="X127" s="69" t="s">
        <v>2216</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2213</v>
      </c>
      <c r="S128" s="43" t="s">
        <v>310</v>
      </c>
      <c r="T128" s="43" t="s">
        <v>310</v>
      </c>
      <c r="U128" s="43" t="s">
        <v>310</v>
      </c>
      <c r="V128" s="88" t="s">
        <v>310</v>
      </c>
      <c r="W128" s="166">
        <v>45883</v>
      </c>
      <c r="X128" s="69" t="s">
        <v>2216</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2213</v>
      </c>
      <c r="S129" s="43" t="s">
        <v>310</v>
      </c>
      <c r="T129" s="115" t="s">
        <v>310</v>
      </c>
      <c r="U129" s="115" t="s">
        <v>310</v>
      </c>
      <c r="V129" s="88" t="s">
        <v>310</v>
      </c>
      <c r="W129" s="166">
        <v>45814</v>
      </c>
      <c r="X129" s="69" t="s">
        <v>2216</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2213</v>
      </c>
      <c r="S130" s="43" t="s">
        <v>310</v>
      </c>
      <c r="T130" s="43" t="s">
        <v>310</v>
      </c>
      <c r="U130" s="43" t="s">
        <v>310</v>
      </c>
      <c r="V130" s="88" t="s">
        <v>310</v>
      </c>
      <c r="W130" s="54">
        <v>45798</v>
      </c>
      <c r="X130" s="69" t="s">
        <v>2216</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2213</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2213</v>
      </c>
      <c r="S132" s="43" t="s">
        <v>310</v>
      </c>
      <c r="T132" s="43" t="s">
        <v>310</v>
      </c>
      <c r="U132" s="43" t="s">
        <v>310</v>
      </c>
      <c r="V132" s="43" t="s">
        <v>310</v>
      </c>
      <c r="W132" s="54">
        <v>45820</v>
      </c>
      <c r="X132" s="69" t="s">
        <v>2216</v>
      </c>
      <c r="Y132" t="e">
        <f>VLOOKUP(A132,#REF!,2,FALSE)</f>
        <v>#REF!</v>
      </c>
    </row>
    <row r="133" spans="1:25" ht="15" customHeight="1">
      <c r="A133" s="353" t="s">
        <v>927</v>
      </c>
      <c r="B133" s="398" t="s">
        <v>50</v>
      </c>
      <c r="C133" s="362">
        <v>45742</v>
      </c>
      <c r="D133" s="411" t="s">
        <v>2220</v>
      </c>
      <c r="E133" s="356"/>
      <c r="F133" s="356"/>
      <c r="G133" s="356"/>
      <c r="H133" s="356">
        <v>38</v>
      </c>
      <c r="I133" s="355"/>
      <c r="J133" s="356" t="s">
        <v>56</v>
      </c>
      <c r="K133" s="356" t="s">
        <v>56</v>
      </c>
      <c r="L133" s="356" t="s">
        <v>55</v>
      </c>
      <c r="M133" s="49" t="s">
        <v>310</v>
      </c>
      <c r="N133" s="49" t="s">
        <v>310</v>
      </c>
      <c r="O133" s="54">
        <v>45701</v>
      </c>
      <c r="P133" s="30" t="s">
        <v>310</v>
      </c>
      <c r="Q133" s="69" t="s">
        <v>310</v>
      </c>
      <c r="R133" s="43" t="s">
        <v>2213</v>
      </c>
      <c r="S133" s="43" t="s">
        <v>310</v>
      </c>
      <c r="T133" s="43" t="s">
        <v>310</v>
      </c>
      <c r="U133" s="43" t="s">
        <v>310</v>
      </c>
      <c r="V133" s="69" t="s">
        <v>310</v>
      </c>
      <c r="W133" s="54">
        <v>45821</v>
      </c>
      <c r="X133" s="69" t="s">
        <v>2216</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2213</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2213</v>
      </c>
      <c r="S135" s="43" t="s">
        <v>310</v>
      </c>
      <c r="T135" s="43" t="s">
        <v>310</v>
      </c>
      <c r="U135" s="157" t="s">
        <v>310</v>
      </c>
      <c r="V135" s="43" t="s">
        <v>310</v>
      </c>
      <c r="W135" s="54">
        <v>45819</v>
      </c>
      <c r="X135" s="69" t="s">
        <v>2216</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2213</v>
      </c>
      <c r="S136" s="43" t="s">
        <v>310</v>
      </c>
      <c r="T136" s="43" t="s">
        <v>310</v>
      </c>
      <c r="U136" s="43" t="s">
        <v>310</v>
      </c>
      <c r="V136" s="43" t="s">
        <v>310</v>
      </c>
      <c r="W136" s="54">
        <v>45791</v>
      </c>
      <c r="X136" s="69" t="s">
        <v>2216</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2213</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2213</v>
      </c>
      <c r="S138" s="43" t="s">
        <v>310</v>
      </c>
      <c r="T138" s="43" t="s">
        <v>310</v>
      </c>
      <c r="U138" s="43" t="s">
        <v>310</v>
      </c>
      <c r="V138" s="43" t="s">
        <v>310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310</v>
      </c>
      <c r="N139" s="30" t="s">
        <v>310</v>
      </c>
      <c r="O139" s="30" t="s">
        <v>310</v>
      </c>
      <c r="P139" s="30" t="s">
        <v>310</v>
      </c>
      <c r="Q139" s="43" t="s">
        <v>310</v>
      </c>
      <c r="R139" s="43" t="s">
        <v>2213</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2213</v>
      </c>
      <c r="S140" s="43" t="s">
        <v>310</v>
      </c>
      <c r="T140" s="43" t="s">
        <v>310</v>
      </c>
      <c r="U140" s="88" t="s">
        <v>310</v>
      </c>
      <c r="V140" s="69" t="s">
        <v>310</v>
      </c>
      <c r="W140" s="54">
        <v>45819</v>
      </c>
      <c r="X140" s="69" t="s">
        <v>2216</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2213</v>
      </c>
      <c r="S141" s="43" t="s">
        <v>310</v>
      </c>
      <c r="T141" s="43" t="s">
        <v>310</v>
      </c>
      <c r="U141" s="88" t="s">
        <v>310</v>
      </c>
      <c r="V141" s="88" t="s">
        <v>310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310</v>
      </c>
      <c r="N142" s="49" t="s">
        <v>310</v>
      </c>
      <c r="O142" s="195">
        <v>45691</v>
      </c>
      <c r="P142" s="30" t="s">
        <v>310</v>
      </c>
      <c r="Q142" s="69" t="s">
        <v>310</v>
      </c>
      <c r="R142" s="43" t="s">
        <v>2213</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2213</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2216</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2213</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2213</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2213</v>
      </c>
      <c r="S153" s="43" t="s">
        <v>310</v>
      </c>
      <c r="T153" s="157" t="s">
        <v>310</v>
      </c>
      <c r="U153" s="157" t="s">
        <v>310</v>
      </c>
      <c r="V153" s="43" t="s">
        <v>310</v>
      </c>
      <c r="W153" s="54">
        <v>45807</v>
      </c>
      <c r="X153" s="69" t="s">
        <v>2216</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2213</v>
      </c>
      <c r="S154" s="43" t="s">
        <v>310</v>
      </c>
      <c r="T154" s="157" t="s">
        <v>310</v>
      </c>
      <c r="U154" s="157" t="s">
        <v>310</v>
      </c>
      <c r="V154" s="43" t="s">
        <v>310</v>
      </c>
      <c r="W154" s="166">
        <v>45792</v>
      </c>
      <c r="X154" s="148" t="s">
        <v>2216</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2213</v>
      </c>
      <c r="S155" s="43" t="s">
        <v>310</v>
      </c>
      <c r="T155" s="43" t="s">
        <v>310</v>
      </c>
      <c r="U155" s="157" t="s">
        <v>310</v>
      </c>
      <c r="V155" s="43" t="s">
        <v>310</v>
      </c>
      <c r="W155" s="351">
        <v>45821</v>
      </c>
      <c r="X155" s="69" t="s">
        <v>2216</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2213</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2213</v>
      </c>
      <c r="S158" s="43" t="s">
        <v>310</v>
      </c>
      <c r="T158" s="43" t="s">
        <v>310</v>
      </c>
      <c r="U158" s="157" t="s">
        <v>310</v>
      </c>
      <c r="V158" s="157" t="s">
        <v>310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2216</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2216</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2216</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2216</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2228</v>
      </c>
      <c r="C1" s="1541"/>
      <c r="D1" s="542"/>
      <c r="E1" s="1541" t="s">
        <v>2229</v>
      </c>
      <c r="F1" s="1541"/>
    </row>
    <row r="2" spans="1:25">
      <c r="B2" s="44" t="s">
        <v>2230</v>
      </c>
      <c r="E2" s="44" t="s">
        <v>22</v>
      </c>
      <c r="F2" t="s">
        <v>1125</v>
      </c>
      <c r="P2" s="44" t="s">
        <v>27</v>
      </c>
      <c r="Q2" t="s">
        <v>2231</v>
      </c>
    </row>
    <row r="3" spans="1:25">
      <c r="B3" s="44" t="s">
        <v>22</v>
      </c>
      <c r="C3" t="s">
        <v>1131</v>
      </c>
      <c r="K3" s="44" t="s">
        <v>2232</v>
      </c>
      <c r="L3" t="s">
        <v>2233</v>
      </c>
      <c r="P3" s="44" t="s">
        <v>2232</v>
      </c>
      <c r="Q3" t="s">
        <v>2233</v>
      </c>
    </row>
    <row r="4" spans="1:25">
      <c r="B4" t="s">
        <v>114</v>
      </c>
      <c r="C4">
        <v>4104</v>
      </c>
      <c r="E4" s="44" t="s">
        <v>2230</v>
      </c>
      <c r="F4" t="s">
        <v>1131</v>
      </c>
      <c r="W4" t="s">
        <v>2234</v>
      </c>
      <c r="X4">
        <v>22</v>
      </c>
    </row>
    <row r="5" spans="1:25">
      <c r="B5" t="s">
        <v>110</v>
      </c>
      <c r="C5">
        <v>16307</v>
      </c>
      <c r="E5" t="s">
        <v>1131</v>
      </c>
      <c r="F5">
        <v>20411</v>
      </c>
      <c r="K5" s="44" t="s">
        <v>2235</v>
      </c>
      <c r="P5" s="44" t="s">
        <v>2235</v>
      </c>
      <c r="W5" t="s">
        <v>2236</v>
      </c>
      <c r="X5">
        <v>13</v>
      </c>
    </row>
    <row r="6" spans="1:25">
      <c r="B6" t="s">
        <v>1157</v>
      </c>
      <c r="C6">
        <v>131229</v>
      </c>
      <c r="K6" s="44" t="s">
        <v>27</v>
      </c>
      <c r="L6" s="44" t="s">
        <v>2237</v>
      </c>
      <c r="M6" t="s">
        <v>1131</v>
      </c>
      <c r="P6" s="44" t="s">
        <v>2238</v>
      </c>
      <c r="Q6" s="44" t="s">
        <v>2237</v>
      </c>
      <c r="R6" t="s">
        <v>1131</v>
      </c>
    </row>
    <row r="7" spans="1:25">
      <c r="B7" t="s">
        <v>22</v>
      </c>
      <c r="C7">
        <v>0</v>
      </c>
      <c r="K7" t="s">
        <v>2231</v>
      </c>
      <c r="L7" t="s">
        <v>676</v>
      </c>
      <c r="M7">
        <v>1</v>
      </c>
      <c r="P7" t="s">
        <v>2239</v>
      </c>
      <c r="R7">
        <v>1</v>
      </c>
      <c r="X7" t="s">
        <v>2240</v>
      </c>
      <c r="Y7" t="s">
        <v>2241</v>
      </c>
    </row>
    <row r="8" spans="1:25">
      <c r="B8" t="s">
        <v>155</v>
      </c>
      <c r="C8">
        <v>7128</v>
      </c>
      <c r="L8" t="s">
        <v>678</v>
      </c>
      <c r="M8">
        <v>1</v>
      </c>
      <c r="P8" t="s">
        <v>2242</v>
      </c>
      <c r="R8">
        <v>1</v>
      </c>
      <c r="V8" t="s">
        <v>2243</v>
      </c>
      <c r="W8" s="253">
        <v>203521</v>
      </c>
      <c r="X8" s="309">
        <f>X5/X4</f>
        <v>0.59090909090909094</v>
      </c>
      <c r="Y8" s="309">
        <f>W9/W8</f>
        <v>0.31446386367991508</v>
      </c>
    </row>
    <row r="9" spans="1:25">
      <c r="B9" t="s">
        <v>202</v>
      </c>
      <c r="C9">
        <v>26662</v>
      </c>
      <c r="L9" t="s">
        <v>2244</v>
      </c>
      <c r="M9">
        <v>1</v>
      </c>
      <c r="P9" t="s">
        <v>2245</v>
      </c>
      <c r="Q9" t="s">
        <v>2244</v>
      </c>
      <c r="R9">
        <v>1</v>
      </c>
      <c r="V9" t="s">
        <v>2246</v>
      </c>
      <c r="W9">
        <v>64000</v>
      </c>
    </row>
    <row r="10" spans="1:25">
      <c r="B10" t="s">
        <v>82</v>
      </c>
      <c r="C10">
        <v>13764</v>
      </c>
      <c r="L10" t="s">
        <v>871</v>
      </c>
      <c r="M10">
        <v>1</v>
      </c>
      <c r="Q10" t="s">
        <v>875</v>
      </c>
      <c r="R10">
        <v>1</v>
      </c>
    </row>
    <row r="11" spans="1:25">
      <c r="B11" t="s">
        <v>126</v>
      </c>
      <c r="C11">
        <v>3</v>
      </c>
      <c r="L11" t="s">
        <v>875</v>
      </c>
      <c r="M11">
        <v>1</v>
      </c>
      <c r="Q11" t="s">
        <v>878</v>
      </c>
      <c r="R11">
        <v>1</v>
      </c>
    </row>
    <row r="12" spans="1:25">
      <c r="B12" t="s">
        <v>95</v>
      </c>
      <c r="C12">
        <v>6931</v>
      </c>
      <c r="L12" t="s">
        <v>878</v>
      </c>
      <c r="M12">
        <v>1</v>
      </c>
      <c r="Q12" t="s">
        <v>2247</v>
      </c>
      <c r="R12">
        <v>1</v>
      </c>
    </row>
    <row r="13" spans="1:25">
      <c r="B13" t="s">
        <v>51</v>
      </c>
      <c r="C13">
        <v>16108</v>
      </c>
      <c r="L13" t="s">
        <v>2248</v>
      </c>
      <c r="M13">
        <v>1</v>
      </c>
      <c r="Q13" t="s">
        <v>1080</v>
      </c>
      <c r="R13">
        <v>1</v>
      </c>
    </row>
    <row r="14" spans="1:25">
      <c r="B14" t="s">
        <v>226</v>
      </c>
      <c r="C14">
        <v>12242</v>
      </c>
      <c r="L14" t="s">
        <v>892</v>
      </c>
      <c r="M14">
        <v>1</v>
      </c>
      <c r="P14" t="s">
        <v>2249</v>
      </c>
      <c r="R14">
        <v>5</v>
      </c>
    </row>
    <row r="15" spans="1:25">
      <c r="B15" t="s">
        <v>1128</v>
      </c>
      <c r="C15">
        <v>234478</v>
      </c>
      <c r="L15" t="s">
        <v>2247</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2250</v>
      </c>
      <c r="M21">
        <v>1</v>
      </c>
    </row>
    <row r="22" spans="11:13">
      <c r="L22" t="s">
        <v>1080</v>
      </c>
      <c r="M22">
        <v>1</v>
      </c>
    </row>
    <row r="23" spans="11:13">
      <c r="L23" t="s">
        <v>940</v>
      </c>
      <c r="M23">
        <v>1</v>
      </c>
    </row>
    <row r="24" spans="11:13">
      <c r="L24" t="s">
        <v>969</v>
      </c>
      <c r="M24">
        <v>1</v>
      </c>
    </row>
    <row r="25" spans="11:13">
      <c r="L25" t="s">
        <v>122</v>
      </c>
      <c r="M25">
        <v>1</v>
      </c>
    </row>
    <row r="26" spans="11:13">
      <c r="K26" t="s">
        <v>2251</v>
      </c>
      <c r="M26">
        <v>19</v>
      </c>
    </row>
    <row r="27" spans="11:13">
      <c r="K27" t="s">
        <v>2252</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2253</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2254</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2255</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660</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1154</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1171</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1179</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1156</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521</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1151</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1177</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517</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1155</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969</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940</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943</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886</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888</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871</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875</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878</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1080</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906</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910</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898</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892</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894</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890</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900</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904</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908</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530</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527</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524</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676</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678</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122</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727</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721</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719</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725</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701</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703</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699</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758</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699</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701</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703</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1131</v>
      </c>
      <c r="B73" s="297">
        <f>SUM(B70:B72)</f>
        <v>0</v>
      </c>
      <c r="C73" s="275"/>
    </row>
    <row r="80" spans="1:25">
      <c r="A80" t="s">
        <v>2283</v>
      </c>
    </row>
    <row r="81" spans="1:1">
      <c r="A81" t="s">
        <v>2284</v>
      </c>
    </row>
    <row r="82" spans="1:1">
      <c r="A82" t="s">
        <v>2269</v>
      </c>
    </row>
    <row r="83" spans="1:1">
      <c r="A83" t="s">
        <v>2285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8A1C20D-AA35-483B-AE83-45BC5689EE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2026-02-10T21:23:00Z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