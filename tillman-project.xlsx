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39" documentId="8_{E14B221E-02E2-46A3-8CEC-C736815F2DD5}" xr6:coauthVersionLast="47" xr6:coauthVersionMax="47" xr10:uidLastSave="{9D02001E-3222-49C4-8F1D-36248B59962D}"/>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<sst xmlns="http://schemas.openxmlformats.org/spreadsheetml/2006/main" count="17187" uniqueCount="2208">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</sst>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opLeftCell="A118" zoomScale="90" zoomScaleNormal="90" workbookViewId="0">
      <pane xSplit="1" topLeftCell="U19" activePane="topRight" state="frozen"/>
      <selection pane="topRight" activeCell="W7" sqref="W7"/>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5">
        <v>3491</v>
      </c>
      <c r="X80" s="1505">
        <f>SUM(V80-W80)</f>
        <v>3334</v>
      </c>
      <c r="Y80" s="659">
        <f>IFERROR($W80/$V80, 0)</f>
        <v>0.51150183150183148</v>
      </c>
      <c r="Z80" s="1503">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195">
        <v>2719</v>
      </c>
      <c r="X82" s="1195">
        <f t="shared" si="5"/>
        <v>3894</v>
      </c>
      <c r="Y82" s="659">
        <f t="shared" si="6"/>
        <v>0.4111598366853168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287</v>
      </c>
      <c r="AE86" s="1257"/>
    </row>
    <row r="87" spans="1:31" ht="24.75" customHeight="1">
      <c r="A87" s="1418" t="s">
        <v>288</v>
      </c>
      <c r="B87" s="1009" t="s">
        <v>274</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8">
        <v>545</v>
      </c>
      <c r="W87" s="1509"/>
      <c r="X87" s="1509">
        <f>SUM(V87-W87)</f>
        <v>545</v>
      </c>
      <c r="Y87" s="654">
        <f>IFERROR($W87/$V87, 0)</f>
        <v>0</v>
      </c>
      <c r="Z87" s="1510"/>
      <c r="AA87" s="1271">
        <v>0</v>
      </c>
      <c r="AB87" s="1271">
        <v>0</v>
      </c>
      <c r="AC87" s="1270">
        <v>0</v>
      </c>
      <c r="AD87" s="1198" t="s">
        <v>287</v>
      </c>
      <c r="AE87" s="1257"/>
    </row>
    <row r="88" spans="1:31" ht="24.75" customHeight="1">
      <c r="A88" s="1418" t="s">
        <v>289</v>
      </c>
      <c r="B88" s="1009" t="s">
        <v>274</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8">
        <v>1172</v>
      </c>
      <c r="W88" s="1509"/>
      <c r="X88" s="1509">
        <f>SUM(V88-W88)</f>
        <v>1172</v>
      </c>
      <c r="Y88" s="654">
        <f>IFERROR($W88/$V88, 0)</f>
        <v>0</v>
      </c>
      <c r="Z88" s="1510"/>
      <c r="AA88" s="1271">
        <v>0</v>
      </c>
      <c r="AB88" s="1271">
        <v>0</v>
      </c>
      <c r="AC88" s="1270">
        <v>0</v>
      </c>
      <c r="AD88" s="1198" t="s">
        <v>287</v>
      </c>
      <c r="AE88" s="1257"/>
    </row>
    <row r="89" spans="1:31" ht="24.75" customHeight="1">
      <c r="A89" s="1418" t="s">
        <v>290</v>
      </c>
      <c r="B89" s="1009" t="s">
        <v>274</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8">
        <v>4184</v>
      </c>
      <c r="W89" s="1509"/>
      <c r="X89" s="1509">
        <f>SUM(V89-W89)</f>
        <v>4184</v>
      </c>
      <c r="Y89" s="654">
        <f>IFERROR($W89/$V89, 0)</f>
        <v>0</v>
      </c>
      <c r="Z89" s="1510"/>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09">
        <v>3893</v>
      </c>
      <c r="X98" s="1393">
        <f t="shared" ref="X98:X101" si="10">SUM(V98-W98)</f>
        <v>1806</v>
      </c>
      <c r="Y98" s="1140">
        <f t="shared" ref="Y98:Y101" si="11">IFERROR($W98/$V98, 0)</f>
        <v>0.68310229864888572</v>
      </c>
      <c r="Z98" s="1511">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09">
        <v>3433</v>
      </c>
      <c r="X99" s="1393">
        <f t="shared" si="10"/>
        <v>2999</v>
      </c>
      <c r="Y99" s="1140">
        <f t="shared" si="11"/>
        <v>0.53373756218905477</v>
      </c>
      <c r="Z99" s="1511">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2">
        <v>4339</v>
      </c>
      <c r="X100" s="1251">
        <f t="shared" si="10"/>
        <v>2806</v>
      </c>
      <c r="Y100" s="870">
        <f t="shared" si="11"/>
        <v>0.60727781665500347</v>
      </c>
      <c r="Z100" s="1511">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3">
        <v>5625</v>
      </c>
      <c r="X101" s="1251">
        <f t="shared" si="10"/>
        <v>1716</v>
      </c>
      <c r="Y101" s="870">
        <f t="shared" si="11"/>
        <v>0.76624438087454028</v>
      </c>
      <c r="Z101" s="1511">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4">
        <v>3201</v>
      </c>
      <c r="X102" s="1458">
        <f t="shared" ref="X102" si="12">SUM(V102-W102)</f>
        <v>821</v>
      </c>
      <c r="Y102" s="1380">
        <f t="shared" ref="Y102" si="13">IFERROR($W102/$V102, 0)</f>
        <v>0.79587270014917955</v>
      </c>
      <c r="Z102" s="1515">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1"/>
      <c r="R115" s="1350"/>
      <c r="S115" s="1350"/>
      <c r="T115" s="1350"/>
      <c r="U115" s="1350"/>
      <c r="V115" s="1251">
        <v>8641</v>
      </c>
      <c r="W115" s="1509"/>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6"/>
      <c r="R116" s="1352"/>
      <c r="S116" s="1352"/>
      <c r="T116" s="1352"/>
      <c r="U116" s="1352"/>
      <c r="V116" s="1354">
        <v>7502</v>
      </c>
      <c r="W116" s="1517"/>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7"/>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1" t="s">
        <v>63</v>
      </c>
      <c r="K15" s="1501"/>
      <c r="L15" s="476" t="s">
        <v>52</v>
      </c>
      <c r="M15" s="478" t="s">
        <v>57</v>
      </c>
      <c r="N15" s="1502">
        <v>1035</v>
      </c>
      <c r="O15" s="1211" t="s">
        <v>57</v>
      </c>
      <c r="P15" s="1261" t="s">
        <v>345</v>
      </c>
      <c r="Q15" s="1503">
        <v>46030</v>
      </c>
      <c r="R15" s="1324"/>
      <c r="S15" s="1324"/>
      <c r="T15" s="1324"/>
      <c r="U15" s="1324"/>
      <c r="V15" s="1504">
        <v>0</v>
      </c>
      <c r="W15" s="1518">
        <v>0</v>
      </c>
      <c r="X15" s="1505">
        <f>SUM(V15-W15)</f>
        <v>0</v>
      </c>
      <c r="Y15" s="659">
        <v>1</v>
      </c>
      <c r="Z15" s="1503">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1">
        <v>0</v>
      </c>
      <c r="I29" s="658" t="s">
        <v>344</v>
      </c>
      <c r="J29" s="1501" t="s">
        <v>63</v>
      </c>
      <c r="K29" s="1501"/>
      <c r="L29" s="1328" t="s">
        <v>142</v>
      </c>
      <c r="M29" s="1501" t="s">
        <v>57</v>
      </c>
      <c r="N29" s="1519">
        <v>15670.45</v>
      </c>
      <c r="O29" s="1501" t="s">
        <v>57</v>
      </c>
      <c r="P29" s="1520" t="s">
        <v>345</v>
      </c>
      <c r="Q29" s="1521">
        <v>46031</v>
      </c>
      <c r="R29" s="1521"/>
      <c r="S29" s="1521"/>
      <c r="T29" s="1521"/>
      <c r="U29" s="1521"/>
      <c r="V29" s="783">
        <v>1202</v>
      </c>
      <c r="W29" s="1262">
        <v>1208</v>
      </c>
      <c r="X29" s="1505">
        <f>SUM(V29-W29)</f>
        <v>-6</v>
      </c>
      <c r="Y29" s="659">
        <v>1</v>
      </c>
      <c r="Z29" s="1214">
        <v>46035</v>
      </c>
      <c r="AA29" s="355">
        <v>1</v>
      </c>
      <c r="AB29" s="1522">
        <v>0</v>
      </c>
      <c r="AC29" s="1505">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3">
        <v>5829</v>
      </c>
      <c r="X35" s="1393">
        <f t="shared" ref="X35:X38" si="15">SUM(V35-W35)</f>
        <v>31</v>
      </c>
      <c r="Y35" s="1140">
        <f t="shared" si="13"/>
        <v>0.99470989761092155</v>
      </c>
      <c r="Z35" s="1511">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3">
        <v>6080</v>
      </c>
      <c r="X36" s="1393">
        <f t="shared" si="15"/>
        <v>-59</v>
      </c>
      <c r="Y36" s="1140">
        <f t="shared" si="13"/>
        <v>1.0097990367048664</v>
      </c>
      <c r="Z36" s="1511">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3">
        <v>4810</v>
      </c>
      <c r="X37" s="1394">
        <f t="shared" si="15"/>
        <v>26</v>
      </c>
      <c r="Y37" s="1380">
        <f t="shared" si="13"/>
        <v>0.9946236559139785</v>
      </c>
      <c r="Z37" s="1516">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4">
        <v>1277</v>
      </c>
      <c r="X38" s="1251">
        <f t="shared" si="15"/>
        <v>7</v>
      </c>
      <c r="Y38" s="870">
        <f t="shared" si="13"/>
        <v>0.99454828660436134</v>
      </c>
      <c r="Z38" s="1511">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tabSelected="1"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CBD5F0F-D0EF-4ED1-B77E-F00110A4F35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2026-01-21T22:45:45Z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