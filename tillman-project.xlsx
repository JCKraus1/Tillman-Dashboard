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622" documentId="120_S{26355A1A-C9FF-5539-9B49-32C1F08D0326}" xr6:coauthVersionLast="47" xr6:coauthVersionMax="47" xr10:uidLastSave="{6827ACD2-5AC4-438A-B23A-0F1FBD7DFBF5}"/>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704" r:id="rId10"/>
    <pivotCache cacheId="1705" r:id="rId11"/>
    <pivotCache cacheId="1706" r:id="rId12"/>
    <pivotCache cacheId="1707" r:id="rId13"/>
    <pivotCache cacheId="170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7" i="30" l="1"/>
  <c r="T7" i="30"/>
  <c r="U169" i="30"/>
  <c r="U22" i="30"/>
  <c r="U20" i="30"/>
  <c r="U60" i="30"/>
  <c r="U256" i="30"/>
  <c r="U51" i="30"/>
  <c r="U253" i="30"/>
  <c r="X21" i="31"/>
  <c r="Y21" i="31"/>
  <c r="U157" i="30"/>
  <c r="U252" i="30"/>
  <c r="U250" i="30"/>
  <c r="X65" i="2"/>
  <c r="Y65" i="2"/>
  <c r="U257" i="30"/>
  <c r="U249" i="30"/>
  <c r="U162" i="30"/>
  <c r="U251" i="30"/>
  <c r="Y20" i="31"/>
  <c r="X20" i="31"/>
  <c r="U272" i="30"/>
  <c r="U52" i="30"/>
  <c r="U270" i="30"/>
  <c r="U247" i="30"/>
  <c r="U171" i="30"/>
  <c r="U259" i="30"/>
  <c r="U271" i="30"/>
  <c r="X66" i="2"/>
  <c r="Y66" i="2"/>
  <c r="X67" i="2"/>
  <c r="Y67" i="2"/>
  <c r="Y77" i="2"/>
  <c r="X77" i="2"/>
  <c r="Y76" i="2"/>
  <c r="X76" i="2"/>
  <c r="Y75" i="2"/>
  <c r="X75" i="2"/>
  <c r="Y74" i="2"/>
  <c r="X74" i="2"/>
  <c r="Y73" i="2"/>
  <c r="X73" i="2"/>
  <c r="Y72" i="2"/>
  <c r="X72" i="2"/>
  <c r="Y71" i="2"/>
  <c r="X71" i="2"/>
  <c r="Y70" i="2"/>
  <c r="X70" i="2"/>
  <c r="Y69" i="2"/>
  <c r="X69" i="2"/>
  <c r="Y68" i="2"/>
  <c r="X68" i="2"/>
  <c r="U262" i="30"/>
  <c r="U254" i="30"/>
  <c r="U244" i="30"/>
  <c r="U265" i="30"/>
  <c r="U248" i="30"/>
  <c r="X31" i="31"/>
  <c r="Y31" i="31"/>
  <c r="X3" i="2"/>
  <c r="U261" i="30"/>
  <c r="U260" i="30"/>
  <c r="U263" i="30"/>
  <c r="U160" i="30"/>
  <c r="U273" i="30"/>
  <c r="U274" i="30"/>
  <c r="U168" i="30"/>
  <c r="U161" i="30"/>
  <c r="U264" i="30"/>
  <c r="Y290" i="30"/>
  <c r="X290" i="30"/>
  <c r="U258" i="30"/>
  <c r="U159" i="30"/>
  <c r="U156" i="30"/>
  <c r="U243" i="30"/>
  <c r="U242" i="30"/>
  <c r="U230" i="30"/>
  <c r="T230" i="30"/>
  <c r="U235" i="30"/>
  <c r="U234" i="30"/>
  <c r="T234" i="30"/>
  <c r="U226" i="30"/>
  <c r="U224" i="30"/>
  <c r="T224" i="30"/>
  <c r="U214" i="30"/>
  <c r="U221" i="30"/>
  <c r="U220" i="30"/>
  <c r="U219" i="30"/>
  <c r="U210" i="30"/>
  <c r="U209" i="30"/>
  <c r="U208" i="30"/>
  <c r="U207" i="30"/>
  <c r="T210" i="30"/>
  <c r="T207" i="30"/>
  <c r="U203" i="30"/>
  <c r="U201" i="30"/>
  <c r="U200" i="30"/>
  <c r="U198" i="30"/>
  <c r="U197" i="30"/>
  <c r="T197" i="30"/>
  <c r="U193" i="30"/>
  <c r="U192" i="30"/>
  <c r="U188" i="30"/>
  <c r="U187" i="30"/>
  <c r="U186" i="30"/>
  <c r="U185" i="30"/>
  <c r="U184" i="30"/>
  <c r="U183" i="30"/>
  <c r="T187" i="30"/>
  <c r="T183" i="30"/>
  <c r="U182" i="30"/>
  <c r="U181" i="30"/>
  <c r="U175" i="30"/>
  <c r="U167" i="30"/>
  <c r="U166" i="30"/>
  <c r="U158" i="30"/>
  <c r="T158" i="30"/>
  <c r="U245" i="30"/>
  <c r="Y25" i="2"/>
  <c r="X25" i="2"/>
  <c r="Y23" i="2"/>
  <c r="X23" i="2"/>
  <c r="U223" i="30"/>
  <c r="U155" i="30"/>
  <c r="U268" i="30"/>
  <c r="U269" i="30"/>
  <c r="U229" i="30"/>
  <c r="U177" i="30"/>
  <c r="U202" i="30"/>
  <c r="X30" i="2"/>
  <c r="Y30" i="2"/>
  <c r="U213" i="30"/>
  <c r="X29" i="2"/>
  <c r="Y29" i="2"/>
  <c r="X59" i="2"/>
  <c r="Y59" i="2"/>
  <c r="X60" i="2"/>
  <c r="Y60" i="2"/>
  <c r="U236" i="30"/>
  <c r="U164" i="30"/>
  <c r="U170" i="30"/>
  <c r="U179" i="30"/>
  <c r="U267" i="30"/>
  <c r="U216" i="30"/>
  <c r="U180" i="30"/>
  <c r="X22" i="31"/>
  <c r="Y22" i="31"/>
  <c r="U255" i="30"/>
  <c r="X55" i="2"/>
  <c r="Y55" i="2"/>
  <c r="X56" i="2"/>
  <c r="Y56" i="2"/>
  <c r="X46" i="2"/>
  <c r="Y46" i="2"/>
  <c r="U266" i="30"/>
  <c r="Y16" i="31"/>
  <c r="X16" i="31"/>
  <c r="Y15" i="31"/>
  <c r="X15" i="31"/>
  <c r="Y12" i="31"/>
  <c r="X12" i="31"/>
  <c r="Y11" i="31"/>
  <c r="X11" i="31"/>
  <c r="U225" i="30"/>
  <c r="U206" i="30"/>
  <c r="U205" i="30"/>
  <c r="Y16" i="2"/>
  <c r="X81" i="2"/>
  <c r="Y81" i="2"/>
  <c r="Y8" i="31"/>
  <c r="X8" i="31"/>
  <c r="Y7" i="31"/>
  <c r="X7" i="31"/>
  <c r="U222" i="30"/>
  <c r="Y24" i="31"/>
  <c r="X24" i="31"/>
  <c r="Y64" i="2"/>
  <c r="X64" i="2"/>
  <c r="Y33" i="31"/>
  <c r="X33" i="31"/>
  <c r="U204" i="30"/>
  <c r="U194" i="30"/>
  <c r="Y14" i="31"/>
  <c r="X14" i="31"/>
  <c r="Y35" i="31"/>
  <c r="X35" i="31"/>
  <c r="U246" i="30"/>
  <c r="Y36" i="31"/>
  <c r="X36" i="31"/>
  <c r="Y19" i="31"/>
  <c r="X19" i="31"/>
  <c r="Y144" i="2"/>
  <c r="Y145" i="2"/>
  <c r="Y146" i="2"/>
  <c r="Y147" i="2"/>
  <c r="Y148" i="2"/>
  <c r="Y149" i="2"/>
  <c r="Y150" i="2"/>
  <c r="Y151" i="2"/>
  <c r="Y152" i="2"/>
  <c r="Y153" i="2"/>
  <c r="Y154" i="2"/>
  <c r="Y155" i="2"/>
  <c r="Y27" i="31"/>
  <c r="X27" i="31"/>
  <c r="Y28" i="31"/>
  <c r="X28" i="31"/>
  <c r="Y45" i="2"/>
  <c r="X45" i="2"/>
  <c r="Y52" i="2"/>
  <c r="X52" i="2"/>
  <c r="Y13" i="31"/>
  <c r="X13" i="31"/>
  <c r="U176" i="30"/>
  <c r="X26" i="31"/>
  <c r="Y26" i="31"/>
  <c r="U57" i="30"/>
  <c r="U212" i="30"/>
  <c r="Y23" i="31"/>
  <c r="X23" i="31"/>
  <c r="Y25" i="31"/>
  <c r="X25" i="31"/>
  <c r="Y18" i="31"/>
  <c r="X18" i="31"/>
  <c r="X48" i="2"/>
  <c r="Y48" i="2"/>
  <c r="X32" i="31"/>
  <c r="Y32" i="31"/>
  <c r="Y5" i="31"/>
  <c r="X5" i="31"/>
  <c r="X58" i="2"/>
  <c r="Y58" i="2"/>
  <c r="Y11" i="2"/>
  <c r="X11" i="2"/>
  <c r="Y17" i="31"/>
  <c r="X17" i="31"/>
  <c r="Y19" i="2"/>
  <c r="X19" i="2"/>
  <c r="X7" i="2"/>
  <c r="Y7" i="2"/>
  <c r="Y4" i="31"/>
  <c r="X4" i="31"/>
  <c r="Y12" i="2"/>
  <c r="X12" i="2"/>
  <c r="T240" i="30"/>
  <c r="X50" i="2"/>
  <c r="Y50" i="2"/>
  <c r="Y14" i="2"/>
  <c r="X14" i="2"/>
  <c r="Y10" i="31"/>
  <c r="X10" i="31"/>
  <c r="Y15" i="2"/>
  <c r="X15" i="2"/>
  <c r="X47" i="2"/>
  <c r="Y47" i="2"/>
  <c r="X53" i="2"/>
  <c r="Y53" i="2"/>
  <c r="U173"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4" i="31"/>
  <c r="X34" i="31"/>
  <c r="Y30" i="31"/>
  <c r="X30" i="31"/>
  <c r="Y29" i="31"/>
  <c r="X29"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63" i="30"/>
  <c r="U218" i="30"/>
  <c r="U215" i="30"/>
  <c r="U217" i="30"/>
  <c r="U172" i="30"/>
  <c r="U178" i="30"/>
  <c r="U231" i="30"/>
  <c r="U232" i="30"/>
  <c r="U233" i="30"/>
  <c r="U238" i="30"/>
  <c r="U239" i="30"/>
  <c r="Y36" i="2"/>
  <c r="Y35" i="2"/>
  <c r="Y32" i="2"/>
  <c r="Y31" i="2"/>
  <c r="Y24" i="2"/>
  <c r="Y22" i="2"/>
  <c r="Y21" i="2"/>
  <c r="Y20" i="2"/>
  <c r="Y17" i="2"/>
  <c r="Y4" i="2"/>
  <c r="Y3" i="2"/>
  <c r="Y2" i="2"/>
  <c r="U79" i="30"/>
  <c r="U9" i="30"/>
  <c r="U11" i="30"/>
  <c r="U12" i="30"/>
  <c r="U15" i="30"/>
  <c r="U16" i="30"/>
  <c r="U17" i="30"/>
  <c r="U18" i="30"/>
  <c r="U19" i="30"/>
  <c r="U21" i="30"/>
  <c r="U23" i="30"/>
  <c r="U24" i="30"/>
  <c r="U25" i="30"/>
  <c r="U26" i="30"/>
  <c r="U27" i="30"/>
  <c r="U28" i="30"/>
  <c r="U29" i="30"/>
  <c r="U30" i="30"/>
  <c r="U31" i="30"/>
  <c r="U32" i="30"/>
  <c r="U33" i="30"/>
  <c r="U34" i="30"/>
  <c r="U47" i="30"/>
  <c r="U48" i="30"/>
  <c r="U49" i="30"/>
  <c r="U50" i="30"/>
  <c r="U55" i="30"/>
  <c r="U62" i="30"/>
  <c r="U73" i="30"/>
  <c r="U75" i="30"/>
  <c r="U74" i="30"/>
  <c r="U78" i="30"/>
  <c r="U81" i="30"/>
  <c r="U82" i="30"/>
  <c r="U84" i="30"/>
  <c r="U86" i="30"/>
  <c r="U88" i="30"/>
  <c r="U91" i="30"/>
  <c r="U93" i="30"/>
  <c r="U97" i="30"/>
  <c r="U99" i="30"/>
  <c r="U100" i="30"/>
  <c r="U101" i="30"/>
  <c r="U102" i="30"/>
  <c r="U103" i="30"/>
  <c r="U104" i="30"/>
  <c r="U105" i="30"/>
  <c r="U106" i="30"/>
  <c r="U107" i="30"/>
  <c r="U108" i="30"/>
  <c r="U109" i="30"/>
  <c r="U112" i="30"/>
  <c r="U113" i="30"/>
  <c r="U114" i="30"/>
  <c r="U116" i="30"/>
  <c r="U118" i="30"/>
  <c r="U120" i="30"/>
  <c r="U121" i="30"/>
  <c r="U122" i="30"/>
  <c r="U123" i="30"/>
  <c r="U124" i="30"/>
  <c r="U127" i="30"/>
  <c r="U128" i="30"/>
  <c r="U129" i="30"/>
  <c r="U131" i="30"/>
  <c r="U132" i="30"/>
  <c r="U133" i="30"/>
  <c r="U111" i="30"/>
  <c r="U115" i="30"/>
  <c r="U4" i="30"/>
  <c r="U8"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8" authorId="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9" authorId="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 authorId="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 authorId="1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1" authorId="2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2" authorId="2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2" authorId="2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2" authorId="2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3" authorId="24"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 authorId="25"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 authorId="26"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7"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5" authorId="2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5" authorId="2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5" authorId="3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6" authorId="3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 authorId="3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8" authorId="3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9" authorId="3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9" authorId="3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20" authorId="40"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0" authorId="41"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1" authorId="4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1" authorId="4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2" authorId="44"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2" authorId="45"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3" authorId="4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4" authorId="4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4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5" authorId="5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6" authorId="5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7" authorId="5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8" authorId="5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5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5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1" authorId="6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2" authorId="6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2" authorId="6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3" authorId="6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4" authorId="7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5" authorId="7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6" authorId="7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6" authorId="7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7" authorId="7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7" authorId="8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8" authorId="8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8" authorId="8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9" authorId="8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0" authorId="8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1" authorId="8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2" authorId="8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3" authorId="9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4" authorId="9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5" authorId="9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6" authorId="9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7" authorId="99"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7" authorId="100"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8" authorId="101"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8" authorId="102"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9" authorId="103"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9" authorId="104"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9" authorId="105"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50" authorId="106"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0" authorId="107"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1" authorId="10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1" authorId="10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2" authorId="11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2" authorId="11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3" authorId="1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3" authorId="1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4" authorId="11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4" authorId="11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5" authorId="11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5" authorId="11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5" authorId="11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6" authorId="11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7" authorId="12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7" authorId="12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7" authorId="12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8" authorId="12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8" authorId="12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9" authorId="12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0" authorId="13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1" authorId="13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1" authorId="13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2" authorId="13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2" authorId="13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3" authorId="13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3" authorId="13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3" authorId="13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4" authorId="13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4" authorId="13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5" authorId="14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5" authorId="14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6" authorId="14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6" authorId="14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7" authorId="14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7" authorId="14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8" authorId="14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8" authorId="14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9" authorId="14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9" authorId="14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0" authorId="15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1" authorId="15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1" authorId="15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2" authorId="15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2" authorId="15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3" authorId="1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3" authorId="1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4" authorId="1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4" authorId="1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5" authorId="1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5" authorId="1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6" authorId="1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7" authorId="1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7" authorId="1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8" authorId="1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8" authorId="1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8" authorId="1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9" authorId="1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9" authorId="1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9" authorId="1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0" authorId="1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0" authorId="1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1" authorId="1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1" authorId="1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2" authorId="1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2" authorId="1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3" authorId="1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4" authorId="18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4" authorId="18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5" authorId="18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6" authorId="18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8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7" authorId="18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8" authorId="19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9" authorId="19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0" authorId="19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0" authorId="19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1" authorId="19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1" authorId="19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1" authorId="19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1" authorId="19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2" authorId="20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2" authorId="20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3" authorId="20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3" authorId="20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4" authorId="20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4" authorId="20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5" authorId="20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5" authorId="20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6" authorId="20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6" authorId="20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7" authorId="21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7" authorId="21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8" authorId="21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8" authorId="21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9" authorId="21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9" authorId="21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0" authorId="21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0" authorId="21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0" authorId="21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1" authorId="21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2" authorId="22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3" authorId="22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3" authorId="22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4" authorId="22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5" authorId="22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6" authorId="22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8" authorId="23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8" authorId="23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9" authorId="23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9" authorId="23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0" authorId="23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0" authorId="23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1" authorId="23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1" authorId="24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2" authorId="24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3" authorId="2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4" authorId="2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4" authorId="2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5" authorId="2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5" authorId="2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6" authorId="2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7" authorId="2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7" authorId="2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7" authorId="2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8" authorId="2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8" authorId="2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9" authorId="2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9" authorId="2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0" authorId="26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1" authorId="26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2" authorId="2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3" authorId="2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5" authorId="2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5" authorId="2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6" authorId="2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7" authorId="2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7" authorId="2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7" authorId="2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8" authorId="2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8" authorId="2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8" authorId="2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8" authorId="2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9" authorId="2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9" authorId="2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0" authorId="28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0" authorId="28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1" authorId="28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1" authorId="28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2" authorId="28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2" authorId="28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2" authorId="28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3" authorId="29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9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4" authorId="29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4" authorId="29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5" authorId="29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5" authorId="29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6" authorId="29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6" authorId="29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7" authorId="29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9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7" authorId="30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8" authorId="30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9" authorId="30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0" authorId="30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0" authorId="30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1" authorId="30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1" authorId="30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2" authorId="30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2" authorId="31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3" authorId="31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4" authorId="31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4" authorId="31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5" authorId="31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5" authorId="31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6" authorId="31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6" authorId="31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3" authorId="3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3" authorId="3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4" authorId="32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4" authorId="32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5" authorId="3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5" authorId="3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6" authorId="32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6" authorId="32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7" authorId="32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7" authorId="32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8" authorId="32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8" authorId="33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9" authorId="3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9" authorId="3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0" authorId="3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0" authorId="3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1" authorId="3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2" authorId="3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2" authorId="3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3" authorId="3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3" authorId="3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4" authorId="3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6" authorId="346"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7" authorId="3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7" authorId="3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8" authorId="3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9" authorId="3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9" authorId="3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0" authorId="3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1" authorId="3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1" authorId="3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2" authorId="35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2" authorId="35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3" authorId="35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3" authorId="36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4" authorId="361"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2"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6" authorId="36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7" authorId="367"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8"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6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8" authorId="37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9" authorId="37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1" authorId="37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2" authorId="37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2" authorId="37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3" authorId="37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3" authorId="38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3" authorId="38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4" authorId="38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4" authorId="38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5" authorId="38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5" authorId="38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6" authorId="38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7" authorId="38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7" authorId="38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8" authorId="39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8" authorId="39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9" authorId="39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9" authorId="39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0" authorId="39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0" authorId="39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1" authorId="39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1" authorId="39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2" authorId="39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2" authorId="39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3" authorId="40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3" authorId="40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4" authorId="40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4" authorId="40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5" authorId="40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5" authorId="40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6" authorId="40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6" authorId="40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7" authorId="40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7" authorId="40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7" authorId="41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8" authorId="41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9" authorId="4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9" authorId="4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0" authorId="41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0" authorId="41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1" authorId="41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1" authorId="41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2" authorId="41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3" authorId="42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4" authorId="42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4" authorId="42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5" authorId="42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6" authorId="4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7" authorId="42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7" authorId="43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8" authorId="43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8" authorId="43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9" authorId="43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0" authorId="43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0" authorId="43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1" authorId="4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1" authorId="4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2" authorId="4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2" authorId="4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3" authorId="4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3" authorId="4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4" authorId="44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4" authorId="44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5" authorId="44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5" authorId="44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5" authorId="44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6" authorId="44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7" authorId="45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7" authorId="45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8" authorId="4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8" authorId="4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9" authorId="45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<sst xmlns="http://schemas.openxmlformats.org/spreadsheetml/2006/main" count="18305" uniqueCount="2289">
  <si>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</si>
  <si>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</si>
  <si>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</si>
  <si>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</si>
  <si>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</si>
  <si>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</si>
  <si>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</si>
  <si>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</si>
  <si>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</si>
  <si>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</si>
  <si>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</si>
  <si>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</si>
  <si>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</si>
  <si>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</si>
  <si>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</si>
  <si>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</si>
  <si>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</si>
  <si>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</si>
  <si>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</si>
  <si>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</si>
  <si>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</si>
  <si>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</si>
  <si>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</si>
  <si>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</si>
  <si>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</si>
  <si>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</si>
  <si>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</si>
  <si>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</si>
  <si>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</si>
  <si>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</si>
  <si>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</si>
  <si>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</si>
  <si>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</si>
  <si>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</si>
  <si>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</si>
  <si>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</si>
  <si>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</si>
  <si>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</si>
  <si>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</si>
  <si>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</si>
  <si>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</si>
  <si>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</si>
  <si>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</si>
  <si>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</si>
  <si>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</si>
  <si>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</si>
  <si>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</si>
  <si>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</si>
  <si>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</si>
  <si>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</si>
  <si>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</si>
  <si>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</si>
  <si>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</si>
  <si>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</si>
  <si>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</si>
  <si>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</si>
  <si>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</si>
  <si>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</si>
  <si>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</si>
  <si>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</si>
  <si>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</si>
  <si>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</si>
  <si>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</si>
  <si>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</si>
  <si>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</si>
  <si>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</si>
  <si>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</si>
  <si>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</si>
  <si>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</si>
  <si>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</si>
  <si>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</si>
  <si>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</si>
  <si>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</si>
  <si>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</si>
  <si>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</si>
  <si>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</si>
  <si>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</si>
  <si>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</si>
  <si>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</si>
  <si>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</si>
  <si>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</si>
  <si>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</si>
  <si>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</si>
  <si>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</si>
  <si>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</si>
  <si>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</si>
  <si>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</si>
  <si>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</si>
  <si>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</si>
  <si>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</si>
  <si>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</si>
  <si>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</si>
  <si>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</si>
  <si>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</si>
  <si>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</si>
  <si>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</si>
  <si>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</si>
  <si>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</si>
  <si>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</si>
  <si>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</si>
  <si>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</si>
  <si>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</si>
  <si>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</si>
  <si>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</si>
  <si>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</si>
  <si>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</si>
  <si>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</si>
  <si>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</si>
  <si>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</si>
  <si>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</si>
  <si>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</si>
  <si>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</si>
  <si>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</si>
  <si>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</si>
  <si>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</si>
  <si>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</si>
  <si>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</si>
  <si>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</si>
  <si>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</si>
  <si>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</si>
  <si>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</si>
  <si>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</si>
  <si>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</si>
  <si>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</si>
  <si>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</si>
  <si>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</si>
  <si>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</si>
  <si>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</si>
  <si>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</si>
  <si>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</si>
  <si>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</si>
  <si>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</si>
  <si>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</si>
  <si>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</si>
  <si>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</si>
  <si>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</si>
  <si>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</si>
  <si>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</si>
  <si>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</si>
  <si>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</si>
  <si>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</si>
  <si>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</si>
  <si>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</si>
  <si>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</si>
  <si>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</si>
  <si>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</si>
  <si>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</si>
  <si>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</si>
  <si>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</si>
  <si>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</si>
  <si>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</si>
  <si>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</si>
  <si>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</si>
  <si>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</si>
  <si>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</si>
  <si>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</si>
  <si>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</si>
  <si>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</si>
  <si>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</si>
  <si>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</si>
  <si>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</si>
  <si>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</si>
  <si>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</si>
  <si>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</si>
  <si>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</si>
  <si>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</si>
  <si>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</si>
  <si>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</si>
  <si>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</si>
  <si>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</si>
  <si>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</si>
  <si>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</si>
  <si>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</si>
  <si>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</si>
  <si>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</si>
  <si>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</si>
  <si>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</si>
  <si>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</si>
  <si>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</si>
  <si>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</si>
  <si>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</si>
  <si>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</si>
  <si>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</si>
  <si>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</si>
  <si>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</si>
  <si>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</si>
  <si>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</si>
  <si>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</si>
  <si>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</si>
  <si>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</si>
  <si>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</si>
  <si>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</si>
  <si>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</si>
  <si>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</si>
  <si>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</si>
  <si>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</si>
  <si>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</si>
  <si>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</si>
  <si>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</si>
  <si>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</si>
  <si>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</si>
  <si>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</si>
  <si>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</si>
  <si>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</si>
  <si>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</si>
  <si>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</si>
  <si>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</si>
  <si>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</si>
  <si>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</si>
  <si>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</si>
  <si>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</si>
  <si>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</si>
  <si>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</si>
  <si>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</si>
  <si>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</si>
  <si>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</si>
  <si>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</si>
  <si>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</si>
  <si>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</si>
  <si>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</si>
  <si>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</si>
  <si>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</si>
  <si>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</si>
  <si>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</si>
  <si>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</si>
  <si>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</si>
  <si>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</si>
  <si>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</si>
  <si>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</si>
  <si>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</si>
  <si>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</si>
  <si>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</si>
  <si>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</si>
  <si>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</si>
  <si>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</si>
  <si>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</si>
  <si>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</si>
  <si>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</si>
  <si>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</si>
  <si>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</si>
  <si>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</si>
  <si>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</si>
  <si>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</si>
  <si>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</si>
  <si>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</si>
  <si>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</si>
  <si>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</si>
  <si>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</si>
  <si>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</si>
  <si>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</si>
  <si>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</si>
  <si>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</si>
  <si>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</si>
  <si>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</si>
  <si>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</si>
  <si>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</si>
  <si>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</si>
  <si>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</si>
  <si>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</si>
  <si>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</si>
  <si>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</si>
  <si>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</si>
  <si>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</si>
  <si>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</si>
  <si>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</si>
  <si>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</si>
  <si>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</si>
  <si>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</si>
  <si>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</si>
  <si>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</si>
  <si>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</si>
  <si>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</si>
  <si>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</si>
  <si>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</si>
  <si>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</si>
  <si>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</si>
  <si>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</si>
  <si>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</si>
  <si>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</si>
  <si>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</si>
  <si>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</si>
  <si>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</si>
  <si>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</si>
  <si>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</si>
  <si>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</si>
  <si>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</si>
  <si>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</si>
  <si>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</si>
  <si>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</si>
  <si>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</si>
  <si>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</si>
  <si>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</si>
  <si>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</si>
  <si>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</si>
  <si>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</si>
  <si>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</si>
  <si>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</si>
  <si>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</si>
  <si>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</si>
  <si>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</si>
  <si>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</si>
  <si>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</si>
  <si>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</si>
  <si>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</si>
  <si>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</si>
  <si>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</si>
  <si>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</si>
  <si>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</si>
  <si>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</si>
  <si>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</si>
  <si>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</si>
  <si>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</si>
  <si>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</si>
  <si>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</si>
  <si>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</si>
  <si>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</si>
  <si>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</si>
  <si>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</si>
  <si>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</si>
  <si>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</si>
  <si>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</si>
  <si>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</si>
  <si>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</si>
  <si>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</si>
  <si>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</si>
  <si>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</si>
  <si>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</si>
  <si>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</si>
  <si>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</si>
  <si>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</si>
  <si>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</si>
  <si>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</si>
  <si>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</si>
  <si>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</si>
  <si>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</si>
  <si>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</si>
  <si>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</si>
  <si>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</si>
  <si>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</si>
  <si>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</si>
  <si>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</si>
  <si>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</si>
  <si>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</si>
  <si>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</si>
  <si>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</si>
  <si>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</si>
  <si>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</si>
  <si>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</si>
  <si>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</si>
  <si>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</si>
  <si>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</si>
  <si>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</si>
  <si>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</si>
  <si>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</si>
  <si>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</si>
  <si>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</si>
  <si>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</si>
  <si>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</si>
  <si>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</si>
  <si>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</si>
  <si>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</si>
  <si>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</si>
  <si>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</si>
  <si>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</si>
  <si>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</si>
  <si>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</si>
  <si>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</si>
  <si>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</si>
  <si>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</si>
  <si>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</si>
  <si>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</si>
  <si>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</si>
  <si>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</si>
  <si>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</si>
  <si>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</si>
  <si>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</si>
  <si>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</si>
  <si>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</si>
  <si>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</si>
  <si>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</si>
  <si>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</si>
  <si>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</si>
  <si>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</si>
  <si>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</si>
  <si>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</si>
  <si>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</si>
  <si>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</si>
  <si>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</si>
  <si>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</si>
  <si>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</si>
  <si>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</si>
  <si>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</si>
  <si>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</si>
  <si>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</si>
  <si>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</si>
  <si>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</si>
  <si>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</si>
  <si>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</si>
  <si>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</si>
  <si>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</si>
  <si>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</si>
  <si>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</si>
  <si>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</si>
  <si>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</si>
  <si>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</si>
  <si>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</si>
  <si>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</si>
  <si>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</si>
  <si>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</si>
  <si>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</si>
  <si>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</si>
  <si>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</si>
  <si>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</si>
  <si>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</si>
  <si>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</si>
  <si>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</si>
  <si>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</si>
  <si>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</si>
  <si>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</si>
  <si>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</si>
  <si>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</si>
  <si>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</si>
  <si>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</si>
  <si>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</si>
  <si>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</si>
  <si>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</si>
  <si>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</si>
  <si>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</si>
  <si>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</si>
  <si>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</si>
  <si>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</si>
  <si>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</si>
  <si>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</si>
  <si>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</si>
  <si>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</si>
  <si>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</si>
  <si>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</si>
  <si>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</si>
  <si>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</si>
  <si>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</si>
  <si>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</si>
  <si>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</si>
  <si>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</si>
  <si>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</si>
  <si>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</si>
  <si>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</si>
  <si>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</si>
  <si>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</si>
  <si>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</si>
  <si>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</si>
  <si>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</si>
  <si>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</si>
  <si>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</si>
  <si>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</si>
  <si>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</si>
  <si>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</si>
  <si>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FX4-FAL-01</t>
  </si>
  <si>
    <t>MAN93941</t>
  </si>
  <si>
    <t>Pending  Tillman QC Form</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</si>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</sst>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5" totalsRowShown="0" dataDxfId="56" dataCellStyle="Percent">
  <autoFilter ref="A1:AA13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5">
    <sortCondition ref="B1:B135"/>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2:AA274" totalsRowShown="0" headerRowDxfId="31" dataDxfId="30" headerRowBorderDxfId="29">
  <autoFilter ref="A152: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3:AA240">
    <sortCondition ref="B152: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0-16T20:15:34.98" personId="{79160F3F-A2CD-4B5D-ACD4-80E02EA51DFF}" id="{2151D9D3-27E8-4CFD-8002-AECAD0289A20}">
    <text>10-16-2025 Project Was Re-Designed New Footage Will Be 117' Total.</text>
  </threadedComment>
  <threadedComment ref="S7" dT="2025-10-16T20:18:14.93" personId="{79160F3F-A2CD-4B5D-ACD4-80E02EA51DFF}" id="{B55019D8-0044-4973-AEB0-223D54267A62}" parentId="{2151D9D3-27E8-4CFD-8002-AECAD0289A20}">
    <text>10-16-2025 Confirmed Actual Completed Footage.</text>
  </threadedComment>
  <threadedComment ref="U7" dT="2025-10-16T20:18:37.76" personId="{79160F3F-A2CD-4B5D-ACD4-80E02EA51DFF}" id="{EE22C9DB-2550-4C8B-8FC4-DA85613F414E}">
    <text>10-16-2025 Conduit Placement Confirmed Completed.</text>
  </threadedComment>
  <threadedComment ref="S8" dT="2025-06-03T17:09:58.75" personId="{79160F3F-A2CD-4B5D-ACD4-80E02EA51DFF}" id="{40343B54-D8B2-47CA-B6AB-101278650AC1}">
    <text>6-3-2025 Approx. 100' Added For Tie In To D-HWP701.</text>
  </threadedComment>
  <threadedComment ref="S8" dT="2025-10-13T11:56:19.56" personId="{79160F3F-A2CD-4B5D-ACD4-80E02EA51DFF}" id="{56D2478F-AE65-4D70-95F8-22BA56A60113}" parentId="{40343B54-D8B2-47CA-B6AB-101278650AC1}">
    <text>5-20-2025 Confirmed Actual Completed Footage.</text>
  </threadedComment>
  <threadedComment ref="U8" dT="2025-06-03T17:10:36.27" personId="{79160F3F-A2CD-4B5D-ACD4-80E02EA51DFF}" id="{2AF21A2F-B6B2-49FF-B99E-41A24B7862D0}">
    <text>6-3-2025 Conduit Placement Confirmed Completed.</text>
  </threadedComment>
  <threadedComment ref="U8" dT="2025-06-03T17:11:39.01" personId="{79160F3F-A2CD-4B5D-ACD4-80E02EA51DFF}" id="{2D473E16-394A-4EF6-BC7E-DECAAC80D1E5}" parentId="{2AF21A2F-B6B2-49FF-B99E-41A24B7862D0}">
    <text>6-3-2025 Approx. 100' Added For Tie In To D-HWP701.</text>
  </threadedComment>
  <threadedComment ref="S9" dT="2025-10-13T11:57:58.06" personId="{79160F3F-A2CD-4B5D-ACD4-80E02EA51DFF}" id="{42750299-9342-4F35-9BC4-47BA8A1B69DA}">
    <text>4-14-2025 Confirmed Actual Completed Footage.</text>
  </threadedComment>
  <threadedComment ref="U9" dT="2025-10-13T11:56:54.09" personId="{79160F3F-A2CD-4B5D-ACD4-80E02EA51DFF}" id="{2B53E856-E309-4D53-9B5A-6036D751714D}">
    <text>4-14-2025 Conduit Placement Confirmed Completed.</text>
  </threadedComment>
  <threadedComment ref="S10" dT="2025-07-10T19:53:32.05" personId="{79160F3F-A2CD-4B5D-ACD4-80E02EA51DFF}" id="{1B97E829-4F8D-4845-B1AF-5858428474A4}">
    <text xml:space="preserve">7-10-2025 Confirmed Actual Completed Footage. </text>
  </threadedComment>
  <threadedComment ref="U10" dT="2025-07-10T19:54:01.33" personId="{79160F3F-A2CD-4B5D-ACD4-80E02EA51DFF}" id="{0DDEFB14-9217-4280-A2A4-2EFF521E6E3C}">
    <text>7-10-2025 Conduit Placement Confirmed Completed.</text>
  </threadedComment>
  <threadedComment ref="S11" dT="2025-06-18T17:58:09.94" personId="{79160F3F-A2CD-4B5D-ACD4-80E02EA51DFF}" id="{F6CA4C13-066A-498B-9D3B-B5606C3F7E92}">
    <text xml:space="preserve">6-18-2025 Confirmed Actual Completed Footage. </text>
  </threadedComment>
  <threadedComment ref="U11" dT="2025-06-18T17:58:59.38" personId="{79160F3F-A2CD-4B5D-ACD4-80E02EA51DFF}" id="{0168C5F2-B672-458D-A7FF-2A14395C6677}">
    <text>6-18-2025 Conduit Placement Confirmed Completed.</text>
  </threadedComment>
  <threadedComment ref="J12" dT="2025-02-21T18:25:35.42" personId="{79160F3F-A2CD-4B5D-ACD4-80E02EA51DFF}" id="{8A382ED8-9241-406C-9889-993873894611}">
    <text>2-20-2025 Only the FDOT Permit Has Been Received--City Permit to Follow.</text>
  </threadedComment>
  <threadedComment ref="J12" dT="2025-03-10T12:26:00.81" personId="{79160F3F-A2CD-4B5D-ACD4-80E02EA51DFF}" id="{1755B3E1-DFF7-4943-BA71-05F0E78EB1DA}" parentId="{8A382ED8-9241-406C-9889-993873894611}">
    <text>3-11-2025 City of Lakeland Permit Added to the Folder.</text>
  </threadedComment>
  <threadedComment ref="J12" dT="2025-03-10T14:13:34.58" personId="{79160F3F-A2CD-4B5D-ACD4-80E02EA51DFF}" id="{9417D121-BDCD-4D5C-8C9F-8CDD809C5B0B}" parentId="{8A382ED8-9241-406C-9889-993873894611}">
    <text>3-11-2025 City of Lakeland Permit Is Only the Cover Page.</text>
  </threadedComment>
  <threadedComment ref="S12" dT="2025-03-31T14:47:03.79" personId="{79160F3F-A2CD-4B5D-ACD4-80E02EA51DFF}" id="{D7B0F75C-664D-4C44-B701-E46D9512E4CD}">
    <text>3-31-2025 Drill Footage Changed. Project Completed</text>
  </threadedComment>
  <threadedComment ref="S12" dT="2025-04-10T12:02:42.91" personId="{79160F3F-A2CD-4B5D-ACD4-80E02EA51DFF}" id="{F72052F5-B728-4D93-B0A8-DC1ED739AC58}" parentId="{D7B0F75C-664D-4C44-B701-E46D9512E4CD}">
    <text>4-9-2025 Confirmed Actual Completed Footage.</text>
  </threadedComment>
  <threadedComment ref="U12" dT="2025-04-11T12:45:58.52" personId="{79160F3F-A2CD-4B5D-ACD4-80E02EA51DFF}" id="{9FAE20EF-9C27-42AC-A2D2-D1F79D5C481F}">
    <text>4-10-2025 Conduit Placement Confirmed Completed.</text>
  </threadedComment>
  <threadedComment ref="S13" dT="2025-10-04T19:31:25.41" personId="{79160F3F-A2CD-4B5D-ACD4-80E02EA51DFF}" id="{1F40A3C5-D483-47E8-806C-08C65300C34E}">
    <text>10-3-2025 Confirmed Actual Completed Footage.</text>
  </threadedComment>
  <threadedComment ref="U13" dT="2025-10-04T19:32:00.19" personId="{79160F3F-A2CD-4B5D-ACD4-80E02EA51DFF}" id="{73D2D275-601D-438F-BA88-F701D047AFE1}">
    <text>10-3-2025 Conduit Placement Confirmed Completed.</text>
  </threadedComment>
  <threadedComment ref="S14" dT="2025-10-15T15:52:51.54" personId="{79160F3F-A2CD-4B5D-ACD4-80E02EA51DFF}" id="{7E20C1D6-F0DC-4FEE-8229-0D98DCCB94E6}">
    <text>10-15-2025 Confirmed Actual Completed Footage.</text>
  </threadedComment>
  <threadedComment ref="U14" dT="2025-10-15T15:59:52.73" personId="{79160F3F-A2CD-4B5D-ACD4-80E02EA51DFF}" id="{AFFE3509-8434-4998-AA27-6BC67D7F09AA}">
    <text>10-15-2025 Conduit Placement Confirmed Completed.</text>
  </threadedComment>
  <threadedComment ref="P15" dT="2025-02-05T18:32:10.24" personId="{79160F3F-A2CD-4B5D-ACD4-80E02EA51DFF}" id="{DBBDC5DB-88D3-4BA8-81CE-BD04F9C5E305}">
    <text>Assigned To FDC On 2-5-2025.</text>
  </threadedComment>
  <threadedComment ref="S15" dT="2025-04-10T16:48:07.09" personId="{79160F3F-A2CD-4B5D-ACD4-80E02EA51DFF}" id="{FE35B967-C772-473C-AACF-201D040C2E22}">
    <text>4-10-2025 Confirmed Actual Completed Footage.</text>
  </threadedComment>
  <threadedComment ref="U15" dT="2025-04-10T16:48:28.53" personId="{79160F3F-A2CD-4B5D-ACD4-80E02EA51DFF}" id="{F319343A-0FAD-4D18-8201-9FB6F3D5A89D}">
    <text>4-10-2025 Conduit Placement Confirmed Completed.</text>
  </threadedComment>
  <threadedComment ref="P16" dT="2025-01-29T22:16:27.08" personId="{79160F3F-A2CD-4B5D-ACD4-80E02EA51DFF}" id="{E29B3197-BB94-4029-BFEA-4A4C1DC73D74}">
    <text>Assigned To Barlett Fiber Per Curtis On 1/29/2025.</text>
  </threadedComment>
  <threadedComment ref="S16" dT="2025-04-11T18:07:25.37" personId="{79160F3F-A2CD-4B5D-ACD4-80E02EA51DFF}" id="{2BEF26C4-0CD0-4C94-AA90-CAD272EC18F7}">
    <text>4-11-2025 Confirmed Actual Completed Footage.</text>
  </threadedComment>
  <threadedComment ref="U16" dT="2025-04-11T18:16:58.16" personId="{79160F3F-A2CD-4B5D-ACD4-80E02EA51DFF}" id="{399FED4B-7B8E-4398-80E5-102F0DD21DC1}">
    <text>4-11-2025 Conduit Placement Confirmed Completed.</text>
  </threadedComment>
  <threadedComment ref="S17" dT="2025-04-14T18:04:23.68" personId="{79160F3F-A2CD-4B5D-ACD4-80E02EA51DFF}" id="{21F2B5B5-7FD9-42AD-8882-D594CA67A7D3}">
    <text>4-14-2025 Confirmed Actual Completed Footage.</text>
  </threadedComment>
  <threadedComment ref="U17" dT="2025-04-14T18:04:54.58" personId="{79160F3F-A2CD-4B5D-ACD4-80E02EA51DFF}" id="{420DE243-6045-4B70-95C6-1F826765CDAF}">
    <text>4-14-2025 Conduit Placement Confirmed Completed.</text>
  </threadedComment>
  <threadedComment ref="S18" dT="2025-05-15T13:47:36.82" personId="{79160F3F-A2CD-4B5D-ACD4-80E02EA51DFF}" id="{008E59C7-68C3-4EDF-9485-CCD8BBD0DB0A}">
    <text>5-15-2025 Confirmed Actual Completed Footage.</text>
  </threadedComment>
  <threadedComment ref="U18" dT="2025-05-15T13:48:06.82" personId="{79160F3F-A2CD-4B5D-ACD4-80E02EA51DFF}" id="{34C46338-E9CB-4356-93C0-BF9B1579E1EE}">
    <text>5-15-2025 Conduit Placement Confirmed Completed.</text>
  </threadedComment>
  <threadedComment ref="S19" dT="2025-06-04T15:39:45.87" personId="{79160F3F-A2CD-4B5D-ACD4-80E02EA51DFF}" id="{7D36F7B2-5791-4C4D-8461-E4B6990D006D}">
    <text>6-4-2025 Confirmed Actual Completed Footage.</text>
  </threadedComment>
  <threadedComment ref="U19" dT="2025-06-04T15:41:13.87" personId="{79160F3F-A2CD-4B5D-ACD4-80E02EA51DFF}" id="{099174D5-846D-40E7-A93A-0E52644EEDB7}">
    <text>6-4-2025 Conduit Placement Confirmed Completed.</text>
  </threadedComment>
  <threadedComment ref="S20" dT="2025-11-28T18:58:22.35" personId="{79160F3F-A2CD-4B5D-ACD4-80E02EA51DFF}" id="{2BB4EED4-CEE8-4FAD-89A6-070A4611F247}">
    <text>1-20-2025 Confirmed Actual Completed Footage.</text>
  </threadedComment>
  <threadedComment ref="U20" dT="2025-11-28T18:58:44.10" personId="{79160F3F-A2CD-4B5D-ACD4-80E02EA51DFF}" id="{1EB404BB-2EAC-4A4A-A3EF-1433B6692BD4}">
    <text>1-20-2025 Conduit Placement Confirmed Completed.</text>
  </threadedComment>
  <threadedComment ref="S21" dT="2025-05-05T13:53:04.62" personId="{79160F3F-A2CD-4B5D-ACD4-80E02EA51DFF}" id="{887C5C47-BA6C-47B5-BCC4-1F5D36AC2821}">
    <text>5-5-2025 Confirmed Actual Completed Footage.</text>
  </threadedComment>
  <threadedComment ref="U21" dT="2025-05-05T13:54:36.67" personId="{79160F3F-A2CD-4B5D-ACD4-80E02EA51DFF}" id="{A3497B23-E4BC-4490-B157-2D14EE3244FE}">
    <text>5-5-2025 Conduit Placement Confirmed Completed.</text>
  </threadedComment>
  <threadedComment ref="S22" dT="2025-12-16T17:15:51.97" personId="{79160F3F-A2CD-4B5D-ACD4-80E02EA51DFF}" id="{11E57C41-C023-457A-AACE-ADE2FACCC4B5}">
    <text>12-16-2025 Confirmed Actual Completed Footage.</text>
  </threadedComment>
  <threadedComment ref="U22" dT="2025-12-16T17:16:16.21" personId="{79160F3F-A2CD-4B5D-ACD4-80E02EA51DFF}" id="{508C7E7F-F29A-4015-96F5-0BEF96F7BB02}">
    <text>12-16-2025 Conduit Placement Confirmed Completed.</text>
  </threadedComment>
  <threadedComment ref="S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S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P25" dT="2025-02-03T21:32:45.17" personId="{79160F3F-A2CD-4B5D-ACD4-80E02EA51DFF}" id="{CE68F104-0C72-4B37-9815-B41D7816B33A}">
    <text>Project Completed As Per Brothers On 2-3-2025.</text>
  </threadedComment>
  <threadedComment ref="S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S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S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P28" dT="2025-02-05T18:07:06.76" personId="{79160F3F-A2CD-4B5D-ACD4-80E02EA51DFF}" id="{F53CE28D-603F-45F0-90A8-12766FAD8A96}">
    <text>Assigned To Brothers As Per Tom On 2-3-2025. Locates To Be Called In On 2-6-2025.</text>
  </threadedComment>
  <threadedComment ref="S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S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S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S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R32" dT="2025-04-17T13:49:58.68" personId="{79160F3F-A2CD-4B5D-ACD4-80E02EA51DFF}" id="{A06C4EA0-F925-44E9-A541-DB87B405133C}">
    <text>4-17-2025 SiteTracker Footage Has 4,123'.</text>
  </threadedComment>
  <threadedComment ref="S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S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P34" dT="2025-02-05T18:06:51.46" personId="{79160F3F-A2CD-4B5D-ACD4-80E02EA51DFF}" id="{EDD592A8-9F22-4015-8129-D74B5C7F2FBB}">
    <text>Assigned To Brothers As Per Tom On 2-3-2025. Locates To Be Called In On 2-6-2025.</text>
  </threadedComment>
  <threadedComment ref="S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S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S36" dT="2025-10-21T16:40:00.37" personId="{79160F3F-A2CD-4B5D-ACD4-80E02EA51DFF}" id="{721B6CF0-A470-4FE7-B195-5A455B5404DC}">
    <text/>
  </threadedComment>
  <threadedComment ref="S3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6" dT="2025-10-21T16:43:01.14" personId="{79160F3F-A2CD-4B5D-ACD4-80E02EA51DFF}" id="{C79F5CC6-861D-4ED3-A477-EAE8696A3260}" parentId="{721B6CF0-A470-4FE7-B195-5A455B5404DC}">
    <text>10-21-2025 Confirmed Actual Completed Footage.</text>
  </threadedComment>
  <threadedComment ref="U36" dT="2025-10-21T16:40:24.93" personId="{79160F3F-A2CD-4B5D-ACD4-80E02EA51DFF}" id="{2442D0B1-F398-4E31-AFE2-615D8922C1A7}">
    <text>10-21-2025 Conduit Placement Confirmed Completed.</text>
  </threadedComment>
  <threadedComment ref="S37" dT="2025-11-04T15:22:18.46" personId="{79160F3F-A2CD-4B5D-ACD4-80E02EA51DFF}" id="{3F649566-4D9F-4225-9BF6-30DD410A63E1}">
    <text>11-4-2025 Confirmed Actual Completed Footage.</text>
  </threadedComment>
  <threadedComment ref="U37" dT="2025-11-04T15:23:03.54" personId="{79160F3F-A2CD-4B5D-ACD4-80E02EA51DFF}" id="{B737F387-0476-4D1C-BE8B-47E5DF41CB16}">
    <text>11-4-2025 Conduit Placement Confirmed Completed.</text>
  </threadedComment>
  <threadedComment ref="S38" dT="2025-10-06T18:32:53.65" personId="{79160F3F-A2CD-4B5D-ACD4-80E02EA51DFF}" id="{CE0343C7-29A3-49F4-A8D5-386F0FA23011}">
    <text>10-6-2025 Confirmed Actual Completed Footage.</text>
  </threadedComment>
  <threadedComment ref="U38" dT="2025-10-06T18:33:24.56" personId="{79160F3F-A2CD-4B5D-ACD4-80E02EA51DFF}" id="{5B5FAA8D-330D-4783-B769-DBFEE5302BA4}">
    <text>10-6-2025 Conduit Placement Confirmed Completed.</text>
  </threadedComment>
  <threadedComment ref="S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S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S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S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S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S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S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S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S47" dT="2025-06-05T11:56:32.63" personId="{79160F3F-A2CD-4B5D-ACD4-80E02EA51DFF}" id="{28849541-6870-4CAC-BEC9-0735FF966567}">
    <text>6-5-2025 Confirmed Actual Completed Footage.</text>
  </threadedComment>
  <threadedComment ref="U47" dT="2025-06-05T11:58:04.69" personId="{79160F3F-A2CD-4B5D-ACD4-80E02EA51DFF}" id="{A33692D2-C2F6-4EA3-865F-94B171D505F9}">
    <text>6-5-2025 Conduit Placement Confirmed Completed.</text>
  </threadedComment>
  <threadedComment ref="S48" dT="2025-05-19T15:33:44.05" personId="{79160F3F-A2CD-4B5D-ACD4-80E02EA51DFF}" id="{CC64C597-726B-4ABC-B74C-08208068C6EC}">
    <text>5-19-2025 Confirmed Actual Completed Footage.</text>
  </threadedComment>
  <threadedComment ref="U48" dT="2025-05-19T15:34:56.15" personId="{79160F3F-A2CD-4B5D-ACD4-80E02EA51DFF}" id="{695A66FE-D8C4-4C55-A820-51F090FEB240}">
    <text>5-19-2025 Conduit Placement Confirmed Completed.</text>
  </threadedComment>
  <threadedComment ref="P49" dT="2025-02-05T18:06:51.46" personId="{79160F3F-A2CD-4B5D-ACD4-80E02EA51DFF}" id="{34B1B24D-0B1A-4011-8EA4-14E395FC0DC4}">
    <text>Assigned To Brothers As Per Tom On 2-3-2025. Locates To Be Called In On 2-6-2025.</text>
  </threadedComment>
  <threadedComment ref="S49" dT="2025-05-16T13:12:44.13" personId="{79160F3F-A2CD-4B5D-ACD4-80E02EA51DFF}" id="{7D7AB3CB-62DD-4C27-8426-228C8BA15157}">
    <text>5-16-2025 Confirmed Actual Completed Footage.</text>
  </threadedComment>
  <threadedComment ref="U49" dT="2025-05-16T13:13:33.91" personId="{79160F3F-A2CD-4B5D-ACD4-80E02EA51DFF}" id="{0660EC26-84B7-42BF-BE09-181C4E2ECEE9}">
    <text>5-16-2025 Conduit Placement Confirmed Completed.</text>
  </threadedComment>
  <threadedComment ref="S50" dT="2025-10-13T11:58:37.03" personId="{79160F3F-A2CD-4B5D-ACD4-80E02EA51DFF}" id="{213574C7-F9A0-4D97-ADFE-307F6BDAA40E}">
    <text>6-16-2025 Confirmed Actual Completed Footage.</text>
  </threadedComment>
  <threadedComment ref="U50" dT="2025-10-13T12:08:50.21" personId="{79160F3F-A2CD-4B5D-ACD4-80E02EA51DFF}" id="{F786086C-654F-4FAA-AA4B-1424FDDEC757}">
    <text>6-16-2025 Conduit Placement Confirmed Completed.</text>
  </threadedComment>
  <threadedComment ref="S51" dT="2025-11-07T20:17:18.61" personId="{79160F3F-A2CD-4B5D-ACD4-80E02EA51DFF}" id="{80C533E3-945C-4DF2-849D-54BDFD48E952}">
    <text>11-7-2025 Confirmed Actual Completed Footage.</text>
  </threadedComment>
  <threadedComment ref="U51" dT="2025-11-07T20:17:44.48" personId="{79160F3F-A2CD-4B5D-ACD4-80E02EA51DFF}" id="{14EF7CB3-07F3-422C-8707-DEFC259468A0}">
    <text>11-7-2025 Conduit Placement Confirmed Completed.</text>
  </threadedComment>
  <threadedComment ref="S52" dT="2025-12-04T19:26:30.80" personId="{79160F3F-A2CD-4B5D-ACD4-80E02EA51DFF}" id="{8AB3D5D0-9ABA-4099-937E-2DCB940A8A70}">
    <text>12-4-2025 Confirmed Actual Completed Footage.</text>
  </threadedComment>
  <threadedComment ref="U52" dT="2025-12-04T19:27:03.17" personId="{79160F3F-A2CD-4B5D-ACD4-80E02EA51DFF}" id="{80A1C06A-AC90-4C31-905C-B156A268788A}">
    <text>12-4-2025 Conduit Placement Confirmed Completed.</text>
  </threadedComment>
  <threadedComment ref="S53" dT="2026-01-28T21:12:36.58" personId="{79160F3F-A2CD-4B5D-ACD4-80E02EA51DFF}" id="{E4F767F1-BE42-460C-AF38-B5357148EC53}">
    <text>1-28-2026 Confirmed Actual Completed Footage.</text>
  </threadedComment>
  <threadedComment ref="U53" dT="2026-01-28T21:13:02.53" personId="{79160F3F-A2CD-4B5D-ACD4-80E02EA51DFF}" id="{1634A14F-46B5-4B3E-B8B5-066D3D3C0CC9}">
    <text>1-28-2026 Conduit Placement Confirmed Completed.</text>
  </threadedComment>
  <threadedComment ref="S54" dT="2026-02-06T14:01:46.03" personId="{79160F3F-A2CD-4B5D-ACD4-80E02EA51DFF}" id="{AD5C485F-A258-4727-97D3-07E63CE576A2}">
    <text>2-5-2026 Confirmed Actual Completed Footage.</text>
  </threadedComment>
  <threadedComment ref="U54" dT="2026-02-06T14:02:16.28" personId="{79160F3F-A2CD-4B5D-ACD4-80E02EA51DFF}" id="{B03AB5E3-25AF-4315-B53A-951530DBD3DF}">
    <text>2-5-2026 Conduit Placement Confirmed Completed.</text>
  </threadedComment>
  <threadedComment ref="R55" dT="2025-04-11T13:29:43.58" personId="{79160F3F-A2CD-4B5D-ACD4-80E02EA51DFF}" id="{6AA91C58-15D7-4699-9E0C-6DFF6BD08203}">
    <text>4-11-2025 Partial Project, Most Of The Drilling Was Completed By Circet Prior To Lightspeed Receiving The Project.</text>
  </threadedComment>
  <threadedComment ref="S55" dT="2025-04-11T13:27:38.70" personId="{79160F3F-A2CD-4B5D-ACD4-80E02EA51DFF}" id="{DA729E1F-8DAC-4C6D-AC86-A88346E9DFED}">
    <text>4-11-2025 Confirmed Actual Completed Footage.</text>
  </threadedComment>
  <threadedComment ref="U55" dT="2025-04-11T13:28:29.90" personId="{79160F3F-A2CD-4B5D-ACD4-80E02EA51DFF}" id="{2E650756-CA36-4EA7-809F-203A5EA1C242}">
    <text>4-11-2025 Conduit Placement Confirmed Completed.</text>
  </threadedComment>
  <threadedComment ref="S56" dT="2025-12-12T20:34:51.75" personId="{79160F3F-A2CD-4B5D-ACD4-80E02EA51DFF}" id="{C37CBD1E-09E2-4C64-9A06-650A9330EC62}">
    <text>8-7-2025 Confirmed Actual Completed Footage.</text>
  </threadedComment>
  <threadedComment ref="U56" dT="2025-12-12T20:35:23.33" personId="{79160F3F-A2CD-4B5D-ACD4-80E02EA51DFF}" id="{16C2DB47-6381-4AD3-8558-E3165DC6AA0D}">
    <text>8-7-2025 Conduit Placement Confirmed Completed.</text>
  </threadedComment>
  <threadedComment ref="A57" dT="2025-08-26T18:35:30.41" personId="{79160F3F-A2CD-4B5D-ACD4-80E02EA51DFF}" id="{540CECB4-4351-4877-9D42-F555B28953DE}">
    <text xml:space="preserve">8-5-2025 Project Cancelled By Tillman After Lightspeed GPR Location. Lightspeed To Submit Invoice For GPR. </text>
  </threadedComment>
  <threadedComment ref="S57" dT="2025-12-12T20:36:08.08" personId="{79160F3F-A2CD-4B5D-ACD4-80E02EA51DFF}" id="{41EBAC6C-D02F-41EB-B518-047E2D79D694}">
    <text>8-26-2025 Confirmed Actual Completed Footage.</text>
  </threadedComment>
  <threadedComment ref="U57" dT="2025-12-12T20:36:31.05" personId="{79160F3F-A2CD-4B5D-ACD4-80E02EA51DFF}" id="{F81ED621-D9F4-470E-802E-275813EDF1DF}">
    <text>8-26-2025 Conduit Placement Confirmed Completed.</text>
  </threadedComment>
  <threadedComment ref="S58" dT="2025-10-10T15:05:39.13" personId="{79160F3F-A2CD-4B5D-ACD4-80E02EA51DFF}" id="{7D2BD6DE-2A17-4A8B-8422-45A93BC9547A}">
    <text>10-10-2025 Confirmed Actual Completed Footage.</text>
  </threadedComment>
  <threadedComment ref="U58" dT="2025-10-10T15:06:03.69" personId="{79160F3F-A2CD-4B5D-ACD4-80E02EA51DFF}" id="{18682E5A-2F88-4FAE-8954-794C4FB0B1DF}">
    <text>10-10-2025 Conduit Placement Confirmed Completed.</text>
  </threadedComment>
  <threadedComment ref="A59" dT="2025-08-28T16:50:10.46" personId="{79160F3F-A2CD-4B5D-ACD4-80E02EA51DFF}" id="{D45232F6-B0C2-4813-93A9-ABE868A4B3C8}">
    <text>8-28-2025 Fiber Splicing Completed.</text>
  </threadedComment>
  <threadedComment ref="S59" dT="2025-12-12T20:37:35.05" personId="{79160F3F-A2CD-4B5D-ACD4-80E02EA51DFF}" id="{2CFE59A9-612E-40DC-87CB-791225AB953F}">
    <text>9-26-2025 Confirmed Actual Completed Footage.</text>
  </threadedComment>
  <threadedComment ref="U59" dT="2025-12-12T20:38:05.97" personId="{79160F3F-A2CD-4B5D-ACD4-80E02EA51DFF}" id="{02D17534-391D-4458-9DBA-A328F052E3F7}">
    <text>9-26-2025 Conduit Placement Confirmed Completed.</text>
  </threadedComment>
  <threadedComment ref="S60" dT="2026-01-05T17:42:24.87" personId="{74F12554-A315-4F9B-B137-457CC8B8B285}" id="{28C03179-56B1-4278-8BCA-A3923748A4C8}">
    <text>1-5-2026 Confirmed Actual Completed Footage.</text>
  </threadedComment>
  <threadedComment ref="U60" dT="2026-02-13T15:30:13.47" personId="{79160F3F-A2CD-4B5D-ACD4-80E02EA51DFF}" id="{BD6685BE-9536-4516-9040-40EA10399C0F}">
    <text>1-5-2026 Conduit Placement Confirmed Completed.</text>
  </threadedComment>
  <threadedComment ref="S61" dT="2026-02-10T14:04:40.36" personId="{79160F3F-A2CD-4B5D-ACD4-80E02EA51DFF}" id="{EAAC1464-C359-4220-A9B2-4E3E507588E0}">
    <text>2-10-2025 Confirmed Actual Completed Footage.</text>
  </threadedComment>
  <threadedComment ref="U61" dT="2026-02-10T14:05:18.14" personId="{79160F3F-A2CD-4B5D-ACD4-80E02EA51DFF}" id="{F0816334-9FF6-4057-A236-7B60104D68F5}">
    <text>2-10-2026 Conduit Placement Confirmed Completed.</text>
  </threadedComment>
  <threadedComment ref="S62" dT="2025-08-20T12:34:18.41" personId="{79160F3F-A2CD-4B5D-ACD4-80E02EA51DFF}" id="{A075A4E6-634D-4456-AB5E-B7FBFAEB1EB8}">
    <text>8-20-2025 Confirmed Actual Completed Footage.</text>
  </threadedComment>
  <threadedComment ref="U62" dT="2025-08-20T12:34:55.56" personId="{79160F3F-A2CD-4B5D-ACD4-80E02EA51DFF}" id="{F5C6B76B-9528-4DB6-A6B4-EA31EA0A7644}">
    <text>8-20-2025 Conduit Placement Confirmed Completed.</text>
  </threadedComment>
  <threadedComment ref="A63" dT="2025-08-28T16:50:16.98" personId="{79160F3F-A2CD-4B5D-ACD4-80E02EA51DFF}" id="{FC738FD0-1B28-4708-A39C-40CCA0FC20C2}">
    <text>8-28-2025 Fiber Splicing Completed.</text>
  </threadedComment>
  <threadedComment ref="S63" dT="2025-12-12T20:39:31.29" personId="{79160F3F-A2CD-4B5D-ACD4-80E02EA51DFF}" id="{A3B5BD90-9113-40D3-AC21-85E597838F3F}">
    <text>9-26-2025 Confirmed Actual Completed Footage.</text>
  </threadedComment>
  <threadedComment ref="U63" dT="2025-12-12T20:39:52.01" personId="{79160F3F-A2CD-4B5D-ACD4-80E02EA51DFF}" id="{702DEE99-AE2D-4B64-8B9D-AB373147BA51}">
    <text>9-26-2025 Conduit Placement Confirmed Completed.</text>
  </threadedComment>
  <threadedComment ref="S64" dT="2025-09-08T16:57:51.38" personId="{79160F3F-A2CD-4B5D-ACD4-80E02EA51DFF}" id="{A11E46A0-D08A-481C-94AD-D0B0EE54B7DE}">
    <text>9-8-2025 Confirmed Actual Completed Footage.</text>
  </threadedComment>
  <threadedComment ref="U64" dT="2025-09-08T16:58:27.55" personId="{79160F3F-A2CD-4B5D-ACD4-80E02EA51DFF}" id="{DDB49657-FFD8-4BDA-B351-2B05DEE4EF2D}">
    <text>9-8-2025 Conduit Placement Confirmed Completed.</text>
  </threadedComment>
  <threadedComment ref="S65" dT="2025-09-02T21:15:59.59" personId="{79160F3F-A2CD-4B5D-ACD4-80E02EA51DFF}" id="{B8A019DA-6CAE-4147-A120-71304A33E1D7}">
    <text>9-2-2025 Change Order Submitted For Addition Conduit Placement---New Total Is 5,776'.</text>
  </threadedComment>
  <threadedComment ref="S65" dT="2026-01-18T16:50:08.01" personId="{79160F3F-A2CD-4B5D-ACD4-80E02EA51DFF}" id="{989CFAC1-AFF7-4782-A8A1-88B8FB7BFD85}" parentId="{B8A019DA-6CAE-4147-A120-71304A33E1D7}">
    <text>10-26-2025 Confirmed Actual Completed Footage.</text>
  </threadedComment>
  <threadedComment ref="U65" dT="2026-01-18T16:50:53.74" personId="{79160F3F-A2CD-4B5D-ACD4-80E02EA51DFF}" id="{2338836D-E34F-45FC-9AAE-5193B46F9C60}">
    <text>10-26-2025 Conduit Placement Confirmed Completed.</text>
  </threadedComment>
  <threadedComment ref="S66" dT="2025-12-12T20:40:26.93" personId="{79160F3F-A2CD-4B5D-ACD4-80E02EA51DFF}" id="{BDA2A17A-5E70-4EFD-9A8C-DDFDCEAF96A1}">
    <text>9-9-2025 Confirmed Actual Completed Footage.</text>
  </threadedComment>
  <threadedComment ref="U66" dT="2025-12-12T20:40:48.94" personId="{79160F3F-A2CD-4B5D-ACD4-80E02EA51DFF}" id="{76E0B9BF-8FFE-43B8-8E2E-F4DA27DBE78D}">
    <text>9-9-2025 Conduit Placement Confirmed Completed.</text>
  </threadedComment>
  <threadedComment ref="S67" dT="2025-08-26T18:32:04.75" personId="{79160F3F-A2CD-4B5D-ACD4-80E02EA51DFF}" id="{2A8A883F-19C2-4D91-9E03-180D50D7C9E3}">
    <text xml:space="preserve">8-26-2025 Confirmed Actual Completed Footage. </text>
  </threadedComment>
  <threadedComment ref="U67" dT="2025-08-26T18:32:46.53" personId="{79160F3F-A2CD-4B5D-ACD4-80E02EA51DFF}" id="{1C81E10F-51D6-4804-885B-3EC614260BC6}">
    <text>8-26-2025 Conduit Placement Confirmed Completed.</text>
  </threadedComment>
  <threadedComment ref="S68" dT="2025-10-20T19:03:52.91" personId="{79160F3F-A2CD-4B5D-ACD4-80E02EA51DFF}" id="{868E2616-BD1A-4105-B793-ED73BF8D81A0}">
    <text>10-20-2025 Confirmed Actual Completed Footage.</text>
  </threadedComment>
  <threadedComment ref="U68" dT="2025-10-20T19:04:13.71" personId="{79160F3F-A2CD-4B5D-ACD4-80E02EA51DFF}" id="{0AD57226-15A8-44AD-BF94-8E9D0F4D3400}">
    <text>10-20-2025 Conduit Placement Confirmed Completed.</text>
  </threadedComment>
  <threadedComment ref="S69" dT="2025-12-12T20:41:45.71" personId="{79160F3F-A2CD-4B5D-ACD4-80E02EA51DFF}" id="{DE3F2701-9B83-4FFB-9A8F-7F998C46129B}">
    <text>9-23-2025 Confirmed Actual Completed Footage.</text>
  </threadedComment>
  <threadedComment ref="U69" dT="2025-12-12T20:42:08.20" personId="{79160F3F-A2CD-4B5D-ACD4-80E02EA51DFF}" id="{FFF81AE6-DE2B-4413-A3B7-3CDA5B772C18}">
    <text>9-23-2025 Conduit Placement Confirmed Completed.</text>
  </threadedComment>
  <threadedComment ref="S70" dT="2025-12-12T20:42:44.09" personId="{79160F3F-A2CD-4B5D-ACD4-80E02EA51DFF}" id="{68350EC2-FE54-40D2-BCFD-AC54A7E43016}">
    <text>8-7-2025 Confirmed Actual Completed Footage.</text>
  </threadedComment>
  <threadedComment ref="U70" dT="2025-12-12T20:43:05.38" personId="{79160F3F-A2CD-4B5D-ACD4-80E02EA51DFF}" id="{73EB13E5-A398-4D1E-BA48-B13ABC562B61}">
    <text>8-7-2025 Conduit Placement Confirmed Completed.</text>
  </threadedComment>
  <threadedComment ref="S71" dT="2025-12-12T20:43:48.04" personId="{79160F3F-A2CD-4B5D-ACD4-80E02EA51DFF}" id="{7F69A5A2-E35A-448C-BF22-2522F0A96179}">
    <text>9-8-2025 Confirmed Actual Completed Footage.</text>
  </threadedComment>
  <threadedComment ref="U71" dT="2025-12-12T20:44:17.64" personId="{79160F3F-A2CD-4B5D-ACD4-80E02EA51DFF}" id="{C9900EF0-58E0-483F-9773-A4FFA4A9975E}">
    <text>9-8-2025 Conduit Placement Confirmed Completed.</text>
  </threadedComment>
  <threadedComment ref="S72" dT="2025-09-09T16:26:11.32" personId="{79160F3F-A2CD-4B5D-ACD4-80E02EA51DFF}" id="{3A84B167-1A82-4469-B002-49488E2DC903}">
    <text>9-9-2025 Confirmed Actual Completed Footage.</text>
  </threadedComment>
  <threadedComment ref="U72" dT="2025-09-09T16:26:42.69" personId="{79160F3F-A2CD-4B5D-ACD4-80E02EA51DFF}" id="{5DB41179-23C2-433E-BE02-C71092EE89C6}">
    <text>9-9-2025 Conduit Placement Confirmed Completed.</text>
  </threadedComment>
  <threadedComment ref="S73" dT="2025-04-10T13:10:32.50" personId="{79160F3F-A2CD-4B5D-ACD4-80E02EA51DFF}" id="{16BD6B61-0568-4775-965B-E0D5DCD5736B}">
    <text>4-10-2025 Confirmed Actual Completed Footage.</text>
  </threadedComment>
  <threadedComment ref="U73" dT="2025-04-10T13:09:31.12" personId="{79160F3F-A2CD-4B5D-ACD4-80E02EA51DFF}" id="{8678D32F-EAB3-4ED2-AA74-8FED50F0813D}">
    <text>4-10-2025 Conduit Placement Confirmed Completed.</text>
  </threadedComment>
  <threadedComment ref="S74" dT="2025-07-10T16:29:36.06" personId="{79160F3F-A2CD-4B5D-ACD4-80E02EA51DFF}" id="{3BE7E649-5F51-4928-9C42-DDAA23C732DE}">
    <text>7-10-2025 Confirmed Actual Completed Footage. This Project Called For A Design Change--Approved By Tillman.</text>
  </threadedComment>
  <threadedComment ref="U74" dT="2025-07-10T16:30:18.62" personId="{79160F3F-A2CD-4B5D-ACD4-80E02EA51DFF}" id="{93D6966F-A849-445B-8ACF-7EFE68D283F1}">
    <text>7-10-2025 Conduit Placement Confirmed Completed. This Project Called For A Design Change--Approved By Tillman.</text>
  </threadedComment>
  <threadedComment ref="S75" dT="2025-04-10T12:09:03.51" personId="{79160F3F-A2CD-4B5D-ACD4-80E02EA51DFF}" id="{EF0475C2-5948-486E-B1A4-908DE8E2B105}">
    <text>4-9-2025 Confirmed Actual Completed Footage.</text>
  </threadedComment>
  <threadedComment ref="U75" dT="2025-05-20T20:40:45.00" personId="{79160F3F-A2CD-4B5D-ACD4-80E02EA51DFF}" id="{825EB505-F716-4364-96F3-0F723660F9E3}">
    <text>4-9-2025 Conduit Placement Confirmed Completed.</text>
  </threadedComment>
  <threadedComment ref="S76" dT="2025-08-07T12:20:38.51" personId="{79160F3F-A2CD-4B5D-ACD4-80E02EA51DFF}" id="{9C489D17-FBF6-4C35-8068-F5C0B5808B7C}">
    <text xml:space="preserve">8-7-2025 Confirmed Actual Completed Footage. </text>
  </threadedComment>
  <threadedComment ref="U76" dT="2025-08-07T12:21:29.42" personId="{79160F3F-A2CD-4B5D-ACD4-80E02EA51DFF}" id="{39663F0F-50CD-4B91-9582-7343BEA6CDD8}">
    <text>8-7-2025 Conduit Placement Confirmed Completed.</text>
  </threadedComment>
  <threadedComment ref="S77" dT="2025-08-07T12:20:48.98" personId="{79160F3F-A2CD-4B5D-ACD4-80E02EA51DFF}" id="{500DA29B-7B97-4D3C-8CC5-40F0476B4AAE}">
    <text xml:space="preserve">8-7-2025 Confirmed Actual Completed Footage. </text>
  </threadedComment>
  <threadedComment ref="U77" dT="2025-08-07T12:21:39.22" personId="{79160F3F-A2CD-4B5D-ACD4-80E02EA51DFF}" id="{2C0CEE6E-83AB-4729-84EC-C8B3A2DDCFDA}">
    <text>8-7-2025 Conduit Placement Confirmed Completed.</text>
  </threadedComment>
  <threadedComment ref="P78" dT="2025-01-29T22:16:27.08" personId="{79160F3F-A2CD-4B5D-ACD4-80E02EA51DFF}" id="{19CDEA32-BD10-42CD-B1B9-7B2A2EDA1505}">
    <text>Assigned To Barlett Fiber Per Curtis On 1/29/2025.</text>
  </threadedComment>
  <threadedComment ref="S78" dT="2025-06-13T17:35:01.04" personId="{79160F3F-A2CD-4B5D-ACD4-80E02EA51DFF}" id="{1D49E96E-CEC9-4C45-BF55-C4BD88CD37C7}">
    <text xml:space="preserve">6-13-2025 Confirmed Actual Completed Footage. </text>
  </threadedComment>
  <threadedComment ref="U78" dT="2025-06-13T17:35:26.59" personId="{79160F3F-A2CD-4B5D-ACD4-80E02EA51DFF}" id="{9E72222E-A9B1-4C37-A767-ED016965F9BD}">
    <text>6-13-2025 Conduit Placement Confirmed Completed.</text>
  </threadedComment>
  <threadedComment ref="S79" dT="2025-04-10T12:47:09.73" personId="{79160F3F-A2CD-4B5D-ACD4-80E02EA51DFF}" id="{E63759E2-B389-496C-9A17-57621630640F}">
    <text>4-10-2025 Confirmed Actual Completed Footage.</text>
  </threadedComment>
  <threadedComment ref="U79" dT="2025-04-10T12:48:19.79" personId="{79160F3F-A2CD-4B5D-ACD4-80E02EA51DFF}" id="{87770A08-3DDC-4FB0-826F-CD8D3E166950}">
    <text>4-10-2025 Conduit Placement Confirmed Completed.</text>
  </threadedComment>
  <threadedComment ref="AA79"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9" dT="2025-04-29T12:54:35.38" personId="{E0C4039D-7742-4BCA-831A-C8213442C8F7}" id="{9C069BA4-59F2-40A8-A159-4DDA470CB283}" parentId="{7DBE1978-C9DC-4B5D-951B-E7CC88CF61C5}">
    <text>SUBMITTED RESTORATION AS BUILT TO CURTIS 4/27/2025</text>
  </threadedComment>
  <threadedComment ref="S80" dT="2025-06-20T19:39:03.06" personId="{79160F3F-A2CD-4B5D-ACD4-80E02EA51DFF}" id="{D20F4E7B-3FF7-4837-8365-82D57233AFF9}">
    <text xml:space="preserve">6-20-2025 Confirmed Actual Completed Footage. </text>
  </threadedComment>
  <threadedComment ref="U80" dT="2025-06-20T19:39:32.58" personId="{79160F3F-A2CD-4B5D-ACD4-80E02EA51DFF}" id="{79AC0AE2-60A3-4A7C-824F-2A71B9FA4056}">
    <text>6-20-2025 Conduit Placement Confirmed Completed.</text>
  </threadedComment>
  <threadedComment ref="S81" dT="2025-10-13T11:59:15.08" personId="{79160F3F-A2CD-4B5D-ACD4-80E02EA51DFF}" id="{B05137B2-2DF7-4432-9991-337DC37A513C}">
    <text>6-23-2025 Confirmed Actual Completed Footage.</text>
  </threadedComment>
  <threadedComment ref="U81" dT="2025-10-13T12:08:29.73" personId="{79160F3F-A2CD-4B5D-ACD4-80E02EA51DFF}" id="{DA31CC40-B71D-4E04-AFB7-CEB38E9D0D41}">
    <text>6-23-2025 Conduit Placement Confirmed Completed.</text>
  </threadedComment>
  <threadedComment ref="R82" dT="2025-04-10T13:03:24.79" personId="{79160F3F-A2CD-4B5D-ACD4-80E02EA51DFF}" id="{A2EECA6F-E0A9-4DEF-8A42-8DA7A3064B91}">
    <text>Design Change Approved By Tillman.</text>
  </threadedComment>
  <threadedComment ref="S82" dT="2025-04-10T13:05:41.87" personId="{79160F3F-A2CD-4B5D-ACD4-80E02EA51DFF}" id="{4EDE1025-1DF2-4186-A81E-2550D8AAE0F2}">
    <text>4-10-2025 Confirmed Actual Completed Footage.</text>
  </threadedComment>
  <threadedComment ref="U82" dT="2025-04-10T13:07:14.89" personId="{79160F3F-A2CD-4B5D-ACD4-80E02EA51DFF}" id="{D63891D1-B63D-41FA-9049-C7FE6168AF6B}">
    <text>4-10-2025 Conduit Placement Confirmed Completed.</text>
  </threadedComment>
  <threadedComment ref="S83" dT="2025-10-14T17:33:08.90" personId="{79160F3F-A2CD-4B5D-ACD4-80E02EA51DFF}" id="{27101582-606C-4D40-8C5F-F881B9E288E8}">
    <text>10-14-2025 Confirmed Actual Completed Footage.</text>
  </threadedComment>
  <threadedComment ref="U83" dT="2025-10-14T17:33:44.26" personId="{79160F3F-A2CD-4B5D-ACD4-80E02EA51DFF}" id="{6121958F-4AD5-4F45-8470-7E0113D74377}">
    <text>10-14-2025 Conduit Placement Confirmed Completed.</text>
  </threadedComment>
  <threadedComment ref="S84" dT="2025-04-15T17:33:25.48" personId="{79160F3F-A2CD-4B5D-ACD4-80E02EA51DFF}" id="{282D6673-B24A-455B-95E7-C871BAF406D5}">
    <text xml:space="preserve">6-6-2025 Confirmed Actual Completed Footage. </text>
  </threadedComment>
  <threadedComment ref="U84" dT="2025-04-15T17:34:25.28" personId="{79160F3F-A2CD-4B5D-ACD4-80E02EA51DFF}" id="{52D65CE4-8089-49DC-A51B-9D52CD0F4CC1}">
    <text>6-6-2025 Conduit Placement Confirmed Completed.</text>
  </threadedComment>
  <threadedComment ref="S85" dT="2025-10-14T20:26:45.59" personId="{79160F3F-A2CD-4B5D-ACD4-80E02EA51DFF}" id="{46993888-E949-4990-BED9-01FD3D02FDB4}">
    <text>10-14-2025 Confirmed Actual Completed Footage.</text>
  </threadedComment>
  <threadedComment ref="U85" dT="2025-10-14T20:26:23.39" personId="{79160F3F-A2CD-4B5D-ACD4-80E02EA51DFF}" id="{53731F7A-9650-4356-B0ED-3E1C748FAF84}">
    <text>10-14-2025 Conduit Placement Confirmed Completed.</text>
  </threadedComment>
  <threadedComment ref="S86" dT="2025-06-06T20:06:56.78" personId="{79160F3F-A2CD-4B5D-ACD4-80E02EA51DFF}" id="{82D7BAD6-85F5-4968-B628-F0AC604AFE8E}">
    <text>6-6-2025 Confirmed Actual Completed Footage.</text>
  </threadedComment>
  <threadedComment ref="U86" dT="2025-06-06T20:07:33.99" personId="{79160F3F-A2CD-4B5D-ACD4-80E02EA51DFF}" id="{C62AF3CD-2024-4A2E-9FCE-BE19F815E1F9}">
    <text>6-6-2025 Conduit Placement Confirmed Completed.</text>
  </threadedComment>
  <threadedComment ref="P87" dT="2025-01-29T22:12:53.88" personId="{79160F3F-A2CD-4B5D-ACD4-80E02EA51DFF}" id="{F9A2FF9B-0517-4893-8367-531A68D0E5FA}">
    <text>Assigned To Barlett Fiber Per Curtis On 1/29/2025.</text>
  </threadedComment>
  <threadedComment ref="S87" dT="2025-07-02T15:20:11.02" personId="{79160F3F-A2CD-4B5D-ACD4-80E02EA51DFF}" id="{CF6EDA82-F7A1-443F-B4DD-A006A5E5CB9F}">
    <text xml:space="preserve">7-2-2025 Confirmed Actual Completed Footage. </text>
  </threadedComment>
  <threadedComment ref="U87" dT="2025-07-02T15:21:07.16" personId="{79160F3F-A2CD-4B5D-ACD4-80E02EA51DFF}" id="{E00BF302-F808-4EF3-BA61-D5D643F7EB7B}">
    <text>7-2-2025 Conduit Placement Confirmed Completed.</text>
  </threadedComment>
  <threadedComment ref="S88" dT="2025-10-13T11:59:43.88" personId="{79160F3F-A2CD-4B5D-ACD4-80E02EA51DFF}" id="{FD4DAAEF-3FAB-452B-9B10-5B23DFB5BC74}">
    <text>6-6-2025 Confirmed Actual Completed Footage.</text>
  </threadedComment>
  <threadedComment ref="U88" dT="2025-10-13T12:08:09.29" personId="{79160F3F-A2CD-4B5D-ACD4-80E02EA51DFF}" id="{791008E6-9476-437A-84C8-A62A9B68CEBA}">
    <text>6-6-2025 Conduit Placement Confirmed Completed.</text>
  </threadedComment>
  <threadedComment ref="S89" dT="2025-04-15T16:53:14.28" personId="{79160F3F-A2CD-4B5D-ACD4-80E02EA51DFF}" id="{AC418C3E-52EA-4D76-99A7-CC976CB570BD}">
    <text>4-15-2025 Confirmed Actual Completed Footage.</text>
  </threadedComment>
  <threadedComment ref="U89" dT="2025-04-15T16:54:27.53" personId="{79160F3F-A2CD-4B5D-ACD4-80E02EA51DFF}" id="{F3E7DAE6-5DD4-4110-9165-64B418750F86}">
    <text>4-15-2025 Conduit Placement Confirmed Completed.</text>
  </threadedComment>
  <threadedComment ref="S90" dT="2025-06-03T12:08:03.03" personId="{79160F3F-A2CD-4B5D-ACD4-80E02EA51DFF}" id="{ACCF6C79-3377-446E-88FA-74C95C28BE1A}">
    <text>6-2-2025 Confirmed Actual Completed Footage.</text>
  </threadedComment>
  <threadedComment ref="U90" dT="2025-06-03T12:08:42.40" personId="{79160F3F-A2CD-4B5D-ACD4-80E02EA51DFF}" id="{092EDBAE-2C72-4393-94BA-36E91AE338B5}">
    <text>6-2-2025 Conduit Placement Confirmed Completed.</text>
  </threadedComment>
  <threadedComment ref="P91" dT="2025-05-29T12:42:29.59" personId="{79160F3F-A2CD-4B5D-ACD4-80E02EA51DFF}" id="{118D55CE-7F3D-4CFB-BC55-8BBBFD5D354F}">
    <text>Partial Build Project Per Tillman On 2-10-2025.</text>
  </threadedComment>
  <threadedComment ref="R91" dT="2025-06-19T18:28:20.77" personId="{79160F3F-A2CD-4B5D-ACD4-80E02EA51DFF}" id="{208D2E71-1073-4D10-8F05-E6F182C8100B}">
    <text>6-19-2025 Drill Footage Based Off SiteTracker--5,325 Total</text>
  </threadedComment>
  <threadedComment ref="S91" dT="2025-05-29T12:33:23.04" personId="{79160F3F-A2CD-4B5D-ACD4-80E02EA51DFF}" id="{68C47C04-B1B7-4706-B5B3-D2BDF7CB0B19}">
    <text>Per Tillman on 2-10-2025 Job Is Completed Except 6 Crossings On 6th Ave. SOW Shows Total For The Entire Project.    </text>
  </threadedComment>
  <threadedComment ref="S91" dT="2025-06-19T18:29:07.53" personId="{79160F3F-A2CD-4B5D-ACD4-80E02EA51DFF}" id="{76F41C05-83B1-445B-9CE3-F9787474A9EC}" parentId="{68C47C04-B1B7-4706-B5B3-D2BDF7CB0B19}">
    <text>6-27-2025 Confirmed Actual Completed Footage.</text>
  </threadedComment>
  <threadedComment ref="U91" dT="2025-06-19T18:29:43.30" personId="{79160F3F-A2CD-4B5D-ACD4-80E02EA51DFF}" id="{DA4FFBC6-7B22-47AF-A9E5-A8A5E006F707}">
    <text>6-27-2025 Conduit Placement Confirmed Completed.</text>
  </threadedComment>
  <threadedComment ref="S92" dT="2025-10-17T15:44:10.85" personId="{79160F3F-A2CD-4B5D-ACD4-80E02EA51DFF}" id="{D854BB12-6E38-41D1-AFB1-6B93B2220C55}">
    <text>10-17-2025 Confirmed Actual Completed Footage.</text>
  </threadedComment>
  <threadedComment ref="U92" dT="2025-10-17T15:44:34.98" personId="{79160F3F-A2CD-4B5D-ACD4-80E02EA51DFF}" id="{76FADC8E-940C-49F0-A7B4-1B3A57674CB4}">
    <text>10-17-2025 Conduit Placement Confirmed Completed.</text>
  </threadedComment>
  <threadedComment ref="S93" dT="2025-06-13T17:26:25.69" personId="{79160F3F-A2CD-4B5D-ACD4-80E02EA51DFF}" id="{CE46A139-0E5C-4B8F-BFC8-1D2CA335E239}">
    <text>6-13-2025 Confirmed Actual Completed Footage.</text>
  </threadedComment>
  <threadedComment ref="U93" dT="2025-06-13T17:27:00.60" personId="{79160F3F-A2CD-4B5D-ACD4-80E02EA51DFF}" id="{B43DEA29-7A45-46FD-BBAD-AADB264A3190}">
    <text>6-13-2025 Conduit Placement Confirmed Completed.</text>
  </threadedComment>
  <threadedComment ref="S94" dT="2025-12-12T20:45:27.51" personId="{79160F3F-A2CD-4B5D-ACD4-80E02EA51DFF}" id="{2F269294-7CCD-481F-83C1-3479F2930F23}">
    <text>8-21-2025 Confirmed Actual Completed Footage.</text>
  </threadedComment>
  <threadedComment ref="U94" dT="2025-12-12T20:45:57.58" personId="{79160F3F-A2CD-4B5D-ACD4-80E02EA51DFF}" id="{A0FC9D92-1AD9-45F0-9CED-6C500F9877D1}">
    <text>8-21-2025 Conduit Placement Confirmed Completed.</text>
  </threadedComment>
  <threadedComment ref="S95" dT="2025-12-12T20:46:37.37" personId="{79160F3F-A2CD-4B5D-ACD4-80E02EA51DFF}" id="{19A478AD-C828-4707-8A48-40B5886E2FCC}">
    <text>6-12-2025 Confirmed Actual Completed Footage.</text>
  </threadedComment>
  <threadedComment ref="U95" dT="2025-12-12T20:47:01.09" personId="{79160F3F-A2CD-4B5D-ACD4-80E02EA51DFF}" id="{023F2020-3EB2-48F0-BB96-724F7A9E63AF}">
    <text>6-12-2025 Conduit Placement Confirmed Completed.</text>
  </threadedComment>
  <threadedComment ref="S96" dT="2025-08-25T19:34:36.29" personId="{79160F3F-A2CD-4B5D-ACD4-80E02EA51DFF}" id="{4A698453-4111-43AF-951B-C747D72DA3D6}">
    <text>8-25-2025 Confirmed Actual Completed Footage.</text>
  </threadedComment>
  <threadedComment ref="U96" dT="2025-08-25T19:35:36.54" personId="{79160F3F-A2CD-4B5D-ACD4-80E02EA51DFF}" id="{B3E2B1BE-0B1A-4ED7-A353-583ED0A8E65E}">
    <text>8-25-2025 Conduit Placement Confirmed Completed.</text>
  </threadedComment>
  <threadedComment ref="S97" dT="2025-05-21T22:54:07.14" personId="{79160F3F-A2CD-4B5D-ACD4-80E02EA51DFF}" id="{57E0DC0F-F634-45A9-B5B7-67D12F3D76E5}">
    <text>5-21-2025 Confirmed Actual Completed Footage.</text>
  </threadedComment>
  <threadedComment ref="U97" dT="2025-05-21T22:54:42.22" personId="{79160F3F-A2CD-4B5D-ACD4-80E02EA51DFF}" id="{5C780074-DF5E-42A7-8E51-FC06BB9E174F}">
    <text>5-21-2025 Conduit Placement Confirmed Completed.</text>
  </threadedComment>
  <threadedComment ref="S98" dT="2025-12-12T20:47:50.47" personId="{79160F3F-A2CD-4B5D-ACD4-80E02EA51DFF}" id="{5BD504E7-498C-445F-9443-2553121065FC}">
    <text>5-27-2025 Confirmed Actual Completed Footage.</text>
  </threadedComment>
  <threadedComment ref="U98" dT="2025-12-12T20:48:18.00" personId="{79160F3F-A2CD-4B5D-ACD4-80E02EA51DFF}" id="{687431F3-8FF0-4476-B550-57254EF43102}">
    <text>5-27-2025 Conduit Placement Confirmed Completed.</text>
  </threadedComment>
  <threadedComment ref="S99" dT="2025-08-22T18:16:28.90" personId="{79160F3F-A2CD-4B5D-ACD4-80E02EA51DFF}" id="{E86FAA6B-1C9E-49B9-8ADF-F55A6158DF7E}">
    <text>8-22-2025 Confirmed Actual Completed Footage.</text>
  </threadedComment>
  <threadedComment ref="U99" dT="2025-08-22T18:17:06.18" personId="{79160F3F-A2CD-4B5D-ACD4-80E02EA51DFF}" id="{E485DB2A-5421-456E-B6A2-B750CC8DDF8A}">
    <text>8-22-2025 Conduit Placement Confirmed Completed.</text>
  </threadedComment>
  <threadedComment ref="P100" dT="2025-01-29T22:16:27.08" personId="{79160F3F-A2CD-4B5D-ACD4-80E02EA51DFF}" id="{360CFB38-FDC6-481C-87D5-DAA2D5C18EAC}">
    <text>Assigned To Barlett Fiber Per Curtis On 1/29/2025.</text>
  </threadedComment>
  <threadedComment ref="S100" dT="2025-04-16T12:12:21.36" personId="{79160F3F-A2CD-4B5D-ACD4-80E02EA51DFF}" id="{5BF9176E-6152-43DD-860F-43BBF7F502F1}">
    <text>4-16-2025 Confirmed Actual Completed Footage.</text>
  </threadedComment>
  <threadedComment ref="U100" dT="2025-04-16T12:13:03.12" personId="{79160F3F-A2CD-4B5D-ACD4-80E02EA51DFF}" id="{6D61EB58-6694-4F8D-A13D-D743469E4926}">
    <text>4-16-2025 Conduit Placement Confirmed Completed.</text>
  </threadedComment>
  <threadedComment ref="S101" dT="2025-05-14T13:57:40.89" personId="{79160F3F-A2CD-4B5D-ACD4-80E02EA51DFF}" id="{95A97733-8D19-4BA3-9734-A6A71CE51A52}">
    <text>5-14-2025 Confirmed Actual Completed Footage.</text>
  </threadedComment>
  <threadedComment ref="U101" dT="2025-05-14T13:58:26.26" personId="{79160F3F-A2CD-4B5D-ACD4-80E02EA51DFF}" id="{15F34D54-758C-4892-8C30-57F01CD19E30}">
    <text>5-14-2025 Conduit Placement Confirmed Completed.</text>
  </threadedComment>
  <threadedComment ref="S102" dT="2025-05-14T15:23:27.32" personId="{79160F3F-A2CD-4B5D-ACD4-80E02EA51DFF}" id="{01CDAA1E-E0F9-42B5-B097-A4AB1928A673}">
    <text>5-14-2025 Confirmed Actual Completed Footage.</text>
  </threadedComment>
  <threadedComment ref="U102" dT="2025-05-14T15:23:59.32" personId="{79160F3F-A2CD-4B5D-ACD4-80E02EA51DFF}" id="{6D5922F0-6B26-4ED9-99AA-2598B9753C96}">
    <text>5-14-2025 Conduit Placement Confirmed Completed.</text>
  </threadedComment>
  <threadedComment ref="S103" dT="2025-04-24T12:58:40.06" personId="{79160F3F-A2CD-4B5D-ACD4-80E02EA51DFF}" id="{3A162613-9BD8-46DC-BBE8-92E0560E4D6E}">
    <text>4-23-2025 Confirmed Actual Completed Footage.</text>
  </threadedComment>
  <threadedComment ref="U103" dT="2025-04-24T12:58:07.01" personId="{79160F3F-A2CD-4B5D-ACD4-80E02EA51DFF}" id="{75DA41FE-A23F-45BB-96B4-77F584D661DE}">
    <text>4-23-2025 Conduit Placement Confirmed Completed.</text>
  </threadedComment>
  <threadedComment ref="S104" dT="2025-06-06T13:04:31.74" personId="{79160F3F-A2CD-4B5D-ACD4-80E02EA51DFF}" id="{D723D86C-07D0-471E-BFA4-14EDC9295307}">
    <text>6-6-2025 Confirmed Actual Completed Footage.</text>
  </threadedComment>
  <threadedComment ref="U104" dT="2025-06-06T13:05:04.16" personId="{79160F3F-A2CD-4B5D-ACD4-80E02EA51DFF}" id="{554037E9-3245-4D32-AB97-8AF8411CC553}">
    <text>6-6-2025 Conduit Placement Confirmed Completed.</text>
  </threadedComment>
  <threadedComment ref="S105" dT="2025-10-13T12:00:15.38" personId="{79160F3F-A2CD-4B5D-ACD4-80E02EA51DFF}" id="{ED8A7839-34B9-49D7-A83E-D2440FFCDA05}">
    <text>5-30-2025 Confirmed Actual Completed Footage.</text>
  </threadedComment>
  <threadedComment ref="U105" dT="2025-10-13T12:07:47.90" personId="{79160F3F-A2CD-4B5D-ACD4-80E02EA51DFF}" id="{50E2BB35-0D07-4A0B-9A63-A1A21AF9ACA7}">
    <text>5-30-2025 Conduit Placement Confirmed Completed.</text>
  </threadedComment>
  <threadedComment ref="S106" dT="2025-06-03T14:41:29.17" personId="{79160F3F-A2CD-4B5D-ACD4-80E02EA51DFF}" id="{50F356FD-8F80-4A11-AD68-F3D67CFB11E9}">
    <text>6-3-2025 Confirmed Actual Completed Footage.</text>
  </threadedComment>
  <threadedComment ref="U106" dT="2025-06-03T14:42:03.33" personId="{79160F3F-A2CD-4B5D-ACD4-80E02EA51DFF}" id="{B6848518-F250-495F-9FFF-E23B4F259B4C}">
    <text>6-3-2025 Conduit Placement Confirmed Completed.</text>
  </threadedComment>
  <threadedComment ref="S107" dT="2025-10-13T12:00:42.88" personId="{79160F3F-A2CD-4B5D-ACD4-80E02EA51DFF}" id="{C684C795-517E-47EE-B8F0-7F5445461DAA}">
    <text>6-2-2025 Confirmed Actual Completed Footage.</text>
  </threadedComment>
  <threadedComment ref="U107" dT="2025-10-13T12:07:23.43" personId="{79160F3F-A2CD-4B5D-ACD4-80E02EA51DFF}" id="{9092D2C9-A083-486A-9660-F12709874AAB}">
    <text>6-2-2025 Conduit Placement Confirmed Completed.</text>
  </threadedComment>
  <threadedComment ref="S108" dT="2025-10-13T12:01:03.96" personId="{79160F3F-A2CD-4B5D-ACD4-80E02EA51DFF}" id="{160FA930-1EDF-4F4A-8C0F-0834978AA273}">
    <text>6-5-2025 Confirmed Actual Completed Footage.</text>
  </threadedComment>
  <threadedComment ref="U108" dT="2025-10-13T12:07:08.57" personId="{79160F3F-A2CD-4B5D-ACD4-80E02EA51DFF}" id="{2ECF5A3A-0820-48C5-A5A7-7291058C6E23}">
    <text>6-5-2025 Conduit Placement Confirmed Completed.</text>
  </threadedComment>
  <threadedComment ref="S109" dT="2025-10-13T12:01:28.77" personId="{79160F3F-A2CD-4B5D-ACD4-80E02EA51DFF}" id="{72A6F3D6-24D6-4FDC-8B82-2C3D2D7CD0AD}">
    <text>6-3-2025 Confirmed Actual Completed Footage.</text>
  </threadedComment>
  <threadedComment ref="U109" dT="2025-10-13T12:06:49.59" personId="{79160F3F-A2CD-4B5D-ACD4-80E02EA51DFF}" id="{7D47EE29-CA9A-48B2-A150-B3D3E5550791}">
    <text>6-3-2025 Conduit Placement Confirmed Completed.</text>
  </threadedComment>
  <threadedComment ref="S110" dT="2025-12-12T20:49:25.50" personId="{79160F3F-A2CD-4B5D-ACD4-80E02EA51DFF}" id="{175F7794-298D-425E-8B08-02ECE53AAA6E}">
    <text>6-30-2025 Confirmed Actual Completed Footage.</text>
  </threadedComment>
  <threadedComment ref="U110" dT="2025-12-12T20:49:52.26" personId="{79160F3F-A2CD-4B5D-ACD4-80E02EA51DFF}" id="{77669EDC-0AB5-47E5-8653-DF23C48ED117}">
    <text>6-30-2025 Conduit Placement Confirmed Completed.</text>
  </threadedComment>
  <threadedComment ref="S111" dT="2025-04-25T15:04:38.93" personId="{79160F3F-A2CD-4B5D-ACD4-80E02EA51DFF}" id="{56413FE3-5AAE-4ADB-91B8-5060003CF925}">
    <text>4-25-2025 Confirmed Actual Completed Footage.</text>
  </threadedComment>
  <threadedComment ref="U111" dT="2025-04-25T15:05:23.14" personId="{79160F3F-A2CD-4B5D-ACD4-80E02EA51DFF}" id="{DCB1BDBA-70B7-453B-92AA-BE542DE04513}">
    <text>4-25-2025 Conduit Placement Confirmed Completed.</text>
  </threadedComment>
  <threadedComment ref="S112" dT="2025-10-13T12:01:56.47" personId="{79160F3F-A2CD-4B5D-ACD4-80E02EA51DFF}" id="{43F0DF9F-2F89-4995-BA61-2D46ED22BAEA}">
    <text>6-3-2025 Confirmed Actual Completed Footage.</text>
  </threadedComment>
  <threadedComment ref="U112" dT="2025-10-13T12:06:25.77" personId="{79160F3F-A2CD-4B5D-ACD4-80E02EA51DFF}" id="{A2B7280E-BBEF-432C-B84A-BCABE6529A43}">
    <text>6-3-2025 Conduit Placement Confirmed Completed.</text>
  </threadedComment>
  <threadedComment ref="S113" dT="2025-06-06T14:32:00.42" personId="{79160F3F-A2CD-4B5D-ACD4-80E02EA51DFF}" id="{40CB1EB0-05ED-43D7-89CD-454F851A71EB}">
    <text>6-6-2025 Confirmed Actual Completed Footage.</text>
  </threadedComment>
  <threadedComment ref="U113" dT="2025-06-06T14:32:35.42" personId="{79160F3F-A2CD-4B5D-ACD4-80E02EA51DFF}" id="{5996C28E-EB3A-4457-8F20-F5186D237CAF}">
    <text>6-6-2025 Conduit Placement Confirmed Completed.</text>
  </threadedComment>
  <threadedComment ref="X113" dT="2025-03-14T14:19:38.08" personId="{79160F3F-A2CD-4B5D-ACD4-80E02EA51DFF}" id="{77F10BA2-E740-4905-88CC-258BBA5A89C9}">
    <text>3-14-2025 Splicing Completed by Utilities One as Per Tillman.</text>
  </threadedComment>
  <threadedComment ref="S114" dT="2025-06-11T12:31:58.51" personId="{79160F3F-A2CD-4B5D-ACD4-80E02EA51DFF}" id="{04524F86-FC6D-4302-A9EE-628C4B59B9BC}">
    <text>6-11-2025 Confirmed Actual Completed Footage.</text>
  </threadedComment>
  <threadedComment ref="U114" dT="2025-06-11T12:32:43.63" personId="{79160F3F-A2CD-4B5D-ACD4-80E02EA51DFF}" id="{C6F290D9-52FA-4091-88E8-E73E5CB794B6}">
    <text>6-11-2025 Conduit Placement Confirmed Completed.</text>
  </threadedComment>
  <threadedComment ref="S115" dT="2025-06-04T13:56:33.69" personId="{79160F3F-A2CD-4B5D-ACD4-80E02EA51DFF}" id="{C1ED464D-F610-4351-9D06-08FE61930CCE}">
    <text>6-4-2025 Confirmed Actual Completed Footage.</text>
  </threadedComment>
  <threadedComment ref="U115" dT="2025-06-04T13:56:58.69" personId="{79160F3F-A2CD-4B5D-ACD4-80E02EA51DFF}" id="{8F482468-4398-457F-88FC-1F7518747DD6}">
    <text>6-4-2025 Conduit Placement Confirmed Completed.</text>
  </threadedComment>
  <threadedComment ref="S116" dT="2025-10-13T12:02:17.75" personId="{79160F3F-A2CD-4B5D-ACD4-80E02EA51DFF}" id="{B0179F44-1493-41C0-88C3-52E02D9E32F0}">
    <text>6-6-2025 Confirmed Actual Completed Footage.</text>
  </threadedComment>
  <threadedComment ref="U116" dT="2025-10-13T12:05:54.60" personId="{79160F3F-A2CD-4B5D-ACD4-80E02EA51DFF}" id="{AE87A053-617D-486C-B4D4-3150030E4F69}">
    <text>6-6-2025 Conduit Placement Confirmed Completed.</text>
  </threadedComment>
  <threadedComment ref="P117" dT="2025-02-06T22:56:44.92" personId="{B94EEAA7-0C12-4C40-83AA-0D04355A5C49}" id="{89650FE0-4AFB-4F1C-80A2-B5CB93B356CE}">
    <text>HDD 2-6</text>
  </threadedComment>
  <threadedComment ref="S117" dT="2025-05-21T19:21:35.41" personId="{79160F3F-A2CD-4B5D-ACD4-80E02EA51DFF}" id="{CE9386FF-FDF2-4927-92D7-865AF317155F}">
    <text>7-10-2025 Confirmed Actual Completed Footage.</text>
  </threadedComment>
  <threadedComment ref="U117" dT="2025-05-21T19:22:20.35" personId="{79160F3F-A2CD-4B5D-ACD4-80E02EA51DFF}" id="{E52EE323-BBE0-4E60-A03D-328D190E260D}">
    <text>7-10-2025 Conduit Placement Confirmed Completed.</text>
  </threadedComment>
  <threadedComment ref="P118" dT="2025-02-04T19:46:56.78" personId="{79160F3F-A2CD-4B5D-ACD4-80E02EA51DFF}" id="{46D902E2-FE43-45F8-8DBA-436DB5C68BA9}">
    <text>Assigned To Power Connect as Per Curtis on 2-4-2025.</text>
  </threadedComment>
  <threadedComment ref="S118" dT="2025-06-12T19:50:06.13" personId="{79160F3F-A2CD-4B5D-ACD4-80E02EA51DFF}" id="{846D0FAE-420F-47AB-BCEE-2CDA053C1A70}">
    <text>6-12-2025 Confirmed Actual Completed Footage.</text>
  </threadedComment>
  <threadedComment ref="U118" dT="2025-06-12T19:50:36.43" personId="{79160F3F-A2CD-4B5D-ACD4-80E02EA51DFF}" id="{8C073D29-1AEB-47AD-9BDD-2A134ED20A2B}">
    <text>6-12-2025 Conduit Placement Confirmed Completed.</text>
  </threadedComment>
  <threadedComment ref="S119" dT="2025-12-12T20:50:34.07" personId="{79160F3F-A2CD-4B5D-ACD4-80E02EA51DFF}" id="{1998610D-3EF6-49BB-964E-1166BF8C964B}">
    <text>6-17-2025 Confirmed Actual Completed Footage.</text>
  </threadedComment>
  <threadedComment ref="U119" dT="2025-12-12T20:51:00.24" personId="{79160F3F-A2CD-4B5D-ACD4-80E02EA51DFF}" id="{DEACD79A-7B39-484B-8640-E046A1EA2A4F}">
    <text>6-17-2025 Conduit Placement Confirmed Completed.</text>
  </threadedComment>
  <threadedComment ref="S120" dT="2025-06-06T18:18:57.78" personId="{79160F3F-A2CD-4B5D-ACD4-80E02EA51DFF}" id="{85498D14-D5E6-4596-B0FC-A88806092BB2}">
    <text>6-6-2025 Confirmed Actual Completed Footage.</text>
  </threadedComment>
  <threadedComment ref="U120" dT="2025-06-06T18:19:26.99" personId="{79160F3F-A2CD-4B5D-ACD4-80E02EA51DFF}" id="{7FE17918-1458-4EAB-9985-83BB176DA646}">
    <text>6-6-2025 Conduit Placement Confirmed Completed.</text>
  </threadedComment>
  <threadedComment ref="S121" dT="2025-04-16T17:03:55.21" personId="{79160F3F-A2CD-4B5D-ACD4-80E02EA51DFF}" id="{62C262AC-454C-45A9-91B8-96683D8A9855}">
    <text>4-16-2025 Confirmed Actual Completed Footage.</text>
  </threadedComment>
  <threadedComment ref="U121" dT="2025-04-16T17:04:28.29" personId="{79160F3F-A2CD-4B5D-ACD4-80E02EA51DFF}" id="{C4C9E95D-57CA-49AE-B627-3A029C7CED38}">
    <text>4-16-2025 Conduit Placement Confirmed Completed.</text>
  </threadedComment>
  <threadedComment ref="S122" dT="2025-04-17T13:09:04.10" personId="{79160F3F-A2CD-4B5D-ACD4-80E02EA51DFF}" id="{59BC3B04-8F3B-4FD8-A280-6DA196D444DA}">
    <text>4-17-2025 Confirmed Actual Completed Footage.</text>
  </threadedComment>
  <threadedComment ref="U122" dT="2025-04-17T13:09:27.88" personId="{79160F3F-A2CD-4B5D-ACD4-80E02EA51DFF}" id="{D2774464-7DB3-4189-9192-60D4DA75D48C}">
    <text>4-16-2025 Conduit Placement Confirmed Completed.</text>
  </threadedComment>
  <threadedComment ref="S123" dT="2025-10-13T12:02:41.49" personId="{79160F3F-A2CD-4B5D-ACD4-80E02EA51DFF}" id="{CB0758B4-428B-494F-8F8F-D59CC0037C51}">
    <text>6-11-2025 Confirmed Actual Completed Footage.</text>
  </threadedComment>
  <threadedComment ref="U123" dT="2025-10-13T12:05:26.05" personId="{79160F3F-A2CD-4B5D-ACD4-80E02EA51DFF}" id="{DEF50DC7-69F4-4C6E-ABD9-A4CD9963C270}">
    <text>6-11-2025 Conduit Placement Confirmed Completed.</text>
  </threadedComment>
  <threadedComment ref="S124" dT="2025-10-13T12:03:05.46" personId="{79160F3F-A2CD-4B5D-ACD4-80E02EA51DFF}" id="{2237F15A-2877-4628-8961-F6D9EF4CACB2}">
    <text>6-3-2025 Confirmed Actual Completed Footage.</text>
  </threadedComment>
  <threadedComment ref="U124" dT="2025-10-13T12:05:14.55" personId="{79160F3F-A2CD-4B5D-ACD4-80E02EA51DFF}" id="{E57DCA75-71D8-48DE-8A6B-E3D1EB00B56B}">
    <text>6-3-2025 Conduit Placement Confirmed Completed.</text>
  </threadedComment>
  <threadedComment ref="S125" dT="2025-08-19T21:49:32.35" personId="{79160F3F-A2CD-4B5D-ACD4-80E02EA51DFF}" id="{C62297E7-679C-42A9-989B-1041393525B1}">
    <text>8-19-2025 Confirmed Actual Completed Footage.</text>
  </threadedComment>
  <threadedComment ref="U125" dT="2025-08-19T21:50:07.34" personId="{79160F3F-A2CD-4B5D-ACD4-80E02EA51DFF}" id="{3FDCAE1E-4CD3-49C9-A42A-8877C75AE0D5}">
    <text>8-19-2025 Conduit Placement Confirmed Completed.</text>
  </threadedComment>
  <threadedComment ref="S126" dT="2025-12-12T20:51:48.26" personId="{79160F3F-A2CD-4B5D-ACD4-80E02EA51DFF}" id="{B07D8600-A27B-44B7-9CC8-34F3569B5525}">
    <text>5-14-2025 Confirmed Actual Completed Footage.</text>
  </threadedComment>
  <threadedComment ref="U126" dT="2025-12-12T20:52:16.62" personId="{79160F3F-A2CD-4B5D-ACD4-80E02EA51DFF}" id="{71D03D98-6DBE-438C-A67E-0B65DAAF341F}">
    <text>5-14-2025 Conduit Placement Confirmed Completed.</text>
  </threadedComment>
  <threadedComment ref="R127" dT="2025-03-19T12:01:28.73" personId="{79160F3F-A2CD-4B5D-ACD4-80E02EA51DFF}" id="{E332339B-7F40-4E57-A76A-93AD263997E9}">
    <text>3-19-2025 Project Completed-Re-Design on Project Changed the Footage.</text>
  </threadedComment>
  <threadedComment ref="S127" dT="2025-05-29T20:01:24.03" personId="{79160F3F-A2CD-4B5D-ACD4-80E02EA51DFF}" id="{AB876E59-95BA-4DFD-BFF5-D47013424731}">
    <text>5-29-2025 Confirmed Actual Completed Footage.</text>
  </threadedComment>
  <threadedComment ref="U127" dT="2025-05-29T20:02:15.64" personId="{79160F3F-A2CD-4B5D-ACD4-80E02EA51DFF}" id="{A7DE4E9F-CA1B-40C7-A32F-C29BF335970F}">
    <text>5-29-2025 Conduit Placement Confirmed Completed.</text>
  </threadedComment>
  <threadedComment ref="A128" dT="2025-06-03T12:39:54.33" personId="{79160F3F-A2CD-4B5D-ACD4-80E02EA51DFF}" id="{7FBEAE6E-BCF4-4190-A1E3-C1AE50A12C54}">
    <text>6-3-2025 As Per Theresa Only Construction Has Been Invoiced--Fiber To Follow.</text>
  </threadedComment>
  <threadedComment ref="P128" dT="2025-02-06T22:44:15.77" personId="{B94EEAA7-0C12-4C40-83AA-0D04355A5C49}" id="{A31C4915-9B2A-4466-81D2-F061A1AD2B0B}">
    <text>FCA</text>
  </threadedComment>
  <threadedComment ref="S128" dT="2025-05-13T19:59:24.00" personId="{79160F3F-A2CD-4B5D-ACD4-80E02EA51DFF}" id="{5886D154-48F9-4169-8D32-FF04E42A465C}">
    <text>5-13-2025 Confirmed Actual Completed Footage.</text>
  </threadedComment>
  <threadedComment ref="U128" dT="2025-05-13T20:00:30.30" personId="{79160F3F-A2CD-4B5D-ACD4-80E02EA51DFF}" id="{C803588A-D90C-4ABA-9B47-F05273A01B4A}">
    <text>5-13-2025 Conduit Placement Confirmed Completed.</text>
  </threadedComment>
  <threadedComment ref="S129" dT="2025-06-11T12:23:40.48" personId="{79160F3F-A2CD-4B5D-ACD4-80E02EA51DFF}" id="{6D3F2EB1-3368-4ADC-B57B-1874656DB15B}">
    <text>6-11-2025 Confirmed Actual Completed Footage.</text>
  </threadedComment>
  <threadedComment ref="U129" dT="2025-06-11T12:24:08.37" personId="{79160F3F-A2CD-4B5D-ACD4-80E02EA51DFF}" id="{D1BE0F44-91D7-423E-8F0B-F2E99C75D1A3}">
    <text>6-11-2025 Conduit Placement Confirmed Completed.</text>
  </threadedComment>
  <threadedComment ref="S130" dT="2025-08-21T14:12:49.82" personId="{79160F3F-A2CD-4B5D-ACD4-80E02EA51DFF}" id="{0EB6D28B-0662-4CD7-A7AD-967785D5254E}">
    <text>7-21-2025 Confirmed Actual Completed Footage.</text>
  </threadedComment>
  <threadedComment ref="U130" dT="2025-08-21T14:14:26.98" personId="{79160F3F-A2CD-4B5D-ACD4-80E02EA51DFF}" id="{0DC8A58F-2885-42D4-AC3A-120541BA92EC}">
    <text>7-21-2025 Conduit Placement Confirmed Completed.</text>
  </threadedComment>
  <threadedComment ref="S131" dT="2025-10-13T12:03:32.44" personId="{79160F3F-A2CD-4B5D-ACD4-80E02EA51DFF}" id="{3398BD66-3977-4B75-A489-2B4B31F8F2D0}">
    <text>6-9-2025 Confirmed Actual Completed Footage.</text>
  </threadedComment>
  <threadedComment ref="U131" dT="2025-10-13T12:04:39.60" personId="{79160F3F-A2CD-4B5D-ACD4-80E02EA51DFF}" id="{DA9F3A93-94DB-4551-AD1B-11F638EB4495}">
    <text>6-9-2025 Conduit Placement Confirmed Completed.</text>
  </threadedComment>
  <threadedComment ref="R132" dT="2025-06-06T14:03:06.67" personId="{79160F3F-A2CD-4B5D-ACD4-80E02EA51DFF}" id="{A118B744-27E3-45CC-AC17-66DEEA69D42C}">
    <text>6-6-2025 222' Of Additional 1 1/2 Conduit Was Placed On This Project.</text>
  </threadedComment>
  <threadedComment ref="S132" dT="2025-10-13T12:04:07.44" personId="{79160F3F-A2CD-4B5D-ACD4-80E02EA51DFF}" id="{93F11D5C-C5E3-4DD0-821B-B71EF5D628E4}">
    <text>6-6-2025 Confirmed Actual Completed Footage.</text>
  </threadedComment>
  <threadedComment ref="U132" dT="2025-10-13T12:04:57.55" personId="{79160F3F-A2CD-4B5D-ACD4-80E02EA51DFF}" id="{D80F00F6-71DC-4D2F-89EA-3A38FE98394B}">
    <text>6-6-2025 Conduit Placement Confirmed Completed.</text>
  </threadedComment>
  <threadedComment ref="S133" dT="2025-06-30T14:34:25.46" personId="{79160F3F-A2CD-4B5D-ACD4-80E02EA51DFF}" id="{13405531-94C7-4C8A-B853-7FB996BDC89E}">
    <text>6-30-2025 Confirmed Actual Completed Footage.</text>
  </threadedComment>
  <threadedComment ref="U133" dT="2025-06-30T14:34:59.56" personId="{79160F3F-A2CD-4B5D-ACD4-80E02EA51DFF}" id="{26F0574F-6AAE-4BE8-AB2A-31353AF91E1A}">
    <text>6-30-2025 Conduit Placement Confirmed Completed.</text>
  </threadedComment>
  <threadedComment ref="S134" dT="2025-10-10T12:51:57.72" personId="{79160F3F-A2CD-4B5D-ACD4-80E02EA51DFF}" id="{8023C05D-A327-4985-A4A4-7742922CE22A}">
    <text>10-10-2025 Confirmed Actual Completed Footage.</text>
  </threadedComment>
  <threadedComment ref="U134" dT="2025-10-10T12:52:24.47" personId="{79160F3F-A2CD-4B5D-ACD4-80E02EA51DFF}" id="{A039D815-78E0-4CBE-8D3D-B1622C6F0AD5}">
    <text>10-10-2025 Conduit Placement Confirmed Completed.</text>
  </threadedComment>
  <threadedComment ref="S135" dT="2025-10-04T19:39:46.57" personId="{79160F3F-A2CD-4B5D-ACD4-80E02EA51DFF}" id="{7F147FDC-8639-485A-812D-7381CDBA6AF5}">
    <text>10-3-2025 Confirmed Actual Completed Footage.</text>
  </threadedComment>
  <threadedComment ref="U135" dT="2025-10-04T19:32:00.19" personId="{79160F3F-A2CD-4B5D-ACD4-80E02EA51DFF}" id="{59045F98-7723-4A00-BC86-CE528FCF7A9E}">
    <text>10-3-2025 Conduit Placement Confirmed Completed.</text>
  </threadedComment>
  <threadedComment ref="S136" dT="2025-09-22T13:57:18.49" personId="{79160F3F-A2CD-4B5D-ACD4-80E02EA51DFF}" id="{DD53000F-7A13-4486-BBB1-7F709BB47B9B}">
    <text>9-19-2025 Confirmed Actual Completed Footage.</text>
  </threadedComment>
  <threadedComment ref="U136" dT="2025-09-22T13:57:42.91" personId="{79160F3F-A2CD-4B5D-ACD4-80E02EA51DFF}" id="{B3167108-F324-4E81-A670-DE57E84D9750}">
    <text>9-19-2025 Conduit Placement Confirmed Completed.</text>
  </threadedComment>
  <threadedComment ref="P137" dT="2025-01-29T22:16:27.08" personId="{79160F3F-A2CD-4B5D-ACD4-80E02EA51DFF}" id="{F5AD6C5D-7708-44FF-852F-ACEC90A9779D}">
    <text>Assigned To Barlett Fiber Per Curtis On 1/29/2025.</text>
  </threadedComment>
  <threadedComment ref="S137" dT="2025-07-16T16:35:21.42" personId="{79160F3F-A2CD-4B5D-ACD4-80E02EA51DFF}" id="{BF995F9F-64DF-47E1-9DD1-6A050C01830A}">
    <text>7-16-2025 Confirmed Actual Completed Footage.</text>
  </threadedComment>
  <threadedComment ref="U137" dT="2025-07-16T16:35:52.71" personId="{79160F3F-A2CD-4B5D-ACD4-80E02EA51DFF}" id="{508EEC17-8DA1-44C8-A3B8-56554B677021}">
    <text>7-16-2025 Conduit Placement Confirmed Completed.</text>
  </threadedComment>
  <threadedComment ref="S138" dT="2025-12-15T19:16:22.31" personId="{79160F3F-A2CD-4B5D-ACD4-80E02EA51DFF}" id="{BDB1FCA7-359C-4DBC-947B-DC929D7976B9}">
    <text>12-15-2025 Fiber Placement and Splicing.</text>
  </threadedComment>
  <threadedComment ref="U138" dT="2025-12-15T19:16:46.23" personId="{79160F3F-A2CD-4B5D-ACD4-80E02EA51DFF}" id="{685EACCF-3EB9-4167-BF52-123D04D7903B}">
    <text>12-15-2025 Fiber Placement and Splicing.</text>
  </threadedComment>
  <threadedComment ref="S139" dT="2025-12-15T19:16:33.59" personId="{79160F3F-A2CD-4B5D-ACD4-80E02EA51DFF}" id="{F64B272E-7B13-4FD6-BCE9-FD820524D28E}">
    <text>12-15-2025 Fiber Placement and Splicing.</text>
  </threadedComment>
  <threadedComment ref="U139" dT="2025-12-15T19:16:53.13" personId="{79160F3F-A2CD-4B5D-ACD4-80E02EA51DFF}" id="{4076130C-6EDC-4F8F-A624-74CA3E0B597D}">
    <text>12-15-2025 Fiber Placement and Splicing.</text>
  </threadedComment>
  <threadedComment ref="S140" dT="2026-02-13T14:48:02.71" personId="{79160F3F-A2CD-4B5D-ACD4-80E02EA51DFF}" id="{4E2F4959-4849-4ED7-A622-C519C44B24AD}">
    <text>2-13-2025 Fiber Placement and Splicing.</text>
  </threadedComment>
  <threadedComment ref="U140" dT="2026-02-13T14:48:49.57" personId="{79160F3F-A2CD-4B5D-ACD4-80E02EA51DFF}" id="{CE459243-AED2-4D65-85E4-BF3FC1ADC2BC}">
    <text>2-13-2025 Fiber Placement and Splicing.</text>
  </threadedComment>
  <threadedComment ref="S141" dT="2026-01-18T21:07:30.30" personId="{79160F3F-A2CD-4B5D-ACD4-80E02EA51DFF}" id="{BC37ACF6-A409-4D62-BA9A-14A252835418}">
    <text>1-9-2026 Conduit Placement Confirmed Completed.</text>
  </threadedComment>
  <threadedComment ref="U141" dT="2026-01-18T21:07:59.91" personId="{79160F3F-A2CD-4B5D-ACD4-80E02EA51DFF}" id="{9FE77486-AAAC-4B1D-88F1-213E5801AB1C}">
    <text>1-9-2026 Fiber Placement and Splicing.</text>
  </threadedComment>
  <threadedComment ref="S142" dT="2026-01-19T15:11:19.18" personId="{79160F3F-A2CD-4B5D-ACD4-80E02EA51DFF}" id="{A832F4AC-18E4-48D6-9C2A-272575B9487E}">
    <text>1-13-2026 Confirmed Actual Completed Footage.</text>
  </threadedComment>
  <threadedComment ref="U142" dT="2026-01-19T15:10:45.83" personId="{79160F3F-A2CD-4B5D-ACD4-80E02EA51DFF}" id="{72453326-C165-43E4-8D3B-90371BBC5422}">
    <text>1-13-2026 Fiber Placement and Splicing.</text>
  </threadedComment>
  <threadedComment ref="S143" dT="2026-01-18T17:13:16.59" personId="{79160F3F-A2CD-4B5D-ACD4-80E02EA51DFF}" id="{399ECB90-B545-451A-B214-8FE6E5D3986E}">
    <text>1-6-2026 Confirmed Actual Completed Footage.</text>
  </threadedComment>
  <threadedComment ref="U143" dT="2026-01-18T17:14:54.24" personId="{79160F3F-A2CD-4B5D-ACD4-80E02EA51DFF}" id="{BF79736E-6CE2-4CB3-9043-6085ACD10427}">
    <text xml:space="preserve">1-6-2026 Fiber Placement and Splicing.
</text>
  </threadedComment>
  <threadedComment ref="S144" dT="2026-01-18T17:24:02.15" personId="{79160F3F-A2CD-4B5D-ACD4-80E02EA51DFF}" id="{93847D7D-307F-44A1-A69F-78C4B601EF78}">
    <text>1-6-2026 Confirmed Actual Completed Footage.</text>
  </threadedComment>
  <threadedComment ref="U144" dT="2026-01-18T17:23:40.73" personId="{79160F3F-A2CD-4B5D-ACD4-80E02EA51DFF}" id="{21A255CD-2C8D-41C7-8828-715D6A59A7BC}">
    <text>1-6-2026 Fiber Placement and Splicing.</text>
  </threadedComment>
  <threadedComment ref="S145" dT="2026-02-12T19:44:15.28" personId="{79160F3F-A2CD-4B5D-ACD4-80E02EA51DFF}" id="{8C8C9FBB-A0DE-4FD7-B538-6458C49A6B7D}">
    <text>2-12-2026 Confirmed Actual Completed Footage.</text>
  </threadedComment>
  <threadedComment ref="U145" dT="2026-02-12T19:44:45.56" personId="{79160F3F-A2CD-4B5D-ACD4-80E02EA51DFF}" id="{F4AB421A-15CD-41E4-B37C-C096E8ABBBB5}">
    <text>2-12-2026 Fiber Placement and Splicing.</text>
  </threadedComment>
  <threadedComment ref="S146" dT="2026-02-13T19:28:40.55" personId="{79160F3F-A2CD-4B5D-ACD4-80E02EA51DFF}" id="{4571FC37-C427-46FA-953B-ACA99D892B59}">
    <text>2-13-2026 Confirmed Actual Completed Footage.</text>
  </threadedComment>
  <threadedComment ref="U146" dT="2026-02-13T19:29:11.10" personId="{79160F3F-A2CD-4B5D-ACD4-80E02EA51DFF}" id="{E44E8CE5-FB67-4F00-9A54-40CF09B595F4}">
    <text>2-13-2026 Fiber Placement and Splicing.</text>
  </threadedComment>
  <threadedComment ref="S153" dT="2025-12-02T22:00:29.68" personId="{79160F3F-A2CD-4B5D-ACD4-80E02EA51DFF}" id="{4D895C4E-88FF-45A8-A428-59D12497ECB5}">
    <text>12-3-2025 Confirmed Actual Completed Footage.</text>
  </threadedComment>
  <threadedComment ref="U153" dT="2025-12-02T22:00:53.55" personId="{79160F3F-A2CD-4B5D-ACD4-80E02EA51DFF}" id="{C2F583A8-36E8-4677-8984-40373646E89D}">
    <text>12-3-2025 Conduit Placement Confirmed Completed.</text>
  </threadedComment>
  <threadedComment ref="S154" dT="2026-02-10T20:34:55.73" personId="{79160F3F-A2CD-4B5D-ACD4-80E02EA51DFF}" id="{0E31AB1E-8609-4BE2-A9C9-FB1C3AA0857F}">
    <text>2-10-2025 Confirmed Actual Completed Footage.</text>
  </threadedComment>
  <threadedComment ref="U154" dT="2026-02-10T20:35:21.44" personId="{79160F3F-A2CD-4B5D-ACD4-80E02EA51DFF}" id="{763B9615-C54B-42F8-B980-4AAFDE50CF9D}">
    <text>2-10-2025 Conduit Placement Confirmed Completed.</text>
  </threadedComment>
  <threadedComment ref="S155" dT="2026-02-12T22:01:33.20" personId="{79160F3F-A2CD-4B5D-ACD4-80E02EA51DFF}" id="{200F95B4-2C52-4B74-AFE5-5E51CE760D22}">
    <text>1-8-2025 Confirmed Actual Completed Footage.</text>
  </threadedComment>
  <threadedComment ref="U155" dT="2026-02-12T22:00:52.99" personId="{79160F3F-A2CD-4B5D-ACD4-80E02EA51DFF}" id="{08421132-90D1-46F3-B59F-C146B93334FF}">
    <text>1-8-2026 Conduit Placement Confirmed Completed.</text>
  </threadedComment>
  <threadedComment ref="S156" dT="2026-02-13T21:15:23.16" personId="{79160F3F-A2CD-4B5D-ACD4-80E02EA51DFF}" id="{27FC8018-0C06-4736-9F87-A2FF8929A042}">
    <text>2-13-2026 Confirmed Actual Completed Footage.</text>
  </threadedComment>
  <threadedComment ref="U156" dT="2026-02-13T21:16:00.68" personId="{79160F3F-A2CD-4B5D-ACD4-80E02EA51DFF}" id="{3B8BEFD7-17D6-4E53-8A07-BD15DB47E309}">
    <text>2-13-2026 Conduit Placement Confirmed Completed.</text>
  </threadedComment>
  <threadedComment ref="S157" dT="2026-02-24T18:25:23.53" personId="{79160F3F-A2CD-4B5D-ACD4-80E02EA51DFF}" id="{2EFD11F4-8E3C-4B6E-9767-42D6D711EC55}">
    <text>2-24-2026 Confirmed Actual Completed Footage.</text>
  </threadedComment>
  <threadedComment ref="U157" dT="2026-02-24T18:25:51.09" personId="{79160F3F-A2CD-4B5D-ACD4-80E02EA51DFF}" id="{B36B9995-3095-4ECA-996E-D4E32608F994}">
    <text>2-24-2026 Conduit Placement Confirmed Completed.</text>
  </threadedComment>
  <threadedComment ref="S158" dT="2025-05-27T12:50:21.90" personId="{79160F3F-A2CD-4B5D-ACD4-80E02EA51DFF}" id="{2C676A09-E901-4BBD-9FA1-9F7B7E124393}">
    <text>5-23-2025 Completed Missing Bore Connection To Feed.</text>
  </threadedComment>
  <threadedComment ref="S158" dT="2025-07-18T12:49:42.25" personId="{79160F3F-A2CD-4B5D-ACD4-80E02EA51DFF}" id="{F68FC8C1-C6D1-4545-90EE-BA459F9F47E6}" parentId="{2C676A09-E901-4BBD-9FA1-9F7B7E124393}">
    <text>Change Order Approved By Joe Cutright On 7-18-2025.</text>
  </threadedComment>
  <threadedComment ref="U158" dT="2026-02-13T15:02:38.30" personId="{79160F3F-A2CD-4B5D-ACD4-80E02EA51DFF}" id="{C1072D02-6D18-4F69-82AF-97BE89FE8946}">
    <text>5-23-2025 Conduit Placement Confirmed Completed.</text>
  </threadedComment>
  <threadedComment ref="S159" dT="2026-02-13T21:27:57.16" personId="{79160F3F-A2CD-4B5D-ACD4-80E02EA51DFF}" id="{9FC699E6-7746-4D94-9293-0C68BF5B651C}">
    <text>2-13-2026 Confirmed Actual Completed Footage.</text>
  </threadedComment>
  <threadedComment ref="U159" dT="2026-02-13T21:28:20.87" personId="{79160F3F-A2CD-4B5D-ACD4-80E02EA51DFF}" id="{6B448CB5-89F4-4338-8EC6-81C93C974A25}">
    <text>2-13-2026 Conduit Placement Confirmed Completed.</text>
  </threadedComment>
  <threadedComment ref="S160" dT="2026-02-17T12:28:38.84" personId="{79160F3F-A2CD-4B5D-ACD4-80E02EA51DFF}" id="{9883B52A-D8A0-4AEF-B68F-94DA54DEDC08}">
    <text>2-17-2026 Confirmed Actual Completed Footage.</text>
  </threadedComment>
  <threadedComment ref="U160" dT="2026-02-17T12:29:04.20" personId="{79160F3F-A2CD-4B5D-ACD4-80E02EA51DFF}" id="{BCEA3E86-F4E3-4C6E-BE02-E77C25A0F87A}">
    <text>2-17-2026 Conduit Placement Confirmed Completed.</text>
  </threadedComment>
  <threadedComment ref="S161" dT="2026-02-16T16:48:56.36" personId="{79160F3F-A2CD-4B5D-ACD4-80E02EA51DFF}" id="{AB9468DA-A225-489D-B193-9AE0686EE6EB}">
    <text>2-16-2026 Confirmed Actual Completed Footage.</text>
  </threadedComment>
  <threadedComment ref="U161" dT="2026-02-16T16:48:02.59" personId="{79160F3F-A2CD-4B5D-ACD4-80E02EA51DFF}" id="{9633E007-1359-49FF-B6E1-16A0B96128F8}">
    <text>2-16-2026 Conduit Placement Confirmed Completed.</text>
  </threadedComment>
  <threadedComment ref="S162" dT="2026-02-23T15:02:31.37" personId="{79160F3F-A2CD-4B5D-ACD4-80E02EA51DFF}" id="{444991A4-0346-487E-8ED7-D0634C0ED65F}">
    <text>2-23-2026 Confirmed Actual Completed Footage.</text>
  </threadedComment>
  <threadedComment ref="U162" dT="2026-02-23T15:03:16.93" personId="{79160F3F-A2CD-4B5D-ACD4-80E02EA51DFF}" id="{8280F5CB-2EB9-4834-8191-EAB50D2A42F8}">
    <text>2-23-2026 Conduit Placement Confirmed Completed.</text>
  </threadedComment>
  <threadedComment ref="S163" dT="2025-07-18T18:50:00.64" personId="{79160F3F-A2CD-4B5D-ACD4-80E02EA51DFF}" id="{608D8C8C-6C66-4B67-979F-6CAC8DD9CEB8}">
    <text>7-18-2025 Confirmed Actual Completed Footage.</text>
  </threadedComment>
  <threadedComment ref="U163" dT="2025-07-18T18:49:31.62" personId="{79160F3F-A2CD-4B5D-ACD4-80E02EA51DFF}" id="{27A4E76C-3487-42A9-A264-3AA2DF4FC5A0}">
    <text>7-18-2025 Conduit Placement Confirmed Completed.</text>
  </threadedComment>
  <threadedComment ref="S164" dT="2026-02-11T22:03:28.07" personId="{79160F3F-A2CD-4B5D-ACD4-80E02EA51DFF}" id="{5384D97D-3F23-4480-9E81-21DE0AD54089}">
    <text>2-11-2026 Confirmed Actual Completed Footage.</text>
  </threadedComment>
  <threadedComment ref="U164" dT="2026-02-11T22:03:50.27" personId="{79160F3F-A2CD-4B5D-ACD4-80E02EA51DFF}" id="{2ABCCE46-2783-4622-93BA-A0DEF2F36EC2}">
    <text>2-11-2026 Conduit Placement Confirmed Completed.</text>
  </threadedComment>
  <threadedComment ref="S165" dT="2025-12-29T19:05:08.19" personId="{79160F3F-A2CD-4B5D-ACD4-80E02EA51DFF}" id="{4EDB33E6-9AC1-42C0-9FE9-919666486722}">
    <text>12-29-2025 Confirmed Actual Completed Footage.</text>
  </threadedComment>
  <threadedComment ref="U165" dT="2025-12-29T19:06:01.27" personId="{79160F3F-A2CD-4B5D-ACD4-80E02EA51DFF}" id="{578B7F92-21DB-4A43-8B81-6CB5F5FFC2B7}">
    <text>12-29-2025 Conduit Placement Confirmed Completed.</text>
  </threadedComment>
  <threadedComment ref="S166" dT="2025-11-03T19:12:09.29" personId="{79160F3F-A2CD-4B5D-ACD4-80E02EA51DFF}" id="{A3067A95-9D6D-47A8-B09F-BD90FFF65048}">
    <text>11-3-2025 Confirmed Actual Completed Footage.</text>
  </threadedComment>
  <threadedComment ref="U166" dT="2025-11-03T19:12:46.16" personId="{79160F3F-A2CD-4B5D-ACD4-80E02EA51DFF}" id="{FAA89131-F29F-4C47-BEAA-0CE174420765}">
    <text>11-3-2025 Conduit Placement Confirmed Completed.</text>
  </threadedComment>
  <threadedComment ref="S167" dT="2025-10-15T15:54:24.37" personId="{79160F3F-A2CD-4B5D-ACD4-80E02EA51DFF}" id="{1EBBD3F0-FDF6-445B-87C5-164D0A209BEA}">
    <text>10-15-2025 Confirmed Actual Completed Footage.</text>
  </threadedComment>
  <threadedComment ref="U167" dT="2025-10-15T15:52:26.89" personId="{79160F3F-A2CD-4B5D-ACD4-80E02EA51DFF}" id="{8B6FFBD0-457E-4158-B5E2-50A070E84ADC}">
    <text>10-15-2025 Conduit Placement Confirmed Completed.</text>
  </threadedComment>
  <threadedComment ref="S168" dT="2026-02-16T19:24:37.80" personId="{79160F3F-A2CD-4B5D-ACD4-80E02EA51DFF}" id="{D0C76C04-3150-445B-BE5E-5225F9E549FB}">
    <text>2-16-2026 Confirmed Actual Completed Footage.</text>
  </threadedComment>
  <threadedComment ref="U168" dT="2026-02-16T19:25:03.32" personId="{79160F3F-A2CD-4B5D-ACD4-80E02EA51DFF}" id="{3EF252C9-F914-478E-95AB-6DC18F2E1EEC}">
    <text>2-16-2026 Conduit Placement Confirmed Completed.</text>
  </threadedComment>
  <threadedComment ref="S169" dT="2026-02-26T19:50:57.84" personId="{79160F3F-A2CD-4B5D-ACD4-80E02EA51DFF}" id="{BD336BDF-C489-4A6C-B98F-4CEC2FE9E89E}">
    <text>2-26-2026 Confirmed Actual Completed Footage.</text>
  </threadedComment>
  <threadedComment ref="U169" dT="2026-02-26T19:51:31.83" personId="{79160F3F-A2CD-4B5D-ACD4-80E02EA51DFF}" id="{A5F5F2F7-DE51-4D19-A90A-9779D88C7A0E}">
    <text>2-26-2026 Conduit Placement Confirmed Completed.</text>
  </threadedComment>
  <threadedComment ref="S170" dT="2026-02-11T21:20:58.77" personId="{79160F3F-A2CD-4B5D-ACD4-80E02EA51DFF}" id="{F46219BF-0FB8-49CE-9E6E-C83AB262FC1C}">
    <text>2-11-2026 Confirmed Actual Completed Footage.</text>
  </threadedComment>
  <threadedComment ref="U170" dT="2026-02-11T21:21:23.71" personId="{79160F3F-A2CD-4B5D-ACD4-80E02EA51DFF}" id="{8512487F-C7C0-46A8-8F0E-792B5AD1620C}">
    <text>2-11-2026 Conduit Placement Confirmed Completed.</text>
  </threadedComment>
  <threadedComment ref="S171" dT="2026-02-20T12:54:30.57" personId="{79160F3F-A2CD-4B5D-ACD4-80E02EA51DFF}" id="{283372EC-EFDF-46AF-8CA5-AB2E84C48873}">
    <text>2-19-2026 Confirmed Actual Completed Footage.</text>
  </threadedComment>
  <threadedComment ref="U171" dT="2026-02-20T12:54:55.09" personId="{79160F3F-A2CD-4B5D-ACD4-80E02EA51DFF}" id="{90D51DE0-48ED-41AF-8F94-A9DA5FF63760}">
    <text>2-19-2026 Conduit Placement Confirmed Completed.</text>
  </threadedComment>
  <threadedComment ref="S172" dT="2025-09-11T12:41:43.39" personId="{79160F3F-A2CD-4B5D-ACD4-80E02EA51DFF}" id="{978A7D16-1AC3-45AE-81AC-3FEB51E12DC6}">
    <text>9-11-2025 Confirmed Actual Completed Footage.</text>
  </threadedComment>
  <threadedComment ref="U172" dT="2025-09-11T12:42:10.74" personId="{79160F3F-A2CD-4B5D-ACD4-80E02EA51DFF}" id="{78A22408-080E-462B-ABFE-72F189E2975C}">
    <text>9-11-2025 Conduit Placement Confirmed Completed.</text>
  </threadedComment>
  <threadedComment ref="S173" dT="2025-10-31T18:52:58.95" personId="{79160F3F-A2CD-4B5D-ACD4-80E02EA51DFF}" id="{A0863B09-5994-4D45-9AA6-0B279BE2B408}">
    <text>10-31-2025 Confirmed Actual Completed Footage.</text>
  </threadedComment>
  <threadedComment ref="S173" dT="2026-02-04T15:26:41.42" personId="{79160F3F-A2CD-4B5D-ACD4-80E02EA51DFF}" id="{800FB68A-F15F-4754-B00A-FBF5A58177CA}" parentId="{A0863B09-5994-4D45-9AA6-0B279BE2B408}">
    <text>Updated Footage On 2-5-2026.</text>
  </threadedComment>
  <threadedComment ref="U173" dT="2025-10-31T18:53:27.65" personId="{79160F3F-A2CD-4B5D-ACD4-80E02EA51DFF}" id="{BB598D48-E2E6-4E76-A34E-B878E3B582D7}">
    <text>10-31-2025 Conduit Placement Confirmed Completed.</text>
  </threadedComment>
  <threadedComment ref="U173" dT="2026-02-04T15:26:57.27" personId="{79160F3F-A2CD-4B5D-ACD4-80E02EA51DFF}" id="{7B5B0F4F-5AAB-4E38-8D1C-A6E08F348693}" parentId="{BB598D48-E2E6-4E76-A34E-B878E3B582D7}">
    <text>Updated Footage On 2-5-2026.</text>
  </threadedComment>
  <threadedComment ref="S174" dT="2025-10-20T16:49:49.06" personId="{79160F3F-A2CD-4B5D-ACD4-80E02EA51DFF}" id="{24811B7D-D55C-4152-B389-B8EC40AFE771}">
    <text>10-20-2025 Confirmed Actual Completed Footage.</text>
  </threadedComment>
  <threadedComment ref="U174" dT="2025-10-20T16:50:15.30" personId="{79160F3F-A2CD-4B5D-ACD4-80E02EA51DFF}" id="{23C25D0D-195E-42AA-B461-3301A1D2DE6C}">
    <text>10-20-2025 Conduit Placement Confirmed Completed.</text>
  </threadedComment>
  <threadedComment ref="S175" dT="2025-11-05T14:08:42.18" personId="{79160F3F-A2CD-4B5D-ACD4-80E02EA51DFF}" id="{074B6B85-1E14-44ED-9BD1-6D504C520955}">
    <text>11-5-2025 Confirmed Actual Completed Footage.</text>
  </threadedComment>
  <threadedComment ref="U175" dT="2025-11-05T14:09:16.41" personId="{79160F3F-A2CD-4B5D-ACD4-80E02EA51DFF}" id="{994EBAD0-E4F3-4C6B-BDE1-42F4B4623CB8}">
    <text>11-5-2025 Conduit Placement Confirmed Completed.</text>
  </threadedComment>
  <threadedComment ref="S176" dT="2025-12-16T15:58:09.38" personId="{79160F3F-A2CD-4B5D-ACD4-80E02EA51DFF}" id="{8E8FDF3C-48A0-4E73-A9DB-E3C39439C595}">
    <text>12-16-2025 Confirmed Actual Completed Footage. Change Order Submitted For Additional Footage Added To Project--Approved By Tillman.</text>
  </threadedComment>
  <threadedComment ref="U176" dT="2025-12-16T15:58:42.46" personId="{79160F3F-A2CD-4B5D-ACD4-80E02EA51DFF}" id="{D1452882-3E20-4DF0-B48D-F5407BCED906}">
    <text>12-16-2025 Conduit Placement Confirmed Completed.</text>
  </threadedComment>
  <threadedComment ref="S177" dT="2026-02-12T19:04:40.66" personId="{79160F3F-A2CD-4B5D-ACD4-80E02EA51DFF}" id="{F50BEA24-1F14-49D5-8F1A-73A730E776BB}">
    <text>2-12-2026 Confirmed Actual Completed Footage.</text>
  </threadedComment>
  <threadedComment ref="U177" dT="2026-02-12T19:05:12.05" personId="{79160F3F-A2CD-4B5D-ACD4-80E02EA51DFF}" id="{D7A25FC5-9F23-4DC3-9C88-BABD803F67CE}">
    <text>2-12-2026 Conduit Placement Confirmed Completed.</text>
  </threadedComment>
  <threadedComment ref="S178" dT="2025-09-17T17:53:40.58" personId="{79160F3F-A2CD-4B5D-ACD4-80E02EA51DFF}" id="{93B7186D-9E27-4279-8E29-BFF4CFBCA8E4}">
    <text>9-17-2025 Footage Changed Due To Adding Additional Conduit To Project BHZD-FWP-13-W.</text>
  </threadedComment>
  <threadedComment ref="S178" dT="2025-09-30T23:13:29.53" personId="{79160F3F-A2CD-4B5D-ACD4-80E02EA51DFF}" id="{1308E563-7F0B-4D35-89D9-96662C297BE3}" parentId="{93B7186D-9E27-4279-8E29-BFF4CFBCA8E4}">
    <text>9-30-2025 Confirmed Actual Completed Footage.</text>
  </threadedComment>
  <threadedComment ref="U178" dT="2025-09-30T23:12:28.65" personId="{79160F3F-A2CD-4B5D-ACD4-80E02EA51DFF}" id="{F6551809-F240-4B97-AABC-471215EF6CED}">
    <text>9-30-2025 Conduit Placement Confirmed Completed.</text>
  </threadedComment>
  <threadedComment ref="S179" dT="2026-02-11T18:12:30.06" personId="{79160F3F-A2CD-4B5D-ACD4-80E02EA51DFF}" id="{8DDEC00F-5DED-4023-934D-F5FD6B1586B1}">
    <text>2-11-2026 Confirmed Actual Completed Footage.</text>
  </threadedComment>
  <threadedComment ref="U179" dT="2026-02-11T18:12:58.37" personId="{79160F3F-A2CD-4B5D-ACD4-80E02EA51DFF}" id="{6C48491E-C9BC-4B0B-B366-07DB2B26EBE6}">
    <text>2-11-2026 Conduit Placement Confirmed Completed.</text>
  </threadedComment>
  <threadedComment ref="S180" dT="2026-02-11T12:50:03.95" personId="{79160F3F-A2CD-4B5D-ACD4-80E02EA51DFF}" id="{B6B25C49-781D-4B77-A976-837F2CC4C7BC}">
    <text>2-11-2026 Confirmed Actual Completed Footage.</text>
  </threadedComment>
  <threadedComment ref="U180" dT="2026-02-11T12:50:44.47" personId="{79160F3F-A2CD-4B5D-ACD4-80E02EA51DFF}" id="{AF8DA3FA-77B4-4157-9C53-18277CE5439A}">
    <text>2-11-2026 Conduit Placement Confirmed Completed.</text>
  </threadedComment>
  <threadedComment ref="S181" dT="2025-12-29T14:19:45.20" personId="{79160F3F-A2CD-4B5D-ACD4-80E02EA51DFF}" id="{C6E55277-07D3-453A-A43F-405081FB6C03}">
    <text>12-29-2025 Confirmed Actual Completed Footage.</text>
  </threadedComment>
  <threadedComment ref="U181" dT="2025-12-29T14:20:08.94" personId="{79160F3F-A2CD-4B5D-ACD4-80E02EA51DFF}" id="{710D664E-0DC2-4C59-913D-57654C153C35}">
    <text>12-29-2025 Conduit Placement Confirmed Completed.</text>
  </threadedComment>
  <threadedComment ref="S182" dT="2025-09-17T18:26:37.12" personId="{79160F3F-A2CD-4B5D-ACD4-80E02EA51DFF}" id="{2371BF91-01E5-45DD-947D-399EF5A9747A}">
    <text>9-17-2025 673' Was Removed From The Project As Per Travis.</text>
  </threadedComment>
  <threadedComment ref="S182" dT="2025-10-15T15:55:24.97" personId="{79160F3F-A2CD-4B5D-ACD4-80E02EA51DFF}" id="{C3E7116D-E3E5-4B26-BA90-F03EA1C60384}" parentId="{2371BF91-01E5-45DD-947D-399EF5A9747A}">
    <text>10-15-2025 Confirmed Actual Completed Footage.</text>
  </threadedComment>
  <threadedComment ref="U182" dT="2025-10-15T15:57:07.60" personId="{79160F3F-A2CD-4B5D-ACD4-80E02EA51DFF}" id="{13865EDB-3ED1-483A-8B52-9E92A82A5260}">
    <text>10-15-2025 Conduit Placement Confirmed Completed.</text>
  </threadedComment>
  <threadedComment ref="R183" dT="2025-09-24T17:11:42.69" personId="{79160F3F-A2CD-4B5D-ACD4-80E02EA51DFF}" id="{33C2F86D-9859-45B1-B008-63C7091893AB}">
    <text>9-24-2025 Design Change--Part of The Footage On Project D-HWP811 Was Removed And Changed To Project D-HWP808. Approx 1000' As Per Anthony.</text>
  </threadedComment>
  <threadedComment ref="S183" dT="2025-11-04T20:32:41.97" personId="{79160F3F-A2CD-4B5D-ACD4-80E02EA51DFF}" id="{F2C442BD-8CCE-4F44-B4AB-804D1DD2744C}">
    <text>11-4-2025 Confirmed Actual Completed Footage.</text>
  </threadedComment>
  <threadedComment ref="U183" dT="2025-11-04T20:33:14.19" personId="{79160F3F-A2CD-4B5D-ACD4-80E02EA51DFF}" id="{5846ACCC-24F8-4F4F-90DF-56DF42E783EB}">
    <text>11-4-2025 Conduit Placement Confirmed Completed.</text>
  </threadedComment>
  <threadedComment ref="S184" dT="2025-10-20T15:59:58.58" personId="{79160F3F-A2CD-4B5D-ACD4-80E02EA51DFF}" id="{B8C06E1C-585B-4EC6-B11F-87E132EAEFD0}">
    <text>10-20-2025 Confirmed Actual Completed Footage.</text>
  </threadedComment>
  <threadedComment ref="U184" dT="2025-10-20T16:00:52.25" personId="{79160F3F-A2CD-4B5D-ACD4-80E02EA51DFF}" id="{50EF01BA-4F3B-443F-90A0-48C8B06BF52F}">
    <text>10-20-2025 Conduit Placement Confirmed Completed.</text>
  </threadedComment>
  <threadedComment ref="S185" dT="2026-01-02T17:13:00.98" personId="{79160F3F-A2CD-4B5D-ACD4-80E02EA51DFF}" id="{791BE567-53DE-41E0-999F-4F918F61BEF0}">
    <text>1-2-2025 Confirmed Actual Completed Footage.</text>
  </threadedComment>
  <threadedComment ref="U185" dT="2026-01-02T17:13:29.00" personId="{79160F3F-A2CD-4B5D-ACD4-80E02EA51DFF}" id="{4143CEF2-792E-4729-8B02-67CF9D11600E}">
    <text>1-2-2025 Conduit Placement Confirmed Completed.</text>
  </threadedComment>
  <threadedComment ref="S186" dT="2025-10-16T16:11:16.13" personId="{79160F3F-A2CD-4B5D-ACD4-80E02EA51DFF}" id="{8278E467-4614-48DD-BFBC-9F3CD27D13C6}">
    <text>10-15-2025 Confirmed Actual Completed Footage.</text>
  </threadedComment>
  <threadedComment ref="U186" dT="2025-10-16T16:11:40.35" personId="{79160F3F-A2CD-4B5D-ACD4-80E02EA51DFF}" id="{B374128A-1732-49D4-B3B5-5C892EB45592}">
    <text>10-15-2025 Conduit Placement Confirmed Completed.</text>
  </threadedComment>
  <threadedComment ref="S187" dT="2025-12-31T16:30:26.27" personId="{79160F3F-A2CD-4B5D-ACD4-80E02EA51DFF}" id="{326B1F73-A459-44D8-A48A-5D23B65E714C}">
    <text>12-31-2025 Confirmed Actual Completed Footage.</text>
  </threadedComment>
  <threadedComment ref="U187" dT="2025-12-31T16:30:51.66" personId="{79160F3F-A2CD-4B5D-ACD4-80E02EA51DFF}" id="{CE2F9A41-A4F1-4BD7-AD93-69E87E753382}">
    <text>12-31-2025 Conduit Placement Confirmed Completed.</text>
  </threadedComment>
  <threadedComment ref="S188" dT="2026-01-02T14:23:09.06" personId="{79160F3F-A2CD-4B5D-ACD4-80E02EA51DFF}" id="{592ACBA0-2C0E-404B-9D55-E7E133A7DABF}">
    <text>1-2-2025 Confirmed Actual Completed Footage.</text>
  </threadedComment>
  <threadedComment ref="U188" dT="2026-01-02T14:23:35.69" personId="{79160F3F-A2CD-4B5D-ACD4-80E02EA51DFF}" id="{BC5BD352-5878-4157-8DA5-34C9B9012B1E}">
    <text>1-2-2025 Conduit Placement Confirmed Completed.</text>
  </threadedComment>
  <threadedComment ref="S189" dT="2025-10-10T18:00:01.74" personId="{79160F3F-A2CD-4B5D-ACD4-80E02EA51DFF}" id="{B27F1D30-D5EA-4FAE-A379-581D59357C31}">
    <text>10-10-2025 Confirmed Actual Completed Footage.</text>
  </threadedComment>
  <threadedComment ref="U189" dT="2025-10-10T18:00:31.66" personId="{79160F3F-A2CD-4B5D-ACD4-80E02EA51DFF}" id="{F69552C7-C65A-4E3C-98B0-3D447557800E}">
    <text>10-10-2025 Conduit Placement Confirmed Completed.</text>
  </threadedComment>
  <threadedComment ref="S190" dT="2025-09-11T18:39:09.67" personId="{79160F3F-A2CD-4B5D-ACD4-80E02EA51DFF}" id="{CD6A4135-AA39-4133-8A20-AA77C2F4381E}">
    <text>9-11-2025 As Per Anthony Part Of The Project Was Removed By Tillman--Approved By Jessie.</text>
  </threadedComment>
  <threadedComment ref="S190" dT="2025-10-13T18:52:15.22" personId="{79160F3F-A2CD-4B5D-ACD4-80E02EA51DFF}" id="{2953228B-BC21-4B10-A41F-48C419D1149E}" parentId="{CD6A4135-AA39-4133-8A20-AA77C2F4381E}">
    <text>10-13-2025 Confirmed Actual Completed Footage.</text>
  </threadedComment>
  <threadedComment ref="U190" dT="2025-10-13T18:52:39.58" personId="{79160F3F-A2CD-4B5D-ACD4-80E02EA51DFF}" id="{3704B04E-FA54-40B9-964E-CBF99AA84648}">
    <text>10-13-2025 Conduit Placement Confirmed Completed.</text>
  </threadedComment>
  <threadedComment ref="S19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1" dT="2025-10-09T19:35:45.28" personId="{79160F3F-A2CD-4B5D-ACD4-80E02EA51DFF}" id="{1C0B8325-BEB8-486D-9B0A-D2629FE68077}" parentId="{24419E88-4D8A-4808-B1F5-F7A663F5FAAD}">
    <text>10-9-2025 Confirmed Actual Completed Footage.</text>
  </threadedComment>
  <threadedComment ref="U191" dT="2025-10-09T19:36:15.10" personId="{79160F3F-A2CD-4B5D-ACD4-80E02EA51DFF}" id="{014350A7-C6E1-44AD-98BD-D34283335E8D}">
    <text>10-9-2025 Conduit Placement Confirmed Completed.</text>
  </threadedComment>
  <threadedComment ref="S192" dT="2025-12-30T19:50:11.83" personId="{79160F3F-A2CD-4B5D-ACD4-80E02EA51DFF}" id="{219587B0-6CE1-440D-9C63-85B243834DEC}">
    <text>12-30-2025 Confirmed Actual Completed Footage.</text>
  </threadedComment>
  <threadedComment ref="U192" dT="2025-12-30T19:50:40.82" personId="{79160F3F-A2CD-4B5D-ACD4-80E02EA51DFF}" id="{2E7D8D8A-80C6-4942-8169-FF51DF2809E8}">
    <text>12-30-2025 Conduit Placement Confirmed Completed.</text>
  </threadedComment>
  <threadedComment ref="S193" dT="2025-12-15T18:59:44.76" personId="{79160F3F-A2CD-4B5D-ACD4-80E02EA51DFF}" id="{62A8A159-0482-42D6-B814-0DD36F755750}">
    <text>12-15-2025 Confirmed Actual Completed Footage.</text>
  </threadedComment>
  <threadedComment ref="U193" dT="2025-12-15T19:00:15.51" personId="{79160F3F-A2CD-4B5D-ACD4-80E02EA51DFF}" id="{39EE704D-08F2-4D7D-BD96-909105CFA648}">
    <text>12-15-2025 Conduit Placement Confirmed Completed.</text>
  </threadedComment>
  <threadedComment ref="S194" dT="2026-01-20T19:40:17.56" personId="{79160F3F-A2CD-4B5D-ACD4-80E02EA51DFF}" id="{641C871B-9414-4919-ACC9-B172A178B8B6}">
    <text>1-20-2026 Confirmed Actual Completed Footage.</text>
  </threadedComment>
  <threadedComment ref="U194" dT="2026-01-20T19:41:04.85" personId="{79160F3F-A2CD-4B5D-ACD4-80E02EA51DFF}" id="{A0FDF7BF-6C26-4DBD-8A6A-1A1F709EA2E5}">
    <text>1-20-202 6Conduit Placement Confirmed Completed.</text>
  </threadedComment>
  <threadedComment ref="S195" dT="2025-10-14T18:46:54.81" personId="{79160F3F-A2CD-4B5D-ACD4-80E02EA51DFF}" id="{F3897203-F2FA-4AED-8E18-26CFC4F18A92}">
    <text>10-14-2025 Confirmed Actual Completed Footage.</text>
  </threadedComment>
  <threadedComment ref="U195" dT="2025-10-14T18:47:19.81" personId="{79160F3F-A2CD-4B5D-ACD4-80E02EA51DFF}" id="{29111F55-4DB2-4936-A642-D82BFFE8DF6B}">
    <text>10-14-2025 Conduit Placement Confirmed Completed.</text>
  </threadedComment>
  <threadedComment ref="S196" dT="2025-11-04T15:25:39.81" personId="{79160F3F-A2CD-4B5D-ACD4-80E02EA51DFF}" id="{72934D65-C46F-447C-B2F5-F8D0FA309AFD}">
    <text>11-4-2025 Confirmed Actual Completed Footage.</text>
  </threadedComment>
  <threadedComment ref="U196" dT="2025-11-04T15:26:16.40" personId="{79160F3F-A2CD-4B5D-ACD4-80E02EA51DFF}" id="{A807E88A-4BF4-49EF-B404-DD47EE3CCFBB}">
    <text>11-4-2025 Conduit Placement Confirmed Completed.</text>
  </threadedComment>
  <threadedComment ref="R197" dT="2025-10-08T18:55:54.99" personId="{79160F3F-A2CD-4B5D-ACD4-80E02EA51DFF}" id="{D730A6A0-9A2F-484C-9295-B1C62C14500A}">
    <text>10-8-2025 As Per Anthony Footage Removed Per Mike Garrison.</text>
  </threadedComment>
  <threadedComment ref="S197" dT="2025-10-20T16:00:09.66" personId="{79160F3F-A2CD-4B5D-ACD4-80E02EA51DFF}" id="{BB017633-E59C-4CF9-8F57-F7E38C238151}">
    <text>10-20-2025 Confirmed Actual Completed Footage.</text>
  </threadedComment>
  <threadedComment ref="U197" dT="2025-10-20T16:01:05.27" personId="{79160F3F-A2CD-4B5D-ACD4-80E02EA51DFF}" id="{F72FEE41-3A2C-4E83-AED1-DA5843B16846}">
    <text>10-20-2025 Conduit Placement Confirmed Completed.</text>
  </threadedComment>
  <threadedComment ref="S198" dT="2025-11-05T20:12:31.63" personId="{79160F3F-A2CD-4B5D-ACD4-80E02EA51DFF}" id="{D13D8544-18BB-477D-B3D6-D1C94DF41908}">
    <text>11-5-2025 Confirmed Actual Completed Footage.</text>
  </threadedComment>
  <threadedComment ref="U198" dT="2025-11-05T20:12:59.59" personId="{79160F3F-A2CD-4B5D-ACD4-80E02EA51DFF}" id="{F7983E90-BFF6-4970-A97F-CC599363DD8F}">
    <text>11-5-2025 Conduit Placement Confirmed Completed.</text>
  </threadedComment>
  <threadedComment ref="S199" dT="2025-11-03T17:47:02.16" personId="{79160F3F-A2CD-4B5D-ACD4-80E02EA51DFF}" id="{7DEC1497-1AD7-4756-8F4B-05544990BB5F}">
    <text>11-3-2025 Confirmed Actual Completed Footage.</text>
  </threadedComment>
  <threadedComment ref="U199" dT="2025-11-03T17:47:34.04" personId="{79160F3F-A2CD-4B5D-ACD4-80E02EA51DFF}" id="{AA736ABC-9AAD-4E17-906D-ABE3655970BD}">
    <text>11-3-2025 Conduit Placement Confirmed Completed.</text>
  </threadedComment>
  <threadedComment ref="S200" dT="2025-11-06T18:58:43.52" personId="{79160F3F-A2CD-4B5D-ACD4-80E02EA51DFF}" id="{A6AA5CF7-EFFF-4CC6-AF52-4A27BFB46328}">
    <text>11-6-2025 Confirmed Actual Completed Footage.</text>
  </threadedComment>
  <threadedComment ref="U200" dT="2025-11-06T18:59:15.96" personId="{79160F3F-A2CD-4B5D-ACD4-80E02EA51DFF}" id="{495AF813-C592-4D38-B4A8-4B27C2ACE92C}">
    <text>11-6-2025 Conduit Placement Confirmed Completed.</text>
  </threadedComment>
  <threadedComment ref="S201" dT="2025-11-10T17:32:48.98" personId="{79160F3F-A2CD-4B5D-ACD4-80E02EA51DFF}" id="{2761D4FF-0530-440C-92DF-1F98B4D493B8}">
    <text>11-10-2025 Confirmed Actual Completed Footage.</text>
  </threadedComment>
  <threadedComment ref="U201" dT="2025-11-10T17:33:14.99" personId="{79160F3F-A2CD-4B5D-ACD4-80E02EA51DFF}" id="{F8B03550-4D4E-49D2-89EC-4AACF3AB2CEC}">
    <text>11-10-2025 Conduit Placement Confirmed Completed.</text>
  </threadedComment>
  <threadedComment ref="S202" dT="2026-02-12T18:58:35.50" personId="{79160F3F-A2CD-4B5D-ACD4-80E02EA51DFF}" id="{6077083F-FE50-46AA-A1C1-A31A48E4662F}">
    <text>2-12-2026 Confirmed Actual Completed Footage.</text>
  </threadedComment>
  <threadedComment ref="U202" dT="2026-02-12T18:59:03.25" personId="{79160F3F-A2CD-4B5D-ACD4-80E02EA51DFF}" id="{5A860ED7-4C33-491E-B640-961CC8CCC4D7}">
    <text>2-12-2026 Conduit Placement Confirmed Completed.</text>
  </threadedComment>
  <threadedComment ref="S203" dT="2025-11-28T18:51:56.92" personId="{79160F3F-A2CD-4B5D-ACD4-80E02EA51DFF}" id="{E550386A-61C0-4E62-92A4-93797966FDCC}">
    <text>12-4-2025 Confirmed Actual Completed Footage.</text>
  </threadedComment>
  <threadedComment ref="U203" dT="2025-11-28T18:52:25.95" personId="{79160F3F-A2CD-4B5D-ACD4-80E02EA51DFF}" id="{D20AD31D-8C3D-4490-8684-65A8492D0A70}">
    <text>12-4-2025 Conduit Placement Confirmed Completed.</text>
  </threadedComment>
  <threadedComment ref="S204" dT="2026-01-22T18:19:23.59" personId="{79160F3F-A2CD-4B5D-ACD4-80E02EA51DFF}" id="{25BBEF46-148D-4FC2-B52E-9562A6F620B1}">
    <text>1-22-2026 Confirmed Actual Completed Footage.</text>
  </threadedComment>
  <threadedComment ref="U204" dT="2026-01-22T18:20:00.75" personId="{79160F3F-A2CD-4B5D-ACD4-80E02EA51DFF}" id="{B790C4AA-B11F-46A1-BA11-F9C74CD8E1AF}">
    <text>1-22-2026 Conduit Placement Confirmed Completed.</text>
  </threadedComment>
  <threadedComment ref="S205" dT="2026-02-04T16:34:00.32" personId="{79160F3F-A2CD-4B5D-ACD4-80E02EA51DFF}" id="{87A2C380-B0AB-4A80-8B2D-C26BBCB05359}">
    <text>2-3-2026 Confirmed Actual Completed Footage.</text>
  </threadedComment>
  <threadedComment ref="U205" dT="2026-02-04T16:34:30.05" personId="{79160F3F-A2CD-4B5D-ACD4-80E02EA51DFF}" id="{C1B321B1-48D8-41D9-B544-A27134BF9D39}">
    <text>2-3-2026 Conduit Placement Confirmed Completed.</text>
  </threadedComment>
  <threadedComment ref="S206" dT="2026-02-04T16:41:11.64" personId="{79160F3F-A2CD-4B5D-ACD4-80E02EA51DFF}" id="{368AE0FA-8E4C-4091-9A66-52C044E98919}">
    <text>2-3-2026 Confirmed Actual Completed Footage.</text>
  </threadedComment>
  <threadedComment ref="U206" dT="2026-02-04T16:41:37.21" personId="{79160F3F-A2CD-4B5D-ACD4-80E02EA51DFF}" id="{EB40FD0A-9957-4B9C-BC0D-1BF42F9C9972}">
    <text>2-3-2026 Conduit Placement Confirmed Completed.</text>
  </threadedComment>
  <threadedComment ref="S207" dT="2025-12-16T15:47:09.70" personId="{79160F3F-A2CD-4B5D-ACD4-80E02EA51DFF}" id="{1CDE4CCF-41E3-4737-8A7F-CDFE63CAB61F}">
    <text>12-16-2025 Confirmed Actual Completed Footage.</text>
  </threadedComment>
  <threadedComment ref="U207" dT="2025-12-16T15:47:35.16" personId="{79160F3F-A2CD-4B5D-ACD4-80E02EA51DFF}" id="{C46D369E-5FA6-4236-BCF2-6D549778CCEA}">
    <text>12-16-2025 Conduit Placement Confirmed Completed.</text>
  </threadedComment>
  <threadedComment ref="S208" dT="2025-12-12T19:42:03.57" personId="{79160F3F-A2CD-4B5D-ACD4-80E02EA51DFF}" id="{046FC3E1-52BD-474D-9E9D-ACE7EEA701DB}">
    <text>12-12-2025 Confirmed Actual Completed Footage.</text>
  </threadedComment>
  <threadedComment ref="U208" dT="2025-12-12T19:42:25.87" personId="{79160F3F-A2CD-4B5D-ACD4-80E02EA51DFF}" id="{202612BF-49A4-49CD-ABFD-4E91490B7C59}">
    <text>12-12-2025 Conduit Placement Confirmed Completed.</text>
  </threadedComment>
  <threadedComment ref="S209" dT="2026-01-02T16:54:27.94" personId="{79160F3F-A2CD-4B5D-ACD4-80E02EA51DFF}" id="{CEADCC3E-AC0D-4ADA-A489-B048A493BCE2}">
    <text>1-2-2025 Confirmed Actual Completed Footage.</text>
  </threadedComment>
  <threadedComment ref="U209" dT="2026-01-02T16:54:54.19" personId="{79160F3F-A2CD-4B5D-ACD4-80E02EA51DFF}" id="{F11EEB77-1692-4D46-948A-5D83FDD74A25}">
    <text>1-2-2025 Conduit Placement Confirmed Completed.</text>
  </threadedComment>
  <threadedComment ref="R210" dT="2025-12-29T20:55:01.56" personId="{79160F3F-A2CD-4B5D-ACD4-80E02EA51DFF}" id="{19D50460-D2B4-49CC-8322-C500B749C46D}">
    <text>12-29-2025 Sheet 9 and Sheet 10 Were Captured Under A Previous Project.</text>
  </threadedComment>
  <threadedComment ref="S210" dT="2026-01-02T18:43:10.39" personId="{79160F3F-A2CD-4B5D-ACD4-80E02EA51DFF}" id="{07174B22-C69C-4A41-83BD-5EDA8EA59B78}">
    <text>1-2-2025 Confirmed Actual Completed Footage.</text>
  </threadedComment>
  <threadedComment ref="U210" dT="2026-01-02T18:43:31.50" personId="{79160F3F-A2CD-4B5D-ACD4-80E02EA51DFF}" id="{C588C0F7-BF45-4136-9DB7-031529A2A66E}">
    <text>1-2-2025 Conduit Placement Confirmed Completed.</text>
  </threadedComment>
  <threadedComment ref="S211" dT="2025-09-25T16:58:01.72" personId="{79160F3F-A2CD-4B5D-ACD4-80E02EA51DFF}" id="{6EF4CFD2-D5C0-4E02-9861-EE265A28B782}">
    <text>9-25-2025 Confirmed Actual Completed Footage.</text>
  </threadedComment>
  <threadedComment ref="U211" dT="2025-09-25T16:58:39.99" personId="{79160F3F-A2CD-4B5D-ACD4-80E02EA51DFF}" id="{1A11367F-7CF1-4290-9C7F-6A2AF57DA1CF}">
    <text>9-25-2025 Conduit Placement Confirmed Completed.</text>
  </threadedComment>
  <threadedComment ref="S212" dT="2026-01-20T19:44:57.49" personId="{79160F3F-A2CD-4B5D-ACD4-80E02EA51DFF}" id="{AB9DB9F0-4B8A-4437-BD53-FE94D9A39867}">
    <text>8-7-2025 Confirmed Actual Completed Footage.</text>
  </threadedComment>
  <threadedComment ref="U212" dT="2026-01-20T19:45:28.85" personId="{79160F3F-A2CD-4B5D-ACD4-80E02EA51DFF}" id="{8D8B14D1-EA18-4241-A889-2A79F44140B7}">
    <text>8-7-2025 Conduit Placement Confirmed Completed.</text>
  </threadedComment>
  <threadedComment ref="S213" dT="2026-02-12T15:16:56.93" personId="{79160F3F-A2CD-4B5D-ACD4-80E02EA51DFF}" id="{07B234CB-2B30-43FA-80B3-8CF23F317188}">
    <text>2-12-2026 Confirmed Actual Completed Footage.</text>
  </threadedComment>
  <threadedComment ref="U213" dT="2026-02-12T15:17:31.34" personId="{79160F3F-A2CD-4B5D-ACD4-80E02EA51DFF}" id="{6C6EA34A-D135-4BE4-B779-0D4DEE06F750}">
    <text>2-12-2026 Conduit Placement Confirmed Completed.</text>
  </threadedComment>
  <threadedComment ref="S214" dT="2025-12-03T15:59:39.85" personId="{79160F3F-A2CD-4B5D-ACD4-80E02EA51DFF}" id="{787FC404-64A5-4582-921B-838844FBC925}">
    <text>12-3-2025 Confirmed Actual Completed Footage.</text>
  </threadedComment>
  <threadedComment ref="U214" dT="2025-12-03T16:00:26.65" personId="{79160F3F-A2CD-4B5D-ACD4-80E02EA51DFF}" id="{37821FA3-D0CE-4948-8138-AA2B3C5478B8}">
    <text>12-3-2025 Conduit Placement Confirmed Completed.</text>
  </threadedComment>
  <threadedComment ref="A215" dT="2025-08-29T14:54:16.45" personId="{79160F3F-A2CD-4B5D-ACD4-80E02EA51DFF}" id="{4A6D8137-EBD1-49D5-8E35-ED812842061C}">
    <text>8-29-2025 Fiber Splicing Completed.</text>
  </threadedComment>
  <threadedComment ref="S215" dT="2025-09-05T17:35:52.29" personId="{79160F3F-A2CD-4B5D-ACD4-80E02EA51DFF}" id="{5748F5F6-0F4D-4F37-B49C-64ED1C2679C3}">
    <text>9-4-2025 Confirmed Actual Completed Footage.</text>
  </threadedComment>
  <threadedComment ref="U215" dT="2025-09-05T17:38:14.87" personId="{79160F3F-A2CD-4B5D-ACD4-80E02EA51DFF}" id="{C91F0039-EE9E-4353-8BCE-086224178DD4}">
    <text>9-4-2025 Conduit Placement Confirmed Completed.</text>
  </threadedComment>
  <threadedComment ref="S216" dT="2026-02-11T15:36:42.32" personId="{79160F3F-A2CD-4B5D-ACD4-80E02EA51DFF}" id="{F7C0D61C-FBA2-4E1E-8B4E-53646422855F}">
    <text>2-11-2026 Confirmed Actual Completed Footage.</text>
  </threadedComment>
  <threadedComment ref="U216" dT="2026-02-11T15:37:29.80" personId="{79160F3F-A2CD-4B5D-ACD4-80E02EA51DFF}" id="{6D04B91C-E53C-460B-9120-466A29B5122F}">
    <text>2-11-2026 Conduit Placement Confirmed Completed.</text>
  </threadedComment>
  <threadedComment ref="S217" dT="2025-09-08T16:57:51.38" personId="{79160F3F-A2CD-4B5D-ACD4-80E02EA51DFF}" id="{52117EF6-31E4-4888-A04E-4FEB13AA53F1}">
    <text>9-8-2025 Confirmed Actual Completed Footage.</text>
  </threadedComment>
  <threadedComment ref="U217" dT="2025-09-08T16:58:27.55" personId="{79160F3F-A2CD-4B5D-ACD4-80E02EA51DFF}" id="{3872CF74-48CD-43CE-8A6F-B150DFBDA571}">
    <text>9-8-2025 Conduit Placement Confirmed Completed.</text>
  </threadedComment>
  <threadedComment ref="S218" dT="2025-09-05T18:04:20.64" personId="{79160F3F-A2CD-4B5D-ACD4-80E02EA51DFF}" id="{71648C94-AE5A-4CBE-8964-062D8765D93E}">
    <text>9-4-2025 Confirmed Actual Completed Footage.</text>
  </threadedComment>
  <threadedComment ref="U218" dT="2025-09-05T18:04:56.31" personId="{79160F3F-A2CD-4B5D-ACD4-80E02EA51DFF}" id="{B2DFEF0E-EB7A-40F1-8DB2-053C56B0287E}">
    <text>9-4-2025 Conduit Placement Confirmed Completed.</text>
  </threadedComment>
  <threadedComment ref="S219" dT="2025-12-31T15:56:15.15" personId="{79160F3F-A2CD-4B5D-ACD4-80E02EA51DFF}" id="{E3BF2BA0-70B8-422A-8B92-1C69C139E9F3}">
    <text>12-31-2025 Confirmed Actual Completed Footage.</text>
  </threadedComment>
  <threadedComment ref="U219" dT="2025-12-31T15:56:43.54" personId="{79160F3F-A2CD-4B5D-ACD4-80E02EA51DFF}" id="{A4376093-311B-42C9-B175-26AB8F236811}">
    <text>12-31-2025 Conduit Placement Confirmed Completed.</text>
  </threadedComment>
  <threadedComment ref="S220" dT="2025-12-31T16:04:00.28" personId="{79160F3F-A2CD-4B5D-ACD4-80E02EA51DFF}" id="{83E9F472-B188-43F6-B847-CD6447B6F353}">
    <text>12-31-2025 Confirmed Actual Completed Footage.</text>
  </threadedComment>
  <threadedComment ref="U220" dT="2025-12-31T16:04:21.24" personId="{79160F3F-A2CD-4B5D-ACD4-80E02EA51DFF}" id="{E352926D-93FE-4CA0-94B8-7C6BD94FDAF5}">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M21" activePane="topRight" state="frozen"/>
      <selection pane="topRight" activeCell="S38" sqref="S38"/>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57</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6"/>
      <c r="L25" s="998"/>
      <c r="M25" s="896" t="s">
        <v>56</v>
      </c>
      <c r="N25" s="1367">
        <v>223.8</v>
      </c>
      <c r="O25" s="896" t="s">
        <v>56</v>
      </c>
      <c r="P25" s="898" t="s">
        <v>74</v>
      </c>
      <c r="Q25" s="1368"/>
      <c r="R25" s="1368"/>
      <c r="S25" s="1368"/>
      <c r="T25" s="1368"/>
      <c r="U25" s="1368"/>
      <c r="V25" s="812">
        <v>0</v>
      </c>
      <c r="W25" s="1269"/>
      <c r="X25" s="1369">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6"/>
      <c r="L29" s="998"/>
      <c r="M29" s="896" t="s">
        <v>56</v>
      </c>
      <c r="N29" s="1367">
        <v>12404.9</v>
      </c>
      <c r="O29" s="665" t="s">
        <v>56</v>
      </c>
      <c r="P29" s="919" t="s">
        <v>69</v>
      </c>
      <c r="Q29" s="1368">
        <v>46077</v>
      </c>
      <c r="R29" s="1368"/>
      <c r="S29" s="1368"/>
      <c r="T29" s="1368"/>
      <c r="U29" s="1368"/>
      <c r="V29" s="1369">
        <v>1111</v>
      </c>
      <c r="W29" s="1369"/>
      <c r="X29" s="1369">
        <f>SUM(V29-W29)</f>
        <v>1111</v>
      </c>
      <c r="Y29" s="692">
        <f>IFERROR($W29/$V29, 0)</f>
        <v>0</v>
      </c>
      <c r="Z29" s="1370"/>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6" t="s">
        <v>72</v>
      </c>
      <c r="L30" s="998"/>
      <c r="M30" s="970" t="s">
        <v>73</v>
      </c>
      <c r="N30" s="1131"/>
      <c r="O30" s="970" t="s">
        <v>73</v>
      </c>
      <c r="P30" s="960" t="s">
        <v>74</v>
      </c>
      <c r="Q30" s="1368"/>
      <c r="R30" s="1368"/>
      <c r="S30" s="1368"/>
      <c r="T30" s="1368"/>
      <c r="U30" s="1368"/>
      <c r="V30" s="1369">
        <v>311</v>
      </c>
      <c r="W30" s="1369"/>
      <c r="X30" s="1369">
        <f>SUM(V30-W30)</f>
        <v>311</v>
      </c>
      <c r="Y30" s="692">
        <f>IFERROR($W30/$V30, 0)</f>
        <v>0</v>
      </c>
      <c r="Z30" s="1370"/>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69</v>
      </c>
      <c r="Q34" s="1368">
        <v>46077</v>
      </c>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71">
        <v>0</v>
      </c>
      <c r="I45" s="665" t="s">
        <v>54</v>
      </c>
      <c r="J45" s="668" t="s">
        <v>55</v>
      </c>
      <c r="K45" s="1366"/>
      <c r="L45" s="1000"/>
      <c r="M45" s="665" t="s">
        <v>56</v>
      </c>
      <c r="N45" s="1372">
        <v>36998.550000000003</v>
      </c>
      <c r="O45" s="665" t="s">
        <v>56</v>
      </c>
      <c r="P45" s="919" t="s">
        <v>74</v>
      </c>
      <c r="Q45" s="1373"/>
      <c r="R45" s="1373"/>
      <c r="S45" s="1373"/>
      <c r="T45" s="1373"/>
      <c r="U45" s="1373"/>
      <c r="V45" s="1374">
        <v>2944</v>
      </c>
      <c r="W45" s="1369"/>
      <c r="X45" s="1369">
        <f>SUM(V45-W45)</f>
        <v>2944</v>
      </c>
      <c r="Y45" s="524">
        <f>IFERROR($W45/$V45, 0)</f>
        <v>0</v>
      </c>
      <c r="Z45" s="1375"/>
      <c r="AA45" s="902">
        <v>0</v>
      </c>
      <c r="AB45" s="902">
        <v>0</v>
      </c>
      <c r="AC45" s="509">
        <v>0</v>
      </c>
      <c r="AD45" s="903"/>
      <c r="AE45" s="948"/>
    </row>
    <row r="46" spans="1:56" ht="24.75" customHeight="1">
      <c r="A46" s="997" t="s">
        <v>181</v>
      </c>
      <c r="B46" s="667" t="s">
        <v>137</v>
      </c>
      <c r="C46" s="998">
        <v>46079</v>
      </c>
      <c r="D46" s="1000"/>
      <c r="E46" s="1000"/>
      <c r="F46" s="999"/>
      <c r="G46" s="905"/>
      <c r="H46" s="1371">
        <v>0</v>
      </c>
      <c r="I46" s="665" t="s">
        <v>54</v>
      </c>
      <c r="J46" s="668" t="s">
        <v>55</v>
      </c>
      <c r="K46" s="1366"/>
      <c r="L46" s="1000"/>
      <c r="M46" s="665" t="s">
        <v>56</v>
      </c>
      <c r="N46" s="1372">
        <v>49932.800000000003</v>
      </c>
      <c r="O46" s="665" t="s">
        <v>56</v>
      </c>
      <c r="P46" s="919" t="s">
        <v>74</v>
      </c>
      <c r="Q46" s="1373"/>
      <c r="R46" s="1373"/>
      <c r="S46" s="1373"/>
      <c r="T46" s="1373"/>
      <c r="U46" s="1373"/>
      <c r="V46" s="1374">
        <v>4048</v>
      </c>
      <c r="W46" s="1369"/>
      <c r="X46" s="1369">
        <f>SUM(V46-W46)</f>
        <v>4048</v>
      </c>
      <c r="Y46" s="524">
        <f>IFERROR($W46/$V46, 0)</f>
        <v>0</v>
      </c>
      <c r="Z46" s="1375"/>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6"/>
      <c r="L52" s="1000"/>
      <c r="M52" s="907" t="s">
        <v>56</v>
      </c>
      <c r="N52" s="1372">
        <v>118710.8</v>
      </c>
      <c r="O52" s="907" t="s">
        <v>56</v>
      </c>
      <c r="P52" s="898" t="s">
        <v>57</v>
      </c>
      <c r="Q52" s="1373">
        <v>46062</v>
      </c>
      <c r="R52" s="1373"/>
      <c r="S52" s="1373"/>
      <c r="T52" s="1373"/>
      <c r="U52" s="1373"/>
      <c r="V52" s="1374">
        <v>9628</v>
      </c>
      <c r="W52" s="1369">
        <v>4422</v>
      </c>
      <c r="X52" s="1369">
        <f>SUM(V52-W52)</f>
        <v>5206</v>
      </c>
      <c r="Y52" s="524">
        <f>IFERROR($W52/$V52, 0)</f>
        <v>0.45928541753219776</v>
      </c>
      <c r="Z52" s="1373">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69</v>
      </c>
      <c r="Q54" s="910">
        <v>46077</v>
      </c>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71">
        <v>0</v>
      </c>
      <c r="I55" s="665" t="s">
        <v>54</v>
      </c>
      <c r="J55" s="907" t="s">
        <v>55</v>
      </c>
      <c r="K55" s="1366"/>
      <c r="L55" s="1000"/>
      <c r="M55" s="907" t="s">
        <v>56</v>
      </c>
      <c r="N55" s="1372">
        <v>15002.75</v>
      </c>
      <c r="O55" s="907" t="s">
        <v>56</v>
      </c>
      <c r="P55" s="919" t="s">
        <v>69</v>
      </c>
      <c r="Q55" s="1373">
        <v>46077</v>
      </c>
      <c r="R55" s="1373"/>
      <c r="S55" s="1373"/>
      <c r="T55" s="1373"/>
      <c r="U55" s="1373"/>
      <c r="V55" s="1374">
        <v>1175</v>
      </c>
      <c r="W55" s="1369"/>
      <c r="X55" s="1369">
        <f>SUM(V55-W55)</f>
        <v>1175</v>
      </c>
      <c r="Y55" s="524">
        <f>IFERROR($W55/$V55, 0)</f>
        <v>0</v>
      </c>
      <c r="Z55" s="1375"/>
      <c r="AA55" s="902">
        <v>0</v>
      </c>
      <c r="AB55" s="902">
        <v>0</v>
      </c>
      <c r="AC55" s="911">
        <v>0</v>
      </c>
      <c r="AD55" s="903"/>
      <c r="AE55" s="948"/>
    </row>
    <row r="56" spans="1:31" ht="24.75" customHeight="1">
      <c r="A56" s="893" t="s">
        <v>205</v>
      </c>
      <c r="B56" s="667" t="s">
        <v>137</v>
      </c>
      <c r="C56" s="894">
        <v>46103</v>
      </c>
      <c r="D56" s="1051" t="s">
        <v>138</v>
      </c>
      <c r="E56" s="905">
        <v>46077</v>
      </c>
      <c r="F56" s="999"/>
      <c r="G56" s="906"/>
      <c r="H56" s="1371">
        <v>0</v>
      </c>
      <c r="I56" s="665" t="s">
        <v>54</v>
      </c>
      <c r="J56" s="907" t="s">
        <v>55</v>
      </c>
      <c r="K56" s="1366"/>
      <c r="L56" s="1000"/>
      <c r="M56" s="907" t="s">
        <v>56</v>
      </c>
      <c r="N56" s="1372">
        <v>12977.65</v>
      </c>
      <c r="O56" s="907" t="s">
        <v>56</v>
      </c>
      <c r="P56" s="919" t="s">
        <v>74</v>
      </c>
      <c r="Q56" s="1373"/>
      <c r="R56" s="1373"/>
      <c r="S56" s="1373"/>
      <c r="T56" s="1373"/>
      <c r="U56" s="1373"/>
      <c r="V56" s="1374">
        <v>1029</v>
      </c>
      <c r="W56" s="1369"/>
      <c r="X56" s="1369">
        <f>SUM(V56-W56)</f>
        <v>1029</v>
      </c>
      <c r="Y56" s="524">
        <f>IFERROR($W56/$V56, 0)</f>
        <v>0</v>
      </c>
      <c r="Z56" s="1375"/>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71">
        <v>107</v>
      </c>
      <c r="I59" s="665" t="s">
        <v>54</v>
      </c>
      <c r="J59" s="966" t="s">
        <v>67</v>
      </c>
      <c r="K59" s="1366" t="s">
        <v>72</v>
      </c>
      <c r="L59" s="1000"/>
      <c r="M59" s="970" t="s">
        <v>73</v>
      </c>
      <c r="N59" s="1131"/>
      <c r="O59" s="970" t="s">
        <v>73</v>
      </c>
      <c r="P59" s="960" t="s">
        <v>74</v>
      </c>
      <c r="Q59" s="1373"/>
      <c r="R59" s="1373"/>
      <c r="S59" s="1373"/>
      <c r="T59" s="1373"/>
      <c r="U59" s="1373"/>
      <c r="V59" s="1374">
        <v>9568</v>
      </c>
      <c r="W59" s="1369"/>
      <c r="X59" s="1369">
        <f>SUM(V59-W59)</f>
        <v>9568</v>
      </c>
      <c r="Y59" s="524">
        <f>IFERROR($W59/$V59, 0)</f>
        <v>0</v>
      </c>
      <c r="Z59" s="1375"/>
      <c r="AA59" s="902">
        <v>0</v>
      </c>
      <c r="AB59" s="902">
        <v>0</v>
      </c>
      <c r="AC59" s="911">
        <v>0</v>
      </c>
      <c r="AD59" s="903" t="s">
        <v>211</v>
      </c>
      <c r="AE59" s="948"/>
    </row>
    <row r="60" spans="1:31" ht="24.75" customHeight="1">
      <c r="A60" s="1326" t="s">
        <v>212</v>
      </c>
      <c r="B60" s="667" t="s">
        <v>137</v>
      </c>
      <c r="C60" s="998">
        <v>46174</v>
      </c>
      <c r="D60" s="999"/>
      <c r="E60" s="1000"/>
      <c r="F60" s="999"/>
      <c r="G60" s="906"/>
      <c r="H60" s="1371">
        <v>115</v>
      </c>
      <c r="I60" s="665" t="s">
        <v>54</v>
      </c>
      <c r="J60" s="966" t="s">
        <v>67</v>
      </c>
      <c r="K60" s="1366"/>
      <c r="L60" s="1000"/>
      <c r="M60" s="907" t="s">
        <v>56</v>
      </c>
      <c r="N60" s="1131">
        <v>125188</v>
      </c>
      <c r="O60" s="907" t="s">
        <v>56</v>
      </c>
      <c r="P60" s="919" t="s">
        <v>74</v>
      </c>
      <c r="Q60" s="1373"/>
      <c r="R60" s="1373"/>
      <c r="S60" s="1373"/>
      <c r="T60" s="1373"/>
      <c r="U60" s="1373"/>
      <c r="V60" s="1374">
        <v>11028</v>
      </c>
      <c r="W60" s="1369"/>
      <c r="X60" s="1369">
        <f>SUM(V60-W60)</f>
        <v>11028</v>
      </c>
      <c r="Y60" s="524">
        <f>IFERROR($W60/$V60, 0)</f>
        <v>0</v>
      </c>
      <c r="Z60" s="1375"/>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6">
        <v>0</v>
      </c>
      <c r="I64" s="522" t="s">
        <v>54</v>
      </c>
      <c r="J64" s="970" t="s">
        <v>95</v>
      </c>
      <c r="K64" s="1377" t="s">
        <v>72</v>
      </c>
      <c r="L64" s="1129"/>
      <c r="M64" s="970" t="s">
        <v>73</v>
      </c>
      <c r="N64" s="1131"/>
      <c r="O64" s="970" t="s">
        <v>73</v>
      </c>
      <c r="P64" s="960" t="s">
        <v>74</v>
      </c>
      <c r="Q64" s="1373"/>
      <c r="R64" s="1373"/>
      <c r="S64" s="1373"/>
      <c r="T64" s="1373"/>
      <c r="U64" s="1373"/>
      <c r="V64" s="1378">
        <v>6202</v>
      </c>
      <c r="W64" s="1379"/>
      <c r="X64" s="1379">
        <f>SUM(V64-W64)</f>
        <v>6202</v>
      </c>
      <c r="Y64" s="691">
        <f>IFERROR($W64/$V64, 0)</f>
        <v>0</v>
      </c>
      <c r="Z64" s="1380"/>
      <c r="AA64" s="1113">
        <v>0</v>
      </c>
      <c r="AB64" s="1143">
        <v>0</v>
      </c>
      <c r="AC64" s="957">
        <v>0</v>
      </c>
      <c r="AD64" s="903" t="s">
        <v>224</v>
      </c>
      <c r="AE64" s="948"/>
    </row>
    <row r="65" spans="1:31" ht="24.75" customHeight="1">
      <c r="A65" s="1255" t="s">
        <v>225</v>
      </c>
      <c r="B65" s="1332" t="s">
        <v>214</v>
      </c>
      <c r="C65" s="998">
        <v>46172</v>
      </c>
      <c r="D65" s="999"/>
      <c r="E65" s="1000"/>
      <c r="F65" s="999"/>
      <c r="G65" s="906"/>
      <c r="H65" s="1371">
        <v>402</v>
      </c>
      <c r="I65" s="522" t="s">
        <v>54</v>
      </c>
      <c r="J65" s="970" t="s">
        <v>95</v>
      </c>
      <c r="K65" s="1377" t="s">
        <v>72</v>
      </c>
      <c r="L65" s="1000"/>
      <c r="M65" s="1025" t="s">
        <v>73</v>
      </c>
      <c r="N65" s="1352"/>
      <c r="O65" s="1025" t="s">
        <v>73</v>
      </c>
      <c r="P65" s="960" t="s">
        <v>74</v>
      </c>
      <c r="Q65" s="1373"/>
      <c r="R65" s="1373"/>
      <c r="S65" s="1373"/>
      <c r="T65" s="1373"/>
      <c r="U65" s="1373"/>
      <c r="V65" s="1374">
        <v>30807</v>
      </c>
      <c r="W65" s="1369"/>
      <c r="X65" s="1369">
        <f>SUM(V65-W65)</f>
        <v>30807</v>
      </c>
      <c r="Y65" s="524">
        <f>IFERROR($W65/$V65, 0)</f>
        <v>0</v>
      </c>
      <c r="Z65" s="1373"/>
      <c r="AA65" s="1113">
        <v>0</v>
      </c>
      <c r="AB65" s="1143">
        <v>0</v>
      </c>
      <c r="AC65" s="957">
        <v>0</v>
      </c>
      <c r="AD65" s="903"/>
      <c r="AE65" s="948"/>
    </row>
    <row r="66" spans="1:31" ht="24.75" customHeight="1">
      <c r="A66" s="1130" t="s">
        <v>226</v>
      </c>
      <c r="B66" s="1333" t="s">
        <v>227</v>
      </c>
      <c r="C66" s="998">
        <v>46111</v>
      </c>
      <c r="D66" s="999"/>
      <c r="E66" s="1000"/>
      <c r="F66" s="999"/>
      <c r="G66" s="906"/>
      <c r="H66" s="1376">
        <v>0</v>
      </c>
      <c r="I66" s="522" t="s">
        <v>54</v>
      </c>
      <c r="J66" s="970" t="s">
        <v>55</v>
      </c>
      <c r="K66" s="1377"/>
      <c r="L66" s="1000"/>
      <c r="M66" s="970" t="s">
        <v>56</v>
      </c>
      <c r="N66" s="1131">
        <v>12316.35</v>
      </c>
      <c r="O66" s="970" t="s">
        <v>56</v>
      </c>
      <c r="P66" s="960" t="s">
        <v>74</v>
      </c>
      <c r="Q66" s="1373"/>
      <c r="R66" s="1373"/>
      <c r="S66" s="1373"/>
      <c r="T66" s="1373"/>
      <c r="U66" s="1373"/>
      <c r="V66" s="1374">
        <v>47</v>
      </c>
      <c r="W66" s="1369"/>
      <c r="X66" s="1369">
        <f>SUM(V66-W66)</f>
        <v>47</v>
      </c>
      <c r="Y66" s="524">
        <f>IFERROR($W66/$V66, 0)</f>
        <v>0</v>
      </c>
      <c r="Z66" s="1380"/>
      <c r="AA66" s="1113">
        <v>0</v>
      </c>
      <c r="AB66" s="1143">
        <v>0</v>
      </c>
      <c r="AC66" s="957">
        <v>0</v>
      </c>
      <c r="AD66" s="903" t="s">
        <v>228</v>
      </c>
      <c r="AE66" s="948"/>
    </row>
    <row r="67" spans="1:31" ht="24.75" customHeight="1">
      <c r="A67" s="1130" t="s">
        <v>229</v>
      </c>
      <c r="B67" s="1333" t="s">
        <v>227</v>
      </c>
      <c r="C67" s="998">
        <v>46111</v>
      </c>
      <c r="D67" s="999"/>
      <c r="E67" s="1000"/>
      <c r="F67" s="999"/>
      <c r="G67" s="906"/>
      <c r="H67" s="1376">
        <v>0</v>
      </c>
      <c r="I67" s="522" t="s">
        <v>54</v>
      </c>
      <c r="J67" s="970" t="s">
        <v>55</v>
      </c>
      <c r="K67" s="1377"/>
      <c r="L67" s="1000"/>
      <c r="M67" s="970" t="s">
        <v>56</v>
      </c>
      <c r="N67" s="1131">
        <v>151170.79999999999</v>
      </c>
      <c r="O67" s="970" t="s">
        <v>56</v>
      </c>
      <c r="P67" s="960" t="s">
        <v>74</v>
      </c>
      <c r="Q67" s="1373"/>
      <c r="R67" s="1373"/>
      <c r="S67" s="1373"/>
      <c r="T67" s="1373"/>
      <c r="U67" s="1373"/>
      <c r="V67" s="1374">
        <v>11789</v>
      </c>
      <c r="W67" s="1369"/>
      <c r="X67" s="1369">
        <f>SUM(V67-W67)</f>
        <v>11789</v>
      </c>
      <c r="Y67" s="524">
        <f>IFERROR($W67/$V67, 0)</f>
        <v>0</v>
      </c>
      <c r="Z67" s="1380"/>
      <c r="AA67" s="1113">
        <v>0</v>
      </c>
      <c r="AB67" s="1143">
        <v>0</v>
      </c>
      <c r="AC67" s="957">
        <v>0</v>
      </c>
      <c r="AD67" s="903" t="s">
        <v>228</v>
      </c>
      <c r="AE67" s="948"/>
    </row>
    <row r="68" spans="1:31" ht="24.75" customHeight="1">
      <c r="A68" s="1334" t="s">
        <v>230</v>
      </c>
      <c r="B68" s="1333" t="s">
        <v>227</v>
      </c>
      <c r="C68" s="998">
        <v>46111</v>
      </c>
      <c r="D68" s="999"/>
      <c r="E68" s="1000"/>
      <c r="F68" s="999"/>
      <c r="G68" s="906"/>
      <c r="H68" s="1376">
        <v>0</v>
      </c>
      <c r="I68" s="522" t="s">
        <v>54</v>
      </c>
      <c r="J68" s="970" t="s">
        <v>55</v>
      </c>
      <c r="K68" s="1377"/>
      <c r="L68" s="1000"/>
      <c r="M68" s="970" t="s">
        <v>56</v>
      </c>
      <c r="N68" s="1131">
        <v>24122.75</v>
      </c>
      <c r="O68" s="970" t="s">
        <v>56</v>
      </c>
      <c r="P68" s="960" t="s">
        <v>74</v>
      </c>
      <c r="Q68" s="1373"/>
      <c r="R68" s="1373"/>
      <c r="S68" s="1373"/>
      <c r="T68" s="1373"/>
      <c r="U68" s="1373"/>
      <c r="V68" s="1374">
        <v>1925</v>
      </c>
      <c r="W68" s="1369"/>
      <c r="X68" s="1369">
        <f>SUM(V68-W68)</f>
        <v>1925</v>
      </c>
      <c r="Y68" s="524">
        <f>IFERROR($W68/$V68, 0)</f>
        <v>0</v>
      </c>
      <c r="Z68" s="1380"/>
      <c r="AA68" s="1113">
        <v>0</v>
      </c>
      <c r="AB68" s="1143">
        <v>0</v>
      </c>
      <c r="AC68" s="957">
        <v>0</v>
      </c>
      <c r="AD68" s="903" t="s">
        <v>228</v>
      </c>
      <c r="AE68" s="948"/>
    </row>
    <row r="69" spans="1:31" ht="24.75" customHeight="1">
      <c r="A69" s="997" t="s">
        <v>231</v>
      </c>
      <c r="B69" s="1333" t="s">
        <v>227</v>
      </c>
      <c r="C69" s="998">
        <v>46111</v>
      </c>
      <c r="D69" s="999"/>
      <c r="E69" s="1000"/>
      <c r="F69" s="999"/>
      <c r="G69" s="906"/>
      <c r="H69" s="1376">
        <v>0</v>
      </c>
      <c r="I69" s="522" t="s">
        <v>54</v>
      </c>
      <c r="J69" s="970" t="s">
        <v>55</v>
      </c>
      <c r="K69" s="1377"/>
      <c r="L69" s="1000"/>
      <c r="M69" s="970" t="s">
        <v>56</v>
      </c>
      <c r="N69" s="1131">
        <v>26639.1</v>
      </c>
      <c r="O69" s="970" t="s">
        <v>56</v>
      </c>
      <c r="P69" s="960" t="s">
        <v>74</v>
      </c>
      <c r="Q69" s="1373"/>
      <c r="R69" s="1373"/>
      <c r="S69" s="1373"/>
      <c r="T69" s="1373"/>
      <c r="U69" s="1373"/>
      <c r="V69" s="1374">
        <v>2136</v>
      </c>
      <c r="W69" s="1369"/>
      <c r="X69" s="1369">
        <f>SUM(V69-W69)</f>
        <v>2136</v>
      </c>
      <c r="Y69" s="524">
        <f>IFERROR($W69/$V69, 0)</f>
        <v>0</v>
      </c>
      <c r="Z69" s="1380"/>
      <c r="AA69" s="1113">
        <v>0</v>
      </c>
      <c r="AB69" s="1143">
        <v>0</v>
      </c>
      <c r="AC69" s="957">
        <v>0</v>
      </c>
      <c r="AD69" s="903" t="s">
        <v>228</v>
      </c>
      <c r="AE69" s="948"/>
    </row>
    <row r="70" spans="1:31" ht="24.75" customHeight="1">
      <c r="A70" s="997" t="s">
        <v>232</v>
      </c>
      <c r="B70" s="1333" t="s">
        <v>227</v>
      </c>
      <c r="C70" s="998">
        <v>46111</v>
      </c>
      <c r="D70" s="999"/>
      <c r="E70" s="1000"/>
      <c r="F70" s="999"/>
      <c r="G70" s="906"/>
      <c r="H70" s="1376">
        <v>0</v>
      </c>
      <c r="I70" s="522" t="s">
        <v>54</v>
      </c>
      <c r="J70" s="970" t="s">
        <v>55</v>
      </c>
      <c r="K70" s="1377"/>
      <c r="L70" s="1000"/>
      <c r="M70" s="970" t="s">
        <v>56</v>
      </c>
      <c r="N70" s="1131">
        <v>1698.25</v>
      </c>
      <c r="O70" s="970" t="s">
        <v>56</v>
      </c>
      <c r="P70" s="960" t="s">
        <v>74</v>
      </c>
      <c r="Q70" s="1373"/>
      <c r="R70" s="1373"/>
      <c r="S70" s="1373"/>
      <c r="T70" s="1373"/>
      <c r="U70" s="1373"/>
      <c r="V70" s="1374">
        <v>105</v>
      </c>
      <c r="W70" s="1369"/>
      <c r="X70" s="1369">
        <f>SUM(V70-W70)</f>
        <v>105</v>
      </c>
      <c r="Y70" s="524">
        <f>IFERROR($W70/$V70, 0)</f>
        <v>0</v>
      </c>
      <c r="Z70" s="1380"/>
      <c r="AA70" s="1113">
        <v>0</v>
      </c>
      <c r="AB70" s="1143">
        <v>0</v>
      </c>
      <c r="AC70" s="957">
        <v>0</v>
      </c>
      <c r="AD70" s="903" t="s">
        <v>228</v>
      </c>
      <c r="AE70" s="948"/>
    </row>
    <row r="71" spans="1:31" ht="24.75" customHeight="1">
      <c r="A71" s="1255" t="s">
        <v>233</v>
      </c>
      <c r="B71" s="1333" t="s">
        <v>227</v>
      </c>
      <c r="C71" s="998">
        <v>46111</v>
      </c>
      <c r="D71" s="999"/>
      <c r="E71" s="1000"/>
      <c r="F71" s="999"/>
      <c r="G71" s="906"/>
      <c r="H71" s="1376">
        <v>0</v>
      </c>
      <c r="I71" s="522" t="s">
        <v>54</v>
      </c>
      <c r="J71" s="970" t="s">
        <v>95</v>
      </c>
      <c r="K71" s="1377" t="s">
        <v>72</v>
      </c>
      <c r="L71" s="1000"/>
      <c r="M71" s="970" t="s">
        <v>73</v>
      </c>
      <c r="N71" s="1131">
        <v>5779.1</v>
      </c>
      <c r="O71" s="970" t="s">
        <v>56</v>
      </c>
      <c r="P71" s="960" t="s">
        <v>74</v>
      </c>
      <c r="Q71" s="1373"/>
      <c r="R71" s="1373"/>
      <c r="S71" s="1373"/>
      <c r="T71" s="1373"/>
      <c r="U71" s="1373"/>
      <c r="V71" s="1374">
        <v>406</v>
      </c>
      <c r="W71" s="1369"/>
      <c r="X71" s="1369">
        <f>SUM(V71-W71)</f>
        <v>406</v>
      </c>
      <c r="Y71" s="524">
        <f>IFERROR($W71/$V71, 0)</f>
        <v>0</v>
      </c>
      <c r="Z71" s="1380"/>
      <c r="AA71" s="1113">
        <v>0</v>
      </c>
      <c r="AB71" s="1143">
        <v>0</v>
      </c>
      <c r="AC71" s="957">
        <v>0</v>
      </c>
      <c r="AD71" s="903" t="s">
        <v>228</v>
      </c>
      <c r="AE71" s="948"/>
    </row>
    <row r="72" spans="1:31" ht="24.75" customHeight="1">
      <c r="A72" s="1255" t="s">
        <v>234</v>
      </c>
      <c r="B72" s="1333" t="s">
        <v>227</v>
      </c>
      <c r="C72" s="998">
        <v>46111</v>
      </c>
      <c r="D72" s="999"/>
      <c r="E72" s="1000"/>
      <c r="F72" s="999"/>
      <c r="G72" s="906"/>
      <c r="H72" s="1376">
        <v>0</v>
      </c>
      <c r="I72" s="522" t="s">
        <v>54</v>
      </c>
      <c r="J72" s="970" t="s">
        <v>95</v>
      </c>
      <c r="K72" s="1377" t="s">
        <v>72</v>
      </c>
      <c r="L72" s="1000"/>
      <c r="M72" s="970" t="s">
        <v>73</v>
      </c>
      <c r="N72" s="1131"/>
      <c r="O72" s="970" t="s">
        <v>56</v>
      </c>
      <c r="P72" s="960" t="s">
        <v>74</v>
      </c>
      <c r="Q72" s="1373"/>
      <c r="R72" s="1373"/>
      <c r="S72" s="1373"/>
      <c r="T72" s="1373"/>
      <c r="U72" s="1373"/>
      <c r="V72" s="1374">
        <v>508</v>
      </c>
      <c r="W72" s="1369"/>
      <c r="X72" s="1369">
        <f>SUM(V72-W72)</f>
        <v>508</v>
      </c>
      <c r="Y72" s="524">
        <f>IFERROR($W72/$V72, 0)</f>
        <v>0</v>
      </c>
      <c r="Z72" s="1380"/>
      <c r="AA72" s="1113">
        <v>0</v>
      </c>
      <c r="AB72" s="1143">
        <v>0</v>
      </c>
      <c r="AC72" s="957">
        <v>0</v>
      </c>
      <c r="AD72" s="903" t="s">
        <v>235</v>
      </c>
      <c r="AE72" s="948"/>
    </row>
    <row r="73" spans="1:31" ht="24.75" customHeight="1">
      <c r="A73" s="997" t="s">
        <v>236</v>
      </c>
      <c r="B73" s="1333" t="s">
        <v>227</v>
      </c>
      <c r="C73" s="998">
        <v>46111</v>
      </c>
      <c r="D73" s="999"/>
      <c r="E73" s="1000"/>
      <c r="F73" s="999"/>
      <c r="G73" s="906"/>
      <c r="H73" s="1376">
        <v>0</v>
      </c>
      <c r="I73" s="522" t="s">
        <v>54</v>
      </c>
      <c r="J73" s="970" t="s">
        <v>95</v>
      </c>
      <c r="K73" s="1377"/>
      <c r="L73" s="1000"/>
      <c r="M73" s="970" t="s">
        <v>56</v>
      </c>
      <c r="N73" s="1131">
        <v>9496.2000000000007</v>
      </c>
      <c r="O73" s="970" t="s">
        <v>56</v>
      </c>
      <c r="P73" s="960" t="s">
        <v>74</v>
      </c>
      <c r="Q73" s="1373"/>
      <c r="R73" s="1373"/>
      <c r="S73" s="1373"/>
      <c r="T73" s="1373"/>
      <c r="U73" s="1373"/>
      <c r="V73" s="1374">
        <v>742</v>
      </c>
      <c r="W73" s="1369"/>
      <c r="X73" s="1369">
        <f>SUM(V73-W73)</f>
        <v>742</v>
      </c>
      <c r="Y73" s="524">
        <f>IFERROR($W73/$V73, 0)</f>
        <v>0</v>
      </c>
      <c r="Z73" s="1380"/>
      <c r="AA73" s="1113">
        <v>0</v>
      </c>
      <c r="AB73" s="1143">
        <v>0</v>
      </c>
      <c r="AC73" s="957">
        <v>0</v>
      </c>
      <c r="AD73" s="903" t="s">
        <v>228</v>
      </c>
      <c r="AE73" s="948"/>
    </row>
    <row r="74" spans="1:31" ht="24.75" customHeight="1">
      <c r="A74" s="1255" t="s">
        <v>237</v>
      </c>
      <c r="B74" s="1333" t="s">
        <v>227</v>
      </c>
      <c r="C74" s="998">
        <v>46111</v>
      </c>
      <c r="D74" s="999"/>
      <c r="E74" s="1000"/>
      <c r="F74" s="999"/>
      <c r="G74" s="906"/>
      <c r="H74" s="1376">
        <v>0</v>
      </c>
      <c r="I74" s="522" t="s">
        <v>54</v>
      </c>
      <c r="J74" s="970" t="s">
        <v>95</v>
      </c>
      <c r="K74" s="1377" t="s">
        <v>72</v>
      </c>
      <c r="L74" s="1000"/>
      <c r="M74" s="970" t="s">
        <v>73</v>
      </c>
      <c r="N74" s="1131">
        <v>16760.150000000001</v>
      </c>
      <c r="O74" s="970" t="s">
        <v>56</v>
      </c>
      <c r="P74" s="960" t="s">
        <v>74</v>
      </c>
      <c r="Q74" s="1373"/>
      <c r="R74" s="1373"/>
      <c r="S74" s="1373"/>
      <c r="T74" s="1373"/>
      <c r="U74" s="1373"/>
      <c r="V74" s="1374">
        <v>1329</v>
      </c>
      <c r="W74" s="1369"/>
      <c r="X74" s="1369">
        <f>SUM(V74-W74)</f>
        <v>1329</v>
      </c>
      <c r="Y74" s="524">
        <f>IFERROR($W74/$V74, 0)</f>
        <v>0</v>
      </c>
      <c r="Z74" s="1380"/>
      <c r="AA74" s="1113">
        <v>0</v>
      </c>
      <c r="AB74" s="1143">
        <v>0</v>
      </c>
      <c r="AC74" s="957">
        <v>0</v>
      </c>
      <c r="AD74" s="903" t="s">
        <v>235</v>
      </c>
      <c r="AE74" s="948"/>
    </row>
    <row r="75" spans="1:31" ht="24.75" customHeight="1">
      <c r="A75" s="1255" t="s">
        <v>238</v>
      </c>
      <c r="B75" s="1333" t="s">
        <v>227</v>
      </c>
      <c r="C75" s="998">
        <v>46111</v>
      </c>
      <c r="D75" s="999"/>
      <c r="E75" s="1000"/>
      <c r="F75" s="999"/>
      <c r="G75" s="906"/>
      <c r="H75" s="1376">
        <v>0</v>
      </c>
      <c r="I75" s="522" t="s">
        <v>54</v>
      </c>
      <c r="J75" s="970" t="s">
        <v>95</v>
      </c>
      <c r="K75" s="1377" t="s">
        <v>72</v>
      </c>
      <c r="L75" s="1000"/>
      <c r="M75" s="970" t="s">
        <v>73</v>
      </c>
      <c r="N75" s="1131">
        <v>14178.2</v>
      </c>
      <c r="O75" s="970" t="s">
        <v>56</v>
      </c>
      <c r="P75" s="960" t="s">
        <v>74</v>
      </c>
      <c r="Q75" s="1373"/>
      <c r="R75" s="1373"/>
      <c r="S75" s="1373"/>
      <c r="T75" s="1373"/>
      <c r="U75" s="1373"/>
      <c r="V75" s="1374">
        <v>1124</v>
      </c>
      <c r="W75" s="1369"/>
      <c r="X75" s="1369">
        <f>SUM(V75-W75)</f>
        <v>1124</v>
      </c>
      <c r="Y75" s="524">
        <f>IFERROR($W75/$V75, 0)</f>
        <v>0</v>
      </c>
      <c r="Z75" s="1380"/>
      <c r="AA75" s="1113">
        <v>0</v>
      </c>
      <c r="AB75" s="1143">
        <v>0</v>
      </c>
      <c r="AC75" s="957">
        <v>0</v>
      </c>
      <c r="AD75" s="903" t="s">
        <v>235</v>
      </c>
      <c r="AE75" s="948"/>
    </row>
    <row r="76" spans="1:31" ht="24.75" customHeight="1">
      <c r="A76" s="997" t="s">
        <v>239</v>
      </c>
      <c r="B76" s="1333" t="s">
        <v>227</v>
      </c>
      <c r="C76" s="998">
        <v>46111</v>
      </c>
      <c r="D76" s="999"/>
      <c r="E76" s="1000"/>
      <c r="F76" s="999"/>
      <c r="G76" s="906"/>
      <c r="H76" s="1376">
        <v>0</v>
      </c>
      <c r="I76" s="522" t="s">
        <v>54</v>
      </c>
      <c r="J76" s="970" t="s">
        <v>95</v>
      </c>
      <c r="K76" s="1377" t="s">
        <v>72</v>
      </c>
      <c r="L76" s="1000"/>
      <c r="M76" s="970" t="s">
        <v>73</v>
      </c>
      <c r="N76" s="1131"/>
      <c r="O76" s="970" t="s">
        <v>73</v>
      </c>
      <c r="P76" s="960" t="s">
        <v>74</v>
      </c>
      <c r="Q76" s="1373"/>
      <c r="R76" s="1373"/>
      <c r="S76" s="1373"/>
      <c r="T76" s="1373"/>
      <c r="U76" s="1373"/>
      <c r="V76" s="1378"/>
      <c r="W76" s="1379"/>
      <c r="X76" s="1379">
        <f>SUM(V76-W76)</f>
        <v>0</v>
      </c>
      <c r="Y76" s="691">
        <f>IFERROR($W76/$V76, 0)</f>
        <v>0</v>
      </c>
      <c r="Z76" s="1380"/>
      <c r="AA76" s="1113">
        <v>0</v>
      </c>
      <c r="AB76" s="1143">
        <v>0</v>
      </c>
      <c r="AC76" s="957">
        <v>0</v>
      </c>
      <c r="AD76" s="903" t="s">
        <v>240</v>
      </c>
      <c r="AE76" s="948"/>
    </row>
    <row r="77" spans="1:31" ht="24.75" customHeight="1">
      <c r="A77" s="997" t="s">
        <v>241</v>
      </c>
      <c r="B77" s="1333" t="s">
        <v>227</v>
      </c>
      <c r="C77" s="998">
        <v>46111</v>
      </c>
      <c r="D77" s="999"/>
      <c r="E77" s="1000"/>
      <c r="F77" s="999"/>
      <c r="G77" s="906"/>
      <c r="H77" s="1376">
        <v>0</v>
      </c>
      <c r="I77" s="522" t="s">
        <v>54</v>
      </c>
      <c r="J77" s="970" t="s">
        <v>95</v>
      </c>
      <c r="K77" s="1377" t="s">
        <v>72</v>
      </c>
      <c r="L77" s="1000"/>
      <c r="M77" s="970" t="s">
        <v>73</v>
      </c>
      <c r="N77" s="1131"/>
      <c r="O77" s="970" t="s">
        <v>73</v>
      </c>
      <c r="P77" s="960" t="s">
        <v>74</v>
      </c>
      <c r="Q77" s="1373"/>
      <c r="R77" s="1373"/>
      <c r="S77" s="1373"/>
      <c r="T77" s="1373"/>
      <c r="U77" s="1373"/>
      <c r="V77" s="1378"/>
      <c r="W77" s="1379"/>
      <c r="X77" s="1379">
        <f>SUM(V77-W77)</f>
        <v>0</v>
      </c>
      <c r="Y77" s="519">
        <f>IFERROR($W77/$V77, 0)</f>
        <v>0</v>
      </c>
      <c r="Z77" s="1381"/>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82"/>
      <c r="R85" s="1015"/>
      <c r="S85" s="1015"/>
      <c r="T85" s="1015"/>
      <c r="U85" s="1015"/>
      <c r="V85" s="980">
        <v>4564</v>
      </c>
      <c r="W85" s="942"/>
      <c r="X85" s="980">
        <v>4564</v>
      </c>
      <c r="Y85" s="873"/>
      <c r="Z85" s="1383"/>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82"/>
      <c r="R86" s="1015"/>
      <c r="S86" s="1015"/>
      <c r="T86" s="1015"/>
      <c r="U86" s="1015"/>
      <c r="V86" s="980">
        <v>5936</v>
      </c>
      <c r="W86" s="942"/>
      <c r="X86" s="980">
        <v>5936</v>
      </c>
      <c r="Y86" s="873"/>
      <c r="Z86" s="1383"/>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82"/>
      <c r="R87" s="1015"/>
      <c r="S87" s="1015"/>
      <c r="T87" s="1015"/>
      <c r="U87" s="1015"/>
      <c r="V87" s="980">
        <v>7117</v>
      </c>
      <c r="W87" s="942"/>
      <c r="X87" s="980">
        <v>7117</v>
      </c>
      <c r="Y87" s="873"/>
      <c r="Z87" s="1383"/>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82"/>
      <c r="R88" s="1015"/>
      <c r="S88" s="1015"/>
      <c r="T88" s="1015"/>
      <c r="U88" s="1015"/>
      <c r="V88" s="980">
        <v>9590</v>
      </c>
      <c r="W88" s="942"/>
      <c r="X88" s="980">
        <v>9590</v>
      </c>
      <c r="Y88" s="873"/>
      <c r="Z88" s="1383"/>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82"/>
      <c r="R89" s="1015"/>
      <c r="S89" s="1015"/>
      <c r="T89" s="1015"/>
      <c r="U89" s="1015"/>
      <c r="V89" s="980">
        <v>9329</v>
      </c>
      <c r="W89" s="942"/>
      <c r="X89" s="980">
        <v>9329</v>
      </c>
      <c r="Y89" s="873"/>
      <c r="Z89" s="1383"/>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82"/>
      <c r="R90" s="1015"/>
      <c r="S90" s="1015"/>
      <c r="T90" s="1015"/>
      <c r="U90" s="1015"/>
      <c r="V90" s="980">
        <v>9709</v>
      </c>
      <c r="W90" s="942"/>
      <c r="X90" s="980">
        <v>9709</v>
      </c>
      <c r="Y90" s="873"/>
      <c r="Z90" s="1383"/>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82"/>
      <c r="R91" s="1015"/>
      <c r="S91" s="1015"/>
      <c r="T91" s="1015"/>
      <c r="U91" s="1015"/>
      <c r="V91" s="980">
        <v>9263</v>
      </c>
      <c r="W91" s="942"/>
      <c r="X91" s="980">
        <v>9263</v>
      </c>
      <c r="Y91" s="873"/>
      <c r="Z91" s="1383"/>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82"/>
      <c r="R92" s="1015"/>
      <c r="S92" s="1015"/>
      <c r="T92" s="1015"/>
      <c r="U92" s="1015"/>
      <c r="V92" s="980">
        <v>10385</v>
      </c>
      <c r="W92" s="942"/>
      <c r="X92" s="980">
        <v>10385</v>
      </c>
      <c r="Y92" s="873"/>
      <c r="Z92" s="1383"/>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82"/>
      <c r="R93" s="1015"/>
      <c r="S93" s="1015"/>
      <c r="T93" s="1015"/>
      <c r="U93" s="1015"/>
      <c r="V93" s="980">
        <v>9398</v>
      </c>
      <c r="W93" s="942"/>
      <c r="X93" s="980">
        <v>9398</v>
      </c>
      <c r="Y93" s="873"/>
      <c r="Z93" s="1383"/>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82"/>
      <c r="R94" s="1015"/>
      <c r="S94" s="1015"/>
      <c r="T94" s="1015"/>
      <c r="U94" s="1015"/>
      <c r="V94" s="980">
        <v>7517</v>
      </c>
      <c r="W94" s="942"/>
      <c r="X94" s="980">
        <v>7517</v>
      </c>
      <c r="Y94" s="873"/>
      <c r="Z94" s="1383"/>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82"/>
      <c r="R95" s="1015"/>
      <c r="S95" s="1015"/>
      <c r="T95" s="1015"/>
      <c r="U95" s="1015"/>
      <c r="V95" s="980">
        <v>5920</v>
      </c>
      <c r="W95" s="942"/>
      <c r="X95" s="980">
        <v>5920</v>
      </c>
      <c r="Y95" s="873"/>
      <c r="Z95" s="1383"/>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82"/>
      <c r="R96" s="1015"/>
      <c r="S96" s="1015"/>
      <c r="T96" s="1015"/>
      <c r="U96" s="1015"/>
      <c r="V96" s="980">
        <v>5589</v>
      </c>
      <c r="W96" s="942"/>
      <c r="X96" s="980">
        <v>5589</v>
      </c>
      <c r="Y96" s="873"/>
      <c r="Z96" s="1383"/>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82"/>
      <c r="R97" s="1015"/>
      <c r="S97" s="1015"/>
      <c r="T97" s="1015"/>
      <c r="U97" s="1015"/>
      <c r="V97" s="980">
        <v>5515</v>
      </c>
      <c r="W97" s="942"/>
      <c r="X97" s="980">
        <v>5515</v>
      </c>
      <c r="Y97" s="873"/>
      <c r="Z97" s="1383"/>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82"/>
      <c r="R98" s="1015"/>
      <c r="S98" s="1015"/>
      <c r="T98" s="1015"/>
      <c r="U98" s="1015"/>
      <c r="V98" s="980">
        <v>5191</v>
      </c>
      <c r="W98" s="942"/>
      <c r="X98" s="980">
        <v>5191</v>
      </c>
      <c r="Y98" s="873"/>
      <c r="Z98" s="1383"/>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82"/>
      <c r="R99" s="1015"/>
      <c r="S99" s="1015"/>
      <c r="T99" s="1015"/>
      <c r="U99" s="1015"/>
      <c r="V99" s="980">
        <v>5620</v>
      </c>
      <c r="W99" s="942"/>
      <c r="X99" s="980">
        <v>5620</v>
      </c>
      <c r="Y99" s="873"/>
      <c r="Z99" s="1383"/>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82"/>
      <c r="R100" s="1015"/>
      <c r="S100" s="1015"/>
      <c r="T100" s="1015"/>
      <c r="U100" s="1015"/>
      <c r="V100" s="980">
        <v>6864</v>
      </c>
      <c r="W100" s="942"/>
      <c r="X100" s="980">
        <v>6864</v>
      </c>
      <c r="Y100" s="873"/>
      <c r="Z100" s="1383"/>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82"/>
      <c r="R101" s="1015"/>
      <c r="S101" s="1015"/>
      <c r="T101" s="1015"/>
      <c r="U101" s="1015"/>
      <c r="V101" s="980">
        <v>6461</v>
      </c>
      <c r="W101" s="942"/>
      <c r="X101" s="980">
        <v>6461</v>
      </c>
      <c r="Y101" s="873"/>
      <c r="Z101" s="1383"/>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82"/>
      <c r="R102" s="1015"/>
      <c r="S102" s="1015"/>
      <c r="T102" s="1015"/>
      <c r="U102" s="1015"/>
      <c r="V102" s="980">
        <v>2790</v>
      </c>
      <c r="W102" s="942"/>
      <c r="X102" s="980">
        <v>2790</v>
      </c>
      <c r="Y102" s="873"/>
      <c r="Z102" s="1383"/>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82"/>
      <c r="R103" s="1015"/>
      <c r="S103" s="1015"/>
      <c r="T103" s="1015"/>
      <c r="U103" s="1015"/>
      <c r="V103" s="980">
        <v>7368</v>
      </c>
      <c r="W103" s="942"/>
      <c r="X103" s="980">
        <v>7368</v>
      </c>
      <c r="Y103" s="873"/>
      <c r="Z103" s="1383"/>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82"/>
      <c r="R104" s="1015"/>
      <c r="S104" s="1015"/>
      <c r="T104" s="1015"/>
      <c r="U104" s="1015"/>
      <c r="V104" s="980">
        <v>7844</v>
      </c>
      <c r="W104" s="942"/>
      <c r="X104" s="980">
        <v>7844</v>
      </c>
      <c r="Y104" s="873"/>
      <c r="Z104" s="1383"/>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82"/>
      <c r="R105" s="1015"/>
      <c r="S105" s="1015"/>
      <c r="T105" s="1015"/>
      <c r="U105" s="1015"/>
      <c r="V105" s="980">
        <v>8148</v>
      </c>
      <c r="W105" s="942"/>
      <c r="X105" s="980">
        <v>8148</v>
      </c>
      <c r="Y105" s="873"/>
      <c r="Z105" s="1383"/>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82"/>
      <c r="R106" s="1015"/>
      <c r="S106" s="1015"/>
      <c r="T106" s="1015"/>
      <c r="U106" s="1015"/>
      <c r="V106" s="980">
        <v>6829</v>
      </c>
      <c r="W106" s="942"/>
      <c r="X106" s="980">
        <v>6829</v>
      </c>
      <c r="Y106" s="873"/>
      <c r="Z106" s="1383"/>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82"/>
      <c r="R107" s="1015"/>
      <c r="S107" s="1015"/>
      <c r="T107" s="1015"/>
      <c r="U107" s="1015"/>
      <c r="V107" s="980">
        <v>6157</v>
      </c>
      <c r="W107" s="942"/>
      <c r="X107" s="980">
        <v>6157</v>
      </c>
      <c r="Y107" s="873"/>
      <c r="Z107" s="1383"/>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82"/>
      <c r="R108" s="1015"/>
      <c r="S108" s="1015"/>
      <c r="T108" s="1015"/>
      <c r="U108" s="1015"/>
      <c r="V108" s="980">
        <v>9537</v>
      </c>
      <c r="W108" s="942"/>
      <c r="X108" s="980">
        <v>9537</v>
      </c>
      <c r="Y108" s="873"/>
      <c r="Z108" s="1383"/>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82"/>
      <c r="R109" s="1015"/>
      <c r="S109" s="1015"/>
      <c r="T109" s="1015"/>
      <c r="U109" s="1015"/>
      <c r="V109" s="980">
        <v>6796</v>
      </c>
      <c r="W109" s="942"/>
      <c r="X109" s="980">
        <v>6796</v>
      </c>
      <c r="Y109" s="873"/>
      <c r="Z109" s="1383"/>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82"/>
      <c r="R110" s="1015"/>
      <c r="S110" s="1015"/>
      <c r="T110" s="1015"/>
      <c r="U110" s="1015"/>
      <c r="V110" s="980">
        <v>6149</v>
      </c>
      <c r="W110" s="942"/>
      <c r="X110" s="980">
        <v>6149</v>
      </c>
      <c r="Y110" s="873"/>
      <c r="Z110" s="1383"/>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82"/>
      <c r="R111" s="1015"/>
      <c r="S111" s="1015"/>
      <c r="T111" s="1015"/>
      <c r="U111" s="1015"/>
      <c r="V111" s="980">
        <v>6284</v>
      </c>
      <c r="W111" s="942"/>
      <c r="X111" s="980">
        <v>6284</v>
      </c>
      <c r="Y111" s="873"/>
      <c r="Z111" s="1383"/>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82"/>
      <c r="R112" s="1015"/>
      <c r="S112" s="1015"/>
      <c r="T112" s="1015"/>
      <c r="U112" s="1015"/>
      <c r="V112" s="980">
        <v>7743</v>
      </c>
      <c r="W112" s="942"/>
      <c r="X112" s="980">
        <v>7743</v>
      </c>
      <c r="Y112" s="873"/>
      <c r="Z112" s="1383"/>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82"/>
      <c r="R113" s="1015"/>
      <c r="S113" s="1015"/>
      <c r="T113" s="1015"/>
      <c r="U113" s="1015"/>
      <c r="V113" s="980">
        <v>6932</v>
      </c>
      <c r="W113" s="942"/>
      <c r="X113" s="980">
        <v>6932</v>
      </c>
      <c r="Y113" s="873"/>
      <c r="Z113" s="1383"/>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82"/>
      <c r="R114" s="1015"/>
      <c r="S114" s="1015"/>
      <c r="T114" s="1015"/>
      <c r="U114" s="1015"/>
      <c r="V114" s="980">
        <v>6213</v>
      </c>
      <c r="W114" s="942"/>
      <c r="X114" s="980">
        <v>6213</v>
      </c>
      <c r="Y114" s="873"/>
      <c r="Z114" s="1383"/>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82"/>
      <c r="R115" s="1015"/>
      <c r="S115" s="1015"/>
      <c r="T115" s="1015"/>
      <c r="U115" s="1015"/>
      <c r="V115" s="980">
        <v>4339</v>
      </c>
      <c r="W115" s="942"/>
      <c r="X115" s="980">
        <v>4339</v>
      </c>
      <c r="Y115" s="873"/>
      <c r="Z115" s="1383"/>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82"/>
      <c r="R116" s="1015"/>
      <c r="S116" s="1015"/>
      <c r="T116" s="1015"/>
      <c r="U116" s="1015"/>
      <c r="V116" s="980">
        <v>3940</v>
      </c>
      <c r="W116" s="942"/>
      <c r="X116" s="980">
        <v>3940</v>
      </c>
      <c r="Y116" s="873"/>
      <c r="Z116" s="1383"/>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82"/>
      <c r="R117" s="1015"/>
      <c r="S117" s="1015"/>
      <c r="T117" s="1015"/>
      <c r="U117" s="1015"/>
      <c r="V117" s="980">
        <v>6855</v>
      </c>
      <c r="W117" s="942"/>
      <c r="X117" s="980">
        <v>6855</v>
      </c>
      <c r="Y117" s="873"/>
      <c r="Z117" s="1383"/>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82"/>
      <c r="R118" s="1015"/>
      <c r="S118" s="1015"/>
      <c r="T118" s="1015"/>
      <c r="U118" s="1015"/>
      <c r="V118" s="980">
        <v>7147</v>
      </c>
      <c r="W118" s="942"/>
      <c r="X118" s="980">
        <v>7147</v>
      </c>
      <c r="Y118" s="873"/>
      <c r="Z118" s="1383"/>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82"/>
      <c r="R119" s="1015"/>
      <c r="S119" s="1015"/>
      <c r="T119" s="1015"/>
      <c r="U119" s="1015"/>
      <c r="V119" s="980">
        <v>6376</v>
      </c>
      <c r="W119" s="942"/>
      <c r="X119" s="980">
        <v>6376</v>
      </c>
      <c r="Y119" s="873"/>
      <c r="Z119" s="1383"/>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82"/>
      <c r="R120" s="1015"/>
      <c r="S120" s="1015"/>
      <c r="T120" s="1015"/>
      <c r="U120" s="1015"/>
      <c r="V120" s="980">
        <v>4784</v>
      </c>
      <c r="W120" s="942"/>
      <c r="X120" s="980">
        <v>4784</v>
      </c>
      <c r="Y120" s="873"/>
      <c r="Z120" s="1383"/>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82"/>
      <c r="R121" s="1015"/>
      <c r="S121" s="1015"/>
      <c r="T121" s="1015"/>
      <c r="U121" s="1015"/>
      <c r="V121" s="980">
        <v>6387</v>
      </c>
      <c r="W121" s="942"/>
      <c r="X121" s="980">
        <v>6387</v>
      </c>
      <c r="Y121" s="873"/>
      <c r="Z121" s="1383"/>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82"/>
      <c r="R122" s="1015"/>
      <c r="S122" s="1015"/>
      <c r="T122" s="1015"/>
      <c r="U122" s="1015"/>
      <c r="V122" s="980">
        <v>6372</v>
      </c>
      <c r="W122" s="942"/>
      <c r="X122" s="980">
        <v>6372</v>
      </c>
      <c r="Y122" s="873"/>
      <c r="Z122" s="1383"/>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82"/>
      <c r="R123" s="1015"/>
      <c r="S123" s="1015"/>
      <c r="T123" s="1015"/>
      <c r="U123" s="1015"/>
      <c r="V123" s="980">
        <v>5363</v>
      </c>
      <c r="W123" s="942"/>
      <c r="X123" s="980">
        <v>5363</v>
      </c>
      <c r="Y123" s="873"/>
      <c r="Z123" s="1383"/>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82"/>
      <c r="R124" s="1015"/>
      <c r="S124" s="1015"/>
      <c r="T124" s="1015"/>
      <c r="U124" s="1015"/>
      <c r="V124" s="980">
        <v>5199</v>
      </c>
      <c r="W124" s="942"/>
      <c r="X124" s="980">
        <v>5199</v>
      </c>
      <c r="Y124" s="873"/>
      <c r="Z124" s="1383"/>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82"/>
      <c r="R125" s="1015"/>
      <c r="S125" s="1015"/>
      <c r="T125" s="1015"/>
      <c r="U125" s="1015"/>
      <c r="V125" s="980">
        <v>9771</v>
      </c>
      <c r="W125" s="942"/>
      <c r="X125" s="980">
        <v>9771</v>
      </c>
      <c r="Y125" s="873"/>
      <c r="Z125" s="1383"/>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82"/>
      <c r="R126" s="1015"/>
      <c r="S126" s="1015"/>
      <c r="T126" s="1015"/>
      <c r="U126" s="1015"/>
      <c r="V126" s="980">
        <v>9562</v>
      </c>
      <c r="W126" s="942"/>
      <c r="X126" s="980">
        <v>9562</v>
      </c>
      <c r="Y126" s="873"/>
      <c r="Z126" s="1383"/>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82"/>
      <c r="R127" s="1015"/>
      <c r="S127" s="1015"/>
      <c r="T127" s="1015"/>
      <c r="U127" s="1015"/>
      <c r="V127" s="980">
        <v>6309</v>
      </c>
      <c r="W127" s="942"/>
      <c r="X127" s="980">
        <v>6309</v>
      </c>
      <c r="Y127" s="873"/>
      <c r="Z127" s="1383"/>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82"/>
      <c r="R128" s="1015"/>
      <c r="S128" s="1015"/>
      <c r="T128" s="1015"/>
      <c r="U128" s="1015"/>
      <c r="V128" s="980">
        <v>10260</v>
      </c>
      <c r="W128" s="942"/>
      <c r="X128" s="980">
        <v>10260</v>
      </c>
      <c r="Y128" s="873"/>
      <c r="Z128" s="1383"/>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82"/>
      <c r="R129" s="1015"/>
      <c r="S129" s="1015"/>
      <c r="T129" s="1015"/>
      <c r="U129" s="1015"/>
      <c r="V129" s="980">
        <v>10080</v>
      </c>
      <c r="W129" s="942"/>
      <c r="X129" s="980">
        <v>10080</v>
      </c>
      <c r="Y129" s="873"/>
      <c r="Z129" s="1383"/>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82"/>
      <c r="R130" s="1015"/>
      <c r="S130" s="1015"/>
      <c r="T130" s="1015"/>
      <c r="U130" s="1015"/>
      <c r="V130" s="980">
        <v>6859</v>
      </c>
      <c r="W130" s="942"/>
      <c r="X130" s="980">
        <v>6859</v>
      </c>
      <c r="Y130" s="873"/>
      <c r="Z130" s="1383"/>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82"/>
      <c r="R131" s="1015"/>
      <c r="S131" s="1015"/>
      <c r="T131" s="1015"/>
      <c r="U131" s="1015"/>
      <c r="V131" s="980">
        <v>5873</v>
      </c>
      <c r="W131" s="942"/>
      <c r="X131" s="980">
        <v>5873</v>
      </c>
      <c r="Y131" s="873"/>
      <c r="Z131" s="1383"/>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82"/>
      <c r="R132" s="1015"/>
      <c r="S132" s="1015"/>
      <c r="T132" s="1015"/>
      <c r="U132" s="1015"/>
      <c r="V132" s="980">
        <v>4945</v>
      </c>
      <c r="W132" s="942"/>
      <c r="X132" s="980">
        <v>4945</v>
      </c>
      <c r="Y132" s="873"/>
      <c r="Z132" s="1383"/>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82"/>
      <c r="R133" s="1015"/>
      <c r="S133" s="1015"/>
      <c r="T133" s="1015"/>
      <c r="U133" s="1015"/>
      <c r="V133" s="980">
        <v>4275</v>
      </c>
      <c r="W133" s="942"/>
      <c r="X133" s="980">
        <v>4275</v>
      </c>
      <c r="Y133" s="873"/>
      <c r="Z133" s="1383"/>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82"/>
      <c r="R134" s="1015"/>
      <c r="S134" s="1015"/>
      <c r="T134" s="1015"/>
      <c r="U134" s="1015"/>
      <c r="V134" s="980">
        <v>6378</v>
      </c>
      <c r="W134" s="942"/>
      <c r="X134" s="980">
        <v>6378</v>
      </c>
      <c r="Y134" s="873"/>
      <c r="Z134" s="1383"/>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82"/>
      <c r="R135" s="1015"/>
      <c r="S135" s="1015"/>
      <c r="T135" s="1015"/>
      <c r="U135" s="1015"/>
      <c r="V135" s="980">
        <v>7373</v>
      </c>
      <c r="W135" s="942"/>
      <c r="X135" s="980">
        <v>7373</v>
      </c>
      <c r="Y135" s="873"/>
      <c r="Z135" s="1383"/>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82"/>
      <c r="R136" s="1015"/>
      <c r="S136" s="1015"/>
      <c r="T136" s="1015"/>
      <c r="U136" s="1015"/>
      <c r="V136" s="980">
        <v>5781</v>
      </c>
      <c r="W136" s="942"/>
      <c r="X136" s="980">
        <v>5781</v>
      </c>
      <c r="Y136" s="873"/>
      <c r="Z136" s="1383"/>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82"/>
      <c r="R137" s="1015"/>
      <c r="S137" s="1015"/>
      <c r="T137" s="1015"/>
      <c r="U137" s="1015"/>
      <c r="V137" s="980">
        <v>9051</v>
      </c>
      <c r="W137" s="942"/>
      <c r="X137" s="980">
        <v>9051</v>
      </c>
      <c r="Y137" s="873"/>
      <c r="Z137" s="1383"/>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82"/>
      <c r="R138" s="1015"/>
      <c r="S138" s="1015"/>
      <c r="T138" s="1015"/>
      <c r="U138" s="1015"/>
      <c r="V138" s="980">
        <v>7261</v>
      </c>
      <c r="W138" s="942"/>
      <c r="X138" s="980">
        <v>7261</v>
      </c>
      <c r="Y138" s="873"/>
      <c r="Z138" s="1383"/>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82"/>
      <c r="R139" s="1015"/>
      <c r="S139" s="1015"/>
      <c r="T139" s="1015"/>
      <c r="U139" s="1015"/>
      <c r="V139" s="980">
        <v>9638</v>
      </c>
      <c r="W139" s="942"/>
      <c r="X139" s="980">
        <v>9638</v>
      </c>
      <c r="Y139" s="873"/>
      <c r="Z139" s="1383"/>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82"/>
      <c r="R140" s="1015"/>
      <c r="S140" s="1015"/>
      <c r="T140" s="1015"/>
      <c r="U140" s="1015"/>
      <c r="V140" s="980">
        <v>8746</v>
      </c>
      <c r="W140" s="942"/>
      <c r="X140" s="980">
        <v>8746</v>
      </c>
      <c r="Y140" s="873"/>
      <c r="Z140" s="1383"/>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82"/>
      <c r="R141" s="1015"/>
      <c r="S141" s="1015"/>
      <c r="T141" s="1015"/>
      <c r="U141" s="1015"/>
      <c r="V141" s="1123"/>
      <c r="W141" s="942"/>
      <c r="X141" s="1123"/>
      <c r="Y141" s="873"/>
      <c r="Z141" s="1383"/>
      <c r="AA141" s="1384"/>
      <c r="AB141" s="1384"/>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82"/>
      <c r="R142" s="1015"/>
      <c r="S142" s="1015"/>
      <c r="T142" s="1015"/>
      <c r="U142" s="1015"/>
      <c r="V142" s="1123"/>
      <c r="W142" s="942"/>
      <c r="X142" s="1123"/>
      <c r="Y142" s="873"/>
      <c r="Z142" s="1383"/>
      <c r="AA142" s="1384"/>
      <c r="AB142" s="1384"/>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82"/>
      <c r="R153" s="1015"/>
      <c r="S153" s="1015"/>
      <c r="T153" s="1015"/>
      <c r="U153" s="1015"/>
      <c r="V153" s="942">
        <v>8641</v>
      </c>
      <c r="W153" s="1379"/>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5"/>
      <c r="R154" s="1017"/>
      <c r="S154" s="1017"/>
      <c r="T154" s="1017"/>
      <c r="U154" s="1017"/>
      <c r="V154" s="1019">
        <v>7502</v>
      </c>
      <c r="W154" s="1386"/>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6"/>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L11:L27 Q11:U27 R31:U79 Q31:Q33 Q35:Q79"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8" si="4">SUM(V10-W10)</f>
        <v>2</v>
      </c>
      <c r="Y10" s="524">
        <f t="shared" ref="Y10:Y18"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6"/>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71">
        <v>109</v>
      </c>
      <c r="I12" s="665" t="s">
        <v>200</v>
      </c>
      <c r="J12" s="668" t="s">
        <v>55</v>
      </c>
      <c r="K12" s="1366"/>
      <c r="L12" s="1000">
        <v>45663</v>
      </c>
      <c r="M12" s="907" t="s">
        <v>56</v>
      </c>
      <c r="N12" s="1372">
        <v>123587.5</v>
      </c>
      <c r="O12" s="1371" t="s">
        <v>56</v>
      </c>
      <c r="P12" s="1387" t="s">
        <v>201</v>
      </c>
      <c r="Q12" s="1373">
        <v>46008</v>
      </c>
      <c r="R12" s="1373"/>
      <c r="S12" s="1373"/>
      <c r="T12" s="1373"/>
      <c r="U12" s="1373"/>
      <c r="V12" s="1374">
        <v>6825</v>
      </c>
      <c r="W12" s="1388">
        <v>6575</v>
      </c>
      <c r="X12" s="1369">
        <f>SUM(V12-W12)</f>
        <v>250</v>
      </c>
      <c r="Y12" s="524">
        <f>IFERROR($W12/$V12, 0)</f>
        <v>0.96336996336996339</v>
      </c>
      <c r="Z12" s="1373">
        <v>46034</v>
      </c>
      <c r="AA12" s="902">
        <v>0</v>
      </c>
      <c r="AB12" s="902">
        <v>0</v>
      </c>
      <c r="AC12" s="911">
        <v>0</v>
      </c>
      <c r="AD12" s="903" t="s">
        <v>359</v>
      </c>
    </row>
    <row r="13" spans="1:30" ht="39.75" customHeight="1">
      <c r="A13" s="951" t="s">
        <v>360</v>
      </c>
      <c r="B13" s="667" t="s">
        <v>214</v>
      </c>
      <c r="C13" s="894">
        <v>46006</v>
      </c>
      <c r="D13" s="906" t="s">
        <v>138</v>
      </c>
      <c r="E13" s="905">
        <v>45987</v>
      </c>
      <c r="F13" s="906" t="s">
        <v>152</v>
      </c>
      <c r="G13" s="906" t="s">
        <v>361</v>
      </c>
      <c r="H13" s="907">
        <v>30</v>
      </c>
      <c r="I13" s="665" t="s">
        <v>200</v>
      </c>
      <c r="J13" s="668" t="s">
        <v>55</v>
      </c>
      <c r="K13" s="896"/>
      <c r="L13" s="371" t="s">
        <v>343</v>
      </c>
      <c r="M13" s="907" t="s">
        <v>56</v>
      </c>
      <c r="N13" s="1138">
        <v>31387.05</v>
      </c>
      <c r="O13" s="907" t="s">
        <v>56</v>
      </c>
      <c r="P13" s="952" t="s">
        <v>201</v>
      </c>
      <c r="Q13" s="910">
        <v>45992</v>
      </c>
      <c r="R13" s="996"/>
      <c r="S13" s="996"/>
      <c r="T13" s="996"/>
      <c r="U13" s="996"/>
      <c r="V13" s="911">
        <v>2580</v>
      </c>
      <c r="W13" s="953">
        <v>2637</v>
      </c>
      <c r="X13" s="900">
        <f t="shared" ref="X13" si="6">SUM(V13-W13)</f>
        <v>-57</v>
      </c>
      <c r="Y13" s="524">
        <f t="shared" ref="Y13" si="7">IFERROR($W13/$V13, 0)</f>
        <v>1.0220930232558139</v>
      </c>
      <c r="Z13" s="910">
        <v>46001</v>
      </c>
      <c r="AA13" s="902">
        <v>0</v>
      </c>
      <c r="AB13" s="902">
        <v>0</v>
      </c>
      <c r="AC13" s="911">
        <v>0</v>
      </c>
      <c r="AD13" s="1081" t="s">
        <v>362</v>
      </c>
    </row>
    <row r="14" spans="1:30" ht="39.75" customHeight="1">
      <c r="A14" s="951" t="s">
        <v>363</v>
      </c>
      <c r="B14" s="667" t="s">
        <v>214</v>
      </c>
      <c r="C14" s="894">
        <v>46040</v>
      </c>
      <c r="D14" s="906" t="s">
        <v>138</v>
      </c>
      <c r="E14" s="905">
        <v>46031</v>
      </c>
      <c r="F14" s="906" t="s">
        <v>152</v>
      </c>
      <c r="G14" s="906" t="s">
        <v>364</v>
      </c>
      <c r="H14" s="907">
        <v>73</v>
      </c>
      <c r="I14" s="665" t="s">
        <v>200</v>
      </c>
      <c r="J14" s="668" t="s">
        <v>55</v>
      </c>
      <c r="K14" s="896"/>
      <c r="L14" s="371" t="s">
        <v>343</v>
      </c>
      <c r="M14" s="907" t="s">
        <v>56</v>
      </c>
      <c r="N14" s="917">
        <v>77814</v>
      </c>
      <c r="O14" s="907" t="s">
        <v>56</v>
      </c>
      <c r="P14" s="952" t="s">
        <v>201</v>
      </c>
      <c r="Q14" s="910">
        <v>46015</v>
      </c>
      <c r="R14" s="910"/>
      <c r="S14" s="910"/>
      <c r="T14" s="910"/>
      <c r="U14" s="910"/>
      <c r="V14" s="911">
        <v>6263</v>
      </c>
      <c r="W14" s="953">
        <v>6221</v>
      </c>
      <c r="X14" s="900">
        <f t="shared" si="4"/>
        <v>42</v>
      </c>
      <c r="Y14" s="524">
        <f t="shared" si="5"/>
        <v>0.9932939485869392</v>
      </c>
      <c r="Z14" s="910">
        <v>46024</v>
      </c>
      <c r="AA14" s="902">
        <v>0</v>
      </c>
      <c r="AB14" s="902">
        <v>0</v>
      </c>
      <c r="AC14" s="911">
        <v>0</v>
      </c>
      <c r="AD14" s="1081" t="s">
        <v>365</v>
      </c>
    </row>
    <row r="15" spans="1:30" ht="39.75" customHeight="1">
      <c r="A15" s="951" t="s">
        <v>366</v>
      </c>
      <c r="B15" s="667" t="s">
        <v>214</v>
      </c>
      <c r="C15" s="894">
        <v>46081</v>
      </c>
      <c r="D15" s="906" t="s">
        <v>125</v>
      </c>
      <c r="E15" s="905">
        <v>46001</v>
      </c>
      <c r="F15" s="906" t="s">
        <v>152</v>
      </c>
      <c r="G15" s="906" t="s">
        <v>367</v>
      </c>
      <c r="H15" s="907">
        <v>80</v>
      </c>
      <c r="I15" s="665" t="s">
        <v>200</v>
      </c>
      <c r="J15" s="668" t="s">
        <v>55</v>
      </c>
      <c r="K15" s="896"/>
      <c r="L15" s="905">
        <v>46021</v>
      </c>
      <c r="M15" s="907" t="s">
        <v>56</v>
      </c>
      <c r="N15" s="917">
        <v>65843.5</v>
      </c>
      <c r="O15" s="907" t="s">
        <v>56</v>
      </c>
      <c r="P15" s="952" t="s">
        <v>201</v>
      </c>
      <c r="Q15" s="910">
        <v>45995</v>
      </c>
      <c r="R15" s="910"/>
      <c r="S15" s="910"/>
      <c r="T15" s="910"/>
      <c r="U15" s="910"/>
      <c r="V15" s="911">
        <v>5052</v>
      </c>
      <c r="W15" s="953">
        <v>4889</v>
      </c>
      <c r="X15" s="900">
        <f t="shared" si="4"/>
        <v>163</v>
      </c>
      <c r="Y15" s="524">
        <f t="shared" si="5"/>
        <v>0.967735550277118</v>
      </c>
      <c r="Z15" s="910">
        <v>46001</v>
      </c>
      <c r="AA15" s="902">
        <v>0</v>
      </c>
      <c r="AB15" s="902">
        <v>0</v>
      </c>
      <c r="AC15" s="911">
        <v>0</v>
      </c>
      <c r="AD15" s="903" t="s">
        <v>368</v>
      </c>
    </row>
    <row r="16" spans="1:30" ht="39.75" customHeight="1">
      <c r="A16" s="951" t="s">
        <v>369</v>
      </c>
      <c r="B16" s="667" t="s">
        <v>214</v>
      </c>
      <c r="C16" s="894">
        <v>46081</v>
      </c>
      <c r="D16" s="906" t="s">
        <v>138</v>
      </c>
      <c r="E16" s="905">
        <v>46043</v>
      </c>
      <c r="F16" s="906" t="s">
        <v>152</v>
      </c>
      <c r="G16" s="906" t="s">
        <v>370</v>
      </c>
      <c r="H16" s="907">
        <v>61</v>
      </c>
      <c r="I16" s="665" t="s">
        <v>200</v>
      </c>
      <c r="J16" s="907" t="s">
        <v>55</v>
      </c>
      <c r="K16" s="896"/>
      <c r="L16" s="905">
        <v>46038</v>
      </c>
      <c r="M16" s="907" t="s">
        <v>56</v>
      </c>
      <c r="N16" s="917">
        <v>56650</v>
      </c>
      <c r="O16" s="907" t="s">
        <v>56</v>
      </c>
      <c r="P16" s="952" t="s">
        <v>201</v>
      </c>
      <c r="Q16" s="910">
        <v>46038</v>
      </c>
      <c r="R16" s="910"/>
      <c r="S16" s="910"/>
      <c r="T16" s="910"/>
      <c r="U16" s="910"/>
      <c r="V16" s="911">
        <v>4641</v>
      </c>
      <c r="W16" s="953">
        <v>4757</v>
      </c>
      <c r="X16" s="900">
        <f t="shared" si="4"/>
        <v>-116</v>
      </c>
      <c r="Y16" s="524">
        <f t="shared" si="5"/>
        <v>1.0249946132299073</v>
      </c>
      <c r="Z16" s="910">
        <v>46051</v>
      </c>
      <c r="AA16" s="902">
        <v>0</v>
      </c>
      <c r="AB16" s="902">
        <v>0</v>
      </c>
      <c r="AC16" s="911">
        <v>0</v>
      </c>
      <c r="AD16" s="903" t="s">
        <v>371</v>
      </c>
    </row>
    <row r="17" spans="1:30" ht="39.75" customHeight="1">
      <c r="A17" s="743" t="s">
        <v>372</v>
      </c>
      <c r="B17" s="383" t="s">
        <v>214</v>
      </c>
      <c r="C17" s="363">
        <v>46053</v>
      </c>
      <c r="D17" s="370" t="s">
        <v>138</v>
      </c>
      <c r="E17" s="371">
        <v>45964</v>
      </c>
      <c r="F17" s="370" t="s">
        <v>152</v>
      </c>
      <c r="G17" s="372"/>
      <c r="H17" s="373">
        <v>82</v>
      </c>
      <c r="I17" s="665" t="s">
        <v>200</v>
      </c>
      <c r="J17" s="373" t="s">
        <v>55</v>
      </c>
      <c r="K17" s="365"/>
      <c r="L17" s="371" t="s">
        <v>343</v>
      </c>
      <c r="M17" s="373" t="s">
        <v>56</v>
      </c>
      <c r="N17" s="781">
        <v>101871</v>
      </c>
      <c r="O17" s="373" t="s">
        <v>56</v>
      </c>
      <c r="P17" s="495" t="s">
        <v>201</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81" t="s">
        <v>373</v>
      </c>
    </row>
    <row r="18" spans="1:30" ht="39.75" customHeight="1">
      <c r="A18" s="743" t="s">
        <v>374</v>
      </c>
      <c r="B18" s="383" t="s">
        <v>214</v>
      </c>
      <c r="C18" s="363">
        <v>46053</v>
      </c>
      <c r="D18" s="370" t="s">
        <v>138</v>
      </c>
      <c r="E18" s="371">
        <v>45974</v>
      </c>
      <c r="F18" s="370" t="s">
        <v>152</v>
      </c>
      <c r="G18" s="372" t="s">
        <v>375</v>
      </c>
      <c r="H18" s="373">
        <v>77</v>
      </c>
      <c r="I18" s="665" t="s">
        <v>200</v>
      </c>
      <c r="J18" s="373" t="s">
        <v>55</v>
      </c>
      <c r="K18" s="365"/>
      <c r="L18" s="371">
        <v>45965</v>
      </c>
      <c r="M18" s="373" t="s">
        <v>56</v>
      </c>
      <c r="N18" s="781">
        <v>90786</v>
      </c>
      <c r="O18" s="373" t="s">
        <v>56</v>
      </c>
      <c r="P18" s="495" t="s">
        <v>201</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81" t="s">
        <v>373</v>
      </c>
    </row>
    <row r="19" spans="1:30" ht="39.75" customHeight="1">
      <c r="A19" s="1041" t="s">
        <v>376</v>
      </c>
      <c r="B19" s="799" t="s">
        <v>214</v>
      </c>
      <c r="C19" s="894">
        <v>46040</v>
      </c>
      <c r="D19" s="906" t="s">
        <v>138</v>
      </c>
      <c r="E19" s="905">
        <v>45996</v>
      </c>
      <c r="F19" s="906" t="s">
        <v>152</v>
      </c>
      <c r="G19" s="906" t="s">
        <v>377</v>
      </c>
      <c r="H19" s="907">
        <v>78</v>
      </c>
      <c r="I19" s="665" t="s">
        <v>200</v>
      </c>
      <c r="J19" s="907" t="s">
        <v>55</v>
      </c>
      <c r="K19" s="896"/>
      <c r="L19" s="371" t="s">
        <v>343</v>
      </c>
      <c r="M19" s="907" t="s">
        <v>56</v>
      </c>
      <c r="N19" s="917">
        <v>84477</v>
      </c>
      <c r="O19" s="907" t="s">
        <v>56</v>
      </c>
      <c r="P19" s="952" t="s">
        <v>201</v>
      </c>
      <c r="Q19" s="910">
        <v>46000</v>
      </c>
      <c r="R19" s="910"/>
      <c r="S19" s="910"/>
      <c r="T19" s="910"/>
      <c r="U19" s="910"/>
      <c r="V19" s="911">
        <v>6758</v>
      </c>
      <c r="W19" s="986">
        <v>6565</v>
      </c>
      <c r="X19" s="942">
        <f t="shared" ref="X19:X20" si="8">SUM(V19-W19)</f>
        <v>193</v>
      </c>
      <c r="Y19" s="519">
        <f t="shared" ref="Y19:Y20" si="9">IFERROR($W19/$V19, 0)</f>
        <v>0.97144125480911514</v>
      </c>
      <c r="Z19" s="1040">
        <v>46006</v>
      </c>
      <c r="AA19" s="902">
        <v>0</v>
      </c>
      <c r="AB19" s="1076">
        <v>0</v>
      </c>
      <c r="AC19" s="1077">
        <v>0</v>
      </c>
      <c r="AD19" s="1082" t="s">
        <v>378</v>
      </c>
    </row>
    <row r="20" spans="1:30" ht="39.75" customHeight="1">
      <c r="A20" s="951" t="s">
        <v>379</v>
      </c>
      <c r="B20" s="895" t="s">
        <v>80</v>
      </c>
      <c r="C20" s="894">
        <v>46073</v>
      </c>
      <c r="D20" s="894" t="s">
        <v>81</v>
      </c>
      <c r="E20" s="905">
        <v>46041</v>
      </c>
      <c r="F20" s="895" t="s">
        <v>90</v>
      </c>
      <c r="G20" s="906" t="s">
        <v>380</v>
      </c>
      <c r="H20" s="896">
        <v>67</v>
      </c>
      <c r="I20" s="523" t="s">
        <v>200</v>
      </c>
      <c r="J20" s="896" t="s">
        <v>55</v>
      </c>
      <c r="K20" s="896"/>
      <c r="L20" s="905">
        <v>46038</v>
      </c>
      <c r="M20" s="907" t="s">
        <v>56</v>
      </c>
      <c r="N20" s="917">
        <v>66854</v>
      </c>
      <c r="O20" s="907" t="s">
        <v>56</v>
      </c>
      <c r="P20" s="952" t="s">
        <v>201</v>
      </c>
      <c r="Q20" s="910">
        <v>46029</v>
      </c>
      <c r="R20" s="910"/>
      <c r="S20" s="910"/>
      <c r="T20" s="910"/>
      <c r="U20" s="910"/>
      <c r="V20" s="911">
        <v>5534</v>
      </c>
      <c r="W20" s="953">
        <v>5407</v>
      </c>
      <c r="X20" s="900">
        <f t="shared" si="8"/>
        <v>127</v>
      </c>
      <c r="Y20" s="524">
        <f t="shared" si="9"/>
        <v>0.97705095771593786</v>
      </c>
      <c r="Z20" s="910">
        <v>46069</v>
      </c>
      <c r="AA20" s="902">
        <v>0</v>
      </c>
      <c r="AB20" s="902">
        <v>0</v>
      </c>
      <c r="AC20" s="509">
        <v>0</v>
      </c>
      <c r="AD20" s="903" t="s">
        <v>381</v>
      </c>
    </row>
    <row r="21" spans="1:30" ht="39.75" customHeight="1">
      <c r="A21" s="951" t="s">
        <v>382</v>
      </c>
      <c r="B21" s="895" t="s">
        <v>80</v>
      </c>
      <c r="C21" s="894">
        <v>46073</v>
      </c>
      <c r="D21" s="894" t="s">
        <v>383</v>
      </c>
      <c r="E21" s="894">
        <v>46045</v>
      </c>
      <c r="F21" s="895" t="s">
        <v>82</v>
      </c>
      <c r="G21" s="895" t="s">
        <v>384</v>
      </c>
      <c r="H21" s="896">
        <v>87</v>
      </c>
      <c r="I21" s="523" t="s">
        <v>200</v>
      </c>
      <c r="J21" s="896" t="s">
        <v>55</v>
      </c>
      <c r="K21" s="896"/>
      <c r="L21" s="894">
        <v>46038</v>
      </c>
      <c r="M21" s="907" t="s">
        <v>56</v>
      </c>
      <c r="N21" s="897">
        <v>82790</v>
      </c>
      <c r="O21" s="907" t="s">
        <v>56</v>
      </c>
      <c r="P21" s="952" t="s">
        <v>201</v>
      </c>
      <c r="Q21" s="899">
        <v>46029</v>
      </c>
      <c r="R21" s="899"/>
      <c r="S21" s="899"/>
      <c r="T21" s="899"/>
      <c r="U21" s="899"/>
      <c r="V21" s="636">
        <v>7108</v>
      </c>
      <c r="W21" s="953">
        <v>7301</v>
      </c>
      <c r="X21" s="900">
        <f>SUM(V21-W21)</f>
        <v>-193</v>
      </c>
      <c r="Y21" s="524">
        <f>IFERROR($W21/$V21, 0)</f>
        <v>1.0271525042205965</v>
      </c>
      <c r="Z21" s="910">
        <v>46057</v>
      </c>
      <c r="AA21" s="902">
        <v>0</v>
      </c>
      <c r="AB21" s="902">
        <v>0</v>
      </c>
      <c r="AC21" s="509">
        <v>0</v>
      </c>
      <c r="AD21" s="903" t="s">
        <v>385</v>
      </c>
    </row>
    <row r="22" spans="1:30" ht="39.75" customHeight="1">
      <c r="A22" s="951" t="s">
        <v>386</v>
      </c>
      <c r="B22" s="895" t="s">
        <v>80</v>
      </c>
      <c r="C22" s="894">
        <v>46073</v>
      </c>
      <c r="D22" s="894" t="s">
        <v>81</v>
      </c>
      <c r="E22" s="894">
        <v>46045</v>
      </c>
      <c r="F22" s="895" t="s">
        <v>90</v>
      </c>
      <c r="G22" s="895"/>
      <c r="H22" s="896">
        <v>81</v>
      </c>
      <c r="I22" s="523" t="s">
        <v>54</v>
      </c>
      <c r="J22" s="896" t="s">
        <v>55</v>
      </c>
      <c r="K22" s="896"/>
      <c r="L22" s="894">
        <v>46027</v>
      </c>
      <c r="M22" s="896" t="s">
        <v>56</v>
      </c>
      <c r="N22" s="897">
        <v>53152.33</v>
      </c>
      <c r="O22" s="896" t="s">
        <v>56</v>
      </c>
      <c r="P22" s="952" t="s">
        <v>201</v>
      </c>
      <c r="Q22" s="899">
        <v>46027</v>
      </c>
      <c r="R22" s="899"/>
      <c r="S22" s="899"/>
      <c r="T22" s="899"/>
      <c r="U22" s="899"/>
      <c r="V22" s="636">
        <v>3323</v>
      </c>
      <c r="W22" s="953">
        <v>3100</v>
      </c>
      <c r="X22" s="900">
        <f>SUM(V22-W22)</f>
        <v>223</v>
      </c>
      <c r="Y22" s="524">
        <f>IFERROR($W22/$V22, 0)</f>
        <v>0.93289196509178451</v>
      </c>
      <c r="Z22" s="910">
        <v>46056</v>
      </c>
      <c r="AA22" s="902">
        <v>1</v>
      </c>
      <c r="AB22" s="902">
        <v>1</v>
      </c>
      <c r="AC22" s="636">
        <v>1760</v>
      </c>
      <c r="AD22" s="903" t="s">
        <v>387</v>
      </c>
    </row>
    <row r="23" spans="1:30" ht="39.75" customHeight="1">
      <c r="A23" s="743" t="s">
        <v>388</v>
      </c>
      <c r="B23" s="361" t="s">
        <v>80</v>
      </c>
      <c r="C23" s="363">
        <v>46021</v>
      </c>
      <c r="D23" s="361" t="s">
        <v>389</v>
      </c>
      <c r="E23" s="363" t="s">
        <v>343</v>
      </c>
      <c r="F23" s="361" t="s">
        <v>82</v>
      </c>
      <c r="G23" s="364" t="s">
        <v>390</v>
      </c>
      <c r="H23" s="365">
        <v>0</v>
      </c>
      <c r="I23" s="365" t="s">
        <v>200</v>
      </c>
      <c r="J23" s="365" t="s">
        <v>55</v>
      </c>
      <c r="K23" s="365"/>
      <c r="L23" s="363" t="s">
        <v>104</v>
      </c>
      <c r="M23" s="365" t="s">
        <v>56</v>
      </c>
      <c r="N23" s="730">
        <v>1931.75</v>
      </c>
      <c r="O23" s="365" t="s">
        <v>56</v>
      </c>
      <c r="P23" s="829" t="s">
        <v>201</v>
      </c>
      <c r="Q23" s="61"/>
      <c r="R23" s="516"/>
      <c r="S23" s="367"/>
      <c r="T23" s="367"/>
      <c r="U23" s="367"/>
      <c r="V23" s="336">
        <v>0</v>
      </c>
      <c r="W23" s="456">
        <v>0</v>
      </c>
      <c r="X23" s="368">
        <f>SUM(V23-W23)</f>
        <v>0</v>
      </c>
      <c r="Y23" s="524">
        <f t="shared" ref="Y23:Y36" si="10">IFERROR($W23/$V23, 0)</f>
        <v>0</v>
      </c>
      <c r="Z23" s="374">
        <v>45996</v>
      </c>
      <c r="AA23" s="283">
        <v>0</v>
      </c>
      <c r="AB23" s="283">
        <v>1</v>
      </c>
      <c r="AC23" s="368">
        <v>0</v>
      </c>
      <c r="AD23" s="1078" t="s">
        <v>391</v>
      </c>
    </row>
    <row r="24" spans="1:30" ht="39.75" customHeight="1">
      <c r="A24" s="981" t="s">
        <v>392</v>
      </c>
      <c r="B24" s="872" t="s">
        <v>393</v>
      </c>
      <c r="C24" s="1032">
        <v>46052</v>
      </c>
      <c r="D24" s="769" t="s">
        <v>102</v>
      </c>
      <c r="E24" s="964">
        <v>45959</v>
      </c>
      <c r="F24" s="965" t="s">
        <v>394</v>
      </c>
      <c r="G24" s="965" t="s">
        <v>395</v>
      </c>
      <c r="H24" s="978">
        <v>83</v>
      </c>
      <c r="I24" s="770" t="s">
        <v>200</v>
      </c>
      <c r="J24" s="954" t="s">
        <v>55</v>
      </c>
      <c r="K24" s="365"/>
      <c r="L24" s="964" t="s">
        <v>343</v>
      </c>
      <c r="M24" s="954" t="s">
        <v>56</v>
      </c>
      <c r="N24" s="979">
        <v>45545.15</v>
      </c>
      <c r="O24" s="970" t="s">
        <v>56</v>
      </c>
      <c r="P24" s="983" t="s">
        <v>201</v>
      </c>
      <c r="Q24" s="932">
        <v>45946</v>
      </c>
      <c r="R24" s="1101"/>
      <c r="S24" s="1101"/>
      <c r="T24" s="1101"/>
      <c r="U24" s="1101"/>
      <c r="V24" s="980">
        <v>5827</v>
      </c>
      <c r="W24" s="986">
        <v>5827</v>
      </c>
      <c r="X24" s="980">
        <f>SUM(V24-W24)</f>
        <v>0</v>
      </c>
      <c r="Y24" s="873">
        <f t="shared" ref="Y24" si="11">IFERROR($W24/$V24, 0)</f>
        <v>1</v>
      </c>
      <c r="Z24" s="932">
        <v>45965</v>
      </c>
      <c r="AA24" s="283">
        <v>1</v>
      </c>
      <c r="AB24" s="283">
        <v>1</v>
      </c>
      <c r="AC24" s="283">
        <v>1</v>
      </c>
      <c r="AD24" s="934" t="s">
        <v>396</v>
      </c>
    </row>
    <row r="25" spans="1:30" ht="39.75" customHeight="1">
      <c r="A25" s="834" t="s">
        <v>397</v>
      </c>
      <c r="B25" s="358" t="s">
        <v>393</v>
      </c>
      <c r="C25" s="302">
        <v>45989</v>
      </c>
      <c r="D25" s="769" t="s">
        <v>102</v>
      </c>
      <c r="E25" s="302">
        <v>45959</v>
      </c>
      <c r="F25" s="301" t="s">
        <v>107</v>
      </c>
      <c r="G25" s="504" t="s">
        <v>398</v>
      </c>
      <c r="H25" s="303">
        <v>59</v>
      </c>
      <c r="I25" s="770" t="s">
        <v>200</v>
      </c>
      <c r="J25" s="771" t="s">
        <v>55</v>
      </c>
      <c r="K25" s="514"/>
      <c r="L25" s="20">
        <v>45964</v>
      </c>
      <c r="M25" s="771" t="s">
        <v>56</v>
      </c>
      <c r="N25" s="675">
        <v>65066.5</v>
      </c>
      <c r="O25" s="21" t="s">
        <v>56</v>
      </c>
      <c r="P25" s="833" t="s">
        <v>201</v>
      </c>
      <c r="Q25" s="22">
        <v>45964</v>
      </c>
      <c r="R25" s="788"/>
      <c r="S25" s="515"/>
      <c r="T25" s="515"/>
      <c r="U25" s="61">
        <v>46034</v>
      </c>
      <c r="V25" s="46">
        <v>5421</v>
      </c>
      <c r="W25" s="794">
        <v>5466</v>
      </c>
      <c r="X25" s="368">
        <f t="shared" ref="X25:X35" si="12">SUM(V25-W25)</f>
        <v>-45</v>
      </c>
      <c r="Y25" s="699">
        <f t="shared" si="10"/>
        <v>1.0083010514665192</v>
      </c>
      <c r="Z25" s="61">
        <v>45985</v>
      </c>
      <c r="AA25" s="283">
        <v>1</v>
      </c>
      <c r="AB25" s="283">
        <v>1</v>
      </c>
      <c r="AC25" s="283">
        <v>1</v>
      </c>
      <c r="AD25" s="1084" t="s">
        <v>399</v>
      </c>
    </row>
    <row r="26" spans="1:30" ht="39.75" customHeight="1">
      <c r="A26" s="981" t="s">
        <v>400</v>
      </c>
      <c r="B26" s="872" t="s">
        <v>393</v>
      </c>
      <c r="C26" s="964">
        <v>46019</v>
      </c>
      <c r="D26" s="769" t="s">
        <v>102</v>
      </c>
      <c r="E26" s="964">
        <v>45959</v>
      </c>
      <c r="F26" s="965" t="s">
        <v>107</v>
      </c>
      <c r="G26" s="965" t="s">
        <v>401</v>
      </c>
      <c r="H26" s="966">
        <v>90</v>
      </c>
      <c r="I26" s="770" t="s">
        <v>200</v>
      </c>
      <c r="J26" s="954" t="s">
        <v>55</v>
      </c>
      <c r="K26" s="514"/>
      <c r="L26" s="968">
        <v>45961</v>
      </c>
      <c r="M26" s="954" t="s">
        <v>56</v>
      </c>
      <c r="N26" s="982">
        <v>91897</v>
      </c>
      <c r="O26" s="970" t="s">
        <v>56</v>
      </c>
      <c r="P26" s="983" t="s">
        <v>201</v>
      </c>
      <c r="Q26" s="984">
        <v>45961</v>
      </c>
      <c r="R26" s="985"/>
      <c r="S26" s="972"/>
      <c r="T26" s="972"/>
      <c r="U26" s="61">
        <v>46034</v>
      </c>
      <c r="V26" s="942">
        <v>7457</v>
      </c>
      <c r="W26" s="986">
        <v>7468</v>
      </c>
      <c r="X26" s="900">
        <f>SUM(V26-W26)</f>
        <v>-11</v>
      </c>
      <c r="Y26" s="873">
        <f>IFERROR($W26/$V26, 0)</f>
        <v>1.0014751240445219</v>
      </c>
      <c r="Z26" s="932">
        <v>45974</v>
      </c>
      <c r="AA26" s="283">
        <v>1</v>
      </c>
      <c r="AB26" s="283">
        <v>1</v>
      </c>
      <c r="AC26" s="283">
        <v>1</v>
      </c>
      <c r="AD26" s="1084" t="s">
        <v>402</v>
      </c>
    </row>
    <row r="27" spans="1:30" ht="39.75" customHeight="1">
      <c r="A27" s="981" t="s">
        <v>403</v>
      </c>
      <c r="B27" s="872" t="s">
        <v>393</v>
      </c>
      <c r="C27" s="964">
        <v>46021</v>
      </c>
      <c r="D27" s="769" t="s">
        <v>102</v>
      </c>
      <c r="E27" s="964">
        <v>45959</v>
      </c>
      <c r="F27" s="965" t="s">
        <v>107</v>
      </c>
      <c r="G27" s="965" t="s">
        <v>404</v>
      </c>
      <c r="H27" s="966">
        <v>86</v>
      </c>
      <c r="I27" s="770" t="s">
        <v>200</v>
      </c>
      <c r="J27" s="954" t="s">
        <v>55</v>
      </c>
      <c r="K27" s="514"/>
      <c r="L27" s="968">
        <v>45964</v>
      </c>
      <c r="M27" s="954" t="s">
        <v>56</v>
      </c>
      <c r="N27" s="982">
        <v>80698</v>
      </c>
      <c r="O27" s="970" t="s">
        <v>56</v>
      </c>
      <c r="P27" s="983" t="s">
        <v>201</v>
      </c>
      <c r="Q27" s="984">
        <v>45964</v>
      </c>
      <c r="R27" s="985"/>
      <c r="S27" s="972"/>
      <c r="T27" s="972"/>
      <c r="U27" s="972"/>
      <c r="V27" s="942">
        <v>6739</v>
      </c>
      <c r="W27" s="986">
        <v>6773</v>
      </c>
      <c r="X27" s="900">
        <f>SUM(V27-W27)</f>
        <v>-34</v>
      </c>
      <c r="Y27" s="873">
        <f t="shared" ref="Y27" si="13">IFERROR($W27/$V27, 0)</f>
        <v>1.0050452589404957</v>
      </c>
      <c r="Z27" s="932">
        <v>46008</v>
      </c>
      <c r="AA27" s="283">
        <v>1</v>
      </c>
      <c r="AB27" s="283">
        <v>1</v>
      </c>
      <c r="AC27" s="283">
        <v>1</v>
      </c>
      <c r="AD27" s="1084" t="s">
        <v>405</v>
      </c>
    </row>
    <row r="28" spans="1:30" ht="39.75" customHeight="1">
      <c r="A28" s="981" t="s">
        <v>406</v>
      </c>
      <c r="B28" s="872" t="s">
        <v>393</v>
      </c>
      <c r="C28" s="964">
        <v>46019</v>
      </c>
      <c r="D28" s="769" t="s">
        <v>102</v>
      </c>
      <c r="E28" s="964">
        <v>45959</v>
      </c>
      <c r="F28" s="965" t="s">
        <v>107</v>
      </c>
      <c r="G28" s="965" t="s">
        <v>407</v>
      </c>
      <c r="H28" s="966">
        <v>87</v>
      </c>
      <c r="I28" s="770" t="s">
        <v>200</v>
      </c>
      <c r="J28" s="954" t="s">
        <v>55</v>
      </c>
      <c r="K28" s="967"/>
      <c r="L28" s="968">
        <v>45964</v>
      </c>
      <c r="M28" s="954" t="s">
        <v>56</v>
      </c>
      <c r="N28" s="982">
        <v>87875</v>
      </c>
      <c r="O28" s="970" t="s">
        <v>56</v>
      </c>
      <c r="P28" s="983" t="s">
        <v>201</v>
      </c>
      <c r="Q28" s="984">
        <v>45964</v>
      </c>
      <c r="R28" s="985"/>
      <c r="S28" s="972"/>
      <c r="T28" s="972"/>
      <c r="U28" s="61">
        <v>46034</v>
      </c>
      <c r="V28" s="942">
        <v>7319</v>
      </c>
      <c r="W28" s="986">
        <v>7319</v>
      </c>
      <c r="X28" s="900">
        <f>SUM(V28-W28)</f>
        <v>0</v>
      </c>
      <c r="Y28" s="873">
        <f t="shared" ref="Y28" si="14">IFERROR($W28/$V28, 0)</f>
        <v>1</v>
      </c>
      <c r="Z28" s="932">
        <v>46000</v>
      </c>
      <c r="AA28" s="283">
        <v>1</v>
      </c>
      <c r="AB28" s="283">
        <v>1</v>
      </c>
      <c r="AC28" s="283">
        <v>1</v>
      </c>
      <c r="AD28" s="1084" t="s">
        <v>408</v>
      </c>
    </row>
    <row r="29" spans="1:30" ht="39.75" customHeight="1">
      <c r="A29" s="835" t="s">
        <v>409</v>
      </c>
      <c r="B29" s="637" t="s">
        <v>50</v>
      </c>
      <c r="C29" s="711">
        <v>45991</v>
      </c>
      <c r="D29" s="846" t="s">
        <v>125</v>
      </c>
      <c r="E29" s="25">
        <v>45743</v>
      </c>
      <c r="F29" s="622" t="s">
        <v>52</v>
      </c>
      <c r="G29" s="638" t="s">
        <v>410</v>
      </c>
      <c r="H29" s="626">
        <v>69</v>
      </c>
      <c r="I29" s="523" t="s">
        <v>200</v>
      </c>
      <c r="J29" s="365" t="s">
        <v>55</v>
      </c>
      <c r="K29" s="721"/>
      <c r="L29" s="20">
        <v>45741</v>
      </c>
      <c r="M29" s="303" t="s">
        <v>56</v>
      </c>
      <c r="N29" s="675">
        <v>67734.5</v>
      </c>
      <c r="O29" s="303" t="s">
        <v>56</v>
      </c>
      <c r="P29" s="833" t="s">
        <v>201</v>
      </c>
      <c r="Q29" s="22">
        <v>45744</v>
      </c>
      <c r="R29" s="22"/>
      <c r="S29" s="22"/>
      <c r="T29" s="22"/>
      <c r="U29" s="22"/>
      <c r="V29" s="6">
        <v>4822</v>
      </c>
      <c r="W29" s="794">
        <v>4958</v>
      </c>
      <c r="X29" s="46">
        <f t="shared" si="12"/>
        <v>-136</v>
      </c>
      <c r="Y29" s="776">
        <f t="shared" si="10"/>
        <v>1.0282040647034425</v>
      </c>
      <c r="Z29" s="22">
        <v>45784</v>
      </c>
      <c r="AA29" s="283">
        <v>0</v>
      </c>
      <c r="AB29" s="283">
        <v>0</v>
      </c>
      <c r="AC29" s="509">
        <v>0</v>
      </c>
      <c r="AD29" s="1005" t="s">
        <v>411</v>
      </c>
    </row>
    <row r="30" spans="1:30" ht="39.75" customHeight="1">
      <c r="A30" s="835" t="s">
        <v>412</v>
      </c>
      <c r="B30" s="621" t="s">
        <v>50</v>
      </c>
      <c r="C30" s="711">
        <v>45991</v>
      </c>
      <c r="D30" s="836" t="s">
        <v>413</v>
      </c>
      <c r="E30" s="623">
        <v>45735</v>
      </c>
      <c r="F30" s="622" t="s">
        <v>52</v>
      </c>
      <c r="G30" s="625" t="s">
        <v>414</v>
      </c>
      <c r="H30" s="626">
        <v>70</v>
      </c>
      <c r="I30" s="366" t="s">
        <v>200</v>
      </c>
      <c r="J30" s="373" t="s">
        <v>55</v>
      </c>
      <c r="K30" s="21"/>
      <c r="L30" s="302">
        <v>45716</v>
      </c>
      <c r="M30" s="21" t="s">
        <v>56</v>
      </c>
      <c r="N30" s="838">
        <v>56262.5</v>
      </c>
      <c r="O30" s="21" t="s">
        <v>56</v>
      </c>
      <c r="P30" s="833" t="s">
        <v>201</v>
      </c>
      <c r="Q30" s="22">
        <v>45744</v>
      </c>
      <c r="R30" s="22">
        <v>45917</v>
      </c>
      <c r="S30" s="22">
        <v>45930</v>
      </c>
      <c r="T30" s="22"/>
      <c r="U30" s="22"/>
      <c r="V30" s="6">
        <v>4870</v>
      </c>
      <c r="W30" s="794">
        <v>5044</v>
      </c>
      <c r="X30" s="46">
        <f t="shared" si="12"/>
        <v>-174</v>
      </c>
      <c r="Y30" s="776">
        <f t="shared" si="10"/>
        <v>1.0357289527720739</v>
      </c>
      <c r="Z30" s="22">
        <v>45754</v>
      </c>
      <c r="AA30" s="283">
        <v>0</v>
      </c>
      <c r="AB30" s="283">
        <v>0</v>
      </c>
      <c r="AC30" s="10">
        <v>0</v>
      </c>
      <c r="AD30" s="1086" t="s">
        <v>415</v>
      </c>
    </row>
    <row r="31" spans="1:30" ht="39.75" customHeight="1">
      <c r="A31" s="951" t="s">
        <v>416</v>
      </c>
      <c r="B31" s="660" t="s">
        <v>50</v>
      </c>
      <c r="C31" s="894">
        <v>46080</v>
      </c>
      <c r="D31" s="906" t="s">
        <v>51</v>
      </c>
      <c r="E31" s="905">
        <v>45748</v>
      </c>
      <c r="F31" s="370" t="s">
        <v>52</v>
      </c>
      <c r="G31" s="906" t="s">
        <v>417</v>
      </c>
      <c r="H31" s="907">
        <v>0</v>
      </c>
      <c r="I31" s="907" t="s">
        <v>200</v>
      </c>
      <c r="J31" s="907" t="s">
        <v>55</v>
      </c>
      <c r="K31" s="907"/>
      <c r="L31" s="905">
        <v>46028</v>
      </c>
      <c r="M31" s="907" t="s">
        <v>56</v>
      </c>
      <c r="N31" s="917">
        <v>29634.15</v>
      </c>
      <c r="O31" s="907" t="s">
        <v>56</v>
      </c>
      <c r="P31" s="952" t="s">
        <v>201</v>
      </c>
      <c r="Q31" s="910">
        <v>45743</v>
      </c>
      <c r="R31" s="910"/>
      <c r="S31" s="910"/>
      <c r="T31" s="910"/>
      <c r="U31" s="910"/>
      <c r="V31" s="911">
        <v>1831</v>
      </c>
      <c r="W31" s="953">
        <v>1904</v>
      </c>
      <c r="X31" s="900">
        <f>SUM(V31-W31)</f>
        <v>-73</v>
      </c>
      <c r="Y31" s="524">
        <f>IFERROR($W31/$V31, 0)</f>
        <v>1.0398689240851993</v>
      </c>
      <c r="Z31" s="910">
        <v>45790</v>
      </c>
      <c r="AA31" s="902">
        <v>0</v>
      </c>
      <c r="AB31" s="902">
        <v>0</v>
      </c>
      <c r="AC31" s="911">
        <v>0</v>
      </c>
      <c r="AD31" s="922" t="s">
        <v>418</v>
      </c>
    </row>
    <row r="32" spans="1:30" ht="39.75" customHeight="1">
      <c r="A32" s="743" t="s">
        <v>419</v>
      </c>
      <c r="B32" s="660" t="s">
        <v>50</v>
      </c>
      <c r="C32" s="363">
        <v>45991</v>
      </c>
      <c r="D32" s="363" t="s">
        <v>125</v>
      </c>
      <c r="E32" s="371">
        <v>45748</v>
      </c>
      <c r="F32" s="370" t="s">
        <v>52</v>
      </c>
      <c r="G32" s="661" t="s">
        <v>420</v>
      </c>
      <c r="H32" s="373">
        <v>0</v>
      </c>
      <c r="I32" s="373" t="s">
        <v>200</v>
      </c>
      <c r="J32" s="365" t="s">
        <v>55</v>
      </c>
      <c r="K32" s="662"/>
      <c r="L32" s="371">
        <v>45741</v>
      </c>
      <c r="M32" s="365" t="s">
        <v>56</v>
      </c>
      <c r="N32" s="781">
        <v>17203.45</v>
      </c>
      <c r="O32" s="365" t="s">
        <v>56</v>
      </c>
      <c r="P32" s="768" t="s">
        <v>201</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7" t="s">
        <v>421</v>
      </c>
    </row>
    <row r="33" spans="1:30" ht="39.75" customHeight="1">
      <c r="A33" s="951" t="s">
        <v>422</v>
      </c>
      <c r="B33" s="660" t="s">
        <v>50</v>
      </c>
      <c r="C33" s="894">
        <v>46048</v>
      </c>
      <c r="D33" s="894" t="s">
        <v>423</v>
      </c>
      <c r="E33" s="905">
        <v>45748</v>
      </c>
      <c r="F33" s="663" t="s">
        <v>52</v>
      </c>
      <c r="G33" s="906" t="s">
        <v>424</v>
      </c>
      <c r="H33" s="907">
        <v>0</v>
      </c>
      <c r="I33" s="907" t="s">
        <v>200</v>
      </c>
      <c r="J33" s="896" t="s">
        <v>55</v>
      </c>
      <c r="K33" s="662"/>
      <c r="L33" s="905">
        <v>45742</v>
      </c>
      <c r="M33" s="896" t="s">
        <v>56</v>
      </c>
      <c r="N33" s="917">
        <v>13442.35</v>
      </c>
      <c r="O33" s="896" t="s">
        <v>56</v>
      </c>
      <c r="P33" s="1075" t="s">
        <v>201</v>
      </c>
      <c r="Q33" s="910">
        <v>46027</v>
      </c>
      <c r="R33" s="910"/>
      <c r="S33" s="910"/>
      <c r="T33" s="910"/>
      <c r="U33" s="910"/>
      <c r="V33" s="901">
        <v>831</v>
      </c>
      <c r="W33" s="1099">
        <v>863</v>
      </c>
      <c r="X33" s="900">
        <f t="shared" ref="X33" si="15">SUM(V33-W33)</f>
        <v>-32</v>
      </c>
      <c r="Y33" s="524">
        <f t="shared" ref="Y33" si="16">IFERROR($W33/$V33, 0)</f>
        <v>1.0385078219013237</v>
      </c>
      <c r="Z33" s="910">
        <v>46034</v>
      </c>
      <c r="AA33" s="902">
        <v>0</v>
      </c>
      <c r="AB33" s="902">
        <v>0</v>
      </c>
      <c r="AC33" s="509">
        <v>0</v>
      </c>
      <c r="AD33" s="1100" t="s">
        <v>425</v>
      </c>
    </row>
    <row r="34" spans="1:30" ht="39.75" customHeight="1">
      <c r="A34" s="835" t="s">
        <v>426</v>
      </c>
      <c r="B34" s="637" t="s">
        <v>50</v>
      </c>
      <c r="C34" s="711">
        <v>45991</v>
      </c>
      <c r="D34" s="846" t="s">
        <v>125</v>
      </c>
      <c r="E34" s="25">
        <v>45779</v>
      </c>
      <c r="F34" s="622" t="s">
        <v>52</v>
      </c>
      <c r="G34" s="638" t="s">
        <v>427</v>
      </c>
      <c r="H34" s="626">
        <v>0</v>
      </c>
      <c r="I34" s="373" t="s">
        <v>200</v>
      </c>
      <c r="J34" s="365" t="s">
        <v>55</v>
      </c>
      <c r="K34" s="721"/>
      <c r="L34" s="20">
        <v>45742</v>
      </c>
      <c r="M34" s="727" t="s">
        <v>56</v>
      </c>
      <c r="N34" s="838">
        <v>23800.25</v>
      </c>
      <c r="O34" s="303" t="s">
        <v>56</v>
      </c>
      <c r="P34" s="833" t="s">
        <v>201</v>
      </c>
      <c r="Q34" s="22">
        <v>45743</v>
      </c>
      <c r="R34" s="132"/>
      <c r="S34" s="22"/>
      <c r="T34" s="22"/>
      <c r="U34" s="22"/>
      <c r="V34" s="6">
        <v>1697</v>
      </c>
      <c r="W34" s="794">
        <v>1815</v>
      </c>
      <c r="X34" s="368">
        <f t="shared" si="12"/>
        <v>-118</v>
      </c>
      <c r="Y34" s="691">
        <f t="shared" si="10"/>
        <v>1.0695344725987035</v>
      </c>
      <c r="Z34" s="22">
        <v>45791</v>
      </c>
      <c r="AA34" s="473">
        <v>1</v>
      </c>
      <c r="AB34" s="473">
        <v>0</v>
      </c>
      <c r="AC34" s="847">
        <v>0</v>
      </c>
      <c r="AD34" s="1086" t="s">
        <v>428</v>
      </c>
    </row>
    <row r="35" spans="1:30" ht="39.75" customHeight="1">
      <c r="A35" s="951" t="s">
        <v>429</v>
      </c>
      <c r="B35" s="660" t="s">
        <v>50</v>
      </c>
      <c r="C35" s="894">
        <v>46044</v>
      </c>
      <c r="D35" s="894" t="s">
        <v>125</v>
      </c>
      <c r="E35" s="905">
        <v>45700</v>
      </c>
      <c r="F35" s="905" t="s">
        <v>52</v>
      </c>
      <c r="G35" s="905" t="s">
        <v>430</v>
      </c>
      <c r="H35" s="907">
        <v>0</v>
      </c>
      <c r="I35" s="907" t="s">
        <v>200</v>
      </c>
      <c r="J35" s="907" t="s">
        <v>55</v>
      </c>
      <c r="K35" s="907"/>
      <c r="L35" s="905">
        <v>45700</v>
      </c>
      <c r="M35" s="907" t="s">
        <v>56</v>
      </c>
      <c r="N35" s="917">
        <v>19745.25</v>
      </c>
      <c r="O35" s="907" t="s">
        <v>56</v>
      </c>
      <c r="P35" s="1075" t="s">
        <v>201</v>
      </c>
      <c r="Q35" s="910">
        <v>45696</v>
      </c>
      <c r="R35" s="910"/>
      <c r="S35" s="910"/>
      <c r="T35" s="910"/>
      <c r="U35" s="910"/>
      <c r="V35" s="911">
        <v>1534</v>
      </c>
      <c r="W35" s="953">
        <v>1571</v>
      </c>
      <c r="X35" s="900">
        <f t="shared" si="12"/>
        <v>-37</v>
      </c>
      <c r="Y35" s="524">
        <f t="shared" si="10"/>
        <v>1.0241199478487615</v>
      </c>
      <c r="Z35" s="910">
        <v>45736</v>
      </c>
      <c r="AA35" s="902">
        <v>0</v>
      </c>
      <c r="AB35" s="902">
        <v>0</v>
      </c>
      <c r="AC35" s="654">
        <v>0</v>
      </c>
      <c r="AD35" s="1085" t="s">
        <v>431</v>
      </c>
    </row>
    <row r="36" spans="1:30" ht="39.75" customHeight="1">
      <c r="A36" s="951" t="s">
        <v>432</v>
      </c>
      <c r="B36" s="660" t="s">
        <v>50</v>
      </c>
      <c r="C36" s="894">
        <v>46218</v>
      </c>
      <c r="D36" s="894" t="s">
        <v>433</v>
      </c>
      <c r="E36" s="20" t="s">
        <v>343</v>
      </c>
      <c r="F36" s="906" t="s">
        <v>52</v>
      </c>
      <c r="G36" s="906" t="s">
        <v>434</v>
      </c>
      <c r="H36" s="907">
        <v>380</v>
      </c>
      <c r="I36" s="523" t="s">
        <v>200</v>
      </c>
      <c r="J36" s="896" t="s">
        <v>67</v>
      </c>
      <c r="K36" s="926"/>
      <c r="L36" s="905">
        <v>45964</v>
      </c>
      <c r="M36" s="907" t="s">
        <v>56</v>
      </c>
      <c r="N36" s="917">
        <v>117414</v>
      </c>
      <c r="O36" s="907" t="s">
        <v>56</v>
      </c>
      <c r="P36" s="952" t="s">
        <v>201</v>
      </c>
      <c r="Q36" s="910">
        <v>45964</v>
      </c>
      <c r="R36" s="910"/>
      <c r="S36" s="910"/>
      <c r="T36" s="910"/>
      <c r="U36" s="910"/>
      <c r="V36" s="911">
        <v>9181</v>
      </c>
      <c r="W36" s="953">
        <v>9179</v>
      </c>
      <c r="X36" s="900">
        <f>SUM(V36-W36)</f>
        <v>2</v>
      </c>
      <c r="Y36" s="692">
        <f t="shared" si="10"/>
        <v>0.99978215880623023</v>
      </c>
      <c r="Z36" s="899">
        <v>45992</v>
      </c>
      <c r="AA36" s="902">
        <v>1</v>
      </c>
      <c r="AB36" s="902">
        <v>0</v>
      </c>
      <c r="AC36" s="509">
        <v>0</v>
      </c>
      <c r="AD36" s="1078" t="s">
        <v>435</v>
      </c>
    </row>
    <row r="37" spans="1:30" ht="39.75" customHeight="1"/>
    <row r="38" spans="1:30" ht="39.75" customHeight="1"/>
    <row r="39" spans="1:30" ht="39.75" customHeight="1"/>
    <row r="40" spans="1:30" ht="39.75" customHeight="1"/>
    <row r="41" spans="1:30" ht="39.75" customHeight="1"/>
    <row r="48" spans="1:30">
      <c r="A48"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6 K1:K4 K27:K28 K9:K25" xr:uid="{1F77D159-87F8-4334-B8DB-1D98E9EF8F0C}">
      <formula1>"Pending Locates,Permits, SOW Pending, NTP Pending, Materials, Reassigned, Door Tags"</formula1>
    </dataValidation>
    <dataValidation type="list" allowBlank="1" showInputMessage="1" showErrorMessage="1" sqref="I35 I11:I12 I8 I13:I15 I20:I22" xr:uid="{FF75A226-FC7F-404C-911A-49986724D48A}">
      <formula1>"On Track, In Jeopardy, Completed on Track, Completed, Completed -Missed TSD, On Hold Per Tillman"</formula1>
    </dataValidation>
    <dataValidation type="list" allowBlank="1" showInputMessage="1" showErrorMessage="1" sqref="I36 I16:I19 I2:I10 I23:I34" xr:uid="{FAE40925-7EC8-4626-B635-D815FEB73FF5}">
      <formula1>"On Track, In Jeopardy, Completed on Track, Completed, Completed -Missed TSD"</formula1>
    </dataValidation>
    <dataValidation type="list" allowBlank="1" showInputMessage="1" showErrorMessage="1" sqref="J5 J2:J3 J7:J9 J16:J36" xr:uid="{ECCD296E-320E-42DF-8A21-19E7E0361B1B}">
      <formula1>"Received, Pending, Not Required"</formula1>
    </dataValidation>
    <dataValidation allowBlank="1" showInputMessage="1" showErrorMessage="1" sqref="E35:E36 D34 L31:L36 Q34:U36 U27 L25:L28 Q25:T28 D24:D30 L1:L23 Q1:U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B162" activePane="topRight" state="frozen"/>
      <selection pane="topRight" activeCell="A169" sqref="A169:XFD16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4" t="s">
        <v>48</v>
      </c>
    </row>
    <row r="2" spans="1:27" ht="39.75" customHeight="1">
      <c r="A2" s="300" t="s">
        <v>439</v>
      </c>
      <c r="B2" s="799" t="s">
        <v>137</v>
      </c>
      <c r="C2" s="302">
        <v>45868</v>
      </c>
      <c r="D2" s="19" t="s">
        <v>440</v>
      </c>
      <c r="E2" s="20">
        <v>45716</v>
      </c>
      <c r="F2" s="19" t="s">
        <v>152</v>
      </c>
      <c r="G2" s="1273" t="s">
        <v>441</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442</v>
      </c>
      <c r="AA2" s="40"/>
    </row>
    <row r="3" spans="1:27" ht="39.75" customHeight="1">
      <c r="A3" s="537" t="s">
        <v>443</v>
      </c>
      <c r="B3" s="799" t="s">
        <v>137</v>
      </c>
      <c r="C3" s="302">
        <v>45991</v>
      </c>
      <c r="D3" s="20" t="s">
        <v>350</v>
      </c>
      <c r="E3" s="520">
        <v>45707</v>
      </c>
      <c r="F3" s="19" t="s">
        <v>152</v>
      </c>
      <c r="G3" s="521" t="s">
        <v>444</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445</v>
      </c>
    </row>
    <row r="4" spans="1:27" ht="39.75" customHeight="1">
      <c r="A4" s="300" t="s">
        <v>446</v>
      </c>
      <c r="B4" s="314" t="s">
        <v>137</v>
      </c>
      <c r="C4" s="20">
        <v>45807</v>
      </c>
      <c r="D4" s="20" t="s">
        <v>447</v>
      </c>
      <c r="E4" s="20">
        <v>45706</v>
      </c>
      <c r="F4" s="19" t="s">
        <v>152</v>
      </c>
      <c r="G4" s="309" t="s">
        <v>448</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137</v>
      </c>
      <c r="C5" s="302">
        <v>45991</v>
      </c>
      <c r="D5" s="19" t="s">
        <v>451</v>
      </c>
      <c r="E5" s="20">
        <v>45716</v>
      </c>
      <c r="F5" s="19" t="s">
        <v>144</v>
      </c>
      <c r="G5" s="306" t="s">
        <v>452</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137</v>
      </c>
      <c r="C6" s="302">
        <v>45991</v>
      </c>
      <c r="D6" s="19" t="s">
        <v>454</v>
      </c>
      <c r="E6" s="20">
        <v>45735</v>
      </c>
      <c r="F6" s="19" t="s">
        <v>152</v>
      </c>
      <c r="G6" s="306" t="s">
        <v>455</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1297" t="s">
        <v>456</v>
      </c>
      <c r="B7" s="670" t="s">
        <v>137</v>
      </c>
      <c r="C7" s="671">
        <v>45955</v>
      </c>
      <c r="D7" s="672" t="s">
        <v>102</v>
      </c>
      <c r="E7" s="672">
        <v>45919</v>
      </c>
      <c r="F7" s="672" t="s">
        <v>141</v>
      </c>
      <c r="G7" s="673" t="s">
        <v>457</v>
      </c>
      <c r="H7" s="316">
        <v>0</v>
      </c>
      <c r="I7" s="674" t="s">
        <v>200</v>
      </c>
      <c r="J7" s="316" t="s">
        <v>55</v>
      </c>
      <c r="K7" s="672" t="s">
        <v>343</v>
      </c>
      <c r="L7" s="316" t="s">
        <v>56</v>
      </c>
      <c r="M7" s="1240">
        <v>4646.75</v>
      </c>
      <c r="N7" s="1240">
        <v>9453.74</v>
      </c>
      <c r="O7" s="316" t="s">
        <v>73</v>
      </c>
      <c r="P7" s="1365" t="s">
        <v>201</v>
      </c>
      <c r="Q7" s="470" t="s">
        <v>67</v>
      </c>
      <c r="R7" s="1260">
        <v>117</v>
      </c>
      <c r="S7" s="472">
        <v>117</v>
      </c>
      <c r="T7" s="46">
        <f>SUM(R7-S7)</f>
        <v>0</v>
      </c>
      <c r="U7" s="519">
        <f>IFERROR($S7/$R7, 0)</f>
        <v>1</v>
      </c>
      <c r="V7" s="705">
        <v>45946</v>
      </c>
      <c r="W7" s="473">
        <v>0</v>
      </c>
      <c r="X7" s="473">
        <v>0</v>
      </c>
      <c r="Y7" s="283">
        <v>0</v>
      </c>
      <c r="Z7" s="379" t="s">
        <v>458</v>
      </c>
      <c r="AA7" s="676"/>
    </row>
    <row r="8" spans="1:27" ht="39.75" customHeight="1">
      <c r="A8" s="300" t="s">
        <v>459</v>
      </c>
      <c r="B8" s="19" t="s">
        <v>80</v>
      </c>
      <c r="C8" s="20">
        <v>45772</v>
      </c>
      <c r="D8" s="20" t="s">
        <v>125</v>
      </c>
      <c r="E8" s="520">
        <v>45691</v>
      </c>
      <c r="F8" s="520" t="s">
        <v>90</v>
      </c>
      <c r="G8" s="532" t="s">
        <v>460</v>
      </c>
      <c r="H8" s="21">
        <v>0</v>
      </c>
      <c r="I8" s="522" t="s">
        <v>200</v>
      </c>
      <c r="J8" s="21" t="s">
        <v>55</v>
      </c>
      <c r="K8" s="20">
        <v>45708</v>
      </c>
      <c r="L8" s="21" t="s">
        <v>56</v>
      </c>
      <c r="M8" s="346">
        <v>62460.45</v>
      </c>
      <c r="N8" s="429">
        <v>61491.05</v>
      </c>
      <c r="O8" s="21" t="s">
        <v>56</v>
      </c>
      <c r="P8" s="21" t="s">
        <v>201</v>
      </c>
      <c r="Q8" s="539">
        <v>45709</v>
      </c>
      <c r="R8" s="10">
        <v>4949</v>
      </c>
      <c r="S8" s="449">
        <v>5089</v>
      </c>
      <c r="T8" s="378">
        <v>0</v>
      </c>
      <c r="U8" s="369">
        <f>IFERROR(Table4[[#This Row],[Actual Redline Completed Footage UG]]/Table4[[#This Row],[Footage UG]], 0)</f>
        <v>1.0282885431400284</v>
      </c>
      <c r="V8" s="374">
        <v>45720</v>
      </c>
      <c r="W8" s="369">
        <v>1</v>
      </c>
      <c r="X8" s="369">
        <v>1</v>
      </c>
      <c r="Y8" s="369">
        <v>1</v>
      </c>
      <c r="Z8" s="374">
        <v>45821</v>
      </c>
      <c r="AA8" s="12"/>
    </row>
    <row r="9" spans="1:27" ht="39.75" customHeight="1">
      <c r="A9" s="300" t="s">
        <v>461</v>
      </c>
      <c r="B9" s="301" t="s">
        <v>80</v>
      </c>
      <c r="C9" s="302">
        <v>45772</v>
      </c>
      <c r="D9" s="513" t="s">
        <v>436</v>
      </c>
      <c r="E9" s="302">
        <v>45735</v>
      </c>
      <c r="F9" s="513" t="s">
        <v>90</v>
      </c>
      <c r="G9" s="448" t="s">
        <v>462</v>
      </c>
      <c r="H9" s="303">
        <v>0</v>
      </c>
      <c r="I9" s="529" t="s">
        <v>200</v>
      </c>
      <c r="J9" s="303" t="s">
        <v>55</v>
      </c>
      <c r="K9" s="302">
        <v>45735</v>
      </c>
      <c r="L9" s="303" t="s">
        <v>56</v>
      </c>
      <c r="M9" s="349">
        <v>15690.1</v>
      </c>
      <c r="N9" s="429">
        <v>16153.75</v>
      </c>
      <c r="O9" s="303" t="s">
        <v>56</v>
      </c>
      <c r="P9" s="303" t="s">
        <v>201</v>
      </c>
      <c r="Q9" s="130">
        <v>45735</v>
      </c>
      <c r="R9" s="46">
        <v>1242</v>
      </c>
      <c r="S9" s="510">
        <v>1243</v>
      </c>
      <c r="T9" s="375">
        <v>0</v>
      </c>
      <c r="U9" s="524">
        <f>IFERROR(Table4[[#This Row],[Actual Redline Completed Footage UG]]/Table4[[#This Row],[Footage UG]], 0)</f>
        <v>1.000805152979066</v>
      </c>
      <c r="V9" s="367">
        <v>45743</v>
      </c>
      <c r="W9" s="369">
        <v>1</v>
      </c>
      <c r="X9" s="369">
        <v>1</v>
      </c>
      <c r="Y9" s="369">
        <v>1</v>
      </c>
      <c r="Z9" s="655">
        <v>45835</v>
      </c>
      <c r="AA9" s="505" t="s">
        <v>463</v>
      </c>
    </row>
    <row r="10" spans="1:27" ht="39.75" customHeight="1">
      <c r="A10" s="300" t="s">
        <v>464</v>
      </c>
      <c r="B10" s="301" t="s">
        <v>80</v>
      </c>
      <c r="C10" s="302">
        <v>45868</v>
      </c>
      <c r="D10" s="464" t="s">
        <v>102</v>
      </c>
      <c r="E10" s="302">
        <v>45813</v>
      </c>
      <c r="F10" s="464" t="s">
        <v>107</v>
      </c>
      <c r="G10" s="448" t="s">
        <v>465</v>
      </c>
      <c r="H10" s="303">
        <v>0</v>
      </c>
      <c r="I10" s="304" t="s">
        <v>200</v>
      </c>
      <c r="J10" s="303" t="s">
        <v>55</v>
      </c>
      <c r="K10" s="302">
        <v>45793</v>
      </c>
      <c r="L10" s="303" t="s">
        <v>56</v>
      </c>
      <c r="M10" s="349">
        <v>104070.8</v>
      </c>
      <c r="N10" s="346">
        <v>106593.55</v>
      </c>
      <c r="O10" s="303" t="s">
        <v>56</v>
      </c>
      <c r="P10" s="303" t="s">
        <v>201</v>
      </c>
      <c r="Q10" s="516">
        <v>45793</v>
      </c>
      <c r="R10" s="368">
        <v>7848</v>
      </c>
      <c r="S10" s="368">
        <v>7859</v>
      </c>
      <c r="T10" s="83">
        <v>0</v>
      </c>
      <c r="U10" s="704">
        <v>1</v>
      </c>
      <c r="V10" s="516">
        <v>45825</v>
      </c>
      <c r="W10" s="283">
        <v>1</v>
      </c>
      <c r="X10" s="283">
        <v>1</v>
      </c>
      <c r="Y10" s="283">
        <v>1</v>
      </c>
      <c r="Z10" s="374">
        <v>45897</v>
      </c>
      <c r="AA10" s="505" t="s">
        <v>466</v>
      </c>
    </row>
    <row r="11" spans="1:27" ht="39.75" customHeight="1">
      <c r="A11" s="300" t="s">
        <v>467</v>
      </c>
      <c r="B11" s="301" t="s">
        <v>80</v>
      </c>
      <c r="C11" s="302">
        <v>45807</v>
      </c>
      <c r="D11" s="513" t="s">
        <v>102</v>
      </c>
      <c r="E11" s="302">
        <v>45778</v>
      </c>
      <c r="F11" s="301" t="s">
        <v>90</v>
      </c>
      <c r="G11" s="533" t="s">
        <v>468</v>
      </c>
      <c r="H11" s="303">
        <v>0</v>
      </c>
      <c r="I11" s="303" t="s">
        <v>200</v>
      </c>
      <c r="J11" s="303" t="s">
        <v>55</v>
      </c>
      <c r="K11" s="302">
        <v>45782</v>
      </c>
      <c r="L11" s="303" t="s">
        <v>56</v>
      </c>
      <c r="M11" s="349">
        <v>119135.3</v>
      </c>
      <c r="N11" s="346">
        <v>121256.65</v>
      </c>
      <c r="O11" s="303" t="s">
        <v>56</v>
      </c>
      <c r="P11" s="303" t="s">
        <v>201</v>
      </c>
      <c r="Q11" s="516">
        <v>45782</v>
      </c>
      <c r="R11" s="368">
        <v>9356</v>
      </c>
      <c r="S11" s="368">
        <v>9202</v>
      </c>
      <c r="T11" s="368">
        <v>0</v>
      </c>
      <c r="U11" s="524">
        <f>IFERROR(Table4[[#This Row],[Actual Redline Completed Footage UG]]/Table4[[#This Row],[Footage UG]], 0)</f>
        <v>0.98353997434801199</v>
      </c>
      <c r="V11" s="367">
        <v>45792</v>
      </c>
      <c r="W11" s="26">
        <v>1</v>
      </c>
      <c r="X11" s="26">
        <v>1</v>
      </c>
      <c r="Y11" s="283">
        <v>1</v>
      </c>
      <c r="Z11" s="374">
        <v>45897</v>
      </c>
      <c r="AA11" s="1095" t="s">
        <v>469</v>
      </c>
    </row>
    <row r="12" spans="1:27" ht="39.75" customHeight="1">
      <c r="A12" s="300" t="s">
        <v>470</v>
      </c>
      <c r="B12" s="19" t="s">
        <v>80</v>
      </c>
      <c r="C12" s="20">
        <v>45787</v>
      </c>
      <c r="D12" s="520" t="s">
        <v>102</v>
      </c>
      <c r="E12" s="20">
        <v>45715</v>
      </c>
      <c r="F12" s="19" t="s">
        <v>90</v>
      </c>
      <c r="G12" s="532" t="s">
        <v>471</v>
      </c>
      <c r="H12" s="21">
        <v>0</v>
      </c>
      <c r="I12" s="522" t="s">
        <v>200</v>
      </c>
      <c r="J12" s="21" t="s">
        <v>55</v>
      </c>
      <c r="K12" s="19" t="s">
        <v>201</v>
      </c>
      <c r="L12" s="21" t="s">
        <v>56</v>
      </c>
      <c r="M12" s="346">
        <v>12601.45</v>
      </c>
      <c r="N12" s="429">
        <v>13008.1</v>
      </c>
      <c r="O12" s="21" t="s">
        <v>56</v>
      </c>
      <c r="P12" s="21" t="s">
        <v>201</v>
      </c>
      <c r="Q12" s="539">
        <v>45716</v>
      </c>
      <c r="R12" s="384">
        <v>939</v>
      </c>
      <c r="S12" s="384">
        <v>928</v>
      </c>
      <c r="T12" s="378">
        <v>0</v>
      </c>
      <c r="U12" s="369">
        <f>IFERROR(Table4[[#This Row],[Actual Redline Completed Footage UG]]/Table4[[#This Row],[Footage UG]], 0)</f>
        <v>0.98828541001064962</v>
      </c>
      <c r="V12" s="374">
        <v>45733</v>
      </c>
      <c r="W12" s="477">
        <v>1</v>
      </c>
      <c r="X12" s="477">
        <v>1</v>
      </c>
      <c r="Y12" s="369">
        <v>1</v>
      </c>
      <c r="Z12" s="374">
        <v>45824</v>
      </c>
      <c r="AA12" s="12"/>
    </row>
    <row r="13" spans="1:27" ht="39.75" customHeight="1">
      <c r="A13" s="300" t="s">
        <v>472</v>
      </c>
      <c r="B13" s="19" t="s">
        <v>80</v>
      </c>
      <c r="C13" s="20">
        <v>45868</v>
      </c>
      <c r="D13" s="308" t="s">
        <v>102</v>
      </c>
      <c r="E13" s="20">
        <v>45828</v>
      </c>
      <c r="F13" s="308" t="s">
        <v>107</v>
      </c>
      <c r="G13" s="306" t="s">
        <v>473</v>
      </c>
      <c r="H13" s="21">
        <v>0</v>
      </c>
      <c r="I13" s="307" t="s">
        <v>200</v>
      </c>
      <c r="J13" s="21" t="s">
        <v>55</v>
      </c>
      <c r="K13" s="302">
        <v>45826</v>
      </c>
      <c r="L13" s="303" t="s">
        <v>56</v>
      </c>
      <c r="M13" s="349">
        <v>144886</v>
      </c>
      <c r="N13" s="346">
        <v>138688</v>
      </c>
      <c r="O13" s="303" t="s">
        <v>56</v>
      </c>
      <c r="P13" s="303" t="s">
        <v>201</v>
      </c>
      <c r="Q13" s="1276">
        <v>45840</v>
      </c>
      <c r="R13" s="382">
        <v>11054</v>
      </c>
      <c r="S13" s="382">
        <v>11092</v>
      </c>
      <c r="T13" s="6">
        <v>0</v>
      </c>
      <c r="U13" s="704">
        <v>1</v>
      </c>
      <c r="V13" s="516">
        <v>45845</v>
      </c>
      <c r="W13" s="283">
        <v>1</v>
      </c>
      <c r="X13" s="283">
        <v>1</v>
      </c>
      <c r="Y13" s="283">
        <v>1</v>
      </c>
      <c r="Z13" s="367">
        <v>45917</v>
      </c>
      <c r="AA13" s="86" t="s">
        <v>474</v>
      </c>
    </row>
    <row r="14" spans="1:27" ht="39.75" customHeight="1">
      <c r="A14" s="300" t="s">
        <v>475</v>
      </c>
      <c r="B14" s="19" t="s">
        <v>80</v>
      </c>
      <c r="C14" s="20">
        <v>45899</v>
      </c>
      <c r="D14" s="308" t="s">
        <v>102</v>
      </c>
      <c r="E14" s="20">
        <v>45853</v>
      </c>
      <c r="F14" s="19" t="s">
        <v>90</v>
      </c>
      <c r="G14" s="19" t="s">
        <v>476</v>
      </c>
      <c r="H14" s="21">
        <v>0</v>
      </c>
      <c r="I14" s="21" t="s">
        <v>200</v>
      </c>
      <c r="J14" s="21" t="s">
        <v>55</v>
      </c>
      <c r="K14" s="302">
        <v>45853</v>
      </c>
      <c r="L14" s="307" t="s">
        <v>56</v>
      </c>
      <c r="M14" s="349">
        <v>60849.9</v>
      </c>
      <c r="N14" s="346">
        <v>69149.45</v>
      </c>
      <c r="O14" s="307" t="s">
        <v>56</v>
      </c>
      <c r="P14" s="1355" t="s">
        <v>201</v>
      </c>
      <c r="Q14" s="61">
        <v>45853</v>
      </c>
      <c r="R14" s="46">
        <v>5276</v>
      </c>
      <c r="S14" s="823">
        <v>5289</v>
      </c>
      <c r="T14" s="5">
        <v>0</v>
      </c>
      <c r="U14" s="4">
        <v>1</v>
      </c>
      <c r="V14" s="749">
        <v>45874</v>
      </c>
      <c r="W14" s="476">
        <v>1</v>
      </c>
      <c r="X14" s="476">
        <v>1</v>
      </c>
      <c r="Y14" s="473">
        <v>1</v>
      </c>
      <c r="Z14" s="471">
        <v>45916</v>
      </c>
      <c r="AA14" s="474" t="s">
        <v>477</v>
      </c>
    </row>
    <row r="15" spans="1:27" ht="39.75" customHeight="1">
      <c r="A15" s="300" t="s">
        <v>478</v>
      </c>
      <c r="B15" s="301" t="s">
        <v>80</v>
      </c>
      <c r="C15" s="302">
        <v>45711</v>
      </c>
      <c r="D15" s="302" t="s">
        <v>479</v>
      </c>
      <c r="E15" s="302">
        <v>45693</v>
      </c>
      <c r="F15" s="513" t="s">
        <v>107</v>
      </c>
      <c r="G15" s="534" t="s">
        <v>61</v>
      </c>
      <c r="H15" s="303">
        <v>54</v>
      </c>
      <c r="I15" s="529" t="s">
        <v>480</v>
      </c>
      <c r="J15" s="303" t="s">
        <v>55</v>
      </c>
      <c r="K15" s="301" t="s">
        <v>201</v>
      </c>
      <c r="L15" s="529" t="s">
        <v>56</v>
      </c>
      <c r="M15" s="349">
        <v>47461.5</v>
      </c>
      <c r="N15" s="444">
        <v>45340</v>
      </c>
      <c r="O15" s="529" t="s">
        <v>56</v>
      </c>
      <c r="P15" s="303" t="s">
        <v>201</v>
      </c>
      <c r="Q15" s="516">
        <v>45692</v>
      </c>
      <c r="R15" s="368">
        <v>3775</v>
      </c>
      <c r="S15" s="368">
        <v>3734</v>
      </c>
      <c r="T15" s="375">
        <v>0</v>
      </c>
      <c r="U15" s="524">
        <f>IFERROR(Table4[[#This Row],[Actual Redline Completed Footage UG]]/Table4[[#This Row],[Footage UG]], 0)</f>
        <v>0.9891390728476821</v>
      </c>
      <c r="V15" s="367">
        <v>45708</v>
      </c>
      <c r="W15" s="369">
        <v>1</v>
      </c>
      <c r="X15" s="369">
        <v>1</v>
      </c>
      <c r="Y15" s="369">
        <v>1</v>
      </c>
      <c r="Z15" s="374">
        <v>45743</v>
      </c>
      <c r="AA15" s="12"/>
    </row>
    <row r="16" spans="1:27" ht="39.75" customHeight="1">
      <c r="A16" s="300" t="s">
        <v>481</v>
      </c>
      <c r="B16" s="19" t="s">
        <v>80</v>
      </c>
      <c r="C16" s="20">
        <v>45711</v>
      </c>
      <c r="D16" s="520" t="s">
        <v>102</v>
      </c>
      <c r="E16" s="20">
        <v>45712</v>
      </c>
      <c r="F16" s="520" t="s">
        <v>90</v>
      </c>
      <c r="G16" s="528" t="s">
        <v>482</v>
      </c>
      <c r="H16" s="21">
        <v>49</v>
      </c>
      <c r="I16" s="21" t="s">
        <v>480</v>
      </c>
      <c r="J16" s="21" t="s">
        <v>55</v>
      </c>
      <c r="K16" s="20">
        <v>45713</v>
      </c>
      <c r="L16" s="522" t="s">
        <v>56</v>
      </c>
      <c r="M16" s="346">
        <v>43064</v>
      </c>
      <c r="N16" s="445">
        <v>44346</v>
      </c>
      <c r="O16" s="522" t="s">
        <v>56</v>
      </c>
      <c r="P16" s="303" t="s">
        <v>201</v>
      </c>
      <c r="Q16" s="516">
        <v>45692</v>
      </c>
      <c r="R16" s="368">
        <v>3422</v>
      </c>
      <c r="S16" s="368">
        <v>3519</v>
      </c>
      <c r="T16" s="378">
        <v>0</v>
      </c>
      <c r="U16" s="369">
        <f>IFERROR(Table4[[#This Row],[Actual Redline Completed Footage UG]]/Table4[[#This Row],[Footage UG]], 0)</f>
        <v>1.0283459964932788</v>
      </c>
      <c r="V16" s="374">
        <v>45727</v>
      </c>
      <c r="W16" s="369">
        <v>1</v>
      </c>
      <c r="X16" s="369">
        <v>1</v>
      </c>
      <c r="Y16" s="369">
        <v>1</v>
      </c>
      <c r="Z16" s="374">
        <v>45743</v>
      </c>
      <c r="AA16" s="12"/>
    </row>
    <row r="17" spans="1:27" ht="39.75" customHeight="1">
      <c r="A17" s="300" t="s">
        <v>483</v>
      </c>
      <c r="B17" s="19" t="s">
        <v>80</v>
      </c>
      <c r="C17" s="20">
        <v>45716</v>
      </c>
      <c r="D17" s="520" t="s">
        <v>102</v>
      </c>
      <c r="E17" s="20">
        <v>45706</v>
      </c>
      <c r="F17" s="520" t="s">
        <v>107</v>
      </c>
      <c r="G17" s="532" t="s">
        <v>484</v>
      </c>
      <c r="H17" s="21">
        <v>56</v>
      </c>
      <c r="I17" s="522" t="s">
        <v>480</v>
      </c>
      <c r="J17" s="21" t="s">
        <v>55</v>
      </c>
      <c r="K17" s="527">
        <v>45707</v>
      </c>
      <c r="L17" s="21" t="s">
        <v>56</v>
      </c>
      <c r="M17" s="346">
        <v>62522.54</v>
      </c>
      <c r="N17" s="429">
        <v>56001</v>
      </c>
      <c r="O17" s="21" t="s">
        <v>56</v>
      </c>
      <c r="P17" s="21" t="s">
        <v>201</v>
      </c>
      <c r="Q17" s="539">
        <v>45707</v>
      </c>
      <c r="R17" s="10">
        <v>4063</v>
      </c>
      <c r="S17" s="10">
        <v>4097</v>
      </c>
      <c r="T17" s="378">
        <v>0</v>
      </c>
      <c r="U17" s="369">
        <f>IFERROR(Table4[[#This Row],[Actual Redline Completed Footage UG]]/Table4[[#This Row],[Footage UG]], 0)</f>
        <v>1.00836820083682</v>
      </c>
      <c r="V17" s="374">
        <v>45719</v>
      </c>
      <c r="W17" s="369">
        <v>1</v>
      </c>
      <c r="X17" s="369">
        <v>1</v>
      </c>
      <c r="Y17" s="369">
        <v>1</v>
      </c>
      <c r="Z17" s="374">
        <v>45835</v>
      </c>
      <c r="AA17" s="12"/>
    </row>
    <row r="18" spans="1:27" ht="39.75" customHeight="1">
      <c r="A18" s="300" t="s">
        <v>485</v>
      </c>
      <c r="B18" s="19" t="s">
        <v>80</v>
      </c>
      <c r="C18" s="20">
        <v>45925</v>
      </c>
      <c r="D18" s="520" t="s">
        <v>102</v>
      </c>
      <c r="E18" s="20">
        <v>45755</v>
      </c>
      <c r="F18" s="520" t="s">
        <v>107</v>
      </c>
      <c r="G18" s="448" t="s">
        <v>486</v>
      </c>
      <c r="H18" s="21">
        <v>82</v>
      </c>
      <c r="I18" s="522" t="s">
        <v>200</v>
      </c>
      <c r="J18" s="21" t="s">
        <v>55</v>
      </c>
      <c r="K18" s="527">
        <v>45756</v>
      </c>
      <c r="L18" s="21" t="s">
        <v>56</v>
      </c>
      <c r="M18" s="346">
        <v>67171.5</v>
      </c>
      <c r="N18" s="429">
        <v>64739</v>
      </c>
      <c r="O18" s="21" t="s">
        <v>56</v>
      </c>
      <c r="P18" s="21" t="s">
        <v>201</v>
      </c>
      <c r="Q18" s="539">
        <v>45756</v>
      </c>
      <c r="R18" s="10">
        <v>5373</v>
      </c>
      <c r="S18" s="10">
        <v>5300</v>
      </c>
      <c r="T18" s="378">
        <v>0</v>
      </c>
      <c r="U18" s="369">
        <f>IFERROR(Table4[[#This Row],[Actual Redline Completed Footage UG]]/Table4[[#This Row],[Footage UG]], 0)</f>
        <v>0.98641354922761959</v>
      </c>
      <c r="V18" s="374">
        <v>45775</v>
      </c>
      <c r="W18" s="369">
        <v>1</v>
      </c>
      <c r="X18" s="369">
        <v>1</v>
      </c>
      <c r="Y18" s="369">
        <v>1</v>
      </c>
      <c r="Z18" s="374">
        <v>45818</v>
      </c>
      <c r="AA18" s="12"/>
    </row>
    <row r="19" spans="1:27" ht="39.75" customHeight="1">
      <c r="A19" s="300" t="s">
        <v>487</v>
      </c>
      <c r="B19" s="19" t="s">
        <v>80</v>
      </c>
      <c r="C19" s="20">
        <v>45925</v>
      </c>
      <c r="D19" s="520" t="s">
        <v>436</v>
      </c>
      <c r="E19" s="20">
        <v>45749</v>
      </c>
      <c r="F19" s="520" t="s">
        <v>107</v>
      </c>
      <c r="G19" s="532" t="s">
        <v>488</v>
      </c>
      <c r="H19" s="21">
        <v>79</v>
      </c>
      <c r="I19" s="522" t="s">
        <v>200</v>
      </c>
      <c r="J19" s="21" t="s">
        <v>55</v>
      </c>
      <c r="K19" s="20">
        <v>45749</v>
      </c>
      <c r="L19" s="21" t="s">
        <v>56</v>
      </c>
      <c r="M19" s="346">
        <v>72492</v>
      </c>
      <c r="N19" s="429">
        <v>73087.5</v>
      </c>
      <c r="O19" s="21" t="s">
        <v>56</v>
      </c>
      <c r="P19" s="21" t="s">
        <v>201</v>
      </c>
      <c r="Q19" s="540">
        <v>45749</v>
      </c>
      <c r="R19" s="10">
        <v>5941</v>
      </c>
      <c r="S19" s="10">
        <v>5972</v>
      </c>
      <c r="T19" s="378">
        <v>0</v>
      </c>
      <c r="U19" s="369">
        <f>IFERROR(Table4[[#This Row],[Actual Redline Completed Footage UG]]/Table4[[#This Row],[Footage UG]], 0)</f>
        <v>1.0052179767715872</v>
      </c>
      <c r="V19" s="374">
        <v>45761</v>
      </c>
      <c r="W19" s="283">
        <v>0</v>
      </c>
      <c r="X19" s="283">
        <v>0</v>
      </c>
      <c r="Y19" s="283">
        <v>0</v>
      </c>
      <c r="Z19" s="374">
        <v>45834</v>
      </c>
      <c r="AA19" s="12"/>
    </row>
    <row r="20" spans="1:27" ht="39.75" customHeight="1">
      <c r="A20" s="603" t="s">
        <v>489</v>
      </c>
      <c r="B20" s="361" t="s">
        <v>80</v>
      </c>
      <c r="C20" s="371">
        <v>45991</v>
      </c>
      <c r="D20" s="363" t="s">
        <v>81</v>
      </c>
      <c r="E20" s="363">
        <v>45936</v>
      </c>
      <c r="F20" s="361" t="s">
        <v>82</v>
      </c>
      <c r="G20" s="544"/>
      <c r="H20" s="365">
        <v>83</v>
      </c>
      <c r="I20" s="523" t="s">
        <v>200</v>
      </c>
      <c r="J20" s="365" t="s">
        <v>55</v>
      </c>
      <c r="K20" s="363">
        <v>45936</v>
      </c>
      <c r="L20" s="365" t="s">
        <v>56</v>
      </c>
      <c r="M20" s="787">
        <v>96748</v>
      </c>
      <c r="N20" s="787">
        <v>83497.399999999994</v>
      </c>
      <c r="O20" s="365" t="s">
        <v>56</v>
      </c>
      <c r="P20" s="379" t="s">
        <v>201</v>
      </c>
      <c r="Q20" s="275">
        <v>45936</v>
      </c>
      <c r="R20" s="368">
        <v>6240</v>
      </c>
      <c r="S20" s="368">
        <v>6197</v>
      </c>
      <c r="T20" s="368">
        <v>0</v>
      </c>
      <c r="U20" s="524">
        <f>IFERROR($S20/$R20, 0)</f>
        <v>0.99310897435897438</v>
      </c>
      <c r="V20" s="374">
        <v>45951</v>
      </c>
      <c r="W20" s="283">
        <v>1</v>
      </c>
      <c r="X20" s="8">
        <v>1</v>
      </c>
      <c r="Y20" s="519">
        <v>1</v>
      </c>
      <c r="Z20" s="44" t="s">
        <v>458</v>
      </c>
      <c r="AA20" s="814" t="s">
        <v>490</v>
      </c>
    </row>
    <row r="21" spans="1:27" ht="39.75" customHeight="1">
      <c r="A21" s="300" t="s">
        <v>491</v>
      </c>
      <c r="B21" s="19" t="s">
        <v>80</v>
      </c>
      <c r="C21" s="20">
        <v>45925</v>
      </c>
      <c r="D21" s="520" t="s">
        <v>102</v>
      </c>
      <c r="E21" s="20">
        <v>45749</v>
      </c>
      <c r="F21" s="520" t="s">
        <v>90</v>
      </c>
      <c r="G21" s="532" t="s">
        <v>492</v>
      </c>
      <c r="H21" s="21">
        <v>59</v>
      </c>
      <c r="I21" s="522" t="s">
        <v>200</v>
      </c>
      <c r="J21" s="21" t="s">
        <v>55</v>
      </c>
      <c r="K21" s="20">
        <v>45750</v>
      </c>
      <c r="L21" s="21" t="s">
        <v>56</v>
      </c>
      <c r="M21" s="346">
        <v>51295</v>
      </c>
      <c r="N21" s="429">
        <v>51485.5</v>
      </c>
      <c r="O21" s="21" t="s">
        <v>56</v>
      </c>
      <c r="P21" s="21" t="s">
        <v>201</v>
      </c>
      <c r="Q21" s="540">
        <v>45750</v>
      </c>
      <c r="R21" s="10">
        <v>4122</v>
      </c>
      <c r="S21" s="10">
        <v>4138</v>
      </c>
      <c r="T21" s="378">
        <v>0</v>
      </c>
      <c r="U21" s="369">
        <f>IFERROR(Table4[[#This Row],[Actual Redline Completed Footage UG]]/Table4[[#This Row],[Footage UG]], 0)</f>
        <v>1.0038816108685105</v>
      </c>
      <c r="V21" s="374">
        <v>45764</v>
      </c>
      <c r="W21" s="369">
        <v>1</v>
      </c>
      <c r="X21" s="369">
        <v>1</v>
      </c>
      <c r="Y21" s="369">
        <v>1</v>
      </c>
      <c r="Z21" s="374">
        <v>45818</v>
      </c>
      <c r="AA21" s="12"/>
    </row>
    <row r="22" spans="1:27" ht="39.75" customHeight="1">
      <c r="A22" s="603" t="s">
        <v>493</v>
      </c>
      <c r="B22" s="361" t="s">
        <v>80</v>
      </c>
      <c r="C22" s="363">
        <v>46001</v>
      </c>
      <c r="D22" s="363" t="s">
        <v>102</v>
      </c>
      <c r="E22" s="363">
        <v>45966</v>
      </c>
      <c r="F22" s="361" t="s">
        <v>90</v>
      </c>
      <c r="G22" s="544" t="s">
        <v>494</v>
      </c>
      <c r="H22" s="365">
        <v>88</v>
      </c>
      <c r="I22" s="523" t="s">
        <v>200</v>
      </c>
      <c r="J22" s="365" t="s">
        <v>55</v>
      </c>
      <c r="K22" s="363">
        <v>45967</v>
      </c>
      <c r="L22" s="365" t="s">
        <v>56</v>
      </c>
      <c r="M22" s="787">
        <v>76565.850000000006</v>
      </c>
      <c r="N22" s="787">
        <v>74825.600000000006</v>
      </c>
      <c r="O22" s="365" t="s">
        <v>56</v>
      </c>
      <c r="P22" s="39" t="s">
        <v>201</v>
      </c>
      <c r="Q22" s="61">
        <v>45967</v>
      </c>
      <c r="R22" s="368">
        <v>6025</v>
      </c>
      <c r="S22" s="368">
        <v>6130</v>
      </c>
      <c r="T22" s="368">
        <v>0</v>
      </c>
      <c r="U22" s="524">
        <f>IFERROR($S22/$R22, 0)</f>
        <v>1.0174273858921161</v>
      </c>
      <c r="V22" s="374">
        <v>45985</v>
      </c>
      <c r="W22" s="283">
        <v>1</v>
      </c>
      <c r="X22" s="8">
        <v>1</v>
      </c>
      <c r="Y22" s="519">
        <v>1</v>
      </c>
      <c r="Z22" s="44" t="s">
        <v>458</v>
      </c>
      <c r="AA22" s="609" t="s">
        <v>495</v>
      </c>
    </row>
    <row r="23" spans="1:27" ht="39.75" customHeight="1">
      <c r="A23" s="300" t="s">
        <v>496</v>
      </c>
      <c r="B23" s="19" t="s">
        <v>80</v>
      </c>
      <c r="C23" s="20">
        <v>45688</v>
      </c>
      <c r="D23" s="20" t="s">
        <v>497</v>
      </c>
      <c r="E23" s="20">
        <v>45666</v>
      </c>
      <c r="F23" s="520" t="s">
        <v>90</v>
      </c>
      <c r="G23" s="528" t="s">
        <v>498</v>
      </c>
      <c r="H23" s="21">
        <v>23</v>
      </c>
      <c r="I23" s="21" t="s">
        <v>200</v>
      </c>
      <c r="J23" s="21" t="s">
        <v>55</v>
      </c>
      <c r="K23" s="19" t="s">
        <v>201</v>
      </c>
      <c r="L23" s="522" t="s">
        <v>56</v>
      </c>
      <c r="M23" s="346">
        <v>26617</v>
      </c>
      <c r="N23" s="445">
        <v>25405</v>
      </c>
      <c r="O23" s="522" t="s">
        <v>56</v>
      </c>
      <c r="P23" s="21" t="s">
        <v>201</v>
      </c>
      <c r="Q23" s="540">
        <v>45659</v>
      </c>
      <c r="R23" s="10">
        <v>2121</v>
      </c>
      <c r="S23" s="10">
        <v>2106</v>
      </c>
      <c r="T23" s="378">
        <v>0</v>
      </c>
      <c r="U23" s="369">
        <f>IFERROR(Table4[[#This Row],[Actual Redline Completed Footage UG]]/Table4[[#This Row],[Footage UG]], 0)</f>
        <v>0.99292786421499291</v>
      </c>
      <c r="V23" s="374">
        <v>45670</v>
      </c>
      <c r="W23" s="369">
        <v>1</v>
      </c>
      <c r="X23" s="369">
        <v>1</v>
      </c>
      <c r="Y23" s="369">
        <v>1</v>
      </c>
      <c r="Z23" s="374">
        <v>45702</v>
      </c>
      <c r="AA23" s="12"/>
    </row>
    <row r="24" spans="1:27" ht="39.75" customHeight="1">
      <c r="A24" s="300" t="s">
        <v>499</v>
      </c>
      <c r="B24" s="19" t="s">
        <v>80</v>
      </c>
      <c r="C24" s="20">
        <v>45688</v>
      </c>
      <c r="D24" s="20" t="s">
        <v>125</v>
      </c>
      <c r="E24" s="20">
        <v>45679</v>
      </c>
      <c r="F24" s="520" t="s">
        <v>90</v>
      </c>
      <c r="G24" s="528" t="s">
        <v>500</v>
      </c>
      <c r="H24" s="21">
        <v>70</v>
      </c>
      <c r="I24" s="522" t="s">
        <v>480</v>
      </c>
      <c r="J24" s="21" t="s">
        <v>55</v>
      </c>
      <c r="K24" s="19" t="s">
        <v>201</v>
      </c>
      <c r="L24" s="522" t="s">
        <v>56</v>
      </c>
      <c r="M24" s="346">
        <v>72118</v>
      </c>
      <c r="N24" s="535">
        <v>70778</v>
      </c>
      <c r="O24" s="522" t="s">
        <v>56</v>
      </c>
      <c r="P24" s="21" t="s">
        <v>201</v>
      </c>
      <c r="Q24" s="540">
        <v>45659</v>
      </c>
      <c r="R24" s="10">
        <v>5987</v>
      </c>
      <c r="S24" s="10">
        <v>5879</v>
      </c>
      <c r="T24" s="378">
        <v>0</v>
      </c>
      <c r="U24" s="369">
        <f>IFERROR(Table4[[#This Row],[Actual Redline Completed Footage UG]]/Table4[[#This Row],[Footage UG]], 0)</f>
        <v>0.98196091531651908</v>
      </c>
      <c r="V24" s="374">
        <v>45679</v>
      </c>
      <c r="W24" s="369">
        <v>1</v>
      </c>
      <c r="X24" s="369">
        <v>1</v>
      </c>
      <c r="Y24" s="369">
        <v>1</v>
      </c>
      <c r="Z24" s="374">
        <v>45821</v>
      </c>
      <c r="AA24" s="12"/>
    </row>
    <row r="25" spans="1:27" ht="39.75" customHeight="1">
      <c r="A25" s="300" t="s">
        <v>501</v>
      </c>
      <c r="B25" s="19" t="s">
        <v>80</v>
      </c>
      <c r="C25" s="20">
        <v>45688</v>
      </c>
      <c r="D25" s="20" t="s">
        <v>102</v>
      </c>
      <c r="E25" s="20">
        <v>45685</v>
      </c>
      <c r="F25" s="520" t="s">
        <v>90</v>
      </c>
      <c r="G25" s="528" t="s">
        <v>502</v>
      </c>
      <c r="H25" s="21">
        <v>75</v>
      </c>
      <c r="I25" s="522" t="s">
        <v>480</v>
      </c>
      <c r="J25" s="21" t="s">
        <v>55</v>
      </c>
      <c r="K25" s="19" t="s">
        <v>201</v>
      </c>
      <c r="L25" s="522" t="s">
        <v>56</v>
      </c>
      <c r="M25" s="346">
        <v>69288</v>
      </c>
      <c r="N25" s="445">
        <v>70664</v>
      </c>
      <c r="O25" s="522" t="s">
        <v>56</v>
      </c>
      <c r="P25" s="21" t="s">
        <v>201</v>
      </c>
      <c r="Q25" s="540">
        <v>45672</v>
      </c>
      <c r="R25" s="10">
        <v>5690</v>
      </c>
      <c r="S25" s="10">
        <v>5759</v>
      </c>
      <c r="T25" s="378">
        <v>0</v>
      </c>
      <c r="U25" s="369">
        <f>IFERROR(Table4[[#This Row],[Actual Redline Completed Footage UG]]/Table4[[#This Row],[Footage UG]], 0)</f>
        <v>1.0121265377855888</v>
      </c>
      <c r="V25" s="374">
        <v>45685</v>
      </c>
      <c r="W25" s="369">
        <v>1</v>
      </c>
      <c r="X25" s="369">
        <v>1</v>
      </c>
      <c r="Y25" s="369">
        <v>1</v>
      </c>
      <c r="Z25" s="374">
        <v>45744</v>
      </c>
      <c r="AA25" s="12"/>
    </row>
    <row r="26" spans="1:27" ht="39.75" customHeight="1">
      <c r="A26" s="300" t="s">
        <v>503</v>
      </c>
      <c r="B26" s="19" t="s">
        <v>80</v>
      </c>
      <c r="C26" s="20">
        <v>45688</v>
      </c>
      <c r="D26" s="20" t="s">
        <v>504</v>
      </c>
      <c r="E26" s="20">
        <v>45693</v>
      </c>
      <c r="F26" s="520" t="s">
        <v>107</v>
      </c>
      <c r="G26" s="528" t="s">
        <v>505</v>
      </c>
      <c r="H26" s="21">
        <v>65</v>
      </c>
      <c r="I26" s="522" t="s">
        <v>480</v>
      </c>
      <c r="J26" s="21" t="s">
        <v>55</v>
      </c>
      <c r="K26" s="20">
        <v>45673</v>
      </c>
      <c r="L26" s="522" t="s">
        <v>56</v>
      </c>
      <c r="M26" s="346">
        <v>69555</v>
      </c>
      <c r="N26" s="535">
        <v>70432</v>
      </c>
      <c r="O26" s="522" t="s">
        <v>56</v>
      </c>
      <c r="P26" s="21" t="s">
        <v>201</v>
      </c>
      <c r="Q26" s="540">
        <v>45673</v>
      </c>
      <c r="R26" s="10">
        <v>5661</v>
      </c>
      <c r="S26" s="10">
        <v>5633</v>
      </c>
      <c r="T26" s="378">
        <v>0</v>
      </c>
      <c r="U26" s="369">
        <f>IFERROR(Table4[[#This Row],[Actual Redline Completed Footage UG]]/Table4[[#This Row],[Footage UG]], 0)</f>
        <v>0.99505387740681861</v>
      </c>
      <c r="V26" s="374">
        <v>45693</v>
      </c>
      <c r="W26" s="369">
        <v>1</v>
      </c>
      <c r="X26" s="369">
        <v>1</v>
      </c>
      <c r="Y26" s="369">
        <v>1</v>
      </c>
      <c r="Z26" s="374">
        <v>45821</v>
      </c>
      <c r="AA26" s="12"/>
    </row>
    <row r="27" spans="1:27" ht="39.75" customHeight="1">
      <c r="A27" s="300" t="s">
        <v>506</v>
      </c>
      <c r="B27" s="19" t="s">
        <v>80</v>
      </c>
      <c r="C27" s="20">
        <v>45688</v>
      </c>
      <c r="D27" s="20" t="s">
        <v>102</v>
      </c>
      <c r="E27" s="20">
        <v>45685</v>
      </c>
      <c r="F27" s="520" t="s">
        <v>90</v>
      </c>
      <c r="G27" s="528" t="s">
        <v>507</v>
      </c>
      <c r="H27" s="21">
        <v>81</v>
      </c>
      <c r="I27" s="522" t="s">
        <v>480</v>
      </c>
      <c r="J27" s="21" t="s">
        <v>55</v>
      </c>
      <c r="K27" s="19" t="s">
        <v>201</v>
      </c>
      <c r="L27" s="522" t="s">
        <v>56</v>
      </c>
      <c r="M27" s="346">
        <v>83754</v>
      </c>
      <c r="N27" s="445">
        <v>80572.5</v>
      </c>
      <c r="O27" s="522" t="s">
        <v>56</v>
      </c>
      <c r="P27" s="21" t="s">
        <v>201</v>
      </c>
      <c r="Q27" s="540">
        <v>45672</v>
      </c>
      <c r="R27" s="10">
        <v>7140</v>
      </c>
      <c r="S27" s="10">
        <v>6854</v>
      </c>
      <c r="T27" s="378">
        <v>0</v>
      </c>
      <c r="U27" s="369">
        <f>IFERROR(Table4[[#This Row],[Actual Redline Completed Footage UG]]/Table4[[#This Row],[Footage UG]], 0)</f>
        <v>0.95994397759103645</v>
      </c>
      <c r="V27" s="374">
        <v>45685</v>
      </c>
      <c r="W27" s="369">
        <v>1</v>
      </c>
      <c r="X27" s="369">
        <v>1</v>
      </c>
      <c r="Y27" s="369">
        <v>1</v>
      </c>
      <c r="Z27" s="374">
        <v>45702</v>
      </c>
      <c r="AA27" s="12"/>
    </row>
    <row r="28" spans="1:27" ht="39.75" customHeight="1">
      <c r="A28" s="300" t="s">
        <v>508</v>
      </c>
      <c r="B28" s="19" t="s">
        <v>80</v>
      </c>
      <c r="C28" s="20">
        <v>45742</v>
      </c>
      <c r="D28" s="520" t="s">
        <v>102</v>
      </c>
      <c r="E28" s="20">
        <v>45708</v>
      </c>
      <c r="F28" s="520" t="s">
        <v>107</v>
      </c>
      <c r="G28" s="532" t="s">
        <v>509</v>
      </c>
      <c r="H28" s="21">
        <v>50</v>
      </c>
      <c r="I28" s="21" t="s">
        <v>480</v>
      </c>
      <c r="J28" s="21" t="s">
        <v>55</v>
      </c>
      <c r="K28" s="20">
        <v>45705</v>
      </c>
      <c r="L28" s="21" t="s">
        <v>56</v>
      </c>
      <c r="M28" s="346">
        <v>43895.5</v>
      </c>
      <c r="N28" s="445">
        <v>44479.5</v>
      </c>
      <c r="O28" s="21" t="s">
        <v>56</v>
      </c>
      <c r="P28" s="21" t="s">
        <v>201</v>
      </c>
      <c r="Q28" s="539">
        <v>45706</v>
      </c>
      <c r="R28" s="10">
        <v>3581</v>
      </c>
      <c r="S28" s="10">
        <v>3634</v>
      </c>
      <c r="T28" s="378">
        <v>0</v>
      </c>
      <c r="U28" s="369">
        <f>IFERROR(Table4[[#This Row],[Actual Redline Completed Footage UG]]/Table4[[#This Row],[Footage UG]], 0)</f>
        <v>1.0148003351019268</v>
      </c>
      <c r="V28" s="374">
        <v>45728</v>
      </c>
      <c r="W28" s="369">
        <v>1</v>
      </c>
      <c r="X28" s="369">
        <v>1</v>
      </c>
      <c r="Y28" s="369">
        <v>1</v>
      </c>
      <c r="Z28" s="374">
        <v>45743</v>
      </c>
      <c r="AA28" s="12"/>
    </row>
    <row r="29" spans="1:27" ht="39.75" customHeight="1">
      <c r="A29" s="300" t="s">
        <v>510</v>
      </c>
      <c r="B29" s="19" t="s">
        <v>80</v>
      </c>
      <c r="C29" s="20">
        <v>45742</v>
      </c>
      <c r="D29" s="520" t="s">
        <v>102</v>
      </c>
      <c r="E29" s="20">
        <v>45729</v>
      </c>
      <c r="F29" s="19" t="s">
        <v>107</v>
      </c>
      <c r="G29" s="532" t="s">
        <v>511</v>
      </c>
      <c r="H29" s="21">
        <v>52</v>
      </c>
      <c r="I29" s="21" t="s">
        <v>200</v>
      </c>
      <c r="J29" s="21" t="s">
        <v>55</v>
      </c>
      <c r="K29" s="20">
        <v>45733</v>
      </c>
      <c r="L29" s="21" t="s">
        <v>56</v>
      </c>
      <c r="M29" s="346">
        <v>50824.5</v>
      </c>
      <c r="N29" s="445">
        <v>50928.5</v>
      </c>
      <c r="O29" s="21" t="s">
        <v>56</v>
      </c>
      <c r="P29" s="21" t="s">
        <v>201</v>
      </c>
      <c r="Q29" s="540">
        <v>45729</v>
      </c>
      <c r="R29" s="10">
        <v>4030</v>
      </c>
      <c r="S29" s="10">
        <v>4064</v>
      </c>
      <c r="T29" s="280">
        <v>0</v>
      </c>
      <c r="U29" s="369">
        <f>IFERROR(Table4[[#This Row],[Actual Redline Completed Footage UG]]/Table4[[#This Row],[Footage UG]], 0)</f>
        <v>1.0084367245657568</v>
      </c>
      <c r="V29" s="374">
        <v>45749</v>
      </c>
      <c r="W29" s="369">
        <v>1</v>
      </c>
      <c r="X29" s="369">
        <v>1</v>
      </c>
      <c r="Y29" s="369">
        <v>1</v>
      </c>
      <c r="Z29" s="374">
        <v>45789</v>
      </c>
      <c r="AA29" s="12"/>
    </row>
    <row r="30" spans="1:27" ht="39.75" customHeight="1">
      <c r="A30" s="300" t="s">
        <v>512</v>
      </c>
      <c r="B30" s="19" t="s">
        <v>80</v>
      </c>
      <c r="C30" s="20">
        <v>45772</v>
      </c>
      <c r="D30" s="520" t="s">
        <v>102</v>
      </c>
      <c r="E30" s="20">
        <v>45735</v>
      </c>
      <c r="F30" s="520" t="s">
        <v>90</v>
      </c>
      <c r="G30" s="532" t="s">
        <v>513</v>
      </c>
      <c r="H30" s="21">
        <v>86</v>
      </c>
      <c r="I30" s="21" t="s">
        <v>200</v>
      </c>
      <c r="J30" s="21" t="s">
        <v>55</v>
      </c>
      <c r="K30" s="20">
        <v>45737</v>
      </c>
      <c r="L30" s="21" t="s">
        <v>56</v>
      </c>
      <c r="M30" s="346">
        <v>83462</v>
      </c>
      <c r="N30" s="445">
        <v>83033</v>
      </c>
      <c r="O30" s="21" t="s">
        <v>56</v>
      </c>
      <c r="P30" s="21" t="s">
        <v>201</v>
      </c>
      <c r="Q30" s="540">
        <v>45735</v>
      </c>
      <c r="R30" s="10">
        <v>6723</v>
      </c>
      <c r="S30" s="10">
        <v>6757</v>
      </c>
      <c r="T30" s="378">
        <v>0</v>
      </c>
      <c r="U30" s="369">
        <f>IFERROR(Table4[[#This Row],[Actual Redline Completed Footage UG]]/Table4[[#This Row],[Footage UG]], 0)</f>
        <v>1.0050572661014427</v>
      </c>
      <c r="V30" s="374">
        <v>45754</v>
      </c>
      <c r="W30" s="369">
        <v>1</v>
      </c>
      <c r="X30" s="369">
        <v>1</v>
      </c>
      <c r="Y30" s="369">
        <v>1</v>
      </c>
      <c r="Z30" s="374">
        <v>45789</v>
      </c>
      <c r="AA30" s="12"/>
    </row>
    <row r="31" spans="1:27" ht="39.75" customHeight="1">
      <c r="A31" s="300" t="s">
        <v>514</v>
      </c>
      <c r="B31" s="19" t="s">
        <v>80</v>
      </c>
      <c r="C31" s="20">
        <v>45716</v>
      </c>
      <c r="D31" s="520" t="s">
        <v>102</v>
      </c>
      <c r="E31" s="20">
        <v>45712</v>
      </c>
      <c r="F31" s="520" t="s">
        <v>107</v>
      </c>
      <c r="G31" s="532" t="s">
        <v>515</v>
      </c>
      <c r="H31" s="21">
        <v>51</v>
      </c>
      <c r="I31" s="522" t="s">
        <v>480</v>
      </c>
      <c r="J31" s="21" t="s">
        <v>55</v>
      </c>
      <c r="K31" s="19" t="s">
        <v>201</v>
      </c>
      <c r="L31" s="21" t="s">
        <v>56</v>
      </c>
      <c r="M31" s="346">
        <v>47414</v>
      </c>
      <c r="N31" s="445">
        <v>45744</v>
      </c>
      <c r="O31" s="21" t="s">
        <v>56</v>
      </c>
      <c r="P31" s="21" t="s">
        <v>201</v>
      </c>
      <c r="Q31" s="653">
        <v>45716</v>
      </c>
      <c r="R31" s="7">
        <v>3597</v>
      </c>
      <c r="S31" s="7">
        <v>3636</v>
      </c>
      <c r="T31" s="478">
        <v>0</v>
      </c>
      <c r="U31" s="369">
        <f>IFERROR(Table4[[#This Row],[Actual Redline Completed Footage UG]]/Table4[[#This Row],[Footage UG]], 0)</f>
        <v>1.0108423686405337</v>
      </c>
      <c r="V31" s="284">
        <v>45727</v>
      </c>
      <c r="W31" s="259">
        <v>1</v>
      </c>
      <c r="X31" s="259">
        <v>1</v>
      </c>
      <c r="Y31" s="259">
        <v>1</v>
      </c>
      <c r="Z31" s="284">
        <v>45743</v>
      </c>
      <c r="AA31" s="12"/>
    </row>
    <row r="32" spans="1:27" ht="39.75" customHeight="1">
      <c r="A32" s="300" t="s">
        <v>516</v>
      </c>
      <c r="B32" s="19" t="s">
        <v>80</v>
      </c>
      <c r="C32" s="20">
        <v>45772</v>
      </c>
      <c r="D32" s="520" t="s">
        <v>102</v>
      </c>
      <c r="E32" s="20">
        <v>45735</v>
      </c>
      <c r="F32" s="520" t="s">
        <v>107</v>
      </c>
      <c r="G32" s="532" t="s">
        <v>517</v>
      </c>
      <c r="H32" s="21">
        <v>59</v>
      </c>
      <c r="I32" s="522" t="s">
        <v>200</v>
      </c>
      <c r="J32" s="21" t="s">
        <v>55</v>
      </c>
      <c r="K32" s="20">
        <v>45736</v>
      </c>
      <c r="L32" s="21" t="s">
        <v>56</v>
      </c>
      <c r="M32" s="346">
        <v>59562.5</v>
      </c>
      <c r="N32" s="445">
        <v>52525.5</v>
      </c>
      <c r="O32" s="21" t="s">
        <v>56</v>
      </c>
      <c r="P32" s="21" t="s">
        <v>201</v>
      </c>
      <c r="Q32" s="132">
        <v>45735</v>
      </c>
      <c r="R32" s="6">
        <v>4123</v>
      </c>
      <c r="S32" s="33">
        <v>4094</v>
      </c>
      <c r="T32" s="37">
        <v>0</v>
      </c>
      <c r="U32" s="524">
        <f>IFERROR(Table4[[#This Row],[Actual Redline Completed Footage UG]]/Table4[[#This Row],[Footage UG]], 0)</f>
        <v>0.99296628668445308</v>
      </c>
      <c r="V32" s="22">
        <v>45747</v>
      </c>
      <c r="W32" s="4">
        <v>1</v>
      </c>
      <c r="X32" s="4">
        <v>1</v>
      </c>
      <c r="Y32" s="4">
        <v>1</v>
      </c>
      <c r="Z32" s="284">
        <v>45789</v>
      </c>
      <c r="AA32" s="12"/>
    </row>
    <row r="33" spans="1:27" ht="39.75" customHeight="1">
      <c r="A33" s="300" t="s">
        <v>518</v>
      </c>
      <c r="B33" s="19" t="s">
        <v>80</v>
      </c>
      <c r="C33" s="20">
        <v>45772</v>
      </c>
      <c r="D33" s="520" t="s">
        <v>102</v>
      </c>
      <c r="E33" s="20">
        <v>45735</v>
      </c>
      <c r="F33" s="520" t="s">
        <v>90</v>
      </c>
      <c r="G33" s="532" t="s">
        <v>519</v>
      </c>
      <c r="H33" s="21">
        <v>35</v>
      </c>
      <c r="I33" s="21" t="s">
        <v>200</v>
      </c>
      <c r="J33" s="21" t="s">
        <v>55</v>
      </c>
      <c r="K33" s="20">
        <v>45735</v>
      </c>
      <c r="L33" s="21" t="s">
        <v>56</v>
      </c>
      <c r="M33" s="346">
        <v>41187</v>
      </c>
      <c r="N33" s="445">
        <v>39597.5</v>
      </c>
      <c r="O33" s="21" t="s">
        <v>56</v>
      </c>
      <c r="P33" s="21" t="s">
        <v>201</v>
      </c>
      <c r="Q33" s="132">
        <v>45735</v>
      </c>
      <c r="R33" s="6">
        <v>3235</v>
      </c>
      <c r="S33" s="33">
        <v>3240</v>
      </c>
      <c r="T33" s="37">
        <v>0</v>
      </c>
      <c r="U33" s="524">
        <f>IFERROR(Table4[[#This Row],[Actual Redline Completed Footage UG]]/Table4[[#This Row],[Footage UG]], 0)</f>
        <v>1.0015455950540959</v>
      </c>
      <c r="V33" s="22">
        <v>45750</v>
      </c>
      <c r="W33" s="4">
        <v>1</v>
      </c>
      <c r="X33" s="259">
        <v>1</v>
      </c>
      <c r="Y33" s="259">
        <v>1</v>
      </c>
      <c r="Z33" s="284">
        <v>45789</v>
      </c>
      <c r="AA33" s="12"/>
    </row>
    <row r="34" spans="1:27" ht="39.75" customHeight="1">
      <c r="A34" s="300" t="s">
        <v>520</v>
      </c>
      <c r="B34" s="19" t="s">
        <v>80</v>
      </c>
      <c r="C34" s="308">
        <v>45711</v>
      </c>
      <c r="D34" s="308" t="s">
        <v>102</v>
      </c>
      <c r="E34" s="308">
        <v>45695</v>
      </c>
      <c r="F34" s="308" t="s">
        <v>107</v>
      </c>
      <c r="G34" s="447" t="s">
        <v>521</v>
      </c>
      <c r="H34" s="21">
        <v>22</v>
      </c>
      <c r="I34" s="21" t="s">
        <v>200</v>
      </c>
      <c r="J34" s="21" t="s">
        <v>55</v>
      </c>
      <c r="K34" s="19" t="s">
        <v>201</v>
      </c>
      <c r="L34" s="21" t="s">
        <v>56</v>
      </c>
      <c r="M34" s="346">
        <v>14497.5</v>
      </c>
      <c r="N34" s="445">
        <v>14042</v>
      </c>
      <c r="O34" s="21" t="s">
        <v>56</v>
      </c>
      <c r="P34" s="21" t="s">
        <v>201</v>
      </c>
      <c r="Q34" s="132">
        <v>45695</v>
      </c>
      <c r="R34" s="6">
        <v>1073</v>
      </c>
      <c r="S34" s="6">
        <v>1091</v>
      </c>
      <c r="T34" s="37">
        <v>0</v>
      </c>
      <c r="U34" s="524">
        <f>IFERROR(Table4[[#This Row],[Actual Redline Completed Footage UG]]/Table4[[#This Row],[Footage UG]], 0)</f>
        <v>1.0167753960857409</v>
      </c>
      <c r="V34" s="22">
        <v>45706</v>
      </c>
      <c r="W34" s="4">
        <v>1</v>
      </c>
      <c r="X34" s="4">
        <v>1</v>
      </c>
      <c r="Y34" s="4">
        <v>1</v>
      </c>
      <c r="Z34" s="284">
        <v>45721</v>
      </c>
      <c r="AA34" s="12"/>
    </row>
    <row r="35" spans="1:27" ht="39.75" customHeight="1">
      <c r="A35" s="300" t="s">
        <v>522</v>
      </c>
      <c r="B35" s="301" t="s">
        <v>80</v>
      </c>
      <c r="C35" s="20">
        <v>45868</v>
      </c>
      <c r="D35" s="464" t="s">
        <v>102</v>
      </c>
      <c r="E35" s="302">
        <v>45796</v>
      </c>
      <c r="F35" s="464" t="s">
        <v>107</v>
      </c>
      <c r="G35" s="301" t="s">
        <v>523</v>
      </c>
      <c r="H35" s="303">
        <v>58</v>
      </c>
      <c r="I35" s="303" t="s">
        <v>200</v>
      </c>
      <c r="J35" s="303" t="s">
        <v>55</v>
      </c>
      <c r="K35" s="302">
        <v>45797</v>
      </c>
      <c r="L35" s="303" t="s">
        <v>56</v>
      </c>
      <c r="M35" s="349">
        <v>43097.65</v>
      </c>
      <c r="N35" s="346">
        <v>40400</v>
      </c>
      <c r="O35" s="303" t="s">
        <v>56</v>
      </c>
      <c r="P35" s="1355" t="s">
        <v>201</v>
      </c>
      <c r="Q35" s="61">
        <v>45810</v>
      </c>
      <c r="R35" s="46">
        <v>3309</v>
      </c>
      <c r="S35" s="823">
        <v>3194</v>
      </c>
      <c r="T35" s="5">
        <v>0</v>
      </c>
      <c r="U35" s="704">
        <v>0.97</v>
      </c>
      <c r="V35" s="1244">
        <v>45832</v>
      </c>
      <c r="W35" s="1245">
        <v>1</v>
      </c>
      <c r="X35" s="1245">
        <v>1</v>
      </c>
      <c r="Y35" s="473">
        <v>1</v>
      </c>
      <c r="Z35" s="1257">
        <v>45898</v>
      </c>
      <c r="AA35" s="1258" t="s">
        <v>524</v>
      </c>
    </row>
    <row r="36" spans="1:27" ht="39.75" customHeight="1">
      <c r="A36" s="786" t="s">
        <v>525</v>
      </c>
      <c r="B36" s="370" t="s">
        <v>80</v>
      </c>
      <c r="C36" s="371">
        <v>45930</v>
      </c>
      <c r="D36" s="371" t="s">
        <v>102</v>
      </c>
      <c r="E36" s="663">
        <v>45880</v>
      </c>
      <c r="F36" s="348" t="s">
        <v>107</v>
      </c>
      <c r="G36" s="370" t="s">
        <v>526</v>
      </c>
      <c r="H36" s="373">
        <v>62</v>
      </c>
      <c r="I36" s="373" t="s">
        <v>200</v>
      </c>
      <c r="J36" s="373" t="s">
        <v>55</v>
      </c>
      <c r="K36" s="363">
        <v>45880</v>
      </c>
      <c r="L36" s="365" t="s">
        <v>56</v>
      </c>
      <c r="M36" s="787">
        <v>56807.95</v>
      </c>
      <c r="N36" s="346">
        <v>56716</v>
      </c>
      <c r="O36" s="365" t="s">
        <v>56</v>
      </c>
      <c r="P36" s="1341" t="s">
        <v>201</v>
      </c>
      <c r="Q36" s="367">
        <v>45880</v>
      </c>
      <c r="R36" s="368">
        <v>3787</v>
      </c>
      <c r="S36" s="368">
        <v>4670</v>
      </c>
      <c r="T36" s="5">
        <v>0</v>
      </c>
      <c r="U36" s="519">
        <v>1.23</v>
      </c>
      <c r="V36" s="540">
        <v>45888</v>
      </c>
      <c r="W36" s="283">
        <v>1</v>
      </c>
      <c r="X36" s="283">
        <v>1</v>
      </c>
      <c r="Y36" s="473">
        <v>1</v>
      </c>
      <c r="Z36" s="470">
        <v>45917</v>
      </c>
      <c r="AA36" s="333" t="s">
        <v>527</v>
      </c>
    </row>
    <row r="37" spans="1:27" ht="39.75" customHeight="1">
      <c r="A37" s="300" t="s">
        <v>528</v>
      </c>
      <c r="B37" s="301" t="s">
        <v>80</v>
      </c>
      <c r="C37" s="20">
        <v>45930</v>
      </c>
      <c r="D37" s="302" t="s">
        <v>102</v>
      </c>
      <c r="E37" s="513">
        <v>45882</v>
      </c>
      <c r="F37" s="513" t="s">
        <v>107</v>
      </c>
      <c r="G37" s="301" t="s">
        <v>529</v>
      </c>
      <c r="H37" s="303">
        <v>85</v>
      </c>
      <c r="I37" s="303" t="s">
        <v>200</v>
      </c>
      <c r="J37" s="303" t="s">
        <v>55</v>
      </c>
      <c r="K37" s="302">
        <v>45882</v>
      </c>
      <c r="L37" s="303" t="s">
        <v>56</v>
      </c>
      <c r="M37" s="349">
        <v>59869.5</v>
      </c>
      <c r="N37" s="346">
        <v>67514</v>
      </c>
      <c r="O37" s="303" t="s">
        <v>56</v>
      </c>
      <c r="P37" s="1325" t="s">
        <v>201</v>
      </c>
      <c r="Q37" s="507">
        <v>45882</v>
      </c>
      <c r="R37" s="720">
        <v>4537</v>
      </c>
      <c r="S37" s="368">
        <v>4604</v>
      </c>
      <c r="T37" s="5">
        <v>0</v>
      </c>
      <c r="U37" s="519">
        <v>1.01</v>
      </c>
      <c r="V37" s="133">
        <v>45894</v>
      </c>
      <c r="W37" s="271">
        <v>1</v>
      </c>
      <c r="X37" s="271">
        <v>1</v>
      </c>
      <c r="Y37" s="271">
        <v>1</v>
      </c>
      <c r="Z37" s="275">
        <v>45917</v>
      </c>
      <c r="AA37" s="111" t="s">
        <v>530</v>
      </c>
    </row>
    <row r="38" spans="1:27" ht="39.75" customHeight="1">
      <c r="A38" s="300" t="s">
        <v>531</v>
      </c>
      <c r="B38" s="301" t="s">
        <v>80</v>
      </c>
      <c r="C38" s="20">
        <v>45930</v>
      </c>
      <c r="D38" s="302" t="s">
        <v>102</v>
      </c>
      <c r="E38" s="302">
        <v>45896</v>
      </c>
      <c r="F38" s="464" t="s">
        <v>107</v>
      </c>
      <c r="G38" s="301" t="s">
        <v>532</v>
      </c>
      <c r="H38" s="303">
        <v>72</v>
      </c>
      <c r="I38" s="303" t="s">
        <v>200</v>
      </c>
      <c r="J38" s="303" t="s">
        <v>55</v>
      </c>
      <c r="K38" s="302">
        <v>45897</v>
      </c>
      <c r="L38" s="303" t="s">
        <v>56</v>
      </c>
      <c r="M38" s="349">
        <v>50874.95</v>
      </c>
      <c r="N38" s="346">
        <v>40948</v>
      </c>
      <c r="O38" s="303" t="s">
        <v>56</v>
      </c>
      <c r="P38" s="44" t="s">
        <v>201</v>
      </c>
      <c r="Q38" s="130">
        <v>45897</v>
      </c>
      <c r="R38" s="46">
        <v>3012</v>
      </c>
      <c r="S38" s="1356">
        <v>3012</v>
      </c>
      <c r="T38" s="46">
        <v>0</v>
      </c>
      <c r="U38" s="519">
        <v>1</v>
      </c>
      <c r="V38" s="133">
        <v>45916</v>
      </c>
      <c r="W38" s="357">
        <v>1</v>
      </c>
      <c r="X38" s="271">
        <v>1</v>
      </c>
      <c r="Y38" s="81">
        <v>1</v>
      </c>
      <c r="Z38" s="103">
        <v>45972</v>
      </c>
      <c r="AA38" s="86" t="s">
        <v>533</v>
      </c>
    </row>
    <row r="39" spans="1:27" ht="39.75" customHeight="1">
      <c r="A39" s="300" t="s">
        <v>534</v>
      </c>
      <c r="B39" s="301" t="s">
        <v>80</v>
      </c>
      <c r="C39" s="20">
        <v>45868</v>
      </c>
      <c r="D39" s="464" t="s">
        <v>102</v>
      </c>
      <c r="E39" s="464">
        <v>45839</v>
      </c>
      <c r="F39" s="301" t="s">
        <v>90</v>
      </c>
      <c r="G39" s="301" t="s">
        <v>535</v>
      </c>
      <c r="H39" s="303">
        <v>77</v>
      </c>
      <c r="I39" s="303" t="s">
        <v>200</v>
      </c>
      <c r="J39" s="303" t="s">
        <v>55</v>
      </c>
      <c r="K39" s="302">
        <v>45840</v>
      </c>
      <c r="L39" s="303" t="s">
        <v>56</v>
      </c>
      <c r="M39" s="349">
        <v>10430.549999999999</v>
      </c>
      <c r="N39" s="346">
        <v>37639.800000000003</v>
      </c>
      <c r="O39" s="303" t="s">
        <v>56</v>
      </c>
      <c r="P39" s="303" t="s">
        <v>201</v>
      </c>
      <c r="Q39" s="130">
        <v>45840</v>
      </c>
      <c r="R39" s="46">
        <v>2773</v>
      </c>
      <c r="S39" s="386">
        <v>2659</v>
      </c>
      <c r="T39" s="83">
        <v>0</v>
      </c>
      <c r="U39" s="704">
        <v>0.96</v>
      </c>
      <c r="V39" s="132">
        <v>45859</v>
      </c>
      <c r="W39" s="8">
        <v>1</v>
      </c>
      <c r="X39" s="8">
        <v>1</v>
      </c>
      <c r="Y39" s="8">
        <v>1</v>
      </c>
      <c r="Z39" s="385">
        <v>45875</v>
      </c>
      <c r="AA39" s="86" t="s">
        <v>536</v>
      </c>
    </row>
    <row r="40" spans="1:27" ht="39.75" customHeight="1">
      <c r="A40" s="300" t="s">
        <v>537</v>
      </c>
      <c r="B40" s="301" t="s">
        <v>80</v>
      </c>
      <c r="C40" s="20">
        <v>45930</v>
      </c>
      <c r="D40" s="302" t="s">
        <v>102</v>
      </c>
      <c r="E40" s="513">
        <v>45910</v>
      </c>
      <c r="F40" s="513" t="s">
        <v>107</v>
      </c>
      <c r="G40" s="301" t="s">
        <v>538</v>
      </c>
      <c r="H40" s="303">
        <v>87</v>
      </c>
      <c r="I40" s="303" t="s">
        <v>200</v>
      </c>
      <c r="J40" s="303" t="s">
        <v>55</v>
      </c>
      <c r="K40" s="302">
        <v>45912</v>
      </c>
      <c r="L40" s="303" t="s">
        <v>56</v>
      </c>
      <c r="M40" s="349">
        <v>60115.95</v>
      </c>
      <c r="N40" s="346">
        <v>58210</v>
      </c>
      <c r="O40" s="303" t="s">
        <v>56</v>
      </c>
      <c r="P40" s="303" t="s">
        <v>201</v>
      </c>
      <c r="Q40" s="130">
        <v>45908</v>
      </c>
      <c r="R40" s="46">
        <v>4774</v>
      </c>
      <c r="S40" s="386">
        <v>4605</v>
      </c>
      <c r="T40" s="46">
        <v>0</v>
      </c>
      <c r="U40" s="4">
        <v>0.96</v>
      </c>
      <c r="V40" s="705">
        <v>45930</v>
      </c>
      <c r="W40" s="473">
        <v>1</v>
      </c>
      <c r="X40" s="473">
        <v>1</v>
      </c>
      <c r="Y40" s="476">
        <v>1</v>
      </c>
      <c r="Z40" s="284">
        <v>45972</v>
      </c>
      <c r="AA40" s="86" t="s">
        <v>539</v>
      </c>
    </row>
    <row r="41" spans="1:27" ht="39.75" customHeight="1">
      <c r="A41" s="300" t="s">
        <v>540</v>
      </c>
      <c r="B41" s="301" t="s">
        <v>80</v>
      </c>
      <c r="C41" s="20">
        <v>45868</v>
      </c>
      <c r="D41" s="464" t="s">
        <v>102</v>
      </c>
      <c r="E41" s="464">
        <v>45840</v>
      </c>
      <c r="F41" s="302" t="s">
        <v>90</v>
      </c>
      <c r="G41" s="301" t="s">
        <v>532</v>
      </c>
      <c r="H41" s="303">
        <v>81</v>
      </c>
      <c r="I41" s="303" t="s">
        <v>200</v>
      </c>
      <c r="J41" s="303" t="s">
        <v>55</v>
      </c>
      <c r="K41" s="302">
        <v>45847</v>
      </c>
      <c r="L41" s="303" t="s">
        <v>56</v>
      </c>
      <c r="M41" s="349">
        <v>71310.899999999994</v>
      </c>
      <c r="N41" s="346">
        <v>62984.35</v>
      </c>
      <c r="O41" s="303" t="s">
        <v>56</v>
      </c>
      <c r="P41" s="303" t="s">
        <v>201</v>
      </c>
      <c r="Q41" s="819">
        <v>45847</v>
      </c>
      <c r="R41" s="716">
        <v>4940</v>
      </c>
      <c r="S41" s="368">
        <v>4818</v>
      </c>
      <c r="T41" s="37">
        <v>0</v>
      </c>
      <c r="U41" s="704">
        <v>0.98</v>
      </c>
      <c r="V41" s="540">
        <v>45854</v>
      </c>
      <c r="W41" s="283">
        <v>1</v>
      </c>
      <c r="X41" s="283">
        <v>1</v>
      </c>
      <c r="Y41" s="283">
        <v>1</v>
      </c>
      <c r="Z41" s="367">
        <v>45875</v>
      </c>
      <c r="AA41" s="86" t="s">
        <v>541</v>
      </c>
    </row>
    <row r="42" spans="1:27" ht="39.75" customHeight="1">
      <c r="A42" s="300" t="s">
        <v>542</v>
      </c>
      <c r="B42" s="301" t="s">
        <v>80</v>
      </c>
      <c r="C42" s="20">
        <v>45868</v>
      </c>
      <c r="D42" s="464" t="s">
        <v>102</v>
      </c>
      <c r="E42" s="464">
        <v>45839</v>
      </c>
      <c r="F42" s="301" t="s">
        <v>90</v>
      </c>
      <c r="G42" s="301" t="s">
        <v>543</v>
      </c>
      <c r="H42" s="303">
        <v>86</v>
      </c>
      <c r="I42" s="303" t="s">
        <v>200</v>
      </c>
      <c r="J42" s="303" t="s">
        <v>55</v>
      </c>
      <c r="K42" s="302">
        <v>45840</v>
      </c>
      <c r="L42" s="303" t="s">
        <v>56</v>
      </c>
      <c r="M42" s="349">
        <v>53605.2</v>
      </c>
      <c r="N42" s="346">
        <v>52185.2</v>
      </c>
      <c r="O42" s="303" t="s">
        <v>56</v>
      </c>
      <c r="P42" s="303" t="s">
        <v>201</v>
      </c>
      <c r="Q42" s="819">
        <v>45840</v>
      </c>
      <c r="R42" s="716">
        <v>4009</v>
      </c>
      <c r="S42" s="510">
        <v>4039</v>
      </c>
      <c r="T42" s="83">
        <v>0</v>
      </c>
      <c r="U42" s="704">
        <v>1.01</v>
      </c>
      <c r="V42" s="540">
        <v>45862</v>
      </c>
      <c r="W42" s="283">
        <v>1</v>
      </c>
      <c r="X42" s="283">
        <v>1</v>
      </c>
      <c r="Y42" s="283">
        <v>1</v>
      </c>
      <c r="Z42" s="367">
        <v>45875</v>
      </c>
      <c r="AA42" s="86" t="s">
        <v>544</v>
      </c>
    </row>
    <row r="43" spans="1:27" ht="39.75" customHeight="1">
      <c r="A43" s="300" t="s">
        <v>545</v>
      </c>
      <c r="B43" s="301" t="s">
        <v>80</v>
      </c>
      <c r="C43" s="20">
        <v>45868</v>
      </c>
      <c r="D43" s="513" t="s">
        <v>102</v>
      </c>
      <c r="E43" s="513">
        <v>45833</v>
      </c>
      <c r="F43" s="301" t="s">
        <v>107</v>
      </c>
      <c r="G43" s="301" t="s">
        <v>546</v>
      </c>
      <c r="H43" s="303">
        <v>66</v>
      </c>
      <c r="I43" s="303" t="s">
        <v>200</v>
      </c>
      <c r="J43" s="303" t="s">
        <v>55</v>
      </c>
      <c r="K43" s="302">
        <v>45833</v>
      </c>
      <c r="L43" s="303" t="s">
        <v>56</v>
      </c>
      <c r="M43" s="349">
        <v>32940.449999999997</v>
      </c>
      <c r="N43" s="346">
        <v>43258.2</v>
      </c>
      <c r="O43" s="303" t="s">
        <v>56</v>
      </c>
      <c r="P43" s="303" t="s">
        <v>201</v>
      </c>
      <c r="Q43" s="819">
        <v>45833</v>
      </c>
      <c r="R43" s="716">
        <v>2067</v>
      </c>
      <c r="S43" s="510">
        <v>2937</v>
      </c>
      <c r="T43" s="860">
        <v>0</v>
      </c>
      <c r="U43" s="704">
        <v>1.42</v>
      </c>
      <c r="V43" s="540">
        <v>45840</v>
      </c>
      <c r="W43" s="283">
        <v>1</v>
      </c>
      <c r="X43" s="283">
        <v>1</v>
      </c>
      <c r="Y43" s="283">
        <v>1</v>
      </c>
      <c r="Z43" s="284">
        <v>45897</v>
      </c>
      <c r="AA43" s="86" t="s">
        <v>547</v>
      </c>
    </row>
    <row r="44" spans="1:27" ht="39.75" customHeight="1">
      <c r="A44" s="300" t="s">
        <v>548</v>
      </c>
      <c r="B44" s="301" t="s">
        <v>80</v>
      </c>
      <c r="C44" s="20">
        <v>45868</v>
      </c>
      <c r="D44" s="464" t="s">
        <v>102</v>
      </c>
      <c r="E44" s="464">
        <v>45839</v>
      </c>
      <c r="F44" s="302" t="s">
        <v>90</v>
      </c>
      <c r="G44" s="301" t="s">
        <v>549</v>
      </c>
      <c r="H44" s="303">
        <v>43</v>
      </c>
      <c r="I44" s="303" t="s">
        <v>200</v>
      </c>
      <c r="J44" s="303" t="s">
        <v>55</v>
      </c>
      <c r="K44" s="302">
        <v>45840</v>
      </c>
      <c r="L44" s="303" t="s">
        <v>56</v>
      </c>
      <c r="M44" s="349">
        <v>23404.75</v>
      </c>
      <c r="N44" s="346">
        <v>18702.400000000001</v>
      </c>
      <c r="O44" s="303" t="s">
        <v>56</v>
      </c>
      <c r="P44" s="303" t="s">
        <v>201</v>
      </c>
      <c r="Q44" s="130">
        <v>45840</v>
      </c>
      <c r="R44" s="46">
        <v>1667</v>
      </c>
      <c r="S44" s="823">
        <v>1661</v>
      </c>
      <c r="T44" s="5">
        <v>0</v>
      </c>
      <c r="U44" s="704">
        <v>1</v>
      </c>
      <c r="V44" s="705">
        <v>45853</v>
      </c>
      <c r="W44" s="473">
        <v>1</v>
      </c>
      <c r="X44" s="473">
        <v>1</v>
      </c>
      <c r="Y44" s="473">
        <v>1</v>
      </c>
      <c r="Z44" s="284">
        <v>45916</v>
      </c>
      <c r="AA44" s="86" t="s">
        <v>550</v>
      </c>
    </row>
    <row r="45" spans="1:27" ht="39.75" customHeight="1">
      <c r="A45" s="300" t="s">
        <v>551</v>
      </c>
      <c r="B45" s="301" t="s">
        <v>80</v>
      </c>
      <c r="C45" s="20">
        <v>45899</v>
      </c>
      <c r="D45" s="302" t="s">
        <v>102</v>
      </c>
      <c r="E45" s="302">
        <v>45887</v>
      </c>
      <c r="F45" s="464" t="s">
        <v>107</v>
      </c>
      <c r="G45" s="504" t="s">
        <v>552</v>
      </c>
      <c r="H45" s="303">
        <v>73</v>
      </c>
      <c r="I45" s="304" t="s">
        <v>200</v>
      </c>
      <c r="J45" s="303" t="s">
        <v>55</v>
      </c>
      <c r="K45" s="302">
        <v>45887</v>
      </c>
      <c r="L45" s="303" t="s">
        <v>56</v>
      </c>
      <c r="M45" s="349">
        <v>37930</v>
      </c>
      <c r="N45" s="346">
        <v>38208</v>
      </c>
      <c r="O45" s="303" t="s">
        <v>56</v>
      </c>
      <c r="P45" s="303" t="s">
        <v>201</v>
      </c>
      <c r="Q45" s="516">
        <v>45887</v>
      </c>
      <c r="R45" s="368">
        <v>2649</v>
      </c>
      <c r="S45" s="368">
        <v>2678</v>
      </c>
      <c r="T45" s="5">
        <v>0</v>
      </c>
      <c r="U45" s="704">
        <v>1.01</v>
      </c>
      <c r="V45" s="540">
        <v>45895</v>
      </c>
      <c r="W45" s="283">
        <v>1</v>
      </c>
      <c r="X45" s="283">
        <v>1</v>
      </c>
      <c r="Y45" s="524">
        <v>1</v>
      </c>
      <c r="Z45" s="284">
        <v>45917</v>
      </c>
      <c r="AA45" s="355" t="s">
        <v>553</v>
      </c>
    </row>
    <row r="46" spans="1:27" ht="39.75" customHeight="1">
      <c r="A46" s="300" t="s">
        <v>554</v>
      </c>
      <c r="B46" s="19" t="s">
        <v>80</v>
      </c>
      <c r="C46" s="20">
        <v>45899</v>
      </c>
      <c r="D46" s="20" t="s">
        <v>102</v>
      </c>
      <c r="E46" s="20">
        <v>45887</v>
      </c>
      <c r="F46" s="19" t="s">
        <v>90</v>
      </c>
      <c r="G46" s="306" t="s">
        <v>555</v>
      </c>
      <c r="H46" s="21">
        <v>84</v>
      </c>
      <c r="I46" s="307" t="s">
        <v>200</v>
      </c>
      <c r="J46" s="21" t="s">
        <v>55</v>
      </c>
      <c r="K46" s="302">
        <v>45887</v>
      </c>
      <c r="L46" s="303" t="s">
        <v>56</v>
      </c>
      <c r="M46" s="349">
        <v>52110</v>
      </c>
      <c r="N46" s="346">
        <v>44802.8</v>
      </c>
      <c r="O46" s="303" t="s">
        <v>56</v>
      </c>
      <c r="P46" s="1325" t="s">
        <v>201</v>
      </c>
      <c r="Q46" s="61">
        <v>45887</v>
      </c>
      <c r="R46" s="46">
        <v>4071</v>
      </c>
      <c r="S46" s="510">
        <v>4043</v>
      </c>
      <c r="T46" s="5">
        <v>0</v>
      </c>
      <c r="U46" s="519">
        <v>0.99</v>
      </c>
      <c r="V46" s="540">
        <v>45895</v>
      </c>
      <c r="W46" s="283">
        <v>1</v>
      </c>
      <c r="X46" s="283">
        <v>1</v>
      </c>
      <c r="Y46" s="283">
        <v>1</v>
      </c>
      <c r="Z46" s="22">
        <v>45917</v>
      </c>
      <c r="AA46" s="355" t="s">
        <v>556</v>
      </c>
    </row>
    <row r="47" spans="1:27" ht="39.75" customHeight="1">
      <c r="A47" s="300" t="s">
        <v>557</v>
      </c>
      <c r="B47" s="19" t="s">
        <v>80</v>
      </c>
      <c r="C47" s="20">
        <v>45862</v>
      </c>
      <c r="D47" s="520" t="s">
        <v>102</v>
      </c>
      <c r="E47" s="20">
        <v>45758</v>
      </c>
      <c r="F47" s="520" t="s">
        <v>90</v>
      </c>
      <c r="G47" s="448" t="s">
        <v>558</v>
      </c>
      <c r="H47" s="21">
        <v>62</v>
      </c>
      <c r="I47" s="21" t="s">
        <v>200</v>
      </c>
      <c r="J47" s="21" t="s">
        <v>55</v>
      </c>
      <c r="K47" s="20">
        <v>45762</v>
      </c>
      <c r="L47" s="21" t="s">
        <v>56</v>
      </c>
      <c r="M47" s="346">
        <v>62502</v>
      </c>
      <c r="N47" s="429">
        <v>59129.5</v>
      </c>
      <c r="O47" s="21" t="s">
        <v>56</v>
      </c>
      <c r="P47" s="21" t="s">
        <v>201</v>
      </c>
      <c r="Q47" s="132">
        <v>45762</v>
      </c>
      <c r="R47" s="6">
        <v>5008</v>
      </c>
      <c r="S47" s="33">
        <v>4791</v>
      </c>
      <c r="T47" s="3">
        <v>0</v>
      </c>
      <c r="U47" s="524">
        <f>IFERROR(Table4[[#This Row],[Actual Redline Completed Footage UG]]/Table4[[#This Row],[Footage UG]], 0)</f>
        <v>0.95666932907348246</v>
      </c>
      <c r="V47" s="347">
        <v>45783</v>
      </c>
      <c r="W47" s="479">
        <v>1</v>
      </c>
      <c r="X47" s="479">
        <v>1</v>
      </c>
      <c r="Y47" s="480">
        <v>1</v>
      </c>
      <c r="Z47" s="284">
        <v>45831</v>
      </c>
      <c r="AA47" s="12"/>
    </row>
    <row r="48" spans="1:27" ht="39.75" customHeight="1">
      <c r="A48" s="300" t="s">
        <v>559</v>
      </c>
      <c r="B48" s="301" t="s">
        <v>80</v>
      </c>
      <c r="C48" s="20">
        <v>45862</v>
      </c>
      <c r="D48" s="308" t="s">
        <v>102</v>
      </c>
      <c r="E48" s="20">
        <v>45758</v>
      </c>
      <c r="F48" s="308" t="s">
        <v>90</v>
      </c>
      <c r="G48" s="448" t="s">
        <v>560</v>
      </c>
      <c r="H48" s="21">
        <v>89</v>
      </c>
      <c r="I48" s="21" t="s">
        <v>200</v>
      </c>
      <c r="J48" s="21" t="s">
        <v>55</v>
      </c>
      <c r="K48" s="20">
        <v>45762</v>
      </c>
      <c r="L48" s="21" t="s">
        <v>56</v>
      </c>
      <c r="M48" s="346">
        <v>70705.5</v>
      </c>
      <c r="N48" s="429">
        <v>67666</v>
      </c>
      <c r="O48" s="21" t="s">
        <v>56</v>
      </c>
      <c r="P48" s="21" t="s">
        <v>201</v>
      </c>
      <c r="Q48" s="132">
        <v>45762</v>
      </c>
      <c r="R48" s="6">
        <v>5203</v>
      </c>
      <c r="S48" s="6">
        <v>5333</v>
      </c>
      <c r="T48" s="37">
        <v>0</v>
      </c>
      <c r="U48" s="524">
        <f>IFERROR(Table4[[#This Row],[Actual Redline Completed Footage UG]]/Table4[[#This Row],[Footage UG]], 0)</f>
        <v>1.0249855852392851</v>
      </c>
      <c r="V48" s="22">
        <v>45776</v>
      </c>
      <c r="W48" s="4">
        <v>1</v>
      </c>
      <c r="X48" s="4">
        <v>1</v>
      </c>
      <c r="Y48" s="4">
        <v>1</v>
      </c>
      <c r="Z48" s="284">
        <v>45818</v>
      </c>
      <c r="AA48" s="12"/>
    </row>
    <row r="49" spans="1:27" ht="39.75" customHeight="1">
      <c r="A49" s="300" t="s">
        <v>561</v>
      </c>
      <c r="B49" s="19" t="s">
        <v>80</v>
      </c>
      <c r="C49" s="20">
        <v>45862</v>
      </c>
      <c r="D49" s="308" t="s">
        <v>102</v>
      </c>
      <c r="E49" s="20">
        <v>45758</v>
      </c>
      <c r="F49" s="308" t="s">
        <v>90</v>
      </c>
      <c r="G49" s="448" t="s">
        <v>562</v>
      </c>
      <c r="H49" s="21">
        <v>87</v>
      </c>
      <c r="I49" s="21" t="s">
        <v>200</v>
      </c>
      <c r="J49" s="21" t="s">
        <v>55</v>
      </c>
      <c r="K49" s="20">
        <v>45762</v>
      </c>
      <c r="L49" s="21" t="s">
        <v>56</v>
      </c>
      <c r="M49" s="346">
        <v>66004.5</v>
      </c>
      <c r="N49" s="429">
        <v>64943.5</v>
      </c>
      <c r="O49" s="21" t="s">
        <v>56</v>
      </c>
      <c r="P49" s="21" t="s">
        <v>201</v>
      </c>
      <c r="Q49" s="132">
        <v>45762</v>
      </c>
      <c r="R49" s="6">
        <v>5120</v>
      </c>
      <c r="S49" s="33">
        <v>5340</v>
      </c>
      <c r="T49" s="37">
        <v>0</v>
      </c>
      <c r="U49" s="524">
        <f>IFERROR(Table4[[#This Row],[Actual Redline Completed Footage UG]]/Table4[[#This Row],[Footage UG]], 0)</f>
        <v>1.04296875</v>
      </c>
      <c r="V49" s="22">
        <v>45782</v>
      </c>
      <c r="W49" s="4">
        <v>1</v>
      </c>
      <c r="X49" s="4">
        <v>1</v>
      </c>
      <c r="Y49" s="4">
        <v>1</v>
      </c>
      <c r="Z49" s="284">
        <v>45818</v>
      </c>
      <c r="AA49" s="12"/>
    </row>
    <row r="50" spans="1:27" ht="39.75" customHeight="1">
      <c r="A50" s="300" t="s">
        <v>563</v>
      </c>
      <c r="B50" s="301" t="s">
        <v>80</v>
      </c>
      <c r="C50" s="20">
        <v>45868</v>
      </c>
      <c r="D50" s="464" t="s">
        <v>102</v>
      </c>
      <c r="E50" s="20">
        <v>45786</v>
      </c>
      <c r="F50" s="464" t="s">
        <v>90</v>
      </c>
      <c r="G50" s="504" t="s">
        <v>564</v>
      </c>
      <c r="H50" s="303">
        <v>60</v>
      </c>
      <c r="I50" s="303" t="s">
        <v>200</v>
      </c>
      <c r="J50" s="303" t="s">
        <v>55</v>
      </c>
      <c r="K50" s="302">
        <v>45790</v>
      </c>
      <c r="L50" s="303" t="s">
        <v>56</v>
      </c>
      <c r="M50" s="349">
        <v>57237</v>
      </c>
      <c r="N50" s="443">
        <v>55777</v>
      </c>
      <c r="O50" s="21" t="s">
        <v>56</v>
      </c>
      <c r="P50" s="303" t="s">
        <v>201</v>
      </c>
      <c r="Q50" s="130">
        <v>45790</v>
      </c>
      <c r="R50" s="46">
        <v>4508</v>
      </c>
      <c r="S50" s="46">
        <v>4426</v>
      </c>
      <c r="T50" s="37">
        <v>0</v>
      </c>
      <c r="U50" s="524">
        <f>IFERROR(Table4[[#This Row],[Actual Redline Completed Footage UG]]/Table4[[#This Row],[Footage UG]], 0)</f>
        <v>0.98181011535048801</v>
      </c>
      <c r="V50" s="22">
        <v>45812</v>
      </c>
      <c r="W50" s="84">
        <v>1</v>
      </c>
      <c r="X50" s="84">
        <v>1</v>
      </c>
      <c r="Y50" s="84">
        <v>1</v>
      </c>
      <c r="Z50" s="284" t="s">
        <v>442</v>
      </c>
      <c r="AA50" s="86" t="s">
        <v>565</v>
      </c>
    </row>
    <row r="51" spans="1:27" ht="39.75" customHeight="1">
      <c r="A51" s="603" t="s">
        <v>566</v>
      </c>
      <c r="B51" s="361" t="s">
        <v>80</v>
      </c>
      <c r="C51" s="371">
        <v>45960</v>
      </c>
      <c r="D51" s="363" t="s">
        <v>102</v>
      </c>
      <c r="E51" s="363">
        <v>45936</v>
      </c>
      <c r="F51" s="361" t="s">
        <v>90</v>
      </c>
      <c r="G51" s="544"/>
      <c r="H51" s="365">
        <v>75</v>
      </c>
      <c r="I51" s="523" t="s">
        <v>200</v>
      </c>
      <c r="J51" s="365" t="s">
        <v>55</v>
      </c>
      <c r="K51" s="363">
        <v>45936</v>
      </c>
      <c r="L51" s="365" t="s">
        <v>56</v>
      </c>
      <c r="M51" s="787">
        <v>38796</v>
      </c>
      <c r="N51" s="787">
        <v>37566</v>
      </c>
      <c r="O51" s="365" t="s">
        <v>56</v>
      </c>
      <c r="P51" s="1341" t="s">
        <v>201</v>
      </c>
      <c r="Q51" s="367">
        <v>45936</v>
      </c>
      <c r="R51" s="636">
        <v>2874</v>
      </c>
      <c r="S51" s="636">
        <v>2875</v>
      </c>
      <c r="T51" s="46">
        <v>0</v>
      </c>
      <c r="U51" s="519">
        <f>IFERROR($S51/$R51, 0)</f>
        <v>1.0003479471120389</v>
      </c>
      <c r="V51" s="540">
        <v>45944</v>
      </c>
      <c r="W51" s="283">
        <v>1</v>
      </c>
      <c r="X51" s="283">
        <v>1</v>
      </c>
      <c r="Y51" s="476">
        <v>1</v>
      </c>
      <c r="Z51" s="379" t="s">
        <v>458</v>
      </c>
      <c r="AA51" s="526" t="s">
        <v>567</v>
      </c>
    </row>
    <row r="52" spans="1:27" ht="39.75" customHeight="1">
      <c r="A52" s="603" t="s">
        <v>568</v>
      </c>
      <c r="B52" s="361" t="s">
        <v>80</v>
      </c>
      <c r="C52" s="371">
        <v>45976</v>
      </c>
      <c r="D52" s="363" t="s">
        <v>102</v>
      </c>
      <c r="E52" s="363">
        <v>45959</v>
      </c>
      <c r="F52" s="361" t="s">
        <v>82</v>
      </c>
      <c r="G52" s="544"/>
      <c r="H52" s="365">
        <v>61</v>
      </c>
      <c r="I52" s="523" t="s">
        <v>200</v>
      </c>
      <c r="J52" s="365" t="s">
        <v>55</v>
      </c>
      <c r="K52" s="363">
        <v>45962</v>
      </c>
      <c r="L52" s="365" t="s">
        <v>56</v>
      </c>
      <c r="M52" s="787">
        <v>35050</v>
      </c>
      <c r="N52" s="787">
        <v>34279.800000000003</v>
      </c>
      <c r="O52" s="365" t="s">
        <v>56</v>
      </c>
      <c r="P52" s="1341" t="s">
        <v>201</v>
      </c>
      <c r="Q52" s="367">
        <v>45961</v>
      </c>
      <c r="R52" s="368">
        <v>2527</v>
      </c>
      <c r="S52" s="368">
        <v>2647</v>
      </c>
      <c r="T52" s="368">
        <v>0</v>
      </c>
      <c r="U52" s="524">
        <f>IFERROR($S52/$R52, 0)</f>
        <v>1.0474871388998812</v>
      </c>
      <c r="V52" s="374">
        <v>45973</v>
      </c>
      <c r="W52" s="283">
        <v>1</v>
      </c>
      <c r="X52" s="283">
        <v>1</v>
      </c>
      <c r="Y52" s="476">
        <v>1</v>
      </c>
      <c r="Z52" s="379" t="s">
        <v>458</v>
      </c>
      <c r="AA52" s="814" t="s">
        <v>569</v>
      </c>
    </row>
    <row r="53" spans="1:27" ht="39.75" customHeight="1">
      <c r="A53" s="1090" t="s">
        <v>570</v>
      </c>
      <c r="B53" s="895" t="s">
        <v>80</v>
      </c>
      <c r="C53" s="894">
        <v>46006</v>
      </c>
      <c r="D53" s="894" t="s">
        <v>102</v>
      </c>
      <c r="E53" s="894">
        <v>46021</v>
      </c>
      <c r="F53" s="895" t="s">
        <v>90</v>
      </c>
      <c r="G53" s="895" t="s">
        <v>571</v>
      </c>
      <c r="H53" s="896">
        <v>85</v>
      </c>
      <c r="I53" s="523" t="s">
        <v>200</v>
      </c>
      <c r="J53" s="896" t="s">
        <v>55</v>
      </c>
      <c r="K53" s="894">
        <v>46027</v>
      </c>
      <c r="L53" s="896" t="s">
        <v>56</v>
      </c>
      <c r="M53" s="1091">
        <v>38323.550000000003</v>
      </c>
      <c r="N53" s="346">
        <v>38080</v>
      </c>
      <c r="O53" s="896" t="s">
        <v>56</v>
      </c>
      <c r="P53" s="898" t="s">
        <v>201</v>
      </c>
      <c r="Q53" s="899">
        <v>46021</v>
      </c>
      <c r="R53" s="900">
        <v>2691</v>
      </c>
      <c r="S53" s="900">
        <v>2740</v>
      </c>
      <c r="T53" s="6">
        <v>0</v>
      </c>
      <c r="U53" s="519">
        <v>1.02</v>
      </c>
      <c r="V53" s="910">
        <v>46029</v>
      </c>
      <c r="W53" s="473">
        <v>1</v>
      </c>
      <c r="X53" s="473">
        <v>1</v>
      </c>
      <c r="Y53" s="766">
        <v>1</v>
      </c>
      <c r="Z53" s="39" t="s">
        <v>458</v>
      </c>
      <c r="AA53" s="1141" t="s">
        <v>572</v>
      </c>
    </row>
    <row r="54" spans="1:27" ht="39.75" customHeight="1">
      <c r="A54" s="1090" t="s">
        <v>573</v>
      </c>
      <c r="B54" s="895" t="s">
        <v>80</v>
      </c>
      <c r="C54" s="894">
        <v>46052</v>
      </c>
      <c r="D54" s="894" t="s">
        <v>574</v>
      </c>
      <c r="E54" s="894">
        <v>46021</v>
      </c>
      <c r="F54" s="895" t="s">
        <v>82</v>
      </c>
      <c r="G54" s="895" t="s">
        <v>575</v>
      </c>
      <c r="H54" s="896">
        <v>58</v>
      </c>
      <c r="I54" s="523" t="s">
        <v>200</v>
      </c>
      <c r="J54" s="896" t="s">
        <v>55</v>
      </c>
      <c r="K54" s="894">
        <v>46021</v>
      </c>
      <c r="L54" s="896" t="s">
        <v>56</v>
      </c>
      <c r="M54" s="1091">
        <v>58952.88</v>
      </c>
      <c r="N54" s="346">
        <v>55647.74</v>
      </c>
      <c r="O54" s="896" t="s">
        <v>56</v>
      </c>
      <c r="P54" s="898" t="s">
        <v>201</v>
      </c>
      <c r="Q54" s="899">
        <v>46021</v>
      </c>
      <c r="R54" s="900">
        <v>4731</v>
      </c>
      <c r="S54" s="900">
        <v>4579</v>
      </c>
      <c r="T54" s="6">
        <v>0</v>
      </c>
      <c r="U54" s="519">
        <v>0.97</v>
      </c>
      <c r="V54" s="910">
        <v>46043</v>
      </c>
      <c r="W54" s="473">
        <v>1</v>
      </c>
      <c r="X54" s="283">
        <v>1</v>
      </c>
      <c r="Y54" s="524">
        <v>1</v>
      </c>
      <c r="Z54" s="39" t="s">
        <v>458</v>
      </c>
      <c r="AA54" s="934" t="s">
        <v>576</v>
      </c>
    </row>
    <row r="55" spans="1:27" ht="39.75" customHeight="1">
      <c r="A55" s="300" t="s">
        <v>577</v>
      </c>
      <c r="B55" s="305" t="s">
        <v>80</v>
      </c>
      <c r="C55" s="20">
        <v>45688</v>
      </c>
      <c r="D55" s="20" t="s">
        <v>578</v>
      </c>
      <c r="E55" s="20">
        <v>45684</v>
      </c>
      <c r="F55" s="308" t="s">
        <v>107</v>
      </c>
      <c r="G55" s="309" t="s">
        <v>579</v>
      </c>
      <c r="H55" s="21">
        <v>0</v>
      </c>
      <c r="I55" s="307" t="s">
        <v>201</v>
      </c>
      <c r="J55" s="21" t="s">
        <v>55</v>
      </c>
      <c r="K55" s="484">
        <v>45673</v>
      </c>
      <c r="L55" s="307" t="s">
        <v>56</v>
      </c>
      <c r="M55" s="346">
        <v>24886.5</v>
      </c>
      <c r="N55" s="429">
        <v>7262</v>
      </c>
      <c r="O55" s="307" t="s">
        <v>56</v>
      </c>
      <c r="P55" s="21" t="s">
        <v>201</v>
      </c>
      <c r="Q55" s="540">
        <v>45673</v>
      </c>
      <c r="R55" s="10">
        <v>330</v>
      </c>
      <c r="S55" s="10">
        <v>330</v>
      </c>
      <c r="T55" s="378">
        <v>0</v>
      </c>
      <c r="U55" s="524">
        <f>IFERROR(Table4[[#This Row],[Actual Redline Completed Footage UG]]/Table4[[#This Row],[Footage UG]], 0)</f>
        <v>1</v>
      </c>
      <c r="V55" s="374">
        <v>45684</v>
      </c>
      <c r="W55" s="283">
        <v>1</v>
      </c>
      <c r="X55" s="283">
        <v>1</v>
      </c>
      <c r="Y55" s="283">
        <v>1</v>
      </c>
      <c r="Z55" s="374">
        <v>45821</v>
      </c>
      <c r="AA55" s="12"/>
    </row>
    <row r="56" spans="1:27" ht="39.75" customHeight="1">
      <c r="A56" s="300" t="s">
        <v>580</v>
      </c>
      <c r="B56" s="301" t="s">
        <v>80</v>
      </c>
      <c r="C56" s="20">
        <v>45868</v>
      </c>
      <c r="D56" s="302" t="s">
        <v>102</v>
      </c>
      <c r="E56" s="302">
        <v>45849</v>
      </c>
      <c r="F56" s="513" t="s">
        <v>90</v>
      </c>
      <c r="G56" s="533"/>
      <c r="H56" s="303">
        <v>0</v>
      </c>
      <c r="I56" s="303" t="s">
        <v>200</v>
      </c>
      <c r="J56" s="303" t="s">
        <v>55</v>
      </c>
      <c r="K56" s="302">
        <v>45848</v>
      </c>
      <c r="L56" s="303" t="s">
        <v>56</v>
      </c>
      <c r="M56" s="349">
        <v>23436.55</v>
      </c>
      <c r="N56" s="346">
        <v>15484.65</v>
      </c>
      <c r="O56" s="303" t="s">
        <v>56</v>
      </c>
      <c r="P56" s="303" t="s">
        <v>201</v>
      </c>
      <c r="Q56" s="516">
        <v>45848</v>
      </c>
      <c r="R56" s="761">
        <v>1743</v>
      </c>
      <c r="S56" s="761">
        <v>924</v>
      </c>
      <c r="T56" s="5">
        <v>0</v>
      </c>
      <c r="U56" s="704">
        <v>0.53</v>
      </c>
      <c r="V56" s="705">
        <v>45854</v>
      </c>
      <c r="W56" s="473">
        <v>1</v>
      </c>
      <c r="X56" s="473">
        <v>1</v>
      </c>
      <c r="Y56" s="473">
        <v>1</v>
      </c>
      <c r="Z56" s="284" t="s">
        <v>442</v>
      </c>
      <c r="AA56" s="1096"/>
    </row>
    <row r="57" spans="1:27" ht="39.75" customHeight="1">
      <c r="A57" s="300" t="s">
        <v>581</v>
      </c>
      <c r="B57" s="872" t="s">
        <v>80</v>
      </c>
      <c r="C57" s="20">
        <v>45899</v>
      </c>
      <c r="D57" s="19" t="s">
        <v>582</v>
      </c>
      <c r="E57" s="302">
        <v>45876</v>
      </c>
      <c r="F57" s="520" t="s">
        <v>107</v>
      </c>
      <c r="G57" s="533" t="s">
        <v>583</v>
      </c>
      <c r="H57" s="303">
        <v>0</v>
      </c>
      <c r="I57" s="529" t="s">
        <v>200</v>
      </c>
      <c r="J57" s="303" t="s">
        <v>55</v>
      </c>
      <c r="K57" s="20" t="s">
        <v>343</v>
      </c>
      <c r="L57" s="303" t="s">
        <v>56</v>
      </c>
      <c r="M57" s="349">
        <v>1343</v>
      </c>
      <c r="N57" s="346">
        <v>2310</v>
      </c>
      <c r="O57" s="303" t="s">
        <v>56</v>
      </c>
      <c r="P57" s="303" t="s">
        <v>201</v>
      </c>
      <c r="Q57" s="130" t="s">
        <v>67</v>
      </c>
      <c r="R57" s="812">
        <v>74</v>
      </c>
      <c r="S57" s="812">
        <v>0</v>
      </c>
      <c r="T57" s="446">
        <v>0</v>
      </c>
      <c r="U57" s="704">
        <f>IFERROR(Table5[[#This Row],[Actual Redline Completed Footage UG]]/Table5[[#This Row],[Footage UG]], 0)</f>
        <v>0</v>
      </c>
      <c r="V57" s="749" t="s">
        <v>67</v>
      </c>
      <c r="W57" s="473">
        <v>0</v>
      </c>
      <c r="X57" s="473">
        <v>0</v>
      </c>
      <c r="Y57" s="473">
        <v>0</v>
      </c>
      <c r="Z57" s="385" t="s">
        <v>67</v>
      </c>
      <c r="AA57" s="1095" t="s">
        <v>584</v>
      </c>
    </row>
    <row r="58" spans="1:27" ht="39.75" customHeight="1">
      <c r="A58" s="300" t="s">
        <v>585</v>
      </c>
      <c r="B58" s="872" t="s">
        <v>80</v>
      </c>
      <c r="C58" s="20">
        <v>45930</v>
      </c>
      <c r="D58" s="513" t="s">
        <v>125</v>
      </c>
      <c r="E58" s="302">
        <v>45902</v>
      </c>
      <c r="F58" s="301" t="s">
        <v>90</v>
      </c>
      <c r="G58" s="534"/>
      <c r="H58" s="303">
        <v>0</v>
      </c>
      <c r="I58" s="529" t="s">
        <v>200</v>
      </c>
      <c r="J58" s="303" t="s">
        <v>55</v>
      </c>
      <c r="K58" s="20">
        <v>45902</v>
      </c>
      <c r="L58" s="303" t="s">
        <v>56</v>
      </c>
      <c r="M58" s="349">
        <v>5604.6</v>
      </c>
      <c r="N58" s="429">
        <v>7746.35</v>
      </c>
      <c r="O58" s="303" t="s">
        <v>56</v>
      </c>
      <c r="P58" s="303" t="s">
        <v>201</v>
      </c>
      <c r="Q58" s="132">
        <v>45902</v>
      </c>
      <c r="R58" s="46">
        <v>328</v>
      </c>
      <c r="S58" s="46">
        <v>335</v>
      </c>
      <c r="T58" s="1054">
        <v>0</v>
      </c>
      <c r="U58" s="369">
        <v>1.02</v>
      </c>
      <c r="V58" s="374">
        <v>45922</v>
      </c>
      <c r="W58" s="283">
        <v>1</v>
      </c>
      <c r="X58" s="283">
        <v>1</v>
      </c>
      <c r="Y58" s="368">
        <v>0</v>
      </c>
      <c r="Z58" s="385"/>
      <c r="AA58" s="814" t="s">
        <v>586</v>
      </c>
    </row>
    <row r="59" spans="1:27" ht="39.75" customHeight="1">
      <c r="A59" s="300" t="s">
        <v>587</v>
      </c>
      <c r="B59" s="301" t="s">
        <v>80</v>
      </c>
      <c r="C59" s="20">
        <v>45899</v>
      </c>
      <c r="D59" s="302" t="s">
        <v>102</v>
      </c>
      <c r="E59" s="302">
        <v>45870</v>
      </c>
      <c r="F59" s="513" t="s">
        <v>107</v>
      </c>
      <c r="G59" s="533" t="s">
        <v>588</v>
      </c>
      <c r="H59" s="303">
        <v>0</v>
      </c>
      <c r="I59" s="303" t="s">
        <v>200</v>
      </c>
      <c r="J59" s="303" t="s">
        <v>55</v>
      </c>
      <c r="K59" s="302">
        <v>45870</v>
      </c>
      <c r="L59" s="303" t="s">
        <v>56</v>
      </c>
      <c r="M59" s="349">
        <v>49307.5</v>
      </c>
      <c r="N59" s="346">
        <v>47409</v>
      </c>
      <c r="O59" s="303" t="s">
        <v>56</v>
      </c>
      <c r="P59" s="303" t="s">
        <v>201</v>
      </c>
      <c r="Q59" s="1277">
        <v>45870</v>
      </c>
      <c r="R59" s="1055">
        <v>3914</v>
      </c>
      <c r="S59" s="1055">
        <v>3675</v>
      </c>
      <c r="T59" s="46">
        <v>0</v>
      </c>
      <c r="U59" s="704">
        <v>0.94</v>
      </c>
      <c r="V59" s="705">
        <v>45873</v>
      </c>
      <c r="W59" s="473">
        <v>1</v>
      </c>
      <c r="X59" s="473">
        <v>1</v>
      </c>
      <c r="Y59" s="473">
        <v>1</v>
      </c>
      <c r="Z59" s="284">
        <v>45916</v>
      </c>
      <c r="AA59" s="1096" t="s">
        <v>589</v>
      </c>
    </row>
    <row r="60" spans="1:27" ht="39.75" customHeight="1">
      <c r="A60" s="1296" t="s">
        <v>590</v>
      </c>
      <c r="B60" s="543" t="s">
        <v>80</v>
      </c>
      <c r="C60" s="363">
        <v>45975</v>
      </c>
      <c r="D60" s="363" t="s">
        <v>591</v>
      </c>
      <c r="E60" s="363">
        <v>45982</v>
      </c>
      <c r="F60" s="508" t="s">
        <v>90</v>
      </c>
      <c r="G60" s="544" t="s">
        <v>592</v>
      </c>
      <c r="H60" s="365">
        <v>0</v>
      </c>
      <c r="I60" s="365" t="s">
        <v>200</v>
      </c>
      <c r="J60" s="365" t="s">
        <v>55</v>
      </c>
      <c r="K60" s="363">
        <v>45968</v>
      </c>
      <c r="L60" s="365" t="s">
        <v>56</v>
      </c>
      <c r="M60" s="787">
        <v>12840.7</v>
      </c>
      <c r="N60" s="787">
        <v>12272.4</v>
      </c>
      <c r="O60" s="365" t="s">
        <v>56</v>
      </c>
      <c r="P60" s="1341" t="s">
        <v>201</v>
      </c>
      <c r="Q60" s="61">
        <v>45937</v>
      </c>
      <c r="R60" s="812">
        <v>911</v>
      </c>
      <c r="S60" s="368">
        <v>974</v>
      </c>
      <c r="T60" s="46">
        <v>0</v>
      </c>
      <c r="U60" s="1013">
        <f>IFERROR($S60/$R60, 0)</f>
        <v>1.0691547749725576</v>
      </c>
      <c r="V60" s="374">
        <v>45985</v>
      </c>
      <c r="W60" s="283">
        <v>1</v>
      </c>
      <c r="X60" s="283">
        <v>1</v>
      </c>
      <c r="Y60" s="766">
        <v>1</v>
      </c>
      <c r="Z60" s="39" t="s">
        <v>458</v>
      </c>
      <c r="AA60" s="814"/>
    </row>
    <row r="61" spans="1:27" ht="39.75" customHeight="1">
      <c r="A61" s="1090" t="s">
        <v>593</v>
      </c>
      <c r="B61" s="895" t="s">
        <v>80</v>
      </c>
      <c r="C61" s="894">
        <v>45675</v>
      </c>
      <c r="D61" s="894" t="s">
        <v>102</v>
      </c>
      <c r="E61" s="894">
        <v>46006</v>
      </c>
      <c r="F61" s="895" t="s">
        <v>82</v>
      </c>
      <c r="G61" s="895"/>
      <c r="H61" s="896">
        <v>0</v>
      </c>
      <c r="I61" s="896" t="s">
        <v>200</v>
      </c>
      <c r="J61" s="896" t="s">
        <v>55</v>
      </c>
      <c r="K61" s="894">
        <v>46006</v>
      </c>
      <c r="L61" s="896" t="s">
        <v>56</v>
      </c>
      <c r="M61" s="1091">
        <v>45512.75</v>
      </c>
      <c r="N61" s="346">
        <v>52537</v>
      </c>
      <c r="O61" s="896" t="s">
        <v>56</v>
      </c>
      <c r="P61" s="898" t="s">
        <v>201</v>
      </c>
      <c r="Q61" s="899">
        <v>46006</v>
      </c>
      <c r="R61" s="636">
        <v>3675</v>
      </c>
      <c r="S61" s="636">
        <v>3820</v>
      </c>
      <c r="T61" s="5">
        <v>0</v>
      </c>
      <c r="U61" s="519">
        <v>1.04</v>
      </c>
      <c r="V61" s="910">
        <v>46027</v>
      </c>
      <c r="W61" s="283">
        <v>1</v>
      </c>
      <c r="X61" s="766">
        <v>1</v>
      </c>
      <c r="Y61" s="524">
        <v>1</v>
      </c>
      <c r="Z61" s="853" t="s">
        <v>458</v>
      </c>
      <c r="AA61" s="1247" t="s">
        <v>594</v>
      </c>
    </row>
    <row r="62" spans="1:27" ht="39.75" customHeight="1">
      <c r="A62" s="300" t="s">
        <v>595</v>
      </c>
      <c r="B62" s="301" t="s">
        <v>80</v>
      </c>
      <c r="C62" s="513">
        <v>45805</v>
      </c>
      <c r="D62" s="513" t="s">
        <v>102</v>
      </c>
      <c r="E62" s="513">
        <v>45695</v>
      </c>
      <c r="F62" s="513" t="s">
        <v>107</v>
      </c>
      <c r="G62" s="624" t="s">
        <v>596</v>
      </c>
      <c r="H62" s="303">
        <v>0</v>
      </c>
      <c r="I62" s="529" t="s">
        <v>200</v>
      </c>
      <c r="J62" s="303" t="s">
        <v>55</v>
      </c>
      <c r="K62" s="302">
        <v>45705</v>
      </c>
      <c r="L62" s="303" t="s">
        <v>56</v>
      </c>
      <c r="M62" s="349">
        <v>88491.8</v>
      </c>
      <c r="N62" s="346">
        <v>85791.25</v>
      </c>
      <c r="O62" s="303" t="s">
        <v>56</v>
      </c>
      <c r="P62" s="303" t="s">
        <v>201</v>
      </c>
      <c r="Q62" s="130">
        <v>45705</v>
      </c>
      <c r="R62" s="46">
        <v>7207</v>
      </c>
      <c r="S62" s="46">
        <v>6778</v>
      </c>
      <c r="T62" s="5">
        <v>0</v>
      </c>
      <c r="U62" s="524">
        <f>IFERROR(Table4[[#This Row],[Actual Redline Completed Footage UG]]/Table4[[#This Row],[Footage UG]], 0)</f>
        <v>0.94047453864298602</v>
      </c>
      <c r="V62" s="61">
        <v>45721</v>
      </c>
      <c r="W62" s="8">
        <v>1</v>
      </c>
      <c r="X62" s="8">
        <v>1</v>
      </c>
      <c r="Y62" s="8">
        <v>1</v>
      </c>
      <c r="Z62" s="284">
        <v>45898</v>
      </c>
      <c r="AA62" s="505" t="s">
        <v>597</v>
      </c>
    </row>
    <row r="63" spans="1:27" ht="39.75" customHeight="1">
      <c r="A63" s="300" t="s">
        <v>598</v>
      </c>
      <c r="B63" s="301" t="s">
        <v>80</v>
      </c>
      <c r="C63" s="20">
        <v>45899</v>
      </c>
      <c r="D63" s="302" t="s">
        <v>102</v>
      </c>
      <c r="E63" s="302">
        <v>45870</v>
      </c>
      <c r="F63" s="513" t="s">
        <v>107</v>
      </c>
      <c r="G63" s="533" t="s">
        <v>599</v>
      </c>
      <c r="H63" s="303">
        <v>0</v>
      </c>
      <c r="I63" s="303" t="s">
        <v>200</v>
      </c>
      <c r="J63" s="303" t="s">
        <v>55</v>
      </c>
      <c r="K63" s="302">
        <v>45870</v>
      </c>
      <c r="L63" s="303" t="s">
        <v>56</v>
      </c>
      <c r="M63" s="349">
        <v>12886.4</v>
      </c>
      <c r="N63" s="346">
        <v>18418.349999999999</v>
      </c>
      <c r="O63" s="303" t="s">
        <v>56</v>
      </c>
      <c r="P63" s="303" t="s">
        <v>201</v>
      </c>
      <c r="Q63" s="749">
        <v>45870</v>
      </c>
      <c r="R63" s="877">
        <v>884</v>
      </c>
      <c r="S63" s="877">
        <v>797</v>
      </c>
      <c r="T63" s="46">
        <v>0</v>
      </c>
      <c r="U63" s="704">
        <v>0.9</v>
      </c>
      <c r="V63" s="705">
        <v>45876</v>
      </c>
      <c r="W63" s="473">
        <v>1</v>
      </c>
      <c r="X63" s="473">
        <v>1</v>
      </c>
      <c r="Y63" s="473">
        <v>1</v>
      </c>
      <c r="Z63" s="284">
        <v>45916</v>
      </c>
      <c r="AA63" s="1096" t="s">
        <v>600</v>
      </c>
    </row>
    <row r="64" spans="1:27" ht="39.75" customHeight="1">
      <c r="A64" s="300" t="s">
        <v>601</v>
      </c>
      <c r="B64" s="301" t="s">
        <v>80</v>
      </c>
      <c r="C64" s="20">
        <v>45899</v>
      </c>
      <c r="D64" s="302" t="s">
        <v>102</v>
      </c>
      <c r="E64" s="302">
        <v>45882</v>
      </c>
      <c r="F64" s="464" t="s">
        <v>107</v>
      </c>
      <c r="G64" s="504" t="s">
        <v>602</v>
      </c>
      <c r="H64" s="303">
        <v>0</v>
      </c>
      <c r="I64" s="304" t="s">
        <v>200</v>
      </c>
      <c r="J64" s="303" t="s">
        <v>55</v>
      </c>
      <c r="K64" s="302">
        <v>45882</v>
      </c>
      <c r="L64" s="303" t="s">
        <v>56</v>
      </c>
      <c r="M64" s="349">
        <v>13056.5</v>
      </c>
      <c r="N64" s="346">
        <v>15624.85</v>
      </c>
      <c r="O64" s="303" t="s">
        <v>56</v>
      </c>
      <c r="P64" s="303" t="s">
        <v>201</v>
      </c>
      <c r="Q64" s="516">
        <v>45882</v>
      </c>
      <c r="R64" s="336">
        <v>1100</v>
      </c>
      <c r="S64" s="336">
        <v>1110</v>
      </c>
      <c r="T64" s="5">
        <v>0</v>
      </c>
      <c r="U64" s="704">
        <v>1.01</v>
      </c>
      <c r="V64" s="540">
        <v>45887</v>
      </c>
      <c r="W64" s="283">
        <v>1</v>
      </c>
      <c r="X64" s="283">
        <v>1</v>
      </c>
      <c r="Y64" s="283">
        <v>1</v>
      </c>
      <c r="Z64" s="385">
        <v>45926</v>
      </c>
      <c r="AA64" s="719" t="s">
        <v>603</v>
      </c>
    </row>
    <row r="65" spans="1:27" ht="39.75" customHeight="1">
      <c r="A65" s="300" t="s">
        <v>604</v>
      </c>
      <c r="B65" s="301" t="s">
        <v>80</v>
      </c>
      <c r="C65" s="464">
        <v>45838</v>
      </c>
      <c r="D65" s="464" t="s">
        <v>102</v>
      </c>
      <c r="E65" s="20">
        <v>45786</v>
      </c>
      <c r="F65" s="464" t="s">
        <v>107</v>
      </c>
      <c r="G65" s="448" t="s">
        <v>605</v>
      </c>
      <c r="H65" s="303">
        <v>0</v>
      </c>
      <c r="I65" s="304" t="s">
        <v>200</v>
      </c>
      <c r="J65" s="303" t="s">
        <v>55</v>
      </c>
      <c r="K65" s="302">
        <v>45790</v>
      </c>
      <c r="L65" s="303" t="s">
        <v>56</v>
      </c>
      <c r="M65" s="349">
        <v>63283</v>
      </c>
      <c r="N65" s="429">
        <v>84546.7</v>
      </c>
      <c r="O65" s="303" t="s">
        <v>56</v>
      </c>
      <c r="P65" s="303" t="s">
        <v>201</v>
      </c>
      <c r="Q65" s="516">
        <v>45790</v>
      </c>
      <c r="R65" s="46">
        <v>5776</v>
      </c>
      <c r="S65" s="46">
        <v>5776</v>
      </c>
      <c r="T65" s="938">
        <v>0</v>
      </c>
      <c r="U65" s="38">
        <v>1</v>
      </c>
      <c r="V65" s="516">
        <v>45796</v>
      </c>
      <c r="W65" s="283">
        <v>1</v>
      </c>
      <c r="X65" s="283">
        <v>1</v>
      </c>
      <c r="Y65" s="473">
        <v>1</v>
      </c>
      <c r="Z65" s="385">
        <v>45846</v>
      </c>
      <c r="AA65" s="505" t="s">
        <v>606</v>
      </c>
    </row>
    <row r="66" spans="1:27" ht="39.75" customHeight="1">
      <c r="A66" s="300" t="s">
        <v>607</v>
      </c>
      <c r="B66" s="301" t="s">
        <v>80</v>
      </c>
      <c r="C66" s="20">
        <v>45930</v>
      </c>
      <c r="D66" s="19" t="s">
        <v>125</v>
      </c>
      <c r="E66" s="302">
        <v>45868</v>
      </c>
      <c r="F66" s="301" t="s">
        <v>90</v>
      </c>
      <c r="G66" s="533" t="s">
        <v>608</v>
      </c>
      <c r="H66" s="303">
        <v>0</v>
      </c>
      <c r="I66" s="303" t="s">
        <v>200</v>
      </c>
      <c r="J66" s="303" t="s">
        <v>55</v>
      </c>
      <c r="K66" s="302">
        <v>45868</v>
      </c>
      <c r="L66" s="303" t="s">
        <v>56</v>
      </c>
      <c r="M66" s="349">
        <v>14179.65</v>
      </c>
      <c r="N66" s="346">
        <v>15936.8</v>
      </c>
      <c r="O66" s="303" t="s">
        <v>56</v>
      </c>
      <c r="P66" s="303" t="s">
        <v>201</v>
      </c>
      <c r="Q66" s="749">
        <v>45868</v>
      </c>
      <c r="R66" s="877">
        <v>973</v>
      </c>
      <c r="S66" s="877">
        <v>1060</v>
      </c>
      <c r="T66" s="5">
        <v>0</v>
      </c>
      <c r="U66" s="704">
        <v>1.0900000000000001</v>
      </c>
      <c r="V66" s="705">
        <v>45880</v>
      </c>
      <c r="W66" s="473">
        <v>1</v>
      </c>
      <c r="X66" s="473">
        <v>1</v>
      </c>
      <c r="Y66" s="473">
        <v>1</v>
      </c>
      <c r="Z66" s="470">
        <v>45926</v>
      </c>
      <c r="AA66" s="1096" t="s">
        <v>609</v>
      </c>
    </row>
    <row r="67" spans="1:27" ht="39.75" customHeight="1">
      <c r="A67" s="300" t="s">
        <v>610</v>
      </c>
      <c r="B67" s="301" t="s">
        <v>80</v>
      </c>
      <c r="C67" s="20">
        <v>45868</v>
      </c>
      <c r="D67" s="302" t="s">
        <v>125</v>
      </c>
      <c r="E67" s="464">
        <v>45839</v>
      </c>
      <c r="F67" s="302" t="s">
        <v>90</v>
      </c>
      <c r="G67" s="306" t="s">
        <v>611</v>
      </c>
      <c r="H67" s="21">
        <v>0</v>
      </c>
      <c r="I67" s="21" t="s">
        <v>200</v>
      </c>
      <c r="J67" s="21" t="s">
        <v>55</v>
      </c>
      <c r="K67" s="484">
        <v>45838</v>
      </c>
      <c r="L67" s="21" t="s">
        <v>56</v>
      </c>
      <c r="M67" s="346">
        <v>72566</v>
      </c>
      <c r="N67" s="346">
        <v>9904.1</v>
      </c>
      <c r="O67" s="21" t="s">
        <v>56</v>
      </c>
      <c r="P67" s="303" t="s">
        <v>201</v>
      </c>
      <c r="Q67" s="540">
        <v>45838</v>
      </c>
      <c r="R67" s="10">
        <v>765</v>
      </c>
      <c r="S67" s="368">
        <v>786</v>
      </c>
      <c r="T67" s="5">
        <v>0</v>
      </c>
      <c r="U67" s="704">
        <v>1.03</v>
      </c>
      <c r="V67" s="540">
        <v>45845</v>
      </c>
      <c r="W67" s="283">
        <v>1</v>
      </c>
      <c r="X67" s="283">
        <v>1</v>
      </c>
      <c r="Y67" s="283">
        <v>1</v>
      </c>
      <c r="Z67" s="374">
        <v>45916</v>
      </c>
      <c r="AA67" s="719" t="s">
        <v>612</v>
      </c>
    </row>
    <row r="68" spans="1:27" ht="39.75" customHeight="1">
      <c r="A68" s="300" t="s">
        <v>613</v>
      </c>
      <c r="B68" s="799" t="s">
        <v>80</v>
      </c>
      <c r="C68" s="20">
        <v>45960</v>
      </c>
      <c r="D68" s="20" t="s">
        <v>125</v>
      </c>
      <c r="E68" s="20">
        <v>45945</v>
      </c>
      <c r="F68" s="19" t="s">
        <v>90</v>
      </c>
      <c r="G68" s="532" t="s">
        <v>614</v>
      </c>
      <c r="H68" s="21">
        <v>0</v>
      </c>
      <c r="I68" s="21" t="s">
        <v>200</v>
      </c>
      <c r="J68" s="21" t="s">
        <v>55</v>
      </c>
      <c r="K68" s="302">
        <v>45936</v>
      </c>
      <c r="L68" s="316" t="s">
        <v>56</v>
      </c>
      <c r="M68" s="349">
        <v>4235.8</v>
      </c>
      <c r="N68" s="346">
        <v>3228.9</v>
      </c>
      <c r="O68" s="1322" t="s">
        <v>56</v>
      </c>
      <c r="P68" s="1325" t="s">
        <v>201</v>
      </c>
      <c r="Q68" s="367">
        <v>45939</v>
      </c>
      <c r="R68" s="336">
        <v>228</v>
      </c>
      <c r="S68" s="336">
        <v>240</v>
      </c>
      <c r="T68" s="716">
        <v>0</v>
      </c>
      <c r="U68" s="652">
        <v>1.05</v>
      </c>
      <c r="V68" s="540">
        <v>45926</v>
      </c>
      <c r="W68" s="283">
        <v>1</v>
      </c>
      <c r="X68" s="283">
        <v>1</v>
      </c>
      <c r="Y68" s="369">
        <v>1</v>
      </c>
      <c r="Z68" s="22">
        <v>45972</v>
      </c>
      <c r="AA68" s="1292" t="s">
        <v>615</v>
      </c>
    </row>
    <row r="69" spans="1:27" ht="39.75" customHeight="1">
      <c r="A69" s="300" t="s">
        <v>616</v>
      </c>
      <c r="B69" s="19" t="s">
        <v>80</v>
      </c>
      <c r="C69" s="20">
        <v>45930</v>
      </c>
      <c r="D69" s="520" t="s">
        <v>125</v>
      </c>
      <c r="E69" s="20">
        <v>45902</v>
      </c>
      <c r="F69" s="19" t="s">
        <v>90</v>
      </c>
      <c r="G69" s="532"/>
      <c r="H69" s="21">
        <v>0</v>
      </c>
      <c r="I69" s="21" t="s">
        <v>200</v>
      </c>
      <c r="J69" s="21" t="s">
        <v>55</v>
      </c>
      <c r="K69" s="302">
        <v>45902</v>
      </c>
      <c r="L69" s="303" t="s">
        <v>56</v>
      </c>
      <c r="M69" s="349">
        <v>3067.9</v>
      </c>
      <c r="N69" s="346">
        <v>8729.7000000000007</v>
      </c>
      <c r="O69" s="303" t="s">
        <v>56</v>
      </c>
      <c r="P69" s="303" t="s">
        <v>201</v>
      </c>
      <c r="Q69" s="749">
        <v>45902</v>
      </c>
      <c r="R69" s="877">
        <v>662</v>
      </c>
      <c r="S69" s="883">
        <v>662</v>
      </c>
      <c r="T69" s="880">
        <v>0</v>
      </c>
      <c r="U69" s="704">
        <v>1</v>
      </c>
      <c r="V69" s="705">
        <v>45909</v>
      </c>
      <c r="W69" s="766">
        <v>1</v>
      </c>
      <c r="X69" s="766">
        <v>1</v>
      </c>
      <c r="Y69" s="766">
        <v>1</v>
      </c>
      <c r="Z69" s="470">
        <v>45926</v>
      </c>
      <c r="AA69" s="814" t="s">
        <v>617</v>
      </c>
    </row>
    <row r="70" spans="1:27" ht="39.75" customHeight="1">
      <c r="A70" s="300" t="s">
        <v>618</v>
      </c>
      <c r="B70" s="301" t="s">
        <v>80</v>
      </c>
      <c r="C70" s="20">
        <v>45868</v>
      </c>
      <c r="D70" s="302" t="s">
        <v>125</v>
      </c>
      <c r="E70" s="302">
        <v>45849</v>
      </c>
      <c r="F70" s="513" t="s">
        <v>90</v>
      </c>
      <c r="G70" s="533" t="s">
        <v>619</v>
      </c>
      <c r="H70" s="303">
        <v>0</v>
      </c>
      <c r="I70" s="303" t="s">
        <v>200</v>
      </c>
      <c r="J70" s="303" t="s">
        <v>55</v>
      </c>
      <c r="K70" s="302">
        <v>45848</v>
      </c>
      <c r="L70" s="303" t="s">
        <v>56</v>
      </c>
      <c r="M70" s="349">
        <v>1206</v>
      </c>
      <c r="N70" s="346">
        <v>1195</v>
      </c>
      <c r="O70" s="303" t="s">
        <v>56</v>
      </c>
      <c r="P70" s="303" t="s">
        <v>201</v>
      </c>
      <c r="Q70" s="749">
        <v>45848</v>
      </c>
      <c r="R70" s="877">
        <v>90</v>
      </c>
      <c r="S70" s="877">
        <v>90</v>
      </c>
      <c r="T70" s="5">
        <v>0</v>
      </c>
      <c r="U70" s="704">
        <v>1</v>
      </c>
      <c r="V70" s="705">
        <v>45854</v>
      </c>
      <c r="W70" s="473">
        <v>1</v>
      </c>
      <c r="X70" s="473">
        <v>1</v>
      </c>
      <c r="Y70" s="473">
        <v>1</v>
      </c>
      <c r="Z70" s="284">
        <v>45898</v>
      </c>
      <c r="AA70" s="1096" t="s">
        <v>620</v>
      </c>
    </row>
    <row r="71" spans="1:27" ht="39.75" customHeight="1">
      <c r="A71" s="300" t="s">
        <v>621</v>
      </c>
      <c r="B71" s="301" t="s">
        <v>80</v>
      </c>
      <c r="C71" s="20">
        <v>45899</v>
      </c>
      <c r="D71" s="513" t="s">
        <v>125</v>
      </c>
      <c r="E71" s="513">
        <v>45882</v>
      </c>
      <c r="F71" s="301" t="s">
        <v>90</v>
      </c>
      <c r="G71" s="624" t="s">
        <v>622</v>
      </c>
      <c r="H71" s="303">
        <v>0</v>
      </c>
      <c r="I71" s="529" t="s">
        <v>200</v>
      </c>
      <c r="J71" s="303" t="s">
        <v>55</v>
      </c>
      <c r="K71" s="302" t="s">
        <v>343</v>
      </c>
      <c r="L71" s="303" t="s">
        <v>56</v>
      </c>
      <c r="M71" s="349">
        <v>18903.7</v>
      </c>
      <c r="N71" s="346">
        <v>7007.75</v>
      </c>
      <c r="O71" s="303" t="s">
        <v>56</v>
      </c>
      <c r="P71" s="303" t="s">
        <v>201</v>
      </c>
      <c r="Q71" s="749">
        <v>45882</v>
      </c>
      <c r="R71" s="472">
        <v>575</v>
      </c>
      <c r="S71" s="472">
        <v>575</v>
      </c>
      <c r="T71" s="5">
        <v>0</v>
      </c>
      <c r="U71" s="704">
        <v>1</v>
      </c>
      <c r="V71" s="705">
        <v>45887</v>
      </c>
      <c r="W71" s="473">
        <v>1</v>
      </c>
      <c r="X71" s="473">
        <v>1</v>
      </c>
      <c r="Y71" s="473">
        <v>1</v>
      </c>
      <c r="Z71" s="385">
        <v>45926</v>
      </c>
      <c r="AA71" s="505" t="s">
        <v>623</v>
      </c>
    </row>
    <row r="72" spans="1:27" ht="39.75" customHeight="1">
      <c r="A72" s="300" t="s">
        <v>624</v>
      </c>
      <c r="B72" s="301" t="s">
        <v>80</v>
      </c>
      <c r="C72" s="20">
        <v>45899</v>
      </c>
      <c r="D72" s="302" t="s">
        <v>125</v>
      </c>
      <c r="E72" s="20">
        <v>45806</v>
      </c>
      <c r="F72" s="301" t="s">
        <v>90</v>
      </c>
      <c r="G72" s="624" t="s">
        <v>625</v>
      </c>
      <c r="H72" s="303">
        <v>0</v>
      </c>
      <c r="I72" s="529" t="s">
        <v>200</v>
      </c>
      <c r="J72" s="303" t="s">
        <v>55</v>
      </c>
      <c r="K72" s="302" t="s">
        <v>626</v>
      </c>
      <c r="L72" s="303" t="s">
        <v>56</v>
      </c>
      <c r="M72" s="349">
        <v>21888.65</v>
      </c>
      <c r="N72" s="346">
        <v>21950.85</v>
      </c>
      <c r="O72" s="303" t="s">
        <v>56</v>
      </c>
      <c r="P72" s="303" t="s">
        <v>201</v>
      </c>
      <c r="Q72" s="130">
        <v>45824</v>
      </c>
      <c r="R72" s="46">
        <v>1669</v>
      </c>
      <c r="S72" s="510">
        <v>1701</v>
      </c>
      <c r="T72" s="5">
        <v>0</v>
      </c>
      <c r="U72" s="704">
        <v>1.02</v>
      </c>
      <c r="V72" s="540">
        <v>45833</v>
      </c>
      <c r="W72" s="283">
        <v>1</v>
      </c>
      <c r="X72" s="283">
        <v>1</v>
      </c>
      <c r="Y72" s="283">
        <v>1</v>
      </c>
      <c r="Z72" s="385">
        <v>45926</v>
      </c>
      <c r="AA72" s="505" t="s">
        <v>627</v>
      </c>
    </row>
    <row r="73" spans="1:27" ht="39.75" customHeight="1">
      <c r="A73" s="300" t="s">
        <v>628</v>
      </c>
      <c r="B73" s="19" t="s">
        <v>80</v>
      </c>
      <c r="C73" s="20">
        <v>45792</v>
      </c>
      <c r="D73" s="308" t="s">
        <v>102</v>
      </c>
      <c r="E73" s="308">
        <v>45695</v>
      </c>
      <c r="F73" s="308" t="s">
        <v>90</v>
      </c>
      <c r="G73" s="309" t="s">
        <v>629</v>
      </c>
      <c r="H73" s="21">
        <v>0</v>
      </c>
      <c r="I73" s="307" t="s">
        <v>201</v>
      </c>
      <c r="J73" s="21" t="s">
        <v>55</v>
      </c>
      <c r="K73" s="19" t="s">
        <v>201</v>
      </c>
      <c r="L73" s="21" t="s">
        <v>56</v>
      </c>
      <c r="M73" s="346">
        <v>3425.55</v>
      </c>
      <c r="N73" s="429">
        <v>7741.4</v>
      </c>
      <c r="O73" s="21" t="s">
        <v>56</v>
      </c>
      <c r="P73" s="21" t="s">
        <v>201</v>
      </c>
      <c r="Q73" s="132">
        <v>45689</v>
      </c>
      <c r="R73" s="5">
        <v>73</v>
      </c>
      <c r="S73" s="18">
        <v>73</v>
      </c>
      <c r="T73" s="37">
        <v>0</v>
      </c>
      <c r="U73" s="524">
        <f>IFERROR(Table4[[#This Row],[Actual Redline Completed Footage UG]]/Table4[[#This Row],[Footage UG]], 0)</f>
        <v>1</v>
      </c>
      <c r="V73" s="22">
        <v>45698</v>
      </c>
      <c r="W73" s="8">
        <v>1</v>
      </c>
      <c r="X73" s="8">
        <v>1</v>
      </c>
      <c r="Y73" s="8">
        <v>1</v>
      </c>
      <c r="Z73" s="284">
        <v>45835</v>
      </c>
      <c r="AA73" s="12"/>
    </row>
    <row r="74" spans="1:27" ht="39.75" customHeight="1">
      <c r="A74" s="300" t="s">
        <v>630</v>
      </c>
      <c r="B74" s="301" t="s">
        <v>80</v>
      </c>
      <c r="C74" s="302">
        <v>45787</v>
      </c>
      <c r="D74" s="513" t="s">
        <v>102</v>
      </c>
      <c r="E74" s="20">
        <v>45763</v>
      </c>
      <c r="F74" s="513" t="s">
        <v>107</v>
      </c>
      <c r="G74" s="448" t="s">
        <v>631</v>
      </c>
      <c r="H74" s="303">
        <v>0</v>
      </c>
      <c r="I74" s="529" t="s">
        <v>200</v>
      </c>
      <c r="J74" s="303" t="s">
        <v>55</v>
      </c>
      <c r="K74" s="301" t="s">
        <v>201</v>
      </c>
      <c r="L74" s="303" t="s">
        <v>56</v>
      </c>
      <c r="M74" s="349">
        <v>3707.3</v>
      </c>
      <c r="N74" s="346">
        <v>8209.69</v>
      </c>
      <c r="O74" s="303" t="s">
        <v>56</v>
      </c>
      <c r="P74" s="303" t="s">
        <v>201</v>
      </c>
      <c r="Q74" s="130">
        <v>45763</v>
      </c>
      <c r="R74" s="39">
        <v>143</v>
      </c>
      <c r="S74" s="39">
        <v>143</v>
      </c>
      <c r="T74" s="5">
        <v>0</v>
      </c>
      <c r="U74" s="524">
        <f>IFERROR(Table4[[#This Row],[Actual Redline Completed Footage UG]]/Table4[[#This Row],[Footage UG]], 0)</f>
        <v>1</v>
      </c>
      <c r="V74" s="22">
        <v>45768</v>
      </c>
      <c r="W74" s="8">
        <v>0</v>
      </c>
      <c r="X74" s="8">
        <v>0</v>
      </c>
      <c r="Y74" s="8">
        <v>1</v>
      </c>
      <c r="Z74" s="385">
        <v>45926</v>
      </c>
      <c r="AA74" s="505" t="s">
        <v>597</v>
      </c>
    </row>
    <row r="75" spans="1:27" ht="39.75" customHeight="1">
      <c r="A75" s="465" t="s">
        <v>632</v>
      </c>
      <c r="B75" s="19" t="s">
        <v>80</v>
      </c>
      <c r="C75" s="20">
        <v>45688</v>
      </c>
      <c r="D75" s="20" t="s">
        <v>497</v>
      </c>
      <c r="E75" s="20">
        <v>45682</v>
      </c>
      <c r="F75" s="520" t="s">
        <v>90</v>
      </c>
      <c r="G75" s="448" t="s">
        <v>633</v>
      </c>
      <c r="H75" s="21">
        <v>48</v>
      </c>
      <c r="I75" s="522" t="s">
        <v>480</v>
      </c>
      <c r="J75" s="21" t="s">
        <v>67</v>
      </c>
      <c r="K75" s="19" t="s">
        <v>201</v>
      </c>
      <c r="L75" s="21" t="s">
        <v>56</v>
      </c>
      <c r="M75" s="346">
        <v>21648.75</v>
      </c>
      <c r="N75" s="429">
        <v>35235</v>
      </c>
      <c r="O75" s="21" t="s">
        <v>56</v>
      </c>
      <c r="P75" s="21" t="s">
        <v>201</v>
      </c>
      <c r="Q75" s="132">
        <v>45678</v>
      </c>
      <c r="R75" s="6">
        <v>2264</v>
      </c>
      <c r="S75" s="33">
        <v>2163</v>
      </c>
      <c r="T75" s="37">
        <v>0</v>
      </c>
      <c r="U75" s="524">
        <f>IFERROR(Table4[[#This Row],[Actual Redline Completed Footage UG]]/Table4[[#This Row],[Footage UG]], 0)</f>
        <v>0.95538869257950532</v>
      </c>
      <c r="V75" s="22">
        <v>45681</v>
      </c>
      <c r="W75" s="8">
        <v>1</v>
      </c>
      <c r="X75" s="8">
        <v>1</v>
      </c>
      <c r="Y75" s="8">
        <v>1</v>
      </c>
      <c r="Z75" s="284">
        <v>45818</v>
      </c>
      <c r="AA75" s="12"/>
    </row>
    <row r="76" spans="1:27" ht="39.75" customHeight="1">
      <c r="A76" s="300" t="s">
        <v>634</v>
      </c>
      <c r="B76" s="305" t="s">
        <v>50</v>
      </c>
      <c r="C76" s="302">
        <v>45838</v>
      </c>
      <c r="D76" s="302" t="s">
        <v>574</v>
      </c>
      <c r="E76" s="302">
        <v>45818</v>
      </c>
      <c r="F76" s="301" t="s">
        <v>635</v>
      </c>
      <c r="G76" s="301" t="s">
        <v>636</v>
      </c>
      <c r="H76" s="303">
        <v>56</v>
      </c>
      <c r="I76" s="303" t="s">
        <v>200</v>
      </c>
      <c r="J76" s="303" t="s">
        <v>55</v>
      </c>
      <c r="K76" s="302">
        <v>45817</v>
      </c>
      <c r="L76" s="303" t="s">
        <v>56</v>
      </c>
      <c r="M76" s="349">
        <v>75953</v>
      </c>
      <c r="N76" s="349">
        <v>61562</v>
      </c>
      <c r="O76" s="303" t="s">
        <v>56</v>
      </c>
      <c r="P76" s="303" t="s">
        <v>201</v>
      </c>
      <c r="Q76" s="516">
        <v>45817</v>
      </c>
      <c r="R76" s="368">
        <v>6005</v>
      </c>
      <c r="S76" s="368">
        <v>6044</v>
      </c>
      <c r="T76" s="11">
        <v>0</v>
      </c>
      <c r="U76" s="704">
        <v>1.01</v>
      </c>
      <c r="V76" s="516">
        <v>45824</v>
      </c>
      <c r="W76" s="283">
        <v>1</v>
      </c>
      <c r="X76" s="283">
        <v>1</v>
      </c>
      <c r="Y76" s="283">
        <v>1</v>
      </c>
      <c r="Z76" s="367">
        <v>45868</v>
      </c>
      <c r="AA76" s="12"/>
    </row>
    <row r="77" spans="1:27" ht="39.75" customHeight="1">
      <c r="A77" s="300" t="s">
        <v>637</v>
      </c>
      <c r="B77" s="305" t="s">
        <v>50</v>
      </c>
      <c r="C77" s="302">
        <v>45868</v>
      </c>
      <c r="D77" s="19" t="s">
        <v>638</v>
      </c>
      <c r="E77" s="20">
        <v>45719</v>
      </c>
      <c r="F77" s="19" t="s">
        <v>635</v>
      </c>
      <c r="G77" s="463" t="s">
        <v>639</v>
      </c>
      <c r="H77" s="21">
        <v>60</v>
      </c>
      <c r="I77" s="21" t="s">
        <v>200</v>
      </c>
      <c r="J77" s="21" t="s">
        <v>55</v>
      </c>
      <c r="K77" s="20">
        <v>45716</v>
      </c>
      <c r="L77" s="21" t="s">
        <v>56</v>
      </c>
      <c r="M77" s="346">
        <v>64727</v>
      </c>
      <c r="N77" s="429">
        <v>68203</v>
      </c>
      <c r="O77" s="21" t="s">
        <v>56</v>
      </c>
      <c r="P77" s="303" t="s">
        <v>201</v>
      </c>
      <c r="Q77" s="132">
        <v>45719</v>
      </c>
      <c r="R77" s="481">
        <v>5853</v>
      </c>
      <c r="S77" s="46">
        <v>5975</v>
      </c>
      <c r="T77" s="645">
        <v>0</v>
      </c>
      <c r="U77" s="692">
        <v>1.02</v>
      </c>
      <c r="V77" s="22">
        <v>45741</v>
      </c>
      <c r="W77" s="8">
        <v>1</v>
      </c>
      <c r="X77" s="8">
        <v>1</v>
      </c>
      <c r="Y77" s="8">
        <v>1</v>
      </c>
      <c r="Z77" s="385">
        <v>45868</v>
      </c>
      <c r="AA77" s="12"/>
    </row>
    <row r="78" spans="1:27" ht="39.75" customHeight="1">
      <c r="A78" s="300" t="s">
        <v>640</v>
      </c>
      <c r="B78" s="305" t="s">
        <v>50</v>
      </c>
      <c r="C78" s="20">
        <v>45807</v>
      </c>
      <c r="D78" s="19" t="s">
        <v>440</v>
      </c>
      <c r="E78" s="20">
        <v>45727</v>
      </c>
      <c r="F78" s="19" t="s">
        <v>641</v>
      </c>
      <c r="G78" s="463" t="s">
        <v>642</v>
      </c>
      <c r="H78" s="21">
        <v>80</v>
      </c>
      <c r="I78" s="21" t="s">
        <v>201</v>
      </c>
      <c r="J78" s="21" t="s">
        <v>55</v>
      </c>
      <c r="K78" s="20">
        <v>45728</v>
      </c>
      <c r="L78" s="21" t="s">
        <v>56</v>
      </c>
      <c r="M78" s="346">
        <v>88033.5</v>
      </c>
      <c r="N78" s="429">
        <v>88045.5</v>
      </c>
      <c r="O78" s="21" t="s">
        <v>56</v>
      </c>
      <c r="P78" s="21" t="s">
        <v>201</v>
      </c>
      <c r="Q78" s="540">
        <v>45727</v>
      </c>
      <c r="R78" s="10">
        <v>7442</v>
      </c>
      <c r="S78" s="10">
        <v>7447</v>
      </c>
      <c r="T78" s="280">
        <v>0</v>
      </c>
      <c r="U78" s="524">
        <f>IFERROR(Table4[[#This Row],[Actual Redline Completed Footage UG]]/Table4[[#This Row],[Footage UG]], 0)</f>
        <v>1.0006718624025799</v>
      </c>
      <c r="V78" s="22">
        <v>45740</v>
      </c>
      <c r="W78" s="4">
        <v>1</v>
      </c>
      <c r="X78" s="4">
        <v>1</v>
      </c>
      <c r="Y78" s="4">
        <v>1</v>
      </c>
      <c r="Z78" s="284">
        <v>45791</v>
      </c>
      <c r="AA78" s="12"/>
    </row>
    <row r="79" spans="1:27" ht="39.75" customHeight="1">
      <c r="A79" s="300" t="s">
        <v>643</v>
      </c>
      <c r="B79" s="305" t="s">
        <v>50</v>
      </c>
      <c r="C79" s="20">
        <v>45807</v>
      </c>
      <c r="D79" s="19" t="s">
        <v>102</v>
      </c>
      <c r="E79" s="20">
        <v>45727</v>
      </c>
      <c r="F79" s="19" t="s">
        <v>52</v>
      </c>
      <c r="G79" s="463" t="s">
        <v>644</v>
      </c>
      <c r="H79" s="21">
        <v>90</v>
      </c>
      <c r="I79" s="21" t="s">
        <v>201</v>
      </c>
      <c r="J79" s="21" t="s">
        <v>55</v>
      </c>
      <c r="K79" s="20">
        <v>45728</v>
      </c>
      <c r="L79" s="21" t="s">
        <v>56</v>
      </c>
      <c r="M79" s="346">
        <v>82979.5</v>
      </c>
      <c r="N79" s="429">
        <v>78032</v>
      </c>
      <c r="O79" s="21" t="s">
        <v>56</v>
      </c>
      <c r="P79" s="303" t="s">
        <v>201</v>
      </c>
      <c r="Q79" s="132">
        <v>45728</v>
      </c>
      <c r="R79" s="6">
        <v>6524</v>
      </c>
      <c r="S79" s="386">
        <v>6492</v>
      </c>
      <c r="T79" s="518">
        <v>0</v>
      </c>
      <c r="U79" s="519">
        <f>IFERROR(Table4[[#This Row],[Actual Redline Completed Footage UG]]/Table4[[#This Row],[Footage UG]], 0)</f>
        <v>0.99509503372164321</v>
      </c>
      <c r="V79" s="132">
        <v>45740</v>
      </c>
      <c r="W79" s="8">
        <v>1</v>
      </c>
      <c r="X79" s="8">
        <v>1</v>
      </c>
      <c r="Y79" s="8">
        <v>1</v>
      </c>
      <c r="Z79" s="284">
        <v>45916</v>
      </c>
      <c r="AA79" s="828" t="s">
        <v>645</v>
      </c>
    </row>
    <row r="80" spans="1:27" ht="39.75" customHeight="1">
      <c r="A80" s="300" t="s">
        <v>646</v>
      </c>
      <c r="B80" s="531" t="s">
        <v>50</v>
      </c>
      <c r="C80" s="513">
        <v>45838</v>
      </c>
      <c r="D80" s="19" t="s">
        <v>647</v>
      </c>
      <c r="E80" s="20">
        <v>45727</v>
      </c>
      <c r="F80" s="19" t="s">
        <v>52</v>
      </c>
      <c r="G80" s="530" t="s">
        <v>648</v>
      </c>
      <c r="H80" s="21">
        <v>71</v>
      </c>
      <c r="I80" s="522" t="s">
        <v>200</v>
      </c>
      <c r="J80" s="21" t="s">
        <v>55</v>
      </c>
      <c r="K80" s="20">
        <v>45728</v>
      </c>
      <c r="L80" s="21" t="s">
        <v>56</v>
      </c>
      <c r="M80" s="346">
        <v>60843.5</v>
      </c>
      <c r="N80" s="429">
        <v>59355.5</v>
      </c>
      <c r="O80" s="21" t="s">
        <v>56</v>
      </c>
      <c r="P80" s="303" t="s">
        <v>201</v>
      </c>
      <c r="Q80" s="540">
        <v>45722</v>
      </c>
      <c r="R80" s="680">
        <v>4979</v>
      </c>
      <c r="S80" s="368">
        <v>5020</v>
      </c>
      <c r="T80" s="518">
        <v>0</v>
      </c>
      <c r="U80" s="519">
        <v>1.01</v>
      </c>
      <c r="V80" s="852">
        <v>45741</v>
      </c>
      <c r="W80" s="524">
        <v>1</v>
      </c>
      <c r="X80" s="524">
        <v>1</v>
      </c>
      <c r="Y80" s="8">
        <v>1</v>
      </c>
      <c r="Z80" s="284" t="s">
        <v>442</v>
      </c>
      <c r="AA80" s="1095" t="s">
        <v>649</v>
      </c>
    </row>
    <row r="81" spans="1:27" ht="39.75" customHeight="1">
      <c r="A81" s="300" t="s">
        <v>650</v>
      </c>
      <c r="B81" s="531" t="s">
        <v>50</v>
      </c>
      <c r="C81" s="20">
        <v>45742</v>
      </c>
      <c r="D81" s="19" t="s">
        <v>647</v>
      </c>
      <c r="E81" s="20">
        <v>45716</v>
      </c>
      <c r="F81" s="19" t="s">
        <v>651</v>
      </c>
      <c r="G81" s="530" t="s">
        <v>652</v>
      </c>
      <c r="H81" s="21">
        <v>87</v>
      </c>
      <c r="I81" s="21" t="s">
        <v>201</v>
      </c>
      <c r="J81" s="21" t="s">
        <v>55</v>
      </c>
      <c r="K81" s="20">
        <v>45716</v>
      </c>
      <c r="L81" s="21" t="s">
        <v>56</v>
      </c>
      <c r="M81" s="346">
        <v>74446</v>
      </c>
      <c r="N81" s="443">
        <v>73894</v>
      </c>
      <c r="O81" s="21" t="s">
        <v>56</v>
      </c>
      <c r="P81" s="303" t="s">
        <v>201</v>
      </c>
      <c r="Q81" s="132">
        <v>45723</v>
      </c>
      <c r="R81" s="481">
        <v>6149</v>
      </c>
      <c r="S81" s="46">
        <v>6362</v>
      </c>
      <c r="T81" s="573">
        <v>0</v>
      </c>
      <c r="U81" s="1053">
        <f>IFERROR(Table4[[#This Row],[Actual Redline Completed Footage UG]]/Table4[[#This Row],[Footage UG]], 0)</f>
        <v>1.0346397788258253</v>
      </c>
      <c r="V81" s="22">
        <v>45733</v>
      </c>
      <c r="W81" s="4">
        <v>1</v>
      </c>
      <c r="X81" s="4">
        <v>1</v>
      </c>
      <c r="Y81" s="4">
        <v>1</v>
      </c>
      <c r="Z81" s="482">
        <v>45859</v>
      </c>
      <c r="AA81" s="12"/>
    </row>
    <row r="82" spans="1:27" ht="39.75" customHeight="1">
      <c r="A82" s="300" t="s">
        <v>653</v>
      </c>
      <c r="B82" s="305" t="s">
        <v>50</v>
      </c>
      <c r="C82" s="20">
        <v>45772</v>
      </c>
      <c r="D82" s="19" t="s">
        <v>102</v>
      </c>
      <c r="E82" s="20">
        <v>45716</v>
      </c>
      <c r="F82" s="19" t="s">
        <v>52</v>
      </c>
      <c r="G82" s="306" t="s">
        <v>654</v>
      </c>
      <c r="H82" s="21">
        <v>83</v>
      </c>
      <c r="I82" s="307" t="s">
        <v>201</v>
      </c>
      <c r="J82" s="21" t="s">
        <v>55</v>
      </c>
      <c r="K82" s="484">
        <v>45716</v>
      </c>
      <c r="L82" s="21" t="s">
        <v>56</v>
      </c>
      <c r="M82" s="536">
        <v>84935.5</v>
      </c>
      <c r="N82" s="444">
        <v>81445</v>
      </c>
      <c r="O82" s="21" t="s">
        <v>56</v>
      </c>
      <c r="P82" s="303" t="s">
        <v>201</v>
      </c>
      <c r="Q82" s="130">
        <v>45726</v>
      </c>
      <c r="R82" s="46">
        <v>7049</v>
      </c>
      <c r="S82" s="46">
        <v>7081</v>
      </c>
      <c r="T82" s="6">
        <v>0</v>
      </c>
      <c r="U82" s="524">
        <f>IFERROR(Table4[[#This Row],[Actual Redline Completed Footage UG]]/Table4[[#This Row],[Footage UG]], 0)</f>
        <v>1.0045396510143283</v>
      </c>
      <c r="V82" s="22">
        <v>45740</v>
      </c>
      <c r="W82" s="4">
        <v>1</v>
      </c>
      <c r="X82" s="4">
        <v>1</v>
      </c>
      <c r="Y82" s="4">
        <v>1</v>
      </c>
      <c r="Z82" s="284">
        <v>45770</v>
      </c>
      <c r="AA82" s="12"/>
    </row>
    <row r="83" spans="1:27" ht="39.75" customHeight="1">
      <c r="A83" s="538" t="s">
        <v>655</v>
      </c>
      <c r="B83" s="305" t="s">
        <v>50</v>
      </c>
      <c r="C83" s="20">
        <v>45772</v>
      </c>
      <c r="D83" s="308" t="s">
        <v>656</v>
      </c>
      <c r="E83" s="308">
        <v>45693</v>
      </c>
      <c r="F83" s="19" t="s">
        <v>52</v>
      </c>
      <c r="G83" s="447" t="s">
        <v>657</v>
      </c>
      <c r="H83" s="307">
        <v>86</v>
      </c>
      <c r="I83" s="304" t="s">
        <v>200</v>
      </c>
      <c r="J83" s="307" t="s">
        <v>55</v>
      </c>
      <c r="K83" s="308">
        <v>45714</v>
      </c>
      <c r="L83" s="307" t="s">
        <v>56</v>
      </c>
      <c r="M83" s="506">
        <v>94170.5</v>
      </c>
      <c r="N83" s="1064">
        <v>90860.5</v>
      </c>
      <c r="O83" s="307" t="s">
        <v>56</v>
      </c>
      <c r="P83" s="303" t="s">
        <v>201</v>
      </c>
      <c r="Q83" s="540">
        <v>45693</v>
      </c>
      <c r="R83" s="384">
        <v>7980</v>
      </c>
      <c r="S83" s="382">
        <v>7901</v>
      </c>
      <c r="T83" s="645">
        <v>0</v>
      </c>
      <c r="U83" s="4">
        <v>0.99</v>
      </c>
      <c r="V83" s="540">
        <v>45713</v>
      </c>
      <c r="W83" s="369">
        <v>1</v>
      </c>
      <c r="X83" s="369">
        <v>1</v>
      </c>
      <c r="Y83" s="4">
        <v>1</v>
      </c>
      <c r="Z83" s="284" t="s">
        <v>442</v>
      </c>
      <c r="AA83" s="28" t="s">
        <v>658</v>
      </c>
    </row>
    <row r="84" spans="1:27" ht="39.75" customHeight="1">
      <c r="A84" s="537" t="s">
        <v>659</v>
      </c>
      <c r="B84" s="531" t="s">
        <v>50</v>
      </c>
      <c r="C84" s="20">
        <v>45772</v>
      </c>
      <c r="D84" s="20" t="s">
        <v>102</v>
      </c>
      <c r="E84" s="520">
        <v>45685</v>
      </c>
      <c r="F84" s="520" t="s">
        <v>52</v>
      </c>
      <c r="G84" s="521" t="s">
        <v>660</v>
      </c>
      <c r="H84" s="522">
        <v>76</v>
      </c>
      <c r="I84" s="529" t="s">
        <v>200</v>
      </c>
      <c r="J84" s="522" t="s">
        <v>55</v>
      </c>
      <c r="K84" s="520">
        <v>45692</v>
      </c>
      <c r="L84" s="522" t="s">
        <v>56</v>
      </c>
      <c r="M84" s="525">
        <v>90302</v>
      </c>
      <c r="N84" s="346">
        <v>98764.5</v>
      </c>
      <c r="O84" s="522" t="s">
        <v>56</v>
      </c>
      <c r="P84" s="303" t="s">
        <v>201</v>
      </c>
      <c r="Q84" s="133">
        <v>45694</v>
      </c>
      <c r="R84" s="713">
        <v>8420</v>
      </c>
      <c r="S84" s="822">
        <v>8553</v>
      </c>
      <c r="T84" s="5">
        <v>0</v>
      </c>
      <c r="U84" s="524">
        <f>IFERROR(Table4[[#This Row],[Actual Redline Completed Footage UG]]/Table4[[#This Row],[Footage UG]], 0)</f>
        <v>1.0157957244655582</v>
      </c>
      <c r="V84" s="22">
        <v>45709</v>
      </c>
      <c r="W84" s="519">
        <v>1</v>
      </c>
      <c r="X84" s="519">
        <v>1</v>
      </c>
      <c r="Y84" s="519">
        <v>1</v>
      </c>
      <c r="Z84" s="284">
        <v>45867</v>
      </c>
      <c r="AA84" s="1095" t="s">
        <v>661</v>
      </c>
    </row>
    <row r="85" spans="1:27" ht="39.75" customHeight="1">
      <c r="A85" s="538" t="s">
        <v>662</v>
      </c>
      <c r="B85" s="305" t="s">
        <v>50</v>
      </c>
      <c r="C85" s="20">
        <v>45772</v>
      </c>
      <c r="D85" s="308" t="s">
        <v>656</v>
      </c>
      <c r="E85" s="308">
        <v>45698</v>
      </c>
      <c r="F85" s="20" t="s">
        <v>52</v>
      </c>
      <c r="G85" s="447" t="s">
        <v>663</v>
      </c>
      <c r="H85" s="307">
        <v>89</v>
      </c>
      <c r="I85" s="307" t="s">
        <v>200</v>
      </c>
      <c r="J85" s="307" t="s">
        <v>55</v>
      </c>
      <c r="K85" s="308">
        <v>45695</v>
      </c>
      <c r="L85" s="307" t="s">
        <v>56</v>
      </c>
      <c r="M85" s="1274">
        <v>89698.5</v>
      </c>
      <c r="N85" s="429">
        <v>86876.5</v>
      </c>
      <c r="O85" s="307" t="s">
        <v>56</v>
      </c>
      <c r="P85" s="303" t="s">
        <v>201</v>
      </c>
      <c r="Q85" s="540">
        <v>45694</v>
      </c>
      <c r="R85" s="384">
        <v>7562</v>
      </c>
      <c r="S85" s="382">
        <v>7556</v>
      </c>
      <c r="T85" s="518">
        <v>0</v>
      </c>
      <c r="U85" s="4">
        <v>1</v>
      </c>
      <c r="V85" s="540">
        <v>45709</v>
      </c>
      <c r="W85" s="369">
        <v>1</v>
      </c>
      <c r="X85" s="369">
        <v>1</v>
      </c>
      <c r="Y85" s="519">
        <v>1</v>
      </c>
      <c r="Z85" s="284" t="s">
        <v>442</v>
      </c>
      <c r="AA85" s="12" t="s">
        <v>664</v>
      </c>
    </row>
    <row r="86" spans="1:27" ht="39.75" customHeight="1">
      <c r="A86" s="538" t="s">
        <v>665</v>
      </c>
      <c r="B86" s="305" t="s">
        <v>50</v>
      </c>
      <c r="C86" s="20">
        <v>45772</v>
      </c>
      <c r="D86" s="20" t="s">
        <v>647</v>
      </c>
      <c r="E86" s="520">
        <v>45695</v>
      </c>
      <c r="F86" s="19" t="s">
        <v>651</v>
      </c>
      <c r="G86" s="447" t="s">
        <v>663</v>
      </c>
      <c r="H86" s="307">
        <v>86</v>
      </c>
      <c r="I86" s="307" t="s">
        <v>200</v>
      </c>
      <c r="J86" s="307" t="s">
        <v>55</v>
      </c>
      <c r="K86" s="308">
        <v>45698</v>
      </c>
      <c r="L86" s="307" t="s">
        <v>56</v>
      </c>
      <c r="M86" s="506">
        <v>71361</v>
      </c>
      <c r="N86" s="429">
        <v>72125</v>
      </c>
      <c r="O86" s="307" t="s">
        <v>56</v>
      </c>
      <c r="P86" s="21" t="s">
        <v>201</v>
      </c>
      <c r="Q86" s="132">
        <v>45688</v>
      </c>
      <c r="R86" s="313">
        <v>6214</v>
      </c>
      <c r="S86" s="313">
        <v>6214</v>
      </c>
      <c r="T86" s="37">
        <v>0</v>
      </c>
      <c r="U86" s="524">
        <f>IFERROR(Table4[[#This Row],[Actual Redline Completed Footage UG]]/Table4[[#This Row],[Footage UG]], 0)</f>
        <v>1</v>
      </c>
      <c r="V86" s="22">
        <v>45708</v>
      </c>
      <c r="W86" s="4">
        <v>1</v>
      </c>
      <c r="X86" s="4">
        <v>1</v>
      </c>
      <c r="Y86" s="4">
        <v>1</v>
      </c>
      <c r="Z86" s="284">
        <v>45791</v>
      </c>
      <c r="AA86" s="12"/>
    </row>
    <row r="87" spans="1:27" ht="39.75" customHeight="1">
      <c r="A87" s="537" t="s">
        <v>666</v>
      </c>
      <c r="B87" s="531" t="s">
        <v>50</v>
      </c>
      <c r="C87" s="20">
        <v>45772</v>
      </c>
      <c r="D87" s="20" t="s">
        <v>647</v>
      </c>
      <c r="E87" s="520">
        <v>45686</v>
      </c>
      <c r="F87" s="19" t="s">
        <v>52</v>
      </c>
      <c r="G87" s="521" t="s">
        <v>667</v>
      </c>
      <c r="H87" s="522">
        <v>77</v>
      </c>
      <c r="I87" s="529" t="s">
        <v>200</v>
      </c>
      <c r="J87" s="522" t="s">
        <v>55</v>
      </c>
      <c r="K87" s="520">
        <v>45686</v>
      </c>
      <c r="L87" s="522" t="s">
        <v>56</v>
      </c>
      <c r="M87" s="525">
        <v>61924</v>
      </c>
      <c r="N87" s="429">
        <v>61494</v>
      </c>
      <c r="O87" s="522" t="s">
        <v>56</v>
      </c>
      <c r="P87" s="303" t="s">
        <v>201</v>
      </c>
      <c r="Q87" s="540">
        <v>45692</v>
      </c>
      <c r="R87" s="683">
        <v>5005</v>
      </c>
      <c r="S87" s="761">
        <v>4996</v>
      </c>
      <c r="T87" s="518">
        <v>0</v>
      </c>
      <c r="U87" s="524">
        <v>1</v>
      </c>
      <c r="V87" s="374">
        <v>45708</v>
      </c>
      <c r="W87" s="524">
        <v>1</v>
      </c>
      <c r="X87" s="524">
        <v>1</v>
      </c>
      <c r="Y87" s="8">
        <v>1</v>
      </c>
      <c r="Z87" s="284" t="s">
        <v>442</v>
      </c>
      <c r="AA87" s="28" t="s">
        <v>668</v>
      </c>
    </row>
    <row r="88" spans="1:27" ht="39.75" customHeight="1">
      <c r="A88" s="538" t="s">
        <v>669</v>
      </c>
      <c r="B88" s="305" t="s">
        <v>50</v>
      </c>
      <c r="C88" s="20">
        <v>45772</v>
      </c>
      <c r="D88" s="308" t="s">
        <v>574</v>
      </c>
      <c r="E88" s="308">
        <v>45686</v>
      </c>
      <c r="F88" s="308" t="s">
        <v>635</v>
      </c>
      <c r="G88" s="447" t="s">
        <v>670</v>
      </c>
      <c r="H88" s="307">
        <v>81</v>
      </c>
      <c r="I88" s="304" t="s">
        <v>200</v>
      </c>
      <c r="J88" s="307" t="s">
        <v>55</v>
      </c>
      <c r="K88" s="308">
        <v>45700</v>
      </c>
      <c r="L88" s="307" t="s">
        <v>56</v>
      </c>
      <c r="M88" s="506">
        <v>76139.5</v>
      </c>
      <c r="N88" s="443">
        <v>79581.5</v>
      </c>
      <c r="O88" s="307" t="s">
        <v>56</v>
      </c>
      <c r="P88" s="303" t="s">
        <v>201</v>
      </c>
      <c r="Q88" s="540">
        <v>45692</v>
      </c>
      <c r="R88" s="384">
        <v>6303</v>
      </c>
      <c r="S88" s="382">
        <v>6761</v>
      </c>
      <c r="T88" s="37">
        <v>0</v>
      </c>
      <c r="U88" s="524">
        <f>IFERROR(Table4[[#This Row],[Actual Redline Completed Footage UG]]/Table4[[#This Row],[Footage UG]], 0)</f>
        <v>1.0726638108837061</v>
      </c>
      <c r="V88" s="374">
        <v>45700</v>
      </c>
      <c r="W88" s="369">
        <v>1</v>
      </c>
      <c r="X88" s="369">
        <v>1</v>
      </c>
      <c r="Y88" s="369">
        <v>1</v>
      </c>
      <c r="Z88" s="284">
        <v>45859</v>
      </c>
      <c r="AA88" s="28" t="s">
        <v>671</v>
      </c>
    </row>
    <row r="89" spans="1:27" ht="39.75" customHeight="1">
      <c r="A89" s="538" t="s">
        <v>672</v>
      </c>
      <c r="B89" s="305" t="s">
        <v>50</v>
      </c>
      <c r="C89" s="20">
        <v>45772</v>
      </c>
      <c r="D89" s="20" t="s">
        <v>102</v>
      </c>
      <c r="E89" s="308">
        <v>45685</v>
      </c>
      <c r="F89" s="19" t="s">
        <v>52</v>
      </c>
      <c r="G89" s="447" t="s">
        <v>673</v>
      </c>
      <c r="H89" s="307">
        <v>81</v>
      </c>
      <c r="I89" s="304" t="s">
        <v>200</v>
      </c>
      <c r="J89" s="307" t="s">
        <v>55</v>
      </c>
      <c r="K89" s="308">
        <v>45699</v>
      </c>
      <c r="L89" s="307" t="s">
        <v>56</v>
      </c>
      <c r="M89" s="506">
        <v>73583.5</v>
      </c>
      <c r="N89" s="429">
        <v>84066</v>
      </c>
      <c r="O89" s="620" t="s">
        <v>56</v>
      </c>
      <c r="P89" s="303" t="s">
        <v>201</v>
      </c>
      <c r="Q89" s="132">
        <v>45691</v>
      </c>
      <c r="R89" s="313">
        <v>6205</v>
      </c>
      <c r="S89" s="47">
        <v>6180</v>
      </c>
      <c r="T89" s="518">
        <v>0</v>
      </c>
      <c r="U89" s="692">
        <v>1</v>
      </c>
      <c r="V89" s="22">
        <v>45699</v>
      </c>
      <c r="W89" s="8">
        <v>1</v>
      </c>
      <c r="X89" s="8">
        <v>1</v>
      </c>
      <c r="Y89" s="8">
        <v>1</v>
      </c>
      <c r="Z89" s="284">
        <v>45916</v>
      </c>
      <c r="AA89" s="719" t="s">
        <v>674</v>
      </c>
    </row>
    <row r="90" spans="1:27" ht="39.75" customHeight="1">
      <c r="A90" s="537" t="s">
        <v>675</v>
      </c>
      <c r="B90" s="531" t="s">
        <v>50</v>
      </c>
      <c r="C90" s="20">
        <v>45772</v>
      </c>
      <c r="D90" s="520" t="s">
        <v>676</v>
      </c>
      <c r="E90" s="520">
        <v>45694</v>
      </c>
      <c r="F90" s="520" t="s">
        <v>52</v>
      </c>
      <c r="G90" s="521" t="s">
        <v>677</v>
      </c>
      <c r="H90" s="522">
        <v>84</v>
      </c>
      <c r="I90" s="529" t="s">
        <v>200</v>
      </c>
      <c r="J90" s="522" t="s">
        <v>55</v>
      </c>
      <c r="K90" s="520">
        <v>45698</v>
      </c>
      <c r="L90" s="522" t="s">
        <v>56</v>
      </c>
      <c r="M90" s="525">
        <v>63402.5</v>
      </c>
      <c r="N90" s="429">
        <v>62670.5</v>
      </c>
      <c r="O90" s="522" t="s">
        <v>56</v>
      </c>
      <c r="P90" s="303" t="s">
        <v>201</v>
      </c>
      <c r="Q90" s="540">
        <v>45695</v>
      </c>
      <c r="R90" s="680">
        <v>4979</v>
      </c>
      <c r="S90" s="761">
        <v>4984</v>
      </c>
      <c r="T90" s="518">
        <v>0</v>
      </c>
      <c r="U90" s="524">
        <v>1</v>
      </c>
      <c r="V90" s="374">
        <v>45714</v>
      </c>
      <c r="W90" s="524">
        <v>1</v>
      </c>
      <c r="X90" s="524">
        <v>1</v>
      </c>
      <c r="Y90" s="8">
        <v>1</v>
      </c>
      <c r="Z90" s="284" t="s">
        <v>442</v>
      </c>
      <c r="AA90" s="28" t="s">
        <v>678</v>
      </c>
    </row>
    <row r="91" spans="1:27" ht="39.75" customHeight="1">
      <c r="A91" s="300" t="s">
        <v>679</v>
      </c>
      <c r="B91" s="305" t="s">
        <v>50</v>
      </c>
      <c r="C91" s="308">
        <v>45688</v>
      </c>
      <c r="D91" s="308" t="s">
        <v>656</v>
      </c>
      <c r="E91" s="308">
        <v>45692</v>
      </c>
      <c r="F91" s="20" t="s">
        <v>641</v>
      </c>
      <c r="G91" s="447" t="s">
        <v>680</v>
      </c>
      <c r="H91" s="307">
        <v>90</v>
      </c>
      <c r="I91" s="307" t="s">
        <v>480</v>
      </c>
      <c r="J91" s="307" t="s">
        <v>55</v>
      </c>
      <c r="K91" s="19" t="s">
        <v>201</v>
      </c>
      <c r="L91" s="307" t="s">
        <v>56</v>
      </c>
      <c r="M91" s="506">
        <v>51958</v>
      </c>
      <c r="N91" s="429">
        <v>20330.259999999998</v>
      </c>
      <c r="O91" s="307" t="s">
        <v>56</v>
      </c>
      <c r="P91" s="21" t="s">
        <v>201</v>
      </c>
      <c r="Q91" s="132">
        <v>45694</v>
      </c>
      <c r="R91" s="313">
        <v>760</v>
      </c>
      <c r="S91" s="313">
        <v>708</v>
      </c>
      <c r="T91" s="37">
        <v>0</v>
      </c>
      <c r="U91" s="524">
        <f>IFERROR(Table4[[#This Row],[Actual Redline Completed Footage UG]]/Table4[[#This Row],[Footage UG]], 0)</f>
        <v>0.93157894736842106</v>
      </c>
      <c r="V91" s="22">
        <v>45729</v>
      </c>
      <c r="W91" s="4">
        <v>1</v>
      </c>
      <c r="X91" s="4">
        <v>1</v>
      </c>
      <c r="Y91" s="4">
        <v>1</v>
      </c>
      <c r="Z91" s="284">
        <v>45792</v>
      </c>
      <c r="AA91" s="28" t="s">
        <v>681</v>
      </c>
    </row>
    <row r="92" spans="1:27" ht="39.75" customHeight="1">
      <c r="A92" s="300" t="s">
        <v>682</v>
      </c>
      <c r="B92" s="531" t="s">
        <v>50</v>
      </c>
      <c r="C92" s="520">
        <v>45688</v>
      </c>
      <c r="D92" s="20" t="s">
        <v>683</v>
      </c>
      <c r="E92" s="520">
        <v>45685</v>
      </c>
      <c r="F92" s="520" t="s">
        <v>684</v>
      </c>
      <c r="G92" s="521" t="s">
        <v>685</v>
      </c>
      <c r="H92" s="21">
        <v>86</v>
      </c>
      <c r="I92" s="522" t="s">
        <v>480</v>
      </c>
      <c r="J92" s="21" t="s">
        <v>55</v>
      </c>
      <c r="K92" s="20">
        <v>45677</v>
      </c>
      <c r="L92" s="522" t="s">
        <v>56</v>
      </c>
      <c r="M92" s="346">
        <v>78075.5</v>
      </c>
      <c r="N92" s="346">
        <v>75360</v>
      </c>
      <c r="O92" s="522" t="s">
        <v>56</v>
      </c>
      <c r="P92" s="303" t="s">
        <v>201</v>
      </c>
      <c r="Q92" s="540">
        <v>45675</v>
      </c>
      <c r="R92" s="10">
        <v>6526</v>
      </c>
      <c r="S92" s="368">
        <v>6316</v>
      </c>
      <c r="T92" s="51">
        <v>0</v>
      </c>
      <c r="U92" s="652">
        <v>0.97</v>
      </c>
      <c r="V92" s="540">
        <v>45685</v>
      </c>
      <c r="W92" s="524">
        <v>1</v>
      </c>
      <c r="X92" s="524">
        <v>1</v>
      </c>
      <c r="Y92" s="654">
        <v>0</v>
      </c>
      <c r="Z92" s="367">
        <v>45894</v>
      </c>
      <c r="AA92" s="1097"/>
    </row>
    <row r="93" spans="1:27" ht="39.75" customHeight="1">
      <c r="A93" s="300" t="s">
        <v>686</v>
      </c>
      <c r="B93" s="531" t="s">
        <v>50</v>
      </c>
      <c r="C93" s="520">
        <v>45688</v>
      </c>
      <c r="D93" s="520" t="s">
        <v>687</v>
      </c>
      <c r="E93" s="520">
        <v>45692</v>
      </c>
      <c r="F93" s="520" t="s">
        <v>144</v>
      </c>
      <c r="G93" s="521" t="s">
        <v>688</v>
      </c>
      <c r="H93" s="21">
        <v>86</v>
      </c>
      <c r="I93" s="522" t="s">
        <v>480</v>
      </c>
      <c r="J93" s="21" t="s">
        <v>55</v>
      </c>
      <c r="K93" s="301" t="s">
        <v>201</v>
      </c>
      <c r="L93" s="522" t="s">
        <v>56</v>
      </c>
      <c r="M93" s="346">
        <v>82480.5</v>
      </c>
      <c r="N93" s="346">
        <v>77870.5</v>
      </c>
      <c r="O93" s="522" t="s">
        <v>56</v>
      </c>
      <c r="P93" s="303" t="s">
        <v>201</v>
      </c>
      <c r="Q93" s="132">
        <v>45675</v>
      </c>
      <c r="R93" s="6">
        <v>6390</v>
      </c>
      <c r="S93" s="446">
        <v>6114</v>
      </c>
      <c r="T93" s="5">
        <v>0</v>
      </c>
      <c r="U93" s="524">
        <f>IFERROR(Table4[[#This Row],[Actual Redline Completed Footage UG]]/Table4[[#This Row],[Footage UG]], 0)</f>
        <v>0.95680751173708922</v>
      </c>
      <c r="V93" s="22">
        <v>45687</v>
      </c>
      <c r="W93" s="519">
        <v>1</v>
      </c>
      <c r="X93" s="519">
        <v>1</v>
      </c>
      <c r="Y93" s="519">
        <v>1</v>
      </c>
      <c r="Z93" s="284">
        <v>45882</v>
      </c>
      <c r="AA93" s="646" t="s">
        <v>689</v>
      </c>
    </row>
    <row r="94" spans="1:27" ht="39.75" customHeight="1">
      <c r="A94" s="300" t="s">
        <v>690</v>
      </c>
      <c r="B94" s="1275" t="s">
        <v>50</v>
      </c>
      <c r="C94" s="513">
        <v>45688</v>
      </c>
      <c r="D94" s="513" t="s">
        <v>656</v>
      </c>
      <c r="E94" s="513">
        <v>45695</v>
      </c>
      <c r="F94" s="302" t="s">
        <v>52</v>
      </c>
      <c r="G94" s="624" t="s">
        <v>691</v>
      </c>
      <c r="H94" s="303">
        <v>88</v>
      </c>
      <c r="I94" s="529" t="s">
        <v>480</v>
      </c>
      <c r="J94" s="303" t="s">
        <v>55</v>
      </c>
      <c r="K94" s="301" t="s">
        <v>201</v>
      </c>
      <c r="L94" s="529" t="s">
        <v>56</v>
      </c>
      <c r="M94" s="349">
        <v>43130</v>
      </c>
      <c r="N94" s="346">
        <v>43560</v>
      </c>
      <c r="O94" s="529" t="s">
        <v>56</v>
      </c>
      <c r="P94" s="303" t="s">
        <v>201</v>
      </c>
      <c r="Q94" s="749">
        <v>45691</v>
      </c>
      <c r="R94" s="472">
        <v>2931</v>
      </c>
      <c r="S94" s="46">
        <v>3257</v>
      </c>
      <c r="T94" s="6">
        <v>0</v>
      </c>
      <c r="U94" s="864">
        <v>1.1100000000000001</v>
      </c>
      <c r="V94" s="61">
        <v>45750</v>
      </c>
      <c r="W94" s="704">
        <v>1</v>
      </c>
      <c r="X94" s="704">
        <v>1</v>
      </c>
      <c r="Y94" s="519">
        <v>1</v>
      </c>
      <c r="Z94" s="284" t="s">
        <v>442</v>
      </c>
      <c r="AA94" s="884" t="s">
        <v>692</v>
      </c>
    </row>
    <row r="95" spans="1:27" ht="39.75" customHeight="1">
      <c r="A95" s="300" t="s">
        <v>693</v>
      </c>
      <c r="B95" s="531" t="s">
        <v>50</v>
      </c>
      <c r="C95" s="520">
        <v>45688</v>
      </c>
      <c r="D95" s="20" t="s">
        <v>125</v>
      </c>
      <c r="E95" s="520">
        <v>45686</v>
      </c>
      <c r="F95" s="520" t="s">
        <v>52</v>
      </c>
      <c r="G95" s="521" t="s">
        <v>694</v>
      </c>
      <c r="H95" s="21">
        <v>88</v>
      </c>
      <c r="I95" s="522" t="s">
        <v>480</v>
      </c>
      <c r="J95" s="21" t="s">
        <v>55</v>
      </c>
      <c r="K95" s="527">
        <v>45706</v>
      </c>
      <c r="L95" s="522" t="s">
        <v>56</v>
      </c>
      <c r="M95" s="346">
        <v>69212.5</v>
      </c>
      <c r="N95" s="346">
        <v>70500</v>
      </c>
      <c r="O95" s="522" t="s">
        <v>56</v>
      </c>
      <c r="P95" s="303" t="s">
        <v>201</v>
      </c>
      <c r="Q95" s="705">
        <v>45679</v>
      </c>
      <c r="R95" s="772">
        <v>5661</v>
      </c>
      <c r="S95" s="46">
        <v>5752</v>
      </c>
      <c r="T95" s="6">
        <v>0</v>
      </c>
      <c r="U95" s="864">
        <v>1.02</v>
      </c>
      <c r="V95" s="22">
        <v>45681</v>
      </c>
      <c r="W95" s="519">
        <v>1</v>
      </c>
      <c r="X95" s="519">
        <v>1</v>
      </c>
      <c r="Y95" s="519">
        <v>1</v>
      </c>
      <c r="Z95" s="284" t="s">
        <v>442</v>
      </c>
      <c r="AA95" s="28" t="s">
        <v>695</v>
      </c>
    </row>
    <row r="96" spans="1:27" ht="39.75" customHeight="1">
      <c r="A96" s="300" t="s">
        <v>696</v>
      </c>
      <c r="B96" s="305" t="s">
        <v>50</v>
      </c>
      <c r="C96" s="20">
        <v>45772</v>
      </c>
      <c r="D96" s="19" t="s">
        <v>447</v>
      </c>
      <c r="E96" s="20">
        <v>45743</v>
      </c>
      <c r="F96" s="19" t="s">
        <v>697</v>
      </c>
      <c r="G96" s="306" t="s">
        <v>698</v>
      </c>
      <c r="H96" s="21">
        <v>85</v>
      </c>
      <c r="I96" s="307" t="s">
        <v>200</v>
      </c>
      <c r="J96" s="303" t="s">
        <v>55</v>
      </c>
      <c r="K96" s="20">
        <v>45741</v>
      </c>
      <c r="L96" s="303" t="s">
        <v>56</v>
      </c>
      <c r="M96" s="346">
        <v>74508.5</v>
      </c>
      <c r="N96" s="429">
        <v>75008.5</v>
      </c>
      <c r="O96" s="303" t="s">
        <v>56</v>
      </c>
      <c r="P96" s="303" t="s">
        <v>201</v>
      </c>
      <c r="Q96" s="132">
        <v>45749</v>
      </c>
      <c r="R96" s="6">
        <v>5795</v>
      </c>
      <c r="S96" s="46">
        <v>5411</v>
      </c>
      <c r="T96" s="83">
        <v>0</v>
      </c>
      <c r="U96" s="524">
        <v>0.93</v>
      </c>
      <c r="V96" s="22">
        <v>45763</v>
      </c>
      <c r="W96" s="4">
        <v>1</v>
      </c>
      <c r="X96" s="4">
        <v>1</v>
      </c>
      <c r="Y96" s="4">
        <v>1</v>
      </c>
      <c r="Z96" s="284" t="s">
        <v>442</v>
      </c>
      <c r="AA96" s="650" t="s">
        <v>699</v>
      </c>
    </row>
    <row r="97" spans="1:27" ht="39.75" customHeight="1">
      <c r="A97" s="300" t="s">
        <v>700</v>
      </c>
      <c r="B97" s="305" t="s">
        <v>50</v>
      </c>
      <c r="C97" s="20">
        <v>45772</v>
      </c>
      <c r="D97" s="19" t="s">
        <v>701</v>
      </c>
      <c r="E97" s="20">
        <v>45743</v>
      </c>
      <c r="F97" s="19" t="s">
        <v>144</v>
      </c>
      <c r="G97" s="306" t="s">
        <v>702</v>
      </c>
      <c r="H97" s="21">
        <v>88</v>
      </c>
      <c r="I97" s="307" t="s">
        <v>200</v>
      </c>
      <c r="J97" s="21" t="s">
        <v>55</v>
      </c>
      <c r="K97" s="20">
        <v>45741</v>
      </c>
      <c r="L97" s="21" t="s">
        <v>56</v>
      </c>
      <c r="M97" s="346">
        <v>73070.5</v>
      </c>
      <c r="N97" s="429">
        <v>72678</v>
      </c>
      <c r="O97" s="21" t="s">
        <v>56</v>
      </c>
      <c r="P97" s="21" t="s">
        <v>201</v>
      </c>
      <c r="Q97" s="132">
        <v>45749</v>
      </c>
      <c r="R97" s="6">
        <v>6028</v>
      </c>
      <c r="S97" s="815">
        <v>6070</v>
      </c>
      <c r="T97" s="37">
        <v>0</v>
      </c>
      <c r="U97" s="369">
        <f>IFERROR(Table4[[#This Row],[Actual Redline Completed Footage UG]]/Table4[[#This Row],[Footage UG]], 0)</f>
        <v>1.0069674850696748</v>
      </c>
      <c r="V97" s="22">
        <v>45769</v>
      </c>
      <c r="W97" s="38">
        <v>1</v>
      </c>
      <c r="X97" s="38">
        <v>1</v>
      </c>
      <c r="Y97" s="38">
        <v>1</v>
      </c>
      <c r="Z97" s="284">
        <v>45824</v>
      </c>
      <c r="AA97" s="12"/>
    </row>
    <row r="98" spans="1:27" ht="39.75" customHeight="1">
      <c r="A98" s="300" t="s">
        <v>703</v>
      </c>
      <c r="B98" s="531" t="s">
        <v>50</v>
      </c>
      <c r="C98" s="20">
        <v>45772</v>
      </c>
      <c r="D98" s="19" t="s">
        <v>676</v>
      </c>
      <c r="E98" s="20">
        <v>45743</v>
      </c>
      <c r="F98" s="19" t="s">
        <v>52</v>
      </c>
      <c r="G98" s="532" t="s">
        <v>704</v>
      </c>
      <c r="H98" s="21">
        <v>57</v>
      </c>
      <c r="I98" s="522" t="s">
        <v>200</v>
      </c>
      <c r="J98" s="303" t="s">
        <v>55</v>
      </c>
      <c r="K98" s="20">
        <v>45741</v>
      </c>
      <c r="L98" s="303" t="s">
        <v>56</v>
      </c>
      <c r="M98" s="346">
        <v>49071</v>
      </c>
      <c r="N98" s="346">
        <v>51376.61</v>
      </c>
      <c r="O98" s="303" t="s">
        <v>56</v>
      </c>
      <c r="P98" s="303" t="s">
        <v>201</v>
      </c>
      <c r="Q98" s="749">
        <v>45745</v>
      </c>
      <c r="R98" s="472">
        <v>3967</v>
      </c>
      <c r="S98" s="46">
        <v>3936</v>
      </c>
      <c r="T98" s="6">
        <v>0</v>
      </c>
      <c r="U98" s="864">
        <v>0.99</v>
      </c>
      <c r="V98" s="22">
        <v>45756</v>
      </c>
      <c r="W98" s="519">
        <v>1</v>
      </c>
      <c r="X98" s="519">
        <v>1</v>
      </c>
      <c r="Y98" s="519">
        <v>1</v>
      </c>
      <c r="Z98" s="284" t="s">
        <v>442</v>
      </c>
      <c r="AA98" s="650" t="s">
        <v>705</v>
      </c>
    </row>
    <row r="99" spans="1:27" ht="39.75" customHeight="1">
      <c r="A99" s="300" t="s">
        <v>706</v>
      </c>
      <c r="B99" s="531" t="s">
        <v>50</v>
      </c>
      <c r="C99" s="520">
        <v>45711</v>
      </c>
      <c r="D99" s="520" t="s">
        <v>687</v>
      </c>
      <c r="E99" s="520">
        <v>45691</v>
      </c>
      <c r="F99" s="520" t="s">
        <v>144</v>
      </c>
      <c r="G99" s="521" t="s">
        <v>707</v>
      </c>
      <c r="H99" s="21">
        <v>73</v>
      </c>
      <c r="I99" s="529" t="s">
        <v>480</v>
      </c>
      <c r="J99" s="21" t="s">
        <v>55</v>
      </c>
      <c r="K99" s="20">
        <v>45698</v>
      </c>
      <c r="L99" s="522" t="s">
        <v>56</v>
      </c>
      <c r="M99" s="346">
        <v>60575.5</v>
      </c>
      <c r="N99" s="429">
        <v>59352</v>
      </c>
      <c r="O99" s="522" t="s">
        <v>56</v>
      </c>
      <c r="P99" s="303" t="s">
        <v>201</v>
      </c>
      <c r="Q99" s="132">
        <v>45691</v>
      </c>
      <c r="R99" s="6">
        <v>4614</v>
      </c>
      <c r="S99" s="46">
        <v>4614</v>
      </c>
      <c r="T99" s="518">
        <v>0</v>
      </c>
      <c r="U99" s="524">
        <f>IFERROR(Table4[[#This Row],[Actual Redline Completed Footage UG]]/Table4[[#This Row],[Footage UG]], 0)</f>
        <v>1</v>
      </c>
      <c r="V99" s="22">
        <v>45706</v>
      </c>
      <c r="W99" s="519">
        <v>1</v>
      </c>
      <c r="X99" s="519">
        <v>1</v>
      </c>
      <c r="Y99" s="519">
        <v>1</v>
      </c>
      <c r="Z99" s="385">
        <v>45888</v>
      </c>
      <c r="AA99" s="28" t="s">
        <v>708</v>
      </c>
    </row>
    <row r="100" spans="1:27" ht="39.75" customHeight="1">
      <c r="A100" s="300" t="s">
        <v>709</v>
      </c>
      <c r="B100" s="305" t="s">
        <v>50</v>
      </c>
      <c r="C100" s="308">
        <v>45711</v>
      </c>
      <c r="D100" s="308" t="s">
        <v>701</v>
      </c>
      <c r="E100" s="308">
        <v>45707</v>
      </c>
      <c r="F100" s="308" t="s">
        <v>144</v>
      </c>
      <c r="G100" s="447" t="s">
        <v>710</v>
      </c>
      <c r="H100" s="21">
        <v>65</v>
      </c>
      <c r="I100" s="307" t="s">
        <v>480</v>
      </c>
      <c r="J100" s="21" t="s">
        <v>55</v>
      </c>
      <c r="K100" s="20">
        <v>45698</v>
      </c>
      <c r="L100" s="307" t="s">
        <v>56</v>
      </c>
      <c r="M100" s="346">
        <v>65001</v>
      </c>
      <c r="N100" s="444">
        <v>68269</v>
      </c>
      <c r="O100" s="307" t="s">
        <v>56</v>
      </c>
      <c r="P100" s="303" t="s">
        <v>201</v>
      </c>
      <c r="Q100" s="130">
        <v>45708</v>
      </c>
      <c r="R100" s="46">
        <v>5284</v>
      </c>
      <c r="S100" s="46">
        <v>5458</v>
      </c>
      <c r="T100" s="37">
        <v>0</v>
      </c>
      <c r="U100" s="524">
        <f>IFERROR(Table4[[#This Row],[Actual Redline Completed Footage UG]]/Table4[[#This Row],[Footage UG]], 0)</f>
        <v>1.0329295987887963</v>
      </c>
      <c r="V100" s="22">
        <v>45722</v>
      </c>
      <c r="W100" s="4">
        <v>1</v>
      </c>
      <c r="X100" s="4">
        <v>1</v>
      </c>
      <c r="Y100" s="4">
        <v>1</v>
      </c>
      <c r="Z100" s="284">
        <v>45764</v>
      </c>
      <c r="AA100" s="12"/>
    </row>
    <row r="101" spans="1:27" ht="39.75" customHeight="1">
      <c r="A101" s="300" t="s">
        <v>711</v>
      </c>
      <c r="B101" s="305" t="s">
        <v>50</v>
      </c>
      <c r="C101" s="20">
        <v>45772</v>
      </c>
      <c r="D101" s="19" t="s">
        <v>647</v>
      </c>
      <c r="E101" s="20">
        <v>45743</v>
      </c>
      <c r="F101" s="19" t="s">
        <v>651</v>
      </c>
      <c r="G101" s="306" t="s">
        <v>712</v>
      </c>
      <c r="H101" s="21">
        <v>70</v>
      </c>
      <c r="I101" s="307" t="s">
        <v>200</v>
      </c>
      <c r="J101" s="303" t="s">
        <v>55</v>
      </c>
      <c r="K101" s="20">
        <v>45741</v>
      </c>
      <c r="L101" s="303" t="s">
        <v>56</v>
      </c>
      <c r="M101" s="346">
        <v>62104</v>
      </c>
      <c r="N101" s="444">
        <v>64186</v>
      </c>
      <c r="O101" s="303" t="s">
        <v>56</v>
      </c>
      <c r="P101" s="303" t="s">
        <v>201</v>
      </c>
      <c r="Q101" s="130">
        <v>45744</v>
      </c>
      <c r="R101" s="46">
        <v>5210</v>
      </c>
      <c r="S101" s="46">
        <v>5139</v>
      </c>
      <c r="T101" s="83">
        <v>0</v>
      </c>
      <c r="U101" s="524">
        <f>IFERROR(Table4[[#This Row],[Actual Redline Completed Footage UG]]/Table4[[#This Row],[Footage UG]], 0)</f>
        <v>0.98637236084452973</v>
      </c>
      <c r="V101" s="22">
        <v>45756</v>
      </c>
      <c r="W101" s="4">
        <v>1</v>
      </c>
      <c r="X101" s="4">
        <v>1</v>
      </c>
      <c r="Y101" s="4">
        <v>1</v>
      </c>
      <c r="Z101" s="284">
        <v>45789</v>
      </c>
      <c r="AA101" s="12"/>
    </row>
    <row r="102" spans="1:27" ht="39.75" customHeight="1">
      <c r="A102" s="300" t="s">
        <v>713</v>
      </c>
      <c r="B102" s="531" t="s">
        <v>50</v>
      </c>
      <c r="C102" s="20">
        <v>45772</v>
      </c>
      <c r="D102" s="19" t="s">
        <v>647</v>
      </c>
      <c r="E102" s="20">
        <v>45743</v>
      </c>
      <c r="F102" s="19" t="s">
        <v>651</v>
      </c>
      <c r="G102" s="532" t="s">
        <v>714</v>
      </c>
      <c r="H102" s="21">
        <v>84</v>
      </c>
      <c r="I102" s="522" t="s">
        <v>200</v>
      </c>
      <c r="J102" s="303" t="s">
        <v>55</v>
      </c>
      <c r="K102" s="20">
        <v>45741</v>
      </c>
      <c r="L102" s="303" t="s">
        <v>56</v>
      </c>
      <c r="M102" s="346">
        <v>63756.5</v>
      </c>
      <c r="N102" s="444">
        <v>64902.5</v>
      </c>
      <c r="O102" s="303" t="s">
        <v>56</v>
      </c>
      <c r="P102" s="303" t="s">
        <v>201</v>
      </c>
      <c r="Q102" s="130">
        <v>45755</v>
      </c>
      <c r="R102" s="46">
        <v>5237</v>
      </c>
      <c r="S102" s="446">
        <v>5439</v>
      </c>
      <c r="T102" s="83">
        <v>0</v>
      </c>
      <c r="U102" s="524">
        <f>IFERROR(Table4[[#This Row],[Actual Redline Completed Footage UG]]/Table4[[#This Row],[Footage UG]], 0)</f>
        <v>1.0385717013557381</v>
      </c>
      <c r="V102" s="22">
        <v>45765</v>
      </c>
      <c r="W102" s="4">
        <v>1</v>
      </c>
      <c r="X102" s="4">
        <v>1</v>
      </c>
      <c r="Y102" s="4">
        <v>1</v>
      </c>
      <c r="Z102" s="284">
        <v>45790</v>
      </c>
      <c r="AA102" s="12"/>
    </row>
    <row r="103" spans="1:27" ht="39.75" customHeight="1">
      <c r="A103" s="300" t="s">
        <v>715</v>
      </c>
      <c r="B103" s="305" t="s">
        <v>50</v>
      </c>
      <c r="C103" s="20">
        <v>45772</v>
      </c>
      <c r="D103" s="19" t="s">
        <v>102</v>
      </c>
      <c r="E103" s="20">
        <v>45743</v>
      </c>
      <c r="F103" s="19" t="s">
        <v>52</v>
      </c>
      <c r="G103" s="306" t="s">
        <v>716</v>
      </c>
      <c r="H103" s="21">
        <v>75</v>
      </c>
      <c r="I103" s="307" t="s">
        <v>200</v>
      </c>
      <c r="J103" s="21" t="s">
        <v>55</v>
      </c>
      <c r="K103" s="20">
        <v>45741</v>
      </c>
      <c r="L103" s="21" t="s">
        <v>56</v>
      </c>
      <c r="M103" s="346">
        <v>67840.5</v>
      </c>
      <c r="N103" s="429">
        <v>66607.5</v>
      </c>
      <c r="O103" s="21" t="s">
        <v>56</v>
      </c>
      <c r="P103" s="21" t="s">
        <v>201</v>
      </c>
      <c r="Q103" s="132">
        <v>45747</v>
      </c>
      <c r="R103" s="6">
        <v>5601</v>
      </c>
      <c r="S103" s="33">
        <v>5628</v>
      </c>
      <c r="T103" s="37">
        <v>0</v>
      </c>
      <c r="U103" s="524">
        <f>IFERROR(Table4[[#This Row],[Actual Redline Completed Footage UG]]/Table4[[#This Row],[Footage UG]], 0)</f>
        <v>1.004820567755758</v>
      </c>
      <c r="V103" s="347">
        <v>45761</v>
      </c>
      <c r="W103" s="820">
        <v>1</v>
      </c>
      <c r="X103" s="820">
        <v>1</v>
      </c>
      <c r="Y103" s="820">
        <v>1</v>
      </c>
      <c r="Z103" s="284">
        <v>45831</v>
      </c>
      <c r="AA103" s="12"/>
    </row>
    <row r="104" spans="1:27" ht="39.75" customHeight="1">
      <c r="A104" s="300" t="s">
        <v>717</v>
      </c>
      <c r="B104" s="305" t="s">
        <v>50</v>
      </c>
      <c r="C104" s="20">
        <v>45831</v>
      </c>
      <c r="D104" s="19" t="s">
        <v>701</v>
      </c>
      <c r="E104" s="20">
        <v>45761</v>
      </c>
      <c r="F104" s="19" t="s">
        <v>144</v>
      </c>
      <c r="G104" s="306" t="s">
        <v>718</v>
      </c>
      <c r="H104" s="21">
        <v>69</v>
      </c>
      <c r="I104" s="21" t="s">
        <v>200</v>
      </c>
      <c r="J104" s="21" t="s">
        <v>55</v>
      </c>
      <c r="K104" s="20">
        <v>45757</v>
      </c>
      <c r="L104" s="21" t="s">
        <v>56</v>
      </c>
      <c r="M104" s="346">
        <v>53906.75</v>
      </c>
      <c r="N104" s="429">
        <v>54578.5</v>
      </c>
      <c r="O104" s="21" t="s">
        <v>56</v>
      </c>
      <c r="P104" s="21" t="s">
        <v>201</v>
      </c>
      <c r="Q104" s="132">
        <v>45757</v>
      </c>
      <c r="R104" s="6">
        <v>4615</v>
      </c>
      <c r="S104" s="6">
        <v>4588</v>
      </c>
      <c r="T104" s="37">
        <v>0</v>
      </c>
      <c r="U104" s="524">
        <f>IFERROR(Table4[[#This Row],[Actual Redline Completed Footage UG]]/Table4[[#This Row],[Footage UG]], 0)</f>
        <v>0.99414951245937166</v>
      </c>
      <c r="V104" s="22">
        <v>45772</v>
      </c>
      <c r="W104" s="483">
        <v>1</v>
      </c>
      <c r="X104" s="483">
        <v>1</v>
      </c>
      <c r="Y104" s="483">
        <v>1</v>
      </c>
      <c r="Z104" s="284">
        <v>45824</v>
      </c>
      <c r="AA104" s="12"/>
    </row>
    <row r="105" spans="1:27" ht="39.75" customHeight="1">
      <c r="A105" s="300" t="s">
        <v>719</v>
      </c>
      <c r="B105" s="305" t="s">
        <v>50</v>
      </c>
      <c r="C105" s="302">
        <v>45831</v>
      </c>
      <c r="D105" s="301" t="s">
        <v>720</v>
      </c>
      <c r="E105" s="20">
        <v>45807</v>
      </c>
      <c r="F105" s="19" t="s">
        <v>52</v>
      </c>
      <c r="G105" s="448" t="s">
        <v>721</v>
      </c>
      <c r="H105" s="303">
        <v>50</v>
      </c>
      <c r="I105" s="303" t="s">
        <v>200</v>
      </c>
      <c r="J105" s="303" t="s">
        <v>55</v>
      </c>
      <c r="K105" s="302">
        <v>45757</v>
      </c>
      <c r="L105" s="303" t="s">
        <v>56</v>
      </c>
      <c r="M105" s="349">
        <v>47432.5</v>
      </c>
      <c r="N105" s="429">
        <v>54385.09</v>
      </c>
      <c r="O105" s="303" t="s">
        <v>56</v>
      </c>
      <c r="P105" s="303" t="s">
        <v>201</v>
      </c>
      <c r="Q105" s="130">
        <v>45757</v>
      </c>
      <c r="R105" s="46">
        <v>3932</v>
      </c>
      <c r="S105" s="446">
        <v>4034</v>
      </c>
      <c r="T105" s="37">
        <v>0</v>
      </c>
      <c r="U105" s="524">
        <f>IFERROR(Table4[[#This Row],[Actual Redline Completed Footage UG]]/Table4[[#This Row],[Footage UG]], 0)</f>
        <v>1.0259409969481179</v>
      </c>
      <c r="V105" s="22">
        <v>45771</v>
      </c>
      <c r="W105" s="8">
        <v>0</v>
      </c>
      <c r="X105" s="8">
        <v>0</v>
      </c>
      <c r="Y105" s="8">
        <v>0</v>
      </c>
      <c r="Z105" s="467">
        <v>45849</v>
      </c>
      <c r="AA105" s="468" t="s">
        <v>722</v>
      </c>
    </row>
    <row r="106" spans="1:27" ht="39.75" customHeight="1">
      <c r="A106" s="300" t="s">
        <v>723</v>
      </c>
      <c r="B106" s="305" t="s">
        <v>50</v>
      </c>
      <c r="C106" s="20">
        <v>45831</v>
      </c>
      <c r="D106" s="19" t="s">
        <v>574</v>
      </c>
      <c r="E106" s="20">
        <v>45761</v>
      </c>
      <c r="F106" s="19" t="s">
        <v>635</v>
      </c>
      <c r="G106" s="19" t="s">
        <v>724</v>
      </c>
      <c r="H106" s="21">
        <v>76</v>
      </c>
      <c r="I106" s="21" t="s">
        <v>201</v>
      </c>
      <c r="J106" s="21" t="s">
        <v>55</v>
      </c>
      <c r="K106" s="20">
        <v>45757</v>
      </c>
      <c r="L106" s="21" t="s">
        <v>56</v>
      </c>
      <c r="M106" s="346">
        <v>62383</v>
      </c>
      <c r="N106" s="429">
        <v>61939</v>
      </c>
      <c r="O106" s="21" t="s">
        <v>56</v>
      </c>
      <c r="P106" s="21" t="s">
        <v>201</v>
      </c>
      <c r="Q106" s="541">
        <v>45757</v>
      </c>
      <c r="R106" s="431">
        <v>5164</v>
      </c>
      <c r="S106" s="33">
        <v>5164</v>
      </c>
      <c r="T106" s="37">
        <v>0</v>
      </c>
      <c r="U106" s="524">
        <f>IFERROR(Table4[[#This Row],[Actual Redline Completed Footage UG]]/Table4[[#This Row],[Footage UG]], 0)</f>
        <v>1</v>
      </c>
      <c r="V106" s="22">
        <v>45772</v>
      </c>
      <c r="W106" s="4">
        <v>1</v>
      </c>
      <c r="X106" s="4">
        <v>1</v>
      </c>
      <c r="Y106" s="4">
        <v>1</v>
      </c>
      <c r="Z106" s="284">
        <v>45838</v>
      </c>
      <c r="AA106" s="12"/>
    </row>
    <row r="107" spans="1:27" ht="39.75" customHeight="1">
      <c r="A107" s="300" t="s">
        <v>725</v>
      </c>
      <c r="B107" s="305" t="s">
        <v>50</v>
      </c>
      <c r="C107" s="302">
        <v>45831</v>
      </c>
      <c r="D107" s="301" t="s">
        <v>726</v>
      </c>
      <c r="E107" s="20">
        <v>45761</v>
      </c>
      <c r="F107" s="301" t="s">
        <v>52</v>
      </c>
      <c r="G107" s="301" t="s">
        <v>727</v>
      </c>
      <c r="H107" s="303">
        <v>88</v>
      </c>
      <c r="I107" s="303" t="s">
        <v>201</v>
      </c>
      <c r="J107" s="303" t="s">
        <v>55</v>
      </c>
      <c r="K107" s="302">
        <v>45757</v>
      </c>
      <c r="L107" s="303" t="s">
        <v>56</v>
      </c>
      <c r="M107" s="349">
        <v>80443.5</v>
      </c>
      <c r="N107" s="429">
        <v>81941</v>
      </c>
      <c r="O107" s="303" t="s">
        <v>56</v>
      </c>
      <c r="P107" s="303" t="s">
        <v>201</v>
      </c>
      <c r="Q107" s="130">
        <v>45757</v>
      </c>
      <c r="R107" s="46">
        <v>6617</v>
      </c>
      <c r="S107" s="446">
        <v>6743</v>
      </c>
      <c r="T107" s="37">
        <v>0</v>
      </c>
      <c r="U107" s="524">
        <f>IFERROR(Table4[[#This Row],[Actual Redline Completed Footage UG]]/Table4[[#This Row],[Footage UG]], 0)</f>
        <v>1.0190418618709385</v>
      </c>
      <c r="V107" s="22">
        <v>45771</v>
      </c>
      <c r="W107" s="42">
        <v>0</v>
      </c>
      <c r="X107" s="42">
        <v>0</v>
      </c>
      <c r="Y107" s="42">
        <v>0</v>
      </c>
      <c r="Z107" s="467">
        <v>45849</v>
      </c>
      <c r="AA107" s="94" t="s">
        <v>728</v>
      </c>
    </row>
    <row r="108" spans="1:27" ht="39.75" customHeight="1">
      <c r="A108" s="300" t="s">
        <v>729</v>
      </c>
      <c r="B108" s="531" t="s">
        <v>50</v>
      </c>
      <c r="C108" s="302">
        <v>45831</v>
      </c>
      <c r="D108" s="20" t="s">
        <v>720</v>
      </c>
      <c r="E108" s="20">
        <v>45807</v>
      </c>
      <c r="F108" s="301" t="s">
        <v>52</v>
      </c>
      <c r="G108" s="301" t="s">
        <v>730</v>
      </c>
      <c r="H108" s="303">
        <v>86</v>
      </c>
      <c r="I108" s="303" t="s">
        <v>200</v>
      </c>
      <c r="J108" s="303" t="s">
        <v>55</v>
      </c>
      <c r="K108" s="302">
        <v>45757</v>
      </c>
      <c r="L108" s="303" t="s">
        <v>56</v>
      </c>
      <c r="M108" s="349">
        <v>68736.5</v>
      </c>
      <c r="N108" s="429">
        <v>68249</v>
      </c>
      <c r="O108" s="303" t="s">
        <v>56</v>
      </c>
      <c r="P108" s="303" t="s">
        <v>201</v>
      </c>
      <c r="Q108" s="643">
        <v>45756</v>
      </c>
      <c r="R108" s="644">
        <v>5939</v>
      </c>
      <c r="S108" s="446">
        <v>5791</v>
      </c>
      <c r="T108" s="37">
        <v>0</v>
      </c>
      <c r="U108" s="524">
        <f>IFERROR(Table4[[#This Row],[Actual Redline Completed Footage UG]]/Table4[[#This Row],[Footage UG]], 0)</f>
        <v>0.97507997979457817</v>
      </c>
      <c r="V108" s="22">
        <v>45768</v>
      </c>
      <c r="W108" s="8">
        <v>0</v>
      </c>
      <c r="X108" s="8">
        <v>0</v>
      </c>
      <c r="Y108" s="8">
        <v>0</v>
      </c>
      <c r="Z108" s="467">
        <v>45849</v>
      </c>
      <c r="AA108" s="94" t="s">
        <v>728</v>
      </c>
    </row>
    <row r="109" spans="1:27" ht="39.75" customHeight="1">
      <c r="A109" s="300" t="s">
        <v>731</v>
      </c>
      <c r="B109" s="305" t="s">
        <v>50</v>
      </c>
      <c r="C109" s="20">
        <v>45772</v>
      </c>
      <c r="D109" s="19" t="s">
        <v>574</v>
      </c>
      <c r="E109" s="20">
        <v>45743</v>
      </c>
      <c r="F109" s="19" t="s">
        <v>635</v>
      </c>
      <c r="G109" s="306" t="s">
        <v>732</v>
      </c>
      <c r="H109" s="21">
        <v>84</v>
      </c>
      <c r="I109" s="522" t="s">
        <v>200</v>
      </c>
      <c r="J109" s="303" t="s">
        <v>55</v>
      </c>
      <c r="K109" s="20">
        <v>45741</v>
      </c>
      <c r="L109" s="303" t="s">
        <v>56</v>
      </c>
      <c r="M109" s="346">
        <v>73491.5</v>
      </c>
      <c r="N109" s="443">
        <v>202651</v>
      </c>
      <c r="O109" s="303" t="s">
        <v>56</v>
      </c>
      <c r="P109" s="303" t="s">
        <v>201</v>
      </c>
      <c r="Q109" s="132">
        <v>45748</v>
      </c>
      <c r="R109" s="6">
        <v>5390</v>
      </c>
      <c r="S109" s="446">
        <v>5327</v>
      </c>
      <c r="T109" s="83">
        <v>0</v>
      </c>
      <c r="U109" s="524">
        <f>IFERROR(Table4[[#This Row],[Actual Redline Completed Footage UG]]/Table4[[#This Row],[Footage UG]], 0)</f>
        <v>0.98831168831168836</v>
      </c>
      <c r="V109" s="22">
        <v>45768</v>
      </c>
      <c r="W109" s="8">
        <v>0</v>
      </c>
      <c r="X109" s="8">
        <v>0</v>
      </c>
      <c r="Y109" s="8">
        <v>0</v>
      </c>
      <c r="Z109" s="385">
        <v>45859</v>
      </c>
      <c r="AA109" s="12"/>
    </row>
    <row r="110" spans="1:27" ht="39.75" customHeight="1">
      <c r="A110" s="300" t="s">
        <v>733</v>
      </c>
      <c r="B110" s="305" t="s">
        <v>50</v>
      </c>
      <c r="C110" s="302">
        <v>45831</v>
      </c>
      <c r="D110" s="301" t="s">
        <v>647</v>
      </c>
      <c r="E110" s="20">
        <v>45807</v>
      </c>
      <c r="F110" s="301" t="s">
        <v>651</v>
      </c>
      <c r="G110" s="301" t="s">
        <v>734</v>
      </c>
      <c r="H110" s="303">
        <v>87</v>
      </c>
      <c r="I110" s="303" t="s">
        <v>200</v>
      </c>
      <c r="J110" s="303" t="s">
        <v>55</v>
      </c>
      <c r="K110" s="302">
        <v>45757</v>
      </c>
      <c r="L110" s="303" t="s">
        <v>56</v>
      </c>
      <c r="M110" s="349">
        <v>78331</v>
      </c>
      <c r="N110" s="346">
        <v>82072.25</v>
      </c>
      <c r="O110" s="303" t="s">
        <v>56</v>
      </c>
      <c r="P110" s="303" t="s">
        <v>201</v>
      </c>
      <c r="Q110" s="516">
        <v>45757</v>
      </c>
      <c r="R110" s="368">
        <v>6334</v>
      </c>
      <c r="S110" s="368">
        <v>6228</v>
      </c>
      <c r="T110" s="11">
        <v>0</v>
      </c>
      <c r="U110" s="708">
        <v>0.98</v>
      </c>
      <c r="V110" s="540">
        <v>45769</v>
      </c>
      <c r="W110" s="283">
        <v>1</v>
      </c>
      <c r="X110" s="283">
        <v>1</v>
      </c>
      <c r="Y110" s="283">
        <v>1</v>
      </c>
      <c r="Z110" s="374">
        <v>45917</v>
      </c>
      <c r="AA110" s="86" t="s">
        <v>449</v>
      </c>
    </row>
    <row r="111" spans="1:27" ht="39.75" customHeight="1">
      <c r="A111" s="300" t="s">
        <v>735</v>
      </c>
      <c r="B111" s="531" t="s">
        <v>50</v>
      </c>
      <c r="C111" s="20">
        <v>45772</v>
      </c>
      <c r="D111" s="19" t="s">
        <v>102</v>
      </c>
      <c r="E111" s="20">
        <v>45743</v>
      </c>
      <c r="F111" s="19" t="s">
        <v>52</v>
      </c>
      <c r="G111" s="532" t="s">
        <v>736</v>
      </c>
      <c r="H111" s="21">
        <v>81</v>
      </c>
      <c r="I111" s="522" t="s">
        <v>200</v>
      </c>
      <c r="J111" s="303" t="s">
        <v>55</v>
      </c>
      <c r="K111" s="20">
        <v>45741</v>
      </c>
      <c r="L111" s="303" t="s">
        <v>56</v>
      </c>
      <c r="M111" s="346">
        <v>74961</v>
      </c>
      <c r="N111" s="346">
        <v>77123</v>
      </c>
      <c r="O111" s="303" t="s">
        <v>56</v>
      </c>
      <c r="P111" s="303" t="s">
        <v>201</v>
      </c>
      <c r="Q111" s="132">
        <v>45747</v>
      </c>
      <c r="R111" s="6">
        <v>6327</v>
      </c>
      <c r="S111" s="446">
        <v>6414</v>
      </c>
      <c r="T111" s="5">
        <v>0</v>
      </c>
      <c r="U111" s="524">
        <f>IFERROR(Table4[[#This Row],[Actual Redline Completed Footage UG]]/Table4[[#This Row],[Footage UG]], 0)</f>
        <v>1.0137505926979611</v>
      </c>
      <c r="V111" s="22">
        <v>45761</v>
      </c>
      <c r="W111" s="519">
        <v>1</v>
      </c>
      <c r="X111" s="519">
        <v>1</v>
      </c>
      <c r="Y111" s="519">
        <v>1</v>
      </c>
      <c r="Z111" s="656">
        <v>45894</v>
      </c>
      <c r="AA111" s="94" t="s">
        <v>728</v>
      </c>
    </row>
    <row r="112" spans="1:27" ht="39.75" customHeight="1">
      <c r="A112" s="300" t="s">
        <v>737</v>
      </c>
      <c r="B112" s="305" t="s">
        <v>50</v>
      </c>
      <c r="C112" s="20">
        <v>45772</v>
      </c>
      <c r="D112" s="19" t="s">
        <v>574</v>
      </c>
      <c r="E112" s="20">
        <v>45743</v>
      </c>
      <c r="F112" s="19" t="s">
        <v>635</v>
      </c>
      <c r="G112" s="306" t="s">
        <v>738</v>
      </c>
      <c r="H112" s="21">
        <v>80</v>
      </c>
      <c r="I112" s="307" t="s">
        <v>200</v>
      </c>
      <c r="J112" s="303" t="s">
        <v>55</v>
      </c>
      <c r="K112" s="20">
        <v>45741</v>
      </c>
      <c r="L112" s="303" t="s">
        <v>56</v>
      </c>
      <c r="M112" s="346">
        <v>70235</v>
      </c>
      <c r="N112" s="443">
        <v>134171.5</v>
      </c>
      <c r="O112" s="303" t="s">
        <v>56</v>
      </c>
      <c r="P112" s="303" t="s">
        <v>201</v>
      </c>
      <c r="Q112" s="132">
        <v>45745</v>
      </c>
      <c r="R112" s="6">
        <v>5585</v>
      </c>
      <c r="S112" s="46">
        <v>5566</v>
      </c>
      <c r="T112" s="83">
        <v>0</v>
      </c>
      <c r="U112" s="524">
        <f>IFERROR(Table4[[#This Row],[Actual Redline Completed Footage UG]]/Table4[[#This Row],[Footage UG]], 0)</f>
        <v>0.99659803043867501</v>
      </c>
      <c r="V112" s="22">
        <v>45757</v>
      </c>
      <c r="W112" s="4">
        <v>1</v>
      </c>
      <c r="X112" s="4">
        <v>1</v>
      </c>
      <c r="Y112" s="4">
        <v>1</v>
      </c>
      <c r="Z112" s="385">
        <v>45859</v>
      </c>
      <c r="AA112" s="12"/>
    </row>
    <row r="113" spans="1:27" ht="39.75" customHeight="1">
      <c r="A113" s="300" t="s">
        <v>739</v>
      </c>
      <c r="B113" s="531" t="s">
        <v>50</v>
      </c>
      <c r="C113" s="520">
        <v>45688</v>
      </c>
      <c r="D113" s="20" t="s">
        <v>647</v>
      </c>
      <c r="E113" s="520">
        <v>45684</v>
      </c>
      <c r="F113" s="19" t="s">
        <v>651</v>
      </c>
      <c r="G113" s="521" t="s">
        <v>740</v>
      </c>
      <c r="H113" s="21">
        <v>90</v>
      </c>
      <c r="I113" s="522" t="s">
        <v>480</v>
      </c>
      <c r="J113" s="21" t="s">
        <v>55</v>
      </c>
      <c r="K113" s="19" t="s">
        <v>201</v>
      </c>
      <c r="L113" s="522" t="s">
        <v>56</v>
      </c>
      <c r="M113" s="346">
        <v>60625.5</v>
      </c>
      <c r="N113" s="429">
        <v>59084</v>
      </c>
      <c r="O113" s="522" t="s">
        <v>56</v>
      </c>
      <c r="P113" s="21" t="s">
        <v>201</v>
      </c>
      <c r="Q113" s="132">
        <v>45679</v>
      </c>
      <c r="R113" s="6">
        <v>5038</v>
      </c>
      <c r="S113" s="33">
        <v>4909</v>
      </c>
      <c r="T113" s="37">
        <v>0</v>
      </c>
      <c r="U113" s="524">
        <f>IFERROR(Table4[[#This Row],[Actual Redline Completed Footage UG]]/Table4[[#This Row],[Footage UG]], 0)</f>
        <v>0.97439460103215558</v>
      </c>
      <c r="V113" s="22">
        <v>45684</v>
      </c>
      <c r="W113" s="4">
        <v>1</v>
      </c>
      <c r="X113" s="8">
        <v>1</v>
      </c>
      <c r="Y113" s="4">
        <v>1</v>
      </c>
      <c r="Z113" s="284">
        <v>45831</v>
      </c>
      <c r="AA113" s="12"/>
    </row>
    <row r="114" spans="1:27" ht="39.75" customHeight="1">
      <c r="A114" s="300" t="s">
        <v>741</v>
      </c>
      <c r="B114" s="531" t="s">
        <v>50</v>
      </c>
      <c r="C114" s="20">
        <v>45772</v>
      </c>
      <c r="D114" s="19" t="s">
        <v>656</v>
      </c>
      <c r="E114" s="20">
        <v>45716</v>
      </c>
      <c r="F114" s="19" t="s">
        <v>641</v>
      </c>
      <c r="G114" s="532" t="s">
        <v>742</v>
      </c>
      <c r="H114" s="21">
        <v>86</v>
      </c>
      <c r="I114" s="522" t="s">
        <v>200</v>
      </c>
      <c r="J114" s="21" t="s">
        <v>55</v>
      </c>
      <c r="K114" s="20">
        <v>45721</v>
      </c>
      <c r="L114" s="21" t="s">
        <v>56</v>
      </c>
      <c r="M114" s="466">
        <v>79507</v>
      </c>
      <c r="N114" s="429">
        <v>86709.5</v>
      </c>
      <c r="O114" s="21" t="s">
        <v>56</v>
      </c>
      <c r="P114" s="21" t="s">
        <v>201</v>
      </c>
      <c r="Q114" s="541">
        <v>45720</v>
      </c>
      <c r="R114" s="431">
        <v>6756</v>
      </c>
      <c r="S114" s="33">
        <v>6667</v>
      </c>
      <c r="T114" s="6">
        <v>0</v>
      </c>
      <c r="U114" s="524">
        <f>IFERROR(Table4[[#This Row],[Actual Redline Completed Footage UG]]/Table4[[#This Row],[Footage UG]], 0)</f>
        <v>0.98682652457075193</v>
      </c>
      <c r="V114" s="22">
        <v>45728</v>
      </c>
      <c r="W114" s="4">
        <v>1</v>
      </c>
      <c r="X114" s="4">
        <v>1</v>
      </c>
      <c r="Y114" s="4">
        <v>1</v>
      </c>
      <c r="Z114" s="284">
        <v>45791</v>
      </c>
      <c r="AA114" s="12"/>
    </row>
    <row r="115" spans="1:27" ht="39.75" customHeight="1">
      <c r="A115" s="300" t="s">
        <v>743</v>
      </c>
      <c r="B115" s="531" t="s">
        <v>50</v>
      </c>
      <c r="C115" s="20">
        <v>45711</v>
      </c>
      <c r="D115" s="520" t="s">
        <v>574</v>
      </c>
      <c r="E115" s="520">
        <v>45686</v>
      </c>
      <c r="F115" s="520" t="s">
        <v>635</v>
      </c>
      <c r="G115" s="521" t="s">
        <v>744</v>
      </c>
      <c r="H115" s="21">
        <v>90</v>
      </c>
      <c r="I115" s="529" t="s">
        <v>480</v>
      </c>
      <c r="J115" s="21" t="s">
        <v>55</v>
      </c>
      <c r="K115" s="20">
        <v>45700</v>
      </c>
      <c r="L115" s="522" t="s">
        <v>56</v>
      </c>
      <c r="M115" s="346">
        <v>77320</v>
      </c>
      <c r="N115" s="346">
        <v>75804</v>
      </c>
      <c r="O115" s="522" t="s">
        <v>56</v>
      </c>
      <c r="P115" s="303" t="s">
        <v>201</v>
      </c>
      <c r="Q115" s="642">
        <v>45706</v>
      </c>
      <c r="R115" s="6">
        <v>6041</v>
      </c>
      <c r="S115" s="824">
        <v>6024</v>
      </c>
      <c r="T115" s="5">
        <v>0</v>
      </c>
      <c r="U115" s="524">
        <f>IFERROR(Table4[[#This Row],[Actual Redline Completed Footage UG]]/Table4[[#This Row],[Footage UG]], 0)</f>
        <v>0.9971858963747724</v>
      </c>
      <c r="V115" s="430">
        <v>45714</v>
      </c>
      <c r="W115" s="519">
        <v>1</v>
      </c>
      <c r="X115" s="8">
        <v>1</v>
      </c>
      <c r="Y115" s="8">
        <v>1</v>
      </c>
      <c r="Z115" s="656">
        <v>45894</v>
      </c>
      <c r="AA115" s="28" t="s">
        <v>745</v>
      </c>
    </row>
    <row r="116" spans="1:27" ht="39.75" customHeight="1">
      <c r="A116" s="300" t="s">
        <v>746</v>
      </c>
      <c r="B116" s="305" t="s">
        <v>50</v>
      </c>
      <c r="C116" s="20">
        <v>45772</v>
      </c>
      <c r="D116" s="19" t="s">
        <v>574</v>
      </c>
      <c r="E116" s="20">
        <v>45716</v>
      </c>
      <c r="F116" s="19" t="s">
        <v>635</v>
      </c>
      <c r="G116" s="306" t="s">
        <v>747</v>
      </c>
      <c r="H116" s="21">
        <v>82</v>
      </c>
      <c r="I116" s="307" t="s">
        <v>200</v>
      </c>
      <c r="J116" s="21" t="s">
        <v>55</v>
      </c>
      <c r="K116" s="20">
        <v>45716</v>
      </c>
      <c r="L116" s="21" t="s">
        <v>56</v>
      </c>
      <c r="M116" s="346">
        <v>64609</v>
      </c>
      <c r="N116" s="443">
        <v>76965</v>
      </c>
      <c r="O116" s="21" t="s">
        <v>56</v>
      </c>
      <c r="P116" s="303" t="s">
        <v>201</v>
      </c>
      <c r="Q116" s="132">
        <v>45720</v>
      </c>
      <c r="R116" s="6">
        <v>5327</v>
      </c>
      <c r="S116" s="446">
        <v>5450</v>
      </c>
      <c r="T116" s="6">
        <v>0</v>
      </c>
      <c r="U116" s="524">
        <f>IFERROR(Table4[[#This Row],[Actual Redline Completed Footage UG]]/Table4[[#This Row],[Footage UG]], 0)</f>
        <v>1.0230899192791441</v>
      </c>
      <c r="V116" s="22">
        <v>45728</v>
      </c>
      <c r="W116" s="4">
        <v>1</v>
      </c>
      <c r="X116" s="4">
        <v>1</v>
      </c>
      <c r="Y116" s="4">
        <v>1</v>
      </c>
      <c r="Z116" s="284">
        <v>45859</v>
      </c>
      <c r="AA116" s="12"/>
    </row>
    <row r="117" spans="1:27" ht="39.75" customHeight="1">
      <c r="A117" s="300" t="s">
        <v>748</v>
      </c>
      <c r="B117" s="305" t="s">
        <v>50</v>
      </c>
      <c r="C117" s="20">
        <v>45772</v>
      </c>
      <c r="D117" s="20" t="s">
        <v>749</v>
      </c>
      <c r="E117" s="20">
        <v>45694</v>
      </c>
      <c r="F117" s="308" t="s">
        <v>144</v>
      </c>
      <c r="G117" s="309" t="s">
        <v>750</v>
      </c>
      <c r="H117" s="21">
        <v>64</v>
      </c>
      <c r="I117" s="307" t="s">
        <v>200</v>
      </c>
      <c r="J117" s="21" t="s">
        <v>55</v>
      </c>
      <c r="K117" s="20">
        <v>45701</v>
      </c>
      <c r="L117" s="307" t="s">
        <v>56</v>
      </c>
      <c r="M117" s="346">
        <v>48609</v>
      </c>
      <c r="N117" s="429">
        <v>48682.5</v>
      </c>
      <c r="O117" s="620" t="s">
        <v>56</v>
      </c>
      <c r="P117" s="303" t="s">
        <v>201</v>
      </c>
      <c r="Q117" s="542">
        <v>45698</v>
      </c>
      <c r="R117" s="432">
        <v>4035</v>
      </c>
      <c r="S117" s="46">
        <v>4045</v>
      </c>
      <c r="T117" s="518">
        <v>0</v>
      </c>
      <c r="U117" s="692">
        <v>1</v>
      </c>
      <c r="V117" s="22">
        <v>45709</v>
      </c>
      <c r="W117" s="8">
        <v>1</v>
      </c>
      <c r="X117" s="8">
        <v>1</v>
      </c>
      <c r="Y117" s="8">
        <v>1</v>
      </c>
      <c r="Z117" s="284">
        <v>45894</v>
      </c>
      <c r="AA117" s="12" t="s">
        <v>751</v>
      </c>
    </row>
    <row r="118" spans="1:27" ht="39.75" customHeight="1">
      <c r="A118" s="300" t="s">
        <v>752</v>
      </c>
      <c r="B118" s="531" t="s">
        <v>50</v>
      </c>
      <c r="C118" s="20">
        <v>45772</v>
      </c>
      <c r="D118" s="520" t="s">
        <v>656</v>
      </c>
      <c r="E118" s="520">
        <v>45692</v>
      </c>
      <c r="F118" s="520" t="s">
        <v>641</v>
      </c>
      <c r="G118" s="521" t="s">
        <v>753</v>
      </c>
      <c r="H118" s="21">
        <v>59</v>
      </c>
      <c r="I118" s="522" t="s">
        <v>200</v>
      </c>
      <c r="J118" s="21" t="s">
        <v>55</v>
      </c>
      <c r="K118" s="20">
        <v>45698</v>
      </c>
      <c r="L118" s="522" t="s">
        <v>56</v>
      </c>
      <c r="M118" s="346">
        <v>52222</v>
      </c>
      <c r="N118" s="429">
        <v>51838</v>
      </c>
      <c r="O118" s="522" t="s">
        <v>56</v>
      </c>
      <c r="P118" s="21" t="s">
        <v>201</v>
      </c>
      <c r="Q118" s="132">
        <v>45691</v>
      </c>
      <c r="R118" s="6">
        <v>4772</v>
      </c>
      <c r="S118" s="33">
        <v>4329</v>
      </c>
      <c r="T118" s="37">
        <v>0</v>
      </c>
      <c r="U118" s="524">
        <f>IFERROR(Table4[[#This Row],[Actual Redline Completed Footage UG]]/Table4[[#This Row],[Footage UG]], 0)</f>
        <v>0.90716680637049452</v>
      </c>
      <c r="V118" s="22">
        <v>45707</v>
      </c>
      <c r="W118" s="4">
        <v>1</v>
      </c>
      <c r="X118" s="4">
        <v>1</v>
      </c>
      <c r="Y118" s="4">
        <v>1</v>
      </c>
      <c r="Z118" s="284">
        <v>45791</v>
      </c>
      <c r="AA118" s="12"/>
    </row>
    <row r="119" spans="1:27" ht="39.75" customHeight="1">
      <c r="A119" s="300" t="s">
        <v>754</v>
      </c>
      <c r="B119" s="531" t="s">
        <v>50</v>
      </c>
      <c r="C119" s="20">
        <v>45772</v>
      </c>
      <c r="D119" s="20" t="s">
        <v>647</v>
      </c>
      <c r="E119" s="520">
        <v>45686</v>
      </c>
      <c r="F119" s="19" t="s">
        <v>651</v>
      </c>
      <c r="G119" s="521" t="s">
        <v>755</v>
      </c>
      <c r="H119" s="21">
        <v>85</v>
      </c>
      <c r="I119" s="529" t="s">
        <v>200</v>
      </c>
      <c r="J119" s="21" t="s">
        <v>55</v>
      </c>
      <c r="K119" s="20">
        <v>45698</v>
      </c>
      <c r="L119" s="522" t="s">
        <v>56</v>
      </c>
      <c r="M119" s="346">
        <v>67892.5</v>
      </c>
      <c r="N119" s="346">
        <v>65771.429999999993</v>
      </c>
      <c r="O119" s="522" t="s">
        <v>56</v>
      </c>
      <c r="P119" s="303" t="s">
        <v>201</v>
      </c>
      <c r="Q119" s="132">
        <v>45709</v>
      </c>
      <c r="R119" s="7">
        <v>5494</v>
      </c>
      <c r="S119" s="46">
        <v>5431</v>
      </c>
      <c r="T119" s="6">
        <v>0</v>
      </c>
      <c r="U119" s="863">
        <v>0.99</v>
      </c>
      <c r="V119" s="103">
        <v>45722</v>
      </c>
      <c r="W119" s="652">
        <v>1</v>
      </c>
      <c r="X119" s="652">
        <v>1</v>
      </c>
      <c r="Y119" s="652">
        <v>1</v>
      </c>
      <c r="Z119" s="374">
        <v>45917</v>
      </c>
      <c r="AA119" s="28" t="s">
        <v>756</v>
      </c>
    </row>
    <row r="120" spans="1:27" ht="39.75" customHeight="1">
      <c r="A120" s="300" t="s">
        <v>757</v>
      </c>
      <c r="B120" s="531" t="s">
        <v>50</v>
      </c>
      <c r="C120" s="20">
        <v>45772</v>
      </c>
      <c r="D120" s="19" t="s">
        <v>574</v>
      </c>
      <c r="E120" s="20">
        <v>45716</v>
      </c>
      <c r="F120" s="19" t="s">
        <v>635</v>
      </c>
      <c r="G120" s="532" t="s">
        <v>758</v>
      </c>
      <c r="H120" s="21">
        <v>88</v>
      </c>
      <c r="I120" s="522" t="s">
        <v>201</v>
      </c>
      <c r="J120" s="21" t="s">
        <v>55</v>
      </c>
      <c r="K120" s="20">
        <v>45716</v>
      </c>
      <c r="L120" s="21" t="s">
        <v>56</v>
      </c>
      <c r="M120" s="466">
        <v>67463</v>
      </c>
      <c r="N120" s="429">
        <v>69992</v>
      </c>
      <c r="O120" s="21" t="s">
        <v>56</v>
      </c>
      <c r="P120" s="21" t="s">
        <v>201</v>
      </c>
      <c r="Q120" s="133">
        <v>45720</v>
      </c>
      <c r="R120" s="11">
        <v>5491</v>
      </c>
      <c r="S120" s="32">
        <v>5605</v>
      </c>
      <c r="T120" s="11">
        <v>0</v>
      </c>
      <c r="U120" s="524">
        <f>IFERROR(Table4[[#This Row],[Actual Redline Completed Footage UG]]/Table4[[#This Row],[Footage UG]], 0)</f>
        <v>1.0207612456747406</v>
      </c>
      <c r="V120" s="103">
        <v>45735</v>
      </c>
      <c r="W120" s="81">
        <v>1</v>
      </c>
      <c r="X120" s="81">
        <v>1</v>
      </c>
      <c r="Y120" s="81">
        <v>1</v>
      </c>
      <c r="Z120" s="374">
        <v>45831</v>
      </c>
      <c r="AA120" s="12"/>
    </row>
    <row r="121" spans="1:27" ht="39.75" customHeight="1">
      <c r="A121" s="300" t="s">
        <v>759</v>
      </c>
      <c r="B121" s="531" t="s">
        <v>50</v>
      </c>
      <c r="C121" s="520">
        <v>45711</v>
      </c>
      <c r="D121" s="520" t="s">
        <v>760</v>
      </c>
      <c r="E121" s="520">
        <v>45692</v>
      </c>
      <c r="F121" s="520" t="s">
        <v>684</v>
      </c>
      <c r="G121" s="521" t="s">
        <v>761</v>
      </c>
      <c r="H121" s="21">
        <v>86</v>
      </c>
      <c r="I121" s="529" t="s">
        <v>480</v>
      </c>
      <c r="J121" s="21" t="s">
        <v>55</v>
      </c>
      <c r="K121" s="20">
        <v>45698</v>
      </c>
      <c r="L121" s="522" t="s">
        <v>56</v>
      </c>
      <c r="M121" s="346">
        <v>66638</v>
      </c>
      <c r="N121" s="444">
        <v>65072</v>
      </c>
      <c r="O121" s="522" t="s">
        <v>56</v>
      </c>
      <c r="P121" s="303" t="s">
        <v>201</v>
      </c>
      <c r="Q121" s="130">
        <v>45691</v>
      </c>
      <c r="R121" s="46">
        <v>5428</v>
      </c>
      <c r="S121" s="46">
        <v>5399</v>
      </c>
      <c r="T121" s="37">
        <v>0</v>
      </c>
      <c r="U121" s="524">
        <f>IFERROR(Table4[[#This Row],[Actual Redline Completed Footage UG]]/Table4[[#This Row],[Footage UG]], 0)</f>
        <v>0.9946573323507738</v>
      </c>
      <c r="V121" s="22">
        <v>45700</v>
      </c>
      <c r="W121" s="4">
        <v>1</v>
      </c>
      <c r="X121" s="4">
        <v>1</v>
      </c>
      <c r="Y121" s="4">
        <v>1</v>
      </c>
      <c r="Z121" s="284" t="s">
        <v>442</v>
      </c>
      <c r="AA121" s="12"/>
    </row>
    <row r="122" spans="1:27" ht="39.75" customHeight="1">
      <c r="A122" s="300" t="s">
        <v>762</v>
      </c>
      <c r="B122" s="305" t="s">
        <v>50</v>
      </c>
      <c r="C122" s="308">
        <v>45711</v>
      </c>
      <c r="D122" s="20" t="s">
        <v>701</v>
      </c>
      <c r="E122" s="302">
        <v>45706</v>
      </c>
      <c r="F122" s="20" t="s">
        <v>144</v>
      </c>
      <c r="G122" s="528" t="s">
        <v>763</v>
      </c>
      <c r="H122" s="21">
        <v>85</v>
      </c>
      <c r="I122" s="307" t="s">
        <v>200</v>
      </c>
      <c r="J122" s="21" t="s">
        <v>55</v>
      </c>
      <c r="K122" s="20">
        <v>45707</v>
      </c>
      <c r="L122" s="21" t="s">
        <v>56</v>
      </c>
      <c r="M122" s="346" t="s">
        <v>764</v>
      </c>
      <c r="N122" s="444">
        <v>67080</v>
      </c>
      <c r="O122" s="21" t="s">
        <v>56</v>
      </c>
      <c r="P122" s="303" t="s">
        <v>201</v>
      </c>
      <c r="Q122" s="1278">
        <v>45707</v>
      </c>
      <c r="R122" s="46">
        <v>5564</v>
      </c>
      <c r="S122" s="823">
        <v>5576</v>
      </c>
      <c r="T122" s="475">
        <v>0</v>
      </c>
      <c r="U122" s="524">
        <f>IFERROR(Table4[[#This Row],[Actual Redline Completed Footage UG]]/Table4[[#This Row],[Footage UG]], 0)</f>
        <v>1.0021567217828899</v>
      </c>
      <c r="V122" s="22">
        <v>45727</v>
      </c>
      <c r="W122" s="821">
        <v>1</v>
      </c>
      <c r="X122" s="476">
        <v>1</v>
      </c>
      <c r="Y122" s="476">
        <v>1</v>
      </c>
      <c r="Z122" s="284">
        <v>45757</v>
      </c>
      <c r="AA122" s="12"/>
    </row>
    <row r="123" spans="1:27" ht="39.75" customHeight="1">
      <c r="A123" s="300" t="s">
        <v>765</v>
      </c>
      <c r="B123" s="531" t="s">
        <v>50</v>
      </c>
      <c r="C123" s="20">
        <v>45772</v>
      </c>
      <c r="D123" s="19" t="s">
        <v>447</v>
      </c>
      <c r="E123" s="20">
        <v>45743</v>
      </c>
      <c r="F123" s="19" t="s">
        <v>766</v>
      </c>
      <c r="G123" s="532" t="s">
        <v>767</v>
      </c>
      <c r="H123" s="21">
        <v>91</v>
      </c>
      <c r="I123" s="522" t="s">
        <v>200</v>
      </c>
      <c r="J123" s="303" t="s">
        <v>55</v>
      </c>
      <c r="K123" s="20">
        <v>45741</v>
      </c>
      <c r="L123" s="303" t="s">
        <v>56</v>
      </c>
      <c r="M123" s="346">
        <v>79069.5</v>
      </c>
      <c r="N123" s="443">
        <v>73300</v>
      </c>
      <c r="O123" s="303" t="s">
        <v>56</v>
      </c>
      <c r="P123" s="303" t="s">
        <v>201</v>
      </c>
      <c r="Q123" s="132">
        <v>45744</v>
      </c>
      <c r="R123" s="6">
        <v>6330</v>
      </c>
      <c r="S123" s="510">
        <v>6180</v>
      </c>
      <c r="T123" s="825">
        <v>0</v>
      </c>
      <c r="U123" s="524">
        <f>IFERROR(Table4[[#This Row],[Actual Redline Completed Footage UG]]/Table4[[#This Row],[Footage UG]], 0)</f>
        <v>0.976303317535545</v>
      </c>
      <c r="V123" s="22">
        <v>45751</v>
      </c>
      <c r="W123" s="826">
        <v>1</v>
      </c>
      <c r="X123" s="369">
        <v>1</v>
      </c>
      <c r="Y123" s="369">
        <v>1</v>
      </c>
      <c r="Z123" s="284">
        <v>45859</v>
      </c>
      <c r="AA123" s="12"/>
    </row>
    <row r="124" spans="1:27" ht="39.75" customHeight="1">
      <c r="A124" s="300" t="s">
        <v>768</v>
      </c>
      <c r="B124" s="531" t="s">
        <v>50</v>
      </c>
      <c r="C124" s="20">
        <v>45772</v>
      </c>
      <c r="D124" s="19" t="s">
        <v>447</v>
      </c>
      <c r="E124" s="20">
        <v>45743</v>
      </c>
      <c r="F124" s="19" t="s">
        <v>766</v>
      </c>
      <c r="G124" s="532" t="s">
        <v>769</v>
      </c>
      <c r="H124" s="21">
        <v>20</v>
      </c>
      <c r="I124" s="522" t="s">
        <v>200</v>
      </c>
      <c r="J124" s="303" t="s">
        <v>55</v>
      </c>
      <c r="K124" s="20">
        <v>45741</v>
      </c>
      <c r="L124" s="303" t="s">
        <v>56</v>
      </c>
      <c r="M124" s="346">
        <v>16398</v>
      </c>
      <c r="N124" s="429">
        <v>15664</v>
      </c>
      <c r="O124" s="303" t="s">
        <v>56</v>
      </c>
      <c r="P124" s="303" t="s">
        <v>201</v>
      </c>
      <c r="Q124" s="540">
        <v>45744</v>
      </c>
      <c r="R124" s="10">
        <v>1265</v>
      </c>
      <c r="S124" s="368">
        <v>1257</v>
      </c>
      <c r="T124" s="825">
        <v>0</v>
      </c>
      <c r="U124" s="524">
        <f>IFERROR(Table4[[#This Row],[Actual Redline Completed Footage UG]]/Table4[[#This Row],[Footage UG]], 0)</f>
        <v>0.99367588932806328</v>
      </c>
      <c r="V124" s="374">
        <v>45750</v>
      </c>
      <c r="W124" s="369">
        <v>1</v>
      </c>
      <c r="X124" s="369">
        <v>1</v>
      </c>
      <c r="Y124" s="369">
        <v>1</v>
      </c>
      <c r="Z124" s="284">
        <v>45849</v>
      </c>
      <c r="AA124" s="12"/>
    </row>
    <row r="125" spans="1:27" ht="39.75" customHeight="1">
      <c r="A125" s="300" t="s">
        <v>770</v>
      </c>
      <c r="B125" s="305" t="s">
        <v>50</v>
      </c>
      <c r="C125" s="302">
        <v>45862</v>
      </c>
      <c r="D125" s="19" t="s">
        <v>574</v>
      </c>
      <c r="E125" s="20">
        <v>45743</v>
      </c>
      <c r="F125" s="19" t="s">
        <v>635</v>
      </c>
      <c r="G125" s="306" t="s">
        <v>771</v>
      </c>
      <c r="H125" s="21">
        <v>88</v>
      </c>
      <c r="I125" s="304" t="s">
        <v>200</v>
      </c>
      <c r="J125" s="303" t="s">
        <v>55</v>
      </c>
      <c r="K125" s="20">
        <v>45741</v>
      </c>
      <c r="L125" s="303" t="s">
        <v>56</v>
      </c>
      <c r="M125" s="346">
        <v>75396.5</v>
      </c>
      <c r="N125" s="346">
        <v>75756.5</v>
      </c>
      <c r="O125" s="303" t="s">
        <v>56</v>
      </c>
      <c r="P125" s="303" t="s">
        <v>201</v>
      </c>
      <c r="Q125" s="540">
        <v>45749</v>
      </c>
      <c r="R125" s="10">
        <v>6061</v>
      </c>
      <c r="S125" s="368">
        <v>6217</v>
      </c>
      <c r="T125" s="805">
        <v>0</v>
      </c>
      <c r="U125" s="704">
        <v>1.03</v>
      </c>
      <c r="V125" s="540">
        <v>45785</v>
      </c>
      <c r="W125" s="283">
        <v>0</v>
      </c>
      <c r="X125" s="283">
        <v>0</v>
      </c>
      <c r="Y125" s="283">
        <v>0</v>
      </c>
      <c r="Z125" s="374">
        <v>45887</v>
      </c>
      <c r="AA125" s="12"/>
    </row>
    <row r="126" spans="1:27" ht="39.75" customHeight="1">
      <c r="A126" s="300" t="s">
        <v>772</v>
      </c>
      <c r="B126" s="531" t="s">
        <v>50</v>
      </c>
      <c r="C126" s="302">
        <v>45862</v>
      </c>
      <c r="D126" s="20" t="s">
        <v>749</v>
      </c>
      <c r="E126" s="20">
        <v>45694</v>
      </c>
      <c r="F126" s="19" t="s">
        <v>144</v>
      </c>
      <c r="G126" s="528" t="s">
        <v>773</v>
      </c>
      <c r="H126" s="21">
        <v>90</v>
      </c>
      <c r="I126" s="529" t="s">
        <v>200</v>
      </c>
      <c r="J126" s="21" t="s">
        <v>55</v>
      </c>
      <c r="K126" s="20">
        <v>45698</v>
      </c>
      <c r="L126" s="522" t="s">
        <v>56</v>
      </c>
      <c r="M126" s="346">
        <v>68216.5</v>
      </c>
      <c r="N126" s="346">
        <v>65624.5</v>
      </c>
      <c r="O126" s="522" t="s">
        <v>56</v>
      </c>
      <c r="P126" s="303" t="s">
        <v>201</v>
      </c>
      <c r="Q126" s="705">
        <v>45698</v>
      </c>
      <c r="R126" s="772">
        <v>5410</v>
      </c>
      <c r="S126" s="472">
        <v>5337</v>
      </c>
      <c r="T126" s="7">
        <v>0</v>
      </c>
      <c r="U126" s="734">
        <v>0.99</v>
      </c>
      <c r="V126" s="471">
        <v>45719</v>
      </c>
      <c r="W126" s="473">
        <v>1</v>
      </c>
      <c r="X126" s="473">
        <v>1</v>
      </c>
      <c r="Y126" s="473">
        <v>1</v>
      </c>
      <c r="Z126" s="471">
        <v>45917</v>
      </c>
      <c r="AA126" s="12" t="s">
        <v>774</v>
      </c>
    </row>
    <row r="127" spans="1:27" ht="39.75" customHeight="1">
      <c r="A127" s="300" t="s">
        <v>775</v>
      </c>
      <c r="B127" s="531" t="s">
        <v>50</v>
      </c>
      <c r="C127" s="20">
        <v>45777</v>
      </c>
      <c r="D127" s="20" t="s">
        <v>701</v>
      </c>
      <c r="E127" s="20">
        <v>45700</v>
      </c>
      <c r="F127" s="520" t="s">
        <v>144</v>
      </c>
      <c r="G127" s="528" t="s">
        <v>776</v>
      </c>
      <c r="H127" s="21">
        <v>78</v>
      </c>
      <c r="I127" s="522" t="s">
        <v>201</v>
      </c>
      <c r="J127" s="21" t="s">
        <v>55</v>
      </c>
      <c r="K127" s="20">
        <v>45708</v>
      </c>
      <c r="L127" s="21" t="s">
        <v>56</v>
      </c>
      <c r="M127" s="346">
        <v>56854</v>
      </c>
      <c r="N127" s="429">
        <v>62254</v>
      </c>
      <c r="O127" s="21" t="s">
        <v>56</v>
      </c>
      <c r="P127" s="21" t="s">
        <v>201</v>
      </c>
      <c r="Q127" s="540">
        <v>45696</v>
      </c>
      <c r="R127" s="10">
        <v>5239</v>
      </c>
      <c r="S127" s="10">
        <v>5205</v>
      </c>
      <c r="T127" s="782">
        <v>0</v>
      </c>
      <c r="U127" s="524">
        <f>IFERROR(Table4[[#This Row],[Actual Redline Completed Footage UG]]/Table4[[#This Row],[Footage UG]], 0)</f>
        <v>0.99351021187249478</v>
      </c>
      <c r="V127" s="103">
        <v>45716</v>
      </c>
      <c r="W127" s="271">
        <v>1</v>
      </c>
      <c r="X127" s="271">
        <v>1</v>
      </c>
      <c r="Y127" s="271">
        <v>1</v>
      </c>
      <c r="Z127" s="374">
        <v>45791</v>
      </c>
      <c r="AA127" s="12"/>
    </row>
    <row r="128" spans="1:27" ht="39.75" customHeight="1">
      <c r="A128" s="300" t="s">
        <v>777</v>
      </c>
      <c r="B128" s="305" t="s">
        <v>50</v>
      </c>
      <c r="C128" s="20">
        <v>45742</v>
      </c>
      <c r="D128" s="20" t="s">
        <v>701</v>
      </c>
      <c r="E128" s="20">
        <v>45694</v>
      </c>
      <c r="F128" s="308" t="s">
        <v>144</v>
      </c>
      <c r="G128" s="309" t="s">
        <v>778</v>
      </c>
      <c r="H128" s="21">
        <v>87</v>
      </c>
      <c r="I128" s="307" t="s">
        <v>201</v>
      </c>
      <c r="J128" s="21" t="s">
        <v>55</v>
      </c>
      <c r="K128" s="20">
        <v>45708</v>
      </c>
      <c r="L128" s="307" t="s">
        <v>56</v>
      </c>
      <c r="M128" s="346">
        <v>73639</v>
      </c>
      <c r="N128" s="444">
        <v>73025</v>
      </c>
      <c r="O128" s="307" t="s">
        <v>56</v>
      </c>
      <c r="P128" s="303" t="s">
        <v>201</v>
      </c>
      <c r="Q128" s="819">
        <v>45696</v>
      </c>
      <c r="R128" s="716">
        <v>5868</v>
      </c>
      <c r="S128" s="510">
        <v>5979</v>
      </c>
      <c r="T128" s="782">
        <v>0</v>
      </c>
      <c r="U128" s="524">
        <f>IFERROR(Table4[[#This Row],[Actual Redline Completed Footage UG]]/Table4[[#This Row],[Footage UG]], 0)</f>
        <v>1.018916155419223</v>
      </c>
      <c r="V128" s="103">
        <v>45714</v>
      </c>
      <c r="W128" s="827">
        <v>1</v>
      </c>
      <c r="X128" s="827">
        <v>1</v>
      </c>
      <c r="Y128" s="827">
        <v>1</v>
      </c>
      <c r="Z128" s="374">
        <v>45758</v>
      </c>
      <c r="AA128" s="12"/>
    </row>
    <row r="129" spans="1:30" ht="39.75" customHeight="1">
      <c r="A129" s="300" t="s">
        <v>779</v>
      </c>
      <c r="B129" s="305" t="s">
        <v>50</v>
      </c>
      <c r="C129" s="20">
        <v>45747</v>
      </c>
      <c r="D129" s="308" t="s">
        <v>656</v>
      </c>
      <c r="E129" s="20">
        <v>45700</v>
      </c>
      <c r="F129" s="20" t="s">
        <v>641</v>
      </c>
      <c r="G129" s="309" t="s">
        <v>780</v>
      </c>
      <c r="H129" s="21">
        <v>60</v>
      </c>
      <c r="I129" s="522" t="s">
        <v>201</v>
      </c>
      <c r="J129" s="21" t="s">
        <v>55</v>
      </c>
      <c r="K129" s="20">
        <v>45698</v>
      </c>
      <c r="L129" s="307" t="s">
        <v>56</v>
      </c>
      <c r="M129" s="346">
        <v>54861</v>
      </c>
      <c r="N129" s="429">
        <v>55197</v>
      </c>
      <c r="O129" s="307" t="s">
        <v>56</v>
      </c>
      <c r="P129" s="21" t="s">
        <v>201</v>
      </c>
      <c r="Q129" s="817">
        <v>45698</v>
      </c>
      <c r="R129" s="6">
        <v>4552</v>
      </c>
      <c r="S129" s="6">
        <v>4552</v>
      </c>
      <c r="T129" s="37">
        <v>0</v>
      </c>
      <c r="U129" s="519">
        <f>IFERROR(Table4[[#This Row],[Actual Redline Completed Footage UG]]/Table4[[#This Row],[Footage UG]], 0)</f>
        <v>1</v>
      </c>
      <c r="V129" s="22">
        <v>45727</v>
      </c>
      <c r="W129" s="8">
        <v>1</v>
      </c>
      <c r="X129" s="8">
        <v>1</v>
      </c>
      <c r="Y129" s="8">
        <v>1</v>
      </c>
      <c r="Z129" s="284">
        <v>45811</v>
      </c>
      <c r="AA129" s="12"/>
    </row>
    <row r="130" spans="1:30" ht="39.75" customHeight="1">
      <c r="A130" s="300" t="s">
        <v>781</v>
      </c>
      <c r="B130" s="305" t="s">
        <v>50</v>
      </c>
      <c r="C130" s="20">
        <v>45747</v>
      </c>
      <c r="D130" s="20" t="s">
        <v>102</v>
      </c>
      <c r="E130" s="308">
        <v>45698</v>
      </c>
      <c r="F130" s="308" t="s">
        <v>52</v>
      </c>
      <c r="G130" s="309" t="s">
        <v>782</v>
      </c>
      <c r="H130" s="21">
        <v>87</v>
      </c>
      <c r="I130" s="307" t="s">
        <v>201</v>
      </c>
      <c r="J130" s="21" t="s">
        <v>55</v>
      </c>
      <c r="K130" s="20">
        <v>45699</v>
      </c>
      <c r="L130" s="307" t="s">
        <v>56</v>
      </c>
      <c r="M130" s="346">
        <v>72566</v>
      </c>
      <c r="N130" s="346">
        <v>83382</v>
      </c>
      <c r="O130" s="307" t="s">
        <v>56</v>
      </c>
      <c r="P130" s="303" t="s">
        <v>201</v>
      </c>
      <c r="Q130" s="539">
        <v>45699</v>
      </c>
      <c r="R130" s="10">
        <v>6133</v>
      </c>
      <c r="S130" s="368">
        <v>6133</v>
      </c>
      <c r="T130" s="7">
        <v>0</v>
      </c>
      <c r="U130" s="704">
        <v>0.98</v>
      </c>
      <c r="V130" s="540">
        <v>45721</v>
      </c>
      <c r="W130" s="390">
        <v>1</v>
      </c>
      <c r="X130" s="390">
        <v>1</v>
      </c>
      <c r="Y130" s="390">
        <v>1</v>
      </c>
      <c r="Z130" s="374">
        <v>45917</v>
      </c>
      <c r="AA130" s="94" t="s">
        <v>783</v>
      </c>
    </row>
    <row r="131" spans="1:30" ht="39.75" customHeight="1">
      <c r="A131" s="300" t="s">
        <v>784</v>
      </c>
      <c r="B131" s="531" t="s">
        <v>50</v>
      </c>
      <c r="C131" s="20">
        <v>45838</v>
      </c>
      <c r="D131" s="19" t="s">
        <v>574</v>
      </c>
      <c r="E131" s="20">
        <v>45736</v>
      </c>
      <c r="F131" s="19" t="s">
        <v>635</v>
      </c>
      <c r="G131" s="532" t="s">
        <v>785</v>
      </c>
      <c r="H131" s="21">
        <v>50</v>
      </c>
      <c r="I131" s="529" t="s">
        <v>200</v>
      </c>
      <c r="J131" s="21" t="s">
        <v>55</v>
      </c>
      <c r="K131" s="20">
        <v>45735</v>
      </c>
      <c r="L131" s="21" t="s">
        <v>56</v>
      </c>
      <c r="M131" s="346">
        <v>41285</v>
      </c>
      <c r="N131" s="429">
        <v>40484</v>
      </c>
      <c r="O131" s="21" t="s">
        <v>56</v>
      </c>
      <c r="P131" s="303" t="s">
        <v>201</v>
      </c>
      <c r="Q131" s="540">
        <v>45736</v>
      </c>
      <c r="R131" s="10">
        <v>3415</v>
      </c>
      <c r="S131" s="657">
        <v>3445</v>
      </c>
      <c r="T131" s="11">
        <v>0</v>
      </c>
      <c r="U131" s="519">
        <f>IFERROR(Table4[[#This Row],[Actual Redline Completed Footage UG]]/Table4[[#This Row],[Footage UG]], 0)</f>
        <v>1.0087847730600292</v>
      </c>
      <c r="V131" s="103">
        <v>45749</v>
      </c>
      <c r="W131" s="271">
        <v>1</v>
      </c>
      <c r="X131" s="271">
        <v>1</v>
      </c>
      <c r="Y131" s="271">
        <v>1</v>
      </c>
      <c r="Z131" s="374">
        <v>45859</v>
      </c>
      <c r="AA131" s="12"/>
    </row>
    <row r="132" spans="1:30" ht="39.75" customHeight="1">
      <c r="A132" s="300" t="s">
        <v>786</v>
      </c>
      <c r="B132" s="531" t="s">
        <v>50</v>
      </c>
      <c r="C132" s="20">
        <v>45742</v>
      </c>
      <c r="D132" s="19" t="s">
        <v>726</v>
      </c>
      <c r="E132" s="20">
        <v>45707</v>
      </c>
      <c r="F132" s="19" t="s">
        <v>52</v>
      </c>
      <c r="G132" s="532" t="s">
        <v>787</v>
      </c>
      <c r="H132" s="21">
        <v>0</v>
      </c>
      <c r="I132" s="21" t="s">
        <v>480</v>
      </c>
      <c r="J132" s="21" t="s">
        <v>55</v>
      </c>
      <c r="K132" s="527">
        <v>45716</v>
      </c>
      <c r="L132" s="21" t="s">
        <v>56</v>
      </c>
      <c r="M132" s="346">
        <v>21944.6</v>
      </c>
      <c r="N132" s="429">
        <v>26564</v>
      </c>
      <c r="O132" s="21" t="s">
        <v>56</v>
      </c>
      <c r="P132" s="303" t="s">
        <v>201</v>
      </c>
      <c r="Q132" s="1279">
        <v>45716</v>
      </c>
      <c r="R132" s="680">
        <v>1695</v>
      </c>
      <c r="S132" s="761">
        <v>1634</v>
      </c>
      <c r="T132" s="651">
        <v>0</v>
      </c>
      <c r="U132" s="652">
        <f>IFERROR(Table4[[#This Row],[Actual Redline Completed Footage UG]]/Table4[[#This Row],[Footage UG]], 0)</f>
        <v>0.96401179941002946</v>
      </c>
      <c r="V132" s="103">
        <v>45734</v>
      </c>
      <c r="W132" s="652">
        <v>1</v>
      </c>
      <c r="X132" s="652">
        <v>1</v>
      </c>
      <c r="Y132" s="652">
        <v>1</v>
      </c>
      <c r="Z132" s="374">
        <v>45849</v>
      </c>
      <c r="AA132" s="94" t="s">
        <v>788</v>
      </c>
    </row>
    <row r="133" spans="1:30" ht="39.75" customHeight="1">
      <c r="A133" s="300" t="s">
        <v>789</v>
      </c>
      <c r="B133" s="531" t="s">
        <v>50</v>
      </c>
      <c r="C133" s="20">
        <v>45711</v>
      </c>
      <c r="D133" s="20" t="s">
        <v>647</v>
      </c>
      <c r="E133" s="20">
        <v>45695</v>
      </c>
      <c r="F133" s="19" t="s">
        <v>651</v>
      </c>
      <c r="G133" s="528" t="s">
        <v>790</v>
      </c>
      <c r="H133" s="21">
        <v>0</v>
      </c>
      <c r="I133" s="522" t="s">
        <v>480</v>
      </c>
      <c r="J133" s="21" t="s">
        <v>55</v>
      </c>
      <c r="K133" s="20">
        <v>45695</v>
      </c>
      <c r="L133" s="522" t="s">
        <v>56</v>
      </c>
      <c r="M133" s="346">
        <v>20939.75</v>
      </c>
      <c r="N133" s="429">
        <v>13575.75</v>
      </c>
      <c r="O133" s="522" t="s">
        <v>56</v>
      </c>
      <c r="P133" s="303" t="s">
        <v>201</v>
      </c>
      <c r="Q133" s="133">
        <v>45693</v>
      </c>
      <c r="R133" s="11">
        <v>1235</v>
      </c>
      <c r="S133" s="510">
        <v>1160</v>
      </c>
      <c r="T133" s="651">
        <v>0</v>
      </c>
      <c r="U133" s="652">
        <f>IFERROR(Table4[[#This Row],[Actual Redline Completed Footage UG]]/Table4[[#This Row],[Footage UG]], 0)</f>
        <v>0.93927125506072873</v>
      </c>
      <c r="V133" s="103">
        <v>45727</v>
      </c>
      <c r="W133" s="652">
        <v>1</v>
      </c>
      <c r="X133" s="652">
        <v>1</v>
      </c>
      <c r="Y133" s="652">
        <v>1</v>
      </c>
      <c r="Z133" s="367">
        <v>45888</v>
      </c>
      <c r="AA133" s="94"/>
    </row>
    <row r="134" spans="1:30" ht="39.75" customHeight="1">
      <c r="A134" s="300" t="s">
        <v>791</v>
      </c>
      <c r="B134" s="531" t="s">
        <v>50</v>
      </c>
      <c r="C134" s="20">
        <v>45711</v>
      </c>
      <c r="D134" s="20" t="s">
        <v>440</v>
      </c>
      <c r="E134" s="20">
        <v>45694</v>
      </c>
      <c r="F134" s="20" t="s">
        <v>641</v>
      </c>
      <c r="G134" s="528" t="s">
        <v>792</v>
      </c>
      <c r="H134" s="21">
        <v>0</v>
      </c>
      <c r="I134" s="522" t="s">
        <v>480</v>
      </c>
      <c r="J134" s="21" t="s">
        <v>55</v>
      </c>
      <c r="K134" s="20">
        <v>45686</v>
      </c>
      <c r="L134" s="522" t="s">
        <v>56</v>
      </c>
      <c r="M134" s="346">
        <v>22755.7</v>
      </c>
      <c r="N134" s="346">
        <v>23864.1</v>
      </c>
      <c r="O134" s="522" t="s">
        <v>56</v>
      </c>
      <c r="P134" s="303" t="s">
        <v>201</v>
      </c>
      <c r="Q134" s="540">
        <v>45693</v>
      </c>
      <c r="R134" s="10">
        <v>1735</v>
      </c>
      <c r="S134" s="368">
        <v>1725</v>
      </c>
      <c r="T134" s="36">
        <v>0</v>
      </c>
      <c r="U134" s="704">
        <v>0.99</v>
      </c>
      <c r="V134" s="540">
        <v>45729</v>
      </c>
      <c r="W134" s="524">
        <v>1</v>
      </c>
      <c r="X134" s="524">
        <v>1</v>
      </c>
      <c r="Y134" s="524">
        <v>1</v>
      </c>
      <c r="Z134" s="374">
        <v>45895</v>
      </c>
      <c r="AA134" s="28" t="s">
        <v>793</v>
      </c>
    </row>
    <row r="135" spans="1:30" ht="39.75" customHeight="1">
      <c r="A135" s="538" t="s">
        <v>794</v>
      </c>
      <c r="B135" s="305" t="s">
        <v>50</v>
      </c>
      <c r="C135" s="20">
        <v>45833</v>
      </c>
      <c r="D135" s="308" t="s">
        <v>795</v>
      </c>
      <c r="E135" s="308" t="s">
        <v>343</v>
      </c>
      <c r="F135" s="308" t="s">
        <v>796</v>
      </c>
      <c r="G135" s="447" t="s">
        <v>797</v>
      </c>
      <c r="H135" s="307">
        <v>0</v>
      </c>
      <c r="I135" s="307" t="s">
        <v>200</v>
      </c>
      <c r="J135" s="307" t="s">
        <v>55</v>
      </c>
      <c r="K135" s="301" t="s">
        <v>201</v>
      </c>
      <c r="L135" s="307" t="s">
        <v>56</v>
      </c>
      <c r="M135" s="506">
        <v>289634.75</v>
      </c>
      <c r="N135" s="429">
        <v>296306.83</v>
      </c>
      <c r="O135" s="620" t="s">
        <v>56</v>
      </c>
      <c r="P135" s="303" t="s">
        <v>201</v>
      </c>
      <c r="Q135" s="540">
        <v>45693</v>
      </c>
      <c r="R135" s="384">
        <v>22725</v>
      </c>
      <c r="S135" s="382">
        <v>22085</v>
      </c>
      <c r="T135" s="651">
        <v>0</v>
      </c>
      <c r="U135" s="708">
        <v>1</v>
      </c>
      <c r="V135" s="103">
        <v>45674</v>
      </c>
      <c r="W135" s="271">
        <v>1</v>
      </c>
      <c r="X135" s="271">
        <v>1</v>
      </c>
      <c r="Y135" s="271">
        <v>1</v>
      </c>
      <c r="Z135" s="374">
        <v>45882</v>
      </c>
      <c r="AA135" s="719" t="s">
        <v>798</v>
      </c>
    </row>
    <row r="136" spans="1:30" ht="39.75" customHeight="1">
      <c r="A136" s="300" t="s">
        <v>799</v>
      </c>
      <c r="B136" s="531" t="s">
        <v>50</v>
      </c>
      <c r="C136" s="20">
        <v>45991</v>
      </c>
      <c r="D136" s="20" t="s">
        <v>800</v>
      </c>
      <c r="E136" s="20">
        <v>45743</v>
      </c>
      <c r="F136" s="19" t="s">
        <v>52</v>
      </c>
      <c r="G136" s="532" t="s">
        <v>801</v>
      </c>
      <c r="H136" s="21">
        <v>60</v>
      </c>
      <c r="I136" s="522" t="s">
        <v>200</v>
      </c>
      <c r="J136" s="21" t="s">
        <v>55</v>
      </c>
      <c r="K136" s="20">
        <v>45741</v>
      </c>
      <c r="L136" s="303" t="s">
        <v>56</v>
      </c>
      <c r="M136" s="346">
        <v>47849</v>
      </c>
      <c r="N136" s="346">
        <v>51778</v>
      </c>
      <c r="O136" s="303" t="s">
        <v>56</v>
      </c>
      <c r="P136" s="303" t="s">
        <v>201</v>
      </c>
      <c r="Q136" s="540">
        <v>45744</v>
      </c>
      <c r="R136" s="10">
        <v>4194</v>
      </c>
      <c r="S136" s="368">
        <v>4448</v>
      </c>
      <c r="T136" s="386">
        <v>0</v>
      </c>
      <c r="U136" s="524">
        <v>1.06</v>
      </c>
      <c r="V136" s="374">
        <v>45784</v>
      </c>
      <c r="W136" s="369">
        <v>1</v>
      </c>
      <c r="X136" s="369">
        <v>1</v>
      </c>
      <c r="Y136" s="369">
        <v>1</v>
      </c>
      <c r="Z136" s="374">
        <v>45972</v>
      </c>
      <c r="AA136" s="806" t="s">
        <v>802</v>
      </c>
      <c r="AB136" s="1098">
        <v>1</v>
      </c>
      <c r="AC136" s="368">
        <v>2266</v>
      </c>
      <c r="AD136" s="526"/>
    </row>
    <row r="137" spans="1:30" ht="39.75" customHeight="1">
      <c r="A137" s="300" t="s">
        <v>803</v>
      </c>
      <c r="B137" s="531" t="s">
        <v>50</v>
      </c>
      <c r="C137" s="20">
        <v>45838</v>
      </c>
      <c r="D137" s="19" t="s">
        <v>720</v>
      </c>
      <c r="E137" s="20">
        <v>45824</v>
      </c>
      <c r="F137" s="19" t="s">
        <v>52</v>
      </c>
      <c r="G137" s="528" t="s">
        <v>804</v>
      </c>
      <c r="H137" s="21">
        <v>0</v>
      </c>
      <c r="I137" s="522" t="s">
        <v>200</v>
      </c>
      <c r="J137" s="21" t="s">
        <v>55</v>
      </c>
      <c r="K137" s="20" t="s">
        <v>343</v>
      </c>
      <c r="L137" s="522" t="s">
        <v>56</v>
      </c>
      <c r="M137" s="346">
        <v>1594</v>
      </c>
      <c r="N137" s="346">
        <v>1187.5</v>
      </c>
      <c r="O137" s="522" t="s">
        <v>56</v>
      </c>
      <c r="P137" s="303" t="s">
        <v>201</v>
      </c>
      <c r="Q137" s="540">
        <v>45818</v>
      </c>
      <c r="R137" s="10">
        <v>65</v>
      </c>
      <c r="S137" s="368">
        <v>65</v>
      </c>
      <c r="T137" s="509">
        <v>0</v>
      </c>
      <c r="U137" s="708">
        <v>1</v>
      </c>
      <c r="V137" s="540">
        <v>45831</v>
      </c>
      <c r="W137" s="283">
        <v>1</v>
      </c>
      <c r="X137" s="283">
        <v>1</v>
      </c>
      <c r="Y137" s="283">
        <v>1</v>
      </c>
      <c r="Z137" s="374">
        <v>45859</v>
      </c>
      <c r="AA137" s="646" t="s">
        <v>805</v>
      </c>
    </row>
    <row r="138" spans="1:30" ht="39.75" customHeight="1">
      <c r="A138" s="993" t="s">
        <v>806</v>
      </c>
      <c r="B138" s="314" t="s">
        <v>393</v>
      </c>
      <c r="C138" s="20">
        <v>46045</v>
      </c>
      <c r="D138" s="520" t="s">
        <v>102</v>
      </c>
      <c r="E138" s="20"/>
      <c r="F138" s="19" t="s">
        <v>394</v>
      </c>
      <c r="G138" s="306"/>
      <c r="H138" s="990">
        <v>80</v>
      </c>
      <c r="I138" s="522" t="s">
        <v>200</v>
      </c>
      <c r="J138" s="21" t="s">
        <v>55</v>
      </c>
      <c r="K138" s="20" t="s">
        <v>343</v>
      </c>
      <c r="L138" s="21" t="s">
        <v>56</v>
      </c>
      <c r="M138" s="1073">
        <v>170</v>
      </c>
      <c r="N138" s="346">
        <v>588.79999999999995</v>
      </c>
      <c r="O138" s="21" t="s">
        <v>56</v>
      </c>
      <c r="P138" s="303" t="s">
        <v>201</v>
      </c>
      <c r="Q138" s="516" t="s">
        <v>343</v>
      </c>
      <c r="R138" s="841">
        <v>7137</v>
      </c>
      <c r="S138" s="368">
        <v>7141</v>
      </c>
      <c r="T138" s="1283">
        <v>0</v>
      </c>
      <c r="U138" s="30">
        <v>1</v>
      </c>
      <c r="V138" s="61">
        <v>45964</v>
      </c>
      <c r="W138" s="8">
        <v>1</v>
      </c>
      <c r="X138" s="1052">
        <v>1</v>
      </c>
      <c r="Y138" s="283">
        <v>1</v>
      </c>
      <c r="Z138" s="367">
        <v>45999</v>
      </c>
      <c r="AA138" s="355" t="s">
        <v>807</v>
      </c>
      <c r="AB138" s="1072"/>
      <c r="AC138" s="345"/>
      <c r="AD138" s="703"/>
    </row>
    <row r="139" spans="1:30" ht="39.75" customHeight="1">
      <c r="A139" s="993" t="s">
        <v>808</v>
      </c>
      <c r="B139" s="314" t="s">
        <v>393</v>
      </c>
      <c r="C139" s="20">
        <v>46045</v>
      </c>
      <c r="D139" s="520" t="s">
        <v>102</v>
      </c>
      <c r="E139" s="20"/>
      <c r="F139" s="19" t="s">
        <v>394</v>
      </c>
      <c r="G139" s="306"/>
      <c r="H139" s="990">
        <v>89</v>
      </c>
      <c r="I139" s="522" t="s">
        <v>200</v>
      </c>
      <c r="J139" s="21" t="s">
        <v>55</v>
      </c>
      <c r="K139" s="20" t="s">
        <v>343</v>
      </c>
      <c r="L139" s="21" t="s">
        <v>56</v>
      </c>
      <c r="M139" s="1073">
        <v>26696</v>
      </c>
      <c r="N139" s="346">
        <v>499.4</v>
      </c>
      <c r="O139" s="21" t="s">
        <v>56</v>
      </c>
      <c r="P139" s="303" t="s">
        <v>201</v>
      </c>
      <c r="Q139" s="130" t="s">
        <v>343</v>
      </c>
      <c r="R139" s="1280">
        <v>8153</v>
      </c>
      <c r="S139" s="46">
        <v>8114</v>
      </c>
      <c r="T139" s="793">
        <v>0</v>
      </c>
      <c r="U139" s="1281">
        <v>1</v>
      </c>
      <c r="V139" s="275">
        <v>45964</v>
      </c>
      <c r="W139" s="271">
        <v>1</v>
      </c>
      <c r="X139" s="271">
        <v>1</v>
      </c>
      <c r="Y139" s="271">
        <v>1</v>
      </c>
      <c r="Z139" s="367">
        <v>45999</v>
      </c>
      <c r="AA139" s="355" t="s">
        <v>809</v>
      </c>
      <c r="AB139" s="1072"/>
      <c r="AC139" s="345"/>
      <c r="AD139" s="703"/>
    </row>
    <row r="140" spans="1:30" ht="39.75" customHeight="1">
      <c r="A140" s="300" t="s">
        <v>810</v>
      </c>
      <c r="B140" s="358" t="s">
        <v>393</v>
      </c>
      <c r="C140" s="302">
        <v>46045</v>
      </c>
      <c r="D140" s="513" t="s">
        <v>102</v>
      </c>
      <c r="E140" s="302">
        <v>45959</v>
      </c>
      <c r="F140" s="301" t="s">
        <v>394</v>
      </c>
      <c r="G140" s="504"/>
      <c r="H140" s="832">
        <v>77</v>
      </c>
      <c r="I140" s="522" t="s">
        <v>200</v>
      </c>
      <c r="J140" s="21" t="s">
        <v>55</v>
      </c>
      <c r="K140" s="20" t="s">
        <v>343</v>
      </c>
      <c r="L140" s="21" t="s">
        <v>56</v>
      </c>
      <c r="M140" s="1073">
        <v>4046.5</v>
      </c>
      <c r="N140" s="346">
        <v>7377.15</v>
      </c>
      <c r="O140" s="21" t="s">
        <v>56</v>
      </c>
      <c r="P140" s="303" t="s">
        <v>201</v>
      </c>
      <c r="Q140" s="749" t="s">
        <v>343</v>
      </c>
      <c r="R140" s="1271">
        <v>5136</v>
      </c>
      <c r="S140" s="46">
        <v>5136</v>
      </c>
      <c r="T140" s="793">
        <v>0</v>
      </c>
      <c r="U140" s="1282">
        <v>1</v>
      </c>
      <c r="V140" s="749">
        <v>45964</v>
      </c>
      <c r="W140" s="473">
        <v>1</v>
      </c>
      <c r="X140" s="473">
        <v>1</v>
      </c>
      <c r="Y140" s="473">
        <v>1</v>
      </c>
      <c r="Z140" s="470">
        <v>45999</v>
      </c>
      <c r="AA140" s="1272" t="s">
        <v>811</v>
      </c>
      <c r="AB140" s="1072"/>
      <c r="AC140" s="345"/>
      <c r="AD140" s="703"/>
    </row>
    <row r="141" spans="1:30" ht="39.75" customHeight="1">
      <c r="A141" s="994" t="s">
        <v>812</v>
      </c>
      <c r="B141" s="1345" t="s">
        <v>393</v>
      </c>
      <c r="C141" s="711">
        <v>46045</v>
      </c>
      <c r="D141" s="801" t="s">
        <v>102</v>
      </c>
      <c r="E141" s="711"/>
      <c r="F141" s="622" t="s">
        <v>394</v>
      </c>
      <c r="G141" s="807"/>
      <c r="H141" s="1346">
        <v>62</v>
      </c>
      <c r="I141" s="639" t="s">
        <v>200</v>
      </c>
      <c r="J141" s="626" t="s">
        <v>55</v>
      </c>
      <c r="K141" s="25" t="s">
        <v>343</v>
      </c>
      <c r="L141" s="626" t="s">
        <v>56</v>
      </c>
      <c r="M141" s="1347">
        <v>170</v>
      </c>
      <c r="N141" s="1343">
        <v>948</v>
      </c>
      <c r="O141" s="626" t="s">
        <v>56</v>
      </c>
      <c r="P141" s="640" t="s">
        <v>201</v>
      </c>
      <c r="Q141" s="130" t="s">
        <v>343</v>
      </c>
      <c r="R141" s="793">
        <v>4095</v>
      </c>
      <c r="S141" s="775">
        <v>4088</v>
      </c>
      <c r="T141" s="1342">
        <v>0</v>
      </c>
      <c r="U141" s="81">
        <v>1</v>
      </c>
      <c r="V141" s="275">
        <v>45964</v>
      </c>
      <c r="W141" s="271">
        <v>1</v>
      </c>
      <c r="X141" s="271">
        <v>1</v>
      </c>
      <c r="Y141" s="271">
        <v>1</v>
      </c>
      <c r="Z141" s="367">
        <v>46002</v>
      </c>
      <c r="AA141" s="355" t="s">
        <v>813</v>
      </c>
      <c r="AB141" s="1072"/>
      <c r="AC141" s="345"/>
      <c r="AD141" s="703"/>
    </row>
    <row r="142" spans="1:30" ht="39.75" customHeight="1">
      <c r="A142" s="1065" t="s">
        <v>814</v>
      </c>
      <c r="B142" s="358" t="s">
        <v>393</v>
      </c>
      <c r="C142" s="302">
        <v>46045</v>
      </c>
      <c r="D142" s="769" t="s">
        <v>102</v>
      </c>
      <c r="E142" s="302"/>
      <c r="F142" s="622" t="s">
        <v>394</v>
      </c>
      <c r="G142" s="504"/>
      <c r="H142" s="832">
        <v>80</v>
      </c>
      <c r="I142" s="770" t="s">
        <v>200</v>
      </c>
      <c r="J142" s="771" t="s">
        <v>55</v>
      </c>
      <c r="K142" s="371" t="s">
        <v>343</v>
      </c>
      <c r="L142" s="771" t="s">
        <v>56</v>
      </c>
      <c r="M142" s="1059">
        <v>25891</v>
      </c>
      <c r="N142" s="346">
        <v>618.6</v>
      </c>
      <c r="O142" s="21" t="s">
        <v>56</v>
      </c>
      <c r="P142" s="282" t="s">
        <v>201</v>
      </c>
      <c r="Q142" s="61" t="s">
        <v>343</v>
      </c>
      <c r="R142" s="793">
        <v>5254</v>
      </c>
      <c r="S142" s="386">
        <v>5254</v>
      </c>
      <c r="T142" s="1066">
        <v>0</v>
      </c>
      <c r="U142" s="4">
        <v>1</v>
      </c>
      <c r="V142" s="130">
        <v>45964</v>
      </c>
      <c r="W142" s="283">
        <v>1</v>
      </c>
      <c r="X142" s="283">
        <v>1</v>
      </c>
      <c r="Y142" s="283">
        <v>1</v>
      </c>
      <c r="Z142" s="61">
        <v>46002</v>
      </c>
      <c r="AA142" s="355" t="s">
        <v>813</v>
      </c>
      <c r="AB142" s="345"/>
      <c r="AC142" s="345"/>
      <c r="AD142" s="703"/>
    </row>
    <row r="143" spans="1:30" ht="39.75" customHeight="1">
      <c r="A143" s="993" t="s">
        <v>815</v>
      </c>
      <c r="B143" s="314" t="s">
        <v>393</v>
      </c>
      <c r="C143" s="20">
        <v>46045</v>
      </c>
      <c r="D143" s="520" t="s">
        <v>102</v>
      </c>
      <c r="E143" s="20"/>
      <c r="F143" s="19" t="s">
        <v>394</v>
      </c>
      <c r="G143" s="306"/>
      <c r="H143" s="990">
        <v>83</v>
      </c>
      <c r="I143" s="522" t="s">
        <v>200</v>
      </c>
      <c r="J143" s="21" t="s">
        <v>55</v>
      </c>
      <c r="K143" s="20" t="s">
        <v>343</v>
      </c>
      <c r="L143" s="21" t="s">
        <v>56</v>
      </c>
      <c r="M143" s="1073">
        <v>170</v>
      </c>
      <c r="N143" s="346">
        <v>499.4</v>
      </c>
      <c r="O143" s="21" t="s">
        <v>56</v>
      </c>
      <c r="P143" s="303" t="s">
        <v>201</v>
      </c>
      <c r="Q143" s="1348" t="s">
        <v>343</v>
      </c>
      <c r="R143" s="1047">
        <v>5947</v>
      </c>
      <c r="S143" s="1349">
        <v>5947</v>
      </c>
      <c r="T143" s="1056">
        <v>0</v>
      </c>
      <c r="U143" s="4">
        <v>1</v>
      </c>
      <c r="V143" s="61">
        <v>45964</v>
      </c>
      <c r="W143" s="8">
        <v>1</v>
      </c>
      <c r="X143" s="8">
        <v>1</v>
      </c>
      <c r="Y143" s="8">
        <v>1</v>
      </c>
      <c r="Z143" s="61">
        <v>46002</v>
      </c>
      <c r="AA143" s="1344" t="s">
        <v>816</v>
      </c>
      <c r="AB143" s="345"/>
      <c r="AC143" s="345"/>
      <c r="AD143" s="703"/>
    </row>
    <row r="144" spans="1:30" ht="39.75" customHeight="1">
      <c r="A144" s="994" t="s">
        <v>817</v>
      </c>
      <c r="B144" s="991" t="s">
        <v>393</v>
      </c>
      <c r="C144" s="25">
        <v>46045</v>
      </c>
      <c r="D144" s="641" t="s">
        <v>102</v>
      </c>
      <c r="E144" s="25"/>
      <c r="F144" s="622" t="s">
        <v>394</v>
      </c>
      <c r="G144" s="625"/>
      <c r="H144" s="992">
        <v>85</v>
      </c>
      <c r="I144" s="639" t="s">
        <v>200</v>
      </c>
      <c r="J144" s="626" t="s">
        <v>55</v>
      </c>
      <c r="K144" s="371" t="s">
        <v>343</v>
      </c>
      <c r="L144" s="771" t="s">
        <v>56</v>
      </c>
      <c r="M144" s="1059">
        <v>30788</v>
      </c>
      <c r="N144" s="1343">
        <v>678.2</v>
      </c>
      <c r="O144" s="21" t="s">
        <v>56</v>
      </c>
      <c r="P144" s="282" t="s">
        <v>201</v>
      </c>
      <c r="Q144" s="367" t="s">
        <v>343</v>
      </c>
      <c r="R144" s="793">
        <v>5599</v>
      </c>
      <c r="S144" s="46">
        <v>5599</v>
      </c>
      <c r="T144" s="1057">
        <v>0</v>
      </c>
      <c r="U144" s="483">
        <v>1</v>
      </c>
      <c r="V144" s="61">
        <v>45964</v>
      </c>
      <c r="W144" s="283">
        <v>1</v>
      </c>
      <c r="X144" s="473">
        <v>1</v>
      </c>
      <c r="Y144" s="283">
        <v>1</v>
      </c>
      <c r="Z144" s="367">
        <v>45999</v>
      </c>
      <c r="AA144" s="355" t="s">
        <v>818</v>
      </c>
      <c r="AB144" s="345"/>
      <c r="AC144" s="345"/>
      <c r="AD144" s="703"/>
    </row>
    <row r="145" spans="1:30" ht="39.75" customHeight="1">
      <c r="A145" s="1065" t="s">
        <v>819</v>
      </c>
      <c r="B145" s="358" t="s">
        <v>393</v>
      </c>
      <c r="C145" s="302">
        <v>46045</v>
      </c>
      <c r="D145" s="769" t="s">
        <v>102</v>
      </c>
      <c r="E145" s="363">
        <v>45959</v>
      </c>
      <c r="F145" s="361" t="s">
        <v>394</v>
      </c>
      <c r="G145" s="504"/>
      <c r="H145" s="832">
        <v>88</v>
      </c>
      <c r="I145" s="770" t="s">
        <v>200</v>
      </c>
      <c r="J145" s="771" t="s">
        <v>55</v>
      </c>
      <c r="K145" s="371" t="s">
        <v>343</v>
      </c>
      <c r="L145" s="771" t="s">
        <v>56</v>
      </c>
      <c r="M145" s="1059">
        <v>5668</v>
      </c>
      <c r="N145" s="346">
        <v>588.79999999999995</v>
      </c>
      <c r="O145" s="21" t="s">
        <v>56</v>
      </c>
      <c r="P145" s="282" t="s">
        <v>201</v>
      </c>
      <c r="Q145" s="367" t="s">
        <v>343</v>
      </c>
      <c r="R145" s="793">
        <v>6646</v>
      </c>
      <c r="S145" s="46">
        <v>6623</v>
      </c>
      <c r="T145" s="1056">
        <v>0</v>
      </c>
      <c r="U145" s="4">
        <v>1</v>
      </c>
      <c r="V145" s="61">
        <v>45964</v>
      </c>
      <c r="W145" s="283">
        <v>1</v>
      </c>
      <c r="X145" s="283">
        <v>1</v>
      </c>
      <c r="Y145" s="283">
        <v>1</v>
      </c>
      <c r="Z145" s="367">
        <v>45999</v>
      </c>
      <c r="AA145" s="1141" t="s">
        <v>813</v>
      </c>
      <c r="AB145" s="345"/>
      <c r="AC145" s="345"/>
      <c r="AD145" s="703"/>
    </row>
    <row r="146" spans="1:30" ht="39.75" customHeight="1">
      <c r="A146" s="1065" t="s">
        <v>820</v>
      </c>
      <c r="B146" s="358" t="s">
        <v>393</v>
      </c>
      <c r="C146" s="302">
        <v>46045</v>
      </c>
      <c r="D146" s="769" t="s">
        <v>102</v>
      </c>
      <c r="E146" s="363">
        <v>45959</v>
      </c>
      <c r="F146" s="361" t="s">
        <v>394</v>
      </c>
      <c r="G146" s="504"/>
      <c r="H146" s="832">
        <v>30</v>
      </c>
      <c r="I146" s="770" t="s">
        <v>200</v>
      </c>
      <c r="J146" s="771" t="s">
        <v>55</v>
      </c>
      <c r="K146" s="371" t="s">
        <v>343</v>
      </c>
      <c r="L146" s="771" t="s">
        <v>56</v>
      </c>
      <c r="M146" s="1059">
        <v>170</v>
      </c>
      <c r="N146" s="346">
        <v>499.4</v>
      </c>
      <c r="O146" s="21" t="s">
        <v>56</v>
      </c>
      <c r="P146" s="282" t="s">
        <v>201</v>
      </c>
      <c r="Q146" s="367" t="s">
        <v>343</v>
      </c>
      <c r="R146" s="793">
        <v>2136</v>
      </c>
      <c r="S146" s="46">
        <v>2136</v>
      </c>
      <c r="T146" s="1056">
        <v>0</v>
      </c>
      <c r="U146" s="4">
        <v>1</v>
      </c>
      <c r="V146" s="61">
        <v>45973</v>
      </c>
      <c r="W146" s="283">
        <v>1</v>
      </c>
      <c r="X146" s="283">
        <v>1</v>
      </c>
      <c r="Y146" s="283">
        <v>1</v>
      </c>
      <c r="Z146" s="61">
        <v>46002</v>
      </c>
      <c r="AA146" s="1084" t="s">
        <v>821</v>
      </c>
      <c r="AB146" s="345"/>
      <c r="AC146" s="345"/>
      <c r="AD146" s="703"/>
    </row>
    <row r="147" spans="1:30" ht="39.75" customHeight="1">
      <c r="A147" s="816"/>
      <c r="B147" s="433"/>
      <c r="C147" s="434"/>
      <c r="D147" s="434"/>
      <c r="E147" s="434"/>
      <c r="F147" s="485"/>
      <c r="G147" s="435"/>
      <c r="H147" s="56"/>
      <c r="I147" s="486"/>
      <c r="J147" s="56"/>
      <c r="K147" s="433"/>
      <c r="L147" s="56"/>
      <c r="M147" s="436"/>
      <c r="N147" s="437"/>
      <c r="O147" s="56"/>
      <c r="P147" s="56"/>
      <c r="Q147" s="419"/>
      <c r="R147" s="438"/>
      <c r="S147" s="438"/>
      <c r="T147" s="486"/>
      <c r="U147" s="353"/>
      <c r="V147" s="419"/>
      <c r="W147" s="354"/>
      <c r="X147" s="354"/>
      <c r="Y147" s="354"/>
      <c r="Z147" s="419"/>
    </row>
    <row r="148" spans="1:30" ht="39.75" customHeight="1">
      <c r="A148" s="659" t="s">
        <v>822</v>
      </c>
      <c r="B148" s="433"/>
      <c r="C148" s="434"/>
      <c r="D148" s="434"/>
      <c r="E148" s="434"/>
      <c r="F148" s="485"/>
      <c r="G148" s="435"/>
      <c r="H148" s="56"/>
      <c r="I148" s="486"/>
      <c r="J148" s="56"/>
      <c r="K148" s="433"/>
      <c r="L148" s="56"/>
      <c r="M148" s="436"/>
      <c r="N148" s="437">
        <v>31333</v>
      </c>
      <c r="O148" s="56"/>
      <c r="P148" s="56"/>
      <c r="Q148" s="419"/>
      <c r="R148" s="438"/>
      <c r="S148" s="438"/>
      <c r="T148" s="486"/>
      <c r="U148" s="353"/>
      <c r="V148" s="419"/>
      <c r="W148" s="354"/>
      <c r="X148" s="354"/>
      <c r="Y148" s="354"/>
      <c r="Z148" s="419"/>
    </row>
    <row r="149" spans="1:30" ht="39.75" customHeight="1">
      <c r="A149" s="453"/>
      <c r="B149" s="433"/>
      <c r="C149" s="434"/>
      <c r="D149" s="434"/>
      <c r="E149" s="434"/>
      <c r="F149" s="485"/>
      <c r="G149" s="435"/>
      <c r="H149" s="56"/>
      <c r="I149" s="486"/>
      <c r="J149" s="56"/>
      <c r="K149" s="433"/>
      <c r="L149" s="56"/>
      <c r="M149" s="436">
        <v>7846737.3700000001</v>
      </c>
      <c r="N149" s="437">
        <v>8017022.8099999996</v>
      </c>
      <c r="O149" s="56"/>
      <c r="P149" s="56"/>
      <c r="Q149" s="419"/>
      <c r="R149" s="438"/>
      <c r="S149" s="438"/>
      <c r="T149" s="486"/>
      <c r="U149" s="353"/>
      <c r="V149" s="419"/>
      <c r="W149" s="354"/>
      <c r="X149" s="354"/>
      <c r="Y149" s="354"/>
      <c r="Z149" s="419"/>
    </row>
    <row r="150" spans="1:30" ht="39.75" customHeight="1">
      <c r="A150" s="188"/>
      <c r="Q150" s="43"/>
    </row>
    <row r="151" spans="1:30" ht="39.75" customHeight="1">
      <c r="A151" s="439" t="s">
        <v>823</v>
      </c>
      <c r="B151" s="440"/>
    </row>
    <row r="152" spans="1:30" ht="39.75" customHeight="1">
      <c r="A152" s="345" t="s">
        <v>327</v>
      </c>
      <c r="B152" s="442" t="s">
        <v>20</v>
      </c>
      <c r="C152" s="450" t="s">
        <v>21</v>
      </c>
      <c r="D152" s="442" t="s">
        <v>22</v>
      </c>
      <c r="E152" s="442" t="s">
        <v>23</v>
      </c>
      <c r="F152" s="442" t="s">
        <v>24</v>
      </c>
      <c r="G152" s="442" t="s">
        <v>25</v>
      </c>
      <c r="H152" s="442" t="s">
        <v>26</v>
      </c>
      <c r="I152" s="442" t="s">
        <v>27</v>
      </c>
      <c r="J152" s="442" t="s">
        <v>28</v>
      </c>
      <c r="K152" s="442" t="s">
        <v>30</v>
      </c>
      <c r="L152" s="442" t="s">
        <v>31</v>
      </c>
      <c r="M152" s="451" t="s">
        <v>32</v>
      </c>
      <c r="N152" s="451" t="s">
        <v>437</v>
      </c>
      <c r="O152" s="442" t="s">
        <v>33</v>
      </c>
      <c r="P152" s="442" t="s">
        <v>34</v>
      </c>
      <c r="Q152" s="442" t="s">
        <v>35</v>
      </c>
      <c r="R152" s="442" t="s">
        <v>40</v>
      </c>
      <c r="S152" s="442" t="s">
        <v>41</v>
      </c>
      <c r="T152" s="442" t="s">
        <v>47</v>
      </c>
      <c r="U152" s="442" t="s">
        <v>43</v>
      </c>
      <c r="V152" s="442" t="s">
        <v>44</v>
      </c>
      <c r="W152" s="452" t="s">
        <v>45</v>
      </c>
      <c r="X152" s="442" t="s">
        <v>46</v>
      </c>
      <c r="Y152" s="442" t="s">
        <v>438</v>
      </c>
      <c r="Z152" s="359" t="s">
        <v>39</v>
      </c>
      <c r="AA152" s="460" t="s">
        <v>824</v>
      </c>
    </row>
    <row r="153" spans="1:30" ht="39.75" customHeight="1">
      <c r="A153" s="603" t="s">
        <v>825</v>
      </c>
      <c r="B153" s="667" t="s">
        <v>137</v>
      </c>
      <c r="C153" s="363">
        <v>45960</v>
      </c>
      <c r="D153" s="363" t="s">
        <v>151</v>
      </c>
      <c r="E153" s="363">
        <v>45852</v>
      </c>
      <c r="F153" s="508" t="s">
        <v>152</v>
      </c>
      <c r="G153" s="544" t="s">
        <v>826</v>
      </c>
      <c r="H153" s="365">
        <v>0</v>
      </c>
      <c r="I153" s="365" t="s">
        <v>200</v>
      </c>
      <c r="J153" s="365" t="s">
        <v>55</v>
      </c>
      <c r="K153" s="363">
        <v>45852</v>
      </c>
      <c r="L153" s="365" t="s">
        <v>56</v>
      </c>
      <c r="M153" s="787">
        <v>42837.2</v>
      </c>
      <c r="N153" s="421"/>
      <c r="O153" s="365" t="s">
        <v>56</v>
      </c>
      <c r="P153" s="605" t="s">
        <v>201</v>
      </c>
      <c r="Q153" s="367">
        <v>45852</v>
      </c>
      <c r="R153" s="761">
        <v>3432</v>
      </c>
      <c r="S153" s="762">
        <v>3519</v>
      </c>
      <c r="T153" s="46">
        <v>0</v>
      </c>
      <c r="U153" s="519">
        <v>1.03</v>
      </c>
      <c r="V153" s="540">
        <v>45866</v>
      </c>
      <c r="W153" s="283">
        <v>1</v>
      </c>
      <c r="X153" s="283">
        <v>1</v>
      </c>
      <c r="Y153" s="473">
        <v>1</v>
      </c>
      <c r="Z153" s="379" t="s">
        <v>458</v>
      </c>
      <c r="AA153" s="420"/>
    </row>
    <row r="154" spans="1:30" ht="39.75" customHeight="1">
      <c r="A154" s="603" t="s">
        <v>827</v>
      </c>
      <c r="B154" s="667" t="s">
        <v>137</v>
      </c>
      <c r="C154" s="363">
        <v>45960</v>
      </c>
      <c r="D154" s="363" t="s">
        <v>828</v>
      </c>
      <c r="E154" s="363">
        <v>45897</v>
      </c>
      <c r="F154" s="361" t="s">
        <v>141</v>
      </c>
      <c r="G154" s="544"/>
      <c r="H154" s="365">
        <v>0</v>
      </c>
      <c r="I154" s="523" t="s">
        <v>200</v>
      </c>
      <c r="J154" s="365" t="s">
        <v>55</v>
      </c>
      <c r="K154" s="363">
        <v>45891</v>
      </c>
      <c r="L154" s="303" t="s">
        <v>56</v>
      </c>
      <c r="M154" s="349">
        <v>184994.5</v>
      </c>
      <c r="N154" s="1306"/>
      <c r="O154" s="365" t="s">
        <v>56</v>
      </c>
      <c r="P154" s="605" t="s">
        <v>201</v>
      </c>
      <c r="Q154" s="367">
        <v>45891</v>
      </c>
      <c r="R154" s="636">
        <v>14790</v>
      </c>
      <c r="S154" s="762">
        <v>14871</v>
      </c>
      <c r="T154" s="1242">
        <v>0</v>
      </c>
      <c r="U154" s="519">
        <v>1.01</v>
      </c>
      <c r="V154" s="540">
        <v>45910</v>
      </c>
      <c r="W154" s="283">
        <v>1</v>
      </c>
      <c r="X154" s="283">
        <v>0</v>
      </c>
      <c r="Y154" s="283">
        <v>0</v>
      </c>
      <c r="Z154" s="367">
        <v>46059</v>
      </c>
      <c r="AA154" s="1241" t="s">
        <v>829</v>
      </c>
    </row>
    <row r="155" spans="1:30" ht="39.75" customHeight="1">
      <c r="A155" s="1296" t="s">
        <v>830</v>
      </c>
      <c r="B155" s="1049" t="s">
        <v>137</v>
      </c>
      <c r="C155" s="725">
        <v>45999</v>
      </c>
      <c r="D155" s="729" t="s">
        <v>125</v>
      </c>
      <c r="E155" s="779">
        <v>45975</v>
      </c>
      <c r="F155" s="729" t="s">
        <v>144</v>
      </c>
      <c r="G155" s="780" t="s">
        <v>831</v>
      </c>
      <c r="H155" s="771">
        <v>0</v>
      </c>
      <c r="I155" s="728" t="s">
        <v>200</v>
      </c>
      <c r="J155" s="727" t="s">
        <v>55</v>
      </c>
      <c r="K155" s="672">
        <v>45960</v>
      </c>
      <c r="L155" s="21" t="s">
        <v>56</v>
      </c>
      <c r="M155" s="346">
        <v>4911.8999999999996</v>
      </c>
      <c r="N155" s="1307"/>
      <c r="O155" s="771" t="s">
        <v>56</v>
      </c>
      <c r="P155" s="1299" t="s">
        <v>201</v>
      </c>
      <c r="Q155" s="471">
        <v>45960</v>
      </c>
      <c r="R155" s="772">
        <v>294</v>
      </c>
      <c r="S155" s="879">
        <v>321</v>
      </c>
      <c r="T155" s="472">
        <v>0</v>
      </c>
      <c r="U155" s="766">
        <f>IFERROR($S155/$R155, 0)</f>
        <v>1.0918367346938775</v>
      </c>
      <c r="V155" s="471">
        <v>45979</v>
      </c>
      <c r="W155" s="473">
        <v>1</v>
      </c>
      <c r="X155" s="473">
        <v>1</v>
      </c>
      <c r="Y155" s="473">
        <v>1</v>
      </c>
      <c r="Z155" s="379" t="s">
        <v>458</v>
      </c>
      <c r="AA155" s="676" t="s">
        <v>832</v>
      </c>
    </row>
    <row r="156" spans="1:30" ht="39.75" customHeight="1">
      <c r="A156" s="603" t="s">
        <v>833</v>
      </c>
      <c r="B156" s="667" t="s">
        <v>137</v>
      </c>
      <c r="C156" s="363">
        <v>45960</v>
      </c>
      <c r="D156" s="371" t="s">
        <v>138</v>
      </c>
      <c r="E156" s="371">
        <v>45950</v>
      </c>
      <c r="F156" s="370" t="s">
        <v>141</v>
      </c>
      <c r="G156" s="664"/>
      <c r="H156" s="668">
        <v>80</v>
      </c>
      <c r="I156" s="665" t="s">
        <v>200</v>
      </c>
      <c r="J156" s="668" t="s">
        <v>55</v>
      </c>
      <c r="K156" s="856">
        <v>45905</v>
      </c>
      <c r="L156" s="522" t="s">
        <v>56</v>
      </c>
      <c r="M156" s="1311">
        <v>66674.3</v>
      </c>
      <c r="N156" s="1308"/>
      <c r="O156" s="665" t="s">
        <v>56</v>
      </c>
      <c r="P156" s="605" t="s">
        <v>201</v>
      </c>
      <c r="Q156" s="374">
        <v>45922</v>
      </c>
      <c r="R156" s="777">
        <v>5285</v>
      </c>
      <c r="S156" s="1140">
        <v>5305</v>
      </c>
      <c r="T156" s="6">
        <v>0</v>
      </c>
      <c r="U156" s="519">
        <f>IFERROR(Table5[[#This Row],[Actual Redline Completed Footage UG]]/Table5[[#This Row],[Footage UG]], 0)</f>
        <v>1.0037842951750235</v>
      </c>
      <c r="V156" s="540">
        <v>45954</v>
      </c>
      <c r="W156" s="473">
        <v>1</v>
      </c>
      <c r="X156" s="473">
        <v>1</v>
      </c>
      <c r="Y156" s="473">
        <v>1</v>
      </c>
      <c r="Z156" s="379" t="s">
        <v>458</v>
      </c>
      <c r="AA156" s="1252" t="s">
        <v>834</v>
      </c>
    </row>
    <row r="157" spans="1:30" ht="39.75" customHeight="1">
      <c r="A157" s="603" t="s">
        <v>835</v>
      </c>
      <c r="B157" s="667" t="s">
        <v>137</v>
      </c>
      <c r="C157" s="363">
        <v>45960</v>
      </c>
      <c r="D157" s="371" t="s">
        <v>138</v>
      </c>
      <c r="E157" s="371">
        <v>45937</v>
      </c>
      <c r="F157" s="370" t="s">
        <v>141</v>
      </c>
      <c r="G157" s="664"/>
      <c r="H157" s="668">
        <v>82</v>
      </c>
      <c r="I157" s="665" t="s">
        <v>200</v>
      </c>
      <c r="J157" s="668" t="s">
        <v>55</v>
      </c>
      <c r="K157" s="371">
        <v>45903</v>
      </c>
      <c r="L157" s="665" t="s">
        <v>56</v>
      </c>
      <c r="M157" s="1351">
        <v>93666.75</v>
      </c>
      <c r="N157" s="1305"/>
      <c r="O157" s="665" t="s">
        <v>56</v>
      </c>
      <c r="P157" s="605" t="s">
        <v>201</v>
      </c>
      <c r="Q157" s="374">
        <v>45897</v>
      </c>
      <c r="R157" s="839">
        <v>7883</v>
      </c>
      <c r="S157" s="604">
        <v>7909</v>
      </c>
      <c r="T157" s="6">
        <v>0</v>
      </c>
      <c r="U157" s="519">
        <f>IFERROR(Table5[[#This Row],[Actual Redline Completed Footage UG]]/Table5[[#This Row],[Footage UG]], 0)</f>
        <v>1.0032982367119117</v>
      </c>
      <c r="V157" s="540">
        <v>45945</v>
      </c>
      <c r="W157" s="473">
        <v>1</v>
      </c>
      <c r="X157" s="473">
        <v>1</v>
      </c>
      <c r="Y157" s="473">
        <v>1</v>
      </c>
      <c r="Z157" s="367">
        <v>46079</v>
      </c>
      <c r="AA157" s="1081" t="s">
        <v>336</v>
      </c>
    </row>
    <row r="158" spans="1:30" ht="39.75" customHeight="1">
      <c r="A158" s="800" t="s">
        <v>836</v>
      </c>
      <c r="B158" s="667" t="s">
        <v>137</v>
      </c>
      <c r="C158" s="371">
        <v>45807</v>
      </c>
      <c r="D158" s="361" t="s">
        <v>440</v>
      </c>
      <c r="E158" s="370" t="s">
        <v>343</v>
      </c>
      <c r="F158" s="361" t="s">
        <v>152</v>
      </c>
      <c r="G158" s="661" t="s">
        <v>837</v>
      </c>
      <c r="H158" s="365">
        <v>84</v>
      </c>
      <c r="I158" s="665" t="s">
        <v>200</v>
      </c>
      <c r="J158" s="373" t="s">
        <v>55</v>
      </c>
      <c r="K158" s="363">
        <v>45716</v>
      </c>
      <c r="L158" s="1309" t="s">
        <v>56</v>
      </c>
      <c r="M158" s="1310">
        <v>2812.95</v>
      </c>
      <c r="N158" s="421"/>
      <c r="O158" s="373" t="s">
        <v>56</v>
      </c>
      <c r="P158" s="605" t="s">
        <v>201</v>
      </c>
      <c r="Q158" s="374">
        <v>45792</v>
      </c>
      <c r="R158" s="10">
        <v>285</v>
      </c>
      <c r="S158" s="798">
        <v>285</v>
      </c>
      <c r="T158" s="368">
        <f>SUM(R158-S158)</f>
        <v>0</v>
      </c>
      <c r="U158" s="524">
        <f>IFERROR($S158/$R158, 0)</f>
        <v>1</v>
      </c>
      <c r="V158" s="374">
        <v>45798</v>
      </c>
      <c r="W158" s="524">
        <v>1</v>
      </c>
      <c r="X158" s="524">
        <v>1</v>
      </c>
      <c r="Y158" s="473">
        <v>1</v>
      </c>
      <c r="Z158" s="379" t="s">
        <v>458</v>
      </c>
      <c r="AA158" s="526"/>
    </row>
    <row r="159" spans="1:30" ht="39.75" customHeight="1">
      <c r="A159" s="603" t="s">
        <v>838</v>
      </c>
      <c r="B159" s="667" t="s">
        <v>137</v>
      </c>
      <c r="C159" s="363">
        <v>45991</v>
      </c>
      <c r="D159" s="370" t="s">
        <v>151</v>
      </c>
      <c r="E159" s="371">
        <v>45880</v>
      </c>
      <c r="F159" s="370" t="s">
        <v>152</v>
      </c>
      <c r="G159" s="661" t="s">
        <v>839</v>
      </c>
      <c r="H159" s="373">
        <v>57</v>
      </c>
      <c r="I159" s="665" t="s">
        <v>200</v>
      </c>
      <c r="J159" s="373" t="s">
        <v>55</v>
      </c>
      <c r="K159" s="371">
        <v>45863</v>
      </c>
      <c r="L159" s="373" t="s">
        <v>56</v>
      </c>
      <c r="M159" s="1251">
        <v>49223.7</v>
      </c>
      <c r="N159" s="1305"/>
      <c r="O159" s="373" t="s">
        <v>56</v>
      </c>
      <c r="P159" s="605" t="s">
        <v>201</v>
      </c>
      <c r="Q159" s="374">
        <v>45863</v>
      </c>
      <c r="R159" s="368">
        <v>3649</v>
      </c>
      <c r="S159" s="762">
        <v>3557</v>
      </c>
      <c r="T159" s="6">
        <v>0</v>
      </c>
      <c r="U159" s="519">
        <f>IFERROR(Table5[[#This Row],[Actual Redline Completed Footage UG]]/Table5[[#This Row],[Footage UG]], 0)</f>
        <v>0.97478761304466977</v>
      </c>
      <c r="V159" s="374">
        <v>45916</v>
      </c>
      <c r="W159" s="283">
        <v>1</v>
      </c>
      <c r="X159" s="283">
        <v>1</v>
      </c>
      <c r="Y159" s="473">
        <v>1</v>
      </c>
      <c r="Z159" s="379" t="s">
        <v>458</v>
      </c>
      <c r="AA159" s="1241" t="s">
        <v>840</v>
      </c>
    </row>
    <row r="160" spans="1:30" ht="39.75" customHeight="1">
      <c r="A160" s="603" t="s">
        <v>841</v>
      </c>
      <c r="B160" s="667" t="s">
        <v>137</v>
      </c>
      <c r="C160" s="363">
        <v>45991</v>
      </c>
      <c r="D160" s="370" t="s">
        <v>151</v>
      </c>
      <c r="E160" s="371">
        <v>45880</v>
      </c>
      <c r="F160" s="370" t="s">
        <v>152</v>
      </c>
      <c r="G160" s="661" t="s">
        <v>842</v>
      </c>
      <c r="H160" s="373">
        <v>75</v>
      </c>
      <c r="I160" s="665" t="s">
        <v>200</v>
      </c>
      <c r="J160" s="373" t="s">
        <v>55</v>
      </c>
      <c r="K160" s="371">
        <v>45879</v>
      </c>
      <c r="L160" s="373" t="s">
        <v>56</v>
      </c>
      <c r="M160" s="1251">
        <v>68151.75</v>
      </c>
      <c r="N160" s="1305"/>
      <c r="O160" s="373" t="s">
        <v>56</v>
      </c>
      <c r="P160" s="605" t="s">
        <v>201</v>
      </c>
      <c r="Q160" s="374">
        <v>45881</v>
      </c>
      <c r="R160" s="840">
        <v>5362</v>
      </c>
      <c r="S160" s="388">
        <v>5236</v>
      </c>
      <c r="T160" s="6">
        <v>0</v>
      </c>
      <c r="U160" s="519">
        <f>IFERROR(Table5[[#This Row],[Actual Redline Completed Footage UG]]/Table5[[#This Row],[Footage UG]], 0)</f>
        <v>0.97650130548302871</v>
      </c>
      <c r="V160" s="540">
        <v>45926</v>
      </c>
      <c r="W160" s="283">
        <v>1</v>
      </c>
      <c r="X160" s="283">
        <v>1</v>
      </c>
      <c r="Y160" s="473">
        <v>1</v>
      </c>
      <c r="Z160" s="379" t="s">
        <v>458</v>
      </c>
      <c r="AA160" s="1327"/>
    </row>
    <row r="161" spans="1:27" ht="39.75" customHeight="1">
      <c r="A161" s="1090" t="s">
        <v>843</v>
      </c>
      <c r="B161" s="667" t="s">
        <v>137</v>
      </c>
      <c r="C161" s="894">
        <v>46079</v>
      </c>
      <c r="D161" s="906" t="s">
        <v>138</v>
      </c>
      <c r="E161" s="905">
        <v>46055</v>
      </c>
      <c r="F161" s="906" t="s">
        <v>141</v>
      </c>
      <c r="G161" s="905" t="s">
        <v>844</v>
      </c>
      <c r="H161" s="907">
        <v>0</v>
      </c>
      <c r="I161" s="896" t="s">
        <v>200</v>
      </c>
      <c r="J161" s="668" t="s">
        <v>55</v>
      </c>
      <c r="K161" s="905" t="s">
        <v>343</v>
      </c>
      <c r="L161" s="907" t="s">
        <v>56</v>
      </c>
      <c r="M161" s="1253">
        <v>11518.95</v>
      </c>
      <c r="N161" s="1305"/>
      <c r="O161" s="907" t="s">
        <v>56</v>
      </c>
      <c r="P161" s="1092" t="s">
        <v>201</v>
      </c>
      <c r="Q161" s="910">
        <v>46056</v>
      </c>
      <c r="R161" s="949">
        <v>881</v>
      </c>
      <c r="S161" s="1093">
        <v>817</v>
      </c>
      <c r="T161" s="6">
        <v>0</v>
      </c>
      <c r="U161" s="519">
        <f>IFERROR(Table5[[#This Row],[Actual Redline Completed Footage UG]]/Table5[[#This Row],[Footage UG]], 0)</f>
        <v>0.92735527809307605</v>
      </c>
      <c r="V161" s="910">
        <v>46063</v>
      </c>
      <c r="W161" s="902">
        <v>1</v>
      </c>
      <c r="X161" s="902">
        <v>0</v>
      </c>
      <c r="Y161" s="283">
        <v>0</v>
      </c>
      <c r="Z161" s="367">
        <v>46072</v>
      </c>
      <c r="AA161" s="903" t="s">
        <v>845</v>
      </c>
    </row>
    <row r="162" spans="1:27" ht="39.75" customHeight="1">
      <c r="A162" s="1090" t="s">
        <v>846</v>
      </c>
      <c r="B162" s="667" t="s">
        <v>137</v>
      </c>
      <c r="C162" s="905">
        <v>46011</v>
      </c>
      <c r="D162" s="906" t="s">
        <v>138</v>
      </c>
      <c r="E162" s="905">
        <v>45923</v>
      </c>
      <c r="F162" s="906" t="s">
        <v>141</v>
      </c>
      <c r="G162" s="906" t="s">
        <v>847</v>
      </c>
      <c r="H162" s="907">
        <v>0</v>
      </c>
      <c r="I162" s="665" t="s">
        <v>200</v>
      </c>
      <c r="J162" s="907" t="s">
        <v>55</v>
      </c>
      <c r="K162" s="905" t="s">
        <v>343</v>
      </c>
      <c r="L162" s="907" t="s">
        <v>56</v>
      </c>
      <c r="M162" s="1253">
        <v>139581.6</v>
      </c>
      <c r="N162" s="1305"/>
      <c r="O162" s="907" t="s">
        <v>56</v>
      </c>
      <c r="P162" s="1092" t="s">
        <v>201</v>
      </c>
      <c r="Q162" s="910">
        <v>45918</v>
      </c>
      <c r="R162" s="777">
        <v>11150</v>
      </c>
      <c r="S162" s="1093">
        <v>10923</v>
      </c>
      <c r="T162" s="6">
        <v>0</v>
      </c>
      <c r="U162" s="519">
        <f>IFERROR(Table5[[#This Row],[Actual Redline Completed Footage UG]]/Table5[[#This Row],[Footage UG]], 0)</f>
        <v>0.97964125560538118</v>
      </c>
      <c r="V162" s="910">
        <v>46027</v>
      </c>
      <c r="W162" s="283">
        <v>1</v>
      </c>
      <c r="X162" s="902">
        <v>0</v>
      </c>
      <c r="Y162" s="283">
        <v>0</v>
      </c>
      <c r="Z162" s="367">
        <v>46078</v>
      </c>
      <c r="AA162" s="922" t="s">
        <v>848</v>
      </c>
    </row>
    <row r="163" spans="1:27" ht="39.75" customHeight="1">
      <c r="A163" s="300" t="s">
        <v>849</v>
      </c>
      <c r="B163" s="314" t="s">
        <v>137</v>
      </c>
      <c r="C163" s="20">
        <v>45711</v>
      </c>
      <c r="D163" s="19" t="s">
        <v>102</v>
      </c>
      <c r="E163" s="20">
        <v>45707</v>
      </c>
      <c r="F163" s="19" t="s">
        <v>850</v>
      </c>
      <c r="G163" s="306" t="s">
        <v>851</v>
      </c>
      <c r="H163" s="21">
        <v>0</v>
      </c>
      <c r="I163" s="307" t="s">
        <v>200</v>
      </c>
      <c r="J163" s="21" t="s">
        <v>55</v>
      </c>
      <c r="K163" s="20">
        <v>45701</v>
      </c>
      <c r="L163" s="21" t="s">
        <v>56</v>
      </c>
      <c r="M163" s="346">
        <v>111163</v>
      </c>
      <c r="N163" s="597"/>
      <c r="O163" s="21" t="s">
        <v>56</v>
      </c>
      <c r="P163" s="461" t="s">
        <v>201</v>
      </c>
      <c r="Q163" s="374">
        <v>45718</v>
      </c>
      <c r="R163" s="10">
        <v>7805</v>
      </c>
      <c r="S163" s="393">
        <v>7969</v>
      </c>
      <c r="T163" s="37">
        <v>0</v>
      </c>
      <c r="U163" s="30">
        <f>IFERROR(Table5[[#This Row],[Actual Redline Completed Footage UG]]/Table5[[#This Row],[Footage UG]], 0)</f>
        <v>1.0210121716848175</v>
      </c>
      <c r="V163" s="540">
        <v>45740</v>
      </c>
      <c r="W163" s="389">
        <v>1</v>
      </c>
      <c r="X163" s="283">
        <v>1</v>
      </c>
      <c r="Y163" s="283">
        <v>1</v>
      </c>
      <c r="Z163" s="374">
        <v>45854</v>
      </c>
      <c r="AA163" s="12"/>
    </row>
    <row r="164" spans="1:27" ht="39.75" customHeight="1">
      <c r="A164" s="603" t="s">
        <v>852</v>
      </c>
      <c r="B164" s="667" t="s">
        <v>137</v>
      </c>
      <c r="C164" s="363">
        <v>45960</v>
      </c>
      <c r="D164" s="370" t="s">
        <v>138</v>
      </c>
      <c r="E164" s="371">
        <v>45966</v>
      </c>
      <c r="F164" s="370" t="s">
        <v>141</v>
      </c>
      <c r="G164" s="661"/>
      <c r="H164" s="373">
        <v>0</v>
      </c>
      <c r="I164" s="665" t="s">
        <v>200</v>
      </c>
      <c r="J164" s="373" t="s">
        <v>55</v>
      </c>
      <c r="K164" s="371" t="s">
        <v>343</v>
      </c>
      <c r="L164" s="373" t="s">
        <v>56</v>
      </c>
      <c r="M164" s="1251">
        <v>29960</v>
      </c>
      <c r="N164" s="597"/>
      <c r="O164" s="373" t="s">
        <v>56</v>
      </c>
      <c r="P164" s="605" t="s">
        <v>201</v>
      </c>
      <c r="Q164" s="374">
        <v>45922</v>
      </c>
      <c r="R164" s="680">
        <v>2372</v>
      </c>
      <c r="S164" s="388">
        <v>2326</v>
      </c>
      <c r="T164" s="37">
        <v>0</v>
      </c>
      <c r="U164" s="4">
        <f>IFERROR(Table5[[#This Row],[Actual Redline Completed Footage UG]]/Table5[[#This Row],[Footage UG]], 0)</f>
        <v>0.98060708263069141</v>
      </c>
      <c r="V164" s="374">
        <v>45968</v>
      </c>
      <c r="W164" s="283">
        <v>0</v>
      </c>
      <c r="X164" s="283">
        <v>0</v>
      </c>
      <c r="Y164" s="283">
        <v>0</v>
      </c>
      <c r="Z164" s="379" t="s">
        <v>458</v>
      </c>
      <c r="AA164" s="1241" t="s">
        <v>853</v>
      </c>
    </row>
    <row r="165" spans="1:27" ht="39.75" customHeight="1">
      <c r="A165" s="603" t="s">
        <v>854</v>
      </c>
      <c r="B165" s="667" t="s">
        <v>137</v>
      </c>
      <c r="C165" s="363">
        <v>45960</v>
      </c>
      <c r="D165" s="370" t="s">
        <v>138</v>
      </c>
      <c r="E165" s="371">
        <v>45944</v>
      </c>
      <c r="F165" s="370" t="s">
        <v>141</v>
      </c>
      <c r="G165" s="661"/>
      <c r="H165" s="373">
        <v>0</v>
      </c>
      <c r="I165" s="665" t="s">
        <v>200</v>
      </c>
      <c r="J165" s="373" t="s">
        <v>55</v>
      </c>
      <c r="K165" s="371" t="s">
        <v>343</v>
      </c>
      <c r="L165" s="373" t="s">
        <v>56</v>
      </c>
      <c r="M165" s="628">
        <v>50539.6</v>
      </c>
      <c r="N165" s="597"/>
      <c r="O165" s="373" t="s">
        <v>56</v>
      </c>
      <c r="P165" s="605" t="s">
        <v>201</v>
      </c>
      <c r="Q165" s="374">
        <v>45932</v>
      </c>
      <c r="R165" s="680">
        <v>4084</v>
      </c>
      <c r="S165" s="388">
        <v>4064</v>
      </c>
      <c r="T165" s="368">
        <v>0</v>
      </c>
      <c r="U165" s="524">
        <v>1</v>
      </c>
      <c r="V165" s="374">
        <v>45952</v>
      </c>
      <c r="W165" s="283">
        <v>1</v>
      </c>
      <c r="X165" s="283">
        <v>1</v>
      </c>
      <c r="Y165" s="283">
        <v>1</v>
      </c>
      <c r="Z165" s="374">
        <v>46008</v>
      </c>
      <c r="AA165" s="107" t="s">
        <v>855</v>
      </c>
    </row>
    <row r="166" spans="1:27" ht="39.75" customHeight="1">
      <c r="A166" s="800" t="s">
        <v>856</v>
      </c>
      <c r="B166" s="667" t="s">
        <v>137</v>
      </c>
      <c r="C166" s="363">
        <v>45991</v>
      </c>
      <c r="D166" s="370" t="s">
        <v>350</v>
      </c>
      <c r="E166" s="371">
        <v>45866</v>
      </c>
      <c r="F166" s="370" t="s">
        <v>152</v>
      </c>
      <c r="G166" s="661" t="s">
        <v>857</v>
      </c>
      <c r="H166" s="373">
        <v>0</v>
      </c>
      <c r="I166" s="665" t="s">
        <v>200</v>
      </c>
      <c r="J166" s="373" t="s">
        <v>55</v>
      </c>
      <c r="K166" s="371">
        <v>45863</v>
      </c>
      <c r="L166" s="373" t="s">
        <v>56</v>
      </c>
      <c r="M166" s="628">
        <v>143407.25</v>
      </c>
      <c r="N166" s="422"/>
      <c r="O166" s="373" t="s">
        <v>56</v>
      </c>
      <c r="P166" s="605" t="s">
        <v>201</v>
      </c>
      <c r="Q166" s="374">
        <v>45863</v>
      </c>
      <c r="R166" s="10">
        <v>11987</v>
      </c>
      <c r="S166" s="388">
        <v>12324</v>
      </c>
      <c r="T166" s="46">
        <v>0</v>
      </c>
      <c r="U166" s="519">
        <f>IFERROR($S166/$R166, 0)</f>
        <v>1.0281137899391006</v>
      </c>
      <c r="V166" s="540">
        <v>45869</v>
      </c>
      <c r="W166" s="283">
        <v>1</v>
      </c>
      <c r="X166" s="283">
        <v>1</v>
      </c>
      <c r="Y166" s="473">
        <v>1</v>
      </c>
      <c r="Z166" s="379" t="s">
        <v>458</v>
      </c>
      <c r="AA166" s="700"/>
    </row>
    <row r="167" spans="1:27" ht="39.75" customHeight="1">
      <c r="A167" s="786" t="s">
        <v>858</v>
      </c>
      <c r="B167" s="667" t="s">
        <v>137</v>
      </c>
      <c r="C167" s="363">
        <v>45991</v>
      </c>
      <c r="D167" s="370" t="s">
        <v>125</v>
      </c>
      <c r="E167" s="371">
        <v>45880</v>
      </c>
      <c r="F167" s="370" t="s">
        <v>144</v>
      </c>
      <c r="G167" s="661" t="s">
        <v>859</v>
      </c>
      <c r="H167" s="373">
        <v>0</v>
      </c>
      <c r="I167" s="665" t="s">
        <v>200</v>
      </c>
      <c r="J167" s="373" t="s">
        <v>55</v>
      </c>
      <c r="K167" s="371">
        <v>45881</v>
      </c>
      <c r="L167" s="373" t="s">
        <v>56</v>
      </c>
      <c r="M167" s="628">
        <v>4815.6499999999996</v>
      </c>
      <c r="N167" s="422"/>
      <c r="O167" s="373" t="s">
        <v>56</v>
      </c>
      <c r="P167" s="605" t="s">
        <v>201</v>
      </c>
      <c r="Q167" s="374">
        <v>45881</v>
      </c>
      <c r="R167" s="10">
        <v>321</v>
      </c>
      <c r="S167" s="388">
        <v>367</v>
      </c>
      <c r="T167" s="46">
        <v>0</v>
      </c>
      <c r="U167" s="519">
        <f>IFERROR($S167/$R167, 0)</f>
        <v>1.1433021806853583</v>
      </c>
      <c r="V167" s="540">
        <v>45905</v>
      </c>
      <c r="W167" s="283">
        <v>0</v>
      </c>
      <c r="X167" s="283">
        <v>0</v>
      </c>
      <c r="Y167" s="283">
        <v>0</v>
      </c>
      <c r="Z167" s="379" t="s">
        <v>458</v>
      </c>
      <c r="AA167" s="700" t="s">
        <v>860</v>
      </c>
    </row>
    <row r="168" spans="1:27" ht="39.75" customHeight="1">
      <c r="A168" s="1090" t="s">
        <v>861</v>
      </c>
      <c r="B168" s="667" t="s">
        <v>137</v>
      </c>
      <c r="C168" s="894">
        <v>46040</v>
      </c>
      <c r="D168" s="906" t="s">
        <v>151</v>
      </c>
      <c r="E168" s="905">
        <v>46042</v>
      </c>
      <c r="F168" s="906" t="s">
        <v>141</v>
      </c>
      <c r="G168" s="906"/>
      <c r="H168" s="907">
        <v>0</v>
      </c>
      <c r="I168" s="665" t="s">
        <v>200</v>
      </c>
      <c r="J168" s="907" t="s">
        <v>55</v>
      </c>
      <c r="K168" s="905" t="s">
        <v>343</v>
      </c>
      <c r="L168" s="907" t="s">
        <v>56</v>
      </c>
      <c r="M168" s="1253">
        <v>45312.55</v>
      </c>
      <c r="N168" s="1305"/>
      <c r="O168" s="907" t="s">
        <v>56</v>
      </c>
      <c r="P168" s="1092" t="s">
        <v>201</v>
      </c>
      <c r="Q168" s="910">
        <v>46044</v>
      </c>
      <c r="R168" s="911">
        <v>3683</v>
      </c>
      <c r="S168" s="1093">
        <v>3713</v>
      </c>
      <c r="T168" s="6">
        <v>0</v>
      </c>
      <c r="U168" s="519">
        <f>IFERROR(Table5[[#This Row],[Actual Redline Completed Footage UG]]/Table5[[#This Row],[Footage UG]], 0)</f>
        <v>1.0081455335324463</v>
      </c>
      <c r="V168" s="910">
        <v>46050</v>
      </c>
      <c r="W168" s="902">
        <v>1</v>
      </c>
      <c r="X168" s="902">
        <v>0</v>
      </c>
      <c r="Y168" s="283">
        <v>0</v>
      </c>
      <c r="Z168" s="379" t="s">
        <v>458</v>
      </c>
      <c r="AA168" s="903" t="s">
        <v>862</v>
      </c>
    </row>
    <row r="169" spans="1:27" ht="39.75" customHeight="1">
      <c r="A169" s="603" t="s">
        <v>863</v>
      </c>
      <c r="B169" s="667" t="s">
        <v>214</v>
      </c>
      <c r="C169" s="363">
        <v>46006</v>
      </c>
      <c r="D169" s="370" t="s">
        <v>138</v>
      </c>
      <c r="E169" s="371">
        <v>45987</v>
      </c>
      <c r="F169" s="370" t="s">
        <v>152</v>
      </c>
      <c r="G169" s="661" t="s">
        <v>864</v>
      </c>
      <c r="H169" s="373">
        <v>35</v>
      </c>
      <c r="I169" s="665" t="s">
        <v>200</v>
      </c>
      <c r="J169" s="373" t="s">
        <v>55</v>
      </c>
      <c r="K169" s="371" t="s">
        <v>343</v>
      </c>
      <c r="L169" s="373" t="s">
        <v>56</v>
      </c>
      <c r="M169" s="1251">
        <v>35942</v>
      </c>
      <c r="N169" s="1362"/>
      <c r="O169" s="373" t="s">
        <v>56</v>
      </c>
      <c r="P169" s="605" t="s">
        <v>201</v>
      </c>
      <c r="Q169" s="374">
        <v>45992</v>
      </c>
      <c r="R169" s="10">
        <v>2801</v>
      </c>
      <c r="S169" s="388">
        <v>2817</v>
      </c>
      <c r="T169" s="1363">
        <v>0</v>
      </c>
      <c r="U169" s="1364">
        <f>IFERROR(Table5[[#This Row],[Actual Redline Completed Footage UG]]/Table5[[#This Row],[Footage UG]], 0)</f>
        <v>1.0057122456265619</v>
      </c>
      <c r="V169" s="374">
        <v>46000</v>
      </c>
      <c r="W169" s="283">
        <v>0</v>
      </c>
      <c r="X169" s="283">
        <v>0</v>
      </c>
      <c r="Y169" s="283">
        <v>0</v>
      </c>
      <c r="Z169" s="379" t="s">
        <v>458</v>
      </c>
      <c r="AA169" s="1081" t="s">
        <v>378</v>
      </c>
    </row>
    <row r="170" spans="1:27" ht="39.75" customHeight="1">
      <c r="A170" s="603" t="s">
        <v>865</v>
      </c>
      <c r="B170" s="667" t="s">
        <v>214</v>
      </c>
      <c r="C170" s="363">
        <v>46006</v>
      </c>
      <c r="D170" s="370" t="s">
        <v>138</v>
      </c>
      <c r="E170" s="371">
        <v>45975</v>
      </c>
      <c r="F170" s="370" t="s">
        <v>152</v>
      </c>
      <c r="G170" s="661" t="s">
        <v>866</v>
      </c>
      <c r="H170" s="373">
        <v>86</v>
      </c>
      <c r="I170" s="665" t="s">
        <v>200</v>
      </c>
      <c r="J170" s="668" t="s">
        <v>55</v>
      </c>
      <c r="K170" s="371" t="s">
        <v>343</v>
      </c>
      <c r="L170" s="373" t="s">
        <v>56</v>
      </c>
      <c r="M170" s="1251">
        <v>111432</v>
      </c>
      <c r="N170" s="597"/>
      <c r="O170" s="373" t="s">
        <v>56</v>
      </c>
      <c r="P170" s="605" t="s">
        <v>201</v>
      </c>
      <c r="Q170" s="374">
        <v>45979</v>
      </c>
      <c r="R170" s="10">
        <v>9272</v>
      </c>
      <c r="S170" s="388">
        <v>9385</v>
      </c>
      <c r="T170" s="6">
        <v>0</v>
      </c>
      <c r="U170" s="519">
        <f>IFERROR(Table5[[#This Row],[Actual Redline Completed Footage UG]]/Table5[[#This Row],[Footage UG]], 0)</f>
        <v>1.0121872303710095</v>
      </c>
      <c r="V170" s="374">
        <v>45985</v>
      </c>
      <c r="W170" s="283">
        <v>0</v>
      </c>
      <c r="X170" s="283">
        <v>0</v>
      </c>
      <c r="Y170" s="283">
        <v>0</v>
      </c>
      <c r="Z170" s="379" t="s">
        <v>458</v>
      </c>
      <c r="AA170" s="1252" t="s">
        <v>867</v>
      </c>
    </row>
    <row r="171" spans="1:27" ht="39.75" customHeight="1">
      <c r="A171" s="603" t="s">
        <v>868</v>
      </c>
      <c r="B171" s="383" t="s">
        <v>214</v>
      </c>
      <c r="C171" s="363">
        <v>46006</v>
      </c>
      <c r="D171" s="370" t="s">
        <v>138</v>
      </c>
      <c r="E171" s="371">
        <v>45980</v>
      </c>
      <c r="F171" s="370" t="s">
        <v>152</v>
      </c>
      <c r="G171" s="661" t="s">
        <v>869</v>
      </c>
      <c r="H171" s="373">
        <v>75</v>
      </c>
      <c r="I171" s="665" t="s">
        <v>200</v>
      </c>
      <c r="J171" s="373" t="s">
        <v>55</v>
      </c>
      <c r="K171" s="371" t="s">
        <v>343</v>
      </c>
      <c r="L171" s="373" t="s">
        <v>56</v>
      </c>
      <c r="M171" s="1251">
        <v>82330</v>
      </c>
      <c r="N171" s="597"/>
      <c r="O171" s="373" t="s">
        <v>56</v>
      </c>
      <c r="P171" s="605" t="s">
        <v>201</v>
      </c>
      <c r="Q171" s="374">
        <v>45965</v>
      </c>
      <c r="R171" s="10">
        <v>7126</v>
      </c>
      <c r="S171" s="388">
        <v>7033</v>
      </c>
      <c r="T171" s="6">
        <v>0</v>
      </c>
      <c r="U171" s="519">
        <f>IFERROR(Table5[[#This Row],[Actual Redline Completed Footage UG]]/Table5[[#This Row],[Footage UG]], 0)</f>
        <v>0.98694920011226495</v>
      </c>
      <c r="V171" s="374">
        <v>45982</v>
      </c>
      <c r="W171" s="283">
        <v>0</v>
      </c>
      <c r="X171" s="283">
        <v>0</v>
      </c>
      <c r="Y171" s="283">
        <v>0</v>
      </c>
      <c r="Z171" s="379" t="s">
        <v>458</v>
      </c>
      <c r="AA171" s="1081" t="s">
        <v>378</v>
      </c>
    </row>
    <row r="172" spans="1:27" ht="39.75" customHeight="1">
      <c r="A172" s="300" t="s">
        <v>870</v>
      </c>
      <c r="B172" s="301" t="s">
        <v>80</v>
      </c>
      <c r="C172" s="20">
        <v>45899</v>
      </c>
      <c r="D172" s="302" t="s">
        <v>102</v>
      </c>
      <c r="E172" s="302">
        <v>45873</v>
      </c>
      <c r="F172" s="464" t="s">
        <v>107</v>
      </c>
      <c r="G172" s="504"/>
      <c r="H172" s="303">
        <v>50</v>
      </c>
      <c r="I172" s="304" t="s">
        <v>200</v>
      </c>
      <c r="J172" s="303" t="s">
        <v>67</v>
      </c>
      <c r="K172" s="302">
        <v>45874</v>
      </c>
      <c r="L172" s="303" t="s">
        <v>56</v>
      </c>
      <c r="M172" s="349">
        <v>11894.25</v>
      </c>
      <c r="N172" s="43"/>
      <c r="O172" s="303" t="s">
        <v>56</v>
      </c>
      <c r="P172" s="462" t="s">
        <v>201</v>
      </c>
      <c r="Q172" s="367">
        <v>45873</v>
      </c>
      <c r="R172" s="336">
        <v>1471</v>
      </c>
      <c r="S172" s="604">
        <v>1437</v>
      </c>
      <c r="T172" s="5">
        <v>0</v>
      </c>
      <c r="U172" s="704">
        <f>IFERROR(Table5[[#This Row],[Actual Redline Completed Footage UG]]/Table5[[#This Row],[Footage UG]], 0)</f>
        <v>0.97688647178789934</v>
      </c>
      <c r="V172" s="540">
        <v>45881</v>
      </c>
      <c r="W172" s="283">
        <v>1</v>
      </c>
      <c r="X172" s="283">
        <v>1</v>
      </c>
      <c r="Y172" s="283">
        <v>1</v>
      </c>
      <c r="Z172" s="367">
        <v>45926</v>
      </c>
      <c r="AA172" s="719"/>
    </row>
    <row r="173" spans="1:27" ht="39.75" customHeight="1">
      <c r="A173" s="786" t="s">
        <v>871</v>
      </c>
      <c r="B173" s="361" t="s">
        <v>80</v>
      </c>
      <c r="C173" s="363">
        <v>45868</v>
      </c>
      <c r="D173" s="381" t="s">
        <v>102</v>
      </c>
      <c r="E173" s="363">
        <v>45786</v>
      </c>
      <c r="F173" s="381" t="s">
        <v>90</v>
      </c>
      <c r="G173" s="361" t="s">
        <v>872</v>
      </c>
      <c r="H173" s="365">
        <v>0</v>
      </c>
      <c r="I173" s="365" t="s">
        <v>200</v>
      </c>
      <c r="J173" s="365" t="s">
        <v>55</v>
      </c>
      <c r="K173" s="363">
        <v>45786</v>
      </c>
      <c r="L173" s="365" t="s">
        <v>56</v>
      </c>
      <c r="M173" s="787">
        <v>133172.15</v>
      </c>
      <c r="N173" s="597"/>
      <c r="O173" s="365" t="s">
        <v>56</v>
      </c>
      <c r="P173" s="605" t="s">
        <v>201</v>
      </c>
      <c r="Q173" s="367">
        <v>45789</v>
      </c>
      <c r="R173" s="368">
        <v>13306</v>
      </c>
      <c r="S173" s="388">
        <v>12936</v>
      </c>
      <c r="T173" s="83">
        <v>0</v>
      </c>
      <c r="U173" s="519">
        <f>IFERROR(Table5[[#This Row],[Actual Redline Completed Footage UG]]/Table5[[#This Row],[Footage UG]], 0)</f>
        <v>0.97219299564106421</v>
      </c>
      <c r="V173" s="516">
        <v>45810</v>
      </c>
      <c r="W173" s="369">
        <v>1</v>
      </c>
      <c r="X173" s="369">
        <v>1</v>
      </c>
      <c r="Y173" s="283">
        <v>1</v>
      </c>
      <c r="Z173" s="367">
        <v>45917</v>
      </c>
      <c r="AA173" s="469" t="s">
        <v>873</v>
      </c>
    </row>
    <row r="174" spans="1:27" ht="39.75" customHeight="1">
      <c r="A174" s="300" t="s">
        <v>874</v>
      </c>
      <c r="B174" s="19" t="s">
        <v>80</v>
      </c>
      <c r="C174" s="20">
        <v>45930</v>
      </c>
      <c r="D174" s="20" t="s">
        <v>125</v>
      </c>
      <c r="E174" s="20">
        <v>45918</v>
      </c>
      <c r="F174" s="19" t="s">
        <v>90</v>
      </c>
      <c r="G174" s="532"/>
      <c r="H174" s="21">
        <v>0</v>
      </c>
      <c r="I174" s="522" t="s">
        <v>200</v>
      </c>
      <c r="J174" s="21" t="s">
        <v>55</v>
      </c>
      <c r="K174" s="20">
        <v>45918</v>
      </c>
      <c r="L174" s="303" t="s">
        <v>56</v>
      </c>
      <c r="M174" s="349">
        <v>10840.25</v>
      </c>
      <c r="N174" s="597"/>
      <c r="O174" s="303" t="s">
        <v>56</v>
      </c>
      <c r="P174" s="601" t="s">
        <v>201</v>
      </c>
      <c r="Q174" s="22">
        <v>45912</v>
      </c>
      <c r="R174" s="46">
        <v>865</v>
      </c>
      <c r="S174" s="498">
        <v>851</v>
      </c>
      <c r="T174" s="46">
        <v>0</v>
      </c>
      <c r="U174" s="519">
        <v>0.98</v>
      </c>
      <c r="V174" s="749">
        <v>45924</v>
      </c>
      <c r="W174" s="792">
        <v>1</v>
      </c>
      <c r="X174" s="792">
        <v>1</v>
      </c>
      <c r="Y174" s="476">
        <v>1</v>
      </c>
      <c r="Z174" s="471">
        <v>45972</v>
      </c>
      <c r="AA174" s="676" t="s">
        <v>875</v>
      </c>
    </row>
    <row r="175" spans="1:27" ht="39.75" customHeight="1">
      <c r="A175" s="603" t="s">
        <v>876</v>
      </c>
      <c r="B175" s="361" t="s">
        <v>80</v>
      </c>
      <c r="C175" s="371">
        <v>45960</v>
      </c>
      <c r="D175" s="363" t="s">
        <v>125</v>
      </c>
      <c r="E175" s="371">
        <v>45918</v>
      </c>
      <c r="F175" s="361" t="s">
        <v>90</v>
      </c>
      <c r="G175" s="19" t="s">
        <v>877</v>
      </c>
      <c r="H175" s="784">
        <v>0</v>
      </c>
      <c r="I175" s="523" t="s">
        <v>200</v>
      </c>
      <c r="J175" s="365" t="s">
        <v>55</v>
      </c>
      <c r="K175" s="371">
        <v>45918</v>
      </c>
      <c r="L175" s="373" t="s">
        <v>56</v>
      </c>
      <c r="M175" s="628">
        <v>9611.9500000000007</v>
      </c>
      <c r="N175" s="422"/>
      <c r="O175" s="373" t="s">
        <v>56</v>
      </c>
      <c r="P175" s="605" t="s">
        <v>201</v>
      </c>
      <c r="Q175" s="374">
        <v>45918</v>
      </c>
      <c r="R175" s="10">
        <v>807</v>
      </c>
      <c r="S175" s="388">
        <v>896</v>
      </c>
      <c r="T175" s="46">
        <v>0</v>
      </c>
      <c r="U175" s="519">
        <f>IFERROR($S175/$R175, 0)</f>
        <v>1.110285006195787</v>
      </c>
      <c r="V175" s="540">
        <v>45938</v>
      </c>
      <c r="W175" s="524">
        <v>1</v>
      </c>
      <c r="X175" s="524">
        <v>1</v>
      </c>
      <c r="Y175" s="473">
        <v>1</v>
      </c>
      <c r="Z175" s="379" t="s">
        <v>458</v>
      </c>
      <c r="AA175" s="609" t="s">
        <v>878</v>
      </c>
    </row>
    <row r="176" spans="1:27" ht="39.75" customHeight="1">
      <c r="A176" s="800" t="s">
        <v>879</v>
      </c>
      <c r="B176" s="361" t="s">
        <v>80</v>
      </c>
      <c r="C176" s="363">
        <v>45868</v>
      </c>
      <c r="D176" s="363" t="s">
        <v>125</v>
      </c>
      <c r="E176" s="363">
        <v>45793</v>
      </c>
      <c r="F176" s="381" t="s">
        <v>90</v>
      </c>
      <c r="G176" s="785" t="s">
        <v>880</v>
      </c>
      <c r="H176" s="365">
        <v>0</v>
      </c>
      <c r="I176" s="365" t="s">
        <v>200</v>
      </c>
      <c r="J176" s="365" t="s">
        <v>55</v>
      </c>
      <c r="K176" s="363">
        <v>45793</v>
      </c>
      <c r="L176" s="365" t="s">
        <v>56</v>
      </c>
      <c r="M176" s="787">
        <v>53589.8</v>
      </c>
      <c r="N176" s="346"/>
      <c r="O176" s="365" t="s">
        <v>56</v>
      </c>
      <c r="P176" s="605" t="s">
        <v>201</v>
      </c>
      <c r="Q176" s="367">
        <v>45793</v>
      </c>
      <c r="R176" s="368">
        <v>8305</v>
      </c>
      <c r="S176" s="388">
        <v>8810</v>
      </c>
      <c r="T176" s="5">
        <v>0</v>
      </c>
      <c r="U176" s="4">
        <f>IFERROR(Table5[[#This Row],[Actual Redline Completed Footage UG]]/Table5[[#This Row],[Footage UG]], 0)</f>
        <v>1.0608067429259482</v>
      </c>
      <c r="V176" s="516">
        <v>45810</v>
      </c>
      <c r="W176" s="283">
        <v>1</v>
      </c>
      <c r="X176" s="283">
        <v>1</v>
      </c>
      <c r="Y176" s="473">
        <v>1</v>
      </c>
      <c r="Z176" s="367">
        <v>45917</v>
      </c>
      <c r="AA176" s="333" t="s">
        <v>881</v>
      </c>
    </row>
    <row r="177" spans="1:27" ht="39.75" customHeight="1">
      <c r="A177" s="1090" t="s">
        <v>882</v>
      </c>
      <c r="B177" s="895" t="s">
        <v>80</v>
      </c>
      <c r="C177" s="894">
        <v>46073</v>
      </c>
      <c r="D177" s="894" t="s">
        <v>125</v>
      </c>
      <c r="E177" s="894">
        <v>46042</v>
      </c>
      <c r="F177" s="895" t="s">
        <v>82</v>
      </c>
      <c r="G177" s="895" t="s">
        <v>883</v>
      </c>
      <c r="H177" s="896">
        <v>11</v>
      </c>
      <c r="I177" s="523" t="s">
        <v>200</v>
      </c>
      <c r="J177" s="896" t="s">
        <v>55</v>
      </c>
      <c r="K177" s="894">
        <v>46029</v>
      </c>
      <c r="L177" s="896" t="s">
        <v>56</v>
      </c>
      <c r="M177" s="1091">
        <v>10772</v>
      </c>
      <c r="N177" s="43"/>
      <c r="O177" s="896" t="s">
        <v>56</v>
      </c>
      <c r="P177" s="1092" t="s">
        <v>201</v>
      </c>
      <c r="Q177" s="899">
        <v>46029</v>
      </c>
      <c r="R177" s="636">
        <v>789</v>
      </c>
      <c r="S177" s="1093">
        <v>888</v>
      </c>
      <c r="T177" s="5">
        <v>0</v>
      </c>
      <c r="U177" s="4">
        <f>IFERROR(Table5[[#This Row],[Actual Redline Completed Footage UG]]/Table5[[#This Row],[Footage UG]], 0)</f>
        <v>1.1254752851711027</v>
      </c>
      <c r="V177" s="910">
        <v>46056</v>
      </c>
      <c r="W177" s="902">
        <v>0</v>
      </c>
      <c r="X177" s="1076">
        <v>0</v>
      </c>
      <c r="Y177" s="1077">
        <v>0</v>
      </c>
      <c r="Z177" s="379" t="s">
        <v>458</v>
      </c>
      <c r="AA177" s="903" t="s">
        <v>884</v>
      </c>
    </row>
    <row r="178" spans="1:27" ht="39.75" customHeight="1">
      <c r="A178" s="300" t="s">
        <v>885</v>
      </c>
      <c r="B178" s="19" t="s">
        <v>80</v>
      </c>
      <c r="C178" s="20">
        <v>45930</v>
      </c>
      <c r="D178" s="20" t="s">
        <v>102</v>
      </c>
      <c r="E178" s="20">
        <v>45884</v>
      </c>
      <c r="F178" s="19" t="s">
        <v>107</v>
      </c>
      <c r="G178" s="306"/>
      <c r="H178" s="21">
        <v>69</v>
      </c>
      <c r="I178" s="307" t="s">
        <v>200</v>
      </c>
      <c r="J178" s="21" t="s">
        <v>55</v>
      </c>
      <c r="K178" s="302">
        <v>45884</v>
      </c>
      <c r="L178" s="303" t="s">
        <v>56</v>
      </c>
      <c r="M178" s="349">
        <v>67441</v>
      </c>
      <c r="N178" s="43"/>
      <c r="O178" s="303" t="s">
        <v>56</v>
      </c>
      <c r="P178" s="601" t="s">
        <v>201</v>
      </c>
      <c r="Q178" s="61">
        <v>45884</v>
      </c>
      <c r="R178" s="46">
        <v>4348</v>
      </c>
      <c r="S178" s="498">
        <v>4122</v>
      </c>
      <c r="T178" s="83">
        <v>0</v>
      </c>
      <c r="U178" s="697">
        <f>IFERROR(Table5[[#This Row],[Actual Redline Completed Footage UG]]/Table5[[#This Row],[Footage UG]], 0)</f>
        <v>0.94802207911683534</v>
      </c>
      <c r="V178" s="22">
        <v>45895</v>
      </c>
      <c r="W178" s="8">
        <v>1</v>
      </c>
      <c r="X178" s="8">
        <v>1</v>
      </c>
      <c r="Y178" s="1243">
        <v>1</v>
      </c>
      <c r="Z178" s="22">
        <v>45917</v>
      </c>
      <c r="AA178" s="355" t="s">
        <v>886</v>
      </c>
    </row>
    <row r="179" spans="1:27" ht="39.75" customHeight="1">
      <c r="A179" s="603" t="s">
        <v>887</v>
      </c>
      <c r="B179" s="361" t="s">
        <v>80</v>
      </c>
      <c r="C179" s="363">
        <v>45991</v>
      </c>
      <c r="D179" s="363" t="s">
        <v>102</v>
      </c>
      <c r="E179" s="363">
        <v>45966</v>
      </c>
      <c r="F179" s="361" t="s">
        <v>90</v>
      </c>
      <c r="G179" s="544" t="s">
        <v>888</v>
      </c>
      <c r="H179" s="365">
        <v>83</v>
      </c>
      <c r="I179" s="523" t="s">
        <v>200</v>
      </c>
      <c r="J179" s="365" t="s">
        <v>55</v>
      </c>
      <c r="K179" s="363">
        <v>45969</v>
      </c>
      <c r="L179" s="365" t="s">
        <v>56</v>
      </c>
      <c r="M179" s="878">
        <v>66402</v>
      </c>
      <c r="N179" s="43"/>
      <c r="O179" s="365" t="s">
        <v>56</v>
      </c>
      <c r="P179" s="605" t="s">
        <v>201</v>
      </c>
      <c r="Q179" s="367">
        <v>45969</v>
      </c>
      <c r="R179" s="368">
        <v>5324</v>
      </c>
      <c r="S179" s="388">
        <v>5304</v>
      </c>
      <c r="T179" s="37">
        <v>0</v>
      </c>
      <c r="U179" s="519">
        <f>IFERROR(Table5[[#This Row],[Actual Redline Completed Footage UG]]/Table5[[#This Row],[Footage UG]], 0)</f>
        <v>0.99624342599549209</v>
      </c>
      <c r="V179" s="374">
        <v>45979</v>
      </c>
      <c r="W179" s="8">
        <v>1</v>
      </c>
      <c r="X179" s="8">
        <v>1</v>
      </c>
      <c r="Y179" s="1243">
        <v>1</v>
      </c>
      <c r="Z179" s="39" t="s">
        <v>458</v>
      </c>
      <c r="AA179" s="1084" t="s">
        <v>889</v>
      </c>
    </row>
    <row r="180" spans="1:27" ht="39.75" customHeight="1">
      <c r="A180" s="603" t="s">
        <v>890</v>
      </c>
      <c r="B180" s="361" t="s">
        <v>80</v>
      </c>
      <c r="C180" s="363">
        <v>46001</v>
      </c>
      <c r="D180" s="363" t="s">
        <v>102</v>
      </c>
      <c r="E180" s="363">
        <v>45966</v>
      </c>
      <c r="F180" s="361" t="s">
        <v>90</v>
      </c>
      <c r="G180" s="544" t="s">
        <v>891</v>
      </c>
      <c r="H180" s="365">
        <v>77</v>
      </c>
      <c r="I180" s="523" t="s">
        <v>200</v>
      </c>
      <c r="J180" s="365" t="s">
        <v>55</v>
      </c>
      <c r="K180" s="363">
        <v>45967</v>
      </c>
      <c r="L180" s="365" t="s">
        <v>56</v>
      </c>
      <c r="M180" s="878">
        <v>63997.35</v>
      </c>
      <c r="N180" s="43"/>
      <c r="O180" s="365" t="s">
        <v>56</v>
      </c>
      <c r="P180" s="605" t="s">
        <v>201</v>
      </c>
      <c r="Q180" s="367">
        <v>45967</v>
      </c>
      <c r="R180" s="368">
        <v>5053</v>
      </c>
      <c r="S180" s="388">
        <v>4652</v>
      </c>
      <c r="T180" s="37">
        <v>0</v>
      </c>
      <c r="U180" s="691">
        <f>IFERROR(Table5[[#This Row],[Actual Redline Completed Footage UG]]/Table5[[#This Row],[Footage UG]], 0)</f>
        <v>0.92064120324559673</v>
      </c>
      <c r="V180" s="22">
        <v>45995</v>
      </c>
      <c r="W180" s="8">
        <v>1</v>
      </c>
      <c r="X180" s="8">
        <v>1</v>
      </c>
      <c r="Y180" s="1243">
        <v>1</v>
      </c>
      <c r="Z180" s="39" t="s">
        <v>458</v>
      </c>
      <c r="AA180" s="1084" t="s">
        <v>892</v>
      </c>
    </row>
    <row r="181" spans="1:27" ht="39.75" customHeight="1">
      <c r="A181" s="1090" t="s">
        <v>893</v>
      </c>
      <c r="B181" s="895" t="s">
        <v>80</v>
      </c>
      <c r="C181" s="894">
        <v>46021</v>
      </c>
      <c r="D181" s="894" t="s">
        <v>102</v>
      </c>
      <c r="E181" s="894">
        <v>46001</v>
      </c>
      <c r="F181" s="895" t="s">
        <v>82</v>
      </c>
      <c r="G181" s="895"/>
      <c r="H181" s="896">
        <v>49</v>
      </c>
      <c r="I181" s="523" t="s">
        <v>200</v>
      </c>
      <c r="J181" s="896" t="s">
        <v>55</v>
      </c>
      <c r="K181" s="894">
        <v>45994</v>
      </c>
      <c r="L181" s="907" t="s">
        <v>56</v>
      </c>
      <c r="M181" s="1091">
        <v>42150</v>
      </c>
      <c r="N181" s="897"/>
      <c r="O181" s="907" t="s">
        <v>56</v>
      </c>
      <c r="P181" s="1092" t="s">
        <v>201</v>
      </c>
      <c r="Q181" s="899">
        <v>45994</v>
      </c>
      <c r="R181" s="636">
        <v>3885</v>
      </c>
      <c r="S181" s="1093">
        <v>3910</v>
      </c>
      <c r="T181" s="900">
        <v>0</v>
      </c>
      <c r="U181" s="524">
        <f>IFERROR($S181/$R181, 0)</f>
        <v>1.0064350064350065</v>
      </c>
      <c r="V181" s="910">
        <v>46006</v>
      </c>
      <c r="W181" s="902">
        <v>1</v>
      </c>
      <c r="X181" s="283">
        <v>1</v>
      </c>
      <c r="Y181" s="473">
        <v>1</v>
      </c>
      <c r="Z181" s="379" t="s">
        <v>458</v>
      </c>
      <c r="AA181" s="903" t="s">
        <v>894</v>
      </c>
    </row>
    <row r="182" spans="1:27" ht="39.75" customHeight="1">
      <c r="A182" s="786" t="s">
        <v>895</v>
      </c>
      <c r="B182" s="361" t="s">
        <v>80</v>
      </c>
      <c r="C182" s="371">
        <v>45899</v>
      </c>
      <c r="D182" s="1261" t="s">
        <v>574</v>
      </c>
      <c r="E182" s="371">
        <v>45889</v>
      </c>
      <c r="F182" s="508" t="s">
        <v>107</v>
      </c>
      <c r="G182" s="661"/>
      <c r="H182" s="373">
        <v>76</v>
      </c>
      <c r="I182" s="665" t="s">
        <v>200</v>
      </c>
      <c r="J182" s="373" t="s">
        <v>55</v>
      </c>
      <c r="K182" s="371">
        <v>45888</v>
      </c>
      <c r="L182" s="373" t="s">
        <v>56</v>
      </c>
      <c r="M182" s="628">
        <v>53902</v>
      </c>
      <c r="N182" s="422"/>
      <c r="O182" s="373" t="s">
        <v>56</v>
      </c>
      <c r="P182" s="605" t="s">
        <v>201</v>
      </c>
      <c r="Q182" s="374">
        <v>45887</v>
      </c>
      <c r="R182" s="10">
        <v>3566</v>
      </c>
      <c r="S182" s="388">
        <v>3704</v>
      </c>
      <c r="T182" s="46">
        <v>0</v>
      </c>
      <c r="U182" s="519">
        <f>IFERROR($S182/$R182, 0)</f>
        <v>1.0386988222097588</v>
      </c>
      <c r="V182" s="540">
        <v>45904</v>
      </c>
      <c r="W182" s="283">
        <v>1</v>
      </c>
      <c r="X182" s="283">
        <v>1</v>
      </c>
      <c r="Y182" s="473">
        <v>1</v>
      </c>
      <c r="Z182" s="379" t="s">
        <v>458</v>
      </c>
      <c r="AA182" s="700" t="s">
        <v>896</v>
      </c>
    </row>
    <row r="183" spans="1:27" ht="39.75" customHeight="1">
      <c r="A183" s="786" t="s">
        <v>897</v>
      </c>
      <c r="B183" s="361" t="s">
        <v>80</v>
      </c>
      <c r="C183" s="371">
        <v>45930</v>
      </c>
      <c r="D183" s="363" t="s">
        <v>102</v>
      </c>
      <c r="E183" s="363">
        <v>45896</v>
      </c>
      <c r="F183" s="361" t="s">
        <v>107</v>
      </c>
      <c r="G183" s="361" t="s">
        <v>898</v>
      </c>
      <c r="H183" s="365">
        <v>66</v>
      </c>
      <c r="I183" s="365" t="s">
        <v>200</v>
      </c>
      <c r="J183" s="365" t="s">
        <v>55</v>
      </c>
      <c r="K183" s="363">
        <v>45897</v>
      </c>
      <c r="L183" s="365" t="s">
        <v>56</v>
      </c>
      <c r="M183" s="787">
        <v>44896.1</v>
      </c>
      <c r="N183" s="421"/>
      <c r="O183" s="365" t="s">
        <v>56</v>
      </c>
      <c r="P183" s="605" t="s">
        <v>201</v>
      </c>
      <c r="Q183" s="367">
        <v>45897</v>
      </c>
      <c r="R183" s="368">
        <v>2385</v>
      </c>
      <c r="S183" s="388">
        <v>2385</v>
      </c>
      <c r="T183" s="46">
        <f>SUM(R183-S183)</f>
        <v>0</v>
      </c>
      <c r="U183" s="519">
        <f>IFERROR($S183/$R183, 0)</f>
        <v>1</v>
      </c>
      <c r="V183" s="540">
        <v>45918</v>
      </c>
      <c r="W183" s="283">
        <v>1</v>
      </c>
      <c r="X183" s="283">
        <v>1</v>
      </c>
      <c r="Y183" s="81">
        <v>1</v>
      </c>
      <c r="Z183" s="379" t="s">
        <v>458</v>
      </c>
      <c r="AA183" s="333" t="s">
        <v>899</v>
      </c>
    </row>
    <row r="184" spans="1:27" ht="39.75" customHeight="1">
      <c r="A184" s="786" t="s">
        <v>900</v>
      </c>
      <c r="B184" s="361" t="s">
        <v>80</v>
      </c>
      <c r="C184" s="371">
        <v>45930</v>
      </c>
      <c r="D184" s="363" t="s">
        <v>102</v>
      </c>
      <c r="E184" s="508">
        <v>45910</v>
      </c>
      <c r="F184" s="361" t="s">
        <v>90</v>
      </c>
      <c r="G184" s="361" t="s">
        <v>901</v>
      </c>
      <c r="H184" s="365">
        <v>80</v>
      </c>
      <c r="I184" s="365" t="s">
        <v>200</v>
      </c>
      <c r="J184" s="365" t="s">
        <v>55</v>
      </c>
      <c r="K184" s="363">
        <v>45903</v>
      </c>
      <c r="L184" s="365" t="s">
        <v>56</v>
      </c>
      <c r="M184" s="787">
        <v>59116.7</v>
      </c>
      <c r="N184" s="421"/>
      <c r="O184" s="365" t="s">
        <v>56</v>
      </c>
      <c r="P184" s="605" t="s">
        <v>201</v>
      </c>
      <c r="Q184" s="367">
        <v>45903</v>
      </c>
      <c r="R184" s="368">
        <v>4833</v>
      </c>
      <c r="S184" s="388">
        <v>4446</v>
      </c>
      <c r="T184" s="46">
        <v>0</v>
      </c>
      <c r="U184" s="519">
        <f>IFERROR($S184/$R184, 0)</f>
        <v>0.91992551210428308</v>
      </c>
      <c r="V184" s="540">
        <v>45923</v>
      </c>
      <c r="W184" s="283">
        <v>1</v>
      </c>
      <c r="X184" s="283">
        <v>1</v>
      </c>
      <c r="Y184" s="81">
        <v>1</v>
      </c>
      <c r="Z184" s="379" t="s">
        <v>458</v>
      </c>
      <c r="AA184" s="333" t="s">
        <v>902</v>
      </c>
    </row>
    <row r="185" spans="1:27" ht="39.75" customHeight="1">
      <c r="A185" s="1090" t="s">
        <v>903</v>
      </c>
      <c r="B185" s="895" t="s">
        <v>80</v>
      </c>
      <c r="C185" s="894">
        <v>46010</v>
      </c>
      <c r="D185" s="894" t="s">
        <v>574</v>
      </c>
      <c r="E185" s="894">
        <v>45974</v>
      </c>
      <c r="F185" s="895" t="s">
        <v>90</v>
      </c>
      <c r="G185" s="895" t="s">
        <v>904</v>
      </c>
      <c r="H185" s="896">
        <v>67</v>
      </c>
      <c r="I185" s="523" t="s">
        <v>200</v>
      </c>
      <c r="J185" s="896" t="s">
        <v>55</v>
      </c>
      <c r="K185" s="894">
        <v>45936</v>
      </c>
      <c r="L185" s="896" t="s">
        <v>56</v>
      </c>
      <c r="M185" s="1091">
        <v>38192</v>
      </c>
      <c r="N185" s="897"/>
      <c r="O185" s="896" t="s">
        <v>56</v>
      </c>
      <c r="P185" s="1092" t="s">
        <v>201</v>
      </c>
      <c r="Q185" s="899">
        <v>45936</v>
      </c>
      <c r="R185" s="900">
        <v>2845</v>
      </c>
      <c r="S185" s="1093">
        <v>2825</v>
      </c>
      <c r="T185" s="900">
        <v>0</v>
      </c>
      <c r="U185" s="524">
        <f>IFERROR($S185/$R185, 0)</f>
        <v>0.99297012302284715</v>
      </c>
      <c r="V185" s="910">
        <v>46002</v>
      </c>
      <c r="W185" s="902">
        <v>1</v>
      </c>
      <c r="X185" s="283">
        <v>1</v>
      </c>
      <c r="Y185" s="81">
        <v>1</v>
      </c>
      <c r="Z185" s="379" t="s">
        <v>458</v>
      </c>
      <c r="AA185" s="903" t="s">
        <v>905</v>
      </c>
    </row>
    <row r="186" spans="1:27" ht="39.75" customHeight="1">
      <c r="A186" s="800" t="s">
        <v>906</v>
      </c>
      <c r="B186" s="361" t="s">
        <v>80</v>
      </c>
      <c r="C186" s="371">
        <v>45930</v>
      </c>
      <c r="D186" s="363" t="s">
        <v>102</v>
      </c>
      <c r="E186" s="508">
        <v>45910</v>
      </c>
      <c r="F186" s="508" t="s">
        <v>107</v>
      </c>
      <c r="G186" s="544" t="s">
        <v>907</v>
      </c>
      <c r="H186" s="365">
        <v>67</v>
      </c>
      <c r="I186" s="523" t="s">
        <v>200</v>
      </c>
      <c r="J186" s="365" t="s">
        <v>55</v>
      </c>
      <c r="K186" s="363">
        <v>45903</v>
      </c>
      <c r="L186" s="365" t="s">
        <v>56</v>
      </c>
      <c r="M186" s="787">
        <v>40406</v>
      </c>
      <c r="N186" s="421"/>
      <c r="O186" s="365" t="s">
        <v>56</v>
      </c>
      <c r="P186" s="605" t="s">
        <v>201</v>
      </c>
      <c r="Q186" s="367">
        <v>45903</v>
      </c>
      <c r="R186" s="368">
        <v>3895</v>
      </c>
      <c r="S186" s="388">
        <v>3809</v>
      </c>
      <c r="T186" s="46">
        <v>0</v>
      </c>
      <c r="U186" s="519">
        <f>IFERROR($S186/$R186, 0)</f>
        <v>0.97792041078305525</v>
      </c>
      <c r="V186" s="540">
        <v>45924</v>
      </c>
      <c r="W186" s="283">
        <v>1</v>
      </c>
      <c r="X186" s="283">
        <v>1</v>
      </c>
      <c r="Y186" s="81">
        <v>1</v>
      </c>
      <c r="Z186" s="379" t="s">
        <v>458</v>
      </c>
      <c r="AA186" s="1262" t="s">
        <v>908</v>
      </c>
    </row>
    <row r="187" spans="1:27" ht="39.75" customHeight="1">
      <c r="A187" s="1090" t="s">
        <v>909</v>
      </c>
      <c r="B187" s="895" t="s">
        <v>80</v>
      </c>
      <c r="C187" s="894">
        <v>46010</v>
      </c>
      <c r="D187" s="894" t="s">
        <v>574</v>
      </c>
      <c r="E187" s="894">
        <v>45974</v>
      </c>
      <c r="F187" s="895" t="s">
        <v>90</v>
      </c>
      <c r="G187" s="895" t="s">
        <v>910</v>
      </c>
      <c r="H187" s="896">
        <v>68</v>
      </c>
      <c r="I187" s="523" t="s">
        <v>200</v>
      </c>
      <c r="J187" s="896" t="s">
        <v>55</v>
      </c>
      <c r="K187" s="894">
        <v>45936</v>
      </c>
      <c r="L187" s="896" t="s">
        <v>56</v>
      </c>
      <c r="M187" s="1091">
        <v>37755.599999999999</v>
      </c>
      <c r="N187" s="897"/>
      <c r="O187" s="896" t="s">
        <v>56</v>
      </c>
      <c r="P187" s="1092" t="s">
        <v>201</v>
      </c>
      <c r="Q187" s="899">
        <v>45936</v>
      </c>
      <c r="R187" s="900">
        <v>2584</v>
      </c>
      <c r="S187" s="1093">
        <v>2584</v>
      </c>
      <c r="T187" s="900">
        <f>SUM(R187-S187)</f>
        <v>0</v>
      </c>
      <c r="U187" s="524">
        <f>IFERROR($S187/$R187, 0)</f>
        <v>1</v>
      </c>
      <c r="V187" s="910">
        <v>46000</v>
      </c>
      <c r="W187" s="902">
        <v>1</v>
      </c>
      <c r="X187" s="283">
        <v>1</v>
      </c>
      <c r="Y187" s="81">
        <v>1</v>
      </c>
      <c r="Z187" s="379" t="s">
        <v>458</v>
      </c>
      <c r="AA187" s="903" t="s">
        <v>911</v>
      </c>
    </row>
    <row r="188" spans="1:27" ht="39.75" customHeight="1">
      <c r="A188" s="1090" t="s">
        <v>912</v>
      </c>
      <c r="B188" s="895" t="s">
        <v>80</v>
      </c>
      <c r="C188" s="894">
        <v>46010</v>
      </c>
      <c r="D188" s="894" t="s">
        <v>574</v>
      </c>
      <c r="E188" s="894">
        <v>45974</v>
      </c>
      <c r="F188" s="895" t="s">
        <v>90</v>
      </c>
      <c r="G188" s="895" t="s">
        <v>913</v>
      </c>
      <c r="H188" s="896">
        <v>28</v>
      </c>
      <c r="I188" s="523" t="s">
        <v>200</v>
      </c>
      <c r="J188" s="896" t="s">
        <v>55</v>
      </c>
      <c r="K188" s="894">
        <v>45972</v>
      </c>
      <c r="L188" s="896" t="s">
        <v>56</v>
      </c>
      <c r="M188" s="1091">
        <v>27615.5</v>
      </c>
      <c r="N188" s="897"/>
      <c r="O188" s="896" t="s">
        <v>56</v>
      </c>
      <c r="P188" s="1092" t="s">
        <v>201</v>
      </c>
      <c r="Q188" s="932">
        <v>45979</v>
      </c>
      <c r="R188" s="900">
        <v>2027</v>
      </c>
      <c r="S188" s="1093">
        <v>2146</v>
      </c>
      <c r="T188" s="900">
        <v>0</v>
      </c>
      <c r="U188" s="692">
        <f>IFERROR($S188/$R188, 0)</f>
        <v>1.0587074494326592</v>
      </c>
      <c r="V188" s="899">
        <v>45994</v>
      </c>
      <c r="W188" s="902">
        <v>1</v>
      </c>
      <c r="X188" s="283">
        <v>1</v>
      </c>
      <c r="Y188" s="81">
        <v>1</v>
      </c>
      <c r="Z188" s="379" t="s">
        <v>458</v>
      </c>
      <c r="AA188" s="903" t="s">
        <v>914</v>
      </c>
    </row>
    <row r="189" spans="1:27" ht="39.75" customHeight="1">
      <c r="A189" s="300" t="s">
        <v>915</v>
      </c>
      <c r="B189" s="301" t="s">
        <v>80</v>
      </c>
      <c r="C189" s="20">
        <v>45930</v>
      </c>
      <c r="D189" s="302" t="s">
        <v>102</v>
      </c>
      <c r="E189" s="513">
        <v>45910</v>
      </c>
      <c r="F189" s="301" t="s">
        <v>90</v>
      </c>
      <c r="G189" s="533"/>
      <c r="H189" s="303">
        <v>54</v>
      </c>
      <c r="I189" s="529" t="s">
        <v>200</v>
      </c>
      <c r="J189" s="303" t="s">
        <v>55</v>
      </c>
      <c r="K189" s="302">
        <v>45903</v>
      </c>
      <c r="L189" s="303" t="s">
        <v>56</v>
      </c>
      <c r="M189" s="349">
        <v>27186</v>
      </c>
      <c r="N189" s="597"/>
      <c r="O189" s="303" t="s">
        <v>56</v>
      </c>
      <c r="P189" s="601" t="s">
        <v>201</v>
      </c>
      <c r="Q189" s="61">
        <v>45903</v>
      </c>
      <c r="R189" s="46">
        <v>2084</v>
      </c>
      <c r="S189" s="498">
        <v>2039</v>
      </c>
      <c r="T189" s="46">
        <v>0</v>
      </c>
      <c r="U189" s="519">
        <v>0.98</v>
      </c>
      <c r="V189" s="705">
        <v>45918</v>
      </c>
      <c r="W189" s="473">
        <v>1</v>
      </c>
      <c r="X189" s="473">
        <v>1</v>
      </c>
      <c r="Y189" s="476">
        <v>1</v>
      </c>
      <c r="Z189" s="22">
        <v>45972</v>
      </c>
      <c r="AA189" s="676" t="s">
        <v>916</v>
      </c>
    </row>
    <row r="190" spans="1:27" ht="39.75" customHeight="1">
      <c r="A190" s="300" t="s">
        <v>917</v>
      </c>
      <c r="B190" s="19" t="s">
        <v>80</v>
      </c>
      <c r="C190" s="20">
        <v>45899</v>
      </c>
      <c r="D190" s="308" t="s">
        <v>574</v>
      </c>
      <c r="E190" s="20">
        <v>45887</v>
      </c>
      <c r="F190" s="308" t="s">
        <v>107</v>
      </c>
      <c r="G190" s="306" t="s">
        <v>918</v>
      </c>
      <c r="H190" s="21">
        <v>70</v>
      </c>
      <c r="I190" s="307" t="s">
        <v>200</v>
      </c>
      <c r="J190" s="21" t="s">
        <v>55</v>
      </c>
      <c r="K190" s="302">
        <v>45887</v>
      </c>
      <c r="L190" s="303" t="s">
        <v>56</v>
      </c>
      <c r="M190" s="349">
        <v>69889</v>
      </c>
      <c r="N190" s="43"/>
      <c r="O190" s="303" t="s">
        <v>56</v>
      </c>
      <c r="P190" s="462" t="s">
        <v>201</v>
      </c>
      <c r="Q190" s="367">
        <v>45887</v>
      </c>
      <c r="R190" s="368">
        <v>3836</v>
      </c>
      <c r="S190" s="388">
        <v>3836</v>
      </c>
      <c r="T190" s="5">
        <v>0</v>
      </c>
      <c r="U190" s="519">
        <v>1</v>
      </c>
      <c r="V190" s="540">
        <v>45896</v>
      </c>
      <c r="W190" s="283">
        <v>1</v>
      </c>
      <c r="X190" s="283">
        <v>1</v>
      </c>
      <c r="Y190" s="283">
        <v>1</v>
      </c>
      <c r="Z190" s="22">
        <v>45917</v>
      </c>
      <c r="AA190" s="702" t="s">
        <v>919</v>
      </c>
    </row>
    <row r="191" spans="1:27" ht="39.75" customHeight="1">
      <c r="A191" s="300" t="s">
        <v>920</v>
      </c>
      <c r="B191" s="19" t="s">
        <v>80</v>
      </c>
      <c r="C191" s="20">
        <v>45930</v>
      </c>
      <c r="D191" s="20" t="s">
        <v>102</v>
      </c>
      <c r="E191" s="20">
        <v>45896</v>
      </c>
      <c r="F191" s="308" t="s">
        <v>107</v>
      </c>
      <c r="G191" s="306"/>
      <c r="H191" s="21">
        <v>87</v>
      </c>
      <c r="I191" s="307" t="s">
        <v>200</v>
      </c>
      <c r="J191" s="21" t="s">
        <v>55</v>
      </c>
      <c r="K191" s="302">
        <v>45897</v>
      </c>
      <c r="L191" s="303" t="s">
        <v>56</v>
      </c>
      <c r="M191" s="349">
        <v>52204</v>
      </c>
      <c r="N191" s="597"/>
      <c r="O191" s="303" t="s">
        <v>56</v>
      </c>
      <c r="P191" s="601" t="s">
        <v>201</v>
      </c>
      <c r="Q191" s="275">
        <v>45896</v>
      </c>
      <c r="R191" s="716">
        <v>4048</v>
      </c>
      <c r="S191" s="498">
        <v>5120</v>
      </c>
      <c r="T191" s="46">
        <v>0</v>
      </c>
      <c r="U191" s="4">
        <v>1.26</v>
      </c>
      <c r="V191" s="705">
        <v>45910</v>
      </c>
      <c r="W191" s="473">
        <v>1</v>
      </c>
      <c r="X191" s="473">
        <v>1</v>
      </c>
      <c r="Y191" s="476">
        <v>1</v>
      </c>
      <c r="Z191" s="22">
        <v>45972</v>
      </c>
      <c r="AA191" s="710" t="s">
        <v>921</v>
      </c>
    </row>
    <row r="192" spans="1:27" ht="39.75" customHeight="1">
      <c r="A192" s="1090" t="s">
        <v>922</v>
      </c>
      <c r="B192" s="895" t="s">
        <v>80</v>
      </c>
      <c r="C192" s="894">
        <v>46006</v>
      </c>
      <c r="D192" s="894" t="s">
        <v>102</v>
      </c>
      <c r="E192" s="894">
        <v>45999</v>
      </c>
      <c r="F192" s="895" t="s">
        <v>90</v>
      </c>
      <c r="G192" s="895" t="s">
        <v>923</v>
      </c>
      <c r="H192" s="896">
        <v>87</v>
      </c>
      <c r="I192" s="523" t="s">
        <v>200</v>
      </c>
      <c r="J192" s="896" t="s">
        <v>55</v>
      </c>
      <c r="K192" s="894">
        <v>45999</v>
      </c>
      <c r="L192" s="896" t="s">
        <v>56</v>
      </c>
      <c r="M192" s="1091">
        <v>74384</v>
      </c>
      <c r="N192" s="897"/>
      <c r="O192" s="896" t="s">
        <v>56</v>
      </c>
      <c r="P192" s="1092" t="s">
        <v>201</v>
      </c>
      <c r="Q192" s="932">
        <v>45999</v>
      </c>
      <c r="R192" s="900">
        <v>6130</v>
      </c>
      <c r="S192" s="1093">
        <v>5915</v>
      </c>
      <c r="T192" s="900">
        <v>0</v>
      </c>
      <c r="U192" s="524">
        <f>IFERROR($S192/$R192, 0)</f>
        <v>0.96492659053833607</v>
      </c>
      <c r="V192" s="910">
        <v>46006</v>
      </c>
      <c r="W192" s="902">
        <v>1</v>
      </c>
      <c r="X192" s="902">
        <v>1</v>
      </c>
      <c r="Y192" s="476">
        <v>1</v>
      </c>
      <c r="Z192" s="379" t="s">
        <v>458</v>
      </c>
      <c r="AA192" s="903" t="s">
        <v>924</v>
      </c>
    </row>
    <row r="193" spans="1:27" ht="39.75" customHeight="1">
      <c r="A193" s="603" t="s">
        <v>925</v>
      </c>
      <c r="B193" s="361" t="s">
        <v>80</v>
      </c>
      <c r="C193" s="363">
        <v>46006</v>
      </c>
      <c r="D193" s="363" t="s">
        <v>102</v>
      </c>
      <c r="E193" s="363">
        <v>45979</v>
      </c>
      <c r="F193" s="361" t="s">
        <v>107</v>
      </c>
      <c r="G193" s="544" t="s">
        <v>926</v>
      </c>
      <c r="H193" s="365">
        <v>28</v>
      </c>
      <c r="I193" s="523" t="s">
        <v>200</v>
      </c>
      <c r="J193" s="365" t="s">
        <v>55</v>
      </c>
      <c r="K193" s="363">
        <v>45979</v>
      </c>
      <c r="L193" s="365" t="s">
        <v>56</v>
      </c>
      <c r="M193" s="787">
        <v>29683</v>
      </c>
      <c r="N193" s="421"/>
      <c r="O193" s="365" t="s">
        <v>56</v>
      </c>
      <c r="P193" s="605" t="s">
        <v>201</v>
      </c>
      <c r="Q193" s="789">
        <v>45979</v>
      </c>
      <c r="R193" s="368">
        <v>2416</v>
      </c>
      <c r="S193" s="388">
        <v>2533</v>
      </c>
      <c r="T193" s="368">
        <v>0</v>
      </c>
      <c r="U193" s="692">
        <f>IFERROR($S193/$R193, 0)</f>
        <v>1.0484271523178808</v>
      </c>
      <c r="V193" s="367">
        <v>45994</v>
      </c>
      <c r="W193" s="283">
        <v>1</v>
      </c>
      <c r="X193" s="283">
        <v>1</v>
      </c>
      <c r="Y193" s="476">
        <v>1</v>
      </c>
      <c r="Z193" s="379" t="s">
        <v>458</v>
      </c>
      <c r="AA193" s="609" t="s">
        <v>927</v>
      </c>
    </row>
    <row r="194" spans="1:27" ht="39.75" customHeight="1">
      <c r="A194" s="1090" t="s">
        <v>928</v>
      </c>
      <c r="B194" s="895" t="s">
        <v>80</v>
      </c>
      <c r="C194" s="894">
        <v>46006</v>
      </c>
      <c r="D194" s="894" t="s">
        <v>102</v>
      </c>
      <c r="E194" s="894">
        <v>46006</v>
      </c>
      <c r="F194" s="895" t="s">
        <v>90</v>
      </c>
      <c r="G194" s="895" t="s">
        <v>929</v>
      </c>
      <c r="H194" s="896">
        <v>21</v>
      </c>
      <c r="I194" s="523" t="s">
        <v>200</v>
      </c>
      <c r="J194" s="896" t="s">
        <v>55</v>
      </c>
      <c r="K194" s="894">
        <v>46006</v>
      </c>
      <c r="L194" s="896" t="s">
        <v>56</v>
      </c>
      <c r="M194" s="1091">
        <v>20891</v>
      </c>
      <c r="N194" s="597"/>
      <c r="O194" s="896" t="s">
        <v>56</v>
      </c>
      <c r="P194" s="1092" t="s">
        <v>201</v>
      </c>
      <c r="Q194" s="899">
        <v>46006</v>
      </c>
      <c r="R194" s="900">
        <v>1820</v>
      </c>
      <c r="S194" s="1093">
        <v>1714</v>
      </c>
      <c r="T194" s="6">
        <v>0</v>
      </c>
      <c r="U194" s="4">
        <f>IFERROR(Table5[[#This Row],[Actual Redline Completed Footage UG]]/Table5[[#This Row],[Footage UG]], 0)</f>
        <v>0.94175824175824174</v>
      </c>
      <c r="V194" s="910">
        <v>46028</v>
      </c>
      <c r="W194" s="902">
        <v>1</v>
      </c>
      <c r="X194" s="473">
        <v>1</v>
      </c>
      <c r="Y194" s="476">
        <v>1</v>
      </c>
      <c r="Z194" s="379" t="s">
        <v>458</v>
      </c>
      <c r="AA194" s="934" t="s">
        <v>930</v>
      </c>
    </row>
    <row r="195" spans="1:27" ht="39.75" customHeight="1">
      <c r="A195" s="300" t="s">
        <v>931</v>
      </c>
      <c r="B195" s="19" t="s">
        <v>80</v>
      </c>
      <c r="C195" s="20">
        <v>45930</v>
      </c>
      <c r="D195" s="20" t="s">
        <v>102</v>
      </c>
      <c r="E195" s="20">
        <v>45915</v>
      </c>
      <c r="F195" s="520" t="s">
        <v>107</v>
      </c>
      <c r="G195" s="532"/>
      <c r="H195" s="21">
        <v>53</v>
      </c>
      <c r="I195" s="522" t="s">
        <v>200</v>
      </c>
      <c r="J195" s="21" t="s">
        <v>55</v>
      </c>
      <c r="K195" s="302">
        <v>45912</v>
      </c>
      <c r="L195" s="303" t="s">
        <v>56</v>
      </c>
      <c r="M195" s="349">
        <v>47676</v>
      </c>
      <c r="N195" s="597"/>
      <c r="O195" s="303" t="s">
        <v>56</v>
      </c>
      <c r="P195" s="601" t="s">
        <v>201</v>
      </c>
      <c r="Q195" s="61">
        <v>45912</v>
      </c>
      <c r="R195" s="46">
        <v>4022</v>
      </c>
      <c r="S195" s="498">
        <v>3933</v>
      </c>
      <c r="T195" s="46">
        <v>0</v>
      </c>
      <c r="U195" s="519">
        <v>0.98</v>
      </c>
      <c r="V195" s="705">
        <v>45931</v>
      </c>
      <c r="W195" s="473">
        <v>1</v>
      </c>
      <c r="X195" s="473">
        <v>1</v>
      </c>
      <c r="Y195" s="476">
        <v>1</v>
      </c>
      <c r="Z195" s="22">
        <v>45972</v>
      </c>
      <c r="AA195" s="676" t="s">
        <v>932</v>
      </c>
    </row>
    <row r="196" spans="1:27" ht="39.75" customHeight="1">
      <c r="A196" s="300" t="s">
        <v>933</v>
      </c>
      <c r="B196" s="19" t="s">
        <v>80</v>
      </c>
      <c r="C196" s="20">
        <v>45945</v>
      </c>
      <c r="D196" s="20" t="s">
        <v>102</v>
      </c>
      <c r="E196" s="20">
        <v>45945</v>
      </c>
      <c r="F196" s="19" t="s">
        <v>82</v>
      </c>
      <c r="G196" s="532"/>
      <c r="H196" s="21">
        <v>59</v>
      </c>
      <c r="I196" s="522" t="s">
        <v>200</v>
      </c>
      <c r="J196" s="21" t="s">
        <v>55</v>
      </c>
      <c r="K196" s="302">
        <v>45933</v>
      </c>
      <c r="L196" s="303" t="s">
        <v>56</v>
      </c>
      <c r="M196" s="349">
        <v>44697.599999999999</v>
      </c>
      <c r="N196" s="597"/>
      <c r="O196" s="303" t="s">
        <v>56</v>
      </c>
      <c r="P196" s="601" t="s">
        <v>201</v>
      </c>
      <c r="Q196" s="61">
        <v>45933</v>
      </c>
      <c r="R196" s="46">
        <v>3495</v>
      </c>
      <c r="S196" s="498">
        <v>3448</v>
      </c>
      <c r="T196" s="46">
        <v>0</v>
      </c>
      <c r="U196" s="519">
        <v>0.99</v>
      </c>
      <c r="V196" s="705">
        <v>45945</v>
      </c>
      <c r="W196" s="473">
        <v>1</v>
      </c>
      <c r="X196" s="473">
        <v>1</v>
      </c>
      <c r="Y196" s="476">
        <v>1</v>
      </c>
      <c r="Z196" s="103">
        <v>45972</v>
      </c>
      <c r="AA196" s="609" t="s">
        <v>934</v>
      </c>
    </row>
    <row r="197" spans="1:27" ht="39.75" customHeight="1">
      <c r="A197" s="786" t="s">
        <v>935</v>
      </c>
      <c r="B197" s="361" t="s">
        <v>80</v>
      </c>
      <c r="C197" s="371">
        <v>45960</v>
      </c>
      <c r="D197" s="363" t="s">
        <v>102</v>
      </c>
      <c r="E197" s="363">
        <v>45915</v>
      </c>
      <c r="F197" s="508" t="s">
        <v>107</v>
      </c>
      <c r="G197" s="544"/>
      <c r="H197" s="365">
        <v>82</v>
      </c>
      <c r="I197" s="523" t="s">
        <v>200</v>
      </c>
      <c r="J197" s="365" t="s">
        <v>55</v>
      </c>
      <c r="K197" s="363">
        <v>45912</v>
      </c>
      <c r="L197" s="365" t="s">
        <v>56</v>
      </c>
      <c r="M197" s="787">
        <v>82621.149999999994</v>
      </c>
      <c r="N197" s="421"/>
      <c r="O197" s="365" t="s">
        <v>56</v>
      </c>
      <c r="P197" s="605" t="s">
        <v>201</v>
      </c>
      <c r="Q197" s="367">
        <v>45912</v>
      </c>
      <c r="R197" s="368">
        <v>5653</v>
      </c>
      <c r="S197" s="388">
        <v>5653</v>
      </c>
      <c r="T197" s="46">
        <f>SUM(R197-S197)</f>
        <v>0</v>
      </c>
      <c r="U197" s="519">
        <f>IFERROR($S197/$R197, 0)</f>
        <v>1</v>
      </c>
      <c r="V197" s="540">
        <v>45932</v>
      </c>
      <c r="W197" s="283">
        <v>1</v>
      </c>
      <c r="X197" s="283">
        <v>1</v>
      </c>
      <c r="Y197" s="476">
        <v>1</v>
      </c>
      <c r="Z197" s="379" t="s">
        <v>458</v>
      </c>
      <c r="AA197" s="1262" t="s">
        <v>936</v>
      </c>
    </row>
    <row r="198" spans="1:27" ht="39.75" customHeight="1">
      <c r="A198" s="603" t="s">
        <v>937</v>
      </c>
      <c r="B198" s="361" t="s">
        <v>80</v>
      </c>
      <c r="C198" s="371">
        <v>45960</v>
      </c>
      <c r="D198" s="363" t="s">
        <v>102</v>
      </c>
      <c r="E198" s="363">
        <v>45936</v>
      </c>
      <c r="F198" s="361" t="s">
        <v>82</v>
      </c>
      <c r="G198" s="544"/>
      <c r="H198" s="365">
        <v>35</v>
      </c>
      <c r="I198" s="523" t="s">
        <v>200</v>
      </c>
      <c r="J198" s="365" t="s">
        <v>55</v>
      </c>
      <c r="K198" s="363">
        <v>45933</v>
      </c>
      <c r="L198" s="365" t="s">
        <v>56</v>
      </c>
      <c r="M198" s="787">
        <v>26026</v>
      </c>
      <c r="N198" s="421"/>
      <c r="O198" s="365" t="s">
        <v>56</v>
      </c>
      <c r="P198" s="605" t="s">
        <v>201</v>
      </c>
      <c r="Q198" s="367">
        <v>45933</v>
      </c>
      <c r="R198" s="368">
        <v>2071</v>
      </c>
      <c r="S198" s="388">
        <v>2072</v>
      </c>
      <c r="T198" s="368">
        <v>0</v>
      </c>
      <c r="U198" s="524">
        <f>IFERROR($S198/$R198, 0)</f>
        <v>1.000482858522453</v>
      </c>
      <c r="V198" s="374">
        <v>45958</v>
      </c>
      <c r="W198" s="283">
        <v>1</v>
      </c>
      <c r="X198" s="283">
        <v>1</v>
      </c>
      <c r="Y198" s="476">
        <v>1</v>
      </c>
      <c r="Z198" s="379" t="s">
        <v>458</v>
      </c>
      <c r="AA198" s="609" t="s">
        <v>938</v>
      </c>
    </row>
    <row r="199" spans="1:27" ht="39.75" customHeight="1">
      <c r="A199" s="300" t="s">
        <v>939</v>
      </c>
      <c r="B199" s="19" t="s">
        <v>80</v>
      </c>
      <c r="C199" s="20">
        <v>45960</v>
      </c>
      <c r="D199" s="20" t="s">
        <v>81</v>
      </c>
      <c r="E199" s="20">
        <v>45950</v>
      </c>
      <c r="F199" s="19" t="s">
        <v>82</v>
      </c>
      <c r="G199" s="532"/>
      <c r="H199" s="21">
        <v>82</v>
      </c>
      <c r="I199" s="522" t="s">
        <v>200</v>
      </c>
      <c r="J199" s="21" t="s">
        <v>55</v>
      </c>
      <c r="K199" s="302">
        <v>45933</v>
      </c>
      <c r="L199" s="303" t="s">
        <v>56</v>
      </c>
      <c r="M199" s="349">
        <v>58864</v>
      </c>
      <c r="N199" s="597"/>
      <c r="O199" s="303" t="s">
        <v>56</v>
      </c>
      <c r="P199" s="601" t="s">
        <v>201</v>
      </c>
      <c r="Q199" s="61">
        <v>45933</v>
      </c>
      <c r="R199" s="46">
        <v>4747</v>
      </c>
      <c r="S199" s="498">
        <v>4925</v>
      </c>
      <c r="T199" s="46">
        <v>0</v>
      </c>
      <c r="U199" s="519">
        <v>1.04</v>
      </c>
      <c r="V199" s="705">
        <v>45951</v>
      </c>
      <c r="W199" s="473">
        <v>1</v>
      </c>
      <c r="X199" s="473">
        <v>1</v>
      </c>
      <c r="Y199" s="476">
        <v>1</v>
      </c>
      <c r="Z199" s="22">
        <v>45972</v>
      </c>
      <c r="AA199" s="355" t="s">
        <v>940</v>
      </c>
    </row>
    <row r="200" spans="1:27" ht="39.75" customHeight="1">
      <c r="A200" s="800" t="s">
        <v>941</v>
      </c>
      <c r="B200" s="361" t="s">
        <v>80</v>
      </c>
      <c r="C200" s="371">
        <v>45945</v>
      </c>
      <c r="D200" s="363" t="s">
        <v>102</v>
      </c>
      <c r="E200" s="363">
        <v>45932</v>
      </c>
      <c r="F200" s="361" t="s">
        <v>107</v>
      </c>
      <c r="G200" s="544"/>
      <c r="H200" s="365">
        <v>34</v>
      </c>
      <c r="I200" s="523" t="s">
        <v>200</v>
      </c>
      <c r="J200" s="365" t="s">
        <v>55</v>
      </c>
      <c r="K200" s="363">
        <v>45933</v>
      </c>
      <c r="L200" s="365" t="s">
        <v>56</v>
      </c>
      <c r="M200" s="787">
        <v>29646</v>
      </c>
      <c r="N200" s="421"/>
      <c r="O200" s="365" t="s">
        <v>56</v>
      </c>
      <c r="P200" s="605" t="s">
        <v>201</v>
      </c>
      <c r="Q200" s="367">
        <v>45933</v>
      </c>
      <c r="R200" s="368">
        <v>2188</v>
      </c>
      <c r="S200" s="388">
        <v>2278</v>
      </c>
      <c r="T200" s="46">
        <v>0</v>
      </c>
      <c r="U200" s="519">
        <f>IFERROR($S200/$R200, 0)</f>
        <v>1.0411334552102376</v>
      </c>
      <c r="V200" s="540">
        <v>45931</v>
      </c>
      <c r="W200" s="283">
        <v>1</v>
      </c>
      <c r="X200" s="283">
        <v>1</v>
      </c>
      <c r="Y200" s="476">
        <v>1</v>
      </c>
      <c r="Z200" s="379" t="s">
        <v>458</v>
      </c>
      <c r="AA200" s="1262" t="s">
        <v>942</v>
      </c>
    </row>
    <row r="201" spans="1:27" ht="39.75" customHeight="1">
      <c r="A201" s="603" t="s">
        <v>943</v>
      </c>
      <c r="B201" s="361" t="s">
        <v>80</v>
      </c>
      <c r="C201" s="371">
        <v>45960</v>
      </c>
      <c r="D201" s="363" t="s">
        <v>81</v>
      </c>
      <c r="E201" s="363">
        <v>45932</v>
      </c>
      <c r="F201" s="361" t="s">
        <v>90</v>
      </c>
      <c r="G201" s="544"/>
      <c r="H201" s="365">
        <v>79</v>
      </c>
      <c r="I201" s="523" t="s">
        <v>200</v>
      </c>
      <c r="J201" s="365" t="s">
        <v>55</v>
      </c>
      <c r="K201" s="363">
        <v>45933</v>
      </c>
      <c r="L201" s="365" t="s">
        <v>56</v>
      </c>
      <c r="M201" s="787">
        <v>45014</v>
      </c>
      <c r="N201" s="421"/>
      <c r="O201" s="365" t="s">
        <v>56</v>
      </c>
      <c r="P201" s="605" t="s">
        <v>201</v>
      </c>
      <c r="Q201" s="367">
        <v>45933</v>
      </c>
      <c r="R201" s="368">
        <v>3378</v>
      </c>
      <c r="S201" s="388">
        <v>3372</v>
      </c>
      <c r="T201" s="368">
        <v>0</v>
      </c>
      <c r="U201" s="524">
        <f>IFERROR($S201/$R201, 0)</f>
        <v>0.9982238010657194</v>
      </c>
      <c r="V201" s="374">
        <v>45958</v>
      </c>
      <c r="W201" s="283">
        <v>1</v>
      </c>
      <c r="X201" s="283">
        <v>1</v>
      </c>
      <c r="Y201" s="476">
        <v>1</v>
      </c>
      <c r="Z201" s="379" t="s">
        <v>458</v>
      </c>
      <c r="AA201" s="1263" t="s">
        <v>944</v>
      </c>
    </row>
    <row r="202" spans="1:27" ht="39.75" customHeight="1">
      <c r="A202" s="603" t="s">
        <v>945</v>
      </c>
      <c r="B202" s="361" t="s">
        <v>80</v>
      </c>
      <c r="C202" s="371">
        <v>45976</v>
      </c>
      <c r="D202" s="363" t="s">
        <v>102</v>
      </c>
      <c r="E202" s="363">
        <v>45959</v>
      </c>
      <c r="F202" s="361" t="s">
        <v>946</v>
      </c>
      <c r="G202" s="544"/>
      <c r="H202" s="365">
        <v>69</v>
      </c>
      <c r="I202" s="523" t="s">
        <v>200</v>
      </c>
      <c r="J202" s="365" t="s">
        <v>55</v>
      </c>
      <c r="K202" s="363">
        <v>45962</v>
      </c>
      <c r="L202" s="365" t="s">
        <v>56</v>
      </c>
      <c r="M202" s="878">
        <v>37418</v>
      </c>
      <c r="N202" s="597"/>
      <c r="O202" s="365" t="s">
        <v>56</v>
      </c>
      <c r="P202" s="605" t="s">
        <v>201</v>
      </c>
      <c r="Q202" s="367">
        <v>45961</v>
      </c>
      <c r="R202" s="368">
        <v>2851</v>
      </c>
      <c r="S202" s="388">
        <v>2925</v>
      </c>
      <c r="T202" s="6">
        <v>0</v>
      </c>
      <c r="U202" s="519">
        <f>IFERROR(Table5[[#This Row],[Actual Redline Completed Footage UG]]/Table5[[#This Row],[Footage UG]], 0)</f>
        <v>1.0259558049807085</v>
      </c>
      <c r="V202" s="374">
        <v>45973</v>
      </c>
      <c r="W202" s="8">
        <v>1</v>
      </c>
      <c r="X202" s="8">
        <v>1</v>
      </c>
      <c r="Y202" s="476">
        <v>1</v>
      </c>
      <c r="Z202" s="39" t="s">
        <v>458</v>
      </c>
      <c r="AA202" s="1083" t="s">
        <v>947</v>
      </c>
    </row>
    <row r="203" spans="1:27" ht="39.75" customHeight="1">
      <c r="A203" s="603" t="s">
        <v>948</v>
      </c>
      <c r="B203" s="361" t="s">
        <v>80</v>
      </c>
      <c r="C203" s="371">
        <v>45976</v>
      </c>
      <c r="D203" s="363" t="s">
        <v>102</v>
      </c>
      <c r="E203" s="363">
        <v>45958</v>
      </c>
      <c r="F203" s="361" t="s">
        <v>82</v>
      </c>
      <c r="G203" s="544"/>
      <c r="H203" s="365">
        <v>48</v>
      </c>
      <c r="I203" s="523" t="s">
        <v>200</v>
      </c>
      <c r="J203" s="365" t="s">
        <v>55</v>
      </c>
      <c r="K203" s="363">
        <v>45954</v>
      </c>
      <c r="L203" s="365" t="s">
        <v>56</v>
      </c>
      <c r="M203" s="787">
        <v>54228.7</v>
      </c>
      <c r="N203" s="421"/>
      <c r="O203" s="365" t="s">
        <v>56</v>
      </c>
      <c r="P203" s="605" t="s">
        <v>201</v>
      </c>
      <c r="Q203" s="367">
        <v>45953</v>
      </c>
      <c r="R203" s="368">
        <v>4141</v>
      </c>
      <c r="S203" s="388">
        <v>4316</v>
      </c>
      <c r="T203" s="368">
        <v>0</v>
      </c>
      <c r="U203" s="524">
        <f>IFERROR($S203/$R203, 0)</f>
        <v>1.042260323593335</v>
      </c>
      <c r="V203" s="374">
        <v>45964</v>
      </c>
      <c r="W203" s="283">
        <v>1</v>
      </c>
      <c r="X203" s="283">
        <v>1</v>
      </c>
      <c r="Y203" s="476">
        <v>1</v>
      </c>
      <c r="Z203" s="39" t="s">
        <v>458</v>
      </c>
      <c r="AA203" s="814" t="s">
        <v>949</v>
      </c>
    </row>
    <row r="204" spans="1:27" ht="39.75" customHeight="1">
      <c r="A204" s="1090" t="s">
        <v>950</v>
      </c>
      <c r="B204" s="895" t="s">
        <v>80</v>
      </c>
      <c r="C204" s="894">
        <v>46006</v>
      </c>
      <c r="D204" s="894" t="s">
        <v>102</v>
      </c>
      <c r="E204" s="894">
        <v>46021</v>
      </c>
      <c r="F204" s="895" t="s">
        <v>90</v>
      </c>
      <c r="G204" s="895" t="s">
        <v>951</v>
      </c>
      <c r="H204" s="896">
        <v>87</v>
      </c>
      <c r="I204" s="523" t="s">
        <v>200</v>
      </c>
      <c r="J204" s="896" t="s">
        <v>55</v>
      </c>
      <c r="K204" s="894">
        <v>46027</v>
      </c>
      <c r="L204" s="896" t="s">
        <v>56</v>
      </c>
      <c r="M204" s="1091">
        <v>63322.45</v>
      </c>
      <c r="N204" s="597"/>
      <c r="O204" s="896" t="s">
        <v>56</v>
      </c>
      <c r="P204" s="1092" t="s">
        <v>201</v>
      </c>
      <c r="Q204" s="899">
        <v>46021</v>
      </c>
      <c r="R204" s="900">
        <v>5030</v>
      </c>
      <c r="S204" s="1093">
        <v>5102</v>
      </c>
      <c r="T204" s="6">
        <v>0</v>
      </c>
      <c r="U204" s="519">
        <f>IFERROR(Table5[[#This Row],[Actual Redline Completed Footage UG]]/Table5[[#This Row],[Footage UG]], 0)</f>
        <v>1.0143141153081512</v>
      </c>
      <c r="V204" s="910">
        <v>46029</v>
      </c>
      <c r="W204" s="473">
        <v>1</v>
      </c>
      <c r="X204" s="473">
        <v>1</v>
      </c>
      <c r="Y204" s="524">
        <v>1</v>
      </c>
      <c r="Z204" s="1237" t="s">
        <v>458</v>
      </c>
      <c r="AA204" s="1081" t="s">
        <v>952</v>
      </c>
    </row>
    <row r="205" spans="1:27" ht="39.75" customHeight="1">
      <c r="A205" s="1090" t="s">
        <v>953</v>
      </c>
      <c r="B205" s="895" t="s">
        <v>80</v>
      </c>
      <c r="C205" s="894">
        <v>46052</v>
      </c>
      <c r="D205" s="894" t="s">
        <v>81</v>
      </c>
      <c r="E205" s="894">
        <v>46021</v>
      </c>
      <c r="F205" s="895" t="s">
        <v>82</v>
      </c>
      <c r="G205" s="895" t="s">
        <v>954</v>
      </c>
      <c r="H205" s="896">
        <v>88</v>
      </c>
      <c r="I205" s="523" t="s">
        <v>200</v>
      </c>
      <c r="J205" s="896" t="s">
        <v>55</v>
      </c>
      <c r="K205" s="894">
        <v>46021</v>
      </c>
      <c r="L205" s="896" t="s">
        <v>56</v>
      </c>
      <c r="M205" s="1091">
        <v>77109.5</v>
      </c>
      <c r="N205" s="597"/>
      <c r="O205" s="896" t="s">
        <v>56</v>
      </c>
      <c r="P205" s="1092" t="s">
        <v>201</v>
      </c>
      <c r="Q205" s="899">
        <v>46021</v>
      </c>
      <c r="R205" s="900">
        <v>6325</v>
      </c>
      <c r="S205" s="1093">
        <v>6251</v>
      </c>
      <c r="T205" s="6">
        <v>0</v>
      </c>
      <c r="U205" s="519">
        <f>IFERROR(Table5[[#This Row],[Actual Redline Completed Footage UG]]/Table5[[#This Row],[Footage UG]], 0)</f>
        <v>0.98830039525691704</v>
      </c>
      <c r="V205" s="910">
        <v>46043</v>
      </c>
      <c r="W205" s="473">
        <v>1</v>
      </c>
      <c r="X205" s="473">
        <v>1</v>
      </c>
      <c r="Y205" s="519">
        <v>1</v>
      </c>
      <c r="Z205" s="1237" t="s">
        <v>458</v>
      </c>
      <c r="AA205" s="903" t="s">
        <v>955</v>
      </c>
    </row>
    <row r="206" spans="1:27" ht="39.75" customHeight="1">
      <c r="A206" s="1090" t="s">
        <v>956</v>
      </c>
      <c r="B206" s="895" t="s">
        <v>80</v>
      </c>
      <c r="C206" s="894">
        <v>46052</v>
      </c>
      <c r="D206" s="894" t="s">
        <v>81</v>
      </c>
      <c r="E206" s="894">
        <v>46045</v>
      </c>
      <c r="F206" s="895" t="s">
        <v>82</v>
      </c>
      <c r="G206" s="895" t="s">
        <v>957</v>
      </c>
      <c r="H206" s="896">
        <v>69</v>
      </c>
      <c r="I206" s="523" t="s">
        <v>200</v>
      </c>
      <c r="J206" s="896" t="s">
        <v>55</v>
      </c>
      <c r="K206" s="894">
        <v>46027</v>
      </c>
      <c r="L206" s="896" t="s">
        <v>56</v>
      </c>
      <c r="M206" s="897">
        <v>41834.75</v>
      </c>
      <c r="N206" s="597"/>
      <c r="O206" s="896" t="s">
        <v>56</v>
      </c>
      <c r="P206" s="1092" t="s">
        <v>201</v>
      </c>
      <c r="Q206" s="899">
        <v>46027</v>
      </c>
      <c r="R206" s="900">
        <v>3183</v>
      </c>
      <c r="S206" s="1093">
        <v>3121</v>
      </c>
      <c r="T206" s="6">
        <v>0</v>
      </c>
      <c r="U206" s="519">
        <f>IFERROR(Table5[[#This Row],[Actual Redline Completed Footage UG]]/Table5[[#This Row],[Footage UG]], 0)</f>
        <v>0.98052152057807096</v>
      </c>
      <c r="V206" s="910">
        <v>46048</v>
      </c>
      <c r="W206" s="27">
        <v>1</v>
      </c>
      <c r="X206" s="8">
        <v>1</v>
      </c>
      <c r="Y206" s="519">
        <v>1</v>
      </c>
      <c r="Z206" s="44" t="s">
        <v>458</v>
      </c>
      <c r="AA206" s="934" t="s">
        <v>958</v>
      </c>
    </row>
    <row r="207" spans="1:27" ht="39.75" customHeight="1">
      <c r="A207" s="603" t="s">
        <v>959</v>
      </c>
      <c r="B207" s="361" t="s">
        <v>80</v>
      </c>
      <c r="C207" s="363">
        <v>45991</v>
      </c>
      <c r="D207" s="363" t="s">
        <v>102</v>
      </c>
      <c r="E207" s="363">
        <v>45966</v>
      </c>
      <c r="F207" s="361" t="s">
        <v>90</v>
      </c>
      <c r="G207" s="544" t="s">
        <v>960</v>
      </c>
      <c r="H207" s="365">
        <v>69</v>
      </c>
      <c r="I207" s="523" t="s">
        <v>200</v>
      </c>
      <c r="J207" s="365" t="s">
        <v>55</v>
      </c>
      <c r="K207" s="363">
        <v>45969</v>
      </c>
      <c r="L207" s="365" t="s">
        <v>56</v>
      </c>
      <c r="M207" s="787">
        <v>75672.100000000006</v>
      </c>
      <c r="N207" s="421"/>
      <c r="O207" s="365" t="s">
        <v>56</v>
      </c>
      <c r="P207" s="1256" t="s">
        <v>201</v>
      </c>
      <c r="Q207" s="61">
        <v>45969</v>
      </c>
      <c r="R207" s="368">
        <v>5654</v>
      </c>
      <c r="S207" s="388">
        <v>5654</v>
      </c>
      <c r="T207" s="368">
        <f>SUM(R207-S207)</f>
        <v>0</v>
      </c>
      <c r="U207" s="524">
        <f>IFERROR($S207/$R207, 0)</f>
        <v>1</v>
      </c>
      <c r="V207" s="374">
        <v>45978</v>
      </c>
      <c r="W207" s="283">
        <v>1</v>
      </c>
      <c r="X207" s="8">
        <v>1</v>
      </c>
      <c r="Y207" s="519">
        <v>1</v>
      </c>
      <c r="Z207" s="44" t="s">
        <v>458</v>
      </c>
      <c r="AA207" s="1264" t="s">
        <v>961</v>
      </c>
    </row>
    <row r="208" spans="1:27" ht="39.75" customHeight="1">
      <c r="A208" s="603" t="s">
        <v>962</v>
      </c>
      <c r="B208" s="361" t="s">
        <v>80</v>
      </c>
      <c r="C208" s="363">
        <v>45991</v>
      </c>
      <c r="D208" s="363" t="s">
        <v>102</v>
      </c>
      <c r="E208" s="363">
        <v>45966</v>
      </c>
      <c r="F208" s="361" t="s">
        <v>82</v>
      </c>
      <c r="G208" s="544" t="s">
        <v>963</v>
      </c>
      <c r="H208" s="365">
        <v>75</v>
      </c>
      <c r="I208" s="523" t="s">
        <v>200</v>
      </c>
      <c r="J208" s="365" t="s">
        <v>55</v>
      </c>
      <c r="K208" s="363">
        <v>45967</v>
      </c>
      <c r="L208" s="365" t="s">
        <v>56</v>
      </c>
      <c r="M208" s="787">
        <v>60620</v>
      </c>
      <c r="N208" s="421"/>
      <c r="O208" s="365" t="s">
        <v>56</v>
      </c>
      <c r="P208" s="1300" t="s">
        <v>201</v>
      </c>
      <c r="Q208" s="275">
        <v>45967</v>
      </c>
      <c r="R208" s="368">
        <v>4814</v>
      </c>
      <c r="S208" s="388">
        <v>4708</v>
      </c>
      <c r="T208" s="368">
        <v>0</v>
      </c>
      <c r="U208" s="692">
        <f>IFERROR($S208/$R208, 0)</f>
        <v>0.97798088907353553</v>
      </c>
      <c r="V208" s="374">
        <v>45986</v>
      </c>
      <c r="W208" s="283">
        <v>1</v>
      </c>
      <c r="X208" s="8">
        <v>1</v>
      </c>
      <c r="Y208" s="519">
        <v>1</v>
      </c>
      <c r="Z208" s="44" t="s">
        <v>458</v>
      </c>
      <c r="AA208" s="609" t="s">
        <v>964</v>
      </c>
    </row>
    <row r="209" spans="1:27" ht="39.75" customHeight="1">
      <c r="A209" s="1090" t="s">
        <v>965</v>
      </c>
      <c r="B209" s="895" t="s">
        <v>80</v>
      </c>
      <c r="C209" s="894">
        <v>46001</v>
      </c>
      <c r="D209" s="894" t="s">
        <v>102</v>
      </c>
      <c r="E209" s="894">
        <v>46009</v>
      </c>
      <c r="F209" s="895" t="s">
        <v>90</v>
      </c>
      <c r="G209" s="895" t="s">
        <v>966</v>
      </c>
      <c r="H209" s="896">
        <v>48</v>
      </c>
      <c r="I209" s="523" t="s">
        <v>200</v>
      </c>
      <c r="J209" s="896" t="s">
        <v>55</v>
      </c>
      <c r="K209" s="894">
        <v>45965</v>
      </c>
      <c r="L209" s="896" t="s">
        <v>56</v>
      </c>
      <c r="M209" s="1091">
        <v>18021.7</v>
      </c>
      <c r="N209" s="897"/>
      <c r="O209" s="896" t="s">
        <v>56</v>
      </c>
      <c r="P209" s="1092" t="s">
        <v>201</v>
      </c>
      <c r="Q209" s="899">
        <v>45965</v>
      </c>
      <c r="R209" s="900">
        <v>1111</v>
      </c>
      <c r="S209" s="1093">
        <v>1188</v>
      </c>
      <c r="T209" s="900">
        <v>0</v>
      </c>
      <c r="U209" s="524">
        <f>IFERROR($S209/$R209, 0)</f>
        <v>1.0693069306930694</v>
      </c>
      <c r="V209" s="910">
        <v>46020</v>
      </c>
      <c r="W209" s="283">
        <v>1</v>
      </c>
      <c r="X209" s="8">
        <v>1</v>
      </c>
      <c r="Y209" s="519">
        <v>1</v>
      </c>
      <c r="Z209" s="44" t="s">
        <v>458</v>
      </c>
      <c r="AA209" s="903" t="s">
        <v>967</v>
      </c>
    </row>
    <row r="210" spans="1:27" ht="39.75" customHeight="1">
      <c r="A210" s="1090" t="s">
        <v>968</v>
      </c>
      <c r="B210" s="895" t="s">
        <v>80</v>
      </c>
      <c r="C210" s="894">
        <v>46001</v>
      </c>
      <c r="D210" s="894" t="s">
        <v>102</v>
      </c>
      <c r="E210" s="894">
        <v>46009</v>
      </c>
      <c r="F210" s="895" t="s">
        <v>90</v>
      </c>
      <c r="G210" s="895" t="s">
        <v>969</v>
      </c>
      <c r="H210" s="896">
        <v>56</v>
      </c>
      <c r="I210" s="523" t="s">
        <v>200</v>
      </c>
      <c r="J210" s="896" t="s">
        <v>55</v>
      </c>
      <c r="K210" s="894">
        <v>45965</v>
      </c>
      <c r="L210" s="896" t="s">
        <v>56</v>
      </c>
      <c r="M210" s="1091">
        <v>20705</v>
      </c>
      <c r="N210" s="897"/>
      <c r="O210" s="896" t="s">
        <v>56</v>
      </c>
      <c r="P210" s="1092" t="s">
        <v>201</v>
      </c>
      <c r="Q210" s="899">
        <v>45965</v>
      </c>
      <c r="R210" s="900">
        <v>900</v>
      </c>
      <c r="S210" s="1093">
        <v>900</v>
      </c>
      <c r="T210" s="900">
        <f>SUM(R210-S210)</f>
        <v>0</v>
      </c>
      <c r="U210" s="524">
        <f>IFERROR($S210/$R210, 0)</f>
        <v>1</v>
      </c>
      <c r="V210" s="910">
        <v>46020</v>
      </c>
      <c r="W210" s="902">
        <v>1</v>
      </c>
      <c r="X210" s="8">
        <v>1</v>
      </c>
      <c r="Y210" s="519">
        <v>1</v>
      </c>
      <c r="Z210" s="44" t="s">
        <v>458</v>
      </c>
      <c r="AA210" s="903" t="s">
        <v>970</v>
      </c>
    </row>
    <row r="211" spans="1:27" ht="39.75" customHeight="1">
      <c r="A211" s="300" t="s">
        <v>971</v>
      </c>
      <c r="B211" s="531" t="s">
        <v>80</v>
      </c>
      <c r="C211" s="20">
        <v>45930</v>
      </c>
      <c r="D211" s="520" t="s">
        <v>125</v>
      </c>
      <c r="E211" s="20">
        <v>45902</v>
      </c>
      <c r="F211" s="19" t="s">
        <v>90</v>
      </c>
      <c r="G211" s="19"/>
      <c r="H211" s="21">
        <v>0</v>
      </c>
      <c r="I211" s="21" t="s">
        <v>200</v>
      </c>
      <c r="J211" s="21" t="s">
        <v>55</v>
      </c>
      <c r="K211" s="302">
        <v>45902</v>
      </c>
      <c r="L211" s="303" t="s">
        <v>56</v>
      </c>
      <c r="M211" s="349">
        <v>12695</v>
      </c>
      <c r="N211" s="597"/>
      <c r="O211" s="303" t="s">
        <v>56</v>
      </c>
      <c r="P211" s="601" t="s">
        <v>201</v>
      </c>
      <c r="Q211" s="61">
        <v>45902</v>
      </c>
      <c r="R211" s="812">
        <v>1010</v>
      </c>
      <c r="S211" s="813">
        <v>978</v>
      </c>
      <c r="T211" s="46">
        <v>0</v>
      </c>
      <c r="U211" s="519">
        <v>0.97</v>
      </c>
      <c r="V211" s="705">
        <v>45911</v>
      </c>
      <c r="W211" s="473">
        <v>1</v>
      </c>
      <c r="X211" s="1285">
        <v>1</v>
      </c>
      <c r="Y211" s="1287">
        <v>1</v>
      </c>
      <c r="Z211" s="103">
        <v>45972</v>
      </c>
      <c r="AA211" s="676" t="s">
        <v>972</v>
      </c>
    </row>
    <row r="212" spans="1:27" ht="39.75" customHeight="1">
      <c r="A212" s="616" t="s">
        <v>618</v>
      </c>
      <c r="B212" s="875" t="s">
        <v>80</v>
      </c>
      <c r="C212" s="748">
        <v>45838</v>
      </c>
      <c r="D212" s="876" t="s">
        <v>102</v>
      </c>
      <c r="E212" s="748">
        <v>45817</v>
      </c>
      <c r="F212" s="876" t="s">
        <v>90</v>
      </c>
      <c r="G212" s="881" t="s">
        <v>973</v>
      </c>
      <c r="H212" s="759">
        <v>0</v>
      </c>
      <c r="I212" s="811" t="s">
        <v>200</v>
      </c>
      <c r="J212" s="759" t="s">
        <v>55</v>
      </c>
      <c r="K212" s="882">
        <v>45821</v>
      </c>
      <c r="L212" s="811" t="s">
        <v>56</v>
      </c>
      <c r="M212" s="760">
        <v>23436.55</v>
      </c>
      <c r="N212" s="597"/>
      <c r="O212" s="811" t="s">
        <v>56</v>
      </c>
      <c r="P212" s="618" t="s">
        <v>201</v>
      </c>
      <c r="Q212" s="470">
        <v>45817</v>
      </c>
      <c r="R212" s="472">
        <v>1769</v>
      </c>
      <c r="S212" s="879">
        <v>1044</v>
      </c>
      <c r="T212" s="518">
        <v>0</v>
      </c>
      <c r="U212" s="704">
        <f>IFERROR(Table5[[#This Row],[Actual Redline Completed Footage UG]]/Table5[[#This Row],[Footage UG]], 0)</f>
        <v>0.5901639344262295</v>
      </c>
      <c r="V212" s="705">
        <v>45831</v>
      </c>
      <c r="W212" s="473">
        <v>1</v>
      </c>
      <c r="X212" s="8">
        <v>1</v>
      </c>
      <c r="Y212" s="8">
        <v>1</v>
      </c>
      <c r="Z212" s="22">
        <v>45897</v>
      </c>
      <c r="AA212" s="1286" t="s">
        <v>974</v>
      </c>
    </row>
    <row r="213" spans="1:27" ht="39.75" customHeight="1">
      <c r="A213" s="603" t="s">
        <v>975</v>
      </c>
      <c r="B213" s="543" t="s">
        <v>80</v>
      </c>
      <c r="C213" s="371">
        <v>45991</v>
      </c>
      <c r="D213" s="361" t="s">
        <v>976</v>
      </c>
      <c r="E213" s="363">
        <v>45936</v>
      </c>
      <c r="F213" s="361" t="s">
        <v>90</v>
      </c>
      <c r="G213" s="544"/>
      <c r="H213" s="365">
        <v>0</v>
      </c>
      <c r="I213" s="365" t="s">
        <v>200</v>
      </c>
      <c r="J213" s="365" t="s">
        <v>55</v>
      </c>
      <c r="K213" s="363" t="s">
        <v>104</v>
      </c>
      <c r="L213" s="365" t="s">
        <v>56</v>
      </c>
      <c r="M213" s="878">
        <v>74164.05</v>
      </c>
      <c r="N213" s="597"/>
      <c r="O213" s="365" t="s">
        <v>56</v>
      </c>
      <c r="P213" s="1256" t="s">
        <v>201</v>
      </c>
      <c r="Q213" s="61">
        <v>45939</v>
      </c>
      <c r="R213" s="336">
        <v>5613</v>
      </c>
      <c r="S213" s="604">
        <v>5774</v>
      </c>
      <c r="T213" s="518">
        <v>0</v>
      </c>
      <c r="U213" s="519">
        <f>IFERROR(Table5[[#This Row],[Actual Redline Completed Footage UG]]/Table5[[#This Row],[Footage UG]], 0)</f>
        <v>1.0286834135043648</v>
      </c>
      <c r="V213" s="374">
        <v>45960</v>
      </c>
      <c r="W213" s="283">
        <v>1</v>
      </c>
      <c r="X213" s="8">
        <v>1</v>
      </c>
      <c r="Y213" s="8">
        <v>1</v>
      </c>
      <c r="Z213" s="39" t="s">
        <v>458</v>
      </c>
      <c r="AA213" s="1293" t="s">
        <v>977</v>
      </c>
    </row>
    <row r="214" spans="1:27" ht="39.75" customHeight="1">
      <c r="A214" s="603" t="s">
        <v>978</v>
      </c>
      <c r="B214" s="543" t="s">
        <v>80</v>
      </c>
      <c r="C214" s="371">
        <v>45991</v>
      </c>
      <c r="D214" s="363" t="s">
        <v>81</v>
      </c>
      <c r="E214" s="363">
        <v>45961</v>
      </c>
      <c r="F214" s="361" t="s">
        <v>90</v>
      </c>
      <c r="G214" s="544"/>
      <c r="H214" s="365">
        <v>0</v>
      </c>
      <c r="I214" s="365" t="s">
        <v>200</v>
      </c>
      <c r="J214" s="365" t="s">
        <v>55</v>
      </c>
      <c r="K214" s="363" t="s">
        <v>104</v>
      </c>
      <c r="L214" s="365" t="s">
        <v>56</v>
      </c>
      <c r="M214" s="787">
        <v>39221.800000000003</v>
      </c>
      <c r="N214" s="1265"/>
      <c r="O214" s="1046" t="s">
        <v>56</v>
      </c>
      <c r="P214" s="1301" t="s">
        <v>201</v>
      </c>
      <c r="Q214" s="1044">
        <v>45950</v>
      </c>
      <c r="R214" s="636">
        <v>3078</v>
      </c>
      <c r="S214" s="1140">
        <v>3272</v>
      </c>
      <c r="T214" s="368">
        <v>0</v>
      </c>
      <c r="U214" s="524">
        <f>IFERROR($S214/$R214, 0)</f>
        <v>1.0630279402209226</v>
      </c>
      <c r="V214" s="374">
        <v>45966</v>
      </c>
      <c r="W214" s="283">
        <v>1</v>
      </c>
      <c r="X214" s="8">
        <v>1</v>
      </c>
      <c r="Y214" s="8">
        <v>1</v>
      </c>
      <c r="Z214" s="39" t="s">
        <v>458</v>
      </c>
      <c r="AA214" s="1294" t="s">
        <v>979</v>
      </c>
    </row>
    <row r="215" spans="1:27" ht="39.75" customHeight="1">
      <c r="A215" s="616" t="s">
        <v>980</v>
      </c>
      <c r="B215" s="808" t="s">
        <v>80</v>
      </c>
      <c r="C215" s="765">
        <v>45899</v>
      </c>
      <c r="D215" s="748" t="s">
        <v>125</v>
      </c>
      <c r="E215" s="748">
        <v>45876</v>
      </c>
      <c r="F215" s="748" t="s">
        <v>90</v>
      </c>
      <c r="G215" s="810" t="s">
        <v>981</v>
      </c>
      <c r="H215" s="759">
        <v>0</v>
      </c>
      <c r="I215" s="811" t="s">
        <v>200</v>
      </c>
      <c r="J215" s="759" t="s">
        <v>55</v>
      </c>
      <c r="K215" s="748">
        <v>45876</v>
      </c>
      <c r="L215" s="759" t="s">
        <v>56</v>
      </c>
      <c r="M215" s="760">
        <v>1462.85</v>
      </c>
      <c r="N215" s="43"/>
      <c r="O215" s="759" t="s">
        <v>56</v>
      </c>
      <c r="P215" s="618" t="s">
        <v>201</v>
      </c>
      <c r="Q215" s="275">
        <v>45876</v>
      </c>
      <c r="R215" s="767">
        <v>116</v>
      </c>
      <c r="S215" s="717">
        <v>130</v>
      </c>
      <c r="T215" s="5">
        <v>0</v>
      </c>
      <c r="U215" s="704">
        <f>IFERROR(Table5[[#This Row],[Actual Redline Completed Footage UG]]/Table5[[#This Row],[Footage UG]], 0)</f>
        <v>1.1206896551724137</v>
      </c>
      <c r="V215" s="705">
        <v>45896</v>
      </c>
      <c r="W215" s="766">
        <v>1</v>
      </c>
      <c r="X215" s="1238">
        <v>1</v>
      </c>
      <c r="Y215" s="1238">
        <v>1</v>
      </c>
      <c r="Z215" s="1044">
        <v>45926</v>
      </c>
      <c r="AA215" s="1095" t="s">
        <v>982</v>
      </c>
    </row>
    <row r="216" spans="1:27" ht="39.75" customHeight="1">
      <c r="A216" s="1246" t="s">
        <v>983</v>
      </c>
      <c r="B216" s="1051" t="s">
        <v>80</v>
      </c>
      <c r="C216" s="998">
        <v>45959</v>
      </c>
      <c r="D216" s="998" t="s">
        <v>102</v>
      </c>
      <c r="E216" s="998">
        <v>45961</v>
      </c>
      <c r="F216" s="1051" t="s">
        <v>82</v>
      </c>
      <c r="G216" s="895"/>
      <c r="H216" s="1366">
        <v>0</v>
      </c>
      <c r="I216" s="523" t="s">
        <v>200</v>
      </c>
      <c r="J216" s="1366" t="s">
        <v>55</v>
      </c>
      <c r="K216" s="998" t="s">
        <v>104</v>
      </c>
      <c r="L216" s="1366" t="s">
        <v>56</v>
      </c>
      <c r="M216" s="1389">
        <v>15670.45</v>
      </c>
      <c r="N216" s="43"/>
      <c r="O216" s="1366" t="s">
        <v>56</v>
      </c>
      <c r="P216" s="1390" t="s">
        <v>201</v>
      </c>
      <c r="Q216" s="1368">
        <v>46031</v>
      </c>
      <c r="R216" s="636">
        <v>1202</v>
      </c>
      <c r="S216" s="1093">
        <v>1208</v>
      </c>
      <c r="T216" s="5">
        <v>0</v>
      </c>
      <c r="U216" s="519">
        <f>IFERROR(Table5[[#This Row],[Actual Redline Completed Footage UG]]/Table5[[#This Row],[Footage UG]], 0)</f>
        <v>1.0049916805324459</v>
      </c>
      <c r="V216" s="910">
        <v>46035</v>
      </c>
      <c r="W216" s="283">
        <v>1</v>
      </c>
      <c r="X216" s="766">
        <v>1</v>
      </c>
      <c r="Y216" s="766">
        <v>1</v>
      </c>
      <c r="Z216" s="1237" t="s">
        <v>458</v>
      </c>
      <c r="AA216" s="1081" t="s">
        <v>984</v>
      </c>
    </row>
    <row r="217" spans="1:27" ht="39.75" customHeight="1">
      <c r="A217" s="619" t="s">
        <v>601</v>
      </c>
      <c r="B217" s="714" t="s">
        <v>80</v>
      </c>
      <c r="C217" s="25">
        <v>45899</v>
      </c>
      <c r="D217" s="711" t="s">
        <v>102</v>
      </c>
      <c r="E217" s="711">
        <v>45882</v>
      </c>
      <c r="F217" s="802" t="s">
        <v>107</v>
      </c>
      <c r="G217" s="807" t="s">
        <v>602</v>
      </c>
      <c r="H217" s="640">
        <v>0</v>
      </c>
      <c r="I217" s="649" t="s">
        <v>200</v>
      </c>
      <c r="J217" s="640" t="s">
        <v>55</v>
      </c>
      <c r="K217" s="302">
        <v>45882</v>
      </c>
      <c r="L217" s="303" t="s">
        <v>56</v>
      </c>
      <c r="M217" s="1323">
        <v>13056.5</v>
      </c>
      <c r="N217" s="634"/>
      <c r="O217" s="303" t="s">
        <v>56</v>
      </c>
      <c r="P217" s="462" t="s">
        <v>201</v>
      </c>
      <c r="Q217" s="367">
        <v>45882</v>
      </c>
      <c r="R217" s="336">
        <v>1100</v>
      </c>
      <c r="S217" s="604">
        <v>1110</v>
      </c>
      <c r="T217" s="5">
        <v>0</v>
      </c>
      <c r="U217" s="704">
        <f>IFERROR(Table5[[#This Row],[Actual Redline Completed Footage UG]]/Table5[[#This Row],[Footage UG]], 0)</f>
        <v>1.009090909090909</v>
      </c>
      <c r="V217" s="540">
        <v>45887</v>
      </c>
      <c r="W217" s="283">
        <v>1</v>
      </c>
      <c r="X217" s="283">
        <v>1</v>
      </c>
      <c r="Y217" s="27">
        <v>1</v>
      </c>
      <c r="Z217" s="61">
        <v>45926</v>
      </c>
      <c r="AA217" s="1288" t="s">
        <v>603</v>
      </c>
    </row>
    <row r="218" spans="1:27" ht="39.75" customHeight="1">
      <c r="A218" s="619" t="s">
        <v>985</v>
      </c>
      <c r="B218" s="714" t="s">
        <v>80</v>
      </c>
      <c r="C218" s="25">
        <v>45868</v>
      </c>
      <c r="D218" s="622" t="s">
        <v>125</v>
      </c>
      <c r="E218" s="711">
        <v>45853</v>
      </c>
      <c r="F218" s="801" t="s">
        <v>90</v>
      </c>
      <c r="G218" s="809" t="s">
        <v>986</v>
      </c>
      <c r="H218" s="640">
        <v>0</v>
      </c>
      <c r="I218" s="640" t="s">
        <v>200</v>
      </c>
      <c r="J218" s="640" t="s">
        <v>55</v>
      </c>
      <c r="K218" s="363">
        <v>45853</v>
      </c>
      <c r="L218" s="365" t="s">
        <v>56</v>
      </c>
      <c r="M218" s="349">
        <v>68216.5</v>
      </c>
      <c r="N218" s="597"/>
      <c r="O218" s="854" t="s">
        <v>56</v>
      </c>
      <c r="P218" s="605" t="s">
        <v>201</v>
      </c>
      <c r="Q218" s="367">
        <v>45853</v>
      </c>
      <c r="R218" s="761">
        <v>581</v>
      </c>
      <c r="S218" s="762">
        <v>581</v>
      </c>
      <c r="T218" s="5">
        <v>0</v>
      </c>
      <c r="U218" s="704">
        <f>IFERROR(Table5[[#This Row],[Actual Redline Completed Footage UG]]/Table5[[#This Row],[Footage UG]], 0)</f>
        <v>1</v>
      </c>
      <c r="V218" s="540">
        <v>45868</v>
      </c>
      <c r="W218" s="283">
        <v>1</v>
      </c>
      <c r="X218" s="283">
        <v>1</v>
      </c>
      <c r="Y218" s="27">
        <v>1</v>
      </c>
      <c r="Z218" s="22">
        <v>45916</v>
      </c>
      <c r="AA218" s="1289" t="s">
        <v>987</v>
      </c>
    </row>
    <row r="219" spans="1:27" ht="39.75" customHeight="1">
      <c r="A219" s="1090" t="s">
        <v>988</v>
      </c>
      <c r="B219" s="895" t="s">
        <v>80</v>
      </c>
      <c r="C219" s="894">
        <v>46031</v>
      </c>
      <c r="D219" s="894" t="s">
        <v>102</v>
      </c>
      <c r="E219" s="894">
        <v>46002</v>
      </c>
      <c r="F219" s="895" t="s">
        <v>82</v>
      </c>
      <c r="G219" s="895" t="s">
        <v>989</v>
      </c>
      <c r="H219" s="896">
        <v>0</v>
      </c>
      <c r="I219" s="896" t="s">
        <v>200</v>
      </c>
      <c r="J219" s="896" t="s">
        <v>55</v>
      </c>
      <c r="K219" s="894" t="s">
        <v>104</v>
      </c>
      <c r="L219" s="896" t="s">
        <v>56</v>
      </c>
      <c r="M219" s="1320">
        <v>23475.5</v>
      </c>
      <c r="N219" s="1026"/>
      <c r="O219" s="948" t="s">
        <v>56</v>
      </c>
      <c r="P219" s="1302" t="s">
        <v>201</v>
      </c>
      <c r="Q219" s="932">
        <v>45999</v>
      </c>
      <c r="R219" s="1045">
        <v>1890</v>
      </c>
      <c r="S219" s="1149">
        <v>2048</v>
      </c>
      <c r="T219" s="942">
        <v>0</v>
      </c>
      <c r="U219" s="1013">
        <f>IFERROR($S219/$R219, 0)</f>
        <v>1.0835978835978837</v>
      </c>
      <c r="V219" s="910">
        <v>46009</v>
      </c>
      <c r="W219" s="902">
        <v>1</v>
      </c>
      <c r="X219" s="283">
        <v>1</v>
      </c>
      <c r="Y219" s="1238">
        <v>1</v>
      </c>
      <c r="Z219" s="39" t="s">
        <v>458</v>
      </c>
      <c r="AA219" s="1290" t="s">
        <v>990</v>
      </c>
    </row>
    <row r="220" spans="1:27" ht="39.75" customHeight="1">
      <c r="A220" s="1090" t="s">
        <v>991</v>
      </c>
      <c r="B220" s="895" t="s">
        <v>80</v>
      </c>
      <c r="C220" s="894">
        <v>46003</v>
      </c>
      <c r="D220" s="894" t="s">
        <v>102</v>
      </c>
      <c r="E220" s="894">
        <v>46002</v>
      </c>
      <c r="F220" s="895" t="s">
        <v>82</v>
      </c>
      <c r="G220" s="895"/>
      <c r="H220" s="896">
        <v>0</v>
      </c>
      <c r="I220" s="896" t="s">
        <v>200</v>
      </c>
      <c r="J220" s="896" t="s">
        <v>55</v>
      </c>
      <c r="K220" s="894" t="s">
        <v>104</v>
      </c>
      <c r="L220" s="896" t="s">
        <v>56</v>
      </c>
      <c r="M220" s="1320">
        <v>11500.3</v>
      </c>
      <c r="N220" s="1026"/>
      <c r="O220" s="948" t="s">
        <v>56</v>
      </c>
      <c r="P220" s="1302" t="s">
        <v>201</v>
      </c>
      <c r="Q220" s="932">
        <v>45994</v>
      </c>
      <c r="R220" s="861">
        <v>908</v>
      </c>
      <c r="S220" s="1304">
        <v>925</v>
      </c>
      <c r="T220" s="1014">
        <v>0</v>
      </c>
      <c r="U220" s="524">
        <f>IFERROR($S220/$R220, 0)</f>
        <v>1.0187224669603525</v>
      </c>
      <c r="V220" s="910">
        <v>46013</v>
      </c>
      <c r="W220" s="902">
        <v>1</v>
      </c>
      <c r="X220" s="283">
        <v>1</v>
      </c>
      <c r="Y220" s="766">
        <v>1</v>
      </c>
      <c r="Z220" s="39" t="s">
        <v>458</v>
      </c>
      <c r="AA220" s="1290" t="s">
        <v>992</v>
      </c>
    </row>
    <row r="221" spans="1:27" ht="39.75" customHeight="1">
      <c r="A221" s="603" t="s">
        <v>993</v>
      </c>
      <c r="B221" s="361" t="s">
        <v>80</v>
      </c>
      <c r="C221" s="371">
        <v>45991</v>
      </c>
      <c r="D221" s="363" t="s">
        <v>81</v>
      </c>
      <c r="E221" s="363">
        <v>45953</v>
      </c>
      <c r="F221" s="361" t="s">
        <v>82</v>
      </c>
      <c r="G221" s="544" t="s">
        <v>994</v>
      </c>
      <c r="H221" s="365">
        <v>0</v>
      </c>
      <c r="I221" s="365" t="s">
        <v>200</v>
      </c>
      <c r="J221" s="365" t="s">
        <v>55</v>
      </c>
      <c r="K221" s="363" t="s">
        <v>104</v>
      </c>
      <c r="L221" s="365" t="s">
        <v>56</v>
      </c>
      <c r="M221" s="349">
        <v>51970</v>
      </c>
      <c r="N221" s="1321"/>
      <c r="O221" s="44" t="s">
        <v>56</v>
      </c>
      <c r="P221" s="1303" t="s">
        <v>201</v>
      </c>
      <c r="Q221" s="61">
        <v>45953</v>
      </c>
      <c r="R221" s="761">
        <v>4544</v>
      </c>
      <c r="S221" s="762">
        <v>4569</v>
      </c>
      <c r="T221" s="368">
        <v>0</v>
      </c>
      <c r="U221" s="524">
        <f>IFERROR($S221/$R221, 0)</f>
        <v>1.0055017605633803</v>
      </c>
      <c r="V221" s="374">
        <v>45960</v>
      </c>
      <c r="W221" s="283">
        <v>1</v>
      </c>
      <c r="X221" s="283">
        <v>1</v>
      </c>
      <c r="Y221" s="766">
        <v>1</v>
      </c>
      <c r="Z221" s="39" t="s">
        <v>458</v>
      </c>
      <c r="AA221" s="1291" t="s">
        <v>995</v>
      </c>
    </row>
    <row r="222" spans="1:27" ht="39.75" customHeight="1">
      <c r="A222" s="603" t="s">
        <v>996</v>
      </c>
      <c r="B222" s="361" t="s">
        <v>80</v>
      </c>
      <c r="C222" s="371">
        <v>45960</v>
      </c>
      <c r="D222" s="363" t="s">
        <v>997</v>
      </c>
      <c r="E222" s="363">
        <v>45939</v>
      </c>
      <c r="F222" s="361" t="s">
        <v>107</v>
      </c>
      <c r="G222" s="544"/>
      <c r="H222" s="365">
        <v>385</v>
      </c>
      <c r="I222" s="523" t="s">
        <v>200</v>
      </c>
      <c r="J222" s="365" t="s">
        <v>67</v>
      </c>
      <c r="K222" s="363">
        <v>45937</v>
      </c>
      <c r="L222" s="365" t="s">
        <v>56</v>
      </c>
      <c r="M222" s="1310">
        <v>210533.1</v>
      </c>
      <c r="N222" s="1324"/>
      <c r="O222" s="365" t="s">
        <v>56</v>
      </c>
      <c r="P222" s="605" t="s">
        <v>201</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3" t="s">
        <v>458</v>
      </c>
      <c r="AA222" s="1078" t="s">
        <v>998</v>
      </c>
    </row>
    <row r="223" spans="1:27" ht="39.75" customHeight="1">
      <c r="A223" s="1090" t="s">
        <v>999</v>
      </c>
      <c r="B223" s="543" t="s">
        <v>80</v>
      </c>
      <c r="C223" s="894">
        <v>46020</v>
      </c>
      <c r="D223" s="894" t="s">
        <v>1000</v>
      </c>
      <c r="E223" s="894">
        <v>45978</v>
      </c>
      <c r="F223" s="895" t="s">
        <v>82</v>
      </c>
      <c r="G223" s="895" t="s">
        <v>1001</v>
      </c>
      <c r="H223" s="896">
        <v>197</v>
      </c>
      <c r="I223" s="523" t="s">
        <v>200</v>
      </c>
      <c r="J223" s="896" t="s">
        <v>67</v>
      </c>
      <c r="K223" s="894">
        <v>45978</v>
      </c>
      <c r="L223" s="896" t="s">
        <v>56</v>
      </c>
      <c r="M223" s="1267">
        <v>87807.5</v>
      </c>
      <c r="N223" s="597"/>
      <c r="O223" s="896" t="s">
        <v>56</v>
      </c>
      <c r="P223" s="1268" t="s">
        <v>201</v>
      </c>
      <c r="Q223" s="932">
        <v>45978</v>
      </c>
      <c r="R223" s="636">
        <v>10187</v>
      </c>
      <c r="S223" s="1140">
        <v>8303</v>
      </c>
      <c r="T223" s="6">
        <v>0</v>
      </c>
      <c r="U223" s="519">
        <f>IFERROR(Table5[[#This Row],[Actual Redline Completed Footage UG]]/Table5[[#This Row],[Footage UG]], 0)</f>
        <v>0.81505840777461469</v>
      </c>
      <c r="V223" s="1040">
        <v>45985</v>
      </c>
      <c r="W223" s="902">
        <v>1</v>
      </c>
      <c r="X223" s="283">
        <v>1</v>
      </c>
      <c r="Y223" s="369">
        <v>1</v>
      </c>
      <c r="Z223" s="379" t="s">
        <v>458</v>
      </c>
      <c r="AA223" s="1081" t="s">
        <v>1002</v>
      </c>
    </row>
    <row r="224" spans="1:27" ht="39.75" customHeight="1">
      <c r="A224" s="603" t="s">
        <v>1003</v>
      </c>
      <c r="B224" s="361" t="s">
        <v>80</v>
      </c>
      <c r="C224" s="363">
        <v>45996</v>
      </c>
      <c r="D224" s="363" t="s">
        <v>997</v>
      </c>
      <c r="E224" s="363">
        <v>45958</v>
      </c>
      <c r="F224" s="361" t="s">
        <v>82</v>
      </c>
      <c r="G224" s="544" t="s">
        <v>1004</v>
      </c>
      <c r="H224" s="365">
        <v>303</v>
      </c>
      <c r="I224" s="523" t="s">
        <v>200</v>
      </c>
      <c r="J224" s="365" t="s">
        <v>67</v>
      </c>
      <c r="K224" s="363">
        <v>45953</v>
      </c>
      <c r="L224" s="365" t="s">
        <v>56</v>
      </c>
      <c r="M224" s="787">
        <v>168480.8</v>
      </c>
      <c r="N224" s="421"/>
      <c r="O224" s="365" t="s">
        <v>56</v>
      </c>
      <c r="P224" s="605" t="s">
        <v>201</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800" t="s">
        <v>1006</v>
      </c>
      <c r="B225" s="361" t="s">
        <v>80</v>
      </c>
      <c r="C225" s="371">
        <v>45960</v>
      </c>
      <c r="D225" s="363" t="s">
        <v>1007</v>
      </c>
      <c r="E225" s="363">
        <v>45915</v>
      </c>
      <c r="F225" s="361" t="s">
        <v>1008</v>
      </c>
      <c r="G225" s="544"/>
      <c r="H225" s="365">
        <v>384</v>
      </c>
      <c r="I225" s="523" t="s">
        <v>200</v>
      </c>
      <c r="J225" s="365" t="s">
        <v>67</v>
      </c>
      <c r="K225" s="363">
        <v>45905</v>
      </c>
      <c r="L225" s="365" t="s">
        <v>56</v>
      </c>
      <c r="M225" s="787">
        <v>145985.5</v>
      </c>
      <c r="N225" s="597"/>
      <c r="O225" s="365" t="s">
        <v>56</v>
      </c>
      <c r="P225" s="1256" t="s">
        <v>201</v>
      </c>
      <c r="Q225" s="61">
        <v>45906</v>
      </c>
      <c r="R225" s="1269">
        <v>14150</v>
      </c>
      <c r="S225" s="1140">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200</v>
      </c>
      <c r="J226" s="365" t="s">
        <v>67</v>
      </c>
      <c r="K226" s="361" t="s">
        <v>201</v>
      </c>
      <c r="L226" s="365" t="s">
        <v>56</v>
      </c>
      <c r="M226" s="787">
        <v>30892</v>
      </c>
      <c r="N226" s="421"/>
      <c r="O226" s="365" t="s">
        <v>56</v>
      </c>
      <c r="P226" s="605" t="s">
        <v>201</v>
      </c>
      <c r="Q226" s="367">
        <v>45911</v>
      </c>
      <c r="R226" s="636">
        <v>2811</v>
      </c>
      <c r="S226" s="1140">
        <v>2732</v>
      </c>
      <c r="T226" s="46">
        <v>0</v>
      </c>
      <c r="U226" s="519">
        <f>IFERROR($S226/$R226, 0)</f>
        <v>0.97189612237637857</v>
      </c>
      <c r="V226" s="22">
        <v>45922</v>
      </c>
      <c r="W226" s="1052">
        <v>1</v>
      </c>
      <c r="X226" s="283">
        <v>1</v>
      </c>
      <c r="Y226" s="369">
        <v>1</v>
      </c>
      <c r="Z226" s="379" t="s">
        <v>458</v>
      </c>
      <c r="AA226" s="526" t="s">
        <v>1012</v>
      </c>
    </row>
    <row r="227" spans="1:30" ht="39.75" customHeight="1">
      <c r="A227" s="1296" t="s">
        <v>1013</v>
      </c>
      <c r="B227" s="361" t="s">
        <v>80</v>
      </c>
      <c r="C227" s="363">
        <v>46017</v>
      </c>
      <c r="D227" s="363" t="s">
        <v>1000</v>
      </c>
      <c r="E227" s="363">
        <v>45936</v>
      </c>
      <c r="F227" s="361" t="s">
        <v>90</v>
      </c>
      <c r="G227" s="544"/>
      <c r="H227" s="365">
        <v>157</v>
      </c>
      <c r="I227" s="523" t="s">
        <v>200</v>
      </c>
      <c r="J227" s="365" t="s">
        <v>67</v>
      </c>
      <c r="K227" s="363">
        <v>45943</v>
      </c>
      <c r="L227" s="365" t="s">
        <v>56</v>
      </c>
      <c r="M227" s="787">
        <v>64059.5</v>
      </c>
      <c r="N227" s="421"/>
      <c r="O227" s="365" t="s">
        <v>56</v>
      </c>
      <c r="P227" s="797" t="s">
        <v>201</v>
      </c>
      <c r="Q227" s="367">
        <v>45943</v>
      </c>
      <c r="R227" s="368">
        <v>4725</v>
      </c>
      <c r="S227" s="1140">
        <v>4535</v>
      </c>
      <c r="T227" s="46">
        <v>0</v>
      </c>
      <c r="U227" s="519">
        <v>0.96</v>
      </c>
      <c r="V227" s="22">
        <v>45971</v>
      </c>
      <c r="W227" s="1052">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200</v>
      </c>
      <c r="J228" s="626" t="s">
        <v>67</v>
      </c>
      <c r="K228" s="363">
        <v>45876</v>
      </c>
      <c r="L228" s="365" t="s">
        <v>56</v>
      </c>
      <c r="M228" s="787">
        <v>124980</v>
      </c>
      <c r="N228" s="634"/>
      <c r="O228" s="365" t="s">
        <v>56</v>
      </c>
      <c r="P228" s="1139" t="s">
        <v>201</v>
      </c>
      <c r="Q228" s="789">
        <v>45876</v>
      </c>
      <c r="R228" s="336">
        <v>11700</v>
      </c>
      <c r="S228" s="604">
        <v>11820</v>
      </c>
      <c r="T228" s="51">
        <v>0</v>
      </c>
      <c r="U228" s="4">
        <v>1.01</v>
      </c>
      <c r="V228" s="540">
        <v>45890</v>
      </c>
      <c r="W228" s="283">
        <v>1</v>
      </c>
      <c r="X228" s="283">
        <v>1</v>
      </c>
      <c r="Y228" s="524">
        <v>1</v>
      </c>
      <c r="Z228" s="61">
        <v>45926</v>
      </c>
      <c r="AA228" s="395" t="s">
        <v>1015</v>
      </c>
    </row>
    <row r="229" spans="1:30" ht="39.75" customHeight="1">
      <c r="A229" s="1090" t="s">
        <v>1016</v>
      </c>
      <c r="B229" s="543" t="s">
        <v>80</v>
      </c>
      <c r="C229" s="894">
        <v>46015</v>
      </c>
      <c r="D229" s="894" t="s">
        <v>81</v>
      </c>
      <c r="E229" s="894">
        <v>45965</v>
      </c>
      <c r="F229" s="895" t="s">
        <v>90</v>
      </c>
      <c r="G229" s="895" t="s">
        <v>1017</v>
      </c>
      <c r="H229" s="896">
        <v>0</v>
      </c>
      <c r="I229" s="523" t="s">
        <v>200</v>
      </c>
      <c r="J229" s="896" t="s">
        <v>55</v>
      </c>
      <c r="K229" s="894" t="s">
        <v>343</v>
      </c>
      <c r="L229" s="896" t="s">
        <v>56</v>
      </c>
      <c r="M229" s="1091">
        <v>4773.8</v>
      </c>
      <c r="N229" s="43"/>
      <c r="O229" s="896" t="s">
        <v>56</v>
      </c>
      <c r="P229" s="1092" t="s">
        <v>201</v>
      </c>
      <c r="Q229" s="899" t="s">
        <v>67</v>
      </c>
      <c r="R229" s="636">
        <v>103</v>
      </c>
      <c r="S229" s="1140">
        <v>82</v>
      </c>
      <c r="T229" s="5">
        <v>0</v>
      </c>
      <c r="U229" s="4">
        <f>IFERROR(Table5[[#This Row],[Actual Redline Completed Footage UG]]/Table5[[#This Row],[Footage UG]], 0)</f>
        <v>0.79611650485436891</v>
      </c>
      <c r="V229" s="910">
        <v>45985</v>
      </c>
      <c r="W229" s="902">
        <v>0</v>
      </c>
      <c r="X229" s="902">
        <v>0</v>
      </c>
      <c r="Y229" s="900">
        <v>0</v>
      </c>
      <c r="Z229" s="379" t="s">
        <v>458</v>
      </c>
      <c r="AA229" s="903" t="s">
        <v>1018</v>
      </c>
    </row>
    <row r="230" spans="1:30" ht="39.75" customHeight="1">
      <c r="A230" s="1298" t="s">
        <v>1019</v>
      </c>
      <c r="B230" s="660" t="s">
        <v>50</v>
      </c>
      <c r="C230" s="663">
        <v>45716</v>
      </c>
      <c r="D230" s="663" t="s">
        <v>125</v>
      </c>
      <c r="E230" s="663">
        <v>45701</v>
      </c>
      <c r="F230" s="370" t="s">
        <v>52</v>
      </c>
      <c r="G230" s="681" t="s">
        <v>444</v>
      </c>
      <c r="H230" s="665">
        <v>0</v>
      </c>
      <c r="I230" s="665" t="s">
        <v>201</v>
      </c>
      <c r="J230" s="665" t="s">
        <v>55</v>
      </c>
      <c r="K230" s="663">
        <v>45705</v>
      </c>
      <c r="L230" s="665" t="s">
        <v>56</v>
      </c>
      <c r="M230" s="1063">
        <v>1295</v>
      </c>
      <c r="N230" s="682"/>
      <c r="O230" s="665" t="s">
        <v>56</v>
      </c>
      <c r="P230" s="605" t="s">
        <v>201</v>
      </c>
      <c r="Q230" s="818">
        <v>45706</v>
      </c>
      <c r="R230" s="683">
        <v>153</v>
      </c>
      <c r="S230" s="762">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647</v>
      </c>
      <c r="E231" s="25">
        <v>45716</v>
      </c>
      <c r="F231" s="622" t="s">
        <v>651</v>
      </c>
      <c r="G231" s="712" t="s">
        <v>1022</v>
      </c>
      <c r="H231" s="626">
        <v>56</v>
      </c>
      <c r="I231" s="626" t="s">
        <v>200</v>
      </c>
      <c r="J231" s="626" t="s">
        <v>55</v>
      </c>
      <c r="K231" s="391">
        <v>45716</v>
      </c>
      <c r="L231" s="53" t="s">
        <v>56</v>
      </c>
      <c r="M231" s="627">
        <v>45321.5</v>
      </c>
      <c r="N231" s="634"/>
      <c r="O231" s="53" t="s">
        <v>56</v>
      </c>
      <c r="P231" s="617" t="s">
        <v>201</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676</v>
      </c>
      <c r="E232" s="25">
        <v>45743</v>
      </c>
      <c r="F232" s="622" t="s">
        <v>651</v>
      </c>
      <c r="G232" s="625" t="s">
        <v>1024</v>
      </c>
      <c r="H232" s="626">
        <v>63</v>
      </c>
      <c r="I232" s="631" t="s">
        <v>200</v>
      </c>
      <c r="J232" s="640" t="s">
        <v>55</v>
      </c>
      <c r="K232" s="803">
        <v>45741</v>
      </c>
      <c r="L232" s="688" t="s">
        <v>56</v>
      </c>
      <c r="M232" s="804">
        <v>41813</v>
      </c>
      <c r="N232" s="634"/>
      <c r="O232" s="688" t="s">
        <v>56</v>
      </c>
      <c r="P232" s="797" t="s">
        <v>201</v>
      </c>
      <c r="Q232" s="284">
        <v>45745</v>
      </c>
      <c r="R232" s="7">
        <v>3243</v>
      </c>
      <c r="S232" s="718">
        <v>3290</v>
      </c>
      <c r="T232" s="7">
        <v>0</v>
      </c>
      <c r="U232" s="704">
        <f>IFERROR(Table5[[#This Row],[Actual Redline Completed Footage UG]]/Table5[[#This Row],[Footage UG]], 0)</f>
        <v>1.0144927536231885</v>
      </c>
      <c r="V232" s="284">
        <v>45761</v>
      </c>
      <c r="W232" s="259">
        <v>1</v>
      </c>
      <c r="X232" s="259">
        <v>1</v>
      </c>
      <c r="Y232" s="259">
        <v>1</v>
      </c>
      <c r="Z232" s="374">
        <v>45917</v>
      </c>
      <c r="AA232" s="806" t="s">
        <v>1025</v>
      </c>
    </row>
    <row r="233" spans="1:30" ht="39.75" customHeight="1">
      <c r="A233" s="619" t="s">
        <v>1026</v>
      </c>
      <c r="B233" s="621" t="s">
        <v>50</v>
      </c>
      <c r="C233" s="25">
        <v>45772</v>
      </c>
      <c r="D233" s="623" t="s">
        <v>574</v>
      </c>
      <c r="E233" s="25">
        <v>45708</v>
      </c>
      <c r="F233" s="623" t="s">
        <v>635</v>
      </c>
      <c r="G233" s="630" t="s">
        <v>1027</v>
      </c>
      <c r="H233" s="626">
        <v>82</v>
      </c>
      <c r="I233" s="631" t="s">
        <v>200</v>
      </c>
      <c r="J233" s="626" t="s">
        <v>55</v>
      </c>
      <c r="K233" s="387">
        <v>45698</v>
      </c>
      <c r="L233" s="392" t="s">
        <v>56</v>
      </c>
      <c r="M233" s="627">
        <v>71979</v>
      </c>
      <c r="N233" s="629"/>
      <c r="O233" s="392" t="s">
        <v>56</v>
      </c>
      <c r="P233" s="633" t="s">
        <v>201</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4" t="s">
        <v>1028</v>
      </c>
      <c r="B234" s="531" t="s">
        <v>50</v>
      </c>
      <c r="C234" s="20">
        <v>45742</v>
      </c>
      <c r="D234" s="845" t="s">
        <v>687</v>
      </c>
      <c r="E234" s="520">
        <v>45680</v>
      </c>
      <c r="F234" s="19" t="s">
        <v>52</v>
      </c>
      <c r="G234" s="521" t="s">
        <v>1029</v>
      </c>
      <c r="H234" s="21">
        <v>79</v>
      </c>
      <c r="I234" s="770" t="s">
        <v>480</v>
      </c>
      <c r="J234" s="771" t="s">
        <v>55</v>
      </c>
      <c r="K234" s="301" t="s">
        <v>201</v>
      </c>
      <c r="L234" s="522" t="s">
        <v>56</v>
      </c>
      <c r="M234" s="1266">
        <v>64790.5</v>
      </c>
      <c r="N234" s="838"/>
      <c r="O234" s="522" t="s">
        <v>56</v>
      </c>
      <c r="P234" s="1060" t="s">
        <v>201</v>
      </c>
      <c r="Q234" s="22">
        <v>45675</v>
      </c>
      <c r="R234" s="6">
        <v>4975</v>
      </c>
      <c r="S234" s="718">
        <v>4975</v>
      </c>
      <c r="T234" s="46">
        <f>SUM(R234-S234)</f>
        <v>0</v>
      </c>
      <c r="U234" s="519">
        <f>IFERROR($S234/$R234, 0)</f>
        <v>1</v>
      </c>
      <c r="V234" s="132">
        <v>45680</v>
      </c>
      <c r="W234" s="283">
        <v>0</v>
      </c>
      <c r="X234" s="283">
        <v>0</v>
      </c>
      <c r="Y234" s="654">
        <v>0</v>
      </c>
      <c r="Z234" s="379" t="s">
        <v>458</v>
      </c>
      <c r="AA234" s="28" t="s">
        <v>1030</v>
      </c>
    </row>
    <row r="235" spans="1:30" ht="39.75" customHeight="1">
      <c r="A235" s="800" t="s">
        <v>1031</v>
      </c>
      <c r="B235" s="660" t="s">
        <v>50</v>
      </c>
      <c r="C235" s="363">
        <v>45960</v>
      </c>
      <c r="D235" s="361" t="s">
        <v>138</v>
      </c>
      <c r="E235" s="363">
        <v>45927</v>
      </c>
      <c r="F235" s="361" t="s">
        <v>1032</v>
      </c>
      <c r="G235" s="544" t="s">
        <v>1033</v>
      </c>
      <c r="H235" s="365">
        <v>86</v>
      </c>
      <c r="I235" s="523" t="s">
        <v>200</v>
      </c>
      <c r="J235" s="365" t="s">
        <v>55</v>
      </c>
      <c r="K235" s="363">
        <v>45917</v>
      </c>
      <c r="L235" s="365" t="s">
        <v>56</v>
      </c>
      <c r="M235" s="787">
        <v>45500</v>
      </c>
      <c r="N235" s="421"/>
      <c r="O235" s="365" t="s">
        <v>56</v>
      </c>
      <c r="P235" s="605" t="s">
        <v>201</v>
      </c>
      <c r="Q235" s="367">
        <v>45917</v>
      </c>
      <c r="R235" s="368">
        <v>3242</v>
      </c>
      <c r="S235" s="388">
        <v>3228</v>
      </c>
      <c r="T235" s="775">
        <v>0</v>
      </c>
      <c r="U235" s="776">
        <f>IFERROR($S235/$R235, 0)</f>
        <v>0.99568167797655771</v>
      </c>
      <c r="V235" s="540">
        <v>45930</v>
      </c>
      <c r="W235" s="283">
        <v>0</v>
      </c>
      <c r="X235" s="283">
        <v>0</v>
      </c>
      <c r="Y235" s="636">
        <v>0</v>
      </c>
      <c r="Z235" s="379" t="s">
        <v>458</v>
      </c>
      <c r="AA235" s="706"/>
    </row>
    <row r="236" spans="1:30" ht="39.75" customHeight="1">
      <c r="A236" s="1090" t="s">
        <v>1034</v>
      </c>
      <c r="B236" s="660" t="s">
        <v>50</v>
      </c>
      <c r="C236" s="894">
        <v>46008</v>
      </c>
      <c r="D236" s="894" t="s">
        <v>423</v>
      </c>
      <c r="E236" s="905">
        <v>45743</v>
      </c>
      <c r="F236" s="906" t="s">
        <v>52</v>
      </c>
      <c r="G236" s="906" t="s">
        <v>1035</v>
      </c>
      <c r="H236" s="907">
        <v>54</v>
      </c>
      <c r="I236" s="523" t="s">
        <v>200</v>
      </c>
      <c r="J236" s="896" t="s">
        <v>55</v>
      </c>
      <c r="K236" s="905">
        <v>45741</v>
      </c>
      <c r="L236" s="896" t="s">
        <v>56</v>
      </c>
      <c r="M236" s="1253">
        <v>45215.5</v>
      </c>
      <c r="N236" s="597"/>
      <c r="O236" s="896" t="s">
        <v>56</v>
      </c>
      <c r="P236" s="1254" t="s">
        <v>201</v>
      </c>
      <c r="Q236" s="910">
        <v>45744</v>
      </c>
      <c r="R236" s="918">
        <v>3796</v>
      </c>
      <c r="S236" s="1093">
        <v>3772</v>
      </c>
      <c r="T236" s="5">
        <v>0</v>
      </c>
      <c r="U236" s="519">
        <f>IFERROR(Table5[[#This Row],[Actual Redline Completed Footage UG]]/Table5[[#This Row],[Footage UG]], 0)</f>
        <v>0.9936775553213909</v>
      </c>
      <c r="V236" s="912">
        <v>45996</v>
      </c>
      <c r="W236" s="902">
        <v>0</v>
      </c>
      <c r="X236" s="902">
        <v>0</v>
      </c>
      <c r="Y236" s="509">
        <v>0</v>
      </c>
      <c r="Z236" s="379" t="s">
        <v>458</v>
      </c>
      <c r="AA236" s="1085" t="s">
        <v>1036</v>
      </c>
    </row>
    <row r="237" spans="1:30" ht="39.75" customHeight="1">
      <c r="A237" s="603" t="s">
        <v>1037</v>
      </c>
      <c r="B237" s="660" t="s">
        <v>50</v>
      </c>
      <c r="C237" s="363">
        <v>45991</v>
      </c>
      <c r="D237" s="363" t="s">
        <v>125</v>
      </c>
      <c r="E237" s="371">
        <v>45743</v>
      </c>
      <c r="F237" s="370" t="s">
        <v>52</v>
      </c>
      <c r="G237" s="661" t="s">
        <v>1038</v>
      </c>
      <c r="H237" s="373">
        <v>70</v>
      </c>
      <c r="I237" s="523" t="s">
        <v>200</v>
      </c>
      <c r="J237" s="365" t="s">
        <v>55</v>
      </c>
      <c r="K237" s="371">
        <v>45741</v>
      </c>
      <c r="L237" s="365" t="s">
        <v>56</v>
      </c>
      <c r="M237" s="628">
        <v>67735.5</v>
      </c>
      <c r="N237" s="597"/>
      <c r="O237" s="365" t="s">
        <v>56</v>
      </c>
      <c r="P237" s="605" t="s">
        <v>201</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6" t="s">
        <v>1040</v>
      </c>
      <c r="B238" s="362" t="s">
        <v>50</v>
      </c>
      <c r="C238" s="371">
        <v>45742</v>
      </c>
      <c r="D238" s="370" t="s">
        <v>574</v>
      </c>
      <c r="E238" s="371">
        <v>45708</v>
      </c>
      <c r="F238" s="348" t="s">
        <v>635</v>
      </c>
      <c r="G238" s="372" t="s">
        <v>1041</v>
      </c>
      <c r="H238" s="373">
        <v>0</v>
      </c>
      <c r="I238" s="365" t="s">
        <v>201</v>
      </c>
      <c r="J238" s="373" t="s">
        <v>55</v>
      </c>
      <c r="K238" s="371">
        <v>45712</v>
      </c>
      <c r="L238" s="373" t="s">
        <v>56</v>
      </c>
      <c r="M238" s="628">
        <v>14262</v>
      </c>
      <c r="N238" s="597"/>
      <c r="O238" s="373" t="s">
        <v>56</v>
      </c>
      <c r="P238" s="605" t="s">
        <v>201</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749</v>
      </c>
      <c r="E239" s="25">
        <v>45708</v>
      </c>
      <c r="F239" s="623" t="s">
        <v>144</v>
      </c>
      <c r="G239" s="625" t="s">
        <v>1043</v>
      </c>
      <c r="H239" s="626">
        <v>0</v>
      </c>
      <c r="I239" s="626" t="s">
        <v>200</v>
      </c>
      <c r="J239" s="626" t="s">
        <v>55</v>
      </c>
      <c r="K239" s="371">
        <v>45714</v>
      </c>
      <c r="L239" s="373" t="s">
        <v>56</v>
      </c>
      <c r="M239" s="628">
        <v>93462.85</v>
      </c>
      <c r="N239" s="629"/>
      <c r="O239" s="373" t="s">
        <v>56</v>
      </c>
      <c r="P239" s="605" t="s">
        <v>201</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200</v>
      </c>
      <c r="J240" s="626" t="s">
        <v>55</v>
      </c>
      <c r="K240" s="370" t="s">
        <v>343</v>
      </c>
      <c r="L240" s="365" t="s">
        <v>56</v>
      </c>
      <c r="M240" s="787">
        <v>4397.6499999999996</v>
      </c>
      <c r="N240" s="629"/>
      <c r="O240" s="365" t="s">
        <v>56</v>
      </c>
      <c r="P240" s="605" t="s">
        <v>201</v>
      </c>
      <c r="Q240" s="367">
        <v>45852</v>
      </c>
      <c r="R240" s="368">
        <v>129</v>
      </c>
      <c r="S240" s="798">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5" t="s">
        <v>1047</v>
      </c>
      <c r="B241" s="660" t="s">
        <v>50</v>
      </c>
      <c r="C241" s="711">
        <v>46008</v>
      </c>
      <c r="D241" s="1048" t="s">
        <v>1048</v>
      </c>
      <c r="E241" s="25">
        <v>45938</v>
      </c>
      <c r="F241" s="370" t="s">
        <v>52</v>
      </c>
      <c r="G241" s="681"/>
      <c r="H241" s="626">
        <v>193</v>
      </c>
      <c r="I241" s="523" t="s">
        <v>200</v>
      </c>
      <c r="J241" s="365" t="s">
        <v>67</v>
      </c>
      <c r="K241" s="663">
        <v>46303</v>
      </c>
      <c r="L241" s="688" t="s">
        <v>56</v>
      </c>
      <c r="M241" s="1266">
        <v>86136</v>
      </c>
      <c r="N241" s="597"/>
      <c r="O241" s="688" t="s">
        <v>56</v>
      </c>
      <c r="P241" s="797" t="s">
        <v>201</v>
      </c>
      <c r="Q241" s="22">
        <v>45938</v>
      </c>
      <c r="R241" s="683">
        <v>7655</v>
      </c>
      <c r="S241" s="762">
        <v>8528</v>
      </c>
      <c r="T241" s="6">
        <v>0</v>
      </c>
      <c r="U241" s="691">
        <v>1.1100000000000001</v>
      </c>
      <c r="V241" s="22">
        <v>45943</v>
      </c>
      <c r="W241" s="27">
        <v>1</v>
      </c>
      <c r="X241" s="27">
        <v>1</v>
      </c>
      <c r="Y241" s="369">
        <v>1</v>
      </c>
      <c r="Z241" s="379" t="s">
        <v>458</v>
      </c>
      <c r="AA241" s="110"/>
      <c r="AB241" s="345"/>
      <c r="AC241" s="345"/>
      <c r="AD241" s="703"/>
    </row>
    <row r="242" spans="1:30" ht="39.75" customHeight="1">
      <c r="A242" s="800" t="s">
        <v>1049</v>
      </c>
      <c r="B242" s="637" t="s">
        <v>50</v>
      </c>
      <c r="C242" s="711">
        <v>46008</v>
      </c>
      <c r="D242" s="846" t="s">
        <v>1050</v>
      </c>
      <c r="E242" s="25">
        <v>45952</v>
      </c>
      <c r="F242" s="370" t="s">
        <v>52</v>
      </c>
      <c r="G242" s="638"/>
      <c r="H242" s="626">
        <v>139</v>
      </c>
      <c r="I242" s="523" t="s">
        <v>200</v>
      </c>
      <c r="J242" s="365" t="s">
        <v>67</v>
      </c>
      <c r="K242" s="25" t="s">
        <v>343</v>
      </c>
      <c r="L242" s="771" t="s">
        <v>56</v>
      </c>
      <c r="M242" s="1266">
        <v>42766.5</v>
      </c>
      <c r="N242" s="597"/>
      <c r="O242" s="21" t="s">
        <v>56</v>
      </c>
      <c r="P242" s="1060" t="s">
        <v>201</v>
      </c>
      <c r="Q242" s="22">
        <v>45939</v>
      </c>
      <c r="R242" s="6">
        <v>6699</v>
      </c>
      <c r="S242" s="1061">
        <v>7175</v>
      </c>
      <c r="T242" s="368">
        <v>0</v>
      </c>
      <c r="U242" s="776">
        <f>IFERROR($S242/$R242, 0)</f>
        <v>1.0710553814002091</v>
      </c>
      <c r="V242" s="22">
        <v>45954</v>
      </c>
      <c r="W242" s="473">
        <v>1</v>
      </c>
      <c r="X242" s="473">
        <v>1</v>
      </c>
      <c r="Y242" s="369">
        <v>1</v>
      </c>
      <c r="Z242" s="379" t="s">
        <v>458</v>
      </c>
      <c r="AA242" s="86"/>
      <c r="AB242" s="345"/>
      <c r="AC242" s="345"/>
      <c r="AD242" s="703"/>
    </row>
    <row r="243" spans="1:30" ht="39.75" customHeight="1">
      <c r="A243" s="800" t="s">
        <v>1051</v>
      </c>
      <c r="B243" s="660" t="s">
        <v>50</v>
      </c>
      <c r="C243" s="894">
        <v>46008</v>
      </c>
      <c r="D243" s="894" t="s">
        <v>795</v>
      </c>
      <c r="E243" s="905">
        <v>45958</v>
      </c>
      <c r="F243" s="370" t="s">
        <v>52</v>
      </c>
      <c r="G243" s="906" t="s">
        <v>1052</v>
      </c>
      <c r="H243" s="907">
        <v>517</v>
      </c>
      <c r="I243" s="523" t="s">
        <v>480</v>
      </c>
      <c r="J243" s="365" t="s">
        <v>67</v>
      </c>
      <c r="K243" s="905">
        <v>45964</v>
      </c>
      <c r="L243" s="907" t="s">
        <v>56</v>
      </c>
      <c r="M243" s="1253">
        <v>215088</v>
      </c>
      <c r="N243" s="917"/>
      <c r="O243" s="907" t="s">
        <v>56</v>
      </c>
      <c r="P243" s="1092" t="s">
        <v>201</v>
      </c>
      <c r="Q243" s="910">
        <v>45960</v>
      </c>
      <c r="R243" s="911">
        <v>22238</v>
      </c>
      <c r="S243" s="1093">
        <v>22321</v>
      </c>
      <c r="T243" s="900">
        <v>0</v>
      </c>
      <c r="U243" s="692">
        <f>IFERROR($S243/$R243, 0)</f>
        <v>1.0037323500314776</v>
      </c>
      <c r="V243" s="910">
        <v>45965</v>
      </c>
      <c r="W243" s="283">
        <v>1</v>
      </c>
      <c r="X243" s="283">
        <v>1</v>
      </c>
      <c r="Y243" s="369">
        <v>1</v>
      </c>
      <c r="Z243" s="379" t="s">
        <v>458</v>
      </c>
      <c r="AA243" s="922" t="s">
        <v>1053</v>
      </c>
      <c r="AB243" s="345"/>
      <c r="AC243" s="345"/>
      <c r="AD243" s="703"/>
    </row>
    <row r="244" spans="1:30" ht="39.75" customHeight="1">
      <c r="A244" s="1330" t="s">
        <v>1054</v>
      </c>
      <c r="B244" s="773" t="s">
        <v>393</v>
      </c>
      <c r="C244" s="363">
        <v>46045</v>
      </c>
      <c r="D244" s="508" t="s">
        <v>102</v>
      </c>
      <c r="E244" s="363">
        <v>45959</v>
      </c>
      <c r="F244" s="361" t="s">
        <v>394</v>
      </c>
      <c r="G244" s="364" t="s">
        <v>1055</v>
      </c>
      <c r="H244" s="837">
        <v>78</v>
      </c>
      <c r="I244" s="665" t="s">
        <v>200</v>
      </c>
      <c r="J244" s="373" t="s">
        <v>55</v>
      </c>
      <c r="K244" s="363">
        <v>45964</v>
      </c>
      <c r="L244" s="373" t="s">
        <v>56</v>
      </c>
      <c r="M244" s="1331">
        <v>170</v>
      </c>
      <c r="N244" s="1131"/>
      <c r="O244" s="373" t="s">
        <v>56</v>
      </c>
      <c r="P244" s="605" t="s">
        <v>201</v>
      </c>
      <c r="Q244" s="367">
        <v>45964</v>
      </c>
      <c r="R244" s="841">
        <v>7522</v>
      </c>
      <c r="S244" s="388">
        <v>7522</v>
      </c>
      <c r="T244" s="1011">
        <v>0</v>
      </c>
      <c r="U244" s="519">
        <f>IFERROR(Table5[[#This Row],[Actual Redline Completed Footage UG]]/Table5[[#This Row],[Footage UG]], 0)</f>
        <v>1</v>
      </c>
      <c r="V244" s="516">
        <v>45964</v>
      </c>
      <c r="W244" s="283">
        <v>1</v>
      </c>
      <c r="X244" s="283">
        <v>1</v>
      </c>
      <c r="Y244" s="283">
        <v>1</v>
      </c>
      <c r="Z244" s="367">
        <v>45999</v>
      </c>
      <c r="AA244" s="1081" t="s">
        <v>1056</v>
      </c>
      <c r="AB244" s="345"/>
      <c r="AC244" s="345"/>
      <c r="AD244" s="703"/>
    </row>
    <row r="245" spans="1:30" ht="39.75" customHeight="1">
      <c r="A245" s="1284" t="s">
        <v>1057</v>
      </c>
      <c r="B245" s="872" t="s">
        <v>393</v>
      </c>
      <c r="C245" s="302">
        <v>46019</v>
      </c>
      <c r="D245" s="769" t="s">
        <v>102</v>
      </c>
      <c r="E245" s="302">
        <v>45959</v>
      </c>
      <c r="F245" s="301" t="s">
        <v>394</v>
      </c>
      <c r="G245" s="533" t="s">
        <v>1058</v>
      </c>
      <c r="H245" s="832">
        <v>89</v>
      </c>
      <c r="I245" s="770" t="s">
        <v>200</v>
      </c>
      <c r="J245" s="771" t="s">
        <v>55</v>
      </c>
      <c r="K245" s="302">
        <v>45964</v>
      </c>
      <c r="L245" s="771" t="s">
        <v>56</v>
      </c>
      <c r="M245" s="1059">
        <v>62937.05</v>
      </c>
      <c r="N245" s="597"/>
      <c r="O245" s="21" t="s">
        <v>56</v>
      </c>
      <c r="P245" s="1060" t="s">
        <v>201</v>
      </c>
      <c r="Q245" s="61">
        <v>45964</v>
      </c>
      <c r="R245" s="793">
        <v>8523</v>
      </c>
      <c r="S245" s="718">
        <v>8523</v>
      </c>
      <c r="T245" s="6">
        <v>0</v>
      </c>
      <c r="U245" s="519">
        <f>IFERROR(Table5[[#This Row],[Actual Redline Completed Footage UG]]/Table5[[#This Row],[Footage UG]], 0)</f>
        <v>1</v>
      </c>
      <c r="V245" s="130">
        <v>45966</v>
      </c>
      <c r="W245" s="283">
        <v>1</v>
      </c>
      <c r="X245" s="283">
        <v>1</v>
      </c>
      <c r="Y245" s="283">
        <v>1</v>
      </c>
      <c r="Z245" s="61">
        <v>46002</v>
      </c>
      <c r="AA245" s="1084" t="s">
        <v>1059</v>
      </c>
      <c r="AB245" s="345"/>
      <c r="AC245" s="345"/>
      <c r="AD245" s="703"/>
    </row>
    <row r="246" spans="1:30" ht="39.75" customHeight="1">
      <c r="A246" s="994" t="s">
        <v>1060</v>
      </c>
      <c r="B246" s="991" t="s">
        <v>393</v>
      </c>
      <c r="C246" s="25">
        <v>46045</v>
      </c>
      <c r="D246" s="641" t="s">
        <v>102</v>
      </c>
      <c r="E246" s="25"/>
      <c r="F246" s="622" t="s">
        <v>394</v>
      </c>
      <c r="G246" s="625"/>
      <c r="H246" s="992">
        <v>85</v>
      </c>
      <c r="I246" s="639" t="s">
        <v>200</v>
      </c>
      <c r="J246" s="626" t="s">
        <v>55</v>
      </c>
      <c r="K246" s="371" t="s">
        <v>343</v>
      </c>
      <c r="L246" s="373" t="s">
        <v>56</v>
      </c>
      <c r="M246" s="1058">
        <v>29180.45</v>
      </c>
      <c r="N246" s="629"/>
      <c r="O246" s="373" t="s">
        <v>56</v>
      </c>
      <c r="P246" s="605" t="s">
        <v>201</v>
      </c>
      <c r="Q246" s="61" t="s">
        <v>343</v>
      </c>
      <c r="R246" s="793">
        <v>6249</v>
      </c>
      <c r="S246" s="1061">
        <v>6183</v>
      </c>
      <c r="T246" s="1066">
        <v>0</v>
      </c>
      <c r="U246" s="4">
        <f>IFERROR(Table5[[#This Row],[Actual Redline Completed Footage UG]]/Table5[[#This Row],[Footage UG]], 0)</f>
        <v>0.98943831012962069</v>
      </c>
      <c r="V246" s="516">
        <v>45964</v>
      </c>
      <c r="W246" s="283">
        <v>1</v>
      </c>
      <c r="X246" s="283">
        <v>1</v>
      </c>
      <c r="Y246" s="283">
        <v>1</v>
      </c>
      <c r="Z246" s="61">
        <v>46002</v>
      </c>
      <c r="AA246" s="842" t="s">
        <v>1061</v>
      </c>
      <c r="AB246" s="345"/>
      <c r="AC246" s="345"/>
      <c r="AD246" s="703"/>
    </row>
    <row r="247" spans="1:30" ht="39.75" customHeight="1">
      <c r="A247" s="1259" t="s">
        <v>1062</v>
      </c>
      <c r="B247" s="872" t="s">
        <v>393</v>
      </c>
      <c r="C247" s="1032">
        <v>46052</v>
      </c>
      <c r="D247" s="769" t="s">
        <v>102</v>
      </c>
      <c r="E247" s="964">
        <v>45993</v>
      </c>
      <c r="F247" s="965" t="s">
        <v>107</v>
      </c>
      <c r="G247" s="965" t="s">
        <v>1063</v>
      </c>
      <c r="H247" s="978">
        <v>89</v>
      </c>
      <c r="I247" s="770" t="s">
        <v>200</v>
      </c>
      <c r="J247" s="954" t="s">
        <v>55</v>
      </c>
      <c r="K247" s="964">
        <v>45993</v>
      </c>
      <c r="L247" s="954" t="s">
        <v>56</v>
      </c>
      <c r="M247" s="1338">
        <v>93349.5</v>
      </c>
      <c r="N247" s="597"/>
      <c r="O247" s="970" t="s">
        <v>56</v>
      </c>
      <c r="P247" s="1318" t="s">
        <v>201</v>
      </c>
      <c r="Q247" s="932">
        <v>45993</v>
      </c>
      <c r="R247" s="980">
        <v>7828</v>
      </c>
      <c r="S247" s="1149">
        <v>7828</v>
      </c>
      <c r="T247" s="1056">
        <v>0</v>
      </c>
      <c r="U247" s="4">
        <f>IFERROR(Table5[[#This Row],[Actual Redline Completed Footage UG]]/Table5[[#This Row],[Footage UG]], 0)</f>
        <v>1</v>
      </c>
      <c r="V247" s="932">
        <v>45994</v>
      </c>
      <c r="W247" s="283">
        <v>1</v>
      </c>
      <c r="X247" s="958">
        <v>1</v>
      </c>
      <c r="Y247" s="283">
        <v>1</v>
      </c>
      <c r="Z247" s="932">
        <v>46048</v>
      </c>
      <c r="AA247" s="934" t="s">
        <v>1064</v>
      </c>
      <c r="AB247" s="345"/>
      <c r="AC247" s="345"/>
      <c r="AD247" s="703"/>
    </row>
    <row r="248" spans="1:30" ht="39.75" customHeight="1">
      <c r="A248" s="1065" t="s">
        <v>1065</v>
      </c>
      <c r="B248" s="358" t="s">
        <v>393</v>
      </c>
      <c r="C248" s="302">
        <v>46045</v>
      </c>
      <c r="D248" s="769" t="s">
        <v>102</v>
      </c>
      <c r="E248" s="302">
        <v>45959</v>
      </c>
      <c r="F248" s="301" t="s">
        <v>107</v>
      </c>
      <c r="G248" s="504"/>
      <c r="H248" s="303">
        <v>89</v>
      </c>
      <c r="I248" s="770" t="s">
        <v>200</v>
      </c>
      <c r="J248" s="771" t="s">
        <v>55</v>
      </c>
      <c r="K248" s="20">
        <v>45964</v>
      </c>
      <c r="L248" s="21" t="s">
        <v>56</v>
      </c>
      <c r="M248" s="1240">
        <v>84750.5</v>
      </c>
      <c r="N248" s="597"/>
      <c r="O248" s="21" t="s">
        <v>56</v>
      </c>
      <c r="P248" s="1060" t="s">
        <v>201</v>
      </c>
      <c r="Q248" s="22">
        <v>45964</v>
      </c>
      <c r="R248" s="46">
        <v>6935</v>
      </c>
      <c r="S248" s="1061">
        <v>6935</v>
      </c>
      <c r="T248" s="1056">
        <v>0</v>
      </c>
      <c r="U248" s="4">
        <f>IFERROR(Table5[[#This Row],[Actual Redline Completed Footage UG]]/Table5[[#This Row],[Footage UG]], 0)</f>
        <v>1</v>
      </c>
      <c r="V248" s="61">
        <v>45973</v>
      </c>
      <c r="W248" s="283">
        <v>1</v>
      </c>
      <c r="X248" s="283">
        <v>1</v>
      </c>
      <c r="Y248" s="283">
        <v>1</v>
      </c>
      <c r="Z248" s="61">
        <v>46034</v>
      </c>
      <c r="AA248" s="1084" t="s">
        <v>821</v>
      </c>
      <c r="AB248" s="345"/>
      <c r="AC248" s="345"/>
      <c r="AD248" s="703"/>
    </row>
    <row r="249" spans="1:30" ht="39.75" customHeight="1">
      <c r="A249" s="1065" t="s">
        <v>1066</v>
      </c>
      <c r="B249" s="358" t="s">
        <v>393</v>
      </c>
      <c r="C249" s="302">
        <v>46010</v>
      </c>
      <c r="D249" s="769" t="s">
        <v>102</v>
      </c>
      <c r="E249" s="302">
        <v>45959</v>
      </c>
      <c r="F249" s="301" t="s">
        <v>107</v>
      </c>
      <c r="G249" s="504" t="s">
        <v>1067</v>
      </c>
      <c r="H249" s="303">
        <v>89</v>
      </c>
      <c r="I249" s="770" t="s">
        <v>200</v>
      </c>
      <c r="J249" s="771" t="s">
        <v>55</v>
      </c>
      <c r="K249" s="20">
        <v>45964</v>
      </c>
      <c r="L249" s="771" t="s">
        <v>56</v>
      </c>
      <c r="M249" s="1240">
        <v>81602</v>
      </c>
      <c r="N249" s="597"/>
      <c r="O249" s="21" t="s">
        <v>56</v>
      </c>
      <c r="P249" s="1060" t="s">
        <v>201</v>
      </c>
      <c r="Q249" s="22">
        <v>45964</v>
      </c>
      <c r="R249" s="46">
        <v>6752</v>
      </c>
      <c r="S249" s="1061">
        <v>6752</v>
      </c>
      <c r="T249" s="1056">
        <v>0</v>
      </c>
      <c r="U249" s="4">
        <f>IFERROR(Table5[[#This Row],[Actual Redline Completed Footage UG]]/Table5[[#This Row],[Footage UG]], 0)</f>
        <v>1</v>
      </c>
      <c r="V249" s="61">
        <v>45992</v>
      </c>
      <c r="W249" s="283">
        <v>1</v>
      </c>
      <c r="X249" s="283">
        <v>1</v>
      </c>
      <c r="Y249" s="283">
        <v>1</v>
      </c>
      <c r="Z249" s="61">
        <v>46034</v>
      </c>
      <c r="AA249" s="1084" t="s">
        <v>1068</v>
      </c>
      <c r="AB249" s="345"/>
      <c r="AC249" s="345"/>
      <c r="AD249" s="703"/>
    </row>
    <row r="250" spans="1:30" ht="39.75" customHeight="1">
      <c r="A250" s="1065" t="s">
        <v>1069</v>
      </c>
      <c r="B250" s="358" t="s">
        <v>393</v>
      </c>
      <c r="C250" s="302">
        <v>46045</v>
      </c>
      <c r="D250" s="769" t="s">
        <v>102</v>
      </c>
      <c r="E250" s="302">
        <v>45959</v>
      </c>
      <c r="F250" s="301" t="s">
        <v>107</v>
      </c>
      <c r="G250" s="504"/>
      <c r="H250" s="303">
        <v>88</v>
      </c>
      <c r="I250" s="770" t="s">
        <v>200</v>
      </c>
      <c r="J250" s="771" t="s">
        <v>55</v>
      </c>
      <c r="K250" s="20">
        <v>45961</v>
      </c>
      <c r="L250" s="21" t="s">
        <v>56</v>
      </c>
      <c r="M250" s="1240">
        <v>88231.9</v>
      </c>
      <c r="N250" s="597"/>
      <c r="O250" s="21" t="s">
        <v>56</v>
      </c>
      <c r="P250" s="1060" t="s">
        <v>201</v>
      </c>
      <c r="Q250" s="22">
        <v>45961</v>
      </c>
      <c r="R250" s="46">
        <v>7274</v>
      </c>
      <c r="S250" s="1061">
        <v>7274</v>
      </c>
      <c r="T250" s="1056">
        <v>0</v>
      </c>
      <c r="U250" s="4">
        <f>IFERROR(Table5[[#This Row],[Actual Redline Completed Footage UG]]/Table5[[#This Row],[Footage UG]], 0)</f>
        <v>1</v>
      </c>
      <c r="V250" s="61">
        <v>45968</v>
      </c>
      <c r="W250" s="283">
        <v>1</v>
      </c>
      <c r="X250" s="283">
        <v>1</v>
      </c>
      <c r="Y250" s="283">
        <v>1</v>
      </c>
      <c r="Z250" s="61">
        <v>46024</v>
      </c>
      <c r="AA250" s="1084" t="s">
        <v>1070</v>
      </c>
      <c r="AB250" s="345"/>
      <c r="AC250" s="345"/>
      <c r="AD250" s="703"/>
    </row>
    <row r="251" spans="1:30" ht="39.75" customHeight="1">
      <c r="A251" s="1065" t="s">
        <v>1071</v>
      </c>
      <c r="B251" s="358" t="s">
        <v>393</v>
      </c>
      <c r="C251" s="302">
        <v>45989</v>
      </c>
      <c r="D251" s="769" t="s">
        <v>102</v>
      </c>
      <c r="E251" s="302">
        <v>45959</v>
      </c>
      <c r="F251" s="301" t="s">
        <v>107</v>
      </c>
      <c r="G251" s="504" t="s">
        <v>1072</v>
      </c>
      <c r="H251" s="303">
        <v>87</v>
      </c>
      <c r="I251" s="770" t="s">
        <v>200</v>
      </c>
      <c r="J251" s="771" t="s">
        <v>55</v>
      </c>
      <c r="K251" s="20">
        <v>45964</v>
      </c>
      <c r="L251" s="771" t="s">
        <v>56</v>
      </c>
      <c r="M251" s="1240">
        <v>93578</v>
      </c>
      <c r="N251" s="597"/>
      <c r="O251" s="21" t="s">
        <v>56</v>
      </c>
      <c r="P251" s="1060" t="s">
        <v>201</v>
      </c>
      <c r="Q251" s="22">
        <v>45964</v>
      </c>
      <c r="R251" s="46">
        <v>7782</v>
      </c>
      <c r="S251" s="1061">
        <v>7782</v>
      </c>
      <c r="T251" s="1056">
        <v>0</v>
      </c>
      <c r="U251" s="4">
        <f>IFERROR(Table5[[#This Row],[Actual Redline Completed Footage UG]]/Table5[[#This Row],[Footage UG]], 0)</f>
        <v>1</v>
      </c>
      <c r="V251" s="61">
        <v>45975</v>
      </c>
      <c r="W251" s="283">
        <v>1</v>
      </c>
      <c r="X251" s="283">
        <v>1</v>
      </c>
      <c r="Y251" s="283">
        <v>1</v>
      </c>
      <c r="Z251" s="61">
        <v>46024</v>
      </c>
      <c r="AA251" s="1350"/>
      <c r="AB251" s="345"/>
      <c r="AC251" s="345"/>
      <c r="AD251" s="703"/>
    </row>
    <row r="252" spans="1:30" ht="39.75" customHeight="1">
      <c r="A252" s="1065" t="s">
        <v>1073</v>
      </c>
      <c r="B252" s="358" t="s">
        <v>393</v>
      </c>
      <c r="C252" s="302">
        <v>46045</v>
      </c>
      <c r="D252" s="769" t="s">
        <v>102</v>
      </c>
      <c r="E252" s="302">
        <v>45959</v>
      </c>
      <c r="F252" s="301" t="s">
        <v>107</v>
      </c>
      <c r="G252" s="504"/>
      <c r="H252" s="303">
        <v>90</v>
      </c>
      <c r="I252" s="770" t="s">
        <v>200</v>
      </c>
      <c r="J252" s="771" t="s">
        <v>55</v>
      </c>
      <c r="K252" s="20">
        <v>45964</v>
      </c>
      <c r="L252" s="21" t="s">
        <v>56</v>
      </c>
      <c r="M252" s="1240">
        <v>84896</v>
      </c>
      <c r="N252" s="597"/>
      <c r="O252" s="21" t="s">
        <v>56</v>
      </c>
      <c r="P252" s="1060" t="s">
        <v>201</v>
      </c>
      <c r="Q252" s="22">
        <v>45964</v>
      </c>
      <c r="R252" s="46">
        <v>7060</v>
      </c>
      <c r="S252" s="1061">
        <v>7060</v>
      </c>
      <c r="T252" s="1056">
        <v>0</v>
      </c>
      <c r="U252" s="4">
        <f>IFERROR(Table5[[#This Row],[Actual Redline Completed Footage UG]]/Table5[[#This Row],[Footage UG]], 0)</f>
        <v>1</v>
      </c>
      <c r="V252" s="61">
        <v>45973</v>
      </c>
      <c r="W252" s="283">
        <v>1</v>
      </c>
      <c r="X252" s="283">
        <v>1</v>
      </c>
      <c r="Y252" s="283">
        <v>1</v>
      </c>
      <c r="Z252" s="61">
        <v>46024</v>
      </c>
      <c r="AA252" s="1084" t="s">
        <v>1074</v>
      </c>
      <c r="AB252" s="345"/>
      <c r="AC252" s="345"/>
      <c r="AD252" s="703"/>
    </row>
    <row r="253" spans="1:30" ht="39.75" customHeight="1">
      <c r="A253" s="1065" t="s">
        <v>1075</v>
      </c>
      <c r="B253" s="358" t="s">
        <v>393</v>
      </c>
      <c r="C253" s="302">
        <v>45989</v>
      </c>
      <c r="D253" s="769" t="s">
        <v>102</v>
      </c>
      <c r="E253" s="302">
        <v>45959</v>
      </c>
      <c r="F253" s="301" t="s">
        <v>107</v>
      </c>
      <c r="G253" s="504" t="s">
        <v>1076</v>
      </c>
      <c r="H253" s="303">
        <v>90</v>
      </c>
      <c r="I253" s="770" t="s">
        <v>200</v>
      </c>
      <c r="J253" s="771" t="s">
        <v>55</v>
      </c>
      <c r="K253" s="20">
        <v>45964</v>
      </c>
      <c r="L253" s="771" t="s">
        <v>56</v>
      </c>
      <c r="M253" s="1240">
        <v>96685</v>
      </c>
      <c r="N253" s="597"/>
      <c r="O253" s="21" t="s">
        <v>56</v>
      </c>
      <c r="P253" s="1060" t="s">
        <v>201</v>
      </c>
      <c r="Q253" s="22">
        <v>45964</v>
      </c>
      <c r="R253" s="46">
        <v>7926</v>
      </c>
      <c r="S253" s="1061">
        <v>8042</v>
      </c>
      <c r="T253" s="1056">
        <v>0</v>
      </c>
      <c r="U253" s="4">
        <f>IFERROR(Table5[[#This Row],[Actual Redline Completed Footage UG]]/Table5[[#This Row],[Footage UG]], 0)</f>
        <v>1.014635377239465</v>
      </c>
      <c r="V253" s="61">
        <v>45981</v>
      </c>
      <c r="W253" s="283">
        <v>1</v>
      </c>
      <c r="X253" s="283">
        <v>1</v>
      </c>
      <c r="Y253" s="283">
        <v>1</v>
      </c>
      <c r="Z253" s="61">
        <v>46024</v>
      </c>
      <c r="AA253" s="1084" t="s">
        <v>1077</v>
      </c>
      <c r="AB253" s="345"/>
      <c r="AC253" s="345"/>
      <c r="AD253" s="703"/>
    </row>
    <row r="254" spans="1:30" ht="39.75" customHeight="1">
      <c r="A254" s="1259" t="s">
        <v>1078</v>
      </c>
      <c r="B254" s="872" t="s">
        <v>393</v>
      </c>
      <c r="C254" s="964">
        <v>46019</v>
      </c>
      <c r="D254" s="769" t="s">
        <v>102</v>
      </c>
      <c r="E254" s="964">
        <v>45959</v>
      </c>
      <c r="F254" s="965" t="s">
        <v>107</v>
      </c>
      <c r="G254" s="965" t="s">
        <v>1079</v>
      </c>
      <c r="H254" s="966">
        <v>90</v>
      </c>
      <c r="I254" s="770" t="s">
        <v>200</v>
      </c>
      <c r="J254" s="954" t="s">
        <v>55</v>
      </c>
      <c r="K254" s="968">
        <v>45964</v>
      </c>
      <c r="L254" s="954" t="s">
        <v>56</v>
      </c>
      <c r="M254" s="1147">
        <v>85815</v>
      </c>
      <c r="N254" s="597"/>
      <c r="O254" s="970" t="s">
        <v>56</v>
      </c>
      <c r="P254" s="1148" t="s">
        <v>201</v>
      </c>
      <c r="Q254" s="984">
        <v>45964</v>
      </c>
      <c r="R254" s="942">
        <v>6981</v>
      </c>
      <c r="S254" s="1149">
        <v>6963</v>
      </c>
      <c r="T254" s="1056">
        <v>0</v>
      </c>
      <c r="U254" s="4">
        <f>IFERROR(Table5[[#This Row],[Actual Redline Completed Footage UG]]/Table5[[#This Row],[Footage UG]], 0)</f>
        <v>0.99742157284056721</v>
      </c>
      <c r="V254" s="932">
        <v>45981</v>
      </c>
      <c r="W254" s="283">
        <v>1</v>
      </c>
      <c r="X254" s="283">
        <v>1</v>
      </c>
      <c r="Y254" s="283">
        <v>1</v>
      </c>
      <c r="Z254" s="61">
        <v>46024</v>
      </c>
      <c r="AA254" s="1084" t="s">
        <v>1080</v>
      </c>
      <c r="AB254" s="345"/>
      <c r="AC254" s="345"/>
      <c r="AD254" s="703"/>
    </row>
    <row r="255" spans="1:30" ht="39.75" customHeight="1">
      <c r="A255" s="1065" t="s">
        <v>1081</v>
      </c>
      <c r="B255" s="358" t="s">
        <v>393</v>
      </c>
      <c r="C255" s="302">
        <v>46021</v>
      </c>
      <c r="D255" s="769" t="s">
        <v>102</v>
      </c>
      <c r="E255" s="302">
        <v>45959</v>
      </c>
      <c r="F255" s="301" t="s">
        <v>107</v>
      </c>
      <c r="G255" s="504" t="s">
        <v>1082</v>
      </c>
      <c r="H255" s="303">
        <v>89</v>
      </c>
      <c r="I255" s="770" t="s">
        <v>200</v>
      </c>
      <c r="J255" s="771" t="s">
        <v>55</v>
      </c>
      <c r="K255" s="20">
        <v>45961</v>
      </c>
      <c r="L255" s="771" t="s">
        <v>56</v>
      </c>
      <c r="M255" s="1240">
        <v>83615</v>
      </c>
      <c r="N255" s="597"/>
      <c r="O255" s="21" t="s">
        <v>56</v>
      </c>
      <c r="P255" s="1060" t="s">
        <v>201</v>
      </c>
      <c r="Q255" s="22">
        <v>45961</v>
      </c>
      <c r="R255" s="46">
        <v>7010</v>
      </c>
      <c r="S255" s="1061">
        <v>6748</v>
      </c>
      <c r="T255" s="1056">
        <v>0</v>
      </c>
      <c r="U255" s="4">
        <f>IFERROR(Table5[[#This Row],[Actual Redline Completed Footage UG]]/Table5[[#This Row],[Footage UG]], 0)</f>
        <v>0.96262482168330954</v>
      </c>
      <c r="V255" s="61">
        <v>45986</v>
      </c>
      <c r="W255" s="283">
        <v>1</v>
      </c>
      <c r="X255" s="283">
        <v>1</v>
      </c>
      <c r="Y255" s="283">
        <v>1</v>
      </c>
      <c r="Z255" s="932">
        <v>46048</v>
      </c>
      <c r="AA255" s="1084" t="s">
        <v>1083</v>
      </c>
      <c r="AB255" s="345"/>
      <c r="AC255" s="345"/>
      <c r="AD255" s="703"/>
    </row>
    <row r="256" spans="1:30" ht="39.75" customHeight="1">
      <c r="A256" s="1259" t="s">
        <v>1084</v>
      </c>
      <c r="B256" s="872" t="s">
        <v>393</v>
      </c>
      <c r="C256" s="964">
        <v>46021</v>
      </c>
      <c r="D256" s="769" t="s">
        <v>102</v>
      </c>
      <c r="E256" s="964">
        <v>45959</v>
      </c>
      <c r="F256" s="965" t="s">
        <v>107</v>
      </c>
      <c r="G256" s="965" t="s">
        <v>1085</v>
      </c>
      <c r="H256" s="966">
        <v>88</v>
      </c>
      <c r="I256" s="770" t="s">
        <v>200</v>
      </c>
      <c r="J256" s="954" t="s">
        <v>55</v>
      </c>
      <c r="K256" s="968">
        <v>45964</v>
      </c>
      <c r="L256" s="954" t="s">
        <v>56</v>
      </c>
      <c r="M256" s="1147">
        <v>78736.5</v>
      </c>
      <c r="N256" s="597"/>
      <c r="O256" s="970" t="s">
        <v>56</v>
      </c>
      <c r="P256" s="1148" t="s">
        <v>201</v>
      </c>
      <c r="Q256" s="984">
        <v>45964</v>
      </c>
      <c r="R256" s="942">
        <v>6403</v>
      </c>
      <c r="S256" s="1149">
        <v>6403</v>
      </c>
      <c r="T256" s="1056">
        <v>0</v>
      </c>
      <c r="U256" s="4">
        <f>IFERROR(Table5[[#This Row],[Actual Redline Completed Footage UG]]/Table5[[#This Row],[Footage UG]], 0)</f>
        <v>1</v>
      </c>
      <c r="V256" s="932">
        <v>46000</v>
      </c>
      <c r="W256" s="283">
        <v>1</v>
      </c>
      <c r="X256" s="283">
        <v>1</v>
      </c>
      <c r="Y256" s="283">
        <v>1</v>
      </c>
      <c r="Z256" s="932">
        <v>46048</v>
      </c>
      <c r="AA256" s="1084" t="s">
        <v>1086</v>
      </c>
      <c r="AB256" s="345"/>
      <c r="AC256" s="345"/>
      <c r="AD256" s="703"/>
    </row>
    <row r="257" spans="1:30" ht="39.75" customHeight="1">
      <c r="A257" s="1259" t="s">
        <v>1087</v>
      </c>
      <c r="B257" s="872" t="s">
        <v>393</v>
      </c>
      <c r="C257" s="1032">
        <v>46052</v>
      </c>
      <c r="D257" s="769" t="s">
        <v>102</v>
      </c>
      <c r="E257" s="964">
        <v>45959</v>
      </c>
      <c r="F257" s="965" t="s">
        <v>107</v>
      </c>
      <c r="G257" s="965" t="s">
        <v>1088</v>
      </c>
      <c r="H257" s="966">
        <v>87</v>
      </c>
      <c r="I257" s="770" t="s">
        <v>200</v>
      </c>
      <c r="J257" s="954" t="s">
        <v>55</v>
      </c>
      <c r="K257" s="968">
        <v>45964</v>
      </c>
      <c r="L257" s="954" t="s">
        <v>56</v>
      </c>
      <c r="M257" s="1147">
        <v>79552</v>
      </c>
      <c r="N257" s="597"/>
      <c r="O257" s="970" t="s">
        <v>56</v>
      </c>
      <c r="P257" s="1148" t="s">
        <v>201</v>
      </c>
      <c r="Q257" s="984">
        <v>45964</v>
      </c>
      <c r="R257" s="942">
        <v>6577</v>
      </c>
      <c r="S257" s="1149">
        <v>6577</v>
      </c>
      <c r="T257" s="1056">
        <v>0</v>
      </c>
      <c r="U257" s="4">
        <f>IFERROR(Table5[[#This Row],[Actual Redline Completed Footage UG]]/Table5[[#This Row],[Footage UG]], 0)</f>
        <v>1</v>
      </c>
      <c r="V257" s="932">
        <v>46000</v>
      </c>
      <c r="W257" s="958">
        <v>1</v>
      </c>
      <c r="X257" s="958">
        <v>1</v>
      </c>
      <c r="Y257" s="283">
        <v>1</v>
      </c>
      <c r="Z257" s="932">
        <v>46048</v>
      </c>
      <c r="AA257" s="934" t="s">
        <v>1089</v>
      </c>
      <c r="AB257" s="345"/>
      <c r="AC257" s="345"/>
      <c r="AD257" s="703"/>
    </row>
    <row r="258" spans="1:30" ht="39.75" customHeight="1">
      <c r="A258" s="1259" t="s">
        <v>1090</v>
      </c>
      <c r="B258" s="872" t="s">
        <v>393</v>
      </c>
      <c r="C258" s="964">
        <v>46021</v>
      </c>
      <c r="D258" s="769" t="s">
        <v>102</v>
      </c>
      <c r="E258" s="964">
        <v>45959</v>
      </c>
      <c r="F258" s="965" t="s">
        <v>107</v>
      </c>
      <c r="G258" s="965" t="s">
        <v>1091</v>
      </c>
      <c r="H258" s="966">
        <v>85</v>
      </c>
      <c r="I258" s="770" t="s">
        <v>200</v>
      </c>
      <c r="J258" s="954" t="s">
        <v>55</v>
      </c>
      <c r="K258" s="968">
        <v>45964</v>
      </c>
      <c r="L258" s="954" t="s">
        <v>56</v>
      </c>
      <c r="M258" s="1147">
        <v>84770</v>
      </c>
      <c r="N258" s="597"/>
      <c r="O258" s="970" t="s">
        <v>56</v>
      </c>
      <c r="P258" s="1148" t="s">
        <v>201</v>
      </c>
      <c r="Q258" s="984">
        <v>45964</v>
      </c>
      <c r="R258" s="942">
        <v>6965</v>
      </c>
      <c r="S258" s="1149">
        <v>6758</v>
      </c>
      <c r="T258" s="1056">
        <v>0</v>
      </c>
      <c r="U258" s="4">
        <f>IFERROR(Table5[[#This Row],[Actual Redline Completed Footage UG]]/Table5[[#This Row],[Footage UG]], 0)</f>
        <v>0.97027997128499643</v>
      </c>
      <c r="V258" s="932">
        <v>45999</v>
      </c>
      <c r="W258" s="283">
        <v>1</v>
      </c>
      <c r="X258" s="283">
        <v>1</v>
      </c>
      <c r="Y258" s="283">
        <v>1</v>
      </c>
      <c r="Z258" s="932">
        <v>46048</v>
      </c>
      <c r="AA258" s="1084" t="s">
        <v>1092</v>
      </c>
      <c r="AB258" s="345"/>
      <c r="AC258" s="345"/>
      <c r="AD258" s="703"/>
    </row>
    <row r="259" spans="1:30" ht="39.75" customHeight="1">
      <c r="A259" s="1259" t="s">
        <v>1093</v>
      </c>
      <c r="B259" s="872" t="s">
        <v>393</v>
      </c>
      <c r="C259" s="964">
        <v>46052</v>
      </c>
      <c r="D259" s="769" t="s">
        <v>102</v>
      </c>
      <c r="E259" s="964">
        <v>45987</v>
      </c>
      <c r="F259" s="965" t="s">
        <v>107</v>
      </c>
      <c r="G259" s="965" t="s">
        <v>1094</v>
      </c>
      <c r="H259" s="966">
        <v>85</v>
      </c>
      <c r="I259" s="770" t="s">
        <v>200</v>
      </c>
      <c r="J259" s="954" t="s">
        <v>55</v>
      </c>
      <c r="K259" s="968">
        <v>45987</v>
      </c>
      <c r="L259" s="954" t="s">
        <v>56</v>
      </c>
      <c r="M259" s="1147">
        <v>84092.5</v>
      </c>
      <c r="N259" s="597"/>
      <c r="O259" s="970" t="s">
        <v>56</v>
      </c>
      <c r="P259" s="1318" t="s">
        <v>201</v>
      </c>
      <c r="Q259" s="984">
        <v>45987</v>
      </c>
      <c r="R259" s="942">
        <v>6897</v>
      </c>
      <c r="S259" s="1149">
        <v>6897</v>
      </c>
      <c r="T259" s="1056">
        <v>0</v>
      </c>
      <c r="U259" s="4">
        <f>IFERROR(Table5[[#This Row],[Actual Redline Completed Footage UG]]/Table5[[#This Row],[Footage UG]], 0)</f>
        <v>1</v>
      </c>
      <c r="V259" s="932">
        <v>46009</v>
      </c>
      <c r="W259" s="283">
        <v>1</v>
      </c>
      <c r="X259" s="283">
        <v>1</v>
      </c>
      <c r="Y259" s="283">
        <v>1</v>
      </c>
      <c r="Z259" s="932">
        <v>46048</v>
      </c>
      <c r="AA259" s="934" t="s">
        <v>1095</v>
      </c>
      <c r="AB259" s="345"/>
      <c r="AC259" s="345"/>
      <c r="AD259" s="703"/>
    </row>
    <row r="260" spans="1:30" ht="39.75" customHeight="1">
      <c r="A260" s="1259" t="s">
        <v>1096</v>
      </c>
      <c r="B260" s="872" t="s">
        <v>393</v>
      </c>
      <c r="C260" s="1032">
        <v>46052</v>
      </c>
      <c r="D260" s="769" t="s">
        <v>102</v>
      </c>
      <c r="E260" s="964">
        <v>45987</v>
      </c>
      <c r="F260" s="965" t="s">
        <v>107</v>
      </c>
      <c r="G260" s="965" t="s">
        <v>1097</v>
      </c>
      <c r="H260" s="966">
        <v>76</v>
      </c>
      <c r="I260" s="770" t="s">
        <v>200</v>
      </c>
      <c r="J260" s="954" t="s">
        <v>55</v>
      </c>
      <c r="K260" s="968">
        <v>45987</v>
      </c>
      <c r="L260" s="954" t="s">
        <v>56</v>
      </c>
      <c r="M260" s="1147">
        <v>74892.5</v>
      </c>
      <c r="N260" s="597"/>
      <c r="O260" s="970" t="s">
        <v>56</v>
      </c>
      <c r="P260" s="1318" t="s">
        <v>201</v>
      </c>
      <c r="Q260" s="984">
        <v>45987</v>
      </c>
      <c r="R260" s="942">
        <v>6218</v>
      </c>
      <c r="S260" s="1149">
        <v>6218</v>
      </c>
      <c r="T260" s="1056">
        <v>0</v>
      </c>
      <c r="U260" s="4">
        <f>IFERROR(Table5[[#This Row],[Actual Redline Completed Footage UG]]/Table5[[#This Row],[Footage UG]], 0)</f>
        <v>1</v>
      </c>
      <c r="V260" s="932">
        <v>46386</v>
      </c>
      <c r="W260" s="283">
        <v>1</v>
      </c>
      <c r="X260" s="283">
        <v>1</v>
      </c>
      <c r="Y260" s="283">
        <v>1</v>
      </c>
      <c r="Z260" s="932">
        <v>46052</v>
      </c>
      <c r="AA260" s="934" t="s">
        <v>1098</v>
      </c>
      <c r="AB260" s="345"/>
      <c r="AC260" s="345"/>
      <c r="AD260" s="703"/>
    </row>
    <row r="261" spans="1:30" ht="39.75" customHeight="1">
      <c r="A261" s="1259" t="s">
        <v>1099</v>
      </c>
      <c r="B261" s="872" t="s">
        <v>393</v>
      </c>
      <c r="C261" s="1032">
        <v>46052</v>
      </c>
      <c r="D261" s="769" t="s">
        <v>102</v>
      </c>
      <c r="E261" s="964">
        <v>45987</v>
      </c>
      <c r="F261" s="965" t="s">
        <v>107</v>
      </c>
      <c r="G261" s="1022" t="s">
        <v>1100</v>
      </c>
      <c r="H261" s="1023">
        <v>86</v>
      </c>
      <c r="I261" s="665" t="s">
        <v>200</v>
      </c>
      <c r="J261" s="907" t="s">
        <v>55</v>
      </c>
      <c r="K261" s="968">
        <v>45987</v>
      </c>
      <c r="L261" s="954" t="s">
        <v>56</v>
      </c>
      <c r="M261" s="1147">
        <v>90841</v>
      </c>
      <c r="N261" s="597"/>
      <c r="O261" s="970" t="s">
        <v>56</v>
      </c>
      <c r="P261" s="1318" t="s">
        <v>201</v>
      </c>
      <c r="Q261" s="1088">
        <v>45987</v>
      </c>
      <c r="R261" s="942">
        <v>7491</v>
      </c>
      <c r="S261" s="1149">
        <v>7491</v>
      </c>
      <c r="T261" s="1056">
        <v>0</v>
      </c>
      <c r="U261" s="4">
        <f>IFERROR(Table5[[#This Row],[Actual Redline Completed Footage UG]]/Table5[[#This Row],[Footage UG]], 0)</f>
        <v>1</v>
      </c>
      <c r="V261" s="932">
        <v>46009</v>
      </c>
      <c r="W261" s="958">
        <v>1</v>
      </c>
      <c r="X261" s="958">
        <v>1</v>
      </c>
      <c r="Y261" s="283">
        <v>1</v>
      </c>
      <c r="Z261" s="932">
        <v>46052</v>
      </c>
      <c r="AA261" s="934" t="s">
        <v>1101</v>
      </c>
      <c r="AB261" s="345"/>
      <c r="AC261" s="345"/>
      <c r="AD261" s="703"/>
    </row>
    <row r="262" spans="1:30" ht="39.75" customHeight="1">
      <c r="A262" s="1259" t="s">
        <v>1102</v>
      </c>
      <c r="B262" s="872" t="s">
        <v>393</v>
      </c>
      <c r="C262" s="1032">
        <v>46052</v>
      </c>
      <c r="D262" s="769" t="s">
        <v>102</v>
      </c>
      <c r="E262" s="964">
        <v>45987</v>
      </c>
      <c r="F262" s="1036" t="s">
        <v>107</v>
      </c>
      <c r="G262" s="965" t="s">
        <v>1103</v>
      </c>
      <c r="H262" s="966">
        <v>78</v>
      </c>
      <c r="I262" s="522" t="s">
        <v>200</v>
      </c>
      <c r="J262" s="970" t="s">
        <v>55</v>
      </c>
      <c r="K262" s="968">
        <v>45987</v>
      </c>
      <c r="L262" s="954" t="s">
        <v>56</v>
      </c>
      <c r="M262" s="1147">
        <v>60606.5</v>
      </c>
      <c r="N262" s="597"/>
      <c r="O262" s="970" t="s">
        <v>56</v>
      </c>
      <c r="P262" s="1318" t="s">
        <v>201</v>
      </c>
      <c r="Q262" s="984">
        <v>45987</v>
      </c>
      <c r="R262" s="1019">
        <v>5456</v>
      </c>
      <c r="S262" s="1149">
        <v>5441</v>
      </c>
      <c r="T262" s="1056">
        <v>0</v>
      </c>
      <c r="U262" s="4">
        <f>IFERROR(Table5[[#This Row],[Actual Redline Completed Footage UG]]/Table5[[#This Row],[Footage UG]], 0)</f>
        <v>0.99725073313782986</v>
      </c>
      <c r="V262" s="932">
        <v>46028</v>
      </c>
      <c r="W262" s="283">
        <v>1</v>
      </c>
      <c r="X262" s="283">
        <v>1</v>
      </c>
      <c r="Y262" s="283">
        <v>1</v>
      </c>
      <c r="Z262" s="932">
        <v>46052</v>
      </c>
      <c r="AA262" s="934" t="s">
        <v>1104</v>
      </c>
      <c r="AB262" s="345"/>
      <c r="AC262" s="345"/>
      <c r="AD262" s="703"/>
    </row>
    <row r="263" spans="1:30" ht="39.75" customHeight="1">
      <c r="A263" s="1328" t="s">
        <v>1105</v>
      </c>
      <c r="B263" s="962" t="s">
        <v>393</v>
      </c>
      <c r="C263" s="1032">
        <v>46052</v>
      </c>
      <c r="D263" s="1021" t="s">
        <v>102</v>
      </c>
      <c r="E263" s="963">
        <v>45987</v>
      </c>
      <c r="F263" s="895" t="s">
        <v>107</v>
      </c>
      <c r="G263" s="965" t="s">
        <v>1106</v>
      </c>
      <c r="H263" s="966">
        <v>73</v>
      </c>
      <c r="I263" s="522" t="s">
        <v>200</v>
      </c>
      <c r="J263" s="970" t="s">
        <v>55</v>
      </c>
      <c r="K263" s="1024">
        <v>45987</v>
      </c>
      <c r="L263" s="907" t="s">
        <v>56</v>
      </c>
      <c r="M263" s="1091">
        <v>71371</v>
      </c>
      <c r="N263" s="597"/>
      <c r="O263" s="1025" t="s">
        <v>56</v>
      </c>
      <c r="P263" s="1148" t="s">
        <v>201</v>
      </c>
      <c r="Q263" s="984">
        <v>45987</v>
      </c>
      <c r="R263" s="942">
        <v>5810</v>
      </c>
      <c r="S263" s="1149">
        <v>5674</v>
      </c>
      <c r="T263" s="1056">
        <v>0</v>
      </c>
      <c r="U263" s="4">
        <f>IFERROR(Table5[[#This Row],[Actual Redline Completed Footage UG]]/Table5[[#This Row],[Footage UG]], 0)</f>
        <v>0.97659208261617902</v>
      </c>
      <c r="V263" s="932">
        <v>46030</v>
      </c>
      <c r="W263" s="958">
        <v>1</v>
      </c>
      <c r="X263" s="958">
        <v>1</v>
      </c>
      <c r="Y263" s="283">
        <v>1</v>
      </c>
      <c r="Z263" s="932">
        <v>46052</v>
      </c>
      <c r="AA263" s="934" t="s">
        <v>1107</v>
      </c>
      <c r="AB263" s="345"/>
      <c r="AC263" s="345"/>
      <c r="AD263" s="703"/>
    </row>
    <row r="264" spans="1:30" ht="39.75" customHeight="1">
      <c r="A264" s="1259" t="s">
        <v>1108</v>
      </c>
      <c r="B264" s="872" t="s">
        <v>393</v>
      </c>
      <c r="C264" s="964">
        <v>46019</v>
      </c>
      <c r="D264" s="769" t="s">
        <v>102</v>
      </c>
      <c r="E264" s="964">
        <v>45959</v>
      </c>
      <c r="F264" s="965" t="s">
        <v>107</v>
      </c>
      <c r="G264" s="965" t="s">
        <v>1109</v>
      </c>
      <c r="H264" s="966">
        <v>0</v>
      </c>
      <c r="I264" s="770" t="s">
        <v>200</v>
      </c>
      <c r="J264" s="954" t="s">
        <v>55</v>
      </c>
      <c r="K264" s="968">
        <v>45961</v>
      </c>
      <c r="L264" s="954" t="s">
        <v>56</v>
      </c>
      <c r="M264" s="1147">
        <v>64985.65</v>
      </c>
      <c r="N264" s="597"/>
      <c r="O264" s="970" t="s">
        <v>56</v>
      </c>
      <c r="P264" s="1318" t="s">
        <v>201</v>
      </c>
      <c r="Q264" s="984">
        <v>45964</v>
      </c>
      <c r="R264" s="942">
        <v>5155</v>
      </c>
      <c r="S264" s="1149">
        <v>5169</v>
      </c>
      <c r="T264" s="1056">
        <v>0</v>
      </c>
      <c r="U264" s="4">
        <f>IFERROR(Table5[[#This Row],[Actual Redline Completed Footage UG]]/Table5[[#This Row],[Footage UG]], 0)</f>
        <v>1.0027158098933076</v>
      </c>
      <c r="V264" s="932">
        <v>45992</v>
      </c>
      <c r="W264" s="958">
        <v>1</v>
      </c>
      <c r="X264" s="283">
        <v>1</v>
      </c>
      <c r="Y264" s="283">
        <v>1</v>
      </c>
      <c r="Z264" s="932">
        <v>46040</v>
      </c>
      <c r="AA264" s="1141" t="s">
        <v>1110</v>
      </c>
      <c r="AB264" s="345"/>
      <c r="AC264" s="345"/>
      <c r="AD264" s="703"/>
    </row>
    <row r="265" spans="1:30" ht="39.75" customHeight="1">
      <c r="A265" s="1259" t="s">
        <v>1111</v>
      </c>
      <c r="B265" s="872" t="s">
        <v>393</v>
      </c>
      <c r="C265" s="964">
        <v>46019</v>
      </c>
      <c r="D265" s="769" t="s">
        <v>102</v>
      </c>
      <c r="E265" s="964">
        <v>45959</v>
      </c>
      <c r="F265" s="965" t="s">
        <v>107</v>
      </c>
      <c r="G265" s="965" t="s">
        <v>1112</v>
      </c>
      <c r="H265" s="966">
        <v>0</v>
      </c>
      <c r="I265" s="770" t="s">
        <v>200</v>
      </c>
      <c r="J265" s="954" t="s">
        <v>55</v>
      </c>
      <c r="K265" s="968">
        <v>45961</v>
      </c>
      <c r="L265" s="954" t="s">
        <v>56</v>
      </c>
      <c r="M265" s="1147">
        <v>54043.5</v>
      </c>
      <c r="N265" s="597"/>
      <c r="O265" s="970" t="s">
        <v>56</v>
      </c>
      <c r="P265" s="1148" t="s">
        <v>201</v>
      </c>
      <c r="Q265" s="984">
        <v>45961</v>
      </c>
      <c r="R265" s="942">
        <v>4140</v>
      </c>
      <c r="S265" s="1149">
        <v>4140</v>
      </c>
      <c r="T265" s="1056">
        <v>0</v>
      </c>
      <c r="U265" s="4">
        <f>IFERROR(Table5[[#This Row],[Actual Redline Completed Footage UG]]/Table5[[#This Row],[Footage UG]], 0)</f>
        <v>1</v>
      </c>
      <c r="V265" s="932">
        <v>45974</v>
      </c>
      <c r="W265" s="958">
        <v>1</v>
      </c>
      <c r="X265" s="283">
        <v>1</v>
      </c>
      <c r="Y265" s="283">
        <v>1</v>
      </c>
      <c r="Z265" s="932">
        <v>46040</v>
      </c>
      <c r="AA265" s="1141" t="s">
        <v>1113</v>
      </c>
      <c r="AB265" s="345"/>
      <c r="AC265" s="345"/>
      <c r="AD265" s="703"/>
    </row>
    <row r="266" spans="1:30" ht="39.75" customHeight="1">
      <c r="A266" s="1146" t="s">
        <v>1114</v>
      </c>
      <c r="B266" s="1126" t="s">
        <v>393</v>
      </c>
      <c r="C266" s="1024">
        <v>46052</v>
      </c>
      <c r="D266" s="641" t="s">
        <v>102</v>
      </c>
      <c r="E266" s="1024">
        <v>46027</v>
      </c>
      <c r="F266" s="1145" t="s">
        <v>946</v>
      </c>
      <c r="G266" s="1145"/>
      <c r="H266" s="626">
        <v>68</v>
      </c>
      <c r="I266" s="639" t="s">
        <v>200</v>
      </c>
      <c r="J266" s="1025" t="s">
        <v>55</v>
      </c>
      <c r="K266" s="963">
        <v>46027</v>
      </c>
      <c r="L266" s="907" t="s">
        <v>56</v>
      </c>
      <c r="M266" s="1147">
        <v>68608</v>
      </c>
      <c r="N266" s="629"/>
      <c r="O266" s="1025" t="s">
        <v>56</v>
      </c>
      <c r="P266" s="1148" t="s">
        <v>201</v>
      </c>
      <c r="Q266" s="932">
        <v>46027</v>
      </c>
      <c r="R266" s="6">
        <v>5699</v>
      </c>
      <c r="S266" s="1149">
        <v>5669</v>
      </c>
      <c r="T266" s="1057">
        <v>0</v>
      </c>
      <c r="U266" s="81">
        <f>IFERROR(Table5[[#This Row],[Actual Redline Completed Footage UG]]/Table5[[#This Row],[Footage UG]], 0)</f>
        <v>0.99473591858220745</v>
      </c>
      <c r="V266" s="932">
        <v>46034</v>
      </c>
      <c r="W266" s="283">
        <v>1</v>
      </c>
      <c r="X266" s="283">
        <v>1</v>
      </c>
      <c r="Y266" s="283">
        <v>1</v>
      </c>
      <c r="Z266" s="932">
        <v>46052</v>
      </c>
      <c r="AA266" s="934" t="s">
        <v>1115</v>
      </c>
      <c r="AB266" s="345"/>
      <c r="AC266" s="345"/>
      <c r="AD266" s="703"/>
    </row>
    <row r="267" spans="1:30" ht="39.75" customHeight="1">
      <c r="A267" s="1250" t="s">
        <v>1116</v>
      </c>
      <c r="B267" s="1126" t="s">
        <v>393</v>
      </c>
      <c r="C267" s="1249">
        <v>46052</v>
      </c>
      <c r="D267" s="641" t="s">
        <v>102</v>
      </c>
      <c r="E267" s="1024">
        <v>46027</v>
      </c>
      <c r="F267" s="1248" t="s">
        <v>946</v>
      </c>
      <c r="G267" s="1145"/>
      <c r="H267" s="626">
        <v>85</v>
      </c>
      <c r="I267" s="639" t="s">
        <v>200</v>
      </c>
      <c r="J267" s="1025" t="s">
        <v>55</v>
      </c>
      <c r="K267" s="963">
        <v>46027</v>
      </c>
      <c r="L267" s="907" t="s">
        <v>56</v>
      </c>
      <c r="M267" s="1147">
        <v>73334</v>
      </c>
      <c r="N267" s="629"/>
      <c r="O267" s="1025" t="s">
        <v>56</v>
      </c>
      <c r="P267" s="1148" t="s">
        <v>201</v>
      </c>
      <c r="Q267" s="932">
        <v>46027</v>
      </c>
      <c r="R267" s="6">
        <v>5860</v>
      </c>
      <c r="S267" s="1391">
        <v>5883</v>
      </c>
      <c r="T267" s="1057">
        <v>0</v>
      </c>
      <c r="U267" s="81">
        <f>IFERROR(Table5[[#This Row],[Actual Redline Completed Footage UG]]/Table5[[#This Row],[Footage UG]], 0)</f>
        <v>1.0039249146757678</v>
      </c>
      <c r="V267" s="1382">
        <v>46034</v>
      </c>
      <c r="W267" s="283">
        <v>1</v>
      </c>
      <c r="X267" s="283">
        <v>1</v>
      </c>
      <c r="Y267" s="283">
        <v>1</v>
      </c>
      <c r="Z267" s="932">
        <v>46052</v>
      </c>
      <c r="AA267" s="934" t="s">
        <v>1117</v>
      </c>
      <c r="AB267" s="345"/>
      <c r="AC267" s="345"/>
      <c r="AD267" s="703"/>
    </row>
    <row r="268" spans="1:30" ht="39.75" customHeight="1">
      <c r="A268" s="1259" t="s">
        <v>1118</v>
      </c>
      <c r="B268" s="962" t="s">
        <v>393</v>
      </c>
      <c r="C268" s="964">
        <v>46052</v>
      </c>
      <c r="D268" s="1021" t="s">
        <v>102</v>
      </c>
      <c r="E268" s="963">
        <v>46027</v>
      </c>
      <c r="F268" s="1036" t="s">
        <v>946</v>
      </c>
      <c r="G268" s="965"/>
      <c r="H268" s="21">
        <v>81</v>
      </c>
      <c r="I268" s="522" t="s">
        <v>200</v>
      </c>
      <c r="J268" s="970" t="s">
        <v>55</v>
      </c>
      <c r="K268" s="963">
        <v>46027</v>
      </c>
      <c r="L268" s="907" t="s">
        <v>56</v>
      </c>
      <c r="M268" s="1147">
        <v>73885</v>
      </c>
      <c r="N268" s="597"/>
      <c r="O268" s="1025" t="s">
        <v>56</v>
      </c>
      <c r="P268" s="1148" t="s">
        <v>201</v>
      </c>
      <c r="Q268" s="932">
        <v>46027</v>
      </c>
      <c r="R268" s="6">
        <v>6021</v>
      </c>
      <c r="S268" s="1149">
        <v>6092</v>
      </c>
      <c r="T268" s="1056">
        <v>0</v>
      </c>
      <c r="U268" s="4">
        <f>IFERROR(Table5[[#This Row],[Actual Redline Completed Footage UG]]/Table5[[#This Row],[Footage UG]], 0)</f>
        <v>1.0117920611194153</v>
      </c>
      <c r="V268" s="932">
        <v>46035</v>
      </c>
      <c r="W268" s="283">
        <v>1</v>
      </c>
      <c r="X268" s="283">
        <v>1</v>
      </c>
      <c r="Y268" s="283">
        <v>1</v>
      </c>
      <c r="Z268" s="932">
        <v>46052</v>
      </c>
      <c r="AA268" s="934" t="s">
        <v>1119</v>
      </c>
      <c r="AB268" s="345"/>
      <c r="AC268" s="345"/>
      <c r="AD268" s="703"/>
    </row>
    <row r="269" spans="1:30" ht="39.75" customHeight="1">
      <c r="A269" s="1250" t="s">
        <v>1120</v>
      </c>
      <c r="B269" s="1126" t="s">
        <v>393</v>
      </c>
      <c r="C269" s="1249">
        <v>46052</v>
      </c>
      <c r="D269" s="641" t="s">
        <v>102</v>
      </c>
      <c r="E269" s="1024">
        <v>46027</v>
      </c>
      <c r="F269" s="1248" t="s">
        <v>946</v>
      </c>
      <c r="G269" s="1145"/>
      <c r="H269" s="626">
        <v>87</v>
      </c>
      <c r="I269" s="639" t="s">
        <v>200</v>
      </c>
      <c r="J269" s="1025" t="s">
        <v>55</v>
      </c>
      <c r="K269" s="963">
        <v>46027</v>
      </c>
      <c r="L269" s="907" t="s">
        <v>56</v>
      </c>
      <c r="M269" s="1147">
        <v>78025</v>
      </c>
      <c r="N269" s="629"/>
      <c r="O269" s="1025" t="s">
        <v>56</v>
      </c>
      <c r="P269" s="1148" t="s">
        <v>201</v>
      </c>
      <c r="Q269" s="932">
        <v>46027</v>
      </c>
      <c r="R269" s="6">
        <v>6432</v>
      </c>
      <c r="S269" s="1149">
        <v>6309</v>
      </c>
      <c r="T269" s="1057">
        <v>0</v>
      </c>
      <c r="U269" s="81">
        <f>IFERROR(Table5[[#This Row],[Actual Redline Completed Footage UG]]/Table5[[#This Row],[Footage UG]], 0)</f>
        <v>0.98087686567164178</v>
      </c>
      <c r="V269" s="932">
        <v>46035</v>
      </c>
      <c r="W269" s="958">
        <v>1</v>
      </c>
      <c r="X269" s="958">
        <v>1</v>
      </c>
      <c r="Y269" s="283">
        <v>1</v>
      </c>
      <c r="Z269" s="932">
        <v>46052</v>
      </c>
      <c r="AA269" s="934" t="s">
        <v>1121</v>
      </c>
      <c r="AB269" s="345"/>
      <c r="AC269" s="345"/>
      <c r="AD269" s="703"/>
    </row>
    <row r="270" spans="1:30" ht="39.75" customHeight="1">
      <c r="A270" s="1339" t="s">
        <v>1122</v>
      </c>
      <c r="B270" s="962" t="s">
        <v>393</v>
      </c>
      <c r="C270" s="1032">
        <v>46052</v>
      </c>
      <c r="D270" s="1021" t="s">
        <v>102</v>
      </c>
      <c r="E270" s="963">
        <v>46027</v>
      </c>
      <c r="F270" s="1037" t="s">
        <v>946</v>
      </c>
      <c r="G270" s="965"/>
      <c r="H270" s="21">
        <v>68</v>
      </c>
      <c r="I270" s="522" t="s">
        <v>200</v>
      </c>
      <c r="J270" s="970" t="s">
        <v>55</v>
      </c>
      <c r="K270" s="963">
        <v>46027</v>
      </c>
      <c r="L270" s="907" t="s">
        <v>56</v>
      </c>
      <c r="M270" s="1147">
        <v>59114.5</v>
      </c>
      <c r="N270" s="597"/>
      <c r="O270" s="1025" t="s">
        <v>56</v>
      </c>
      <c r="P270" s="1148" t="s">
        <v>201</v>
      </c>
      <c r="Q270" s="932">
        <v>46027</v>
      </c>
      <c r="R270" s="6">
        <v>4836</v>
      </c>
      <c r="S270" s="1391">
        <v>4894</v>
      </c>
      <c r="T270" s="1056">
        <v>0</v>
      </c>
      <c r="U270" s="4">
        <f>IFERROR(Table5[[#This Row],[Actual Redline Completed Footage UG]]/Table5[[#This Row],[Footage UG]], 0)</f>
        <v>1.011993382961125</v>
      </c>
      <c r="V270" s="1385">
        <v>46036</v>
      </c>
      <c r="W270" s="283">
        <v>1</v>
      </c>
      <c r="X270" s="283">
        <v>1</v>
      </c>
      <c r="Y270" s="283">
        <v>1</v>
      </c>
      <c r="Z270" s="932">
        <v>46052</v>
      </c>
      <c r="AA270" s="934" t="s">
        <v>1123</v>
      </c>
      <c r="AB270" s="345"/>
      <c r="AC270" s="345"/>
      <c r="AD270" s="703"/>
    </row>
    <row r="271" spans="1:30" ht="39.75" customHeight="1">
      <c r="A271" s="1259" t="s">
        <v>1124</v>
      </c>
      <c r="B271" s="962" t="s">
        <v>393</v>
      </c>
      <c r="C271" s="964">
        <v>46052</v>
      </c>
      <c r="D271" s="1021" t="s">
        <v>102</v>
      </c>
      <c r="E271" s="963">
        <v>46027</v>
      </c>
      <c r="F271" s="1036" t="s">
        <v>946</v>
      </c>
      <c r="G271" s="965"/>
      <c r="H271" s="21">
        <v>90</v>
      </c>
      <c r="I271" s="522" t="s">
        <v>200</v>
      </c>
      <c r="J271" s="970" t="s">
        <v>55</v>
      </c>
      <c r="K271" s="963">
        <v>46027</v>
      </c>
      <c r="L271" s="907" t="s">
        <v>56</v>
      </c>
      <c r="M271" s="1147">
        <v>88362</v>
      </c>
      <c r="N271" s="597"/>
      <c r="O271" s="1025" t="s">
        <v>56</v>
      </c>
      <c r="P271" s="1148" t="s">
        <v>201</v>
      </c>
      <c r="Q271" s="932">
        <v>46027</v>
      </c>
      <c r="R271" s="6">
        <v>7145</v>
      </c>
      <c r="S271" s="1337">
        <v>7173</v>
      </c>
      <c r="T271" s="1056">
        <v>0</v>
      </c>
      <c r="U271" s="4">
        <f>IFERROR(Table5[[#This Row],[Actual Redline Completed Footage UG]]/Table5[[#This Row],[Footage UG]], 0)</f>
        <v>1.0039188243526942</v>
      </c>
      <c r="V271" s="932">
        <v>46036</v>
      </c>
      <c r="W271" s="958">
        <v>1</v>
      </c>
      <c r="X271" s="958">
        <v>1</v>
      </c>
      <c r="Y271" s="283">
        <v>1</v>
      </c>
      <c r="Z271" s="379" t="s">
        <v>458</v>
      </c>
      <c r="AA271" s="934" t="s">
        <v>1125</v>
      </c>
      <c r="AB271" s="345"/>
      <c r="AC271" s="345"/>
      <c r="AD271" s="703"/>
    </row>
    <row r="272" spans="1:30" ht="39.75" customHeight="1">
      <c r="A272" s="1340" t="s">
        <v>1126</v>
      </c>
      <c r="B272" s="962" t="s">
        <v>393</v>
      </c>
      <c r="C272" s="1032">
        <v>46052</v>
      </c>
      <c r="D272" s="1021" t="s">
        <v>102</v>
      </c>
      <c r="E272" s="1035">
        <v>46027</v>
      </c>
      <c r="F272" s="1036" t="s">
        <v>946</v>
      </c>
      <c r="G272" s="965"/>
      <c r="H272" s="21">
        <v>90</v>
      </c>
      <c r="I272" s="522" t="s">
        <v>200</v>
      </c>
      <c r="J272" s="970" t="s">
        <v>55</v>
      </c>
      <c r="K272" s="963">
        <v>46027</v>
      </c>
      <c r="L272" s="907" t="s">
        <v>56</v>
      </c>
      <c r="M272" s="1091">
        <v>86984</v>
      </c>
      <c r="N272" s="597"/>
      <c r="O272" s="1025" t="s">
        <v>56</v>
      </c>
      <c r="P272" s="1148" t="s">
        <v>201</v>
      </c>
      <c r="Q272" s="932">
        <v>46027</v>
      </c>
      <c r="R272" s="6">
        <v>7341</v>
      </c>
      <c r="S272" s="1392">
        <v>7212</v>
      </c>
      <c r="T272" s="1056">
        <v>0</v>
      </c>
      <c r="U272" s="4">
        <f>IFERROR(Table5[[#This Row],[Actual Redline Completed Footage UG]]/Table5[[#This Row],[Footage UG]], 0)</f>
        <v>0.98242746219861055</v>
      </c>
      <c r="V272" s="1382">
        <v>46037</v>
      </c>
      <c r="W272" s="283">
        <v>1</v>
      </c>
      <c r="X272" s="283">
        <v>1</v>
      </c>
      <c r="Y272" s="283">
        <v>1</v>
      </c>
      <c r="Z272" s="932">
        <v>46048</v>
      </c>
      <c r="AA272" s="934" t="s">
        <v>1127</v>
      </c>
      <c r="AB272" s="345"/>
      <c r="AC272" s="345"/>
      <c r="AD272" s="703"/>
    </row>
    <row r="273" spans="1:30" ht="39.75" customHeight="1">
      <c r="A273" s="1319" t="s">
        <v>1128</v>
      </c>
      <c r="B273" s="799" t="s">
        <v>393</v>
      </c>
      <c r="C273" s="1129">
        <v>46052</v>
      </c>
      <c r="D273" s="520" t="s">
        <v>102</v>
      </c>
      <c r="E273" s="1129">
        <v>46027</v>
      </c>
      <c r="F273" s="1130" t="s">
        <v>107</v>
      </c>
      <c r="G273" s="1130"/>
      <c r="H273" s="970">
        <v>0</v>
      </c>
      <c r="I273" s="522" t="s">
        <v>200</v>
      </c>
      <c r="J273" s="970" t="s">
        <v>55</v>
      </c>
      <c r="K273" s="963">
        <v>46027</v>
      </c>
      <c r="L273" s="907" t="s">
        <v>56</v>
      </c>
      <c r="M273" s="1091">
        <v>54261.05</v>
      </c>
      <c r="N273" s="597"/>
      <c r="O273" s="1025" t="s">
        <v>56</v>
      </c>
      <c r="P273" s="1148" t="s">
        <v>201</v>
      </c>
      <c r="Q273" s="932">
        <v>46027</v>
      </c>
      <c r="R273" s="6">
        <v>4022</v>
      </c>
      <c r="S273" s="1149">
        <v>4019</v>
      </c>
      <c r="T273" s="1056">
        <v>0</v>
      </c>
      <c r="U273" s="4">
        <f>IFERROR(Table5[[#This Row],[Actual Redline Completed Footage UG]]/Table5[[#This Row],[Footage UG]], 0)</f>
        <v>0.99925410243659873</v>
      </c>
      <c r="V273" s="1102">
        <v>46037</v>
      </c>
      <c r="W273" s="958">
        <v>1</v>
      </c>
      <c r="X273" s="958">
        <v>1</v>
      </c>
      <c r="Y273" s="283">
        <v>1</v>
      </c>
      <c r="Z273" s="984">
        <v>46059</v>
      </c>
      <c r="AA273" s="934" t="s">
        <v>1129</v>
      </c>
      <c r="AB273" s="345"/>
      <c r="AC273" s="345"/>
      <c r="AD273" s="703"/>
    </row>
    <row r="274" spans="1:30" ht="39.75" customHeight="1">
      <c r="A274" s="1250" t="s">
        <v>1130</v>
      </c>
      <c r="B274" s="1126" t="s">
        <v>393</v>
      </c>
      <c r="C274" s="1249">
        <v>46052</v>
      </c>
      <c r="D274" s="641" t="s">
        <v>102</v>
      </c>
      <c r="E274" s="1024">
        <v>46027</v>
      </c>
      <c r="F274" s="1145" t="s">
        <v>107</v>
      </c>
      <c r="G274" s="1145"/>
      <c r="H274" s="1025">
        <v>0</v>
      </c>
      <c r="I274" s="639" t="s">
        <v>200</v>
      </c>
      <c r="J274" s="1025" t="s">
        <v>55</v>
      </c>
      <c r="K274" s="963">
        <v>46027</v>
      </c>
      <c r="L274" s="907" t="s">
        <v>56</v>
      </c>
      <c r="M274" s="1147">
        <v>18078.28</v>
      </c>
      <c r="N274" s="629"/>
      <c r="O274" s="1025" t="s">
        <v>56</v>
      </c>
      <c r="P274" s="1148" t="s">
        <v>201</v>
      </c>
      <c r="Q274" s="932">
        <v>46027</v>
      </c>
      <c r="R274" s="6">
        <v>1284</v>
      </c>
      <c r="S274" s="1392">
        <v>1277</v>
      </c>
      <c r="T274" s="1057">
        <v>0</v>
      </c>
      <c r="U274" s="81">
        <f>IFERROR(Table5[[#This Row],[Actual Redline Completed Footage UG]]/Table5[[#This Row],[Footage UG]], 0)</f>
        <v>0.99454828660436134</v>
      </c>
      <c r="V274" s="1382">
        <v>46042</v>
      </c>
      <c r="W274" s="958">
        <v>1</v>
      </c>
      <c r="X274" s="958">
        <v>1</v>
      </c>
      <c r="Y274" s="283">
        <v>1</v>
      </c>
      <c r="Z274" s="984">
        <v>46059</v>
      </c>
      <c r="AA274" s="934"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327</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137</v>
      </c>
      <c r="C279" s="371">
        <v>45807</v>
      </c>
      <c r="D279" s="361" t="s">
        <v>389</v>
      </c>
      <c r="E279" s="370" t="s">
        <v>343</v>
      </c>
      <c r="F279" s="361" t="s">
        <v>684</v>
      </c>
      <c r="G279" s="544" t="s">
        <v>452</v>
      </c>
      <c r="H279" s="365">
        <v>60</v>
      </c>
      <c r="I279" s="665" t="s">
        <v>200</v>
      </c>
      <c r="J279" s="373" t="s">
        <v>67</v>
      </c>
      <c r="K279" s="678"/>
      <c r="L279" s="363">
        <v>45716</v>
      </c>
      <c r="M279" s="373" t="s">
        <v>56</v>
      </c>
      <c r="N279" s="421">
        <v>2075.6999999999998</v>
      </c>
      <c r="O279" s="373" t="s">
        <v>56</v>
      </c>
      <c r="P279" s="737" t="s">
        <v>201</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137</v>
      </c>
      <c r="C280" s="371">
        <v>45807</v>
      </c>
      <c r="D280" s="370" t="s">
        <v>389</v>
      </c>
      <c r="E280" s="370" t="s">
        <v>343</v>
      </c>
      <c r="F280" s="370" t="s">
        <v>684</v>
      </c>
      <c r="G280" s="661" t="s">
        <v>1136</v>
      </c>
      <c r="H280" s="373">
        <v>79</v>
      </c>
      <c r="I280" s="665" t="s">
        <v>200</v>
      </c>
      <c r="J280" s="373" t="s">
        <v>67</v>
      </c>
      <c r="K280" s="380"/>
      <c r="L280" s="363">
        <v>45716</v>
      </c>
      <c r="M280" s="373" t="s">
        <v>56</v>
      </c>
      <c r="N280" s="422">
        <v>2947.5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137</v>
      </c>
      <c r="C281" s="371">
        <v>45807</v>
      </c>
      <c r="D281" s="370" t="s">
        <v>389</v>
      </c>
      <c r="E281" s="370" t="s">
        <v>343</v>
      </c>
      <c r="F281" s="370" t="s">
        <v>684</v>
      </c>
      <c r="G281" s="661" t="s">
        <v>1138</v>
      </c>
      <c r="H281" s="373">
        <v>83</v>
      </c>
      <c r="I281" s="665" t="s">
        <v>200</v>
      </c>
      <c r="J281" s="373" t="s">
        <v>67</v>
      </c>
      <c r="K281" s="380"/>
      <c r="L281" s="363">
        <v>45716</v>
      </c>
      <c r="M281" s="373" t="s">
        <v>56</v>
      </c>
      <c r="N281" s="422">
        <v>2908.95</v>
      </c>
      <c r="O281" s="373" t="s">
        <v>56</v>
      </c>
      <c r="P281" s="738" t="s">
        <v>201</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343</v>
      </c>
      <c r="F282" s="370" t="s">
        <v>115</v>
      </c>
      <c r="G282" s="661" t="s">
        <v>1140</v>
      </c>
      <c r="H282" s="373">
        <v>68</v>
      </c>
      <c r="I282" s="373" t="s">
        <v>201</v>
      </c>
      <c r="J282" s="373" t="s">
        <v>67</v>
      </c>
      <c r="K282" s="373"/>
      <c r="L282" s="666">
        <v>45716</v>
      </c>
      <c r="M282" s="373" t="s">
        <v>56</v>
      </c>
      <c r="N282" s="422">
        <v>1134</v>
      </c>
      <c r="O282" s="373" t="s">
        <v>56</v>
      </c>
      <c r="P282" s="739" t="s">
        <v>201</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343</v>
      </c>
      <c r="F283" s="370" t="s">
        <v>115</v>
      </c>
      <c r="G283" s="679" t="s">
        <v>1142</v>
      </c>
      <c r="H283" s="373">
        <v>38</v>
      </c>
      <c r="I283" s="373" t="s">
        <v>201</v>
      </c>
      <c r="J283" s="373" t="s">
        <v>67</v>
      </c>
      <c r="K283" s="380"/>
      <c r="L283" s="363">
        <v>45716</v>
      </c>
      <c r="M283" s="373" t="s">
        <v>56</v>
      </c>
      <c r="N283" s="422">
        <v>870</v>
      </c>
      <c r="O283" s="373" t="s">
        <v>56</v>
      </c>
      <c r="P283" s="739" t="s">
        <v>201</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5">
        <v>0</v>
      </c>
      <c r="AD283" s="736" t="s">
        <v>1143</v>
      </c>
    </row>
    <row r="284" spans="1:30" ht="39.75" customHeight="1">
      <c r="A284" s="715" t="s">
        <v>1144</v>
      </c>
      <c r="B284" s="660" t="s">
        <v>50</v>
      </c>
      <c r="C284" s="371">
        <v>45772</v>
      </c>
      <c r="D284" s="663" t="s">
        <v>656</v>
      </c>
      <c r="E284" s="663">
        <v>45698</v>
      </c>
      <c r="F284" s="371" t="s">
        <v>641</v>
      </c>
      <c r="G284" s="664" t="s">
        <v>1145</v>
      </c>
      <c r="H284" s="373">
        <v>82</v>
      </c>
      <c r="I284" s="373" t="s">
        <v>200</v>
      </c>
      <c r="J284" s="373" t="s">
        <v>55</v>
      </c>
      <c r="K284" s="373"/>
      <c r="L284" s="666">
        <v>45716</v>
      </c>
      <c r="M284" s="665" t="s">
        <v>56</v>
      </c>
      <c r="N284" s="422">
        <v>2025.6</v>
      </c>
      <c r="O284" s="665" t="s">
        <v>56</v>
      </c>
      <c r="P284" s="739" t="s">
        <v>201</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201</v>
      </c>
      <c r="J285" s="373" t="s">
        <v>67</v>
      </c>
      <c r="K285" s="373"/>
      <c r="L285" s="371">
        <v>45715</v>
      </c>
      <c r="M285" s="373" t="s">
        <v>56</v>
      </c>
      <c r="N285" s="422">
        <v>3801.75</v>
      </c>
      <c r="O285" s="373" t="s">
        <v>56</v>
      </c>
      <c r="P285" s="739" t="s">
        <v>201</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1"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2" t="s">
        <v>1150</v>
      </c>
      <c r="B288" s="723" t="s">
        <v>80</v>
      </c>
      <c r="C288" s="724"/>
      <c r="D288" s="725" t="s">
        <v>125</v>
      </c>
      <c r="E288" s="725">
        <v>45768</v>
      </c>
      <c r="F288" s="726" t="s">
        <v>107</v>
      </c>
      <c r="G288" s="723"/>
      <c r="H288" s="727">
        <v>0</v>
      </c>
      <c r="I288" s="728" t="s">
        <v>201</v>
      </c>
      <c r="J288" s="727" t="s">
        <v>67</v>
      </c>
      <c r="K288" s="724"/>
      <c r="L288" s="729" t="s">
        <v>67</v>
      </c>
      <c r="M288" s="727" t="s">
        <v>73</v>
      </c>
      <c r="N288" s="730">
        <v>0</v>
      </c>
      <c r="O288" s="727" t="s">
        <v>73</v>
      </c>
      <c r="P288" s="731" t="s">
        <v>201</v>
      </c>
      <c r="Q288" s="732" t="s">
        <v>67</v>
      </c>
      <c r="R288" s="733" t="s">
        <v>104</v>
      </c>
      <c r="S288" s="733" t="s">
        <v>104</v>
      </c>
      <c r="T288" s="733" t="s">
        <v>104</v>
      </c>
      <c r="U288" s="732"/>
      <c r="V288" s="733">
        <v>3</v>
      </c>
      <c r="W288" s="733">
        <v>3</v>
      </c>
      <c r="X288" s="472">
        <f t="shared" ref="X288:X289" si="2">SUM(V288-W288)</f>
        <v>0</v>
      </c>
      <c r="Y288" s="734">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201</v>
      </c>
      <c r="J289" s="688" t="s">
        <v>67</v>
      </c>
      <c r="K289" s="693"/>
      <c r="L289" s="695" t="s">
        <v>67</v>
      </c>
      <c r="M289" s="688" t="s">
        <v>73</v>
      </c>
      <c r="N289" s="689">
        <v>0</v>
      </c>
      <c r="O289" s="688" t="s">
        <v>73</v>
      </c>
      <c r="P289" s="690" t="s">
        <v>201</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7" t="s">
        <v>1152</v>
      </c>
      <c r="B290" s="1049" t="s">
        <v>137</v>
      </c>
      <c r="C290" s="1312">
        <v>46053</v>
      </c>
      <c r="D290" s="1313" t="s">
        <v>1153</v>
      </c>
      <c r="E290" s="1314">
        <v>46030</v>
      </c>
      <c r="F290" s="729" t="s">
        <v>141</v>
      </c>
      <c r="G290" s="1315"/>
      <c r="H290" s="954">
        <v>0</v>
      </c>
      <c r="I290" s="728" t="s">
        <v>200</v>
      </c>
      <c r="J290" s="1393" t="s">
        <v>55</v>
      </c>
      <c r="K290" s="43"/>
      <c r="L290" s="695" t="s">
        <v>67</v>
      </c>
      <c r="M290" s="771" t="s">
        <v>56</v>
      </c>
      <c r="N290" s="1394">
        <v>1035</v>
      </c>
      <c r="O290" s="954" t="s">
        <v>56</v>
      </c>
      <c r="P290" s="1316" t="s">
        <v>201</v>
      </c>
      <c r="Q290" s="1395">
        <v>46030</v>
      </c>
      <c r="R290" s="258" t="s">
        <v>104</v>
      </c>
      <c r="S290" s="258" t="s">
        <v>104</v>
      </c>
      <c r="T290" s="258" t="s">
        <v>104</v>
      </c>
      <c r="U290" s="36"/>
      <c r="V290" s="1396">
        <v>0</v>
      </c>
      <c r="W290" s="1397">
        <v>0</v>
      </c>
      <c r="X290" s="386">
        <f t="shared" ref="X290" si="4">SUM(V290-W290)</f>
        <v>0</v>
      </c>
      <c r="Y290" s="697">
        <f t="shared" si="3"/>
        <v>0</v>
      </c>
      <c r="Z290" s="470">
        <v>46079</v>
      </c>
      <c r="AA290" s="1272"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00:I211 I29:I32 I112:I113 I99:I100 I115 I117 I80 I132 I279 I283 I192:I194 I173 I110 I119 I9:I10 I71 I64:I65 I57 I84 I87 I230:I231 I134 I129:I130 I137 I238:I240 I228 I216:I217 I246 I158 I175:I181 I196:I198 I166:I167 I67:I68 I183:I188 I52:I54 I162 I46 I36 I20 I22 I13 I15:I16 I38 I170 I7" xr:uid="{8EBE9BB6-6BD2-46C1-9207-22004A752DD6}">
      <formula1>"On Track, In Jeopardy, Completed on Track, Completed, Completed -Missed TSD, On Hold Per Tillman"</formula1>
    </dataValidation>
    <dataValidation type="list" allowBlank="1" showInputMessage="1" showErrorMessage="1" sqref="I278 I1 I152" xr:uid="{54C34FE6-5399-45BA-9ADF-D8D523AA2260}">
      <formula1>"N/A, On Track, In Jeopardy, Completed on Track, Completed, Completed -Missed TSD, On Hold Per Tillman"</formula1>
    </dataValidation>
    <dataValidation allowBlank="1" showInputMessage="1" showErrorMessage="1" sqref="Z6:Z7 E99 Q80:Q81 K76:K78 Q83:Q90 Z88 K80:K81 Q101:Q103 D245 E87 Q76:Q78 Z78 V78 Q122:Q123 E8 Z127 D132:E132 E231 L281 E283 L277:L278 Q277:U285 L283:L285 D232 Z135 Z92 Q73 D57:E57 Q92:Q95 D84:E84 Q97 K98 Q105:Q120 Z1 K9:K10 E74:E75 E77 Z42 K235:K244 E11:E12 K13:K14 E39 Z241:Z244 Z65:Z67 E67 K213:K214 E81 K45:K46 K192:K194 E189:E190 K83:K96 E79 D133 Q125:Q133 K253:K265 Z290 Z138:Z140 D241:D242 D158:E158 D247:D274 E183 Z192:Z194 E196 Z197:Z198 E198 Z216 Z213:Z214 Z218:Z227 Z234:Z237 D230 D234 K229:K233 Z229:Z231 Q235:Q244 L288:L290 Q289:U290 Q152:Q165 Z273:Z274 K64:K72 Z51:Z55 K173:K190 Z260:Z271 K249 Q249 K251 Q251 E51 E45:E46 Z60:Z61 Q253:Q265 E36 K216:K227 K48:K62 Q213:Q232 Z20 K197:K211 Z22 Z200:Z210 Z13:Z14 K16:K43 Z35:Z37 Q246 K246 Q135:Q149 K100:K149 D142:D146 Z144:Z145 Q1:Q71 K1:K7 D7:E7 K152:K171 Z152:Z188 Q167:Q211" xr:uid="{69BA9396-C6BF-4BF7-ADE5-B0A99637D974}"/>
    <dataValidation type="list" allowBlank="1" showInputMessage="1" showErrorMessage="1" sqref="J121:J122 J288:J290 J279:J285 J119 J171:J172 J212:J274 J162:J164 J166 J153:J160 J39:J117 J174:J210 J10:J37 J124:J146 J2:J8 J168:J169" xr:uid="{FD7C7CD5-6442-444B-AC8D-9E87EABB0D4D}">
      <formula1>"Received, Pending, Not Required"</formula1>
    </dataValidation>
    <dataValidation type="list" allowBlank="1" showInputMessage="1" showErrorMessage="1" sqref="I88:I98 I58:I63 I114 I135:I136 I116 I11:I12 I168 I169 I195 I111 I131 I280:I282 I277 I284:I285 I288:I290 I47:I51 I120:I128 I101:I109 I118 I72:I77 I232:I237 I69:I70 I81:I83 I66 I159:I165 I85:I86 I79 I133 I212:I215 I182 I218:I227 I171:I172 I189:I191 I241:I245 I14 I153:I157 I174 I199 I229 I55:I56 I39:I45 I23:I28 I17:I19 I21 I33:I35 I37 I138:I149 I247:I274 I2:I6 I8" xr:uid="{961FBB26-6236-46B9-BD22-4000D8D733CF}">
      <formula1>"On Track, In Jeopardy, Completed on Track, Completed, Completed -Missed TSD"</formula1>
    </dataValidation>
    <dataValidation type="list" allowBlank="1" showInputMessage="1" showErrorMessage="1" sqref="P288:P290 P277:P285 P79:P149 P1:P77 P152:P274" xr:uid="{B1810205-C461-4F7B-88E1-14B21E45A974}">
      <formula1>"Not Started, In Process, Completed, Locates Called"</formula1>
    </dataValidation>
    <dataValidation type="list" allowBlank="1" showInputMessage="1" showErrorMessage="1" sqref="I78" xr:uid="{654BAC09-9DA7-4579-8EDE-394F0F525402}">
      <formula1>"On Track, In Jeopardy, Completed on Track, Completed, Completed -Missed TSD, Project Cancelled"</formula1>
    </dataValidation>
    <dataValidation type="list" allowBlank="1" showInputMessage="1" showErrorMessage="1" sqref="P78"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447</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447</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440</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478</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478</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478</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483</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459</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481</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478</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483</v>
      </c>
      <c r="B156">
        <v>0</v>
      </c>
      <c r="C156">
        <v>0</v>
      </c>
      <c r="D156">
        <v>0</v>
      </c>
      <c r="E156">
        <v>0</v>
      </c>
      <c r="F156">
        <v>0</v>
      </c>
      <c r="G156">
        <v>0</v>
      </c>
    </row>
    <row r="157" spans="1:7">
      <c r="A157" t="s">
        <v>772</v>
      </c>
      <c r="B157">
        <v>0</v>
      </c>
      <c r="C157">
        <v>0</v>
      </c>
      <c r="D157">
        <v>0</v>
      </c>
      <c r="E157">
        <v>0</v>
      </c>
      <c r="F157">
        <v>0</v>
      </c>
      <c r="G157">
        <v>0</v>
      </c>
    </row>
    <row r="158" spans="1:7">
      <c r="A158" t="s">
        <v>459</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481</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478</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483</v>
      </c>
    </row>
    <row r="196" spans="1:7">
      <c r="A196" t="s">
        <v>772</v>
      </c>
    </row>
    <row r="197" spans="1:7">
      <c r="A197" t="s">
        <v>459</v>
      </c>
      <c r="B197">
        <v>436</v>
      </c>
      <c r="E197">
        <v>6275</v>
      </c>
      <c r="G197">
        <v>6711</v>
      </c>
    </row>
    <row r="198" spans="1:7">
      <c r="A198" t="s">
        <v>781</v>
      </c>
      <c r="C198">
        <v>315</v>
      </c>
      <c r="G198">
        <v>315</v>
      </c>
    </row>
    <row r="199" spans="1:7">
      <c r="A199" t="s">
        <v>595</v>
      </c>
      <c r="C199">
        <v>1230</v>
      </c>
      <c r="D199">
        <v>200</v>
      </c>
      <c r="G199">
        <v>1430</v>
      </c>
    </row>
    <row r="200" spans="1:7">
      <c r="A200" t="s">
        <v>481</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470</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429</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459</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446</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461</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459</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461</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453</v>
      </c>
      <c r="B283">
        <v>1355</v>
      </c>
      <c r="D283">
        <v>0</v>
      </c>
      <c r="G283">
        <v>1355</v>
      </c>
    </row>
    <row r="284" spans="1:7">
      <c r="A284" t="s">
        <v>443</v>
      </c>
      <c r="B284">
        <v>2227</v>
      </c>
      <c r="G284">
        <v>2227</v>
      </c>
    </row>
    <row r="285" spans="1:7">
      <c r="A285" t="s">
        <v>690</v>
      </c>
      <c r="C285">
        <v>0</v>
      </c>
      <c r="D285">
        <v>0</v>
      </c>
      <c r="E285">
        <v>344</v>
      </c>
      <c r="G285">
        <v>344</v>
      </c>
    </row>
    <row r="286" spans="1:7">
      <c r="A286" t="s">
        <v>439</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450</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459</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461</v>
      </c>
      <c r="B307">
        <v>43</v>
      </c>
      <c r="G307">
        <v>43</v>
      </c>
    </row>
    <row r="308" spans="1:7">
      <c r="A308" t="s">
        <v>453</v>
      </c>
    </row>
    <row r="309" spans="1:7">
      <c r="A309" t="s">
        <v>690</v>
      </c>
    </row>
    <row r="310" spans="1:7">
      <c r="A310" t="s">
        <v>439</v>
      </c>
    </row>
    <row r="311" spans="1:7">
      <c r="A311" t="s">
        <v>768</v>
      </c>
    </row>
    <row r="312" spans="1:7">
      <c r="A312" t="s">
        <v>518</v>
      </c>
      <c r="B312">
        <v>618</v>
      </c>
      <c r="C312">
        <v>700</v>
      </c>
      <c r="G312">
        <v>1318</v>
      </c>
    </row>
    <row r="313" spans="1:7">
      <c r="A313" t="s">
        <v>510</v>
      </c>
    </row>
    <row r="314" spans="1:7">
      <c r="A314" t="s">
        <v>450</v>
      </c>
    </row>
    <row r="315" spans="1:7">
      <c r="A315" t="s">
        <v>765</v>
      </c>
      <c r="B315">
        <v>990</v>
      </c>
      <c r="C315">
        <v>1871</v>
      </c>
      <c r="D315">
        <v>1307</v>
      </c>
      <c r="G315">
        <v>4168</v>
      </c>
    </row>
    <row r="316" spans="1:7">
      <c r="A316" t="s">
        <v>412</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459</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461</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487</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459</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487</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459</v>
      </c>
    </row>
    <row r="387" spans="1:7">
      <c r="A387" t="s">
        <v>784</v>
      </c>
      <c r="F387">
        <v>1367</v>
      </c>
      <c r="G387">
        <v>1367</v>
      </c>
    </row>
    <row r="388" spans="1:7">
      <c r="A388" t="s">
        <v>711</v>
      </c>
    </row>
    <row r="389" spans="1:7">
      <c r="A389" t="s">
        <v>1023</v>
      </c>
    </row>
    <row r="390" spans="1:7">
      <c r="A390" t="s">
        <v>487</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485</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412</v>
      </c>
      <c r="E411">
        <v>468</v>
      </c>
      <c r="F411">
        <v>940</v>
      </c>
      <c r="G411">
        <v>1408</v>
      </c>
    </row>
    <row r="412" spans="1:7">
      <c r="A412" t="s">
        <v>711</v>
      </c>
    </row>
    <row r="413" spans="1:7">
      <c r="A413" t="s">
        <v>715</v>
      </c>
    </row>
    <row r="414" spans="1:7">
      <c r="A414" t="s">
        <v>487</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419</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453</v>
      </c>
      <c r="C439">
        <v>385</v>
      </c>
      <c r="D439">
        <v>678</v>
      </c>
      <c r="E439">
        <v>381</v>
      </c>
      <c r="G439">
        <v>1444</v>
      </c>
    </row>
    <row r="440" spans="1:7">
      <c r="A440" t="s">
        <v>487</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426</v>
      </c>
      <c r="D446">
        <v>153</v>
      </c>
      <c r="G446">
        <v>153</v>
      </c>
    </row>
    <row r="447" spans="1:7">
      <c r="A447" t="s">
        <v>1189</v>
      </c>
    </row>
    <row r="448" spans="1:7">
      <c r="A448" t="s">
        <v>1190</v>
      </c>
    </row>
    <row r="449" spans="1:7">
      <c r="A449" t="s">
        <v>1191</v>
      </c>
      <c r="E449">
        <v>201</v>
      </c>
      <c r="F449">
        <v>30</v>
      </c>
      <c r="G449">
        <v>231</v>
      </c>
    </row>
    <row r="450" spans="1:7">
      <c r="A450" t="s">
        <v>467</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453</v>
      </c>
      <c r="B463">
        <v>605</v>
      </c>
      <c r="D463">
        <v>600</v>
      </c>
      <c r="E463">
        <v>772</v>
      </c>
      <c r="G463">
        <v>1977</v>
      </c>
    </row>
    <row r="464" spans="1:7">
      <c r="A464" t="s">
        <v>487</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467</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453</v>
      </c>
      <c r="B481">
        <v>757</v>
      </c>
      <c r="C481">
        <v>610</v>
      </c>
      <c r="D481">
        <v>959</v>
      </c>
      <c r="E481">
        <v>493</v>
      </c>
      <c r="F481">
        <v>2819</v>
      </c>
    </row>
    <row r="482" spans="1:7">
      <c r="A482" t="s">
        <v>784</v>
      </c>
      <c r="E482">
        <v>218</v>
      </c>
      <c r="F482">
        <v>218</v>
      </c>
    </row>
    <row r="483" spans="1:7">
      <c r="A483" t="s">
        <v>487</v>
      </c>
    </row>
    <row r="484" spans="1:7">
      <c r="A484" t="s">
        <v>467</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453</v>
      </c>
      <c r="B500">
        <v>720</v>
      </c>
      <c r="C500">
        <v>948</v>
      </c>
      <c r="E500">
        <v>1101</v>
      </c>
      <c r="F500">
        <v>437</v>
      </c>
      <c r="G500">
        <v>3206</v>
      </c>
    </row>
    <row r="501" spans="1:7">
      <c r="A501" t="s">
        <v>412</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453</v>
      </c>
      <c r="B517">
        <v>730</v>
      </c>
      <c r="C517">
        <v>583</v>
      </c>
      <c r="G517">
        <v>1313</v>
      </c>
    </row>
    <row r="518" spans="1:7">
      <c r="A518" t="s">
        <v>630</v>
      </c>
      <c r="B518">
        <v>115</v>
      </c>
      <c r="G518">
        <v>115</v>
      </c>
    </row>
    <row r="519" spans="1:7">
      <c r="A519" t="s">
        <v>467</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1191</v>
      </c>
      <c r="D535">
        <v>81</v>
      </c>
      <c r="F535">
        <v>114</v>
      </c>
      <c r="G535">
        <v>195</v>
      </c>
    </row>
    <row r="536" spans="1:7">
      <c r="A536" t="s">
        <v>467</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464</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453</v>
      </c>
      <c r="E548">
        <v>112</v>
      </c>
      <c r="G548">
        <v>112</v>
      </c>
    </row>
    <row r="549" spans="1:7">
      <c r="A549" t="s">
        <v>439</v>
      </c>
      <c r="E549">
        <v>676</v>
      </c>
      <c r="F549">
        <v>430</v>
      </c>
      <c r="G549">
        <v>1106</v>
      </c>
    </row>
    <row r="550" spans="1:7">
      <c r="A550" t="s">
        <v>412</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464</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453</v>
      </c>
      <c r="C564">
        <v>282</v>
      </c>
      <c r="G564">
        <v>282</v>
      </c>
    </row>
    <row r="565" spans="1:7">
      <c r="A565" t="s">
        <v>439</v>
      </c>
      <c r="B565">
        <v>885</v>
      </c>
      <c r="C565">
        <v>478</v>
      </c>
      <c r="D565">
        <v>490</v>
      </c>
      <c r="E565">
        <v>372</v>
      </c>
      <c r="G565">
        <v>2225</v>
      </c>
    </row>
    <row r="566" spans="1:7">
      <c r="A566" t="s">
        <v>1184</v>
      </c>
    </row>
    <row r="567" spans="1:7">
      <c r="A567" t="s">
        <v>1191</v>
      </c>
      <c r="B567">
        <v>360</v>
      </c>
      <c r="G567">
        <v>360</v>
      </c>
    </row>
    <row r="568" spans="1:7">
      <c r="A568" t="s">
        <v>604</v>
      </c>
    </row>
    <row r="569" spans="1:7">
      <c r="A569" t="s">
        <v>464</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443</v>
      </c>
      <c r="F578">
        <v>198</v>
      </c>
      <c r="G578">
        <v>198</v>
      </c>
    </row>
    <row r="579" spans="1:7">
      <c r="A579" t="s">
        <v>439</v>
      </c>
    </row>
    <row r="580" spans="1:7">
      <c r="A580" t="s">
        <v>450</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472</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443</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443</v>
      </c>
      <c r="D605">
        <v>461</v>
      </c>
      <c r="E605">
        <v>880</v>
      </c>
      <c r="F605">
        <v>585</v>
      </c>
      <c r="G605">
        <v>1926</v>
      </c>
    </row>
    <row r="606" spans="1:7">
      <c r="A606" t="s">
        <v>450</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472</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443</v>
      </c>
      <c r="B625">
        <v>345</v>
      </c>
      <c r="G625">
        <v>345</v>
      </c>
    </row>
    <row r="626" spans="1:7">
      <c r="A626" t="s">
        <v>879</v>
      </c>
      <c r="B626">
        <v>420</v>
      </c>
      <c r="G626">
        <v>420</v>
      </c>
    </row>
    <row r="627" spans="1:7">
      <c r="A627" t="s">
        <v>871</v>
      </c>
      <c r="B627">
        <v>817</v>
      </c>
      <c r="D627">
        <v>1385</v>
      </c>
      <c r="G627">
        <v>2202</v>
      </c>
    </row>
    <row r="628" spans="1:7">
      <c r="A628" t="s">
        <v>472</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472</v>
      </c>
    </row>
    <row r="641" spans="1:7">
      <c r="A641" t="s">
        <v>825</v>
      </c>
    </row>
    <row r="642" spans="1:7">
      <c r="A642" t="s">
        <v>856</v>
      </c>
      <c r="C642">
        <v>190</v>
      </c>
      <c r="D642">
        <v>840</v>
      </c>
      <c r="E642">
        <v>531</v>
      </c>
      <c r="F642">
        <v>718</v>
      </c>
      <c r="G642">
        <v>2279</v>
      </c>
    </row>
    <row r="643" spans="1:7">
      <c r="A643" t="s">
        <v>587</v>
      </c>
      <c r="B643">
        <v>918</v>
      </c>
      <c r="G643">
        <v>918</v>
      </c>
    </row>
    <row r="644" spans="1:7">
      <c r="A644" t="s">
        <v>475</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450</v>
      </c>
      <c r="D665">
        <v>499</v>
      </c>
      <c r="E665">
        <v>231</v>
      </c>
      <c r="F665">
        <v>316</v>
      </c>
      <c r="G665">
        <v>1046</v>
      </c>
    </row>
    <row r="666" spans="1:7">
      <c r="A666" t="s">
        <v>412</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443</v>
      </c>
      <c r="D685">
        <v>1241</v>
      </c>
      <c r="G685">
        <v>1241</v>
      </c>
    </row>
    <row r="686" spans="1:7">
      <c r="A686" t="s">
        <v>450</v>
      </c>
      <c r="B686">
        <v>503</v>
      </c>
      <c r="C686">
        <v>295</v>
      </c>
      <c r="F686">
        <v>6</v>
      </c>
      <c r="G686">
        <v>804</v>
      </c>
    </row>
    <row r="687" spans="1:7">
      <c r="A687" t="s">
        <v>412</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443</v>
      </c>
    </row>
    <row r="708" spans="1:7">
      <c r="A708" t="s">
        <v>768</v>
      </c>
    </row>
    <row r="709" spans="1:7">
      <c r="A709" t="s">
        <v>450</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412</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443</v>
      </c>
      <c r="D743">
        <v>139</v>
      </c>
      <c r="G743">
        <v>139</v>
      </c>
    </row>
    <row r="744" spans="1:7">
      <c r="A744" t="s">
        <v>450</v>
      </c>
    </row>
    <row r="745" spans="1:7">
      <c r="A745" t="s">
        <v>426</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443</v>
      </c>
      <c r="B763">
        <v>60</v>
      </c>
      <c r="G763">
        <v>60</v>
      </c>
    </row>
    <row r="764" spans="1:7">
      <c r="A764" t="s">
        <v>419</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416</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419</v>
      </c>
      <c r="B790">
        <v>229</v>
      </c>
      <c r="G790">
        <v>229</v>
      </c>
    </row>
    <row r="791" spans="1:7">
      <c r="A791" t="s">
        <v>426</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419</v>
      </c>
      <c r="E813">
        <v>270</v>
      </c>
      <c r="F813">
        <v>268</v>
      </c>
      <c r="G813">
        <v>538</v>
      </c>
    </row>
    <row r="814" spans="1:7">
      <c r="A814" t="s">
        <v>1185</v>
      </c>
      <c r="D814">
        <v>126</v>
      </c>
      <c r="E814">
        <v>229</v>
      </c>
      <c r="G814">
        <v>355</v>
      </c>
    </row>
    <row r="815" spans="1:7">
      <c r="A815" t="s">
        <v>426</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426</v>
      </c>
      <c r="B860">
        <v>153</v>
      </c>
      <c r="C860">
        <v>244</v>
      </c>
      <c r="E860">
        <v>237</v>
      </c>
      <c r="G860">
        <v>634</v>
      </c>
    </row>
    <row r="861" spans="1:7">
      <c r="A861" t="s">
        <v>1191</v>
      </c>
      <c r="B861">
        <v>455</v>
      </c>
      <c r="G861">
        <v>455</v>
      </c>
    </row>
    <row r="862" spans="1:7">
      <c r="A862" t="s">
        <v>825</v>
      </c>
      <c r="B862">
        <v>151</v>
      </c>
      <c r="C862">
        <v>149</v>
      </c>
      <c r="G862">
        <v>300</v>
      </c>
    </row>
    <row r="863" spans="1:7">
      <c r="A863" t="s">
        <v>416</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489</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419</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416</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489</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489</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392</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429</v>
      </c>
    </row>
    <row r="939" spans="1:7">
      <c r="A939" t="s">
        <v>328</v>
      </c>
    </row>
    <row r="940" spans="1:7">
      <c r="A940" t="s">
        <v>1047</v>
      </c>
      <c r="B940">
        <v>560</v>
      </c>
      <c r="G940">
        <v>560</v>
      </c>
    </row>
    <row r="941" spans="1:7">
      <c r="A941" t="s">
        <v>835</v>
      </c>
    </row>
    <row r="942" spans="1:7">
      <c r="A942" t="s">
        <v>489</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372</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400</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429</v>
      </c>
      <c r="E968">
        <v>170</v>
      </c>
      <c r="F968">
        <v>271</v>
      </c>
      <c r="G968">
        <v>441</v>
      </c>
    </row>
    <row r="969" spans="1:7">
      <c r="A969" t="s">
        <v>345</v>
      </c>
      <c r="B969">
        <v>446</v>
      </c>
      <c r="C969">
        <v>120</v>
      </c>
      <c r="D969">
        <v>550</v>
      </c>
      <c r="G969">
        <v>1116</v>
      </c>
    </row>
    <row r="970" spans="1:7">
      <c r="A970" t="s">
        <v>1047</v>
      </c>
      <c r="C970">
        <v>17</v>
      </c>
      <c r="G970">
        <v>17</v>
      </c>
    </row>
    <row r="971" spans="1:7">
      <c r="A971" t="s">
        <v>489</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372</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400</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374</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429</v>
      </c>
    </row>
    <row r="1005" spans="1:7">
      <c r="A1005" t="s">
        <v>419</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392</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397</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392</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397</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400</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406</v>
      </c>
      <c r="C1094">
        <v>1743</v>
      </c>
      <c r="D1094">
        <v>522</v>
      </c>
      <c r="E1094">
        <v>1194</v>
      </c>
      <c r="F1094">
        <v>2811</v>
      </c>
      <c r="G1094">
        <v>6270</v>
      </c>
    </row>
    <row r="1095" spans="1:7">
      <c r="A1095" t="s">
        <v>1235</v>
      </c>
    </row>
    <row r="1096" spans="1:7">
      <c r="A1096" t="s">
        <v>863</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360</v>
      </c>
      <c r="D1100">
        <v>817</v>
      </c>
      <c r="E1100">
        <v>1820</v>
      </c>
      <c r="G1100">
        <v>2637</v>
      </c>
    </row>
    <row r="1101" spans="1:7">
      <c r="A1101" t="s">
        <v>903</v>
      </c>
      <c r="E1101">
        <v>1351</v>
      </c>
      <c r="G1101">
        <v>1351</v>
      </c>
    </row>
    <row r="1102" spans="1:7">
      <c r="A1102" t="s">
        <v>366</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400</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406</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366</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376</v>
      </c>
      <c r="B1130">
        <v>1511</v>
      </c>
      <c r="C1130">
        <v>1887</v>
      </c>
      <c r="D1130">
        <v>916</v>
      </c>
      <c r="E1130">
        <v>1704</v>
      </c>
      <c r="F1130">
        <v>974</v>
      </c>
      <c r="G1130">
        <v>6992</v>
      </c>
    </row>
    <row r="1131" spans="1:7">
      <c r="A1131" t="s">
        <v>403</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366</v>
      </c>
      <c r="B1147">
        <v>154</v>
      </c>
      <c r="G1147">
        <v>154</v>
      </c>
    </row>
    <row r="1148" spans="1:7">
      <c r="A1148" t="s">
        <v>922</v>
      </c>
      <c r="B1148">
        <v>342</v>
      </c>
      <c r="G1148">
        <v>342</v>
      </c>
    </row>
    <row r="1149" spans="1:7">
      <c r="A1149" t="s">
        <v>403</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397</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406</v>
      </c>
      <c r="B1167">
        <v>0</v>
      </c>
      <c r="G1167">
        <v>0</v>
      </c>
    </row>
    <row r="1168" spans="1:7">
      <c r="A1168" t="s">
        <v>366</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429</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403</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363</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429</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363</v>
      </c>
      <c r="B1217">
        <v>926</v>
      </c>
      <c r="C1217">
        <v>1128</v>
      </c>
      <c r="D1217">
        <v>1082</v>
      </c>
      <c r="E1217">
        <v>1325</v>
      </c>
      <c r="F1217">
        <v>441</v>
      </c>
      <c r="G1217">
        <v>4902</v>
      </c>
    </row>
    <row r="1218" spans="1:7">
      <c r="A1218" t="s">
        <v>422</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392</v>
      </c>
      <c r="C1239">
        <v>2209</v>
      </c>
      <c r="G1239">
        <v>2209</v>
      </c>
    </row>
    <row r="1240" spans="1:7">
      <c r="A1240" t="s">
        <v>403</v>
      </c>
    </row>
    <row r="1241" spans="1:7">
      <c r="A1241" t="s">
        <v>593</v>
      </c>
    </row>
    <row r="1242" spans="1:7">
      <c r="A1242" t="s">
        <v>950</v>
      </c>
      <c r="C1242">
        <v>0</v>
      </c>
      <c r="G1242">
        <v>0</v>
      </c>
    </row>
    <row r="1243" spans="1:7">
      <c r="A1243" t="s">
        <v>1105</v>
      </c>
      <c r="E1243">
        <v>1940</v>
      </c>
      <c r="G1243">
        <v>1940</v>
      </c>
    </row>
    <row r="1244" spans="1:7">
      <c r="A1244" t="s">
        <v>422</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369</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422</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369</v>
      </c>
      <c r="C1309">
        <v>1646</v>
      </c>
      <c r="F1309">
        <v>6</v>
      </c>
      <c r="G1309">
        <v>1652</v>
      </c>
    </row>
    <row r="1310" spans="1:7">
      <c r="A1310" t="s">
        <v>386</v>
      </c>
      <c r="C1310">
        <v>1250</v>
      </c>
      <c r="D1310">
        <v>518</v>
      </c>
      <c r="E1310">
        <v>990</v>
      </c>
      <c r="G1310">
        <v>2758</v>
      </c>
    </row>
    <row r="1311" spans="1:7">
      <c r="A1311" t="s">
        <v>882</v>
      </c>
      <c r="C1311">
        <v>251</v>
      </c>
      <c r="E1311">
        <v>298</v>
      </c>
      <c r="G1311">
        <v>549</v>
      </c>
    </row>
    <row r="1312" spans="1:7">
      <c r="A1312" t="s">
        <v>382</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416</v>
      </c>
      <c r="C1320">
        <v>197</v>
      </c>
      <c r="D1320">
        <v>338</v>
      </c>
      <c r="G1320">
        <v>535</v>
      </c>
    </row>
    <row r="1321" spans="1:7">
      <c r="A1321" t="s">
        <v>846</v>
      </c>
    </row>
    <row r="1322" spans="1:7">
      <c r="A1322" t="s">
        <v>861</v>
      </c>
      <c r="E1322">
        <v>30</v>
      </c>
      <c r="G1322">
        <v>30</v>
      </c>
    </row>
    <row r="1323" spans="1:7">
      <c r="A1323" t="s">
        <v>386</v>
      </c>
      <c r="F1323">
        <v>342</v>
      </c>
      <c r="G1323">
        <v>342</v>
      </c>
    </row>
    <row r="1324" spans="1:7">
      <c r="A1324" t="s">
        <v>882</v>
      </c>
      <c r="D1324">
        <v>150</v>
      </c>
      <c r="G1324">
        <v>150</v>
      </c>
    </row>
    <row r="1325" spans="1:7">
      <c r="A1325" t="s">
        <v>382</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416</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382</v>
      </c>
      <c r="B1353">
        <v>1044</v>
      </c>
      <c r="E1353">
        <v>1044</v>
      </c>
    </row>
    <row r="1354" spans="1:7">
      <c r="A1354" t="s">
        <v>196</v>
      </c>
      <c r="C1354">
        <v>1062</v>
      </c>
      <c r="D1354">
        <v>1318</v>
      </c>
      <c r="E1354">
        <v>2380</v>
      </c>
    </row>
    <row r="1355" spans="1:7">
      <c r="A1355" t="s">
        <v>217</v>
      </c>
      <c r="B1355">
        <v>1099</v>
      </c>
      <c r="D1355">
        <v>2025</v>
      </c>
      <c r="E1355">
        <v>3124</v>
      </c>
    </row>
    <row r="1356" spans="1:7">
      <c r="A1356" t="s">
        <v>379</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137</v>
      </c>
      <c r="C3" s="551">
        <v>45742</v>
      </c>
      <c r="D3" s="552" t="s">
        <v>441</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137</v>
      </c>
      <c r="C6" s="328">
        <v>45747</v>
      </c>
      <c r="D6" s="555" t="s">
        <v>448</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452</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450</v>
      </c>
      <c r="B11" s="342" t="s">
        <v>137</v>
      </c>
      <c r="C11" s="113">
        <v>45991</v>
      </c>
      <c r="D11" s="413" t="s">
        <v>452</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452</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453</v>
      </c>
      <c r="B16" s="117" t="s">
        <v>137</v>
      </c>
      <c r="C16" s="246">
        <v>45742</v>
      </c>
      <c r="D16" s="561" t="s">
        <v>455</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459</v>
      </c>
      <c r="B20" s="112" t="s">
        <v>80</v>
      </c>
      <c r="C20" s="113">
        <v>45742</v>
      </c>
      <c r="D20" s="116" t="s">
        <v>460</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461</v>
      </c>
      <c r="B21" s="112" t="s">
        <v>80</v>
      </c>
      <c r="C21" s="113">
        <v>45772</v>
      </c>
      <c r="D21" s="490" t="s">
        <v>462</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464</v>
      </c>
      <c r="B22" s="112" t="s">
        <v>80</v>
      </c>
      <c r="C22" s="113">
        <v>45868</v>
      </c>
      <c r="D22" s="490" t="s">
        <v>465</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467</v>
      </c>
      <c r="B24" s="112" t="s">
        <v>80</v>
      </c>
      <c r="C24" s="113">
        <v>45807</v>
      </c>
      <c r="D24" s="137" t="s">
        <v>468</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470</v>
      </c>
      <c r="B25" s="112" t="s">
        <v>80</v>
      </c>
      <c r="C25" s="113">
        <v>45787</v>
      </c>
      <c r="D25" s="137" t="s">
        <v>471</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472</v>
      </c>
      <c r="B26" s="112" t="s">
        <v>80</v>
      </c>
      <c r="C26" s="120">
        <v>45868</v>
      </c>
      <c r="D26" s="137" t="s">
        <v>473</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475</v>
      </c>
      <c r="B27" s="112" t="s">
        <v>80</v>
      </c>
      <c r="C27" s="120">
        <v>45868</v>
      </c>
      <c r="D27" s="116" t="s">
        <v>476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478</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481</v>
      </c>
      <c r="B30" s="112" t="s">
        <v>80</v>
      </c>
      <c r="C30" s="113">
        <v>45711</v>
      </c>
      <c r="D30" s="113" t="s">
        <v>482</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485</v>
      </c>
      <c r="B32" s="112" t="s">
        <v>80</v>
      </c>
      <c r="C32" s="113">
        <v>45772</v>
      </c>
      <c r="D32" s="490" t="s">
        <v>486</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459</v>
      </c>
      <c r="M7">
        <v>1</v>
      </c>
      <c r="P7" t="s">
        <v>1285</v>
      </c>
      <c r="R7">
        <v>1</v>
      </c>
      <c r="X7" t="s">
        <v>1286</v>
      </c>
      <c r="Y7" t="s">
        <v>1287</v>
      </c>
    </row>
    <row r="8" spans="1:25">
      <c r="B8" t="s">
        <v>151</v>
      </c>
      <c r="C8">
        <v>16756</v>
      </c>
      <c r="L8" t="s">
        <v>461</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438</v>
      </c>
      <c r="Y3" s="193" t="s">
        <v>1318</v>
      </c>
      <c r="Z3" s="244" t="s">
        <v>1319</v>
      </c>
    </row>
    <row r="4" spans="1:26" ht="15.75" thickBot="1">
      <c r="A4" s="58" t="s">
        <v>416</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419</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412</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429</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426</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422</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459</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461</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487</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485</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485</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487</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21"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478</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478</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478</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478</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478</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478</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478</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483</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483</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478</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483</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459</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478</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483</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459</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481</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478</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483</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459</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481</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478</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459</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481</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478</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459</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481</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478</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483</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459</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481</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478</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483</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459</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481</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478</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483</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459</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481</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478</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483</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459</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481</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470</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483</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459</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459</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459</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446</v>
      </c>
      <c r="B708" s="238" t="s">
        <v>447</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459</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446</v>
      </c>
      <c r="B727" s="238" t="s">
        <v>447</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459</v>
      </c>
      <c r="B743" s="178" t="s">
        <v>1167</v>
      </c>
      <c r="C743" s="242">
        <v>45743</v>
      </c>
      <c r="D743" s="78">
        <v>150</v>
      </c>
      <c r="E743" s="12"/>
      <c r="G743" t="str">
        <f t="shared" si="11"/>
        <v>March</v>
      </c>
      <c r="H743" s="101"/>
      <c r="I743" s="101"/>
      <c r="J743" s="101"/>
      <c r="K743" s="101"/>
      <c r="L743" s="101"/>
      <c r="M743" s="101"/>
    </row>
    <row r="744" spans="1:13" ht="15.75">
      <c r="A744" s="78" t="s">
        <v>461</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459</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461</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447</v>
      </c>
      <c r="C787" s="24">
        <v>45748</v>
      </c>
      <c r="D787" s="78" t="s">
        <v>1368</v>
      </c>
      <c r="E787" s="12"/>
      <c r="G787" t="str">
        <f t="shared" si="12"/>
        <v>April</v>
      </c>
      <c r="H787" s="101"/>
      <c r="I787" s="101"/>
      <c r="J787" s="101"/>
      <c r="K787" s="101"/>
    </row>
    <row r="788" spans="1:11" ht="15.75">
      <c r="A788" s="78" t="s">
        <v>461</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439</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447</v>
      </c>
      <c r="C801" s="24">
        <v>45749</v>
      </c>
      <c r="D801" s="78" t="s">
        <v>1368</v>
      </c>
      <c r="E801" s="12"/>
      <c r="G801" t="str">
        <f t="shared" si="12"/>
        <v>April</v>
      </c>
      <c r="H801" s="187"/>
      <c r="I801" s="186"/>
      <c r="J801" s="101"/>
      <c r="K801" s="101"/>
    </row>
    <row r="802" spans="1:11" ht="15.75">
      <c r="A802" s="78" t="s">
        <v>461</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439</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447</v>
      </c>
      <c r="C813" s="24">
        <v>45750</v>
      </c>
      <c r="D813" s="12">
        <v>344</v>
      </c>
      <c r="E813" s="12"/>
      <c r="F813" s="12" t="s">
        <v>1512</v>
      </c>
      <c r="G813" t="str">
        <f t="shared" si="12"/>
        <v>April</v>
      </c>
    </row>
    <row r="814" spans="1:11">
      <c r="A814" s="238" t="s">
        <v>768</v>
      </c>
      <c r="B814" s="238" t="s">
        <v>447</v>
      </c>
      <c r="C814" s="24">
        <v>45750</v>
      </c>
      <c r="D814" s="92">
        <v>1265</v>
      </c>
      <c r="E814" s="12"/>
      <c r="F814" s="35" t="s">
        <v>1513</v>
      </c>
      <c r="G814" t="str">
        <f t="shared" si="12"/>
        <v>April</v>
      </c>
    </row>
    <row r="815" spans="1:11" ht="15.75">
      <c r="A815" s="78" t="s">
        <v>461</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5" t="s">
        <v>450</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439</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447</v>
      </c>
      <c r="C828" s="24">
        <v>45751</v>
      </c>
      <c r="D828" s="92">
        <v>2144</v>
      </c>
      <c r="E828" s="12"/>
      <c r="F828" s="12" t="s">
        <v>1521</v>
      </c>
      <c r="G828" t="str">
        <f t="shared" si="12"/>
        <v>April</v>
      </c>
    </row>
    <row r="829" spans="1:7" ht="15.75">
      <c r="A829" s="78" t="s">
        <v>459</v>
      </c>
      <c r="B829" s="178" t="s">
        <v>1167</v>
      </c>
      <c r="C829" s="242">
        <v>45751</v>
      </c>
      <c r="E829" s="12"/>
      <c r="F829" s="91" t="s">
        <v>1395</v>
      </c>
      <c r="G829" t="str">
        <f t="shared" si="12"/>
        <v>April</v>
      </c>
    </row>
    <row r="830" spans="1:7" ht="15.75">
      <c r="A830" s="78" t="s">
        <v>461</v>
      </c>
      <c r="B830" s="178" t="s">
        <v>1167</v>
      </c>
      <c r="C830" s="242">
        <v>45751</v>
      </c>
      <c r="E830" s="12"/>
      <c r="F830" s="91" t="s">
        <v>1395</v>
      </c>
      <c r="G830" t="str">
        <f t="shared" si="12"/>
        <v>April</v>
      </c>
    </row>
    <row r="831" spans="1:7" ht="15.75">
      <c r="A831" s="236" t="s">
        <v>453</v>
      </c>
      <c r="B831" s="1191" t="s">
        <v>102</v>
      </c>
      <c r="C831" s="24">
        <v>45751</v>
      </c>
      <c r="E831" s="12"/>
      <c r="F831" s="78" t="s">
        <v>1516</v>
      </c>
      <c r="G831" t="str">
        <f t="shared" si="12"/>
        <v>April</v>
      </c>
    </row>
    <row r="832" spans="1:7">
      <c r="A832" s="745" t="s">
        <v>450</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439</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447</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412</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461</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447</v>
      </c>
      <c r="C847" s="24">
        <v>45755</v>
      </c>
      <c r="D847" s="92">
        <v>1871</v>
      </c>
      <c r="E847" s="12"/>
      <c r="F847" s="12" t="s">
        <v>1527</v>
      </c>
      <c r="G847" t="str">
        <f t="shared" si="13"/>
        <v>April</v>
      </c>
    </row>
    <row r="848" spans="1:7">
      <c r="A848" s="78" t="s">
        <v>412</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459</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5" t="s">
        <v>450</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439</v>
      </c>
      <c r="B857" s="236" t="s">
        <v>1168</v>
      </c>
      <c r="C857" s="24">
        <v>45755</v>
      </c>
      <c r="E857" s="12"/>
      <c r="F857" s="78" t="s">
        <v>1516</v>
      </c>
      <c r="G857" t="str">
        <f t="shared" si="13"/>
        <v>April</v>
      </c>
    </row>
    <row r="858" spans="1:7">
      <c r="A858" s="78" t="s">
        <v>765</v>
      </c>
      <c r="B858" s="78" t="s">
        <v>447</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459</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453</v>
      </c>
      <c r="B865" s="1191" t="s">
        <v>102</v>
      </c>
      <c r="C865" s="24">
        <v>45756</v>
      </c>
      <c r="E865" s="12"/>
      <c r="F865" s="78" t="s">
        <v>1516</v>
      </c>
      <c r="G865" t="str">
        <f t="shared" si="13"/>
        <v>April</v>
      </c>
    </row>
    <row r="866" spans="1:7">
      <c r="A866" s="745" t="s">
        <v>450</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439</v>
      </c>
      <c r="B868" s="236" t="s">
        <v>1168</v>
      </c>
      <c r="C868" s="24">
        <v>45756</v>
      </c>
      <c r="E868" s="12"/>
      <c r="F868" s="78" t="s">
        <v>1516</v>
      </c>
      <c r="G868" t="str">
        <f t="shared" si="13"/>
        <v>April</v>
      </c>
    </row>
    <row r="869" spans="1:7">
      <c r="A869" s="181" t="s">
        <v>765</v>
      </c>
      <c r="B869" s="78" t="s">
        <v>447</v>
      </c>
      <c r="C869" s="24">
        <v>45757</v>
      </c>
      <c r="E869" s="12"/>
      <c r="F869" s="78" t="s">
        <v>1248</v>
      </c>
      <c r="G869" t="str">
        <f t="shared" si="13"/>
        <v>April</v>
      </c>
    </row>
    <row r="870" spans="1:7">
      <c r="A870" s="181" t="s">
        <v>768</v>
      </c>
      <c r="B870" s="78" t="s">
        <v>447</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447</v>
      </c>
      <c r="C880" s="24">
        <v>45758</v>
      </c>
      <c r="E880" s="12"/>
      <c r="F880" s="78" t="s">
        <v>1248</v>
      </c>
      <c r="G880" t="str">
        <f t="shared" si="13"/>
        <v>April</v>
      </c>
    </row>
    <row r="881" spans="1:7">
      <c r="A881" s="78" t="s">
        <v>690</v>
      </c>
      <c r="B881" s="78" t="s">
        <v>447</v>
      </c>
      <c r="C881" s="24">
        <v>45758</v>
      </c>
      <c r="E881" s="12"/>
      <c r="F881" s="78" t="s">
        <v>1248</v>
      </c>
      <c r="G881" t="str">
        <f t="shared" si="13"/>
        <v>April</v>
      </c>
    </row>
    <row r="882" spans="1:7">
      <c r="A882" s="78" t="s">
        <v>640</v>
      </c>
      <c r="B882" s="78" t="s">
        <v>440</v>
      </c>
      <c r="C882" s="24">
        <v>45758</v>
      </c>
      <c r="E882" s="12"/>
      <c r="F882" s="78" t="s">
        <v>1537</v>
      </c>
      <c r="G882" t="str">
        <f t="shared" si="13"/>
        <v>April</v>
      </c>
    </row>
    <row r="883" spans="1:7">
      <c r="A883" s="78" t="s">
        <v>779</v>
      </c>
      <c r="B883" s="78" t="s">
        <v>440</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461</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440</v>
      </c>
      <c r="C894" s="24">
        <v>45761</v>
      </c>
      <c r="E894" s="12"/>
      <c r="G894" t="str">
        <f t="shared" si="13"/>
        <v>April</v>
      </c>
    </row>
    <row r="895" spans="1:7">
      <c r="A895" s="238" t="s">
        <v>779</v>
      </c>
      <c r="B895" s="238" t="s">
        <v>440</v>
      </c>
      <c r="C895" s="24">
        <v>45761</v>
      </c>
      <c r="E895" s="12"/>
      <c r="G895" t="str">
        <f t="shared" si="13"/>
        <v>April</v>
      </c>
    </row>
    <row r="896" spans="1:7" ht="15.75">
      <c r="A896" s="78" t="s">
        <v>459</v>
      </c>
      <c r="B896" s="178" t="s">
        <v>1167</v>
      </c>
      <c r="C896" s="242">
        <v>45761</v>
      </c>
      <c r="E896" s="12"/>
      <c r="F896" s="12" t="s">
        <v>1544</v>
      </c>
      <c r="G896" t="str">
        <f t="shared" si="13"/>
        <v>April</v>
      </c>
    </row>
    <row r="897" spans="1:7" ht="15.75">
      <c r="A897" s="91" t="s">
        <v>487</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440</v>
      </c>
      <c r="C905" s="24">
        <v>45762</v>
      </c>
      <c r="E905" s="12"/>
      <c r="F905" s="78" t="s">
        <v>1549</v>
      </c>
      <c r="G905" t="str">
        <f t="shared" si="14"/>
        <v>April</v>
      </c>
    </row>
    <row r="906" spans="1:7">
      <c r="A906" s="78" t="s">
        <v>779</v>
      </c>
      <c r="B906" s="78" t="s">
        <v>440</v>
      </c>
      <c r="C906" s="24">
        <v>45762</v>
      </c>
      <c r="E906" s="12"/>
      <c r="F906" s="78" t="s">
        <v>1549</v>
      </c>
      <c r="G906" t="str">
        <f t="shared" si="14"/>
        <v>April</v>
      </c>
    </row>
    <row r="907" spans="1:7">
      <c r="A907" s="238" t="s">
        <v>752</v>
      </c>
      <c r="B907" s="238" t="s">
        <v>440</v>
      </c>
      <c r="C907" s="24">
        <v>45762</v>
      </c>
      <c r="E907" s="12"/>
      <c r="F907" s="78" t="s">
        <v>1248</v>
      </c>
      <c r="G907" t="str">
        <f t="shared" si="14"/>
        <v>April</v>
      </c>
    </row>
    <row r="908" spans="1:7" ht="15.75">
      <c r="A908" s="78" t="s">
        <v>459</v>
      </c>
      <c r="B908" s="178" t="s">
        <v>1167</v>
      </c>
      <c r="C908" s="242">
        <v>45762</v>
      </c>
      <c r="D908" s="12">
        <v>37</v>
      </c>
      <c r="E908" s="12"/>
      <c r="G908" t="str">
        <f t="shared" si="14"/>
        <v>April</v>
      </c>
    </row>
    <row r="909" spans="1:7" ht="15.75">
      <c r="A909" s="91" t="s">
        <v>487</v>
      </c>
      <c r="B909" s="178" t="s">
        <v>1167</v>
      </c>
      <c r="C909" s="242">
        <v>45762</v>
      </c>
      <c r="D909" s="12">
        <v>243</v>
      </c>
      <c r="E909" s="12"/>
      <c r="F909" s="12" t="s">
        <v>1490</v>
      </c>
      <c r="G909" t="str">
        <f t="shared" si="14"/>
        <v>April</v>
      </c>
    </row>
    <row r="910" spans="1:7" ht="15.75">
      <c r="A910" s="273" t="s">
        <v>696</v>
      </c>
      <c r="B910" s="1191" t="s">
        <v>447</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447</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440</v>
      </c>
      <c r="C920" s="24">
        <v>45763</v>
      </c>
      <c r="E920" s="12"/>
      <c r="F920" s="78" t="s">
        <v>1248</v>
      </c>
      <c r="G920" t="str">
        <f t="shared" si="14"/>
        <v>April</v>
      </c>
    </row>
    <row r="921" spans="1:7">
      <c r="A921" s="238" t="s">
        <v>752</v>
      </c>
      <c r="B921" s="238" t="s">
        <v>440</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459</v>
      </c>
      <c r="B923" s="1191" t="s">
        <v>1167</v>
      </c>
      <c r="C923" s="242">
        <v>45763</v>
      </c>
      <c r="D923" s="12">
        <v>115</v>
      </c>
      <c r="E923" s="12"/>
      <c r="F923" s="12" t="s">
        <v>1428</v>
      </c>
      <c r="G923" t="str">
        <f t="shared" si="14"/>
        <v>April</v>
      </c>
    </row>
    <row r="924" spans="1:7" ht="15.75">
      <c r="A924" s="91" t="s">
        <v>487</v>
      </c>
      <c r="B924" s="178" t="s">
        <v>1167</v>
      </c>
      <c r="C924" s="242">
        <v>45763</v>
      </c>
      <c r="E924" s="12"/>
      <c r="F924" s="12" t="s">
        <v>1488</v>
      </c>
      <c r="G924" t="str">
        <f t="shared" si="14"/>
        <v>April</v>
      </c>
    </row>
    <row r="925" spans="1:7">
      <c r="A925" s="236" t="s">
        <v>696</v>
      </c>
      <c r="B925" s="236" t="s">
        <v>447</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487</v>
      </c>
      <c r="B936" s="178" t="s">
        <v>1167</v>
      </c>
      <c r="C936" s="242">
        <v>45764</v>
      </c>
      <c r="D936" s="12">
        <v>193</v>
      </c>
      <c r="E936" s="12"/>
      <c r="F936" s="12" t="s">
        <v>1349</v>
      </c>
      <c r="G936" t="str">
        <f t="shared" si="14"/>
        <v>April</v>
      </c>
    </row>
    <row r="937" spans="1:7">
      <c r="A937" s="236" t="s">
        <v>696</v>
      </c>
      <c r="B937" s="236" t="s">
        <v>447</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440</v>
      </c>
      <c r="C946" s="24">
        <v>45765</v>
      </c>
      <c r="E946" s="12"/>
      <c r="F946" s="238" t="s">
        <v>1571</v>
      </c>
      <c r="G946" t="str">
        <f t="shared" si="14"/>
        <v>April</v>
      </c>
    </row>
    <row r="947" spans="1:7">
      <c r="A947" s="243" t="s">
        <v>752</v>
      </c>
      <c r="B947" s="243" t="s">
        <v>440</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461</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440</v>
      </c>
      <c r="C959" s="24">
        <v>45768</v>
      </c>
      <c r="E959" s="12"/>
      <c r="F959" s="243" t="s">
        <v>1571</v>
      </c>
      <c r="G959" t="str">
        <f t="shared" si="15"/>
        <v>April</v>
      </c>
    </row>
    <row r="960" spans="1:7">
      <c r="A960" s="598" t="s">
        <v>779</v>
      </c>
      <c r="B960" s="238" t="s">
        <v>440</v>
      </c>
      <c r="C960" s="24">
        <v>45768</v>
      </c>
      <c r="E960" s="12"/>
      <c r="F960" s="247" t="s">
        <v>1571</v>
      </c>
      <c r="G960" t="str">
        <f t="shared" si="15"/>
        <v>April</v>
      </c>
    </row>
    <row r="961" spans="1:7" ht="15.75">
      <c r="A961" s="78" t="s">
        <v>487</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447</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487</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447</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447</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487</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447</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447</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459</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447</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447</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459</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459</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487</v>
      </c>
      <c r="B1028" s="178" t="s">
        <v>1167</v>
      </c>
      <c r="C1028" s="242">
        <v>45776</v>
      </c>
      <c r="D1028" s="12">
        <v>242</v>
      </c>
      <c r="G1028" t="str">
        <f t="shared" si="16"/>
        <v>April</v>
      </c>
    </row>
    <row r="1029" spans="1:7">
      <c r="A1029" s="237" t="s">
        <v>485</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487</v>
      </c>
      <c r="B1039" s="178" t="s">
        <v>1167</v>
      </c>
      <c r="C1039" s="242">
        <v>45777</v>
      </c>
      <c r="D1039" s="12">
        <v>310</v>
      </c>
      <c r="E1039" s="12"/>
      <c r="G1039" t="str">
        <f t="shared" si="16"/>
        <v>April</v>
      </c>
    </row>
    <row r="1040" spans="1:7">
      <c r="A1040" s="236" t="s">
        <v>485</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487</v>
      </c>
      <c r="B1050" s="178" t="s">
        <v>1167</v>
      </c>
      <c r="C1050" s="242">
        <v>45778</v>
      </c>
      <c r="D1050" s="12">
        <v>302</v>
      </c>
      <c r="E1050" s="12"/>
      <c r="G1050" t="str">
        <f t="shared" si="16"/>
        <v>May</v>
      </c>
    </row>
    <row r="1051" spans="1:7">
      <c r="A1051" s="273" t="s">
        <v>485</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459</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419</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487</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419</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487</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487</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487</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487</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487</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453</v>
      </c>
      <c r="B1119" s="238" t="s">
        <v>656</v>
      </c>
      <c r="C1119" s="24">
        <v>45790</v>
      </c>
      <c r="D1119" s="12">
        <v>385</v>
      </c>
      <c r="G1119" t="str">
        <f t="shared" si="20"/>
        <v>May</v>
      </c>
    </row>
    <row r="1120" spans="1:7" ht="15.75">
      <c r="A1120" s="71" t="s">
        <v>426</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487</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453</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487</v>
      </c>
      <c r="B1132" s="178" t="s">
        <v>1167</v>
      </c>
      <c r="C1132" s="242">
        <v>45792</v>
      </c>
      <c r="D1132" s="12">
        <v>497</v>
      </c>
      <c r="F1132" s="12" t="s">
        <v>1341</v>
      </c>
      <c r="G1132" t="str">
        <f t="shared" si="21"/>
        <v>May</v>
      </c>
    </row>
    <row r="1133" spans="1:7">
      <c r="A1133" s="273" t="s">
        <v>467</v>
      </c>
      <c r="B1133" s="236" t="s">
        <v>102</v>
      </c>
      <c r="C1133" s="24">
        <v>45792</v>
      </c>
      <c r="D1133" s="92">
        <v>1580</v>
      </c>
      <c r="F1133" s="12" t="s">
        <v>1395</v>
      </c>
      <c r="G1133" t="str">
        <f t="shared" si="21"/>
        <v>May</v>
      </c>
    </row>
    <row r="1134" spans="1:7">
      <c r="A1134" s="78" t="s">
        <v>453</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487</v>
      </c>
      <c r="B1140" s="178" t="s">
        <v>1167</v>
      </c>
      <c r="C1140" s="242">
        <v>45793</v>
      </c>
      <c r="F1140" s="91" t="s">
        <v>1683</v>
      </c>
      <c r="G1140" t="str">
        <f t="shared" si="21"/>
        <v>May</v>
      </c>
    </row>
    <row r="1141" spans="1:7">
      <c r="A1141" s="237" t="s">
        <v>453</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487</v>
      </c>
      <c r="B1147" s="178" t="s">
        <v>1167</v>
      </c>
      <c r="C1147" s="242">
        <v>45796</v>
      </c>
      <c r="D1147" s="12">
        <v>286</v>
      </c>
      <c r="F1147" s="12" t="s">
        <v>1384</v>
      </c>
      <c r="G1147" t="str">
        <f t="shared" si="21"/>
        <v>May</v>
      </c>
    </row>
    <row r="1148" spans="1:7">
      <c r="A1148" s="273" t="s">
        <v>467</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453</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487</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487</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453</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487</v>
      </c>
      <c r="B1170" s="178" t="s">
        <v>1167</v>
      </c>
      <c r="C1170" s="242">
        <v>45799</v>
      </c>
      <c r="F1170" s="91" t="s">
        <v>1697</v>
      </c>
      <c r="G1170" t="str">
        <f t="shared" si="21"/>
        <v>May</v>
      </c>
    </row>
    <row r="1171" spans="1:7">
      <c r="A1171" s="273" t="s">
        <v>467</v>
      </c>
      <c r="B1171" s="236" t="s">
        <v>102</v>
      </c>
      <c r="C1171" s="24">
        <v>45799</v>
      </c>
      <c r="D1171" s="12">
        <v>948</v>
      </c>
      <c r="F1171" s="91" t="s">
        <v>1395</v>
      </c>
      <c r="G1171" t="str">
        <f t="shared" si="21"/>
        <v>May</v>
      </c>
    </row>
    <row r="1172" spans="1:7">
      <c r="A1172" s="238" t="s">
        <v>453</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487</v>
      </c>
      <c r="B1177" s="178" t="s">
        <v>1167</v>
      </c>
      <c r="C1177" s="242">
        <v>45800</v>
      </c>
      <c r="F1177" s="241" t="s">
        <v>1697</v>
      </c>
      <c r="G1177" t="str">
        <f t="shared" si="21"/>
        <v>May</v>
      </c>
    </row>
    <row r="1178" spans="1:7">
      <c r="A1178" s="236" t="s">
        <v>453</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487</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467</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453</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487</v>
      </c>
      <c r="B1188" s="178" t="s">
        <v>1167</v>
      </c>
      <c r="C1188" s="242">
        <v>45805</v>
      </c>
      <c r="F1188" s="248" t="s">
        <v>1697</v>
      </c>
      <c r="G1188" t="str">
        <f t="shared" si="22"/>
        <v>May</v>
      </c>
    </row>
    <row r="1189" spans="1:7">
      <c r="A1189" s="277" t="s">
        <v>467</v>
      </c>
      <c r="B1189" s="239" t="s">
        <v>102</v>
      </c>
      <c r="C1189" s="24">
        <v>45805</v>
      </c>
      <c r="D1189" s="92">
        <v>2783</v>
      </c>
      <c r="F1189" s="12" t="s">
        <v>1705</v>
      </c>
      <c r="G1189" t="str">
        <f t="shared" si="22"/>
        <v>May</v>
      </c>
    </row>
    <row r="1190" spans="1:7">
      <c r="A1190" s="238" t="s">
        <v>453</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487</v>
      </c>
      <c r="B1194" s="178" t="s">
        <v>1167</v>
      </c>
      <c r="C1194" s="242">
        <v>45806</v>
      </c>
      <c r="F1194" s="248" t="s">
        <v>1248</v>
      </c>
      <c r="G1194" t="str">
        <f t="shared" si="22"/>
        <v>May</v>
      </c>
    </row>
    <row r="1195" spans="1:7">
      <c r="A1195" s="277" t="s">
        <v>467</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453</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453</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453</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453</v>
      </c>
      <c r="B1215" s="238" t="s">
        <v>656</v>
      </c>
      <c r="C1215" s="24">
        <v>45811</v>
      </c>
      <c r="D1215" s="12">
        <v>948</v>
      </c>
      <c r="G1215" t="s">
        <v>1710</v>
      </c>
    </row>
    <row r="1216" spans="1:7">
      <c r="A1216" s="78" t="s">
        <v>637</v>
      </c>
      <c r="B1216" s="179" t="s">
        <v>574</v>
      </c>
      <c r="C1216" s="242">
        <v>45812</v>
      </c>
      <c r="D1216" s="12">
        <v>83</v>
      </c>
      <c r="G1216" t="s">
        <v>1710</v>
      </c>
    </row>
    <row r="1217" spans="1:7">
      <c r="A1217" s="78" t="s">
        <v>412</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453</v>
      </c>
      <c r="B1222" s="238" t="s">
        <v>656</v>
      </c>
      <c r="C1222" s="24">
        <v>45812</v>
      </c>
      <c r="F1222" s="78" t="s">
        <v>1715</v>
      </c>
      <c r="G1222" t="s">
        <v>1710</v>
      </c>
    </row>
    <row r="1223" spans="1:7">
      <c r="A1223" s="78" t="s">
        <v>412</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453</v>
      </c>
      <c r="B1228" s="236" t="s">
        <v>656</v>
      </c>
      <c r="C1228" s="24">
        <v>45813</v>
      </c>
      <c r="D1228" s="92">
        <v>1101</v>
      </c>
      <c r="F1228" s="12" t="s">
        <v>1407</v>
      </c>
      <c r="G1228" t="s">
        <v>1710</v>
      </c>
    </row>
    <row r="1229" spans="1:7">
      <c r="A1229" s="78" t="s">
        <v>453</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453</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453</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467</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453</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467</v>
      </c>
      <c r="B1251" s="236" t="s">
        <v>102</v>
      </c>
      <c r="C1251" s="24">
        <v>45824</v>
      </c>
      <c r="E1251" s="253">
        <v>4976</v>
      </c>
      <c r="F1251" s="236" t="s">
        <v>1726</v>
      </c>
      <c r="G1251" t="s">
        <v>1710</v>
      </c>
    </row>
    <row r="1252" spans="1:7">
      <c r="A1252" s="238" t="s">
        <v>453</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464</v>
      </c>
      <c r="B1256" s="237" t="s">
        <v>102</v>
      </c>
      <c r="C1256" s="24">
        <v>45825</v>
      </c>
      <c r="D1256" s="92">
        <v>1465</v>
      </c>
      <c r="F1256" s="12" t="s">
        <v>1727</v>
      </c>
      <c r="G1256" t="s">
        <v>1710</v>
      </c>
    </row>
    <row r="1257" spans="1:7">
      <c r="A1257" s="243" t="s">
        <v>467</v>
      </c>
      <c r="B1257" s="243" t="s">
        <v>102</v>
      </c>
      <c r="C1257" s="24">
        <v>45825</v>
      </c>
      <c r="E1257" s="253">
        <v>4177</v>
      </c>
      <c r="F1257" s="12" t="s">
        <v>1728</v>
      </c>
      <c r="G1257" t="s">
        <v>1710</v>
      </c>
    </row>
    <row r="1258" spans="1:7">
      <c r="A1258" s="238" t="s">
        <v>453</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464</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453</v>
      </c>
      <c r="B1265" s="236" t="s">
        <v>656</v>
      </c>
      <c r="C1265" s="24">
        <v>45826</v>
      </c>
      <c r="D1265" s="12">
        <v>729</v>
      </c>
      <c r="G1265" t="s">
        <v>1710</v>
      </c>
    </row>
    <row r="1266" spans="1:7">
      <c r="A1266" s="78" t="s">
        <v>453</v>
      </c>
      <c r="B1266" s="78" t="s">
        <v>656</v>
      </c>
      <c r="C1266" s="24">
        <v>45827</v>
      </c>
      <c r="D1266" s="12">
        <v>464</v>
      </c>
      <c r="G1266" t="s">
        <v>1710</v>
      </c>
    </row>
    <row r="1267" spans="1:7">
      <c r="A1267" s="238" t="s">
        <v>439</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453</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464</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464</v>
      </c>
      <c r="B1281" s="236" t="s">
        <v>102</v>
      </c>
      <c r="C1281" s="24">
        <v>45832</v>
      </c>
      <c r="D1281" s="92">
        <v>1141</v>
      </c>
      <c r="F1281" s="12" t="s">
        <v>1707</v>
      </c>
      <c r="G1281" t="s">
        <v>1710</v>
      </c>
    </row>
    <row r="1282" spans="1:7">
      <c r="A1282" s="238" t="s">
        <v>453</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412</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464</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464</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453</v>
      </c>
      <c r="B1295" s="249" t="s">
        <v>656</v>
      </c>
      <c r="C1295" s="24">
        <v>45834</v>
      </c>
      <c r="D1295" s="12">
        <v>112</v>
      </c>
      <c r="F1295" s="12" t="s">
        <v>1395</v>
      </c>
      <c r="G1295" t="s">
        <v>1710</v>
      </c>
    </row>
    <row r="1296" spans="1:7">
      <c r="A1296" s="236" t="s">
        <v>439</v>
      </c>
      <c r="B1296" s="78" t="s">
        <v>656</v>
      </c>
      <c r="C1296" s="24">
        <v>45834</v>
      </c>
      <c r="D1296" s="12">
        <v>676</v>
      </c>
      <c r="F1296" s="12" t="s">
        <v>1703</v>
      </c>
      <c r="G1296" t="s">
        <v>1710</v>
      </c>
    </row>
    <row r="1297" spans="1:7">
      <c r="A1297" s="238" t="s">
        <v>453</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439</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439</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464</v>
      </c>
      <c r="B1307" s="247" t="s">
        <v>102</v>
      </c>
      <c r="C1307" s="24">
        <v>45839</v>
      </c>
      <c r="E1307" s="253">
        <v>10059</v>
      </c>
      <c r="F1307" s="12" t="s">
        <v>1745</v>
      </c>
    </row>
    <row r="1308" spans="1:7">
      <c r="A1308" s="78" t="s">
        <v>439</v>
      </c>
      <c r="B1308" s="249" t="s">
        <v>656</v>
      </c>
      <c r="C1308" s="24">
        <v>45839</v>
      </c>
      <c r="D1308" s="12">
        <v>478</v>
      </c>
      <c r="G1308" t="s">
        <v>1743</v>
      </c>
    </row>
    <row r="1309" spans="1:7">
      <c r="A1309" s="238" t="s">
        <v>453</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464</v>
      </c>
      <c r="B1313" s="236" t="s">
        <v>102</v>
      </c>
      <c r="C1313" s="24">
        <v>45840</v>
      </c>
      <c r="F1313" s="236" t="s">
        <v>1248</v>
      </c>
      <c r="G1313" t="s">
        <v>1743</v>
      </c>
    </row>
    <row r="1314" spans="1:7">
      <c r="A1314" s="238" t="s">
        <v>439</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439</v>
      </c>
      <c r="B1316" s="276" t="s">
        <v>656</v>
      </c>
      <c r="C1316" s="24">
        <v>45841</v>
      </c>
      <c r="D1316" s="12">
        <v>372</v>
      </c>
      <c r="F1316" s="52" t="s">
        <v>1395</v>
      </c>
      <c r="G1316" t="s">
        <v>1743</v>
      </c>
    </row>
    <row r="1317" spans="1:7" ht="15.75">
      <c r="A1317" s="78" t="s">
        <v>439</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472</v>
      </c>
      <c r="B1321" s="236" t="s">
        <v>102</v>
      </c>
      <c r="C1321" s="24">
        <v>45845</v>
      </c>
      <c r="D1321" s="92">
        <v>1644</v>
      </c>
      <c r="E1321" s="138"/>
      <c r="G1321" t="s">
        <v>1743</v>
      </c>
    </row>
    <row r="1322" spans="1:7">
      <c r="A1322" s="238" t="s">
        <v>439</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472</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450</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443</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443</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472</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443</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472</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443</v>
      </c>
      <c r="B1378" s="250" t="s">
        <v>350</v>
      </c>
      <c r="C1378" s="24">
        <v>45862</v>
      </c>
      <c r="D1378" s="12">
        <v>880</v>
      </c>
      <c r="G1378" t="s">
        <v>1743</v>
      </c>
    </row>
    <row r="1379" spans="1:7">
      <c r="A1379" s="256" t="s">
        <v>450</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443</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472</v>
      </c>
      <c r="B1391" s="179" t="s">
        <v>574</v>
      </c>
      <c r="C1391" s="242">
        <v>45866</v>
      </c>
      <c r="D1391" s="92">
        <v>1181</v>
      </c>
      <c r="G1391" t="s">
        <v>1743</v>
      </c>
    </row>
    <row r="1392" spans="1:7">
      <c r="A1392" s="1204" t="s">
        <v>443</v>
      </c>
      <c r="B1392" s="1202" t="s">
        <v>350</v>
      </c>
      <c r="C1392" s="24">
        <v>45866</v>
      </c>
      <c r="D1392" s="12">
        <v>345</v>
      </c>
      <c r="G1392" t="s">
        <v>1743</v>
      </c>
    </row>
    <row r="1393" spans="1:7">
      <c r="A1393" s="489" t="s">
        <v>472</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472</v>
      </c>
      <c r="B1397" s="179" t="s">
        <v>574</v>
      </c>
      <c r="C1397" s="242">
        <v>45868</v>
      </c>
      <c r="D1397" s="92">
        <v>1951</v>
      </c>
      <c r="G1397" t="s">
        <v>1743</v>
      </c>
    </row>
    <row r="1398" spans="1:7">
      <c r="A1398" s="236" t="s">
        <v>472</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472</v>
      </c>
      <c r="B1404" s="179" t="s">
        <v>574</v>
      </c>
      <c r="C1404" s="242">
        <v>45869</v>
      </c>
      <c r="D1404" s="12">
        <v>725</v>
      </c>
      <c r="G1404" t="s">
        <v>1743</v>
      </c>
    </row>
    <row r="1405" spans="1:7">
      <c r="A1405" s="237" t="s">
        <v>472</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472</v>
      </c>
      <c r="B1410" s="247" t="s">
        <v>358</v>
      </c>
      <c r="C1410" s="24">
        <v>45870</v>
      </c>
      <c r="F1410" s="12" t="s">
        <v>1782</v>
      </c>
      <c r="G1410" t="s">
        <v>1780</v>
      </c>
    </row>
    <row r="1411" spans="1:7">
      <c r="A1411" s="71" t="s">
        <v>856</v>
      </c>
      <c r="B1411" s="94" t="s">
        <v>350</v>
      </c>
      <c r="C1411" s="24">
        <v>45870</v>
      </c>
      <c r="D1411" s="92">
        <v>1377</v>
      </c>
      <c r="G1411" t="s">
        <v>1780</v>
      </c>
    </row>
    <row r="1412" spans="1:7">
      <c r="A1412" s="489" t="s">
        <v>472</v>
      </c>
      <c r="B1412" s="243" t="s">
        <v>358</v>
      </c>
      <c r="C1412" s="24">
        <v>45873</v>
      </c>
      <c r="E1412" s="253">
        <v>13125</v>
      </c>
      <c r="G1412" t="s">
        <v>1780</v>
      </c>
    </row>
    <row r="1413" spans="1:7">
      <c r="A1413" s="352" t="s">
        <v>587</v>
      </c>
      <c r="B1413" s="356" t="s">
        <v>102</v>
      </c>
      <c r="C1413" s="24">
        <v>45873</v>
      </c>
      <c r="D1413" s="12">
        <v>918</v>
      </c>
      <c r="G1413" t="s">
        <v>1780</v>
      </c>
    </row>
    <row r="1414" spans="1:7">
      <c r="A1414" s="243" t="s">
        <v>475</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475</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475</v>
      </c>
      <c r="B1420" s="335" t="s">
        <v>102</v>
      </c>
      <c r="C1420" s="242">
        <v>45876</v>
      </c>
      <c r="D1420" s="12">
        <v>377</v>
      </c>
      <c r="E1420" s="253"/>
      <c r="F1420" s="12" t="s">
        <v>1784</v>
      </c>
      <c r="G1420" t="s">
        <v>1780</v>
      </c>
    </row>
    <row r="1421" spans="1:7">
      <c r="A1421" s="312" t="s">
        <v>475</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475</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450</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412</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450</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412</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450</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450</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450</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412</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450</v>
      </c>
      <c r="B1504" s="178" t="s">
        <v>1167</v>
      </c>
      <c r="C1504" s="242">
        <v>45895</v>
      </c>
      <c r="D1504" s="12">
        <v>295</v>
      </c>
      <c r="G1504" t="s">
        <v>1780</v>
      </c>
    </row>
    <row r="1505" spans="1:7">
      <c r="A1505" s="497" t="s">
        <v>443</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443</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443</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443</v>
      </c>
      <c r="B1524" s="598" t="s">
        <v>350</v>
      </c>
      <c r="C1524" s="24">
        <v>45898</v>
      </c>
      <c r="F1524" s="78" t="s">
        <v>1395</v>
      </c>
      <c r="G1524" t="s">
        <v>1780</v>
      </c>
    </row>
    <row r="1525" spans="1:7" ht="15.75">
      <c r="A1525" s="71" t="s">
        <v>450</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450</v>
      </c>
      <c r="B1531" s="178" t="s">
        <v>1167</v>
      </c>
      <c r="C1531" s="242">
        <v>45902</v>
      </c>
      <c r="D1531" s="12">
        <v>15</v>
      </c>
      <c r="F1531" s="12" t="s">
        <v>1819</v>
      </c>
      <c r="G1531" t="s">
        <v>1816</v>
      </c>
    </row>
    <row r="1532" spans="1:7">
      <c r="A1532" s="1169" t="s">
        <v>443</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450</v>
      </c>
      <c r="B1539" s="178" t="s">
        <v>1167</v>
      </c>
      <c r="C1539" s="242">
        <v>45903</v>
      </c>
      <c r="D1539" s="12">
        <v>65</v>
      </c>
      <c r="F1539" s="78" t="s">
        <v>1826</v>
      </c>
      <c r="G1539" t="s">
        <v>1816</v>
      </c>
    </row>
    <row r="1540" spans="1:7">
      <c r="A1540" s="599" t="s">
        <v>443</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450</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412</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450</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450</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443</v>
      </c>
      <c r="B1596" s="178" t="s">
        <v>1167</v>
      </c>
      <c r="C1596" s="242">
        <v>45917</v>
      </c>
      <c r="D1596" s="12">
        <v>139</v>
      </c>
      <c r="F1596" s="595"/>
      <c r="G1596" t="s">
        <v>1816</v>
      </c>
    </row>
    <row r="1597" spans="1:7" ht="15.75">
      <c r="A1597" s="40" t="s">
        <v>426</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416</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443</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416</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419</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419</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426</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426</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426</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426</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426</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419</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419</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426</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426</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489</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416</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489</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426</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489</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416</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416</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489</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416</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419</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489</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429</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372</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372</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489</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372</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372</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374</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489</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374</v>
      </c>
      <c r="B2074" s="237" t="s">
        <v>1911</v>
      </c>
      <c r="C2074" s="24">
        <v>45980</v>
      </c>
      <c r="D2074" s="92">
        <v>1835</v>
      </c>
      <c r="F2074" s="28"/>
      <c r="G2074" t="s">
        <v>1986</v>
      </c>
    </row>
    <row r="2075" spans="1:7" ht="15.75">
      <c r="A2075" s="78" t="s">
        <v>429</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489</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372</v>
      </c>
      <c r="B2084" s="12" t="s">
        <v>1911</v>
      </c>
      <c r="C2084" s="24">
        <v>45982</v>
      </c>
      <c r="E2084" s="185"/>
      <c r="F2084" s="243" t="s">
        <v>2038</v>
      </c>
      <c r="G2084" t="s">
        <v>1986</v>
      </c>
    </row>
    <row r="2085" spans="1:7">
      <c r="A2085" s="236" t="s">
        <v>374</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374</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429</v>
      </c>
      <c r="B2104" s="178" t="s">
        <v>1167</v>
      </c>
      <c r="C2104" s="242">
        <v>45985</v>
      </c>
      <c r="F2104" s="266" t="s">
        <v>2043</v>
      </c>
      <c r="G2104" t="s">
        <v>1986</v>
      </c>
    </row>
    <row r="2105" spans="1:7" ht="15.75">
      <c r="A2105" s="28" t="s">
        <v>419</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419</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419</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863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406</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863</v>
      </c>
      <c r="B2271" s="857" t="s">
        <v>1911</v>
      </c>
      <c r="C2271" s="24">
        <v>46001</v>
      </c>
      <c r="D2271" s="92">
        <v>1177</v>
      </c>
      <c r="F2271" s="12" t="s">
        <v>2114</v>
      </c>
      <c r="G2271" t="s">
        <v>2066</v>
      </c>
    </row>
    <row r="2272" spans="1:7">
      <c r="A2272" s="608" t="s">
        <v>360</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406</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360</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366</v>
      </c>
      <c r="B2297" s="178" t="s">
        <v>1167</v>
      </c>
      <c r="C2297" s="242">
        <v>46003</v>
      </c>
      <c r="D2297" s="92">
        <v>1832</v>
      </c>
      <c r="F2297" s="12" t="s">
        <v>2128</v>
      </c>
      <c r="G2297" t="s">
        <v>2066</v>
      </c>
    </row>
    <row r="2298" spans="1:7">
      <c r="A2298" s="857" t="s">
        <v>400</v>
      </c>
      <c r="B2298" s="857" t="s">
        <v>102</v>
      </c>
      <c r="C2298" s="24">
        <v>46003</v>
      </c>
      <c r="F2298" s="266" t="s">
        <v>2129</v>
      </c>
      <c r="G2298" t="s">
        <v>2066</v>
      </c>
    </row>
    <row r="2299" spans="1:7">
      <c r="A2299" s="868" t="s">
        <v>406</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376</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366</v>
      </c>
      <c r="B2322" s="178" t="s">
        <v>1167</v>
      </c>
      <c r="C2322" s="242">
        <v>46007</v>
      </c>
      <c r="D2322" s="92">
        <v>1164</v>
      </c>
      <c r="G2322" t="s">
        <v>2066</v>
      </c>
    </row>
    <row r="2323" spans="1:7">
      <c r="A2323" s="455" t="s">
        <v>376</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366</v>
      </c>
      <c r="B2337" s="178" t="s">
        <v>1167</v>
      </c>
      <c r="C2337" s="242">
        <v>46008</v>
      </c>
      <c r="D2337" s="12">
        <v>308</v>
      </c>
      <c r="F2337" s="12" t="s">
        <v>2153</v>
      </c>
      <c r="G2337" t="s">
        <v>2066</v>
      </c>
    </row>
    <row r="2338" spans="1:7">
      <c r="A2338" s="455" t="s">
        <v>376</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366</v>
      </c>
      <c r="B2358" s="178" t="s">
        <v>1167</v>
      </c>
      <c r="C2358" s="242">
        <v>46009</v>
      </c>
      <c r="D2358" s="12">
        <v>892</v>
      </c>
      <c r="F2358" s="12" t="s">
        <v>2157</v>
      </c>
      <c r="G2358" t="s">
        <v>2066</v>
      </c>
    </row>
    <row r="2359" spans="1:7">
      <c r="A2359" s="237" t="s">
        <v>376</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366</v>
      </c>
      <c r="B2378" s="1191" t="s">
        <v>1167</v>
      </c>
      <c r="C2378" s="242">
        <v>46010</v>
      </c>
      <c r="D2378" s="12">
        <v>366</v>
      </c>
      <c r="F2378" s="12" t="s">
        <v>2165</v>
      </c>
      <c r="G2378" t="s">
        <v>2066</v>
      </c>
    </row>
    <row r="2379" spans="1:7">
      <c r="A2379" s="455" t="s">
        <v>376</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403</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366</v>
      </c>
      <c r="B2393" s="178" t="s">
        <v>1167</v>
      </c>
      <c r="C2393" s="242">
        <v>46013</v>
      </c>
      <c r="D2393" s="12">
        <v>154</v>
      </c>
      <c r="G2393" t="s">
        <v>2066</v>
      </c>
    </row>
    <row r="2394" spans="1:7">
      <c r="A2394" s="857" t="s">
        <v>1062</v>
      </c>
      <c r="B2394" s="857" t="s">
        <v>102</v>
      </c>
      <c r="C2394" s="24">
        <v>46013</v>
      </c>
      <c r="D2394" s="12">
        <v>551</v>
      </c>
      <c r="G2394" t="s">
        <v>2066</v>
      </c>
    </row>
    <row r="2395" spans="1:7">
      <c r="A2395" s="857" t="s">
        <v>403</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406</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397</v>
      </c>
      <c r="B2426" s="868" t="s">
        <v>102</v>
      </c>
      <c r="C2426" s="24">
        <v>46021</v>
      </c>
      <c r="D2426" s="12">
        <v>0</v>
      </c>
      <c r="F2426" s="243" t="s">
        <v>2177</v>
      </c>
      <c r="G2426" t="s">
        <v>2066</v>
      </c>
    </row>
    <row r="2427" spans="1:7" ht="15.75">
      <c r="A2427" s="78" t="s">
        <v>366</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406</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429</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403</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429</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403</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363</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422</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363</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429</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363</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363</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363</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422</v>
      </c>
      <c r="B2521" s="178" t="s">
        <v>1167</v>
      </c>
      <c r="C2521" s="242">
        <v>46038</v>
      </c>
      <c r="D2521" s="40">
        <v>107</v>
      </c>
      <c r="F2521" s="1070"/>
      <c r="G2521" t="s">
        <v>2178</v>
      </c>
    </row>
    <row r="2522" spans="1:7">
      <c r="A2522" s="1169" t="s">
        <v>363</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422</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392</v>
      </c>
      <c r="B2534" s="658" t="s">
        <v>102</v>
      </c>
      <c r="C2534" s="24">
        <v>46042</v>
      </c>
      <c r="D2534" s="92">
        <v>2209</v>
      </c>
      <c r="E2534" s="12"/>
      <c r="F2534" s="1067" t="s">
        <v>1843</v>
      </c>
      <c r="G2534" t="s">
        <v>2178</v>
      </c>
    </row>
    <row r="2535" spans="1:7" ht="15.75">
      <c r="A2535" s="78" t="s">
        <v>422</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422</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403</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369</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369</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422</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386</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369</v>
      </c>
      <c r="B2640" s="1050" t="s">
        <v>138</v>
      </c>
      <c r="C2640" s="24">
        <v>46056</v>
      </c>
      <c r="D2640" s="92">
        <v>1646</v>
      </c>
      <c r="E2640" s="12"/>
      <c r="F2640" s="12" t="s">
        <v>2253</v>
      </c>
      <c r="G2640" t="s">
        <v>1163</v>
      </c>
    </row>
    <row r="2641" spans="1:7">
      <c r="A2641" s="266" t="s">
        <v>386</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382</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422</v>
      </c>
      <c r="B2647" s="178" t="s">
        <v>1167</v>
      </c>
      <c r="C2647" s="242">
        <v>46058</v>
      </c>
      <c r="F2647" s="252" t="s">
        <v>2258</v>
      </c>
      <c r="G2647" t="s">
        <v>1163</v>
      </c>
    </row>
    <row r="2648" spans="1:7">
      <c r="A2648" s="598" t="s">
        <v>386</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382</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386</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369</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386</v>
      </c>
      <c r="B2660" s="243" t="s">
        <v>102</v>
      </c>
      <c r="C2660" s="24">
        <v>46062</v>
      </c>
      <c r="E2660" s="253">
        <v>1049</v>
      </c>
      <c r="F2660" s="12" t="s">
        <v>2265</v>
      </c>
      <c r="G2660" t="s">
        <v>1163</v>
      </c>
    </row>
    <row r="2661" spans="1:7">
      <c r="A2661" s="247" t="s">
        <v>382</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416</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382</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416</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382</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382</v>
      </c>
      <c r="B2680" s="247" t="s">
        <v>997</v>
      </c>
      <c r="C2680" s="24">
        <v>46065</v>
      </c>
      <c r="D2680" s="12">
        <v>397</v>
      </c>
      <c r="F2680" s="12" t="s">
        <v>2271</v>
      </c>
      <c r="G2680" t="s">
        <v>1163</v>
      </c>
    </row>
    <row r="2681" spans="1:7">
      <c r="A2681" s="247" t="s">
        <v>386</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386</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382</v>
      </c>
      <c r="B2688" s="610" t="s">
        <v>997</v>
      </c>
      <c r="C2688" s="24">
        <v>46069</v>
      </c>
      <c r="D2688" s="92">
        <v>669</v>
      </c>
      <c r="G2688" t="s">
        <v>1163</v>
      </c>
    </row>
    <row r="2689" spans="1:7">
      <c r="A2689" s="751" t="s">
        <v>379</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416</v>
      </c>
      <c r="B2692" s="247" t="s">
        <v>1167</v>
      </c>
      <c r="C2692" s="24">
        <v>46070</v>
      </c>
      <c r="D2692" s="12">
        <v>214</v>
      </c>
      <c r="G2692" t="s">
        <v>1163</v>
      </c>
    </row>
    <row r="2693" spans="1:7">
      <c r="A2693" s="243" t="s">
        <v>382</v>
      </c>
      <c r="B2693" s="243" t="s">
        <v>997</v>
      </c>
      <c r="C2693" s="24">
        <v>46070</v>
      </c>
      <c r="D2693" s="12">
        <v>467</v>
      </c>
      <c r="G2693" t="s">
        <v>1163</v>
      </c>
    </row>
    <row r="2694" spans="1:7">
      <c r="A2694" s="247" t="s">
        <v>379</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382</v>
      </c>
      <c r="B2700" s="243" t="s">
        <v>997</v>
      </c>
      <c r="C2700" s="24">
        <v>46071</v>
      </c>
      <c r="D2700" s="12">
        <v>1133</v>
      </c>
      <c r="F2700" s="12" t="s">
        <v>2278</v>
      </c>
      <c r="G2700" t="s">
        <v>1163</v>
      </c>
    </row>
    <row r="2701" spans="1:7">
      <c r="A2701" s="247" t="s">
        <v>379</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382</v>
      </c>
      <c r="B2706" s="243" t="s">
        <v>997</v>
      </c>
      <c r="C2706" s="24">
        <v>46072</v>
      </c>
      <c r="D2706" s="12">
        <v>448</v>
      </c>
      <c r="G2706" t="s">
        <v>1163</v>
      </c>
    </row>
    <row r="2707" spans="1:7">
      <c r="A2707" s="247" t="s">
        <v>379</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379</v>
      </c>
      <c r="B2718" s="247" t="s">
        <v>102</v>
      </c>
      <c r="C2718" s="24">
        <v>46076</v>
      </c>
      <c r="F2718" s="12" t="s">
        <v>1648</v>
      </c>
      <c r="G2718" t="s">
        <v>1163</v>
      </c>
    </row>
    <row r="2719" spans="1:7">
      <c r="A2719" s="243" t="s">
        <v>382</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382</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D2734" s="92">
        <v>1033</v>
      </c>
      <c r="F2734" s="12" t="s">
        <v>1708</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46D88E6-6824-49AD-A2D5-87BEDFFA3E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2026-02-26T20:50:16Z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