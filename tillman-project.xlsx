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2" documentId="8_{E14B221E-02E2-46A3-8CEC-C736815F2DD5}" xr6:coauthVersionLast="47" xr6:coauthVersionMax="47" xr10:uidLastSave="{FB2620A9-13A9-43C2-95D2-E63DDDAE0E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4004" r:id="rId12"/>
    <pivotCache cacheId="14005" r:id="rId13"/>
    <pivotCache cacheId="14006" r:id="rId14"/>
    <pivotCache cacheId="14007" r:id="rId15"/>
    <pivotCache cacheId="140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<sst xmlns="http://schemas.openxmlformats.org/spreadsheetml/2006/main" count="17291" uniqueCount="2219">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</sst>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2">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79">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9">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2">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0"/>
      <c r="S39" s="1378"/>
      <c r="T39" s="1225"/>
      <c r="U39" s="1271"/>
      <c r="V39" s="31">
        <v>4022</v>
      </c>
      <c r="W39" s="1297">
        <v>4019</v>
      </c>
      <c r="X39" s="1435">
        <f>SUM(V39-W39)</f>
        <v>3</v>
      </c>
      <c r="Y39" s="1364">
        <f>IFERROR($W39/$V39, 0)</f>
        <v>0.99925410243659873</v>
      </c>
      <c r="Z39" s="1481">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2161</v>
      </c>
      <c r="C1" s="1485"/>
      <c r="D1" s="554"/>
      <c r="E1" s="1485" t="s">
        <v>2162</v>
      </c>
      <c r="F1" s="1485"/>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2188</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2E1879-6B10-42DB-A375-24FEEDE25C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2026-01-27T12:10:08Z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