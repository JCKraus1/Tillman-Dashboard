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54" documentId="8_{E14B221E-02E2-46A3-8CEC-C736815F2DD5}" xr6:coauthVersionLast="47" xr6:coauthVersionMax="47" xr10:uidLastSave="{6B60F8F5-0012-45DA-BBAD-91A52FE00FA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2266" r:id="rId12"/>
    <pivotCache cacheId="12267" r:id="rId13"/>
    <pivotCache cacheId="12268" r:id="rId14"/>
    <pivotCache cacheId="12269" r:id="rId15"/>
    <pivotCache cacheId="12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5" i="2" l="1"/>
  <c r="X75" i="2"/>
  <c r="Y75" i="2"/>
  <c r="U88" i="30"/>
  <c r="Y10" i="31"/>
  <c r="X10" i="31"/>
  <c r="Y24" i="31"/>
  <c r="X24" i="31"/>
  <c r="Y21" i="31"/>
  <c r="X21"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<sst xmlns="http://schemas.openxmlformats.org/spreadsheetml/2006/main" count="13724" uniqueCount="1670">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</sst>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24" xfId="0" applyNumberFormat="1" applyFont="1" applyFill="1" applyBorder="1" applyAlignment="1">
      <alignment horizontal="center"/>
    </xf>
    <xf numFmtId="14" fontId="0" fillId="0" borderId="9" xfId="0" applyNumberFormat="1" applyFont="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14" fontId="0" fillId="4" borderId="62" xfId="0" applyNumberFormat="1"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abSelected="1" topLeftCell="A4" zoomScale="80" zoomScaleNormal="80" workbookViewId="0">
      <pane xSplit="1" topLeftCell="AC49" activePane="topRight" state="frozen"/>
      <selection pane="topRight" activeCell="AD61" sqref="AD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152"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51">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708" t="s">
        <v>112</v>
      </c>
      <c r="C65" s="490">
        <v>46004</v>
      </c>
      <c r="D65" s="481"/>
      <c r="E65" s="481"/>
      <c r="F65" s="479"/>
      <c r="G65" s="482"/>
      <c r="H65" s="483">
        <v>0</v>
      </c>
      <c r="I65" s="687" t="s">
        <v>55</v>
      </c>
      <c r="J65" s="483" t="s">
        <v>114</v>
      </c>
      <c r="K65" s="483" t="s">
        <v>115</v>
      </c>
      <c r="L65" s="481"/>
      <c r="M65" s="483" t="s">
        <v>57</v>
      </c>
      <c r="N65" s="1147">
        <v>4773.8</v>
      </c>
      <c r="O65" s="483" t="s">
        <v>57</v>
      </c>
      <c r="P65" s="1148" t="s">
        <v>58</v>
      </c>
      <c r="Q65" s="1149"/>
      <c r="R65" s="1149"/>
      <c r="S65" s="1149"/>
      <c r="T65" s="1149"/>
      <c r="U65" s="1149"/>
      <c r="V65" s="430">
        <v>103</v>
      </c>
      <c r="W65" s="430"/>
      <c r="X65" s="1150">
        <f>SUM(V65-W65)</f>
        <v>103</v>
      </c>
      <c r="Y65" s="688"/>
      <c r="Z65" s="204"/>
      <c r="AA65" s="366">
        <v>0</v>
      </c>
      <c r="AB65" s="366">
        <v>0</v>
      </c>
      <c r="AC65" s="486">
        <v>0</v>
      </c>
      <c r="AD65" s="488" t="s">
        <v>195</v>
      </c>
      <c r="AE65" s="172"/>
      <c r="AF65" s="400"/>
    </row>
    <row r="66" spans="1:56" ht="24.75" customHeight="1">
      <c r="A66" s="943"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3"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6"/>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2" t="s">
        <v>202</v>
      </c>
      <c r="B70" s="883" t="s">
        <v>20</v>
      </c>
      <c r="C70" s="883" t="s">
        <v>21</v>
      </c>
      <c r="D70" s="883" t="s">
        <v>22</v>
      </c>
      <c r="E70" s="883" t="s">
        <v>23</v>
      </c>
      <c r="F70" s="883" t="s">
        <v>24</v>
      </c>
      <c r="G70" s="883" t="s">
        <v>25</v>
      </c>
      <c r="H70" s="883" t="s">
        <v>26</v>
      </c>
      <c r="I70" s="883" t="s">
        <v>27</v>
      </c>
      <c r="J70" s="883" t="s">
        <v>28</v>
      </c>
      <c r="K70" s="883" t="s">
        <v>29</v>
      </c>
      <c r="L70" s="883" t="s">
        <v>30</v>
      </c>
      <c r="M70" s="883" t="s">
        <v>31</v>
      </c>
      <c r="N70" s="884" t="s">
        <v>32</v>
      </c>
      <c r="O70" s="883" t="s">
        <v>33</v>
      </c>
      <c r="P70" s="885"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6" t="s">
        <v>48</v>
      </c>
      <c r="AE70" s="172"/>
      <c r="AF70" s="400"/>
    </row>
    <row r="71" spans="1:56" ht="24.75" customHeight="1">
      <c r="A71" s="943" t="s">
        <v>203</v>
      </c>
      <c r="B71" s="897"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3" t="s">
        <v>206</v>
      </c>
      <c r="B72" s="897"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4" t="s">
        <v>208</v>
      </c>
      <c r="B73" s="897" t="s">
        <v>204</v>
      </c>
      <c r="C73" s="481">
        <v>45991</v>
      </c>
      <c r="D73" s="489"/>
      <c r="E73" s="490">
        <v>45716</v>
      </c>
      <c r="F73" s="489" t="s">
        <v>209</v>
      </c>
      <c r="G73" s="888" t="s">
        <v>210</v>
      </c>
      <c r="H73" s="492">
        <v>0</v>
      </c>
      <c r="I73" s="893"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3" t="s">
        <v>213</v>
      </c>
      <c r="B74" s="897"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3" t="s">
        <v>215</v>
      </c>
      <c r="B75" s="897"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3" t="s">
        <v>217</v>
      </c>
      <c r="B76" s="897"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3" t="s">
        <v>218</v>
      </c>
      <c r="B77" s="897"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3" t="s">
        <v>220</v>
      </c>
      <c r="B78" s="897" t="s">
        <v>204</v>
      </c>
      <c r="C78" s="481">
        <v>45960</v>
      </c>
      <c r="D78" s="490" t="s">
        <v>221</v>
      </c>
      <c r="E78" s="490">
        <v>45950</v>
      </c>
      <c r="F78" s="489" t="s">
        <v>209</v>
      </c>
      <c r="G78" s="892"/>
      <c r="H78" s="898">
        <v>82</v>
      </c>
      <c r="I78" s="893" t="s">
        <v>55</v>
      </c>
      <c r="J78" s="898" t="s">
        <v>63</v>
      </c>
      <c r="K78" s="504"/>
      <c r="L78" s="490">
        <v>45902</v>
      </c>
      <c r="M78" s="893" t="s">
        <v>57</v>
      </c>
      <c r="N78" s="899">
        <v>87830</v>
      </c>
      <c r="O78" s="893" t="s">
        <v>57</v>
      </c>
      <c r="P78" s="817" t="s">
        <v>74</v>
      </c>
      <c r="Q78" s="493">
        <v>45898</v>
      </c>
      <c r="R78" s="493"/>
      <c r="S78" s="493"/>
      <c r="T78" s="493"/>
      <c r="U78" s="493"/>
      <c r="V78" s="1112">
        <v>7022</v>
      </c>
      <c r="W78" s="822">
        <v>3602</v>
      </c>
      <c r="X78" s="486">
        <f>SUM(V78-W78)</f>
        <v>3420</v>
      </c>
      <c r="Y78" s="688">
        <f t="shared" si="2"/>
        <v>0.51295927086300197</v>
      </c>
      <c r="Z78" s="363"/>
      <c r="AA78" s="366">
        <v>0</v>
      </c>
      <c r="AB78" s="366">
        <v>0</v>
      </c>
      <c r="AC78" s="41">
        <v>0</v>
      </c>
      <c r="AD78" s="787" t="s">
        <v>222</v>
      </c>
    </row>
    <row r="79" spans="1:56" ht="24.75" customHeight="1">
      <c r="A79" s="943" t="s">
        <v>223</v>
      </c>
      <c r="B79" s="897" t="s">
        <v>204</v>
      </c>
      <c r="C79" s="481">
        <v>45989</v>
      </c>
      <c r="D79" s="490" t="s">
        <v>224</v>
      </c>
      <c r="E79" s="490">
        <v>45959</v>
      </c>
      <c r="F79" s="489" t="s">
        <v>225</v>
      </c>
      <c r="G79" s="892"/>
      <c r="H79" s="898">
        <v>69</v>
      </c>
      <c r="I79" s="483" t="s">
        <v>55</v>
      </c>
      <c r="J79" s="483" t="s">
        <v>63</v>
      </c>
      <c r="K79" s="483"/>
      <c r="L79" s="490">
        <v>45925</v>
      </c>
      <c r="M79" s="893" t="s">
        <v>57</v>
      </c>
      <c r="N79" s="899">
        <v>51632</v>
      </c>
      <c r="O79" s="893" t="s">
        <v>57</v>
      </c>
      <c r="P79" s="817" t="s">
        <v>74</v>
      </c>
      <c r="Q79" s="493">
        <v>45932</v>
      </c>
      <c r="R79" s="493"/>
      <c r="S79" s="493"/>
      <c r="T79" s="493"/>
      <c r="U79" s="493"/>
      <c r="V79" s="1112">
        <v>3997</v>
      </c>
      <c r="W79" s="1131">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227</v>
      </c>
      <c r="B80" s="897" t="s">
        <v>204</v>
      </c>
      <c r="C80" s="481">
        <v>45989</v>
      </c>
      <c r="D80" s="490" t="s">
        <v>221</v>
      </c>
      <c r="E80" s="490">
        <v>45964</v>
      </c>
      <c r="F80" s="489" t="s">
        <v>209</v>
      </c>
      <c r="G80" s="892"/>
      <c r="H80" s="898">
        <v>74</v>
      </c>
      <c r="I80" s="483" t="s">
        <v>55</v>
      </c>
      <c r="J80" s="483" t="s">
        <v>63</v>
      </c>
      <c r="K80" s="483"/>
      <c r="L80" s="490"/>
      <c r="M80" s="893" t="s">
        <v>57</v>
      </c>
      <c r="N80" s="899">
        <v>47064</v>
      </c>
      <c r="O80" s="893" t="s">
        <v>57</v>
      </c>
      <c r="P80" s="817" t="s">
        <v>64</v>
      </c>
      <c r="Q80" s="493">
        <v>45932</v>
      </c>
      <c r="R80" s="493"/>
      <c r="S80" s="493"/>
      <c r="T80" s="493"/>
      <c r="U80" s="493"/>
      <c r="V80" s="1112">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228</v>
      </c>
      <c r="B81" s="897" t="s">
        <v>204</v>
      </c>
      <c r="C81" s="481">
        <v>45989</v>
      </c>
      <c r="D81" s="490" t="s">
        <v>229</v>
      </c>
      <c r="E81" s="490">
        <v>45964</v>
      </c>
      <c r="F81" s="489" t="s">
        <v>230</v>
      </c>
      <c r="G81" s="892"/>
      <c r="H81" s="898">
        <v>81</v>
      </c>
      <c r="I81" s="483" t="s">
        <v>55</v>
      </c>
      <c r="J81" s="483" t="s">
        <v>63</v>
      </c>
      <c r="K81" s="483"/>
      <c r="L81" s="490"/>
      <c r="M81" s="893" t="s">
        <v>57</v>
      </c>
      <c r="N81" s="899">
        <v>68962</v>
      </c>
      <c r="O81" s="893" t="s">
        <v>57</v>
      </c>
      <c r="P81" s="817" t="s">
        <v>64</v>
      </c>
      <c r="Q81" s="493">
        <v>45932</v>
      </c>
      <c r="R81" s="493"/>
      <c r="S81" s="493"/>
      <c r="T81" s="493"/>
      <c r="U81" s="493"/>
      <c r="V81" s="1112">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231</v>
      </c>
      <c r="B82" s="897" t="s">
        <v>204</v>
      </c>
      <c r="C82" s="481">
        <v>45960</v>
      </c>
      <c r="D82" s="490" t="s">
        <v>229</v>
      </c>
      <c r="E82" s="490">
        <v>45950</v>
      </c>
      <c r="F82" s="489" t="s">
        <v>230</v>
      </c>
      <c r="G82" s="892"/>
      <c r="H82" s="898">
        <v>80</v>
      </c>
      <c r="I82" s="893" t="s">
        <v>55</v>
      </c>
      <c r="J82" s="898" t="s">
        <v>63</v>
      </c>
      <c r="K82" s="893"/>
      <c r="L82" s="490">
        <v>45905</v>
      </c>
      <c r="M82" s="893" t="s">
        <v>57</v>
      </c>
      <c r="N82" s="899">
        <v>66674.3</v>
      </c>
      <c r="O82" s="893" t="s">
        <v>57</v>
      </c>
      <c r="P82" s="817" t="s">
        <v>74</v>
      </c>
      <c r="Q82" s="493">
        <v>45922</v>
      </c>
      <c r="R82" s="493"/>
      <c r="S82" s="493"/>
      <c r="T82" s="493"/>
      <c r="U82" s="493"/>
      <c r="V82" s="1112">
        <v>5285</v>
      </c>
      <c r="W82" s="1131">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5" t="s">
        <v>233</v>
      </c>
      <c r="B83" s="897" t="s">
        <v>204</v>
      </c>
      <c r="C83" s="481">
        <v>45989</v>
      </c>
      <c r="D83" s="490"/>
      <c r="E83" s="490"/>
      <c r="F83" s="489"/>
      <c r="G83" s="892"/>
      <c r="H83" s="898">
        <v>48</v>
      </c>
      <c r="I83" s="483" t="s">
        <v>55</v>
      </c>
      <c r="J83" s="483" t="s">
        <v>63</v>
      </c>
      <c r="K83" s="483"/>
      <c r="L83" s="490"/>
      <c r="M83" s="893" t="s">
        <v>57</v>
      </c>
      <c r="N83" s="899">
        <v>39064</v>
      </c>
      <c r="O83" s="893" t="s">
        <v>57</v>
      </c>
      <c r="P83" s="817" t="s">
        <v>64</v>
      </c>
      <c r="Q83" s="493">
        <v>45932</v>
      </c>
      <c r="R83" s="493"/>
      <c r="S83" s="493"/>
      <c r="T83" s="493"/>
      <c r="U83" s="493"/>
      <c r="V83" s="1112">
        <v>2982</v>
      </c>
      <c r="W83" s="430"/>
      <c r="X83" s="486">
        <f>SUM(V83-W83)</f>
        <v>2982</v>
      </c>
      <c r="Y83" s="688">
        <f t="shared" si="2"/>
        <v>0</v>
      </c>
      <c r="Z83" s="363"/>
      <c r="AA83" s="366">
        <v>0</v>
      </c>
      <c r="AB83" s="366">
        <v>0</v>
      </c>
      <c r="AC83" s="668">
        <v>0</v>
      </c>
      <c r="AD83" s="488" t="s">
        <v>234</v>
      </c>
      <c r="AE83" s="101"/>
    </row>
    <row r="84" spans="1:56" ht="24.75" customHeight="1">
      <c r="A84" s="944" t="s">
        <v>235</v>
      </c>
      <c r="B84" s="897" t="s">
        <v>204</v>
      </c>
      <c r="C84" s="481">
        <v>46172</v>
      </c>
      <c r="D84" s="490"/>
      <c r="E84" s="490"/>
      <c r="F84" s="489"/>
      <c r="G84" s="1034"/>
      <c r="H84" s="492">
        <v>52</v>
      </c>
      <c r="I84" s="893" t="s">
        <v>55</v>
      </c>
      <c r="J84" s="898" t="s">
        <v>63</v>
      </c>
      <c r="K84" s="483" t="s">
        <v>236</v>
      </c>
      <c r="L84" s="490"/>
      <c r="M84" s="893" t="s">
        <v>57</v>
      </c>
      <c r="N84" s="561">
        <v>61830</v>
      </c>
      <c r="O84" s="893"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4" t="s">
        <v>238</v>
      </c>
      <c r="B85" s="897" t="s">
        <v>204</v>
      </c>
      <c r="C85" s="481">
        <v>46172</v>
      </c>
      <c r="D85" s="490"/>
      <c r="E85" s="490"/>
      <c r="F85" s="489"/>
      <c r="G85" s="1034"/>
      <c r="H85" s="492">
        <v>56</v>
      </c>
      <c r="I85" s="893" t="s">
        <v>55</v>
      </c>
      <c r="J85" s="898" t="s">
        <v>63</v>
      </c>
      <c r="K85" s="483" t="s">
        <v>236</v>
      </c>
      <c r="L85" s="490"/>
      <c r="M85" s="893" t="s">
        <v>57</v>
      </c>
      <c r="N85" s="561">
        <v>75665</v>
      </c>
      <c r="O85" s="893"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4" t="s">
        <v>240</v>
      </c>
      <c r="B86" s="897" t="s">
        <v>204</v>
      </c>
      <c r="C86" s="481">
        <v>46172</v>
      </c>
      <c r="D86" s="490"/>
      <c r="E86" s="490"/>
      <c r="F86" s="489"/>
      <c r="G86" s="892"/>
      <c r="H86" s="898">
        <v>70</v>
      </c>
      <c r="I86" s="893" t="s">
        <v>55</v>
      </c>
      <c r="J86" s="898" t="s">
        <v>63</v>
      </c>
      <c r="K86" s="483" t="s">
        <v>236</v>
      </c>
      <c r="L86" s="490"/>
      <c r="M86" s="893" t="s">
        <v>57</v>
      </c>
      <c r="N86" s="899">
        <v>80624</v>
      </c>
      <c r="O86" s="893" t="s">
        <v>57</v>
      </c>
      <c r="P86" s="817" t="s">
        <v>58</v>
      </c>
      <c r="Q86" s="493"/>
      <c r="R86" s="493"/>
      <c r="S86" s="493"/>
      <c r="T86" s="493"/>
      <c r="U86" s="493"/>
      <c r="V86" s="1112">
        <v>6762</v>
      </c>
      <c r="W86" s="430"/>
      <c r="X86" s="486">
        <f>SUM(V86-W86)</f>
        <v>6762</v>
      </c>
      <c r="Y86" s="688">
        <f t="shared" si="2"/>
        <v>0</v>
      </c>
      <c r="Z86" s="363"/>
      <c r="AA86" s="366">
        <v>0</v>
      </c>
      <c r="AB86" s="366">
        <v>0</v>
      </c>
      <c r="AC86" s="668">
        <v>0</v>
      </c>
      <c r="AD86" s="488" t="s">
        <v>241</v>
      </c>
      <c r="AE86" s="101"/>
    </row>
    <row r="87" spans="1:56" ht="24.75" customHeight="1">
      <c r="A87" s="944" t="s">
        <v>242</v>
      </c>
      <c r="B87" s="897" t="s">
        <v>204</v>
      </c>
      <c r="C87" s="481">
        <v>46172</v>
      </c>
      <c r="D87" s="490"/>
      <c r="E87" s="490"/>
      <c r="F87" s="489"/>
      <c r="G87" s="1034"/>
      <c r="H87" s="492">
        <v>30</v>
      </c>
      <c r="I87" s="893" t="s">
        <v>55</v>
      </c>
      <c r="J87" s="898" t="s">
        <v>63</v>
      </c>
      <c r="K87" s="483" t="s">
        <v>236</v>
      </c>
      <c r="L87" s="490"/>
      <c r="M87" s="893" t="s">
        <v>57</v>
      </c>
      <c r="N87" s="561">
        <v>45160</v>
      </c>
      <c r="O87" s="893"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4" t="s">
        <v>244</v>
      </c>
      <c r="B88" s="897" t="s">
        <v>204</v>
      </c>
      <c r="C88" s="481">
        <v>46172</v>
      </c>
      <c r="D88" s="490"/>
      <c r="E88" s="490"/>
      <c r="F88" s="489"/>
      <c r="G88" s="892"/>
      <c r="H88" s="898">
        <v>48</v>
      </c>
      <c r="I88" s="893" t="s">
        <v>55</v>
      </c>
      <c r="J88" s="898" t="s">
        <v>63</v>
      </c>
      <c r="K88" s="483" t="s">
        <v>236</v>
      </c>
      <c r="L88" s="490"/>
      <c r="M88" s="893" t="s">
        <v>57</v>
      </c>
      <c r="N88" s="899">
        <v>54814</v>
      </c>
      <c r="O88" s="893" t="s">
        <v>57</v>
      </c>
      <c r="P88" s="817" t="s">
        <v>58</v>
      </c>
      <c r="Q88" s="493"/>
      <c r="R88" s="493"/>
      <c r="S88" s="493"/>
      <c r="T88" s="493"/>
      <c r="U88" s="493"/>
      <c r="V88" s="1112">
        <v>4515</v>
      </c>
      <c r="W88" s="430"/>
      <c r="X88" s="486">
        <f>SUM(V88-W88)</f>
        <v>4515</v>
      </c>
      <c r="Y88" s="688">
        <f t="shared" si="2"/>
        <v>0</v>
      </c>
      <c r="Z88" s="363"/>
      <c r="AA88" s="366">
        <v>0</v>
      </c>
      <c r="AB88" s="366">
        <v>0</v>
      </c>
      <c r="AC88" s="668">
        <v>0</v>
      </c>
      <c r="AD88" s="488" t="s">
        <v>245</v>
      </c>
      <c r="AE88" s="101"/>
    </row>
    <row r="89" spans="1:56" ht="24.75" customHeight="1">
      <c r="A89" s="944" t="s">
        <v>246</v>
      </c>
      <c r="B89" s="897" t="s">
        <v>204</v>
      </c>
      <c r="C89" s="481">
        <v>46172</v>
      </c>
      <c r="D89" s="490"/>
      <c r="E89" s="490"/>
      <c r="F89" s="489"/>
      <c r="G89" s="892"/>
      <c r="H89" s="898">
        <v>60</v>
      </c>
      <c r="I89" s="893" t="s">
        <v>55</v>
      </c>
      <c r="J89" s="898" t="s">
        <v>63</v>
      </c>
      <c r="K89" s="483" t="s">
        <v>236</v>
      </c>
      <c r="L89" s="490"/>
      <c r="M89" s="893" t="s">
        <v>57</v>
      </c>
      <c r="N89" s="899">
        <v>76865.5</v>
      </c>
      <c r="O89" s="893" t="s">
        <v>57</v>
      </c>
      <c r="P89" s="817" t="s">
        <v>58</v>
      </c>
      <c r="Q89" s="493"/>
      <c r="R89" s="493"/>
      <c r="S89" s="493"/>
      <c r="T89" s="493"/>
      <c r="U89" s="493"/>
      <c r="V89" s="1112">
        <v>5795</v>
      </c>
      <c r="W89" s="430"/>
      <c r="X89" s="486">
        <f>SUM(V89-W89)</f>
        <v>5795</v>
      </c>
      <c r="Y89" s="688">
        <f t="shared" si="2"/>
        <v>0</v>
      </c>
      <c r="Z89" s="363"/>
      <c r="AA89" s="366">
        <v>0</v>
      </c>
      <c r="AB89" s="366">
        <v>0</v>
      </c>
      <c r="AC89" s="668">
        <v>0</v>
      </c>
      <c r="AD89" s="488" t="s">
        <v>245</v>
      </c>
      <c r="AE89" s="101"/>
    </row>
    <row r="90" spans="1:56" ht="24.75" customHeight="1">
      <c r="A90" s="944" t="s">
        <v>247</v>
      </c>
      <c r="B90" s="897" t="s">
        <v>204</v>
      </c>
      <c r="C90" s="481">
        <v>46172</v>
      </c>
      <c r="D90" s="490"/>
      <c r="E90" s="490"/>
      <c r="F90" s="489"/>
      <c r="G90" s="892"/>
      <c r="H90" s="898">
        <v>72</v>
      </c>
      <c r="I90" s="893" t="s">
        <v>55</v>
      </c>
      <c r="J90" s="898" t="s">
        <v>63</v>
      </c>
      <c r="K90" s="483" t="s">
        <v>236</v>
      </c>
      <c r="L90" s="490"/>
      <c r="M90" s="893" t="s">
        <v>57</v>
      </c>
      <c r="N90" s="899">
        <v>85035</v>
      </c>
      <c r="O90" s="893" t="s">
        <v>57</v>
      </c>
      <c r="P90" s="817" t="s">
        <v>58</v>
      </c>
      <c r="Q90" s="493"/>
      <c r="R90" s="493"/>
      <c r="S90" s="493"/>
      <c r="T90" s="493"/>
      <c r="U90" s="493"/>
      <c r="V90" s="1112">
        <v>7140</v>
      </c>
      <c r="W90" s="430"/>
      <c r="X90" s="486">
        <f>SUM(V90-W90)</f>
        <v>7140</v>
      </c>
      <c r="Y90" s="688">
        <f t="shared" si="2"/>
        <v>0</v>
      </c>
      <c r="Z90" s="363"/>
      <c r="AA90" s="366">
        <v>0</v>
      </c>
      <c r="AB90" s="366">
        <v>0</v>
      </c>
      <c r="AC90" s="668">
        <v>0</v>
      </c>
      <c r="AD90" s="488" t="s">
        <v>245</v>
      </c>
      <c r="AE90" s="101"/>
    </row>
    <row r="91" spans="1:56" ht="24.75" customHeight="1">
      <c r="A91" s="944" t="s">
        <v>248</v>
      </c>
      <c r="B91" s="897" t="s">
        <v>204</v>
      </c>
      <c r="C91" s="481">
        <v>46172</v>
      </c>
      <c r="D91" s="490"/>
      <c r="E91" s="490"/>
      <c r="F91" s="489"/>
      <c r="G91" s="1034"/>
      <c r="H91" s="492">
        <v>20</v>
      </c>
      <c r="I91" s="893" t="s">
        <v>55</v>
      </c>
      <c r="J91" s="898" t="s">
        <v>63</v>
      </c>
      <c r="K91" s="483" t="s">
        <v>236</v>
      </c>
      <c r="L91" s="490"/>
      <c r="M91" s="893" t="s">
        <v>57</v>
      </c>
      <c r="N91" s="561">
        <v>23501</v>
      </c>
      <c r="O91" s="893"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4" t="s">
        <v>249</v>
      </c>
      <c r="B92" s="897" t="s">
        <v>204</v>
      </c>
      <c r="C92" s="481">
        <v>46111</v>
      </c>
      <c r="D92" s="490"/>
      <c r="E92" s="490"/>
      <c r="F92" s="489"/>
      <c r="G92" s="892"/>
      <c r="H92" s="492">
        <v>0</v>
      </c>
      <c r="I92" s="483" t="s">
        <v>55</v>
      </c>
      <c r="J92" s="483" t="s">
        <v>114</v>
      </c>
      <c r="K92" s="483" t="s">
        <v>115</v>
      </c>
      <c r="L92" s="490"/>
      <c r="M92" s="492" t="s">
        <v>57</v>
      </c>
      <c r="N92" s="561">
        <v>11518.95</v>
      </c>
      <c r="O92" s="492" t="s">
        <v>57</v>
      </c>
      <c r="P92" s="817" t="s">
        <v>58</v>
      </c>
      <c r="Q92" s="493"/>
      <c r="R92" s="493"/>
      <c r="S92" s="493"/>
      <c r="T92" s="493"/>
      <c r="U92" s="493"/>
      <c r="V92" s="1113">
        <v>881</v>
      </c>
      <c r="W92" s="486"/>
      <c r="X92" s="486">
        <f>SUM(V92-W92)</f>
        <v>881</v>
      </c>
      <c r="Y92" s="688">
        <f t="shared" si="2"/>
        <v>0</v>
      </c>
      <c r="Z92" s="363"/>
      <c r="AA92" s="366">
        <v>0</v>
      </c>
      <c r="AB92" s="366">
        <v>0</v>
      </c>
      <c r="AC92" s="668">
        <v>0</v>
      </c>
      <c r="AD92" s="488" t="s">
        <v>250</v>
      </c>
      <c r="AE92" s="101"/>
    </row>
    <row r="93" spans="1:56" ht="24.75" customHeight="1">
      <c r="A93" s="943" t="s">
        <v>251</v>
      </c>
      <c r="B93" s="897" t="s">
        <v>204</v>
      </c>
      <c r="C93" s="481">
        <v>45960</v>
      </c>
      <c r="D93" s="489"/>
      <c r="E93" s="490"/>
      <c r="F93" s="489"/>
      <c r="G93" s="888"/>
      <c r="H93" s="492">
        <v>0</v>
      </c>
      <c r="I93" s="893" t="s">
        <v>55</v>
      </c>
      <c r="J93" s="492" t="s">
        <v>63</v>
      </c>
      <c r="K93" s="504"/>
      <c r="L93" s="490"/>
      <c r="M93" s="492" t="s">
        <v>57</v>
      </c>
      <c r="N93" s="561">
        <v>29960</v>
      </c>
      <c r="O93" s="492" t="s">
        <v>57</v>
      </c>
      <c r="P93" s="817" t="s">
        <v>58</v>
      </c>
      <c r="Q93" s="493">
        <v>45922</v>
      </c>
      <c r="R93" s="493"/>
      <c r="S93" s="493"/>
      <c r="T93" s="493"/>
      <c r="U93" s="493"/>
      <c r="V93" s="915">
        <v>2372</v>
      </c>
      <c r="W93" s="486"/>
      <c r="X93" s="486">
        <f>SUM(V93-W93)</f>
        <v>2372</v>
      </c>
      <c r="Y93" s="688">
        <f t="shared" si="2"/>
        <v>0</v>
      </c>
      <c r="Z93" s="363"/>
      <c r="AA93" s="366">
        <v>0</v>
      </c>
      <c r="AB93" s="366">
        <v>0</v>
      </c>
      <c r="AC93" s="41">
        <v>0</v>
      </c>
      <c r="AD93" s="173" t="s">
        <v>252</v>
      </c>
      <c r="AE93" s="101"/>
    </row>
    <row r="94" spans="1:56" ht="24.75" customHeight="1">
      <c r="A94" s="943" t="s">
        <v>253</v>
      </c>
      <c r="B94" s="897" t="s">
        <v>204</v>
      </c>
      <c r="C94" s="481">
        <v>46111</v>
      </c>
      <c r="D94" s="489"/>
      <c r="E94" s="490"/>
      <c r="F94" s="489"/>
      <c r="G94" s="491"/>
      <c r="H94" s="492">
        <v>0</v>
      </c>
      <c r="I94" s="893"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3" t="s">
        <v>255</v>
      </c>
      <c r="B95" s="897" t="s">
        <v>204</v>
      </c>
      <c r="C95" s="481">
        <v>45960</v>
      </c>
      <c r="D95" s="489" t="s">
        <v>229</v>
      </c>
      <c r="E95" s="490">
        <v>45944</v>
      </c>
      <c r="F95" s="489" t="s">
        <v>230</v>
      </c>
      <c r="G95" s="888"/>
      <c r="H95" s="492">
        <v>0</v>
      </c>
      <c r="I95" s="893" t="s">
        <v>55</v>
      </c>
      <c r="J95" s="492" t="s">
        <v>63</v>
      </c>
      <c r="K95" s="504"/>
      <c r="L95" s="490"/>
      <c r="M95" s="492" t="s">
        <v>57</v>
      </c>
      <c r="N95" s="561">
        <v>50539.6</v>
      </c>
      <c r="O95" s="492" t="s">
        <v>57</v>
      </c>
      <c r="P95" s="817" t="s">
        <v>58</v>
      </c>
      <c r="Q95" s="493">
        <v>45932</v>
      </c>
      <c r="R95" s="493"/>
      <c r="S95" s="493"/>
      <c r="T95" s="493"/>
      <c r="U95" s="493"/>
      <c r="V95" s="915">
        <v>4084</v>
      </c>
      <c r="W95" s="1138">
        <v>2343</v>
      </c>
      <c r="X95" s="486">
        <f>SUM(V95-W95)</f>
        <v>1741</v>
      </c>
      <c r="Y95" s="688">
        <f t="shared" si="2"/>
        <v>0.57370225269343778</v>
      </c>
      <c r="Z95" s="363"/>
      <c r="AA95" s="366">
        <v>0</v>
      </c>
      <c r="AB95" s="366">
        <v>0</v>
      </c>
      <c r="AC95" s="41">
        <v>0</v>
      </c>
      <c r="AD95" s="173" t="s">
        <v>256</v>
      </c>
      <c r="AE95" s="101"/>
    </row>
    <row r="96" spans="1:56" ht="24.75" customHeight="1">
      <c r="A96" s="943" t="s">
        <v>257</v>
      </c>
      <c r="B96" s="897" t="s">
        <v>204</v>
      </c>
      <c r="C96" s="481">
        <v>46002</v>
      </c>
      <c r="D96" s="489"/>
      <c r="E96" s="490"/>
      <c r="F96" s="489"/>
      <c r="G96" s="491"/>
      <c r="H96" s="492">
        <v>0</v>
      </c>
      <c r="I96" s="893"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3" t="s">
        <v>258</v>
      </c>
      <c r="B97" s="897" t="s">
        <v>204</v>
      </c>
      <c r="C97" s="481" t="s">
        <v>259</v>
      </c>
      <c r="D97" s="489" t="s">
        <v>60</v>
      </c>
      <c r="E97" s="490"/>
      <c r="F97" s="489"/>
      <c r="G97" s="888"/>
      <c r="H97" s="492">
        <v>0</v>
      </c>
      <c r="I97" s="483" t="s">
        <v>55</v>
      </c>
      <c r="J97" s="492" t="s">
        <v>63</v>
      </c>
      <c r="K97" s="483"/>
      <c r="L97" s="490"/>
      <c r="M97" s="492" t="s">
        <v>57</v>
      </c>
      <c r="N97" s="561">
        <v>2670.65</v>
      </c>
      <c r="O97" s="492" t="s">
        <v>57</v>
      </c>
      <c r="P97" s="817" t="s">
        <v>58</v>
      </c>
      <c r="Q97" s="493"/>
      <c r="R97" s="493"/>
      <c r="S97" s="493"/>
      <c r="T97" s="493"/>
      <c r="U97" s="493"/>
      <c r="V97" s="1113">
        <v>209</v>
      </c>
      <c r="W97" s="486"/>
      <c r="X97" s="486">
        <f>SUM(V97-W97)</f>
        <v>209</v>
      </c>
      <c r="Y97" s="688">
        <f t="shared" si="2"/>
        <v>0</v>
      </c>
      <c r="Z97" s="363"/>
      <c r="AA97" s="366">
        <v>0</v>
      </c>
      <c r="AB97" s="366">
        <v>0</v>
      </c>
      <c r="AC97" s="668">
        <v>0</v>
      </c>
      <c r="AD97" s="488" t="s">
        <v>205</v>
      </c>
      <c r="AE97" s="101"/>
    </row>
    <row r="98" spans="1:31" ht="24.75" customHeight="1">
      <c r="A98" s="943" t="s">
        <v>260</v>
      </c>
      <c r="B98" s="897" t="s">
        <v>204</v>
      </c>
      <c r="C98" s="481">
        <v>45960</v>
      </c>
      <c r="D98" s="489" t="s">
        <v>60</v>
      </c>
      <c r="E98" s="490">
        <v>45867</v>
      </c>
      <c r="F98" s="489" t="s">
        <v>209</v>
      </c>
      <c r="G98" s="888" t="s">
        <v>261</v>
      </c>
      <c r="H98" s="492">
        <v>0</v>
      </c>
      <c r="I98" s="893" t="s">
        <v>55</v>
      </c>
      <c r="J98" s="492" t="s">
        <v>63</v>
      </c>
      <c r="K98" s="483"/>
      <c r="L98" s="490"/>
      <c r="M98" s="492" t="s">
        <v>57</v>
      </c>
      <c r="N98" s="561">
        <v>144972.5</v>
      </c>
      <c r="O98" s="492" t="s">
        <v>57</v>
      </c>
      <c r="P98" s="817" t="s">
        <v>74</v>
      </c>
      <c r="Q98" s="493">
        <v>45867</v>
      </c>
      <c r="R98" s="493"/>
      <c r="S98" s="493"/>
      <c r="T98" s="493"/>
      <c r="U98" s="493"/>
      <c r="V98" s="915">
        <v>4825</v>
      </c>
      <c r="W98" s="486">
        <v>2733</v>
      </c>
      <c r="X98" s="486">
        <f>SUM(V98-W98)</f>
        <v>2092</v>
      </c>
      <c r="Y98" s="688">
        <f t="shared" si="2"/>
        <v>0.56642487046632128</v>
      </c>
      <c r="Z98" s="493">
        <v>45884</v>
      </c>
      <c r="AA98" s="366">
        <v>0</v>
      </c>
      <c r="AB98" s="366">
        <v>0</v>
      </c>
      <c r="AC98" s="41">
        <v>0</v>
      </c>
      <c r="AD98" s="488"/>
      <c r="AE98" s="101"/>
    </row>
    <row r="99" spans="1:31" ht="24.75" customHeight="1">
      <c r="A99" s="944" t="s">
        <v>262</v>
      </c>
      <c r="B99" s="897" t="s">
        <v>204</v>
      </c>
      <c r="C99" s="481">
        <v>45960</v>
      </c>
      <c r="D99" s="489" t="s">
        <v>229</v>
      </c>
      <c r="E99" s="490">
        <v>45923</v>
      </c>
      <c r="F99" s="489" t="s">
        <v>230</v>
      </c>
      <c r="G99" s="888"/>
      <c r="H99" s="492">
        <v>0</v>
      </c>
      <c r="I99" s="893" t="s">
        <v>55</v>
      </c>
      <c r="J99" s="492" t="s">
        <v>63</v>
      </c>
      <c r="K99" s="483"/>
      <c r="L99" s="490"/>
      <c r="M99" s="492" t="s">
        <v>57</v>
      </c>
      <c r="N99" s="561">
        <v>139581.6</v>
      </c>
      <c r="O99" s="492" t="s">
        <v>57</v>
      </c>
      <c r="P99" s="817" t="s">
        <v>58</v>
      </c>
      <c r="Q99" s="493">
        <v>45918</v>
      </c>
      <c r="R99" s="493"/>
      <c r="S99" s="493"/>
      <c r="T99" s="493"/>
      <c r="U99" s="493"/>
      <c r="V99" s="915">
        <v>11150</v>
      </c>
      <c r="W99" s="486"/>
      <c r="X99" s="486">
        <f>SUM(V99-W99)</f>
        <v>11150</v>
      </c>
      <c r="Y99" s="688">
        <f t="shared" si="2"/>
        <v>0</v>
      </c>
      <c r="Z99" s="363"/>
      <c r="AA99" s="366">
        <v>0</v>
      </c>
      <c r="AB99" s="366">
        <v>0</v>
      </c>
      <c r="AC99" s="41">
        <v>0</v>
      </c>
      <c r="AD99" s="173" t="s">
        <v>252</v>
      </c>
      <c r="AE99" s="101"/>
    </row>
    <row r="100" spans="1:31" ht="24.75" customHeight="1">
      <c r="A100" s="943" t="s">
        <v>263</v>
      </c>
      <c r="B100" s="897" t="s">
        <v>204</v>
      </c>
      <c r="C100" s="481">
        <v>46172</v>
      </c>
      <c r="D100" s="489"/>
      <c r="E100" s="490"/>
      <c r="F100" s="489"/>
      <c r="G100" s="888"/>
      <c r="H100" s="492">
        <v>0</v>
      </c>
      <c r="I100" s="893" t="s">
        <v>55</v>
      </c>
      <c r="J100" s="492" t="s">
        <v>63</v>
      </c>
      <c r="K100" s="483"/>
      <c r="L100" s="490"/>
      <c r="M100" s="492" t="s">
        <v>57</v>
      </c>
      <c r="N100" s="561">
        <v>73653.899999999994</v>
      </c>
      <c r="O100" s="492" t="s">
        <v>57</v>
      </c>
      <c r="P100" s="817" t="s">
        <v>58</v>
      </c>
      <c r="Q100" s="493"/>
      <c r="R100" s="493"/>
      <c r="S100" s="493"/>
      <c r="T100" s="493"/>
      <c r="U100" s="493"/>
      <c r="V100" s="915">
        <v>5394</v>
      </c>
      <c r="W100" s="486"/>
      <c r="X100" s="486">
        <f>SUM(V100-W100)</f>
        <v>5394</v>
      </c>
      <c r="Y100" s="688">
        <f t="shared" si="2"/>
        <v>0</v>
      </c>
      <c r="Z100" s="363"/>
      <c r="AA100" s="366">
        <v>0</v>
      </c>
      <c r="AB100" s="366">
        <v>0</v>
      </c>
      <c r="AC100" s="41">
        <v>0</v>
      </c>
      <c r="AD100" s="173"/>
      <c r="AE100" s="101"/>
    </row>
    <row r="101" spans="1:31" ht="24.75" customHeight="1">
      <c r="A101" s="943" t="s">
        <v>264</v>
      </c>
      <c r="B101" s="897" t="s">
        <v>204</v>
      </c>
      <c r="C101" s="481">
        <v>46111</v>
      </c>
      <c r="D101" s="489"/>
      <c r="E101" s="490"/>
      <c r="F101" s="489"/>
      <c r="G101" s="491"/>
      <c r="H101" s="492">
        <v>0</v>
      </c>
      <c r="I101" s="893"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3" t="s">
        <v>265</v>
      </c>
      <c r="B102" s="508" t="s">
        <v>266</v>
      </c>
      <c r="C102" s="481">
        <v>46021</v>
      </c>
      <c r="D102" s="489"/>
      <c r="E102" s="490"/>
      <c r="F102" s="489"/>
      <c r="G102" s="491"/>
      <c r="H102" s="492">
        <v>35</v>
      </c>
      <c r="I102" s="893"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4" t="s">
        <v>268</v>
      </c>
      <c r="B103" s="508" t="s">
        <v>266</v>
      </c>
      <c r="C103" s="481">
        <v>46021</v>
      </c>
      <c r="D103" s="489"/>
      <c r="E103" s="490"/>
      <c r="F103" s="489"/>
      <c r="G103" s="491"/>
      <c r="H103" s="492">
        <v>30</v>
      </c>
      <c r="I103" s="893" t="s">
        <v>55</v>
      </c>
      <c r="J103" s="898"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4" t="s">
        <v>269</v>
      </c>
      <c r="B104" s="508" t="s">
        <v>266</v>
      </c>
      <c r="C104" s="481">
        <v>46021</v>
      </c>
      <c r="D104" s="489"/>
      <c r="E104" s="490"/>
      <c r="F104" s="489"/>
      <c r="G104" s="491"/>
      <c r="H104" s="492">
        <v>86</v>
      </c>
      <c r="I104" s="893" t="s">
        <v>55</v>
      </c>
      <c r="J104" s="898"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4" t="s">
        <v>270</v>
      </c>
      <c r="B105" s="508" t="s">
        <v>266</v>
      </c>
      <c r="C105" s="481">
        <v>46021</v>
      </c>
      <c r="D105" s="489"/>
      <c r="E105" s="490"/>
      <c r="F105" s="489"/>
      <c r="G105" s="491"/>
      <c r="H105" s="492">
        <v>73</v>
      </c>
      <c r="I105" s="893" t="s">
        <v>55</v>
      </c>
      <c r="J105" s="898"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3" t="s">
        <v>271</v>
      </c>
      <c r="B106" s="508" t="s">
        <v>266</v>
      </c>
      <c r="C106" s="481">
        <v>46021</v>
      </c>
      <c r="D106" s="489"/>
      <c r="E106" s="490"/>
      <c r="F106" s="489"/>
      <c r="G106" s="491"/>
      <c r="H106" s="492">
        <v>80</v>
      </c>
      <c r="I106" s="893" t="s">
        <v>55</v>
      </c>
      <c r="J106" s="898"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3" t="s">
        <v>273</v>
      </c>
      <c r="B107" s="508" t="s">
        <v>266</v>
      </c>
      <c r="C107" s="481">
        <v>46021</v>
      </c>
      <c r="D107" s="489"/>
      <c r="E107" s="490"/>
      <c r="F107" s="489"/>
      <c r="G107" s="491"/>
      <c r="H107" s="492">
        <v>88</v>
      </c>
      <c r="I107" s="893" t="s">
        <v>55</v>
      </c>
      <c r="J107" s="898"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3" t="s">
        <v>274</v>
      </c>
      <c r="B108" s="508" t="s">
        <v>266</v>
      </c>
      <c r="C108" s="481">
        <v>46021</v>
      </c>
      <c r="D108" s="489"/>
      <c r="E108" s="490"/>
      <c r="F108" s="489"/>
      <c r="G108" s="491"/>
      <c r="H108" s="492">
        <v>61</v>
      </c>
      <c r="I108" s="893"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3" t="s">
        <v>275</v>
      </c>
      <c r="B109" s="508" t="s">
        <v>266</v>
      </c>
      <c r="C109" s="481">
        <v>46021</v>
      </c>
      <c r="D109" s="489"/>
      <c r="E109" s="490"/>
      <c r="F109" s="489"/>
      <c r="G109" s="491"/>
      <c r="H109" s="492">
        <v>82</v>
      </c>
      <c r="I109" s="893"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4" t="s">
        <v>276</v>
      </c>
      <c r="B110" s="508" t="s">
        <v>266</v>
      </c>
      <c r="C110" s="481">
        <v>46021</v>
      </c>
      <c r="D110" s="489"/>
      <c r="E110" s="490"/>
      <c r="F110" s="489"/>
      <c r="G110" s="491"/>
      <c r="H110" s="492">
        <v>86</v>
      </c>
      <c r="I110" s="893" t="s">
        <v>55</v>
      </c>
      <c r="J110" s="898"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3" t="s">
        <v>277</v>
      </c>
      <c r="B111" s="508" t="s">
        <v>266</v>
      </c>
      <c r="C111" s="481">
        <v>46021</v>
      </c>
      <c r="D111" s="489"/>
      <c r="E111" s="490"/>
      <c r="F111" s="489"/>
      <c r="G111" s="491"/>
      <c r="H111" s="492">
        <v>77</v>
      </c>
      <c r="I111" s="893"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3" t="s">
        <v>278</v>
      </c>
      <c r="B112" s="508" t="s">
        <v>266</v>
      </c>
      <c r="C112" s="481">
        <v>46021</v>
      </c>
      <c r="D112" s="489"/>
      <c r="E112" s="490"/>
      <c r="F112" s="489"/>
      <c r="G112" s="491"/>
      <c r="H112" s="492">
        <v>75</v>
      </c>
      <c r="I112" s="893"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3" t="s">
        <v>279</v>
      </c>
      <c r="B113" s="508" t="s">
        <v>266</v>
      </c>
      <c r="C113" s="481">
        <v>46021</v>
      </c>
      <c r="D113" s="489"/>
      <c r="E113" s="490"/>
      <c r="F113" s="489"/>
      <c r="G113" s="491"/>
      <c r="H113" s="492">
        <v>78</v>
      </c>
      <c r="I113" s="893"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9" t="s">
        <v>280</v>
      </c>
      <c r="B114" s="1114" t="s">
        <v>266</v>
      </c>
      <c r="C114" s="996">
        <v>46021</v>
      </c>
      <c r="D114" s="1000"/>
      <c r="E114" s="1115"/>
      <c r="F114" s="1000"/>
      <c r="G114" s="1116"/>
      <c r="H114" s="1103">
        <v>26</v>
      </c>
      <c r="I114" s="1102" t="s">
        <v>55</v>
      </c>
      <c r="J114" s="1103" t="s">
        <v>63</v>
      </c>
      <c r="K114" s="998"/>
      <c r="L114" s="1115"/>
      <c r="M114" s="1103" t="s">
        <v>57</v>
      </c>
      <c r="N114" s="1117">
        <v>35576</v>
      </c>
      <c r="O114" s="1103" t="s">
        <v>57</v>
      </c>
      <c r="P114" s="1118" t="s">
        <v>58</v>
      </c>
      <c r="Q114" s="620"/>
      <c r="R114" s="620"/>
      <c r="S114" s="620"/>
      <c r="T114" s="620"/>
      <c r="U114" s="620"/>
      <c r="V114" s="1104">
        <v>3150</v>
      </c>
      <c r="W114" s="621"/>
      <c r="X114" s="486">
        <f>SUM(V114-W114)</f>
        <v>3150</v>
      </c>
      <c r="Y114" s="931">
        <f t="shared" si="2"/>
        <v>0</v>
      </c>
      <c r="Z114" s="1003"/>
      <c r="AA114" s="622">
        <v>0</v>
      </c>
      <c r="AB114" s="622">
        <v>0</v>
      </c>
      <c r="AC114" s="1104">
        <v>0</v>
      </c>
      <c r="AD114" s="975" t="s">
        <v>267</v>
      </c>
      <c r="AE114" s="101"/>
    </row>
    <row r="115" spans="1:31" ht="24.75" customHeight="1">
      <c r="A115" s="943"/>
      <c r="B115" s="508"/>
      <c r="C115" s="481"/>
      <c r="D115" s="489"/>
      <c r="E115" s="902"/>
      <c r="F115" s="489"/>
      <c r="G115" s="491"/>
      <c r="H115" s="492"/>
      <c r="I115" s="498"/>
      <c r="J115" s="492"/>
      <c r="K115" s="405"/>
      <c r="L115" s="902"/>
      <c r="M115" s="492"/>
      <c r="N115" s="561"/>
      <c r="O115" s="492"/>
      <c r="P115" s="72"/>
      <c r="Q115" s="493"/>
      <c r="R115" s="493"/>
      <c r="S115" s="493"/>
      <c r="T115" s="493"/>
      <c r="U115" s="493"/>
      <c r="V115" s="41"/>
      <c r="W115" s="486"/>
      <c r="X115" s="1108"/>
      <c r="Y115" s="1109"/>
      <c r="Z115" s="72"/>
      <c r="AA115" s="366"/>
      <c r="AB115" s="366"/>
      <c r="AC115" s="41"/>
      <c r="AD115" s="488"/>
      <c r="AE115" s="101"/>
    </row>
    <row r="116" spans="1:31" ht="24.75" customHeight="1">
      <c r="A116" s="1099"/>
      <c r="B116" s="1100"/>
      <c r="C116" s="976"/>
      <c r="D116" s="672"/>
      <c r="E116" s="386"/>
      <c r="F116" s="385"/>
      <c r="G116" s="659"/>
      <c r="H116" s="385"/>
      <c r="I116" s="388"/>
      <c r="J116" s="387"/>
      <c r="K116" s="673"/>
      <c r="L116" s="51"/>
      <c r="M116" s="385"/>
      <c r="N116" s="674"/>
      <c r="O116" s="52"/>
      <c r="P116" s="101"/>
      <c r="Q116" s="675"/>
      <c r="R116" s="676"/>
      <c r="S116" s="676"/>
      <c r="T116" s="676"/>
      <c r="U116" s="676"/>
      <c r="V116" s="677"/>
      <c r="W116" s="677"/>
      <c r="X116" s="940"/>
      <c r="Y116" s="941"/>
      <c r="Z116" s="55"/>
      <c r="AA116" s="148"/>
      <c r="AB116" s="148"/>
      <c r="AC116" s="677"/>
      <c r="AD116" s="450"/>
      <c r="AE116" s="400"/>
    </row>
    <row r="117" spans="1:31" ht="24.75" customHeight="1">
      <c r="A117" s="1120" t="s">
        <v>281</v>
      </c>
      <c r="B117" s="1101" t="s">
        <v>20</v>
      </c>
      <c r="C117" s="1101" t="s">
        <v>21</v>
      </c>
      <c r="D117" s="1097" t="s">
        <v>22</v>
      </c>
      <c r="E117" s="1090" t="s">
        <v>23</v>
      </c>
      <c r="F117" s="1090" t="s">
        <v>24</v>
      </c>
      <c r="G117" s="1090" t="s">
        <v>25</v>
      </c>
      <c r="H117" s="1090" t="s">
        <v>26</v>
      </c>
      <c r="I117" s="1090" t="s">
        <v>27</v>
      </c>
      <c r="J117" s="1090" t="s">
        <v>28</v>
      </c>
      <c r="K117" s="1090" t="s">
        <v>29</v>
      </c>
      <c r="L117" s="1090" t="s">
        <v>30</v>
      </c>
      <c r="M117" s="1090" t="s">
        <v>31</v>
      </c>
      <c r="N117" s="1091" t="s">
        <v>32</v>
      </c>
      <c r="O117" s="883" t="s">
        <v>33</v>
      </c>
      <c r="P117" s="1092" t="s">
        <v>34</v>
      </c>
      <c r="Q117" s="477" t="s">
        <v>35</v>
      </c>
      <c r="R117" s="1093" t="s">
        <v>36</v>
      </c>
      <c r="S117" s="1093" t="s">
        <v>37</v>
      </c>
      <c r="T117" s="1093" t="s">
        <v>38</v>
      </c>
      <c r="U117" s="1093" t="s">
        <v>39</v>
      </c>
      <c r="V117" s="1093" t="s">
        <v>40</v>
      </c>
      <c r="W117" s="1093" t="s">
        <v>41</v>
      </c>
      <c r="X117" s="939" t="s">
        <v>42</v>
      </c>
      <c r="Y117" s="939" t="s">
        <v>43</v>
      </c>
      <c r="Z117" s="1094" t="s">
        <v>44</v>
      </c>
      <c r="AA117" s="1095" t="s">
        <v>45</v>
      </c>
      <c r="AB117" s="1093" t="s">
        <v>46</v>
      </c>
      <c r="AC117" s="1093" t="s">
        <v>47</v>
      </c>
      <c r="AD117" s="1096" t="s">
        <v>48</v>
      </c>
      <c r="AE117" s="400"/>
    </row>
    <row r="118" spans="1:31" ht="24.75" customHeight="1">
      <c r="A118" s="1121" t="s">
        <v>282</v>
      </c>
      <c r="B118" s="464" t="s">
        <v>283</v>
      </c>
      <c r="C118" s="386">
        <v>45687</v>
      </c>
      <c r="D118" s="1098" t="s">
        <v>133</v>
      </c>
      <c r="E118" s="386">
        <v>45959</v>
      </c>
      <c r="F118" s="385" t="s">
        <v>126</v>
      </c>
      <c r="G118" s="659"/>
      <c r="H118" s="387">
        <v>89</v>
      </c>
      <c r="I118" s="1102" t="s">
        <v>55</v>
      </c>
      <c r="J118" s="1103" t="s">
        <v>63</v>
      </c>
      <c r="K118" s="673"/>
      <c r="L118" s="51">
        <v>45964</v>
      </c>
      <c r="M118" s="1103" t="s">
        <v>57</v>
      </c>
      <c r="N118" s="905">
        <v>84750.5</v>
      </c>
      <c r="O118" s="52" t="s">
        <v>57</v>
      </c>
      <c r="P118" s="365" t="s">
        <v>58</v>
      </c>
      <c r="Q118" s="1146">
        <v>45964</v>
      </c>
      <c r="R118" s="1145"/>
      <c r="S118" s="676"/>
      <c r="T118" s="676"/>
      <c r="U118" s="676"/>
      <c r="V118" s="107">
        <v>6935</v>
      </c>
      <c r="W118" s="677"/>
      <c r="X118" s="486">
        <f>SUM(V118-W118)</f>
        <v>6935</v>
      </c>
      <c r="Y118" s="931">
        <f t="shared" ref="Y118:Y133" si="3">IFERROR($W118/$V118, 0)</f>
        <v>0</v>
      </c>
      <c r="Z118" s="55"/>
      <c r="AA118" s="622">
        <v>0</v>
      </c>
      <c r="AB118" s="622">
        <v>0</v>
      </c>
      <c r="AC118" s="1104">
        <v>0</v>
      </c>
      <c r="AD118" s="450" t="s">
        <v>284</v>
      </c>
      <c r="AE118" s="400"/>
    </row>
    <row r="119" spans="1:31" ht="24.75" customHeight="1">
      <c r="A119" s="1121" t="s">
        <v>285</v>
      </c>
      <c r="B119" s="464" t="s">
        <v>283</v>
      </c>
      <c r="C119" s="386">
        <v>45687</v>
      </c>
      <c r="D119" s="1098" t="s">
        <v>133</v>
      </c>
      <c r="E119" s="386">
        <v>45959</v>
      </c>
      <c r="F119" s="385" t="s">
        <v>126</v>
      </c>
      <c r="G119" s="659"/>
      <c r="H119" s="387">
        <v>59</v>
      </c>
      <c r="I119" s="1102" t="s">
        <v>55</v>
      </c>
      <c r="J119" s="1103" t="s">
        <v>63</v>
      </c>
      <c r="K119" s="673"/>
      <c r="L119" s="51">
        <v>45964</v>
      </c>
      <c r="M119" s="1103" t="s">
        <v>57</v>
      </c>
      <c r="N119" s="905">
        <v>65066.5</v>
      </c>
      <c r="O119" s="52" t="s">
        <v>57</v>
      </c>
      <c r="P119" s="365" t="s">
        <v>58</v>
      </c>
      <c r="Q119" s="1146">
        <v>45964</v>
      </c>
      <c r="R119" s="1145"/>
      <c r="S119" s="676"/>
      <c r="T119" s="676"/>
      <c r="U119" s="676"/>
      <c r="V119" s="107">
        <v>5421</v>
      </c>
      <c r="W119" s="677"/>
      <c r="X119" s="486">
        <f>SUM(V119-W119)</f>
        <v>5421</v>
      </c>
      <c r="Y119" s="941">
        <f t="shared" si="3"/>
        <v>0</v>
      </c>
      <c r="Z119" s="55"/>
      <c r="AA119" s="622">
        <v>0</v>
      </c>
      <c r="AB119" s="622">
        <v>0</v>
      </c>
      <c r="AC119" s="1104">
        <v>0</v>
      </c>
      <c r="AD119" s="450" t="s">
        <v>284</v>
      </c>
      <c r="AE119" s="400"/>
    </row>
    <row r="120" spans="1:31" ht="24.75" customHeight="1">
      <c r="A120" s="1121" t="s">
        <v>286</v>
      </c>
      <c r="B120" s="464" t="s">
        <v>283</v>
      </c>
      <c r="C120" s="386">
        <v>45687</v>
      </c>
      <c r="D120" s="1098" t="s">
        <v>133</v>
      </c>
      <c r="E120" s="386">
        <v>45959</v>
      </c>
      <c r="F120" s="385" t="s">
        <v>126</v>
      </c>
      <c r="G120" s="659"/>
      <c r="H120" s="387">
        <v>89</v>
      </c>
      <c r="I120" s="1102" t="s">
        <v>55</v>
      </c>
      <c r="J120" s="1103" t="s">
        <v>63</v>
      </c>
      <c r="K120" s="673"/>
      <c r="L120" s="51">
        <v>45964</v>
      </c>
      <c r="M120" s="1103" t="s">
        <v>57</v>
      </c>
      <c r="N120" s="905">
        <v>81602</v>
      </c>
      <c r="O120" s="52" t="s">
        <v>57</v>
      </c>
      <c r="P120" s="365" t="s">
        <v>58</v>
      </c>
      <c r="Q120" s="1146">
        <v>45964</v>
      </c>
      <c r="R120" s="1145"/>
      <c r="S120" s="676"/>
      <c r="T120" s="676"/>
      <c r="U120" s="676"/>
      <c r="V120" s="107">
        <v>6752</v>
      </c>
      <c r="W120" s="677"/>
      <c r="X120" s="486">
        <f>SUM(V120-W120)</f>
        <v>6752</v>
      </c>
      <c r="Y120" s="941">
        <f t="shared" si="3"/>
        <v>0</v>
      </c>
      <c r="Z120" s="55"/>
      <c r="AA120" s="622">
        <v>0</v>
      </c>
      <c r="AB120" s="622">
        <v>0</v>
      </c>
      <c r="AC120" s="1104">
        <v>0</v>
      </c>
      <c r="AD120" s="450" t="s">
        <v>284</v>
      </c>
      <c r="AE120" s="400"/>
    </row>
    <row r="121" spans="1:31" ht="24.75" customHeight="1">
      <c r="A121" s="1121" t="s">
        <v>287</v>
      </c>
      <c r="B121" s="464" t="s">
        <v>283</v>
      </c>
      <c r="C121" s="386">
        <v>45687</v>
      </c>
      <c r="D121" s="1098" t="s">
        <v>133</v>
      </c>
      <c r="E121" s="386">
        <v>45959</v>
      </c>
      <c r="F121" s="385" t="s">
        <v>126</v>
      </c>
      <c r="G121" s="659"/>
      <c r="H121" s="387">
        <v>88</v>
      </c>
      <c r="I121" s="1102" t="s">
        <v>55</v>
      </c>
      <c r="J121" s="1103" t="s">
        <v>63</v>
      </c>
      <c r="K121" s="673"/>
      <c r="L121" s="51">
        <v>45961</v>
      </c>
      <c r="M121" s="1103" t="s">
        <v>57</v>
      </c>
      <c r="N121" s="905">
        <v>88231.9</v>
      </c>
      <c r="O121" s="52" t="s">
        <v>57</v>
      </c>
      <c r="P121" s="365" t="s">
        <v>58</v>
      </c>
      <c r="Q121" s="1146">
        <v>45961</v>
      </c>
      <c r="R121" s="1145"/>
      <c r="S121" s="676"/>
      <c r="T121" s="676"/>
      <c r="U121" s="676"/>
      <c r="V121" s="107">
        <v>7274</v>
      </c>
      <c r="W121" s="677"/>
      <c r="X121" s="486">
        <f>SUM(V121-W121)</f>
        <v>7274</v>
      </c>
      <c r="Y121" s="941">
        <f t="shared" si="3"/>
        <v>0</v>
      </c>
      <c r="Z121" s="55"/>
      <c r="AA121" s="622">
        <v>0</v>
      </c>
      <c r="AB121" s="622">
        <v>0</v>
      </c>
      <c r="AC121" s="1104">
        <v>0</v>
      </c>
      <c r="AD121" s="450" t="s">
        <v>284</v>
      </c>
      <c r="AE121" s="400"/>
    </row>
    <row r="122" spans="1:31" ht="24.75" customHeight="1">
      <c r="A122" s="1121" t="s">
        <v>288</v>
      </c>
      <c r="B122" s="464" t="s">
        <v>283</v>
      </c>
      <c r="C122" s="386">
        <v>45687</v>
      </c>
      <c r="D122" s="1098" t="s">
        <v>133</v>
      </c>
      <c r="E122" s="386">
        <v>45959</v>
      </c>
      <c r="F122" s="385" t="s">
        <v>126</v>
      </c>
      <c r="G122" s="659"/>
      <c r="H122" s="387">
        <v>87</v>
      </c>
      <c r="I122" s="1102" t="s">
        <v>55</v>
      </c>
      <c r="J122" s="1103" t="s">
        <v>63</v>
      </c>
      <c r="K122" s="673"/>
      <c r="L122" s="51">
        <v>45964</v>
      </c>
      <c r="M122" s="1103" t="s">
        <v>57</v>
      </c>
      <c r="N122" s="905">
        <v>93578</v>
      </c>
      <c r="O122" s="52" t="s">
        <v>57</v>
      </c>
      <c r="P122" s="365" t="s">
        <v>58</v>
      </c>
      <c r="Q122" s="1146">
        <v>45964</v>
      </c>
      <c r="R122" s="1145"/>
      <c r="S122" s="676"/>
      <c r="T122" s="676"/>
      <c r="U122" s="676"/>
      <c r="V122" s="107">
        <v>7782</v>
      </c>
      <c r="W122" s="677"/>
      <c r="X122" s="486">
        <f>SUM(V122-W122)</f>
        <v>7782</v>
      </c>
      <c r="Y122" s="941">
        <f t="shared" si="3"/>
        <v>0</v>
      </c>
      <c r="Z122" s="55"/>
      <c r="AA122" s="622">
        <v>0</v>
      </c>
      <c r="AB122" s="622">
        <v>0</v>
      </c>
      <c r="AC122" s="1104">
        <v>0</v>
      </c>
      <c r="AD122" s="450" t="s">
        <v>284</v>
      </c>
      <c r="AE122" s="400"/>
    </row>
    <row r="123" spans="1:31" ht="24.75" customHeight="1">
      <c r="A123" s="1121" t="s">
        <v>289</v>
      </c>
      <c r="B123" s="464" t="s">
        <v>283</v>
      </c>
      <c r="C123" s="386">
        <v>45687</v>
      </c>
      <c r="D123" s="1098" t="s">
        <v>133</v>
      </c>
      <c r="E123" s="386">
        <v>45959</v>
      </c>
      <c r="F123" s="385" t="s">
        <v>126</v>
      </c>
      <c r="G123" s="659"/>
      <c r="H123" s="387">
        <v>90</v>
      </c>
      <c r="I123" s="1102" t="s">
        <v>55</v>
      </c>
      <c r="J123" s="1103" t="s">
        <v>63</v>
      </c>
      <c r="K123" s="673"/>
      <c r="L123" s="51">
        <v>45964</v>
      </c>
      <c r="M123" s="1103" t="s">
        <v>57</v>
      </c>
      <c r="N123" s="905">
        <v>84896</v>
      </c>
      <c r="O123" s="52" t="s">
        <v>57</v>
      </c>
      <c r="P123" s="365" t="s">
        <v>58</v>
      </c>
      <c r="Q123" s="1146">
        <v>45964</v>
      </c>
      <c r="R123" s="1145"/>
      <c r="S123" s="676"/>
      <c r="T123" s="676"/>
      <c r="U123" s="676"/>
      <c r="V123" s="107">
        <v>7060</v>
      </c>
      <c r="W123" s="677"/>
      <c r="X123" s="486">
        <f>SUM(V123-W123)</f>
        <v>7060</v>
      </c>
      <c r="Y123" s="941">
        <f t="shared" si="3"/>
        <v>0</v>
      </c>
      <c r="Z123" s="55"/>
      <c r="AA123" s="622">
        <v>0</v>
      </c>
      <c r="AB123" s="622">
        <v>0</v>
      </c>
      <c r="AC123" s="1104">
        <v>0</v>
      </c>
      <c r="AD123" s="450" t="s">
        <v>284</v>
      </c>
      <c r="AE123" s="400"/>
    </row>
    <row r="124" spans="1:31" ht="24.75" customHeight="1">
      <c r="A124" s="1121" t="s">
        <v>290</v>
      </c>
      <c r="B124" s="464" t="s">
        <v>283</v>
      </c>
      <c r="C124" s="386">
        <v>45687</v>
      </c>
      <c r="D124" s="1098" t="s">
        <v>133</v>
      </c>
      <c r="E124" s="386">
        <v>45959</v>
      </c>
      <c r="F124" s="385" t="s">
        <v>126</v>
      </c>
      <c r="G124" s="659"/>
      <c r="H124" s="387">
        <v>90</v>
      </c>
      <c r="I124" s="1102" t="s">
        <v>55</v>
      </c>
      <c r="J124" s="1103" t="s">
        <v>63</v>
      </c>
      <c r="K124" s="673"/>
      <c r="L124" s="51">
        <v>45961</v>
      </c>
      <c r="M124" s="1103" t="s">
        <v>57</v>
      </c>
      <c r="N124" s="905">
        <v>91897</v>
      </c>
      <c r="O124" s="52" t="s">
        <v>57</v>
      </c>
      <c r="P124" s="365" t="s">
        <v>58</v>
      </c>
      <c r="Q124" s="1146">
        <v>45961</v>
      </c>
      <c r="R124" s="1145"/>
      <c r="S124" s="676"/>
      <c r="T124" s="676"/>
      <c r="U124" s="676"/>
      <c r="V124" s="107">
        <v>7457</v>
      </c>
      <c r="W124" s="677"/>
      <c r="X124" s="486">
        <f>SUM(V124-W124)</f>
        <v>7457</v>
      </c>
      <c r="Y124" s="941">
        <f t="shared" si="3"/>
        <v>0</v>
      </c>
      <c r="Z124" s="55"/>
      <c r="AA124" s="622">
        <v>0</v>
      </c>
      <c r="AB124" s="622">
        <v>0</v>
      </c>
      <c r="AC124" s="1104">
        <v>0</v>
      </c>
      <c r="AD124" s="450" t="s">
        <v>284</v>
      </c>
      <c r="AE124" s="400"/>
    </row>
    <row r="125" spans="1:31" ht="24.75" customHeight="1">
      <c r="A125" s="1121" t="s">
        <v>291</v>
      </c>
      <c r="B125" s="464" t="s">
        <v>283</v>
      </c>
      <c r="C125" s="386">
        <v>45687</v>
      </c>
      <c r="D125" s="1098" t="s">
        <v>133</v>
      </c>
      <c r="E125" s="386">
        <v>45959</v>
      </c>
      <c r="F125" s="385" t="s">
        <v>126</v>
      </c>
      <c r="G125" s="659"/>
      <c r="H125" s="387">
        <v>90</v>
      </c>
      <c r="I125" s="1102" t="s">
        <v>55</v>
      </c>
      <c r="J125" s="1103" t="s">
        <v>63</v>
      </c>
      <c r="K125" s="673"/>
      <c r="L125" s="51">
        <v>45964</v>
      </c>
      <c r="M125" s="1103" t="s">
        <v>57</v>
      </c>
      <c r="N125" s="905">
        <v>96685</v>
      </c>
      <c r="O125" s="52" t="s">
        <v>57</v>
      </c>
      <c r="P125" s="365" t="s">
        <v>58</v>
      </c>
      <c r="Q125" s="1146">
        <v>45964</v>
      </c>
      <c r="R125" s="1145"/>
      <c r="S125" s="676"/>
      <c r="T125" s="676"/>
      <c r="U125" s="676"/>
      <c r="V125" s="107">
        <v>8042</v>
      </c>
      <c r="W125" s="677"/>
      <c r="X125" s="486">
        <f>SUM(V125-W125)</f>
        <v>8042</v>
      </c>
      <c r="Y125" s="941">
        <f t="shared" si="3"/>
        <v>0</v>
      </c>
      <c r="Z125" s="55"/>
      <c r="AA125" s="622">
        <v>0</v>
      </c>
      <c r="AB125" s="622">
        <v>0</v>
      </c>
      <c r="AC125" s="1104">
        <v>0</v>
      </c>
      <c r="AD125" s="450" t="s">
        <v>284</v>
      </c>
      <c r="AE125" s="400"/>
    </row>
    <row r="126" spans="1:31" ht="24.75" customHeight="1">
      <c r="A126" s="1121" t="s">
        <v>292</v>
      </c>
      <c r="B126" s="464" t="s">
        <v>283</v>
      </c>
      <c r="C126" s="386">
        <v>45687</v>
      </c>
      <c r="D126" s="1098" t="s">
        <v>133</v>
      </c>
      <c r="E126" s="386">
        <v>45959</v>
      </c>
      <c r="F126" s="385" t="s">
        <v>126</v>
      </c>
      <c r="G126" s="659"/>
      <c r="H126" s="387">
        <v>90</v>
      </c>
      <c r="I126" s="1102" t="s">
        <v>55</v>
      </c>
      <c r="J126" s="1103" t="s">
        <v>63</v>
      </c>
      <c r="K126" s="673"/>
      <c r="L126" s="51">
        <v>45964</v>
      </c>
      <c r="M126" s="1103" t="s">
        <v>57</v>
      </c>
      <c r="N126" s="905">
        <v>85815</v>
      </c>
      <c r="O126" s="52" t="s">
        <v>57</v>
      </c>
      <c r="P126" s="365" t="s">
        <v>58</v>
      </c>
      <c r="Q126" s="1146">
        <v>45964</v>
      </c>
      <c r="R126" s="1145"/>
      <c r="S126" s="676"/>
      <c r="T126" s="676"/>
      <c r="U126" s="676"/>
      <c r="V126" s="107">
        <v>6981</v>
      </c>
      <c r="W126" s="677"/>
      <c r="X126" s="486">
        <f>SUM(V126-W126)</f>
        <v>6981</v>
      </c>
      <c r="Y126" s="941">
        <f t="shared" si="3"/>
        <v>0</v>
      </c>
      <c r="Z126" s="55"/>
      <c r="AA126" s="622">
        <v>0</v>
      </c>
      <c r="AB126" s="622">
        <v>0</v>
      </c>
      <c r="AC126" s="1104">
        <v>0</v>
      </c>
      <c r="AD126" s="450" t="s">
        <v>284</v>
      </c>
      <c r="AE126" s="400"/>
    </row>
    <row r="127" spans="1:31" ht="24.75" customHeight="1">
      <c r="A127" s="1121" t="s">
        <v>293</v>
      </c>
      <c r="B127" s="464" t="s">
        <v>283</v>
      </c>
      <c r="C127" s="386">
        <v>45687</v>
      </c>
      <c r="D127" s="1098" t="s">
        <v>133</v>
      </c>
      <c r="E127" s="386">
        <v>45959</v>
      </c>
      <c r="F127" s="385" t="s">
        <v>126</v>
      </c>
      <c r="G127" s="659"/>
      <c r="H127" s="387">
        <v>89</v>
      </c>
      <c r="I127" s="1102" t="s">
        <v>55</v>
      </c>
      <c r="J127" s="1103" t="s">
        <v>63</v>
      </c>
      <c r="K127" s="673"/>
      <c r="L127" s="51">
        <v>45961</v>
      </c>
      <c r="M127" s="1103" t="s">
        <v>57</v>
      </c>
      <c r="N127" s="905">
        <v>83615</v>
      </c>
      <c r="O127" s="52" t="s">
        <v>57</v>
      </c>
      <c r="P127" s="365" t="s">
        <v>58</v>
      </c>
      <c r="Q127" s="1146">
        <v>45961</v>
      </c>
      <c r="R127" s="1145"/>
      <c r="S127" s="676"/>
      <c r="T127" s="676"/>
      <c r="U127" s="676"/>
      <c r="V127" s="107">
        <v>7010</v>
      </c>
      <c r="W127" s="677"/>
      <c r="X127" s="486">
        <f>SUM(V127-W127)</f>
        <v>7010</v>
      </c>
      <c r="Y127" s="941">
        <f t="shared" si="3"/>
        <v>0</v>
      </c>
      <c r="Z127" s="55"/>
      <c r="AA127" s="622">
        <v>0</v>
      </c>
      <c r="AB127" s="622">
        <v>0</v>
      </c>
      <c r="AC127" s="1104">
        <v>0</v>
      </c>
      <c r="AD127" s="450" t="s">
        <v>284</v>
      </c>
      <c r="AE127" s="400"/>
    </row>
    <row r="128" spans="1:31" ht="24.75" customHeight="1">
      <c r="A128" s="1121" t="s">
        <v>294</v>
      </c>
      <c r="B128" s="464" t="s">
        <v>283</v>
      </c>
      <c r="C128" s="386">
        <v>45687</v>
      </c>
      <c r="D128" s="1098" t="s">
        <v>133</v>
      </c>
      <c r="E128" s="386">
        <v>45959</v>
      </c>
      <c r="F128" s="385" t="s">
        <v>126</v>
      </c>
      <c r="G128" s="659"/>
      <c r="H128" s="387">
        <v>88</v>
      </c>
      <c r="I128" s="1102" t="s">
        <v>55</v>
      </c>
      <c r="J128" s="1103" t="s">
        <v>63</v>
      </c>
      <c r="K128" s="673"/>
      <c r="L128" s="51">
        <v>45964</v>
      </c>
      <c r="M128" s="1103" t="s">
        <v>57</v>
      </c>
      <c r="N128" s="905">
        <v>78736.5</v>
      </c>
      <c r="O128" s="52" t="s">
        <v>57</v>
      </c>
      <c r="P128" s="365" t="s">
        <v>58</v>
      </c>
      <c r="Q128" s="1146">
        <v>45964</v>
      </c>
      <c r="R128" s="1145"/>
      <c r="S128" s="676"/>
      <c r="T128" s="676"/>
      <c r="U128" s="676"/>
      <c r="V128" s="107">
        <v>6403</v>
      </c>
      <c r="W128" s="677"/>
      <c r="X128" s="486">
        <f>SUM(V128-W128)</f>
        <v>6403</v>
      </c>
      <c r="Y128" s="941">
        <f t="shared" si="3"/>
        <v>0</v>
      </c>
      <c r="Z128" s="55"/>
      <c r="AA128" s="622">
        <v>0</v>
      </c>
      <c r="AB128" s="622">
        <v>0</v>
      </c>
      <c r="AC128" s="1104">
        <v>0</v>
      </c>
      <c r="AD128" s="450" t="s">
        <v>284</v>
      </c>
      <c r="AE128" s="400"/>
    </row>
    <row r="129" spans="1:31" ht="24.75" customHeight="1">
      <c r="A129" s="1121" t="s">
        <v>295</v>
      </c>
      <c r="B129" s="464" t="s">
        <v>283</v>
      </c>
      <c r="C129" s="386">
        <v>45687</v>
      </c>
      <c r="D129" s="1098" t="s">
        <v>133</v>
      </c>
      <c r="E129" s="386">
        <v>45959</v>
      </c>
      <c r="F129" s="385" t="s">
        <v>126</v>
      </c>
      <c r="G129" s="659"/>
      <c r="H129" s="387">
        <v>86</v>
      </c>
      <c r="I129" s="1102" t="s">
        <v>55</v>
      </c>
      <c r="J129" s="1103" t="s">
        <v>63</v>
      </c>
      <c r="K129" s="673"/>
      <c r="L129" s="51">
        <v>45964</v>
      </c>
      <c r="M129" s="1103" t="s">
        <v>57</v>
      </c>
      <c r="N129" s="905">
        <v>80698</v>
      </c>
      <c r="O129" s="52" t="s">
        <v>57</v>
      </c>
      <c r="P129" s="365" t="s">
        <v>58</v>
      </c>
      <c r="Q129" s="1146">
        <v>45964</v>
      </c>
      <c r="R129" s="1145"/>
      <c r="S129" s="676"/>
      <c r="T129" s="676"/>
      <c r="U129" s="676"/>
      <c r="V129" s="107">
        <v>6739</v>
      </c>
      <c r="W129" s="677"/>
      <c r="X129" s="486">
        <f>SUM(V129-W129)</f>
        <v>6739</v>
      </c>
      <c r="Y129" s="941">
        <f t="shared" si="3"/>
        <v>0</v>
      </c>
      <c r="Z129" s="55"/>
      <c r="AA129" s="622">
        <v>0</v>
      </c>
      <c r="AB129" s="622">
        <v>0</v>
      </c>
      <c r="AC129" s="1104">
        <v>0</v>
      </c>
      <c r="AD129" s="450" t="s">
        <v>284</v>
      </c>
      <c r="AE129" s="400"/>
    </row>
    <row r="130" spans="1:31" ht="24.75" customHeight="1">
      <c r="A130" s="1121" t="s">
        <v>296</v>
      </c>
      <c r="B130" s="464" t="s">
        <v>283</v>
      </c>
      <c r="C130" s="386">
        <v>45687</v>
      </c>
      <c r="D130" s="1098" t="s">
        <v>133</v>
      </c>
      <c r="E130" s="386">
        <v>45959</v>
      </c>
      <c r="F130" s="385" t="s">
        <v>126</v>
      </c>
      <c r="G130" s="659"/>
      <c r="H130" s="387">
        <v>87</v>
      </c>
      <c r="I130" s="1102" t="s">
        <v>55</v>
      </c>
      <c r="J130" s="1103" t="s">
        <v>63</v>
      </c>
      <c r="K130" s="673"/>
      <c r="L130" s="51">
        <v>45964</v>
      </c>
      <c r="M130" s="1103" t="s">
        <v>57</v>
      </c>
      <c r="N130" s="905">
        <v>79552</v>
      </c>
      <c r="O130" s="52" t="s">
        <v>57</v>
      </c>
      <c r="P130" s="365" t="s">
        <v>58</v>
      </c>
      <c r="Q130" s="1146">
        <v>45964</v>
      </c>
      <c r="R130" s="1145"/>
      <c r="S130" s="676"/>
      <c r="T130" s="676"/>
      <c r="U130" s="676"/>
      <c r="V130" s="107">
        <v>6577</v>
      </c>
      <c r="W130" s="677"/>
      <c r="X130" s="486">
        <f>SUM(V130-W130)</f>
        <v>6577</v>
      </c>
      <c r="Y130" s="941">
        <f t="shared" si="3"/>
        <v>0</v>
      </c>
      <c r="Z130" s="55"/>
      <c r="AA130" s="622">
        <v>0</v>
      </c>
      <c r="AB130" s="622">
        <v>0</v>
      </c>
      <c r="AC130" s="1104">
        <v>0</v>
      </c>
      <c r="AD130" s="450" t="s">
        <v>284</v>
      </c>
      <c r="AE130" s="400"/>
    </row>
    <row r="131" spans="1:31" ht="24.75" customHeight="1">
      <c r="A131" s="1121" t="s">
        <v>297</v>
      </c>
      <c r="B131" s="464" t="s">
        <v>283</v>
      </c>
      <c r="C131" s="386">
        <v>45687</v>
      </c>
      <c r="D131" s="1098" t="s">
        <v>133</v>
      </c>
      <c r="E131" s="386">
        <v>45959</v>
      </c>
      <c r="F131" s="385" t="s">
        <v>126</v>
      </c>
      <c r="G131" s="659"/>
      <c r="H131" s="387">
        <v>85</v>
      </c>
      <c r="I131" s="1102" t="s">
        <v>55</v>
      </c>
      <c r="J131" s="1103" t="s">
        <v>63</v>
      </c>
      <c r="K131" s="673"/>
      <c r="L131" s="51">
        <v>45964</v>
      </c>
      <c r="M131" s="1103" t="s">
        <v>57</v>
      </c>
      <c r="N131" s="905">
        <v>84770</v>
      </c>
      <c r="O131" s="52" t="s">
        <v>57</v>
      </c>
      <c r="P131" s="365" t="s">
        <v>58</v>
      </c>
      <c r="Q131" s="1146">
        <v>45964</v>
      </c>
      <c r="R131" s="1145"/>
      <c r="S131" s="676"/>
      <c r="T131" s="676"/>
      <c r="U131" s="676"/>
      <c r="V131" s="107">
        <v>6965</v>
      </c>
      <c r="W131" s="677"/>
      <c r="X131" s="486">
        <f>SUM(V131-W131)</f>
        <v>6965</v>
      </c>
      <c r="Y131" s="941">
        <f t="shared" si="3"/>
        <v>0</v>
      </c>
      <c r="Z131" s="55"/>
      <c r="AA131" s="622">
        <v>0</v>
      </c>
      <c r="AB131" s="622">
        <v>0</v>
      </c>
      <c r="AC131" s="1104">
        <v>0</v>
      </c>
      <c r="AD131" s="450" t="s">
        <v>284</v>
      </c>
      <c r="AE131" s="400"/>
    </row>
    <row r="132" spans="1:31" ht="24.75" customHeight="1">
      <c r="A132" s="1121" t="s">
        <v>298</v>
      </c>
      <c r="B132" s="464" t="s">
        <v>283</v>
      </c>
      <c r="C132" s="386">
        <v>45687</v>
      </c>
      <c r="D132" s="1098" t="s">
        <v>133</v>
      </c>
      <c r="E132" s="386">
        <v>45959</v>
      </c>
      <c r="F132" s="385" t="s">
        <v>126</v>
      </c>
      <c r="G132" s="659"/>
      <c r="H132" s="387">
        <v>87</v>
      </c>
      <c r="I132" s="1102" t="s">
        <v>55</v>
      </c>
      <c r="J132" s="1103" t="s">
        <v>63</v>
      </c>
      <c r="K132" s="673"/>
      <c r="L132" s="51">
        <v>45964</v>
      </c>
      <c r="M132" s="1103" t="s">
        <v>57</v>
      </c>
      <c r="N132" s="905">
        <v>87875</v>
      </c>
      <c r="O132" s="52" t="s">
        <v>57</v>
      </c>
      <c r="P132" s="365" t="s">
        <v>58</v>
      </c>
      <c r="Q132" s="1146">
        <v>45964</v>
      </c>
      <c r="R132" s="1145"/>
      <c r="S132" s="676"/>
      <c r="T132" s="676"/>
      <c r="U132" s="676"/>
      <c r="V132" s="107">
        <v>7319</v>
      </c>
      <c r="W132" s="677"/>
      <c r="X132" s="486">
        <f>SUM(V132-W132)</f>
        <v>7319</v>
      </c>
      <c r="Y132" s="941">
        <f t="shared" si="3"/>
        <v>0</v>
      </c>
      <c r="Z132" s="55"/>
      <c r="AA132" s="622">
        <v>0</v>
      </c>
      <c r="AB132" s="622">
        <v>0</v>
      </c>
      <c r="AC132" s="1104">
        <v>0</v>
      </c>
      <c r="AD132" s="450" t="s">
        <v>284</v>
      </c>
      <c r="AE132" s="400"/>
    </row>
    <row r="133" spans="1:31" ht="24.75" customHeight="1">
      <c r="A133" s="1122" t="s">
        <v>299</v>
      </c>
      <c r="B133" s="464" t="s">
        <v>283</v>
      </c>
      <c r="C133" s="386">
        <v>45687</v>
      </c>
      <c r="D133" s="1098" t="s">
        <v>133</v>
      </c>
      <c r="E133" s="386">
        <v>45959</v>
      </c>
      <c r="F133" s="385" t="s">
        <v>126</v>
      </c>
      <c r="G133" s="659"/>
      <c r="H133" s="387">
        <v>0</v>
      </c>
      <c r="I133" s="1102" t="s">
        <v>55</v>
      </c>
      <c r="J133" s="1103" t="s">
        <v>63</v>
      </c>
      <c r="K133" s="673"/>
      <c r="L133" s="51">
        <v>45961</v>
      </c>
      <c r="M133" s="1103" t="s">
        <v>57</v>
      </c>
      <c r="N133" s="905">
        <v>54043.5</v>
      </c>
      <c r="O133" s="52" t="s">
        <v>57</v>
      </c>
      <c r="P133" s="365" t="s">
        <v>58</v>
      </c>
      <c r="Q133" s="1146">
        <v>45961</v>
      </c>
      <c r="R133" s="1145"/>
      <c r="S133" s="676"/>
      <c r="T133" s="676"/>
      <c r="U133" s="676"/>
      <c r="V133" s="107">
        <v>4140</v>
      </c>
      <c r="W133" s="677"/>
      <c r="X133" s="486">
        <f>SUM(V133-W133)</f>
        <v>4140</v>
      </c>
      <c r="Y133" s="941">
        <f t="shared" si="3"/>
        <v>0</v>
      </c>
      <c r="Z133" s="55"/>
      <c r="AA133" s="622">
        <v>0</v>
      </c>
      <c r="AB133" s="622">
        <v>0</v>
      </c>
      <c r="AC133" s="1104">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8"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301</v>
      </c>
      <c r="B2" s="897"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305</v>
      </c>
    </row>
    <row r="3" spans="1:30" ht="39.75" customHeight="1">
      <c r="A3" s="1015" t="s">
        <v>306</v>
      </c>
      <c r="B3" s="897"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308</v>
      </c>
    </row>
    <row r="4" spans="1:30" ht="39.75" customHeight="1">
      <c r="A4" s="1015" t="s">
        <v>309</v>
      </c>
      <c r="B4" s="897"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311</v>
      </c>
      <c r="B5" s="897"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8"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320</v>
      </c>
      <c r="B8" s="897" t="s">
        <v>204</v>
      </c>
      <c r="C8" s="481">
        <v>45991</v>
      </c>
      <c r="D8" s="489" t="s">
        <v>221</v>
      </c>
      <c r="E8" s="490">
        <v>45880</v>
      </c>
      <c r="F8" s="489" t="s">
        <v>209</v>
      </c>
      <c r="G8" s="888" t="s">
        <v>321</v>
      </c>
      <c r="H8" s="492">
        <v>57</v>
      </c>
      <c r="I8" s="893"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5" t="s">
        <v>323</v>
      </c>
      <c r="B9" s="897" t="s">
        <v>204</v>
      </c>
      <c r="C9" s="481">
        <v>45991</v>
      </c>
      <c r="D9" s="489" t="s">
        <v>221</v>
      </c>
      <c r="E9" s="490">
        <v>45880</v>
      </c>
      <c r="F9" s="489" t="s">
        <v>209</v>
      </c>
      <c r="G9" s="888" t="s">
        <v>324</v>
      </c>
      <c r="H9" s="492">
        <v>75</v>
      </c>
      <c r="I9" s="893"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325</v>
      </c>
      <c r="B10" s="897" t="s">
        <v>204</v>
      </c>
      <c r="C10" s="481">
        <v>45960</v>
      </c>
      <c r="D10" s="490" t="s">
        <v>221</v>
      </c>
      <c r="E10" s="490">
        <v>45930</v>
      </c>
      <c r="F10" s="489" t="s">
        <v>209</v>
      </c>
      <c r="G10" s="892"/>
      <c r="H10" s="898">
        <v>80</v>
      </c>
      <c r="I10" s="893" t="s">
        <v>303</v>
      </c>
      <c r="J10" s="898" t="s">
        <v>63</v>
      </c>
      <c r="K10" s="893"/>
      <c r="L10" s="490">
        <v>45902</v>
      </c>
      <c r="M10" s="893" t="s">
        <v>57</v>
      </c>
      <c r="N10" s="899">
        <v>90173</v>
      </c>
      <c r="O10" s="893" t="s">
        <v>57</v>
      </c>
      <c r="P10" s="647" t="s">
        <v>304</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222</v>
      </c>
    </row>
    <row r="11" spans="1:30" ht="39.75" customHeight="1">
      <c r="A11" s="1015" t="s">
        <v>326</v>
      </c>
      <c r="B11" s="897" t="s">
        <v>204</v>
      </c>
      <c r="C11" s="481">
        <v>45960</v>
      </c>
      <c r="D11" s="490" t="s">
        <v>229</v>
      </c>
      <c r="E11" s="490">
        <v>45937</v>
      </c>
      <c r="F11" s="489" t="s">
        <v>230</v>
      </c>
      <c r="G11" s="892"/>
      <c r="H11" s="898">
        <v>82</v>
      </c>
      <c r="I11" s="893" t="s">
        <v>303</v>
      </c>
      <c r="J11" s="898" t="s">
        <v>63</v>
      </c>
      <c r="K11" s="483"/>
      <c r="L11" s="490">
        <v>45903</v>
      </c>
      <c r="M11" s="893" t="s">
        <v>57</v>
      </c>
      <c r="N11" s="899">
        <v>93666.75</v>
      </c>
      <c r="O11" s="893" t="s">
        <v>57</v>
      </c>
      <c r="P11" s="647" t="s">
        <v>304</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329</v>
      </c>
      <c r="B13" s="479" t="s">
        <v>112</v>
      </c>
      <c r="C13" s="490">
        <v>45960</v>
      </c>
      <c r="D13" s="481" t="s">
        <v>60</v>
      </c>
      <c r="E13" s="490">
        <v>45918</v>
      </c>
      <c r="F13" s="479" t="s">
        <v>113</v>
      </c>
      <c r="G13" s="50" t="s">
        <v>330</v>
      </c>
      <c r="H13" s="1134">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5" t="s">
        <v>333</v>
      </c>
      <c r="H14" s="483">
        <v>0</v>
      </c>
      <c r="I14" s="483" t="s">
        <v>303</v>
      </c>
      <c r="J14" s="483" t="s">
        <v>63</v>
      </c>
      <c r="K14" s="1031"/>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8"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8"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5"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343</v>
      </c>
    </row>
    <row r="18" spans="1:30" ht="39.75" customHeight="1">
      <c r="A18" s="1015"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1015" t="s">
        <v>346</v>
      </c>
      <c r="B19" s="479" t="s">
        <v>112</v>
      </c>
      <c r="C19" s="490">
        <v>45960</v>
      </c>
      <c r="D19" s="481" t="s">
        <v>148</v>
      </c>
      <c r="E19" s="481">
        <v>45950</v>
      </c>
      <c r="F19" s="479" t="s">
        <v>134</v>
      </c>
      <c r="G19" s="709"/>
      <c r="H19" s="483">
        <v>82</v>
      </c>
      <c r="I19" s="687" t="s">
        <v>303</v>
      </c>
      <c r="J19" s="483" t="s">
        <v>63</v>
      </c>
      <c r="K19" s="483"/>
      <c r="L19" s="481">
        <v>45933</v>
      </c>
      <c r="M19" s="483" t="s">
        <v>57</v>
      </c>
      <c r="N19" s="560">
        <v>58864</v>
      </c>
      <c r="O19" s="483" t="s">
        <v>57</v>
      </c>
      <c r="P19" s="647" t="s">
        <v>304</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347</v>
      </c>
    </row>
    <row r="20" spans="1:30" ht="39.75" customHeight="1">
      <c r="A20" s="513" t="s">
        <v>348</v>
      </c>
      <c r="B20" s="479" t="s">
        <v>112</v>
      </c>
      <c r="C20" s="490">
        <v>45945</v>
      </c>
      <c r="D20" s="481" t="s">
        <v>133</v>
      </c>
      <c r="E20" s="481">
        <v>45932</v>
      </c>
      <c r="F20" s="479" t="s">
        <v>126</v>
      </c>
      <c r="G20" s="709"/>
      <c r="H20" s="483">
        <v>34</v>
      </c>
      <c r="I20" s="687" t="s">
        <v>303</v>
      </c>
      <c r="J20" s="483" t="s">
        <v>63</v>
      </c>
      <c r="K20" s="483"/>
      <c r="L20" s="481">
        <v>45933</v>
      </c>
      <c r="M20" s="483" t="s">
        <v>57</v>
      </c>
      <c r="N20" s="560">
        <v>29646</v>
      </c>
      <c r="O20" s="483" t="s">
        <v>57</v>
      </c>
      <c r="P20" s="647" t="s">
        <v>304</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349</v>
      </c>
    </row>
    <row r="21" spans="1:30" ht="39.75" customHeight="1">
      <c r="A21" s="1015" t="s">
        <v>350</v>
      </c>
      <c r="B21" s="479" t="s">
        <v>112</v>
      </c>
      <c r="C21" s="490">
        <v>45960</v>
      </c>
      <c r="D21" s="481" t="s">
        <v>148</v>
      </c>
      <c r="E21" s="481">
        <v>45932</v>
      </c>
      <c r="F21" s="479" t="s">
        <v>113</v>
      </c>
      <c r="G21" s="709"/>
      <c r="H21" s="483">
        <v>79</v>
      </c>
      <c r="I21" s="687" t="s">
        <v>303</v>
      </c>
      <c r="J21" s="483" t="s">
        <v>63</v>
      </c>
      <c r="K21" s="483"/>
      <c r="L21" s="481">
        <v>45933</v>
      </c>
      <c r="M21" s="483" t="s">
        <v>57</v>
      </c>
      <c r="N21" s="560">
        <v>45014</v>
      </c>
      <c r="O21" s="483" t="s">
        <v>57</v>
      </c>
      <c r="P21" s="647" t="s">
        <v>304</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351</v>
      </c>
    </row>
    <row r="22" spans="1:30" ht="39.75" customHeight="1">
      <c r="A22" s="1015" t="s">
        <v>352</v>
      </c>
      <c r="B22" s="479" t="s">
        <v>112</v>
      </c>
      <c r="C22" s="490">
        <v>45960</v>
      </c>
      <c r="D22" s="481" t="s">
        <v>133</v>
      </c>
      <c r="E22" s="481">
        <v>45936</v>
      </c>
      <c r="F22" s="479" t="s">
        <v>113</v>
      </c>
      <c r="G22" s="709"/>
      <c r="H22" s="483">
        <v>75</v>
      </c>
      <c r="I22" s="687" t="s">
        <v>303</v>
      </c>
      <c r="J22" s="483" t="s">
        <v>63</v>
      </c>
      <c r="K22" s="483"/>
      <c r="L22" s="481">
        <v>45936</v>
      </c>
      <c r="M22" s="483" t="s">
        <v>57</v>
      </c>
      <c r="N22" s="560">
        <v>38796</v>
      </c>
      <c r="O22" s="483" t="s">
        <v>57</v>
      </c>
      <c r="P22" s="647" t="s">
        <v>304</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353</v>
      </c>
    </row>
    <row r="23" spans="1:30" ht="39.75" customHeight="1">
      <c r="A23" s="1015" t="s">
        <v>354</v>
      </c>
      <c r="B23" s="479" t="s">
        <v>112</v>
      </c>
      <c r="C23" s="505">
        <v>45838</v>
      </c>
      <c r="D23" s="505" t="s">
        <v>133</v>
      </c>
      <c r="E23" s="490">
        <v>45786</v>
      </c>
      <c r="F23" s="505" t="s">
        <v>126</v>
      </c>
      <c r="G23" s="1029" t="s">
        <v>355</v>
      </c>
      <c r="H23" s="483">
        <v>0</v>
      </c>
      <c r="I23" s="484" t="s">
        <v>303</v>
      </c>
      <c r="J23" s="483" t="s">
        <v>63</v>
      </c>
      <c r="K23" s="483"/>
      <c r="L23" s="481">
        <v>45790</v>
      </c>
      <c r="M23" s="483" t="s">
        <v>57</v>
      </c>
      <c r="N23" s="560">
        <v>63283</v>
      </c>
      <c r="O23" s="483" t="s">
        <v>57</v>
      </c>
      <c r="P23" s="647" t="s">
        <v>304</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356</v>
      </c>
    </row>
    <row r="24" spans="1:30" ht="39.75" customHeight="1">
      <c r="A24" s="1015" t="s">
        <v>357</v>
      </c>
      <c r="B24" s="479" t="s">
        <v>112</v>
      </c>
      <c r="C24" s="490">
        <v>45960</v>
      </c>
      <c r="D24" s="481" t="s">
        <v>197</v>
      </c>
      <c r="E24" s="481">
        <v>45939</v>
      </c>
      <c r="F24" s="479" t="s">
        <v>126</v>
      </c>
      <c r="G24" s="709"/>
      <c r="H24" s="483">
        <v>385</v>
      </c>
      <c r="I24" s="687" t="s">
        <v>303</v>
      </c>
      <c r="J24" s="483" t="s">
        <v>56</v>
      </c>
      <c r="K24" s="483"/>
      <c r="L24" s="481">
        <v>45937</v>
      </c>
      <c r="M24" s="483" t="s">
        <v>57</v>
      </c>
      <c r="N24" s="560">
        <v>210533.1</v>
      </c>
      <c r="O24" s="483" t="s">
        <v>57</v>
      </c>
      <c r="P24" s="647" t="s">
        <v>304</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358</v>
      </c>
    </row>
    <row r="25" spans="1:30" ht="39.75" customHeight="1">
      <c r="A25" s="1015" t="s">
        <v>359</v>
      </c>
      <c r="B25" s="479" t="s">
        <v>112</v>
      </c>
      <c r="C25" s="490">
        <v>45930</v>
      </c>
      <c r="D25" s="481" t="s">
        <v>360</v>
      </c>
      <c r="E25" s="481">
        <v>45916</v>
      </c>
      <c r="F25" s="479" t="s">
        <v>113</v>
      </c>
      <c r="G25" s="709"/>
      <c r="H25" s="483">
        <v>84</v>
      </c>
      <c r="I25" s="687" t="s">
        <v>303</v>
      </c>
      <c r="J25" s="483" t="s">
        <v>56</v>
      </c>
      <c r="K25" s="483"/>
      <c r="L25" s="479" t="s">
        <v>304</v>
      </c>
      <c r="M25" s="483" t="s">
        <v>57</v>
      </c>
      <c r="N25" s="560">
        <v>30892</v>
      </c>
      <c r="O25" s="483" t="s">
        <v>57</v>
      </c>
      <c r="P25" s="647" t="s">
        <v>304</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361</v>
      </c>
    </row>
    <row r="26" spans="1:30" ht="39.75" customHeight="1">
      <c r="A26" s="649" t="s">
        <v>362</v>
      </c>
      <c r="B26" s="480" t="s">
        <v>50</v>
      </c>
      <c r="C26" s="490">
        <v>45742</v>
      </c>
      <c r="D26" s="490" t="s">
        <v>363</v>
      </c>
      <c r="E26" s="442">
        <v>45680</v>
      </c>
      <c r="F26" s="489" t="s">
        <v>61</v>
      </c>
      <c r="G26" s="509" t="s">
        <v>364</v>
      </c>
      <c r="H26" s="492">
        <v>79</v>
      </c>
      <c r="I26" s="498" t="s">
        <v>365</v>
      </c>
      <c r="J26" s="492" t="s">
        <v>63</v>
      </c>
      <c r="K26" s="492"/>
      <c r="L26" s="479" t="s">
        <v>304</v>
      </c>
      <c r="M26" s="498" t="s">
        <v>57</v>
      </c>
      <c r="N26" s="561">
        <v>64790.5</v>
      </c>
      <c r="O26" s="498" t="s">
        <v>57</v>
      </c>
      <c r="P26" s="647" t="s">
        <v>304</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366</v>
      </c>
    </row>
    <row r="27" spans="1:30" ht="39.75" customHeight="1">
      <c r="A27" s="1015" t="s">
        <v>367</v>
      </c>
      <c r="B27" s="887" t="s">
        <v>50</v>
      </c>
      <c r="C27" s="481">
        <v>45991</v>
      </c>
      <c r="D27" s="481" t="s">
        <v>60</v>
      </c>
      <c r="E27" s="490">
        <v>45743</v>
      </c>
      <c r="F27" s="489" t="s">
        <v>61</v>
      </c>
      <c r="G27" s="888" t="s">
        <v>368</v>
      </c>
      <c r="H27" s="492">
        <v>69</v>
      </c>
      <c r="I27" s="687" t="s">
        <v>303</v>
      </c>
      <c r="J27" s="483" t="s">
        <v>63</v>
      </c>
      <c r="K27" s="889"/>
      <c r="L27" s="490">
        <v>45741</v>
      </c>
      <c r="M27" s="483" t="s">
        <v>57</v>
      </c>
      <c r="N27" s="560">
        <v>67734.5</v>
      </c>
      <c r="O27" s="483" t="s">
        <v>57</v>
      </c>
      <c r="P27" s="647" t="s">
        <v>304</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369</v>
      </c>
      <c r="B28" s="480" t="s">
        <v>50</v>
      </c>
      <c r="C28" s="481">
        <v>45991</v>
      </c>
      <c r="D28" s="489" t="s">
        <v>370</v>
      </c>
      <c r="E28" s="442">
        <v>45735</v>
      </c>
      <c r="F28" s="489" t="s">
        <v>61</v>
      </c>
      <c r="G28" s="491" t="s">
        <v>371</v>
      </c>
      <c r="H28" s="492">
        <v>70</v>
      </c>
      <c r="I28" s="484" t="s">
        <v>303</v>
      </c>
      <c r="J28" s="492" t="s">
        <v>63</v>
      </c>
      <c r="K28" s="492"/>
      <c r="L28" s="481">
        <v>45716</v>
      </c>
      <c r="M28" s="492" t="s">
        <v>57</v>
      </c>
      <c r="N28" s="561">
        <v>56262.5</v>
      </c>
      <c r="O28" s="492" t="s">
        <v>57</v>
      </c>
      <c r="P28" s="739" t="s">
        <v>304</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372</v>
      </c>
    </row>
    <row r="29" spans="1:30" ht="39.75" customHeight="1">
      <c r="A29" s="1015" t="s">
        <v>373</v>
      </c>
      <c r="B29" s="887" t="s">
        <v>50</v>
      </c>
      <c r="C29" s="481">
        <v>45991</v>
      </c>
      <c r="D29" s="481" t="s">
        <v>60</v>
      </c>
      <c r="E29" s="490">
        <v>45779</v>
      </c>
      <c r="F29" s="489" t="s">
        <v>61</v>
      </c>
      <c r="G29" s="888" t="s">
        <v>374</v>
      </c>
      <c r="H29" s="492">
        <v>0</v>
      </c>
      <c r="I29" s="492" t="s">
        <v>303</v>
      </c>
      <c r="J29" s="483" t="s">
        <v>63</v>
      </c>
      <c r="K29" s="889"/>
      <c r="L29" s="490">
        <v>45742</v>
      </c>
      <c r="M29" s="483" t="s">
        <v>57</v>
      </c>
      <c r="N29" s="561">
        <v>23800.25</v>
      </c>
      <c r="O29" s="483" t="s">
        <v>57</v>
      </c>
      <c r="P29" s="1089" t="s">
        <v>304</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375</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topLeftCell="A6" zoomScale="80" zoomScaleNormal="80" workbookViewId="0">
      <selection activeCell="A16" sqref="A16:XFD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376</v>
      </c>
      <c r="B2" s="508" t="s">
        <v>204</v>
      </c>
      <c r="C2" s="481">
        <v>45868</v>
      </c>
      <c r="D2" s="489" t="s">
        <v>377</v>
      </c>
      <c r="E2" s="490">
        <v>45716</v>
      </c>
      <c r="F2" s="489" t="s">
        <v>209</v>
      </c>
      <c r="G2" s="617" t="s">
        <v>378</v>
      </c>
      <c r="H2" s="492">
        <v>0</v>
      </c>
      <c r="I2" s="498" t="s">
        <v>303</v>
      </c>
      <c r="J2" s="492" t="s">
        <v>63</v>
      </c>
      <c r="K2" s="504"/>
      <c r="L2" s="481">
        <v>45716</v>
      </c>
      <c r="M2" s="492" t="s">
        <v>57</v>
      </c>
      <c r="N2" s="561">
        <v>64932.55</v>
      </c>
      <c r="O2" s="492" t="s">
        <v>57</v>
      </c>
      <c r="P2" s="844" t="s">
        <v>304</v>
      </c>
      <c r="Q2" s="493">
        <v>45721</v>
      </c>
      <c r="R2" s="493"/>
      <c r="S2" s="493"/>
      <c r="T2" s="493"/>
      <c r="U2" s="501" t="s">
        <v>379</v>
      </c>
      <c r="V2" s="41">
        <v>5151</v>
      </c>
      <c r="W2" s="772">
        <v>5207</v>
      </c>
      <c r="X2" s="107">
        <f>SUM(V2-W2)</f>
        <v>-56</v>
      </c>
      <c r="Y2" s="22">
        <f>IFERROR($W2/$V2, 0)</f>
        <v>1.0108716754028344</v>
      </c>
      <c r="Z2" s="704">
        <v>45748</v>
      </c>
      <c r="AA2" s="366">
        <v>1</v>
      </c>
      <c r="AB2" s="366">
        <v>1</v>
      </c>
      <c r="AC2" s="41">
        <v>0</v>
      </c>
      <c r="AD2" s="946"/>
    </row>
    <row r="3" spans="1:30" ht="39.75" customHeight="1">
      <c r="A3" s="961" t="s">
        <v>380</v>
      </c>
      <c r="B3" s="508" t="s">
        <v>204</v>
      </c>
      <c r="C3" s="481">
        <v>45991</v>
      </c>
      <c r="D3" s="490" t="s">
        <v>318</v>
      </c>
      <c r="E3" s="442">
        <v>45707</v>
      </c>
      <c r="F3" s="489" t="s">
        <v>209</v>
      </c>
      <c r="G3" s="509" t="s">
        <v>381</v>
      </c>
      <c r="H3" s="498">
        <v>0</v>
      </c>
      <c r="I3" s="498" t="s">
        <v>303</v>
      </c>
      <c r="J3" s="498" t="s">
        <v>63</v>
      </c>
      <c r="K3" s="498"/>
      <c r="L3" s="490">
        <v>45708</v>
      </c>
      <c r="M3" s="498" t="s">
        <v>57</v>
      </c>
      <c r="N3" s="562">
        <v>87944.4</v>
      </c>
      <c r="O3" s="498" t="s">
        <v>57</v>
      </c>
      <c r="P3" s="844" t="s">
        <v>304</v>
      </c>
      <c r="Q3" s="493">
        <v>45709</v>
      </c>
      <c r="R3" s="493"/>
      <c r="S3" s="493"/>
      <c r="T3" s="493"/>
      <c r="U3" s="501" t="s">
        <v>379</v>
      </c>
      <c r="V3" s="510">
        <v>7008</v>
      </c>
      <c r="W3" s="771">
        <v>7258</v>
      </c>
      <c r="X3" s="107">
        <f t="shared" ref="X3" si="0">SUM(V3-W3)</f>
        <v>-250</v>
      </c>
      <c r="Y3" s="22">
        <f t="shared" ref="Y3" si="1">IFERROR($W3/$V3, 0)</f>
        <v>1.0356735159817352</v>
      </c>
      <c r="Z3" s="704">
        <v>45747</v>
      </c>
      <c r="AA3" s="487">
        <v>1</v>
      </c>
      <c r="AB3" s="487">
        <v>1</v>
      </c>
      <c r="AC3" s="856">
        <v>0</v>
      </c>
      <c r="AD3" s="947" t="s">
        <v>382</v>
      </c>
    </row>
    <row r="4" spans="1:30" ht="39.75" customHeight="1">
      <c r="A4" s="910" t="s">
        <v>383</v>
      </c>
      <c r="B4" s="897" t="s">
        <v>204</v>
      </c>
      <c r="C4" s="490">
        <v>45807</v>
      </c>
      <c r="D4" s="479" t="s">
        <v>377</v>
      </c>
      <c r="E4" s="489" t="s">
        <v>52</v>
      </c>
      <c r="F4" s="479" t="s">
        <v>209</v>
      </c>
      <c r="G4" s="888" t="s">
        <v>384</v>
      </c>
      <c r="H4" s="483">
        <v>84</v>
      </c>
      <c r="I4" s="893" t="s">
        <v>303</v>
      </c>
      <c r="J4" s="492" t="s">
        <v>63</v>
      </c>
      <c r="K4" s="911"/>
      <c r="L4" s="481">
        <v>45716</v>
      </c>
      <c r="M4" s="492" t="s">
        <v>57</v>
      </c>
      <c r="N4" s="560">
        <v>2812.95</v>
      </c>
      <c r="O4" s="492" t="s">
        <v>57</v>
      </c>
      <c r="P4" s="844" t="s">
        <v>304</v>
      </c>
      <c r="Q4" s="493">
        <v>45792</v>
      </c>
      <c r="R4" s="493">
        <v>45947</v>
      </c>
      <c r="S4" s="363"/>
      <c r="T4" s="363"/>
      <c r="U4" s="501" t="s">
        <v>379</v>
      </c>
      <c r="V4" s="41">
        <v>285</v>
      </c>
      <c r="W4" s="912">
        <v>285</v>
      </c>
      <c r="X4" s="486">
        <f>SUM(V4-W4)</f>
        <v>0</v>
      </c>
      <c r="Y4" s="688">
        <f>IFERROR($W4/$V4, 0)</f>
        <v>1</v>
      </c>
      <c r="Z4" s="493">
        <v>45798</v>
      </c>
      <c r="AA4" s="688">
        <v>1</v>
      </c>
      <c r="AB4" s="688">
        <v>1</v>
      </c>
      <c r="AC4" s="486">
        <v>3451</v>
      </c>
      <c r="AD4" s="690"/>
    </row>
    <row r="5" spans="1:30" ht="39.75" customHeight="1">
      <c r="A5" s="913" t="s">
        <v>385</v>
      </c>
      <c r="B5" s="508" t="s">
        <v>204</v>
      </c>
      <c r="C5" s="481">
        <v>45991</v>
      </c>
      <c r="D5" s="489" t="s">
        <v>60</v>
      </c>
      <c r="E5" s="490">
        <v>45880</v>
      </c>
      <c r="F5" s="489" t="s">
        <v>225</v>
      </c>
      <c r="G5" s="491" t="s">
        <v>386</v>
      </c>
      <c r="H5" s="492">
        <v>0</v>
      </c>
      <c r="I5" s="498" t="s">
        <v>303</v>
      </c>
      <c r="J5" s="492" t="s">
        <v>63</v>
      </c>
      <c r="K5" s="504"/>
      <c r="L5" s="490">
        <v>45881</v>
      </c>
      <c r="M5" s="492" t="s">
        <v>57</v>
      </c>
      <c r="N5" s="561">
        <v>4815.6499999999996</v>
      </c>
      <c r="O5" s="492" t="s">
        <v>57</v>
      </c>
      <c r="P5" s="844" t="s">
        <v>304</v>
      </c>
      <c r="Q5" s="493">
        <v>45881</v>
      </c>
      <c r="R5" s="493">
        <v>45947</v>
      </c>
      <c r="S5" s="493"/>
      <c r="T5" s="493"/>
      <c r="U5" s="501" t="s">
        <v>379</v>
      </c>
      <c r="V5" s="41">
        <v>321</v>
      </c>
      <c r="W5" s="772">
        <v>367</v>
      </c>
      <c r="X5" s="107">
        <f>SUM(V5-W5)</f>
        <v>-46</v>
      </c>
      <c r="Y5" s="22">
        <f>IFERROR($W5/$V5, 0)</f>
        <v>1.1433021806853583</v>
      </c>
      <c r="Z5" s="704">
        <v>45905</v>
      </c>
      <c r="AA5" s="366">
        <v>0</v>
      </c>
      <c r="AB5" s="366">
        <v>0</v>
      </c>
      <c r="AC5" s="41">
        <v>0</v>
      </c>
      <c r="AD5" s="533"/>
    </row>
    <row r="6" spans="1:30" ht="39.75" customHeight="1">
      <c r="A6" s="1032" t="s">
        <v>387</v>
      </c>
      <c r="B6" s="900" t="s">
        <v>204</v>
      </c>
      <c r="C6" s="901">
        <v>45955</v>
      </c>
      <c r="D6" s="902" t="s">
        <v>133</v>
      </c>
      <c r="E6" s="902">
        <v>45919</v>
      </c>
      <c r="F6" s="902" t="s">
        <v>230</v>
      </c>
      <c r="G6" s="903" t="s">
        <v>388</v>
      </c>
      <c r="H6" s="405">
        <v>0</v>
      </c>
      <c r="I6" s="904" t="s">
        <v>303</v>
      </c>
      <c r="J6" s="405" t="s">
        <v>63</v>
      </c>
      <c r="K6" s="405"/>
      <c r="L6" s="902" t="s">
        <v>52</v>
      </c>
      <c r="M6" s="405" t="s">
        <v>57</v>
      </c>
      <c r="N6" s="905">
        <v>4646.75</v>
      </c>
      <c r="O6" s="405" t="s">
        <v>94</v>
      </c>
      <c r="P6" s="1002" t="s">
        <v>304</v>
      </c>
      <c r="Q6" s="618"/>
      <c r="R6" s="618">
        <v>45947</v>
      </c>
      <c r="S6" s="618"/>
      <c r="T6" s="618"/>
      <c r="U6" s="501" t="s">
        <v>379</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389</v>
      </c>
      <c r="B7" s="506" t="s">
        <v>112</v>
      </c>
      <c r="C7" s="521">
        <v>45930</v>
      </c>
      <c r="D7" s="521" t="s">
        <v>60</v>
      </c>
      <c r="E7" s="521">
        <v>45918</v>
      </c>
      <c r="F7" s="506" t="s">
        <v>113</v>
      </c>
      <c r="G7" s="1028"/>
      <c r="H7" s="520">
        <v>0</v>
      </c>
      <c r="I7" s="1030" t="s">
        <v>303</v>
      </c>
      <c r="J7" s="520" t="s">
        <v>63</v>
      </c>
      <c r="K7" s="520"/>
      <c r="L7" s="514">
        <v>45918</v>
      </c>
      <c r="M7" s="520" t="s">
        <v>57</v>
      </c>
      <c r="N7" s="563">
        <v>10840.25</v>
      </c>
      <c r="O7" s="520" t="s">
        <v>57</v>
      </c>
      <c r="P7" s="1047" t="s">
        <v>304</v>
      </c>
      <c r="Q7" s="493">
        <v>45912</v>
      </c>
      <c r="R7" s="485"/>
      <c r="S7" s="485"/>
      <c r="T7" s="485"/>
      <c r="U7" s="501" t="s">
        <v>379</v>
      </c>
      <c r="V7" s="486">
        <v>865</v>
      </c>
      <c r="W7" s="772">
        <v>851</v>
      </c>
      <c r="X7" s="107">
        <f t="shared" si="2"/>
        <v>14</v>
      </c>
      <c r="Y7" s="683">
        <f t="shared" si="3"/>
        <v>0.98381502890173411</v>
      </c>
      <c r="Z7" s="678">
        <v>45924</v>
      </c>
      <c r="AA7" s="517">
        <v>1</v>
      </c>
      <c r="AB7" s="517">
        <v>1</v>
      </c>
      <c r="AC7" s="668">
        <v>0</v>
      </c>
      <c r="AD7" s="949" t="s">
        <v>390</v>
      </c>
    </row>
    <row r="8" spans="1:30" ht="39.75" customHeight="1">
      <c r="A8" s="913" t="s">
        <v>391</v>
      </c>
      <c r="B8" s="479" t="s">
        <v>112</v>
      </c>
      <c r="C8" s="490">
        <v>45899</v>
      </c>
      <c r="D8" s="529" t="s">
        <v>392</v>
      </c>
      <c r="E8" s="490">
        <v>45889</v>
      </c>
      <c r="F8" s="505" t="s">
        <v>126</v>
      </c>
      <c r="G8" s="491"/>
      <c r="H8" s="492">
        <v>76</v>
      </c>
      <c r="I8" s="498" t="s">
        <v>303</v>
      </c>
      <c r="J8" s="492" t="s">
        <v>63</v>
      </c>
      <c r="K8" s="504"/>
      <c r="L8" s="490">
        <v>45888</v>
      </c>
      <c r="M8" s="492" t="s">
        <v>57</v>
      </c>
      <c r="N8" s="561">
        <v>53902</v>
      </c>
      <c r="O8" s="492" t="s">
        <v>57</v>
      </c>
      <c r="P8" s="844" t="s">
        <v>304</v>
      </c>
      <c r="Q8" s="493">
        <v>45887</v>
      </c>
      <c r="R8" s="493"/>
      <c r="S8" s="493"/>
      <c r="T8" s="493"/>
      <c r="U8" s="501" t="s">
        <v>379</v>
      </c>
      <c r="V8" s="41">
        <v>3566</v>
      </c>
      <c r="W8" s="772">
        <v>3704</v>
      </c>
      <c r="X8" s="107">
        <f t="shared" si="2"/>
        <v>-138</v>
      </c>
      <c r="Y8" s="22">
        <f t="shared" si="3"/>
        <v>1.0386988222097588</v>
      </c>
      <c r="Z8" s="704">
        <v>45904</v>
      </c>
      <c r="AA8" s="366">
        <v>1</v>
      </c>
      <c r="AB8" s="366">
        <v>1</v>
      </c>
      <c r="AC8" s="668">
        <v>0</v>
      </c>
      <c r="AD8" s="533" t="s">
        <v>393</v>
      </c>
    </row>
    <row r="9" spans="1:30" ht="39.75" customHeight="1">
      <c r="A9" s="913" t="s">
        <v>394</v>
      </c>
      <c r="B9" s="479" t="s">
        <v>112</v>
      </c>
      <c r="C9" s="490">
        <v>45930</v>
      </c>
      <c r="D9" s="481" t="s">
        <v>133</v>
      </c>
      <c r="E9" s="481">
        <v>45896</v>
      </c>
      <c r="F9" s="505" t="s">
        <v>126</v>
      </c>
      <c r="G9" s="479" t="s">
        <v>395</v>
      </c>
      <c r="H9" s="483">
        <v>72</v>
      </c>
      <c r="I9" s="483" t="s">
        <v>303</v>
      </c>
      <c r="J9" s="483" t="s">
        <v>63</v>
      </c>
      <c r="K9" s="483"/>
      <c r="L9" s="481">
        <v>45897</v>
      </c>
      <c r="M9" s="483" t="s">
        <v>57</v>
      </c>
      <c r="N9" s="560">
        <v>50874.95</v>
      </c>
      <c r="O9" s="483" t="s">
        <v>57</v>
      </c>
      <c r="P9" s="844" t="s">
        <v>304</v>
      </c>
      <c r="Q9" s="485">
        <v>45897</v>
      </c>
      <c r="R9" s="496"/>
      <c r="S9" s="496"/>
      <c r="T9" s="496"/>
      <c r="U9" s="501" t="s">
        <v>379</v>
      </c>
      <c r="V9" s="486">
        <v>3012</v>
      </c>
      <c r="W9" s="772">
        <v>3012</v>
      </c>
      <c r="X9" s="486">
        <f t="shared" si="2"/>
        <v>0</v>
      </c>
      <c r="Y9" s="688">
        <f t="shared" si="3"/>
        <v>1</v>
      </c>
      <c r="Z9" s="493">
        <v>45916</v>
      </c>
      <c r="AA9" s="366">
        <v>1</v>
      </c>
      <c r="AB9" s="366">
        <v>1</v>
      </c>
      <c r="AC9" s="668">
        <v>0</v>
      </c>
      <c r="AD9" s="177" t="s">
        <v>396</v>
      </c>
    </row>
    <row r="10" spans="1:30" ht="39.75" customHeight="1">
      <c r="A10" s="910" t="s">
        <v>397</v>
      </c>
      <c r="B10" s="479" t="s">
        <v>112</v>
      </c>
      <c r="C10" s="490">
        <v>45930</v>
      </c>
      <c r="D10" s="481" t="s">
        <v>133</v>
      </c>
      <c r="E10" s="665">
        <v>45910</v>
      </c>
      <c r="F10" s="665" t="s">
        <v>126</v>
      </c>
      <c r="G10" s="479" t="s">
        <v>398</v>
      </c>
      <c r="H10" s="483">
        <v>87</v>
      </c>
      <c r="I10" s="483" t="s">
        <v>303</v>
      </c>
      <c r="J10" s="483" t="s">
        <v>63</v>
      </c>
      <c r="K10" s="483"/>
      <c r="L10" s="481">
        <v>45912</v>
      </c>
      <c r="M10" s="483" t="s">
        <v>57</v>
      </c>
      <c r="N10" s="560">
        <v>60115.95</v>
      </c>
      <c r="O10" s="483" t="s">
        <v>57</v>
      </c>
      <c r="P10" s="844" t="s">
        <v>304</v>
      </c>
      <c r="Q10" s="485">
        <v>45908</v>
      </c>
      <c r="R10" s="485"/>
      <c r="S10" s="485"/>
      <c r="T10" s="485"/>
      <c r="U10" s="501" t="s">
        <v>379</v>
      </c>
      <c r="V10" s="486">
        <v>4774</v>
      </c>
      <c r="W10" s="772">
        <v>4605</v>
      </c>
      <c r="X10" s="107">
        <f t="shared" si="2"/>
        <v>169</v>
      </c>
      <c r="Y10" s="22">
        <f t="shared" si="3"/>
        <v>0.96459991621281949</v>
      </c>
      <c r="Z10" s="704">
        <v>45930</v>
      </c>
      <c r="AA10" s="366">
        <v>1</v>
      </c>
      <c r="AB10" s="366">
        <v>1</v>
      </c>
      <c r="AC10" s="668">
        <v>0</v>
      </c>
      <c r="AD10" s="427" t="s">
        <v>399</v>
      </c>
    </row>
    <row r="11" spans="1:30" ht="39.75" customHeight="1">
      <c r="A11" s="913" t="s">
        <v>400</v>
      </c>
      <c r="B11" s="479" t="s">
        <v>112</v>
      </c>
      <c r="C11" s="490">
        <v>45930</v>
      </c>
      <c r="D11" s="481" t="s">
        <v>133</v>
      </c>
      <c r="E11" s="665">
        <v>45910</v>
      </c>
      <c r="F11" s="479" t="s">
        <v>113</v>
      </c>
      <c r="G11" s="479" t="s">
        <v>401</v>
      </c>
      <c r="H11" s="483">
        <v>80</v>
      </c>
      <c r="I11" s="483" t="s">
        <v>303</v>
      </c>
      <c r="J11" s="483" t="s">
        <v>63</v>
      </c>
      <c r="K11" s="483"/>
      <c r="L11" s="481">
        <v>45903</v>
      </c>
      <c r="M11" s="483" t="s">
        <v>57</v>
      </c>
      <c r="N11" s="560">
        <v>59116.7</v>
      </c>
      <c r="O11" s="483" t="s">
        <v>57</v>
      </c>
      <c r="P11" s="844" t="s">
        <v>304</v>
      </c>
      <c r="Q11" s="485">
        <v>45903</v>
      </c>
      <c r="R11" s="496"/>
      <c r="S11" s="496"/>
      <c r="T11" s="485"/>
      <c r="U11" s="501" t="s">
        <v>379</v>
      </c>
      <c r="V11" s="486">
        <v>4833</v>
      </c>
      <c r="W11" s="772">
        <v>4446</v>
      </c>
      <c r="X11" s="107">
        <f t="shared" si="2"/>
        <v>387</v>
      </c>
      <c r="Y11" s="22">
        <f t="shared" si="3"/>
        <v>0.91992551210428308</v>
      </c>
      <c r="Z11" s="704">
        <v>45923</v>
      </c>
      <c r="AA11" s="366">
        <v>1</v>
      </c>
      <c r="AB11" s="366">
        <v>1</v>
      </c>
      <c r="AC11" s="668">
        <v>0</v>
      </c>
      <c r="AD11" s="427" t="s">
        <v>402</v>
      </c>
    </row>
    <row r="12" spans="1:30" ht="39.75" customHeight="1">
      <c r="A12" s="910" t="s">
        <v>403</v>
      </c>
      <c r="B12" s="479" t="s">
        <v>112</v>
      </c>
      <c r="C12" s="490">
        <v>45930</v>
      </c>
      <c r="D12" s="481" t="s">
        <v>133</v>
      </c>
      <c r="E12" s="665">
        <v>45910</v>
      </c>
      <c r="F12" s="665" t="s">
        <v>126</v>
      </c>
      <c r="G12" s="709" t="s">
        <v>404</v>
      </c>
      <c r="H12" s="483">
        <v>67</v>
      </c>
      <c r="I12" s="687" t="s">
        <v>303</v>
      </c>
      <c r="J12" s="483" t="s">
        <v>63</v>
      </c>
      <c r="K12" s="483"/>
      <c r="L12" s="481">
        <v>45903</v>
      </c>
      <c r="M12" s="483" t="s">
        <v>57</v>
      </c>
      <c r="N12" s="560">
        <v>40406</v>
      </c>
      <c r="O12" s="483" t="s">
        <v>57</v>
      </c>
      <c r="P12" s="844" t="s">
        <v>304</v>
      </c>
      <c r="Q12" s="485">
        <v>45903</v>
      </c>
      <c r="R12" s="571"/>
      <c r="S12" s="571"/>
      <c r="T12" s="571"/>
      <c r="U12" s="501" t="s">
        <v>379</v>
      </c>
      <c r="V12" s="486">
        <v>3895</v>
      </c>
      <c r="W12" s="772">
        <v>3809</v>
      </c>
      <c r="X12" s="107">
        <f t="shared" si="2"/>
        <v>86</v>
      </c>
      <c r="Y12" s="683">
        <f t="shared" si="3"/>
        <v>0.97792041078305525</v>
      </c>
      <c r="Z12" s="704">
        <v>45924</v>
      </c>
      <c r="AA12" s="366">
        <v>1</v>
      </c>
      <c r="AB12" s="366">
        <v>1</v>
      </c>
      <c r="AC12" s="668">
        <v>0</v>
      </c>
      <c r="AD12" s="948" t="s">
        <v>405</v>
      </c>
    </row>
    <row r="13" spans="1:30" ht="39.75" customHeight="1">
      <c r="A13" s="913" t="s">
        <v>406</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4" t="s">
        <v>304</v>
      </c>
      <c r="Q13" s="485">
        <v>45903</v>
      </c>
      <c r="R13" s="571"/>
      <c r="S13" s="571"/>
      <c r="T13" s="571"/>
      <c r="U13" s="501" t="s">
        <v>379</v>
      </c>
      <c r="V13" s="486">
        <v>2084</v>
      </c>
      <c r="W13" s="772">
        <v>2039</v>
      </c>
      <c r="X13" s="107">
        <f t="shared" si="2"/>
        <v>45</v>
      </c>
      <c r="Y13" s="683">
        <f t="shared" si="3"/>
        <v>0.97840690978886757</v>
      </c>
      <c r="Z13" s="704">
        <v>45918</v>
      </c>
      <c r="AA13" s="366">
        <v>1</v>
      </c>
      <c r="AB13" s="366">
        <v>1</v>
      </c>
      <c r="AC13" s="668">
        <v>0</v>
      </c>
      <c r="AD13" s="949" t="s">
        <v>407</v>
      </c>
    </row>
    <row r="14" spans="1:30" ht="39.75" customHeight="1">
      <c r="A14" s="913" t="s">
        <v>408</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4" t="s">
        <v>304</v>
      </c>
      <c r="Q14" s="485">
        <v>45896</v>
      </c>
      <c r="R14" s="496"/>
      <c r="S14" s="496"/>
      <c r="T14" s="496"/>
      <c r="U14" s="501" t="s">
        <v>379</v>
      </c>
      <c r="V14" s="486">
        <v>4048</v>
      </c>
      <c r="W14" s="772">
        <v>5120</v>
      </c>
      <c r="X14" s="107">
        <f t="shared" si="2"/>
        <v>-1072</v>
      </c>
      <c r="Y14" s="22">
        <f t="shared" si="3"/>
        <v>1.2648221343873518</v>
      </c>
      <c r="Z14" s="704">
        <v>45910</v>
      </c>
      <c r="AA14" s="366">
        <v>1</v>
      </c>
      <c r="AB14" s="366">
        <v>1</v>
      </c>
      <c r="AC14" s="909">
        <v>0</v>
      </c>
      <c r="AD14" s="948" t="s">
        <v>409</v>
      </c>
    </row>
    <row r="15" spans="1:30" ht="39.75" customHeight="1">
      <c r="A15" s="1018" t="s">
        <v>410</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4" t="s">
        <v>304</v>
      </c>
      <c r="Q15" s="485">
        <v>45912</v>
      </c>
      <c r="R15" s="571"/>
      <c r="S15" s="571"/>
      <c r="T15" s="571"/>
      <c r="U15" s="501" t="s">
        <v>379</v>
      </c>
      <c r="V15" s="486">
        <v>4022</v>
      </c>
      <c r="W15" s="772">
        <v>3933</v>
      </c>
      <c r="X15" s="107">
        <f t="shared" si="2"/>
        <v>89</v>
      </c>
      <c r="Y15" s="683">
        <f t="shared" si="3"/>
        <v>0.97787170561909498</v>
      </c>
      <c r="Z15" s="704">
        <v>45931</v>
      </c>
      <c r="AA15" s="366">
        <v>1</v>
      </c>
      <c r="AB15" s="366">
        <v>1</v>
      </c>
      <c r="AC15" s="668">
        <v>0</v>
      </c>
      <c r="AD15" s="787" t="s">
        <v>411</v>
      </c>
    </row>
    <row r="16" spans="1:30" ht="39.75" customHeight="1">
      <c r="A16" s="913" t="s">
        <v>412</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4" t="s">
        <v>304</v>
      </c>
      <c r="Q16" s="485">
        <v>45912</v>
      </c>
      <c r="R16" s="485"/>
      <c r="S16" s="485"/>
      <c r="T16" s="485"/>
      <c r="U16" s="501" t="s">
        <v>379</v>
      </c>
      <c r="V16" s="486">
        <v>5653</v>
      </c>
      <c r="W16" s="772">
        <v>5653</v>
      </c>
      <c r="X16" s="107">
        <f t="shared" si="2"/>
        <v>0</v>
      </c>
      <c r="Y16" s="683">
        <f t="shared" si="3"/>
        <v>1</v>
      </c>
      <c r="Z16" s="704">
        <v>45932</v>
      </c>
      <c r="AA16" s="366">
        <v>1</v>
      </c>
      <c r="AB16" s="366">
        <v>1</v>
      </c>
      <c r="AC16" s="822">
        <v>0</v>
      </c>
      <c r="AD16" s="948" t="s">
        <v>413</v>
      </c>
    </row>
    <row r="17" spans="1:30" ht="39.75" customHeight="1">
      <c r="A17" s="910" t="s">
        <v>414</v>
      </c>
      <c r="B17" s="708" t="s">
        <v>112</v>
      </c>
      <c r="C17" s="490">
        <v>45930</v>
      </c>
      <c r="D17" s="665" t="s">
        <v>60</v>
      </c>
      <c r="E17" s="481">
        <v>45902</v>
      </c>
      <c r="F17" s="479" t="s">
        <v>113</v>
      </c>
      <c r="G17" s="788"/>
      <c r="H17" s="483">
        <v>0</v>
      </c>
      <c r="I17" s="687" t="s">
        <v>303</v>
      </c>
      <c r="J17" s="483" t="s">
        <v>63</v>
      </c>
      <c r="K17" s="483"/>
      <c r="L17" s="490">
        <v>45902</v>
      </c>
      <c r="M17" s="483" t="s">
        <v>57</v>
      </c>
      <c r="N17" s="560">
        <v>5604.6</v>
      </c>
      <c r="O17" s="483" t="s">
        <v>57</v>
      </c>
      <c r="P17" s="844" t="s">
        <v>304</v>
      </c>
      <c r="Q17" s="493">
        <v>45902</v>
      </c>
      <c r="R17" s="485"/>
      <c r="S17" s="485"/>
      <c r="T17" s="485"/>
      <c r="U17" s="501" t="s">
        <v>379</v>
      </c>
      <c r="V17" s="486">
        <v>328</v>
      </c>
      <c r="W17" s="772">
        <v>335</v>
      </c>
      <c r="X17" s="486">
        <f t="shared" si="2"/>
        <v>-7</v>
      </c>
      <c r="Y17" s="487">
        <f t="shared" si="3"/>
        <v>1.0213414634146341</v>
      </c>
      <c r="Z17" s="493">
        <v>45922</v>
      </c>
      <c r="AA17" s="366">
        <v>1</v>
      </c>
      <c r="AB17" s="366">
        <v>1</v>
      </c>
      <c r="AC17" s="486">
        <v>0</v>
      </c>
      <c r="AD17" s="787" t="s">
        <v>415</v>
      </c>
    </row>
    <row r="18" spans="1:30" ht="39.75" customHeight="1">
      <c r="A18" s="1046" t="s">
        <v>416</v>
      </c>
      <c r="B18" s="1027" t="s">
        <v>112</v>
      </c>
      <c r="C18" s="514">
        <v>45960</v>
      </c>
      <c r="D18" s="481" t="s">
        <v>60</v>
      </c>
      <c r="E18" s="521">
        <v>45945</v>
      </c>
      <c r="F18" s="506" t="s">
        <v>113</v>
      </c>
      <c r="G18" s="1028"/>
      <c r="H18" s="520">
        <v>0</v>
      </c>
      <c r="I18" s="520" t="s">
        <v>303</v>
      </c>
      <c r="J18" s="520" t="s">
        <v>63</v>
      </c>
      <c r="K18" s="520"/>
      <c r="L18" s="521">
        <v>45936</v>
      </c>
      <c r="M18" s="520" t="s">
        <v>57</v>
      </c>
      <c r="N18" s="563">
        <v>4235.8</v>
      </c>
      <c r="O18" s="520" t="s">
        <v>57</v>
      </c>
      <c r="P18" s="1047" t="s">
        <v>304</v>
      </c>
      <c r="Q18" s="485">
        <v>45939</v>
      </c>
      <c r="R18" s="485"/>
      <c r="S18" s="485"/>
      <c r="T18" s="485"/>
      <c r="U18" s="501" t="s">
        <v>379</v>
      </c>
      <c r="V18" s="430">
        <v>228</v>
      </c>
      <c r="W18" s="1048">
        <v>240</v>
      </c>
      <c r="X18" s="107">
        <f t="shared" si="2"/>
        <v>-12</v>
      </c>
      <c r="Y18" s="683">
        <f t="shared" si="3"/>
        <v>1.0526315789473684</v>
      </c>
      <c r="Z18" s="704">
        <v>45945</v>
      </c>
      <c r="AA18" s="366">
        <v>1</v>
      </c>
      <c r="AB18" s="366">
        <v>1</v>
      </c>
      <c r="AC18" s="486">
        <v>0</v>
      </c>
      <c r="AD18" s="533" t="s">
        <v>417</v>
      </c>
    </row>
    <row r="19" spans="1:30" ht="39.75" customHeight="1">
      <c r="A19" s="910" t="s">
        <v>418</v>
      </c>
      <c r="B19" s="921" t="s">
        <v>112</v>
      </c>
      <c r="C19" s="490">
        <v>45930</v>
      </c>
      <c r="D19" s="665" t="s">
        <v>60</v>
      </c>
      <c r="E19" s="481">
        <v>45902</v>
      </c>
      <c r="F19" s="479" t="s">
        <v>113</v>
      </c>
      <c r="G19" s="479"/>
      <c r="H19" s="483">
        <v>0</v>
      </c>
      <c r="I19" s="483" t="s">
        <v>303</v>
      </c>
      <c r="J19" s="483" t="s">
        <v>63</v>
      </c>
      <c r="K19" s="483"/>
      <c r="L19" s="481">
        <v>45902</v>
      </c>
      <c r="M19" s="483" t="s">
        <v>57</v>
      </c>
      <c r="N19" s="560">
        <v>12695</v>
      </c>
      <c r="O19" s="483" t="s">
        <v>57</v>
      </c>
      <c r="P19" s="844" t="s">
        <v>304</v>
      </c>
      <c r="Q19" s="485">
        <v>45902</v>
      </c>
      <c r="R19" s="485"/>
      <c r="S19" s="485"/>
      <c r="T19" s="485"/>
      <c r="U19" s="501" t="s">
        <v>379</v>
      </c>
      <c r="V19" s="822">
        <v>1010</v>
      </c>
      <c r="W19" s="964">
        <v>978</v>
      </c>
      <c r="X19" s="486">
        <f t="shared" si="2"/>
        <v>32</v>
      </c>
      <c r="Y19" s="688">
        <f t="shared" si="3"/>
        <v>0.96831683168316829</v>
      </c>
      <c r="Z19" s="493">
        <v>45911</v>
      </c>
      <c r="AA19" s="366">
        <v>1</v>
      </c>
      <c r="AB19" s="366">
        <v>1</v>
      </c>
      <c r="AC19" s="486">
        <v>0</v>
      </c>
      <c r="AD19" s="787" t="s">
        <v>419</v>
      </c>
    </row>
    <row r="20" spans="1:30" ht="39.75" customHeight="1">
      <c r="A20" s="910" t="s">
        <v>420</v>
      </c>
      <c r="B20" s="479" t="s">
        <v>112</v>
      </c>
      <c r="C20" s="490">
        <v>45960</v>
      </c>
      <c r="D20" s="481" t="s">
        <v>421</v>
      </c>
      <c r="E20" s="481">
        <v>45915</v>
      </c>
      <c r="F20" s="479" t="s">
        <v>422</v>
      </c>
      <c r="G20" s="709"/>
      <c r="H20" s="483">
        <v>384</v>
      </c>
      <c r="I20" s="687" t="s">
        <v>303</v>
      </c>
      <c r="J20" s="483" t="s">
        <v>56</v>
      </c>
      <c r="K20" s="483"/>
      <c r="L20" s="481">
        <v>45905</v>
      </c>
      <c r="M20" s="483" t="s">
        <v>57</v>
      </c>
      <c r="N20" s="560">
        <v>145985.5</v>
      </c>
      <c r="O20" s="483" t="s">
        <v>57</v>
      </c>
      <c r="P20" s="844" t="s">
        <v>304</v>
      </c>
      <c r="Q20" s="485">
        <v>45906</v>
      </c>
      <c r="R20" s="485"/>
      <c r="S20" s="485"/>
      <c r="T20" s="485"/>
      <c r="U20" s="501" t="s">
        <v>379</v>
      </c>
      <c r="V20" s="822">
        <v>14150</v>
      </c>
      <c r="W20" s="964">
        <v>15469</v>
      </c>
      <c r="X20" s="107">
        <f t="shared" si="2"/>
        <v>-1319</v>
      </c>
      <c r="Y20" s="683">
        <f t="shared" si="3"/>
        <v>1.0932155477031802</v>
      </c>
      <c r="Z20" s="704">
        <v>45926</v>
      </c>
      <c r="AA20" s="366">
        <v>1</v>
      </c>
      <c r="AB20" s="366">
        <v>1</v>
      </c>
      <c r="AC20" s="486">
        <v>0</v>
      </c>
      <c r="AD20" s="946" t="s">
        <v>423</v>
      </c>
    </row>
    <row r="21" spans="1:30" ht="39.75" customHeight="1">
      <c r="A21" s="910" t="s">
        <v>424</v>
      </c>
      <c r="B21" s="887" t="s">
        <v>50</v>
      </c>
      <c r="C21" s="665">
        <v>45838</v>
      </c>
      <c r="D21" s="489" t="s">
        <v>425</v>
      </c>
      <c r="E21" s="490">
        <v>45727</v>
      </c>
      <c r="F21" s="489" t="s">
        <v>61</v>
      </c>
      <c r="G21" s="914" t="s">
        <v>426</v>
      </c>
      <c r="H21" s="492">
        <v>71</v>
      </c>
      <c r="I21" s="893" t="s">
        <v>303</v>
      </c>
      <c r="J21" s="492" t="s">
        <v>63</v>
      </c>
      <c r="K21" s="504"/>
      <c r="L21" s="490">
        <v>45728</v>
      </c>
      <c r="M21" s="492" t="s">
        <v>57</v>
      </c>
      <c r="N21" s="561">
        <v>60843.5</v>
      </c>
      <c r="O21" s="492" t="s">
        <v>57</v>
      </c>
      <c r="P21" s="844" t="s">
        <v>304</v>
      </c>
      <c r="Q21" s="493">
        <v>45722</v>
      </c>
      <c r="R21" s="493">
        <v>45917</v>
      </c>
      <c r="S21" s="493">
        <v>45939</v>
      </c>
      <c r="T21" s="493"/>
      <c r="U21" s="501" t="s">
        <v>379</v>
      </c>
      <c r="V21" s="915">
        <v>4979</v>
      </c>
      <c r="W21" s="772">
        <v>5020</v>
      </c>
      <c r="X21" s="486">
        <f t="shared" si="2"/>
        <v>-41</v>
      </c>
      <c r="Y21" s="688">
        <f t="shared" si="3"/>
        <v>1.0082345852580838</v>
      </c>
      <c r="Z21" s="493">
        <v>45741</v>
      </c>
      <c r="AA21" s="688">
        <v>1</v>
      </c>
      <c r="AB21" s="688">
        <v>1</v>
      </c>
      <c r="AC21" s="363">
        <v>0</v>
      </c>
      <c r="AD21" s="690" t="s">
        <v>427</v>
      </c>
    </row>
    <row r="22" spans="1:30" ht="39.75" customHeight="1">
      <c r="A22" s="1016" t="s">
        <v>428</v>
      </c>
      <c r="B22" s="528" t="s">
        <v>50</v>
      </c>
      <c r="C22" s="514">
        <v>45772</v>
      </c>
      <c r="D22" s="529" t="s">
        <v>429</v>
      </c>
      <c r="E22" s="529">
        <v>45693</v>
      </c>
      <c r="F22" s="519" t="s">
        <v>61</v>
      </c>
      <c r="G22" s="530" t="s">
        <v>430</v>
      </c>
      <c r="H22" s="522">
        <v>86</v>
      </c>
      <c r="I22" s="524" t="s">
        <v>303</v>
      </c>
      <c r="J22" s="522" t="s">
        <v>63</v>
      </c>
      <c r="K22" s="522"/>
      <c r="L22" s="529">
        <v>45714</v>
      </c>
      <c r="M22" s="522" t="s">
        <v>57</v>
      </c>
      <c r="N22" s="564">
        <v>94170.5</v>
      </c>
      <c r="O22" s="522" t="s">
        <v>57</v>
      </c>
      <c r="P22" s="1017" t="s">
        <v>304</v>
      </c>
      <c r="Q22" s="493">
        <v>45693</v>
      </c>
      <c r="R22" s="493">
        <v>45869</v>
      </c>
      <c r="S22" s="493">
        <v>45903</v>
      </c>
      <c r="T22" s="493"/>
      <c r="U22" s="501" t="s">
        <v>379</v>
      </c>
      <c r="V22" s="510">
        <v>7980</v>
      </c>
      <c r="W22" s="771">
        <v>7901</v>
      </c>
      <c r="X22" s="107">
        <f t="shared" si="2"/>
        <v>79</v>
      </c>
      <c r="Y22" s="22">
        <f t="shared" si="3"/>
        <v>0.99010025062656637</v>
      </c>
      <c r="Z22" s="704">
        <v>45713</v>
      </c>
      <c r="AA22" s="487">
        <v>1</v>
      </c>
      <c r="AB22" s="487">
        <v>1</v>
      </c>
      <c r="AC22" s="856">
        <v>0</v>
      </c>
      <c r="AD22" s="176" t="s">
        <v>431</v>
      </c>
    </row>
    <row r="23" spans="1:30" ht="39.75" customHeight="1">
      <c r="A23" s="1016" t="s">
        <v>432</v>
      </c>
      <c r="B23" s="528" t="s">
        <v>50</v>
      </c>
      <c r="C23" s="514">
        <v>45772</v>
      </c>
      <c r="D23" s="529" t="s">
        <v>429</v>
      </c>
      <c r="E23" s="529">
        <v>45698</v>
      </c>
      <c r="F23" s="514" t="s">
        <v>61</v>
      </c>
      <c r="G23" s="530" t="s">
        <v>433</v>
      </c>
      <c r="H23" s="522">
        <v>89</v>
      </c>
      <c r="I23" s="522" t="s">
        <v>303</v>
      </c>
      <c r="J23" s="522" t="s">
        <v>63</v>
      </c>
      <c r="K23" s="522"/>
      <c r="L23" s="529">
        <v>45695</v>
      </c>
      <c r="M23" s="522" t="s">
        <v>57</v>
      </c>
      <c r="N23" s="565">
        <v>89698.5</v>
      </c>
      <c r="O23" s="522" t="s">
        <v>57</v>
      </c>
      <c r="P23" s="1017" t="s">
        <v>304</v>
      </c>
      <c r="Q23" s="493">
        <v>45694</v>
      </c>
      <c r="R23" s="493">
        <v>45917</v>
      </c>
      <c r="S23" s="493">
        <v>45936</v>
      </c>
      <c r="T23" s="493"/>
      <c r="U23" s="501" t="s">
        <v>379</v>
      </c>
      <c r="V23" s="510">
        <v>7562</v>
      </c>
      <c r="W23" s="771">
        <v>7556</v>
      </c>
      <c r="X23" s="107">
        <f t="shared" si="2"/>
        <v>6</v>
      </c>
      <c r="Y23" s="22">
        <f t="shared" si="3"/>
        <v>0.99920655911134626</v>
      </c>
      <c r="Z23" s="704">
        <v>45709</v>
      </c>
      <c r="AA23" s="487">
        <v>1</v>
      </c>
      <c r="AB23" s="487">
        <v>1</v>
      </c>
      <c r="AC23" s="856">
        <v>0</v>
      </c>
      <c r="AD23" s="204" t="s">
        <v>434</v>
      </c>
    </row>
    <row r="24" spans="1:30" ht="39.75" customHeight="1">
      <c r="A24" s="916" t="s">
        <v>435</v>
      </c>
      <c r="B24" s="887" t="s">
        <v>50</v>
      </c>
      <c r="C24" s="490">
        <v>45772</v>
      </c>
      <c r="D24" s="490" t="s">
        <v>425</v>
      </c>
      <c r="E24" s="890">
        <v>45686</v>
      </c>
      <c r="F24" s="489" t="s">
        <v>61</v>
      </c>
      <c r="G24" s="917" t="s">
        <v>436</v>
      </c>
      <c r="H24" s="893">
        <v>77</v>
      </c>
      <c r="I24" s="687" t="s">
        <v>303</v>
      </c>
      <c r="J24" s="893" t="s">
        <v>63</v>
      </c>
      <c r="K24" s="893"/>
      <c r="L24" s="890">
        <v>45686</v>
      </c>
      <c r="M24" s="893" t="s">
        <v>57</v>
      </c>
      <c r="N24" s="918">
        <v>61924</v>
      </c>
      <c r="O24" s="893" t="s">
        <v>57</v>
      </c>
      <c r="P24" s="844" t="s">
        <v>304</v>
      </c>
      <c r="Q24" s="493">
        <v>45692</v>
      </c>
      <c r="R24" s="493">
        <v>45847</v>
      </c>
      <c r="S24" s="493">
        <v>45852</v>
      </c>
      <c r="T24" s="493"/>
      <c r="U24" s="501" t="s">
        <v>379</v>
      </c>
      <c r="V24" s="919">
        <v>5005</v>
      </c>
      <c r="W24" s="920">
        <v>4996</v>
      </c>
      <c r="X24" s="486">
        <f t="shared" si="2"/>
        <v>9</v>
      </c>
      <c r="Y24" s="688">
        <f t="shared" si="3"/>
        <v>0.99820179820179822</v>
      </c>
      <c r="Z24" s="493">
        <v>45708</v>
      </c>
      <c r="AA24" s="688">
        <v>1</v>
      </c>
      <c r="AB24" s="688">
        <v>1</v>
      </c>
      <c r="AC24" s="856">
        <v>0</v>
      </c>
      <c r="AD24" s="923" t="s">
        <v>437</v>
      </c>
    </row>
    <row r="25" spans="1:30" ht="39.75" customHeight="1">
      <c r="A25" s="916" t="s">
        <v>438</v>
      </c>
      <c r="B25" s="887" t="s">
        <v>50</v>
      </c>
      <c r="C25" s="490">
        <v>45772</v>
      </c>
      <c r="D25" s="890" t="s">
        <v>439</v>
      </c>
      <c r="E25" s="890">
        <v>45694</v>
      </c>
      <c r="F25" s="890" t="s">
        <v>61</v>
      </c>
      <c r="G25" s="917" t="s">
        <v>440</v>
      </c>
      <c r="H25" s="893">
        <v>84</v>
      </c>
      <c r="I25" s="687" t="s">
        <v>303</v>
      </c>
      <c r="J25" s="893" t="s">
        <v>63</v>
      </c>
      <c r="K25" s="893"/>
      <c r="L25" s="890">
        <v>45698</v>
      </c>
      <c r="M25" s="893" t="s">
        <v>57</v>
      </c>
      <c r="N25" s="918">
        <v>63402.5</v>
      </c>
      <c r="O25" s="893" t="s">
        <v>57</v>
      </c>
      <c r="P25" s="844" t="s">
        <v>304</v>
      </c>
      <c r="Q25" s="493">
        <v>45695</v>
      </c>
      <c r="R25" s="493">
        <v>45847</v>
      </c>
      <c r="S25" s="493">
        <v>45852</v>
      </c>
      <c r="T25" s="493"/>
      <c r="U25" s="501" t="s">
        <v>379</v>
      </c>
      <c r="V25" s="915">
        <v>4979</v>
      </c>
      <c r="W25" s="920">
        <v>4984</v>
      </c>
      <c r="X25" s="486">
        <f t="shared" si="2"/>
        <v>-5</v>
      </c>
      <c r="Y25" s="688">
        <f t="shared" si="3"/>
        <v>1.0010042177144005</v>
      </c>
      <c r="Z25" s="493">
        <v>45714</v>
      </c>
      <c r="AA25" s="688">
        <v>1</v>
      </c>
      <c r="AB25" s="688">
        <v>1</v>
      </c>
      <c r="AC25" s="856">
        <v>0</v>
      </c>
      <c r="AD25" s="149" t="s">
        <v>441</v>
      </c>
    </row>
    <row r="26" spans="1:30" ht="39.75" customHeight="1">
      <c r="A26" s="910" t="s">
        <v>442</v>
      </c>
      <c r="B26" s="921" t="s">
        <v>50</v>
      </c>
      <c r="C26" s="665">
        <v>45688</v>
      </c>
      <c r="D26" s="665" t="s">
        <v>429</v>
      </c>
      <c r="E26" s="665">
        <v>45695</v>
      </c>
      <c r="F26" s="481" t="s">
        <v>61</v>
      </c>
      <c r="G26" s="922" t="s">
        <v>443</v>
      </c>
      <c r="H26" s="483">
        <v>88</v>
      </c>
      <c r="I26" s="687" t="s">
        <v>365</v>
      </c>
      <c r="J26" s="483" t="s">
        <v>63</v>
      </c>
      <c r="K26" s="893"/>
      <c r="L26" s="479" t="s">
        <v>304</v>
      </c>
      <c r="M26" s="687" t="s">
        <v>57</v>
      </c>
      <c r="N26" s="560">
        <v>43130</v>
      </c>
      <c r="O26" s="687" t="s">
        <v>57</v>
      </c>
      <c r="P26" s="844" t="s">
        <v>304</v>
      </c>
      <c r="Q26" s="485">
        <v>45691</v>
      </c>
      <c r="R26" s="485">
        <v>45870</v>
      </c>
      <c r="S26" s="485">
        <v>45908</v>
      </c>
      <c r="T26" s="485"/>
      <c r="U26" s="501" t="s">
        <v>379</v>
      </c>
      <c r="V26" s="486">
        <v>2931</v>
      </c>
      <c r="W26" s="772">
        <v>3257</v>
      </c>
      <c r="X26" s="486">
        <f t="shared" si="2"/>
        <v>-326</v>
      </c>
      <c r="Y26" s="688">
        <f t="shared" si="3"/>
        <v>1.11122483793927</v>
      </c>
      <c r="Z26" s="485">
        <v>45750</v>
      </c>
      <c r="AA26" s="516">
        <v>1</v>
      </c>
      <c r="AB26" s="516">
        <v>1</v>
      </c>
      <c r="AC26" s="668">
        <v>0</v>
      </c>
      <c r="AD26" s="968" t="s">
        <v>444</v>
      </c>
    </row>
    <row r="27" spans="1:30" ht="39.75" customHeight="1">
      <c r="A27" s="910" t="s">
        <v>445</v>
      </c>
      <c r="B27" s="887" t="s">
        <v>50</v>
      </c>
      <c r="C27" s="890">
        <v>45688</v>
      </c>
      <c r="D27" s="490" t="s">
        <v>60</v>
      </c>
      <c r="E27" s="890">
        <v>45686</v>
      </c>
      <c r="F27" s="890" t="s">
        <v>61</v>
      </c>
      <c r="G27" s="917" t="s">
        <v>446</v>
      </c>
      <c r="H27" s="492">
        <v>88</v>
      </c>
      <c r="I27" s="893" t="s">
        <v>365</v>
      </c>
      <c r="J27" s="492" t="s">
        <v>63</v>
      </c>
      <c r="K27" s="492"/>
      <c r="L27" s="894">
        <v>45706</v>
      </c>
      <c r="M27" s="893" t="s">
        <v>57</v>
      </c>
      <c r="N27" s="561">
        <v>69212.5</v>
      </c>
      <c r="O27" s="893" t="s">
        <v>57</v>
      </c>
      <c r="P27" s="844" t="s">
        <v>304</v>
      </c>
      <c r="Q27" s="493">
        <v>45679</v>
      </c>
      <c r="R27" s="493">
        <v>45917</v>
      </c>
      <c r="S27" s="493">
        <v>45918</v>
      </c>
      <c r="T27" s="493"/>
      <c r="U27" s="501" t="s">
        <v>379</v>
      </c>
      <c r="V27" s="41">
        <v>5661</v>
      </c>
      <c r="W27" s="772">
        <v>5752</v>
      </c>
      <c r="X27" s="486">
        <f t="shared" si="2"/>
        <v>-91</v>
      </c>
      <c r="Y27" s="688">
        <f t="shared" si="3"/>
        <v>1.0160748984278396</v>
      </c>
      <c r="Z27" s="493">
        <v>45681</v>
      </c>
      <c r="AA27" s="688">
        <v>1</v>
      </c>
      <c r="AB27" s="688">
        <v>1</v>
      </c>
      <c r="AC27" s="856">
        <v>0</v>
      </c>
      <c r="AD27" s="149" t="s">
        <v>447</v>
      </c>
    </row>
    <row r="28" spans="1:30" ht="39.75" customHeight="1">
      <c r="A28" s="910" t="s">
        <v>448</v>
      </c>
      <c r="B28" s="887" t="s">
        <v>50</v>
      </c>
      <c r="C28" s="490">
        <v>45772</v>
      </c>
      <c r="D28" s="489" t="s">
        <v>439</v>
      </c>
      <c r="E28" s="490">
        <v>45743</v>
      </c>
      <c r="F28" s="489" t="s">
        <v>61</v>
      </c>
      <c r="G28" s="888" t="s">
        <v>449</v>
      </c>
      <c r="H28" s="492">
        <v>57</v>
      </c>
      <c r="I28" s="893" t="s">
        <v>303</v>
      </c>
      <c r="J28" s="483" t="s">
        <v>63</v>
      </c>
      <c r="K28" s="889"/>
      <c r="L28" s="490">
        <v>45741</v>
      </c>
      <c r="M28" s="483" t="s">
        <v>57</v>
      </c>
      <c r="N28" s="561">
        <v>49071</v>
      </c>
      <c r="O28" s="483" t="s">
        <v>57</v>
      </c>
      <c r="P28" s="844" t="s">
        <v>304</v>
      </c>
      <c r="Q28" s="493">
        <v>45745</v>
      </c>
      <c r="R28" s="493">
        <v>45832</v>
      </c>
      <c r="S28" s="493">
        <v>45839</v>
      </c>
      <c r="T28" s="493"/>
      <c r="U28" s="501" t="s">
        <v>379</v>
      </c>
      <c r="V28" s="41">
        <v>3967</v>
      </c>
      <c r="W28" s="772">
        <v>3936</v>
      </c>
      <c r="X28" s="486">
        <f t="shared" si="2"/>
        <v>31</v>
      </c>
      <c r="Y28" s="688">
        <f t="shared" si="3"/>
        <v>0.99218553062767834</v>
      </c>
      <c r="Z28" s="493">
        <v>45756</v>
      </c>
      <c r="AA28" s="688">
        <v>1</v>
      </c>
      <c r="AB28" s="688">
        <v>1</v>
      </c>
      <c r="AC28" s="668">
        <v>0</v>
      </c>
      <c r="AD28" s="967" t="s">
        <v>450</v>
      </c>
    </row>
    <row r="29" spans="1:30" ht="39.75" customHeight="1">
      <c r="A29" s="910" t="s">
        <v>451</v>
      </c>
      <c r="B29" s="887" t="s">
        <v>50</v>
      </c>
      <c r="C29" s="481">
        <v>45960</v>
      </c>
      <c r="D29" s="479" t="s">
        <v>229</v>
      </c>
      <c r="E29" s="481">
        <v>45927</v>
      </c>
      <c r="F29" s="479" t="s">
        <v>97</v>
      </c>
      <c r="G29" s="709" t="s">
        <v>452</v>
      </c>
      <c r="H29" s="483">
        <v>86</v>
      </c>
      <c r="I29" s="687" t="s">
        <v>303</v>
      </c>
      <c r="J29" s="483" t="s">
        <v>63</v>
      </c>
      <c r="K29" s="492"/>
      <c r="L29" s="481">
        <v>45917</v>
      </c>
      <c r="M29" s="483" t="s">
        <v>57</v>
      </c>
      <c r="N29" s="560">
        <v>45500</v>
      </c>
      <c r="O29" s="483" t="s">
        <v>57</v>
      </c>
      <c r="P29" s="844" t="s">
        <v>304</v>
      </c>
      <c r="Q29" s="485">
        <v>45917</v>
      </c>
      <c r="R29" s="485">
        <v>45944</v>
      </c>
      <c r="S29" s="485">
        <v>45951</v>
      </c>
      <c r="T29" s="485"/>
      <c r="U29" s="501" t="s">
        <v>379</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453</v>
      </c>
      <c r="B30" s="887" t="s">
        <v>50</v>
      </c>
      <c r="C30" s="481">
        <v>45991</v>
      </c>
      <c r="D30" s="481" t="s">
        <v>454</v>
      </c>
      <c r="E30" s="490">
        <v>45743</v>
      </c>
      <c r="F30" s="489" t="s">
        <v>61</v>
      </c>
      <c r="G30" s="888" t="s">
        <v>455</v>
      </c>
      <c r="H30" s="492">
        <v>60</v>
      </c>
      <c r="I30" s="687" t="s">
        <v>303</v>
      </c>
      <c r="J30" s="483" t="s">
        <v>63</v>
      </c>
      <c r="K30" s="889"/>
      <c r="L30" s="490">
        <v>45741</v>
      </c>
      <c r="M30" s="483" t="s">
        <v>57</v>
      </c>
      <c r="N30" s="561">
        <v>47849</v>
      </c>
      <c r="O30" s="483" t="s">
        <v>57</v>
      </c>
      <c r="P30" s="844" t="s">
        <v>304</v>
      </c>
      <c r="Q30" s="493">
        <v>45744</v>
      </c>
      <c r="R30" s="493">
        <v>45915</v>
      </c>
      <c r="S30" s="493">
        <v>45922</v>
      </c>
      <c r="T30" s="493">
        <v>45925</v>
      </c>
      <c r="U30" s="501" t="s">
        <v>379</v>
      </c>
      <c r="V30" s="41">
        <v>4194</v>
      </c>
      <c r="W30" s="772">
        <v>4448</v>
      </c>
      <c r="X30" s="486">
        <f t="shared" si="2"/>
        <v>-254</v>
      </c>
      <c r="Y30" s="688">
        <f t="shared" si="3"/>
        <v>1.0605627086313782</v>
      </c>
      <c r="Z30" s="493">
        <v>45784</v>
      </c>
      <c r="AA30" s="366">
        <v>0</v>
      </c>
      <c r="AB30" s="366">
        <v>0</v>
      </c>
      <c r="AC30" s="668">
        <v>0</v>
      </c>
      <c r="AD30" s="969" t="s">
        <v>456</v>
      </c>
    </row>
    <row r="31" spans="1:30" ht="39.75" customHeight="1">
      <c r="A31" s="1018" t="s">
        <v>457</v>
      </c>
      <c r="B31" s="887" t="s">
        <v>50</v>
      </c>
      <c r="C31" s="481">
        <v>45991</v>
      </c>
      <c r="D31" s="481" t="s">
        <v>60</v>
      </c>
      <c r="E31" s="490">
        <v>45743</v>
      </c>
      <c r="F31" s="489" t="s">
        <v>61</v>
      </c>
      <c r="G31" s="888" t="s">
        <v>458</v>
      </c>
      <c r="H31" s="492">
        <v>70</v>
      </c>
      <c r="I31" s="687" t="s">
        <v>303</v>
      </c>
      <c r="J31" s="483" t="s">
        <v>63</v>
      </c>
      <c r="K31" s="889"/>
      <c r="L31" s="490">
        <v>45741</v>
      </c>
      <c r="M31" s="483" t="s">
        <v>57</v>
      </c>
      <c r="N31" s="561">
        <v>67735.5</v>
      </c>
      <c r="O31" s="483" t="s">
        <v>57</v>
      </c>
      <c r="P31" s="844" t="s">
        <v>304</v>
      </c>
      <c r="Q31" s="493">
        <v>45779</v>
      </c>
      <c r="R31" s="493"/>
      <c r="S31" s="493"/>
      <c r="T31" s="493"/>
      <c r="U31" s="501" t="s">
        <v>379</v>
      </c>
      <c r="V31" s="41">
        <v>6152</v>
      </c>
      <c r="W31" s="772">
        <v>5723</v>
      </c>
      <c r="X31" s="107">
        <f>SUM(V31-W31)</f>
        <v>429</v>
      </c>
      <c r="Y31" s="683">
        <f>IFERROR($W31/$V31, 0)</f>
        <v>0.9302665799739922</v>
      </c>
      <c r="Z31" s="704">
        <v>45792</v>
      </c>
      <c r="AA31" s="366">
        <v>0</v>
      </c>
      <c r="AB31" s="366">
        <v>0</v>
      </c>
      <c r="AC31" s="668">
        <v>0</v>
      </c>
      <c r="AD31" s="364" t="s">
        <v>459</v>
      </c>
    </row>
    <row r="32" spans="1:30" ht="39.75" customHeight="1">
      <c r="A32" s="961" t="s">
        <v>460</v>
      </c>
      <c r="B32" s="887" t="s">
        <v>50</v>
      </c>
      <c r="C32" s="890">
        <v>45716</v>
      </c>
      <c r="D32" s="890" t="s">
        <v>60</v>
      </c>
      <c r="E32" s="890">
        <v>45701</v>
      </c>
      <c r="F32" s="489" t="s">
        <v>61</v>
      </c>
      <c r="G32" s="917" t="s">
        <v>381</v>
      </c>
      <c r="H32" s="893">
        <v>0</v>
      </c>
      <c r="I32" s="893" t="s">
        <v>304</v>
      </c>
      <c r="J32" s="893" t="s">
        <v>63</v>
      </c>
      <c r="K32" s="893"/>
      <c r="L32" s="890">
        <v>45705</v>
      </c>
      <c r="M32" s="893" t="s">
        <v>57</v>
      </c>
      <c r="N32" s="918">
        <v>1295</v>
      </c>
      <c r="O32" s="893" t="s">
        <v>57</v>
      </c>
      <c r="P32" s="844" t="s">
        <v>304</v>
      </c>
      <c r="Q32" s="531">
        <v>45706</v>
      </c>
      <c r="R32" s="531">
        <v>45826</v>
      </c>
      <c r="S32" s="531"/>
      <c r="T32" s="531"/>
      <c r="U32" s="501" t="s">
        <v>379</v>
      </c>
      <c r="V32" s="919">
        <v>153</v>
      </c>
      <c r="W32" s="771">
        <v>153</v>
      </c>
      <c r="X32" s="107">
        <f t="shared" si="2"/>
        <v>0</v>
      </c>
      <c r="Y32" s="683">
        <f t="shared" si="3"/>
        <v>1</v>
      </c>
      <c r="Z32" s="704">
        <v>45754</v>
      </c>
      <c r="AA32" s="487">
        <v>1</v>
      </c>
      <c r="AB32" s="487">
        <v>1</v>
      </c>
      <c r="AC32" s="856">
        <v>0</v>
      </c>
      <c r="AD32" s="176" t="s">
        <v>461</v>
      </c>
    </row>
    <row r="33" spans="1:30" ht="39.75" customHeight="1">
      <c r="A33" s="924" t="s">
        <v>462</v>
      </c>
      <c r="B33" s="962" t="s">
        <v>50</v>
      </c>
      <c r="C33" s="926">
        <v>45924</v>
      </c>
      <c r="D33" s="925" t="s">
        <v>133</v>
      </c>
      <c r="E33" s="926">
        <v>45772</v>
      </c>
      <c r="F33" s="927" t="s">
        <v>61</v>
      </c>
      <c r="G33" s="927" t="s">
        <v>463</v>
      </c>
      <c r="H33" s="928">
        <v>0</v>
      </c>
      <c r="I33" s="928" t="s">
        <v>303</v>
      </c>
      <c r="J33" s="928" t="s">
        <v>63</v>
      </c>
      <c r="K33" s="927"/>
      <c r="L33" s="935" t="s">
        <v>52</v>
      </c>
      <c r="M33" s="928" t="s">
        <v>57</v>
      </c>
      <c r="N33" s="929">
        <v>4397.6499999999996</v>
      </c>
      <c r="O33" s="928" t="s">
        <v>57</v>
      </c>
      <c r="P33" s="930" t="s">
        <v>304</v>
      </c>
      <c r="Q33" s="511">
        <v>45852</v>
      </c>
      <c r="R33" s="963"/>
      <c r="S33" s="963"/>
      <c r="T33" s="963"/>
      <c r="U33" s="332" t="s">
        <v>379</v>
      </c>
      <c r="V33" s="512">
        <v>129</v>
      </c>
      <c r="W33" s="965">
        <v>129</v>
      </c>
      <c r="X33" s="512">
        <f t="shared" si="2"/>
        <v>0</v>
      </c>
      <c r="Y33" s="931">
        <f t="shared" si="3"/>
        <v>1</v>
      </c>
      <c r="Z33" s="367">
        <v>45856</v>
      </c>
      <c r="AA33" s="61">
        <v>0</v>
      </c>
      <c r="AB33" s="61">
        <v>0</v>
      </c>
      <c r="AC33" s="966">
        <v>0</v>
      </c>
      <c r="AD33" s="150" t="s">
        <v>464</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W21" activePane="topRight" state="frozen"/>
      <selection pane="topRight" activeCell="A28" sqref="A28:XFD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365</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365</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365</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365</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365</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365</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365</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365</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365</v>
      </c>
      <c r="J21" s="52" t="s">
        <v>63</v>
      </c>
      <c r="K21" s="50" t="s">
        <v>304</v>
      </c>
      <c r="L21" s="52" t="s">
        <v>57</v>
      </c>
      <c r="M21" s="440">
        <v>47414</v>
      </c>
      <c r="N21" s="589">
        <v>45744</v>
      </c>
      <c r="O21" s="52" t="s">
        <v>57</v>
      </c>
      <c r="P21" s="52" t="s">
        <v>304</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5">
        <v>7262</v>
      </c>
      <c r="O29" s="522" t="s">
        <v>57</v>
      </c>
      <c r="P29" s="852"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365</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377</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557</v>
      </c>
      <c r="B40" s="389" t="s">
        <v>50</v>
      </c>
      <c r="C40" s="51">
        <v>45772</v>
      </c>
      <c r="D40" s="392" t="s">
        <v>392</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365</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363</v>
      </c>
      <c r="E42" s="684">
        <v>45692</v>
      </c>
      <c r="F42" s="684" t="s">
        <v>225</v>
      </c>
      <c r="G42" s="685" t="s">
        <v>565</v>
      </c>
      <c r="H42" s="52">
        <v>86</v>
      </c>
      <c r="I42" s="686" t="s">
        <v>365</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3"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363</v>
      </c>
      <c r="E45" s="684">
        <v>45691</v>
      </c>
      <c r="F45" s="684" t="s">
        <v>225</v>
      </c>
      <c r="G45" s="685" t="s">
        <v>575</v>
      </c>
      <c r="H45" s="52">
        <v>73</v>
      </c>
      <c r="I45" s="693" t="s">
        <v>365</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365</v>
      </c>
      <c r="J46" s="52" t="s">
        <v>63</v>
      </c>
      <c r="K46" s="51">
        <v>45698</v>
      </c>
      <c r="L46" s="391" t="s">
        <v>57</v>
      </c>
      <c r="M46" s="440">
        <v>65001</v>
      </c>
      <c r="N46" s="588">
        <v>68269</v>
      </c>
      <c r="O46" s="391" t="s">
        <v>57</v>
      </c>
      <c r="P46" s="387" t="s">
        <v>304</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392</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392</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596</v>
      </c>
    </row>
    <row r="57" spans="1:27" ht="39.75" customHeight="1">
      <c r="A57" s="384" t="s">
        <v>603</v>
      </c>
      <c r="B57" s="389" t="s">
        <v>50</v>
      </c>
      <c r="C57" s="51">
        <v>45772</v>
      </c>
      <c r="D57" s="50" t="s">
        <v>392</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365</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392</v>
      </c>
      <c r="E60" s="684">
        <v>45686</v>
      </c>
      <c r="F60" s="684" t="s">
        <v>558</v>
      </c>
      <c r="G60" s="685" t="s">
        <v>610</v>
      </c>
      <c r="H60" s="52">
        <v>90</v>
      </c>
      <c r="I60" s="693" t="s">
        <v>365</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611</v>
      </c>
    </row>
    <row r="61" spans="1:27" ht="39.75" customHeight="1">
      <c r="A61" s="384" t="s">
        <v>612</v>
      </c>
      <c r="B61" s="389" t="s">
        <v>50</v>
      </c>
      <c r="C61" s="51">
        <v>45772</v>
      </c>
      <c r="D61" s="50" t="s">
        <v>392</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392</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365</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8" t="s">
        <v>304</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392</v>
      </c>
      <c r="E71" s="57">
        <v>45736</v>
      </c>
      <c r="F71" s="804" t="s">
        <v>558</v>
      </c>
      <c r="G71" s="824" t="s">
        <v>637</v>
      </c>
      <c r="H71" s="808">
        <v>50</v>
      </c>
      <c r="I71" s="828" t="s">
        <v>303</v>
      </c>
      <c r="J71" s="808" t="s">
        <v>63</v>
      </c>
      <c r="K71" s="57">
        <v>45735</v>
      </c>
      <c r="L71" s="808" t="s">
        <v>57</v>
      </c>
      <c r="M71" s="662">
        <v>41285</v>
      </c>
      <c r="N71" s="845">
        <v>40484</v>
      </c>
      <c r="O71" s="808" t="s">
        <v>57</v>
      </c>
      <c r="P71" s="826" t="s">
        <v>304</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638</v>
      </c>
      <c r="B72" s="864" t="s">
        <v>50</v>
      </c>
      <c r="C72" s="77">
        <v>45742</v>
      </c>
      <c r="D72" s="849" t="s">
        <v>594</v>
      </c>
      <c r="E72" s="77">
        <v>45707</v>
      </c>
      <c r="F72" s="849" t="s">
        <v>61</v>
      </c>
      <c r="G72" s="866" t="s">
        <v>639</v>
      </c>
      <c r="H72" s="76">
        <v>0</v>
      </c>
      <c r="I72" s="76" t="s">
        <v>365</v>
      </c>
      <c r="J72" s="76" t="s">
        <v>63</v>
      </c>
      <c r="K72" s="867">
        <v>45716</v>
      </c>
      <c r="L72" s="76" t="s">
        <v>57</v>
      </c>
      <c r="M72" s="850">
        <v>21944.6</v>
      </c>
      <c r="N72" s="851">
        <v>26564</v>
      </c>
      <c r="O72" s="76" t="s">
        <v>57</v>
      </c>
      <c r="P72" s="106" t="s">
        <v>304</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640</v>
      </c>
    </row>
    <row r="73" spans="1:27" ht="39.75" customHeight="1">
      <c r="A73" s="879" t="s">
        <v>641</v>
      </c>
      <c r="B73" s="864" t="s">
        <v>50</v>
      </c>
      <c r="C73" s="77">
        <v>45711</v>
      </c>
      <c r="D73" s="77" t="s">
        <v>425</v>
      </c>
      <c r="E73" s="77">
        <v>45695</v>
      </c>
      <c r="F73" s="849" t="s">
        <v>549</v>
      </c>
      <c r="G73" s="865" t="s">
        <v>642</v>
      </c>
      <c r="H73" s="76">
        <v>0</v>
      </c>
      <c r="I73" s="859" t="s">
        <v>365</v>
      </c>
      <c r="J73" s="76" t="s">
        <v>63</v>
      </c>
      <c r="K73" s="77">
        <v>45695</v>
      </c>
      <c r="L73" s="859" t="s">
        <v>57</v>
      </c>
      <c r="M73" s="850">
        <v>20939.75</v>
      </c>
      <c r="N73" s="851">
        <v>13575.75</v>
      </c>
      <c r="O73" s="859"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6">
        <v>45868</v>
      </c>
      <c r="D74" s="804" t="s">
        <v>644</v>
      </c>
      <c r="E74" s="57">
        <v>45719</v>
      </c>
      <c r="F74" s="804" t="s">
        <v>558</v>
      </c>
      <c r="G74" s="977" t="s">
        <v>645</v>
      </c>
      <c r="H74" s="808">
        <v>60</v>
      </c>
      <c r="I74" s="808" t="s">
        <v>303</v>
      </c>
      <c r="J74" s="808" t="s">
        <v>63</v>
      </c>
      <c r="K74" s="57">
        <v>45716</v>
      </c>
      <c r="L74" s="808" t="s">
        <v>57</v>
      </c>
      <c r="M74" s="662">
        <v>64727</v>
      </c>
      <c r="N74" s="845">
        <v>68203</v>
      </c>
      <c r="O74" s="808" t="s">
        <v>57</v>
      </c>
      <c r="P74" s="826" t="s">
        <v>304</v>
      </c>
      <c r="Q74" s="493">
        <v>45719</v>
      </c>
      <c r="R74" s="881">
        <v>5853</v>
      </c>
      <c r="S74" s="486">
        <v>5975</v>
      </c>
      <c r="T74" s="978">
        <v>0</v>
      </c>
      <c r="U74" s="958">
        <v>1.02</v>
      </c>
      <c r="V74" s="168">
        <v>45741</v>
      </c>
      <c r="W74" s="354">
        <v>1</v>
      </c>
      <c r="X74" s="354">
        <v>1</v>
      </c>
      <c r="Y74" s="354">
        <v>1</v>
      </c>
      <c r="Z74" s="485">
        <v>45868</v>
      </c>
      <c r="AA74" s="116"/>
    </row>
    <row r="75" spans="1:27" ht="39.75" customHeight="1">
      <c r="A75" s="979" t="s">
        <v>646</v>
      </c>
      <c r="B75" s="803" t="s">
        <v>50</v>
      </c>
      <c r="C75" s="57">
        <v>45772</v>
      </c>
      <c r="D75" s="57" t="s">
        <v>133</v>
      </c>
      <c r="E75" s="805">
        <v>45685</v>
      </c>
      <c r="F75" s="804" t="s">
        <v>61</v>
      </c>
      <c r="G75" s="842" t="s">
        <v>647</v>
      </c>
      <c r="H75" s="814">
        <v>81</v>
      </c>
      <c r="I75" s="840" t="s">
        <v>303</v>
      </c>
      <c r="J75" s="814" t="s">
        <v>63</v>
      </c>
      <c r="K75" s="805">
        <v>45699</v>
      </c>
      <c r="L75" s="814" t="s">
        <v>57</v>
      </c>
      <c r="M75" s="980">
        <v>73583.5</v>
      </c>
      <c r="N75" s="845">
        <v>84066</v>
      </c>
      <c r="O75" s="981" t="s">
        <v>57</v>
      </c>
      <c r="P75" s="826" t="s">
        <v>304</v>
      </c>
      <c r="Q75" s="493">
        <v>45691</v>
      </c>
      <c r="R75" s="510">
        <v>6205</v>
      </c>
      <c r="S75" s="507">
        <v>6180</v>
      </c>
      <c r="T75" s="846">
        <v>0</v>
      </c>
      <c r="U75" s="971">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5">
        <v>48682.5</v>
      </c>
      <c r="O76" s="981" t="s">
        <v>57</v>
      </c>
      <c r="P76" s="826" t="s">
        <v>304</v>
      </c>
      <c r="Q76" s="168">
        <v>45698</v>
      </c>
      <c r="R76" s="42">
        <v>4035</v>
      </c>
      <c r="S76" s="669">
        <v>4045</v>
      </c>
      <c r="T76" s="846">
        <v>0</v>
      </c>
      <c r="U76" s="971">
        <v>1</v>
      </c>
      <c r="V76" s="168">
        <v>45709</v>
      </c>
      <c r="W76" s="354">
        <v>1</v>
      </c>
      <c r="X76" s="354">
        <v>1</v>
      </c>
      <c r="Y76" s="354">
        <v>1</v>
      </c>
      <c r="Z76" s="493">
        <v>45894</v>
      </c>
      <c r="AA76" s="116" t="s">
        <v>652</v>
      </c>
    </row>
    <row r="77" spans="1:27" ht="39.75" customHeight="1">
      <c r="A77" s="979" t="s">
        <v>653</v>
      </c>
      <c r="B77" s="803" t="s">
        <v>50</v>
      </c>
      <c r="C77" s="57">
        <v>45833</v>
      </c>
      <c r="D77" s="805" t="s">
        <v>101</v>
      </c>
      <c r="E77" s="805" t="s">
        <v>52</v>
      </c>
      <c r="F77" s="805" t="s">
        <v>654</v>
      </c>
      <c r="G77" s="842" t="s">
        <v>655</v>
      </c>
      <c r="H77" s="814">
        <v>0</v>
      </c>
      <c r="I77" s="814" t="s">
        <v>303</v>
      </c>
      <c r="J77" s="814" t="s">
        <v>63</v>
      </c>
      <c r="K77" s="982" t="s">
        <v>304</v>
      </c>
      <c r="L77" s="814" t="s">
        <v>57</v>
      </c>
      <c r="M77" s="980">
        <v>289634.75</v>
      </c>
      <c r="N77" s="845">
        <v>296306.83</v>
      </c>
      <c r="O77" s="981" t="s">
        <v>57</v>
      </c>
      <c r="P77" s="826" t="s">
        <v>304</v>
      </c>
      <c r="Q77" s="493">
        <v>45693</v>
      </c>
      <c r="R77" s="510">
        <v>22725</v>
      </c>
      <c r="S77" s="507">
        <v>22085</v>
      </c>
      <c r="T77" s="846">
        <v>0</v>
      </c>
      <c r="U77" s="971">
        <v>1</v>
      </c>
      <c r="V77" s="168">
        <v>45674</v>
      </c>
      <c r="W77" s="354">
        <v>1</v>
      </c>
      <c r="X77" s="354">
        <v>1</v>
      </c>
      <c r="Y77" s="354">
        <v>1</v>
      </c>
      <c r="Z77" s="493">
        <v>45882</v>
      </c>
      <c r="AA77" s="173" t="s">
        <v>656</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6" t="s">
        <v>670</v>
      </c>
      <c r="B88" s="479" t="s">
        <v>112</v>
      </c>
      <c r="C88" s="481">
        <v>45868</v>
      </c>
      <c r="D88" s="505" t="s">
        <v>133</v>
      </c>
      <c r="E88" s="481">
        <v>45786</v>
      </c>
      <c r="F88" s="505" t="s">
        <v>113</v>
      </c>
      <c r="G88" s="479" t="s">
        <v>671</v>
      </c>
      <c r="H88" s="483">
        <v>0</v>
      </c>
      <c r="I88" s="483" t="s">
        <v>303</v>
      </c>
      <c r="J88" s="483" t="s">
        <v>63</v>
      </c>
      <c r="K88" s="481">
        <v>45786</v>
      </c>
      <c r="L88" s="483" t="s">
        <v>57</v>
      </c>
      <c r="M88" s="1137">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8">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395</v>
      </c>
      <c r="H95" s="387">
        <v>81</v>
      </c>
      <c r="I95" s="387" t="s">
        <v>303</v>
      </c>
      <c r="J95" s="387" t="s">
        <v>63</v>
      </c>
      <c r="K95" s="386">
        <v>45847</v>
      </c>
      <c r="L95" s="387" t="s">
        <v>57</v>
      </c>
      <c r="M95" s="443">
        <v>71310.899999999994</v>
      </c>
      <c r="N95" s="764"/>
      <c r="O95" s="387" t="s">
        <v>57</v>
      </c>
      <c r="P95" s="615" t="s">
        <v>304</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392</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6">
        <v>3836</v>
      </c>
      <c r="S100" s="651">
        <v>3836</v>
      </c>
      <c r="T100" s="30">
        <v>0</v>
      </c>
      <c r="U100" s="683">
        <v>1</v>
      </c>
      <c r="V100" s="704">
        <v>45896</v>
      </c>
      <c r="W100" s="366">
        <v>1</v>
      </c>
      <c r="X100" s="366">
        <v>1</v>
      </c>
      <c r="Y100" s="366">
        <v>1</v>
      </c>
      <c r="Z100" s="54">
        <v>45917</v>
      </c>
      <c r="AA100" s="948"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1" t="s">
        <v>113</v>
      </c>
      <c r="G112" s="1083" t="s">
        <v>738</v>
      </c>
      <c r="H112" s="520">
        <v>0</v>
      </c>
      <c r="I112" s="520" t="s">
        <v>303</v>
      </c>
      <c r="J112" s="520" t="s">
        <v>63</v>
      </c>
      <c r="K112" s="521">
        <v>45853</v>
      </c>
      <c r="L112" s="520" t="s">
        <v>57</v>
      </c>
      <c r="M112" s="984">
        <v>68216.5</v>
      </c>
      <c r="N112" s="764"/>
      <c r="O112" s="520" t="s">
        <v>57</v>
      </c>
      <c r="P112" s="796" t="s">
        <v>304</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5">
        <v>45838</v>
      </c>
      <c r="L113" s="492" t="s">
        <v>57</v>
      </c>
      <c r="M113" s="810">
        <v>72566</v>
      </c>
      <c r="N113" s="764"/>
      <c r="O113" s="492" t="s">
        <v>57</v>
      </c>
      <c r="P113" s="779" t="s">
        <v>304</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4"/>
      <c r="H114" s="117">
        <v>0</v>
      </c>
      <c r="I114" s="117" t="s">
        <v>303</v>
      </c>
      <c r="J114" s="117" t="s">
        <v>63</v>
      </c>
      <c r="K114" s="521">
        <v>45902</v>
      </c>
      <c r="L114" s="520" t="s">
        <v>57</v>
      </c>
      <c r="M114" s="984">
        <v>3067.9</v>
      </c>
      <c r="N114" s="97"/>
      <c r="O114" s="520" t="s">
        <v>57</v>
      </c>
      <c r="P114" s="796" t="s">
        <v>304</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744</v>
      </c>
    </row>
    <row r="115" spans="1:27" ht="39.75" customHeight="1">
      <c r="A115" s="795" t="s">
        <v>745</v>
      </c>
      <c r="B115" s="1076" t="s">
        <v>112</v>
      </c>
      <c r="C115" s="1077">
        <v>45930</v>
      </c>
      <c r="D115" s="1077" t="s">
        <v>133</v>
      </c>
      <c r="E115" s="1077">
        <v>45874</v>
      </c>
      <c r="F115" s="1082" t="s">
        <v>126</v>
      </c>
      <c r="G115" s="1078"/>
      <c r="H115" s="1079">
        <v>208</v>
      </c>
      <c r="I115" s="1084" t="s">
        <v>303</v>
      </c>
      <c r="J115" s="1079" t="s">
        <v>56</v>
      </c>
      <c r="K115" s="1035">
        <v>45876</v>
      </c>
      <c r="L115" s="1059" t="s">
        <v>57</v>
      </c>
      <c r="M115" s="1061">
        <v>124980</v>
      </c>
      <c r="N115" s="97"/>
      <c r="O115" s="1059" t="s">
        <v>57</v>
      </c>
      <c r="P115" s="797" t="s">
        <v>304</v>
      </c>
      <c r="Q115" s="358">
        <v>45876</v>
      </c>
      <c r="R115" s="1066">
        <v>11700</v>
      </c>
      <c r="S115" s="987">
        <v>11820</v>
      </c>
      <c r="T115" s="30">
        <v>0</v>
      </c>
      <c r="U115" s="22">
        <v>1.01</v>
      </c>
      <c r="V115" s="960">
        <v>45890</v>
      </c>
      <c r="W115" s="622">
        <v>1</v>
      </c>
      <c r="X115" s="622">
        <v>1</v>
      </c>
      <c r="Y115" s="1080">
        <v>1</v>
      </c>
      <c r="Z115" s="125">
        <v>45926</v>
      </c>
      <c r="AA115" s="1067" t="s">
        <v>746</v>
      </c>
    </row>
    <row r="116" spans="1:27" ht="39.75" customHeight="1">
      <c r="A116" s="798" t="s">
        <v>747</v>
      </c>
      <c r="B116" s="803" t="s">
        <v>50</v>
      </c>
      <c r="C116" s="976">
        <v>45838</v>
      </c>
      <c r="D116" s="976" t="s">
        <v>392</v>
      </c>
      <c r="E116" s="976">
        <v>45818</v>
      </c>
      <c r="F116" s="982" t="s">
        <v>558</v>
      </c>
      <c r="G116" s="982" t="s">
        <v>748</v>
      </c>
      <c r="H116" s="826">
        <v>56</v>
      </c>
      <c r="I116" s="826" t="s">
        <v>303</v>
      </c>
      <c r="J116" s="826" t="s">
        <v>63</v>
      </c>
      <c r="K116" s="386">
        <v>45817</v>
      </c>
      <c r="L116" s="387" t="s">
        <v>57</v>
      </c>
      <c r="M116" s="443">
        <v>75953</v>
      </c>
      <c r="N116" s="1075"/>
      <c r="O116" s="387" t="s">
        <v>57</v>
      </c>
      <c r="P116" s="769" t="s">
        <v>304</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3"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6" t="s">
        <v>50</v>
      </c>
      <c r="C118" s="1057">
        <v>45688</v>
      </c>
      <c r="D118" s="514" t="s">
        <v>752</v>
      </c>
      <c r="E118" s="1057">
        <v>45685</v>
      </c>
      <c r="F118" s="1057" t="s">
        <v>620</v>
      </c>
      <c r="G118" s="1058" t="s">
        <v>753</v>
      </c>
      <c r="H118" s="117">
        <v>86</v>
      </c>
      <c r="I118" s="1060" t="s">
        <v>365</v>
      </c>
      <c r="J118" s="117" t="s">
        <v>63</v>
      </c>
      <c r="K118" s="514">
        <v>45677</v>
      </c>
      <c r="L118" s="1060" t="s">
        <v>57</v>
      </c>
      <c r="M118" s="809">
        <v>78075.5</v>
      </c>
      <c r="N118" s="819"/>
      <c r="O118" s="1060"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754</v>
      </c>
      <c r="B119" s="803" t="s">
        <v>50</v>
      </c>
      <c r="C119" s="976">
        <v>45831</v>
      </c>
      <c r="D119" s="982" t="s">
        <v>425</v>
      </c>
      <c r="E119" s="57">
        <v>45807</v>
      </c>
      <c r="F119" s="982" t="s">
        <v>549</v>
      </c>
      <c r="G119" s="982"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758</v>
      </c>
    </row>
    <row r="121" spans="1:27" ht="39.75" customHeight="1">
      <c r="A121" s="798" t="s">
        <v>759</v>
      </c>
      <c r="B121" s="803" t="s">
        <v>50</v>
      </c>
      <c r="C121" s="57">
        <v>45772</v>
      </c>
      <c r="D121" s="805" t="s">
        <v>392</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761</v>
      </c>
      <c r="B122" s="480" t="s">
        <v>50</v>
      </c>
      <c r="C122" s="490">
        <v>45772</v>
      </c>
      <c r="D122" s="490" t="s">
        <v>425</v>
      </c>
      <c r="E122" s="442">
        <v>45686</v>
      </c>
      <c r="F122" s="489" t="s">
        <v>549</v>
      </c>
      <c r="G122" s="509" t="s">
        <v>762</v>
      </c>
      <c r="H122" s="492">
        <v>85</v>
      </c>
      <c r="I122" s="484" t="s">
        <v>303</v>
      </c>
      <c r="J122" s="492" t="s">
        <v>63</v>
      </c>
      <c r="K122" s="514">
        <v>45698</v>
      </c>
      <c r="L122" s="1074" t="s">
        <v>57</v>
      </c>
      <c r="M122" s="810">
        <v>67892.5</v>
      </c>
      <c r="N122" s="97"/>
      <c r="O122" s="498" t="s">
        <v>57</v>
      </c>
      <c r="P122" s="779" t="s">
        <v>304</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392</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6">
        <v>45862</v>
      </c>
      <c r="D124" s="57" t="s">
        <v>650</v>
      </c>
      <c r="E124" s="57">
        <v>45694</v>
      </c>
      <c r="F124" s="804" t="s">
        <v>225</v>
      </c>
      <c r="G124" s="812" t="s">
        <v>767</v>
      </c>
      <c r="H124" s="808">
        <v>90</v>
      </c>
      <c r="I124" s="840" t="s">
        <v>303</v>
      </c>
      <c r="J124" s="808" t="s">
        <v>63</v>
      </c>
      <c r="K124" s="490">
        <v>45698</v>
      </c>
      <c r="L124" s="498" t="s">
        <v>57</v>
      </c>
      <c r="M124" s="810">
        <v>68216.5</v>
      </c>
      <c r="N124" s="819"/>
      <c r="O124" s="498" t="s">
        <v>57</v>
      </c>
      <c r="P124" s="779" t="s">
        <v>304</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771</v>
      </c>
    </row>
    <row r="126" spans="1:27" ht="39.75" customHeight="1">
      <c r="A126" s="798" t="s">
        <v>772</v>
      </c>
      <c r="B126" s="803" t="s">
        <v>50</v>
      </c>
      <c r="C126" s="57">
        <v>45742</v>
      </c>
      <c r="D126" s="804" t="s">
        <v>392</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377</v>
      </c>
      <c r="E127" s="57">
        <v>45694</v>
      </c>
      <c r="F127" s="57" t="s">
        <v>543</v>
      </c>
      <c r="G127" s="829" t="s">
        <v>775</v>
      </c>
      <c r="H127" s="808">
        <v>0</v>
      </c>
      <c r="I127" s="825" t="s">
        <v>365</v>
      </c>
      <c r="J127" s="808" t="s">
        <v>63</v>
      </c>
      <c r="K127" s="514">
        <v>45686</v>
      </c>
      <c r="L127" s="1060" t="s">
        <v>57</v>
      </c>
      <c r="M127" s="809">
        <v>22755.7</v>
      </c>
      <c r="N127" s="819"/>
      <c r="O127" s="1060" t="s">
        <v>57</v>
      </c>
      <c r="P127" s="796" t="s">
        <v>304</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783</v>
      </c>
      <c r="B134" s="897" t="s">
        <v>204</v>
      </c>
      <c r="C134" s="490">
        <v>45807</v>
      </c>
      <c r="D134" s="479" t="s">
        <v>51</v>
      </c>
      <c r="E134" s="489" t="s">
        <v>52</v>
      </c>
      <c r="F134" s="479" t="s">
        <v>620</v>
      </c>
      <c r="G134" s="709" t="s">
        <v>316</v>
      </c>
      <c r="H134" s="483">
        <v>60</v>
      </c>
      <c r="I134" s="893" t="s">
        <v>303</v>
      </c>
      <c r="J134" s="492" t="s">
        <v>56</v>
      </c>
      <c r="K134" s="911"/>
      <c r="L134" s="481">
        <v>45716</v>
      </c>
      <c r="M134" s="492" t="s">
        <v>57</v>
      </c>
      <c r="N134" s="560">
        <v>2075.6999999999998</v>
      </c>
      <c r="O134" s="492" t="s">
        <v>57</v>
      </c>
      <c r="P134" s="1008" t="s">
        <v>304</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784</v>
      </c>
      <c r="B135" s="897" t="s">
        <v>204</v>
      </c>
      <c r="C135" s="490">
        <v>45807</v>
      </c>
      <c r="D135" s="489" t="s">
        <v>51</v>
      </c>
      <c r="E135" s="489" t="s">
        <v>52</v>
      </c>
      <c r="F135" s="489" t="s">
        <v>620</v>
      </c>
      <c r="G135" s="888" t="s">
        <v>785</v>
      </c>
      <c r="H135" s="492">
        <v>79</v>
      </c>
      <c r="I135" s="893" t="s">
        <v>303</v>
      </c>
      <c r="J135" s="492" t="s">
        <v>56</v>
      </c>
      <c r="K135" s="504"/>
      <c r="L135" s="481">
        <v>45716</v>
      </c>
      <c r="M135" s="492" t="s">
        <v>57</v>
      </c>
      <c r="N135" s="561">
        <v>2947.5</v>
      </c>
      <c r="O135" s="492" t="s">
        <v>57</v>
      </c>
      <c r="P135" s="1009" t="s">
        <v>304</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786</v>
      </c>
      <c r="B136" s="897" t="s">
        <v>204</v>
      </c>
      <c r="C136" s="490">
        <v>45807</v>
      </c>
      <c r="D136" s="489" t="s">
        <v>51</v>
      </c>
      <c r="E136" s="489" t="s">
        <v>52</v>
      </c>
      <c r="F136" s="489" t="s">
        <v>620</v>
      </c>
      <c r="G136" s="888" t="s">
        <v>787</v>
      </c>
      <c r="H136" s="492">
        <v>83</v>
      </c>
      <c r="I136" s="893" t="s">
        <v>303</v>
      </c>
      <c r="J136" s="492" t="s">
        <v>56</v>
      </c>
      <c r="K136" s="504"/>
      <c r="L136" s="481">
        <v>45716</v>
      </c>
      <c r="M136" s="492" t="s">
        <v>57</v>
      </c>
      <c r="N136" s="561">
        <v>2908.95</v>
      </c>
      <c r="O136" s="492" t="s">
        <v>57</v>
      </c>
      <c r="P136" s="1009" t="s">
        <v>304</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788</v>
      </c>
      <c r="B137" s="887" t="s">
        <v>50</v>
      </c>
      <c r="C137" s="490">
        <v>45807</v>
      </c>
      <c r="D137" s="489" t="s">
        <v>51</v>
      </c>
      <c r="E137" s="489" t="s">
        <v>52</v>
      </c>
      <c r="F137" s="489" t="s">
        <v>53</v>
      </c>
      <c r="G137" s="888" t="s">
        <v>789</v>
      </c>
      <c r="H137" s="492">
        <v>68</v>
      </c>
      <c r="I137" s="492" t="s">
        <v>304</v>
      </c>
      <c r="J137" s="492" t="s">
        <v>56</v>
      </c>
      <c r="K137" s="492"/>
      <c r="L137" s="894">
        <v>45716</v>
      </c>
      <c r="M137" s="492" t="s">
        <v>57</v>
      </c>
      <c r="N137" s="561">
        <v>1134</v>
      </c>
      <c r="O137" s="492" t="s">
        <v>57</v>
      </c>
      <c r="P137" s="1010" t="s">
        <v>304</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790</v>
      </c>
      <c r="B138" s="887" t="s">
        <v>50</v>
      </c>
      <c r="C138" s="490">
        <v>45772</v>
      </c>
      <c r="D138" s="489" t="s">
        <v>51</v>
      </c>
      <c r="E138" s="489" t="s">
        <v>52</v>
      </c>
      <c r="F138" s="489" t="s">
        <v>53</v>
      </c>
      <c r="G138" s="914" t="s">
        <v>791</v>
      </c>
      <c r="H138" s="492">
        <v>38</v>
      </c>
      <c r="I138" s="492" t="s">
        <v>304</v>
      </c>
      <c r="J138" s="492" t="s">
        <v>56</v>
      </c>
      <c r="K138" s="504"/>
      <c r="L138" s="481">
        <v>45716</v>
      </c>
      <c r="M138" s="492" t="s">
        <v>57</v>
      </c>
      <c r="N138" s="561">
        <v>870</v>
      </c>
      <c r="O138" s="492" t="s">
        <v>57</v>
      </c>
      <c r="P138" s="1010" t="s">
        <v>304</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792</v>
      </c>
      <c r="B139" s="887" t="s">
        <v>50</v>
      </c>
      <c r="C139" s="490">
        <v>45772</v>
      </c>
      <c r="D139" s="890" t="s">
        <v>429</v>
      </c>
      <c r="E139" s="890">
        <v>45698</v>
      </c>
      <c r="F139" s="490" t="s">
        <v>543</v>
      </c>
      <c r="G139" s="892" t="s">
        <v>793</v>
      </c>
      <c r="H139" s="492">
        <v>82</v>
      </c>
      <c r="I139" s="492" t="s">
        <v>303</v>
      </c>
      <c r="J139" s="492" t="s">
        <v>63</v>
      </c>
      <c r="K139" s="492"/>
      <c r="L139" s="894">
        <v>45716</v>
      </c>
      <c r="M139" s="893" t="s">
        <v>57</v>
      </c>
      <c r="N139" s="561">
        <v>2025.6</v>
      </c>
      <c r="O139" s="893" t="s">
        <v>57</v>
      </c>
      <c r="P139" s="1010" t="s">
        <v>304</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794</v>
      </c>
    </row>
    <row r="140" spans="1:30" ht="39.75" customHeight="1">
      <c r="A140" s="983" t="s">
        <v>795</v>
      </c>
      <c r="B140" s="887" t="s">
        <v>50</v>
      </c>
      <c r="C140" s="490">
        <v>45742</v>
      </c>
      <c r="D140" s="489" t="s">
        <v>51</v>
      </c>
      <c r="E140" s="490">
        <v>45715</v>
      </c>
      <c r="F140" s="489" t="s">
        <v>53</v>
      </c>
      <c r="G140" s="888" t="s">
        <v>796</v>
      </c>
      <c r="H140" s="492">
        <v>84</v>
      </c>
      <c r="I140" s="492" t="s">
        <v>304</v>
      </c>
      <c r="J140" s="492" t="s">
        <v>56</v>
      </c>
      <c r="K140" s="492"/>
      <c r="L140" s="490">
        <v>45715</v>
      </c>
      <c r="M140" s="492" t="s">
        <v>57</v>
      </c>
      <c r="N140" s="561">
        <v>3801.75</v>
      </c>
      <c r="O140" s="492" t="s">
        <v>57</v>
      </c>
      <c r="P140" s="1010" t="s">
        <v>304</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797</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798</v>
      </c>
      <c r="B143" s="994" t="s">
        <v>112</v>
      </c>
      <c r="C143" s="995"/>
      <c r="D143" s="996" t="s">
        <v>60</v>
      </c>
      <c r="E143" s="996">
        <v>45768</v>
      </c>
      <c r="F143" s="997" t="s">
        <v>126</v>
      </c>
      <c r="G143" s="994"/>
      <c r="H143" s="998">
        <v>0</v>
      </c>
      <c r="I143" s="999" t="s">
        <v>304</v>
      </c>
      <c r="J143" s="998" t="s">
        <v>56</v>
      </c>
      <c r="K143" s="995"/>
      <c r="L143" s="1000" t="s">
        <v>56</v>
      </c>
      <c r="M143" s="998" t="s">
        <v>94</v>
      </c>
      <c r="N143" s="1001">
        <v>0</v>
      </c>
      <c r="O143" s="998" t="s">
        <v>94</v>
      </c>
      <c r="P143" s="1002" t="s">
        <v>304</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799</v>
      </c>
    </row>
    <row r="144" spans="1:30" ht="39.75" customHeight="1">
      <c r="A144" s="924" t="s">
        <v>800</v>
      </c>
      <c r="B144" s="927" t="s">
        <v>112</v>
      </c>
      <c r="C144" s="933"/>
      <c r="D144" s="926" t="s">
        <v>60</v>
      </c>
      <c r="E144" s="926">
        <v>45768</v>
      </c>
      <c r="F144" s="925" t="s">
        <v>126</v>
      </c>
      <c r="G144" s="927"/>
      <c r="H144" s="928">
        <v>0</v>
      </c>
      <c r="I144" s="934" t="s">
        <v>304</v>
      </c>
      <c r="J144" s="928" t="s">
        <v>56</v>
      </c>
      <c r="K144" s="933"/>
      <c r="L144" s="935" t="s">
        <v>56</v>
      </c>
      <c r="M144" s="928" t="s">
        <v>94</v>
      </c>
      <c r="N144" s="929">
        <v>0</v>
      </c>
      <c r="O144" s="928" t="s">
        <v>94</v>
      </c>
      <c r="P144" s="930" t="s">
        <v>304</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801</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392</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392</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377</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362</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362</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362</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362</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362</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380</v>
      </c>
      <c r="B284">
        <v>2227</v>
      </c>
      <c r="G284">
        <v>2227</v>
      </c>
    </row>
    <row r="285" spans="1:7">
      <c r="A285" t="s">
        <v>442</v>
      </c>
      <c r="C285">
        <v>0</v>
      </c>
      <c r="D285">
        <v>0</v>
      </c>
      <c r="E285">
        <v>344</v>
      </c>
      <c r="G285">
        <v>344</v>
      </c>
    </row>
    <row r="286" spans="1:7">
      <c r="A286" t="s">
        <v>376</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376</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369</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369</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373</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354</v>
      </c>
      <c r="B470">
        <v>644</v>
      </c>
      <c r="C470">
        <v>1430</v>
      </c>
      <c r="D470">
        <v>970</v>
      </c>
      <c r="G470">
        <v>3044</v>
      </c>
    </row>
    <row r="471" spans="1:7">
      <c r="A471" t="s">
        <v>383</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354</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369</v>
      </c>
      <c r="E501">
        <v>341</v>
      </c>
      <c r="G501">
        <v>341</v>
      </c>
    </row>
    <row r="502" spans="1:7">
      <c r="A502" t="s">
        <v>839</v>
      </c>
    </row>
    <row r="503" spans="1:7">
      <c r="A503" t="s">
        <v>354</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376</v>
      </c>
      <c r="E534">
        <v>977</v>
      </c>
      <c r="G534">
        <v>977</v>
      </c>
    </row>
    <row r="535" spans="1:7">
      <c r="A535" t="s">
        <v>838</v>
      </c>
      <c r="D535">
        <v>81</v>
      </c>
      <c r="F535">
        <v>114</v>
      </c>
      <c r="G535">
        <v>195</v>
      </c>
    </row>
    <row r="536" spans="1:7">
      <c r="A536" t="s">
        <v>478</v>
      </c>
    </row>
    <row r="537" spans="1:7">
      <c r="A537" t="s">
        <v>354</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376</v>
      </c>
      <c r="E549">
        <v>676</v>
      </c>
      <c r="F549">
        <v>430</v>
      </c>
      <c r="G549">
        <v>1106</v>
      </c>
    </row>
    <row r="550" spans="1:7">
      <c r="A550" t="s">
        <v>369</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376</v>
      </c>
      <c r="B565">
        <v>885</v>
      </c>
      <c r="C565">
        <v>478</v>
      </c>
      <c r="D565">
        <v>490</v>
      </c>
      <c r="E565">
        <v>372</v>
      </c>
      <c r="G565">
        <v>2225</v>
      </c>
    </row>
    <row r="566" spans="1:7">
      <c r="A566" t="s">
        <v>75</v>
      </c>
    </row>
    <row r="567" spans="1:7">
      <c r="A567" t="s">
        <v>838</v>
      </c>
      <c r="B567">
        <v>360</v>
      </c>
      <c r="G567">
        <v>360</v>
      </c>
    </row>
    <row r="568" spans="1:7">
      <c r="A568" t="s">
        <v>354</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380</v>
      </c>
      <c r="F578">
        <v>198</v>
      </c>
      <c r="G578">
        <v>198</v>
      </c>
    </row>
    <row r="579" spans="1:7">
      <c r="A579" t="s">
        <v>376</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380</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380</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380</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369</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380</v>
      </c>
      <c r="D685">
        <v>1241</v>
      </c>
      <c r="G685">
        <v>1241</v>
      </c>
    </row>
    <row r="686" spans="1:7">
      <c r="A686" t="s">
        <v>314</v>
      </c>
      <c r="B686">
        <v>503</v>
      </c>
      <c r="C686">
        <v>295</v>
      </c>
      <c r="F686">
        <v>6</v>
      </c>
      <c r="G686">
        <v>804</v>
      </c>
    </row>
    <row r="687" spans="1:7">
      <c r="A687" t="s">
        <v>369</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380</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391</v>
      </c>
      <c r="E719">
        <v>903</v>
      </c>
      <c r="G719">
        <v>903</v>
      </c>
    </row>
    <row r="720" spans="1:7">
      <c r="A720" t="s">
        <v>385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369</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391</v>
      </c>
      <c r="B731">
        <v>254</v>
      </c>
      <c r="C731">
        <v>1686</v>
      </c>
      <c r="D731">
        <v>611</v>
      </c>
      <c r="G731">
        <v>2551</v>
      </c>
    </row>
    <row r="732" spans="1:7">
      <c r="A732" t="s">
        <v>385</v>
      </c>
      <c r="E732">
        <v>82</v>
      </c>
      <c r="G732">
        <v>82</v>
      </c>
    </row>
    <row r="733" spans="1:7">
      <c r="A733" t="s">
        <v>743</v>
      </c>
      <c r="C733">
        <v>329</v>
      </c>
      <c r="D733">
        <v>333</v>
      </c>
      <c r="G733">
        <v>662</v>
      </c>
    </row>
    <row r="734" spans="1:7">
      <c r="A734" t="s">
        <v>408</v>
      </c>
      <c r="D734">
        <v>740</v>
      </c>
      <c r="G734">
        <v>740</v>
      </c>
    </row>
    <row r="735" spans="1:7">
      <c r="A735" t="s">
        <v>418</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380</v>
      </c>
      <c r="D743">
        <v>139</v>
      </c>
      <c r="G743">
        <v>139</v>
      </c>
    </row>
    <row r="744" spans="1:7">
      <c r="A744" t="s">
        <v>314</v>
      </c>
    </row>
    <row r="745" spans="1:7">
      <c r="A745" t="s">
        <v>373</v>
      </c>
      <c r="E745">
        <v>97</v>
      </c>
      <c r="G745">
        <v>97</v>
      </c>
    </row>
    <row r="746" spans="1:7">
      <c r="A746" t="s">
        <v>838</v>
      </c>
      <c r="B746">
        <v>42</v>
      </c>
      <c r="C746">
        <v>219</v>
      </c>
      <c r="F746">
        <v>70</v>
      </c>
      <c r="G746">
        <v>331</v>
      </c>
    </row>
    <row r="747" spans="1:7">
      <c r="A747" t="s">
        <v>857</v>
      </c>
    </row>
    <row r="748" spans="1:7">
      <c r="A748" t="s">
        <v>391</v>
      </c>
      <c r="D748">
        <v>250</v>
      </c>
      <c r="G748">
        <v>250</v>
      </c>
    </row>
    <row r="749" spans="1:7">
      <c r="A749" t="s">
        <v>408</v>
      </c>
      <c r="B749">
        <v>1238</v>
      </c>
      <c r="C749">
        <v>1531</v>
      </c>
      <c r="D749">
        <v>1250</v>
      </c>
      <c r="E749">
        <v>361</v>
      </c>
      <c r="G749">
        <v>4380</v>
      </c>
    </row>
    <row r="750" spans="1:7">
      <c r="A750" t="s">
        <v>418</v>
      </c>
      <c r="B750">
        <v>711</v>
      </c>
      <c r="G750">
        <v>711</v>
      </c>
    </row>
    <row r="751" spans="1:7">
      <c r="A751" t="s">
        <v>861</v>
      </c>
      <c r="D751">
        <v>75</v>
      </c>
      <c r="G751">
        <v>75</v>
      </c>
    </row>
    <row r="752" spans="1:7">
      <c r="A752" t="s">
        <v>394</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406</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380</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408</v>
      </c>
    </row>
    <row r="769" spans="1:7">
      <c r="A769" t="s">
        <v>394</v>
      </c>
    </row>
    <row r="770" spans="1:7">
      <c r="A770" t="s">
        <v>320</v>
      </c>
      <c r="C770">
        <v>120</v>
      </c>
      <c r="D770">
        <v>190</v>
      </c>
      <c r="G770">
        <v>310</v>
      </c>
    </row>
    <row r="771" spans="1:7">
      <c r="A771" t="s">
        <v>306</v>
      </c>
      <c r="B771">
        <v>839</v>
      </c>
      <c r="D771">
        <v>616</v>
      </c>
      <c r="E771">
        <v>969</v>
      </c>
      <c r="F771">
        <v>552</v>
      </c>
      <c r="G771">
        <v>2976</v>
      </c>
    </row>
    <row r="772" spans="1:7">
      <c r="A772" t="s">
        <v>406</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414</v>
      </c>
      <c r="B776">
        <v>335</v>
      </c>
      <c r="G776">
        <v>335</v>
      </c>
    </row>
    <row r="777" spans="1:7">
      <c r="A777" t="s">
        <v>863</v>
      </c>
      <c r="B777">
        <v>415</v>
      </c>
      <c r="C777">
        <v>291</v>
      </c>
      <c r="F777">
        <v>755</v>
      </c>
      <c r="G777">
        <v>1461</v>
      </c>
    </row>
    <row r="778" spans="1:7">
      <c r="A778" t="s">
        <v>400</v>
      </c>
      <c r="C778">
        <v>1231</v>
      </c>
      <c r="D778">
        <v>1538</v>
      </c>
      <c r="E778">
        <v>1377</v>
      </c>
      <c r="G778">
        <v>4146</v>
      </c>
    </row>
    <row r="779" spans="1:7">
      <c r="A779" t="s">
        <v>403</v>
      </c>
      <c r="D779">
        <v>1205</v>
      </c>
      <c r="E779">
        <v>1000</v>
      </c>
      <c r="G779">
        <v>2205</v>
      </c>
    </row>
    <row r="780" spans="1:7">
      <c r="A780" t="s">
        <v>389</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373</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406</v>
      </c>
    </row>
    <row r="797" spans="1:7">
      <c r="A797" t="s">
        <v>863</v>
      </c>
      <c r="B797">
        <v>1418</v>
      </c>
      <c r="C797">
        <v>701</v>
      </c>
      <c r="E797">
        <v>614</v>
      </c>
      <c r="F797">
        <v>486</v>
      </c>
      <c r="G797">
        <v>3219</v>
      </c>
    </row>
    <row r="798" spans="1:7">
      <c r="A798" t="s">
        <v>400</v>
      </c>
      <c r="B798">
        <v>600</v>
      </c>
      <c r="G798">
        <v>600</v>
      </c>
    </row>
    <row r="799" spans="1:7">
      <c r="A799" t="s">
        <v>403</v>
      </c>
      <c r="B799">
        <v>1002</v>
      </c>
      <c r="C799">
        <v>268</v>
      </c>
      <c r="G799">
        <v>1270</v>
      </c>
    </row>
    <row r="800" spans="1:7">
      <c r="A800" t="s">
        <v>389</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397</v>
      </c>
      <c r="C804">
        <v>1850</v>
      </c>
      <c r="D804">
        <v>1276</v>
      </c>
      <c r="E804">
        <v>1479</v>
      </c>
      <c r="G804">
        <v>4605</v>
      </c>
    </row>
    <row r="805" spans="1:7">
      <c r="A805" t="s">
        <v>412</v>
      </c>
      <c r="D805">
        <v>1118</v>
      </c>
      <c r="E805">
        <v>1472</v>
      </c>
      <c r="G805">
        <v>2590</v>
      </c>
    </row>
    <row r="806" spans="1:7">
      <c r="A806" t="s">
        <v>410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373</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403</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412</v>
      </c>
      <c r="B825">
        <v>1174</v>
      </c>
      <c r="C825">
        <v>1597</v>
      </c>
      <c r="D825">
        <v>308</v>
      </c>
      <c r="G825">
        <v>3079</v>
      </c>
    </row>
    <row r="826" spans="1:7">
      <c r="A826" t="s">
        <v>410</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412</v>
      </c>
    </row>
    <row r="842" spans="1:7">
      <c r="A842" t="s">
        <v>410</v>
      </c>
    </row>
    <row r="843" spans="1:7">
      <c r="A843" t="s">
        <v>162</v>
      </c>
      <c r="B843">
        <v>828</v>
      </c>
      <c r="C843">
        <v>150</v>
      </c>
      <c r="E843">
        <v>688</v>
      </c>
      <c r="G843">
        <v>1666</v>
      </c>
    </row>
    <row r="844" spans="1:7">
      <c r="A844" t="s">
        <v>867</v>
      </c>
      <c r="B844">
        <v>233</v>
      </c>
      <c r="G844">
        <v>233</v>
      </c>
    </row>
    <row r="845" spans="1:7">
      <c r="A845" t="s">
        <v>348</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416</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352</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373</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352</v>
      </c>
      <c r="C868">
        <v>230</v>
      </c>
      <c r="G868">
        <v>230</v>
      </c>
    </row>
    <row r="869" spans="1:7">
      <c r="A869" t="s">
        <v>342</v>
      </c>
      <c r="B869">
        <v>853</v>
      </c>
      <c r="G869">
        <v>853</v>
      </c>
    </row>
    <row r="870" spans="1:7">
      <c r="A870" t="s">
        <v>326</v>
      </c>
      <c r="B870">
        <v>1186</v>
      </c>
      <c r="C870">
        <v>1564</v>
      </c>
      <c r="D870">
        <v>1012</v>
      </c>
      <c r="E870">
        <v>588</v>
      </c>
      <c r="G870">
        <v>4350</v>
      </c>
    </row>
    <row r="871" spans="1:7">
      <c r="A871" t="s">
        <v>346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348</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346</v>
      </c>
      <c r="B892">
        <v>587</v>
      </c>
      <c r="C892">
        <v>115</v>
      </c>
      <c r="G892">
        <v>702</v>
      </c>
    </row>
    <row r="893" spans="1:7">
      <c r="A893" t="s">
        <v>350</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363</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392</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363</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363</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363</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392</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363</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362</v>
      </c>
      <c r="B45" s="247" t="s">
        <v>363</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392</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363</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392</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363</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363</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392</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363</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363</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362</v>
      </c>
      <c r="B118" s="248" t="s">
        <v>363</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392</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363</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363</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362</v>
      </c>
      <c r="B149" s="248" t="s">
        <v>363</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392</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363</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363</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362</v>
      </c>
      <c r="B180" s="248" t="s">
        <v>363</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392</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363</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392</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363</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392</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363</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363</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392</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363</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363</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392</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363</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363</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392</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363</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363</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392</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363</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363</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362</v>
      </c>
      <c r="B434" s="248" t="s">
        <v>363</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392</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363</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392</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363</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392</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363</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392</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363</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362</v>
      </c>
      <c r="B535" s="248" t="s">
        <v>363</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392</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363</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392</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362</v>
      </c>
      <c r="B584" s="248" t="s">
        <v>363</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363</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392</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363</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392</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392</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392</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392</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392</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392</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392</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392</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392</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380</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376</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376</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392</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376</v>
      </c>
      <c r="B821" s="142" t="s">
        <v>816</v>
      </c>
      <c r="C821" s="56">
        <v>45750</v>
      </c>
      <c r="E821" s="43"/>
      <c r="F821" s="142" t="s">
        <v>1049</v>
      </c>
      <c r="G821" t="str">
        <f t="shared" si="12"/>
        <v>April</v>
      </c>
    </row>
    <row r="822" spans="1:7">
      <c r="A822" s="142" t="s">
        <v>428</v>
      </c>
      <c r="B822" s="247" t="s">
        <v>392</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376</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369</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369</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376</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376</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392</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392</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377</v>
      </c>
      <c r="C882" s="56">
        <v>45758</v>
      </c>
      <c r="E882" s="43"/>
      <c r="F882" s="142" t="s">
        <v>1070</v>
      </c>
      <c r="G882" t="str">
        <f t="shared" si="13"/>
        <v>April</v>
      </c>
    </row>
    <row r="883" spans="1:7">
      <c r="A883" s="142" t="s">
        <v>634</v>
      </c>
      <c r="B883" s="142" t="s">
        <v>377</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392</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377</v>
      </c>
      <c r="C894" s="56">
        <v>45761</v>
      </c>
      <c r="E894" s="43"/>
      <c r="G894" t="str">
        <f t="shared" si="13"/>
        <v>April</v>
      </c>
    </row>
    <row r="895" spans="1:7">
      <c r="A895" s="142" t="s">
        <v>634</v>
      </c>
      <c r="B895" s="142" t="s">
        <v>377</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392</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377</v>
      </c>
      <c r="C905" s="56">
        <v>45762</v>
      </c>
      <c r="E905" s="43"/>
      <c r="F905" s="142" t="s">
        <v>1082</v>
      </c>
      <c r="G905" t="str">
        <f t="shared" si="14"/>
        <v>April</v>
      </c>
    </row>
    <row r="906" spans="1:7">
      <c r="A906" s="142" t="s">
        <v>634</v>
      </c>
      <c r="B906" s="142" t="s">
        <v>377</v>
      </c>
      <c r="C906" s="56">
        <v>45762</v>
      </c>
      <c r="E906" s="43"/>
      <c r="F906" s="142" t="s">
        <v>1082</v>
      </c>
      <c r="G906" t="str">
        <f t="shared" si="14"/>
        <v>April</v>
      </c>
    </row>
    <row r="907" spans="1:7">
      <c r="A907" s="142" t="s">
        <v>614</v>
      </c>
      <c r="B907" s="142" t="s">
        <v>377</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392</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392</v>
      </c>
      <c r="C919" s="56">
        <v>45763</v>
      </c>
      <c r="D919" s="43">
        <v>173</v>
      </c>
      <c r="E919" s="43"/>
      <c r="G919" t="str">
        <f t="shared" si="14"/>
        <v>April</v>
      </c>
    </row>
    <row r="920" spans="1:7">
      <c r="A920" s="142" t="s">
        <v>607</v>
      </c>
      <c r="B920" s="142" t="s">
        <v>377</v>
      </c>
      <c r="C920" s="56">
        <v>45763</v>
      </c>
      <c r="E920" s="43"/>
      <c r="F920" s="142" t="s">
        <v>944</v>
      </c>
      <c r="G920" t="str">
        <f t="shared" si="14"/>
        <v>April</v>
      </c>
    </row>
    <row r="921" spans="1:7">
      <c r="A921" s="142" t="s">
        <v>614</v>
      </c>
      <c r="B921" s="142" t="s">
        <v>377</v>
      </c>
      <c r="C921" s="56">
        <v>45763</v>
      </c>
      <c r="E921" s="43"/>
      <c r="F921" s="142" t="s">
        <v>944</v>
      </c>
      <c r="G921" t="str">
        <f t="shared" si="14"/>
        <v>April</v>
      </c>
    </row>
    <row r="922" spans="1:7">
      <c r="A922" s="142" t="s">
        <v>612</v>
      </c>
      <c r="B922" s="247" t="s">
        <v>392</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392</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392</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377</v>
      </c>
      <c r="C946" s="56">
        <v>45765</v>
      </c>
      <c r="E946" s="43"/>
      <c r="F946" s="310" t="s">
        <v>1104</v>
      </c>
      <c r="G946" t="str">
        <f t="shared" si="14"/>
        <v>April</v>
      </c>
    </row>
    <row r="947" spans="1:7">
      <c r="A947" s="315" t="s">
        <v>614</v>
      </c>
      <c r="B947" s="315" t="s">
        <v>377</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392</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392</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377</v>
      </c>
      <c r="C959" s="56">
        <v>45768</v>
      </c>
      <c r="E959" s="43"/>
      <c r="F959" s="315" t="s">
        <v>1104</v>
      </c>
      <c r="G959" t="str">
        <f t="shared" si="15"/>
        <v>April</v>
      </c>
    </row>
    <row r="960" spans="1:7">
      <c r="A960" s="319" t="s">
        <v>634</v>
      </c>
      <c r="B960" s="142" t="s">
        <v>377</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392</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392</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392</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392</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392</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392</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392</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392</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392</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392</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392</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369</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369</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392</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373</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392</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392</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392</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392</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354</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392</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354</v>
      </c>
      <c r="B1158" s="308" t="s">
        <v>133</v>
      </c>
      <c r="C1158" s="56">
        <v>45797</v>
      </c>
      <c r="D1158" s="156">
        <v>1430</v>
      </c>
      <c r="F1158" s="43" t="s">
        <v>961</v>
      </c>
      <c r="G1158" t="str">
        <f t="shared" si="21"/>
        <v>May</v>
      </c>
    </row>
    <row r="1159" spans="1:7">
      <c r="A1159" s="135" t="s">
        <v>643</v>
      </c>
      <c r="B1159" s="142" t="s">
        <v>392</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354</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383</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392</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383</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354</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354</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392</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354</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392</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392</v>
      </c>
      <c r="C1216" s="56">
        <v>45812</v>
      </c>
      <c r="D1216" s="43">
        <v>83</v>
      </c>
      <c r="G1216" t="s">
        <v>1248</v>
      </c>
    </row>
    <row r="1217" spans="1:7">
      <c r="A1217" s="308" t="s">
        <v>369</v>
      </c>
      <c r="B1217" s="308" t="s">
        <v>392</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354</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369</v>
      </c>
      <c r="B1223" s="142" t="s">
        <v>392</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392</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392</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392</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376</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354</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392</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369</v>
      </c>
      <c r="B1284" s="311" t="s">
        <v>392</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392</v>
      </c>
      <c r="C1289" s="56">
        <v>45834</v>
      </c>
      <c r="F1289" s="320" t="s">
        <v>1274</v>
      </c>
      <c r="G1289" t="s">
        <v>1248</v>
      </c>
    </row>
    <row r="1290" spans="1:7">
      <c r="A1290" s="360" t="s">
        <v>643</v>
      </c>
      <c r="B1290" s="311" t="s">
        <v>392</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376</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392</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376</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376</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354</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376</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376</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376</v>
      </c>
      <c r="B1316" s="321" t="s">
        <v>429</v>
      </c>
      <c r="C1316" s="56">
        <v>45841</v>
      </c>
      <c r="D1316" s="43">
        <v>372</v>
      </c>
      <c r="F1316" s="116" t="s">
        <v>927</v>
      </c>
      <c r="G1316" t="s">
        <v>1281</v>
      </c>
    </row>
    <row r="1317" spans="1:7" ht="15.75">
      <c r="A1317" s="142" t="s">
        <v>376</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376</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380</v>
      </c>
      <c r="B1331" s="158" t="s">
        <v>318</v>
      </c>
      <c r="C1331" s="56">
        <v>45849</v>
      </c>
      <c r="D1331" s="43">
        <v>198</v>
      </c>
      <c r="G1331" t="s">
        <v>1281</v>
      </c>
    </row>
    <row r="1332" spans="1:7">
      <c r="A1332" s="251" t="s">
        <v>740</v>
      </c>
      <c r="B1332" s="412" t="s">
        <v>815</v>
      </c>
      <c r="C1332" s="56">
        <v>45852</v>
      </c>
      <c r="F1332" s="43" t="s">
        <v>944</v>
      </c>
      <c r="G1332" t="s">
        <v>1281</v>
      </c>
    </row>
    <row r="1333" spans="1:7">
      <c r="A1333" s="638" t="s">
        <v>380</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392</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392</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392</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380</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392</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380</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380</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392</v>
      </c>
      <c r="C1391" s="56">
        <v>45866</v>
      </c>
      <c r="D1391" s="156">
        <v>1181</v>
      </c>
      <c r="G1391" t="s">
        <v>1281</v>
      </c>
    </row>
    <row r="1392" spans="1:7">
      <c r="A1392" s="124" t="s">
        <v>380</v>
      </c>
      <c r="B1392" s="158" t="s">
        <v>318</v>
      </c>
      <c r="C1392" s="56">
        <v>45866</v>
      </c>
      <c r="D1392" s="43">
        <v>345</v>
      </c>
      <c r="G1392" t="s">
        <v>1281</v>
      </c>
    </row>
    <row r="1393" spans="1:7">
      <c r="A1393" s="639" t="s">
        <v>673</v>
      </c>
      <c r="B1393" s="69" t="s">
        <v>392</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392</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392</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369</v>
      </c>
      <c r="B1470" s="412" t="s">
        <v>392</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369</v>
      </c>
      <c r="B1477" s="412" t="s">
        <v>392</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392</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392</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369</v>
      </c>
      <c r="B1498" s="412" t="s">
        <v>392</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380</v>
      </c>
      <c r="B1505" s="360" t="s">
        <v>318</v>
      </c>
      <c r="C1505" s="56">
        <v>45895</v>
      </c>
      <c r="F1505" s="43" t="s">
        <v>1021</v>
      </c>
      <c r="G1505" t="s">
        <v>1320</v>
      </c>
    </row>
    <row r="1506" spans="1:7">
      <c r="A1506" s="410" t="s">
        <v>703</v>
      </c>
      <c r="B1506" s="232" t="s">
        <v>392</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380</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380</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380</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380</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380</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391</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385</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391</v>
      </c>
      <c r="B1552" s="232" t="s">
        <v>392</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391</v>
      </c>
      <c r="B1555" s="232" t="s">
        <v>392</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391</v>
      </c>
      <c r="B1559" s="232" t="s">
        <v>392</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408</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385</v>
      </c>
      <c r="B1564" s="711" t="s">
        <v>1239</v>
      </c>
      <c r="C1564" s="56">
        <v>45910</v>
      </c>
      <c r="F1564" s="43" t="s">
        <v>1077</v>
      </c>
      <c r="G1564" t="s">
        <v>1358</v>
      </c>
    </row>
    <row r="1565" spans="1:7">
      <c r="A1565" s="88" t="s">
        <v>838</v>
      </c>
      <c r="B1565" s="412" t="s">
        <v>815</v>
      </c>
      <c r="C1565" s="56">
        <v>45911</v>
      </c>
      <c r="D1565" s="43">
        <v>302</v>
      </c>
      <c r="G1565" t="s">
        <v>1358</v>
      </c>
    </row>
    <row r="1566" spans="1:7">
      <c r="A1566" s="88" t="s">
        <v>369</v>
      </c>
      <c r="B1566" s="412" t="s">
        <v>392</v>
      </c>
      <c r="C1566" s="56">
        <v>45911</v>
      </c>
      <c r="D1566" s="43">
        <v>279</v>
      </c>
      <c r="F1566" s="43" t="s">
        <v>1381</v>
      </c>
      <c r="G1566" t="s">
        <v>1358</v>
      </c>
    </row>
    <row r="1567" spans="1:7">
      <c r="A1567" s="88" t="s">
        <v>858</v>
      </c>
      <c r="B1567" s="412" t="s">
        <v>392</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418</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385</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385</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408</v>
      </c>
      <c r="B1577" s="711" t="s">
        <v>133</v>
      </c>
      <c r="C1577" s="56">
        <v>45915</v>
      </c>
      <c r="D1577" s="156">
        <v>1238</v>
      </c>
      <c r="F1577" s="69"/>
      <c r="G1577" t="s">
        <v>1358</v>
      </c>
    </row>
    <row r="1578" spans="1:7">
      <c r="A1578" s="710" t="s">
        <v>418</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408</v>
      </c>
      <c r="B1582" s="711" t="s">
        <v>133</v>
      </c>
      <c r="C1582" s="56">
        <v>45916</v>
      </c>
      <c r="D1582" s="156">
        <v>1531</v>
      </c>
      <c r="F1582" s="761"/>
      <c r="G1582" t="s">
        <v>1358</v>
      </c>
    </row>
    <row r="1583" spans="1:7">
      <c r="A1583" s="710" t="s">
        <v>418</v>
      </c>
      <c r="B1583" s="132" t="s">
        <v>815</v>
      </c>
      <c r="C1583" s="56">
        <v>45916</v>
      </c>
      <c r="E1583" s="325"/>
      <c r="F1583" s="761" t="s">
        <v>1384</v>
      </c>
      <c r="G1583" t="s">
        <v>1358</v>
      </c>
    </row>
    <row r="1584" spans="1:7">
      <c r="A1584" s="69" t="s">
        <v>394</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408</v>
      </c>
      <c r="B1590" s="362" t="s">
        <v>133</v>
      </c>
      <c r="C1590" s="56">
        <v>45917</v>
      </c>
      <c r="D1590" s="156">
        <v>1250</v>
      </c>
      <c r="F1590" s="761" t="s">
        <v>1386</v>
      </c>
      <c r="G1590" t="s">
        <v>1358</v>
      </c>
    </row>
    <row r="1591" spans="1:7">
      <c r="A1591" s="765" t="s">
        <v>391</v>
      </c>
      <c r="B1591" s="319" t="s">
        <v>392</v>
      </c>
      <c r="C1591" s="56">
        <v>45917</v>
      </c>
      <c r="D1591" s="43">
        <v>250</v>
      </c>
      <c r="F1591" s="761" t="s">
        <v>1387</v>
      </c>
      <c r="G1591" t="s">
        <v>1358</v>
      </c>
    </row>
    <row r="1592" spans="1:7">
      <c r="A1592" s="142" t="s">
        <v>394</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380</v>
      </c>
      <c r="B1596" s="315" t="s">
        <v>815</v>
      </c>
      <c r="C1596" s="56">
        <v>45917</v>
      </c>
      <c r="D1596" s="43">
        <v>139</v>
      </c>
      <c r="F1596" s="761"/>
      <c r="G1596" t="s">
        <v>1358</v>
      </c>
    </row>
    <row r="1597" spans="1:7">
      <c r="A1597" s="88" t="s">
        <v>373</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408</v>
      </c>
      <c r="B1599" s="711" t="s">
        <v>133</v>
      </c>
      <c r="C1599" s="56">
        <v>45918</v>
      </c>
      <c r="D1599" s="43">
        <v>361</v>
      </c>
      <c r="F1599" s="761" t="s">
        <v>1391</v>
      </c>
      <c r="G1599" t="s">
        <v>1358</v>
      </c>
    </row>
    <row r="1600" spans="1:7">
      <c r="A1600" s="69" t="s">
        <v>394</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406</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418</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406</v>
      </c>
      <c r="B1614" s="775" t="s">
        <v>133</v>
      </c>
      <c r="C1614" s="56">
        <v>45922</v>
      </c>
      <c r="D1614" s="43">
        <v>1285</v>
      </c>
      <c r="F1614" s="761" t="s">
        <v>1398</v>
      </c>
      <c r="G1614" t="s">
        <v>1358</v>
      </c>
    </row>
    <row r="1615" spans="1:7">
      <c r="A1615" s="774" t="s">
        <v>414</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380</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400</v>
      </c>
      <c r="B1623" s="782" t="s">
        <v>133</v>
      </c>
      <c r="C1623" s="56">
        <v>45923</v>
      </c>
      <c r="D1623" s="156">
        <v>1231</v>
      </c>
      <c r="F1623" s="69" t="s">
        <v>1402</v>
      </c>
      <c r="G1623" t="s">
        <v>1358</v>
      </c>
    </row>
    <row r="1624" spans="1:7">
      <c r="A1624" s="780" t="s">
        <v>414</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403</v>
      </c>
      <c r="B1631" s="791" t="s">
        <v>133</v>
      </c>
      <c r="C1631" s="347">
        <v>45924</v>
      </c>
      <c r="D1631" s="156">
        <v>1205</v>
      </c>
      <c r="F1631" s="69" t="s">
        <v>1405</v>
      </c>
      <c r="G1631" t="s">
        <v>1358</v>
      </c>
    </row>
    <row r="1632" spans="1:7">
      <c r="A1632" s="69" t="s">
        <v>400</v>
      </c>
      <c r="B1632" s="409" t="s">
        <v>133</v>
      </c>
      <c r="C1632" s="56">
        <v>45924</v>
      </c>
      <c r="D1632" s="793">
        <v>1538</v>
      </c>
      <c r="F1632" s="69" t="s">
        <v>1406</v>
      </c>
      <c r="G1632" t="s">
        <v>1358</v>
      </c>
    </row>
    <row r="1633" spans="1:7">
      <c r="A1633" s="790" t="s">
        <v>389</v>
      </c>
      <c r="B1633" s="409" t="s">
        <v>815</v>
      </c>
      <c r="C1633" s="56">
        <v>45924</v>
      </c>
      <c r="D1633" s="162">
        <v>240</v>
      </c>
      <c r="F1633" s="69"/>
      <c r="G1633" t="s">
        <v>1358</v>
      </c>
    </row>
    <row r="1634" spans="1:7">
      <c r="A1634" s="790" t="s">
        <v>408</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408</v>
      </c>
      <c r="B1641" s="653" t="s">
        <v>815</v>
      </c>
      <c r="C1641" s="56">
        <v>45924</v>
      </c>
      <c r="E1641" s="325">
        <v>1837</v>
      </c>
      <c r="F1641" s="69" t="s">
        <v>1410</v>
      </c>
      <c r="G1641" t="s">
        <v>1358</v>
      </c>
    </row>
    <row r="1642" spans="1:7">
      <c r="A1642" s="786" t="s">
        <v>394</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403</v>
      </c>
      <c r="B1647" s="781" t="s">
        <v>133</v>
      </c>
      <c r="C1647" s="56">
        <v>45925</v>
      </c>
      <c r="D1647" s="156">
        <v>1000</v>
      </c>
      <c r="F1647" s="30"/>
      <c r="G1647" t="s">
        <v>1358</v>
      </c>
    </row>
    <row r="1648" spans="1:7">
      <c r="A1648" s="69" t="s">
        <v>400</v>
      </c>
      <c r="B1648" s="782" t="s">
        <v>133</v>
      </c>
      <c r="C1648" s="56">
        <v>45925</v>
      </c>
      <c r="D1648" s="156">
        <v>1377</v>
      </c>
      <c r="F1648" s="69" t="s">
        <v>1411</v>
      </c>
      <c r="G1648" t="s">
        <v>1358</v>
      </c>
    </row>
    <row r="1649" spans="1:7">
      <c r="A1649" s="780" t="s">
        <v>389</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389</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400</v>
      </c>
      <c r="B1667" s="765" t="s">
        <v>133</v>
      </c>
      <c r="C1667" s="56">
        <v>45929</v>
      </c>
      <c r="D1667" s="43">
        <v>600</v>
      </c>
      <c r="F1667" s="43" t="s">
        <v>1419</v>
      </c>
      <c r="G1667" t="s">
        <v>1358</v>
      </c>
    </row>
    <row r="1668" spans="1:7">
      <c r="A1668" s="315" t="s">
        <v>403</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403</v>
      </c>
      <c r="B1674" s="315" t="s">
        <v>133</v>
      </c>
      <c r="C1674" s="56">
        <v>45930</v>
      </c>
      <c r="D1674" s="43">
        <v>268</v>
      </c>
      <c r="E1674" s="140">
        <v>413</v>
      </c>
      <c r="F1674" s="43" t="s">
        <v>1421</v>
      </c>
      <c r="G1674" t="s">
        <v>1358</v>
      </c>
    </row>
    <row r="1675" spans="1:7">
      <c r="A1675" s="88" t="s">
        <v>373</v>
      </c>
      <c r="B1675" s="412" t="s">
        <v>815</v>
      </c>
      <c r="C1675" s="56">
        <v>45930</v>
      </c>
      <c r="D1675" s="43">
        <v>134</v>
      </c>
      <c r="G1675" t="s">
        <v>1358</v>
      </c>
    </row>
    <row r="1676" spans="1:7">
      <c r="A1676" s="88" t="s">
        <v>451</v>
      </c>
      <c r="B1676" s="412" t="s">
        <v>1422</v>
      </c>
      <c r="C1676" s="56">
        <v>45930</v>
      </c>
      <c r="D1676" s="156">
        <v>1253</v>
      </c>
      <c r="G1676" t="s">
        <v>1358</v>
      </c>
    </row>
    <row r="1677" spans="1:7">
      <c r="A1677" s="837" t="s">
        <v>397</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8" t="s">
        <v>406</v>
      </c>
      <c r="B1680" s="142" t="s">
        <v>815</v>
      </c>
      <c r="C1680" s="314">
        <v>45930</v>
      </c>
      <c r="E1680" s="140">
        <v>536</v>
      </c>
      <c r="G1680" t="s">
        <v>1358</v>
      </c>
    </row>
    <row r="1681" spans="1:7">
      <c r="A1681" s="838" t="s">
        <v>400</v>
      </c>
      <c r="B1681" s="142" t="s">
        <v>815</v>
      </c>
      <c r="C1681" s="314">
        <v>45930</v>
      </c>
      <c r="E1681" s="140">
        <v>886</v>
      </c>
      <c r="G1681" t="s">
        <v>1358</v>
      </c>
    </row>
    <row r="1682" spans="1:7">
      <c r="A1682" s="135" t="s">
        <v>306</v>
      </c>
      <c r="B1682" s="308" t="s">
        <v>307</v>
      </c>
      <c r="C1682" s="56">
        <v>45930</v>
      </c>
      <c r="D1682" s="156">
        <v>1016</v>
      </c>
      <c r="G1682" t="s">
        <v>1358</v>
      </c>
    </row>
    <row r="1683" spans="1:7">
      <c r="A1683" s="838" t="s">
        <v>397</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9" t="s">
        <v>397</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412</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373</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9" t="s">
        <v>410</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412</v>
      </c>
      <c r="B1701" s="765" t="s">
        <v>133</v>
      </c>
      <c r="C1701" s="56">
        <v>45932</v>
      </c>
      <c r="D1701" s="156">
        <v>1472</v>
      </c>
      <c r="F1701" s="43" t="s">
        <v>1379</v>
      </c>
      <c r="G1701" t="s">
        <v>1425</v>
      </c>
    </row>
    <row r="1702" spans="1:7">
      <c r="A1702" s="839" t="s">
        <v>397</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373</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373</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410</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3" t="s">
        <v>412</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373</v>
      </c>
      <c r="B1728" s="315" t="s">
        <v>815</v>
      </c>
      <c r="C1728" s="56">
        <v>45937</v>
      </c>
      <c r="D1728" s="43">
        <v>270</v>
      </c>
      <c r="G1728" t="s">
        <v>1425</v>
      </c>
    </row>
    <row r="1729" spans="1:7">
      <c r="A1729" s="328" t="s">
        <v>838</v>
      </c>
      <c r="B1729" s="315" t="s">
        <v>815</v>
      </c>
      <c r="C1729" s="56">
        <v>45937</v>
      </c>
      <c r="D1729" s="43">
        <v>55</v>
      </c>
      <c r="G1729" t="s">
        <v>1425</v>
      </c>
    </row>
    <row r="1730" spans="1:7">
      <c r="A1730" s="348" t="s">
        <v>410</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3" t="s">
        <v>412</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3" t="s">
        <v>412</v>
      </c>
      <c r="B1743" s="142" t="s">
        <v>133</v>
      </c>
      <c r="C1743" s="56">
        <v>45938</v>
      </c>
      <c r="D1743" s="43">
        <v>308</v>
      </c>
      <c r="F1743" s="43" t="s">
        <v>1441</v>
      </c>
      <c r="G1743" t="s">
        <v>1425</v>
      </c>
    </row>
    <row r="1744" spans="1:7">
      <c r="A1744" s="670" t="s">
        <v>403</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412</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412</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410</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2" t="s">
        <v>1449</v>
      </c>
      <c r="G1769" t="s">
        <v>1425</v>
      </c>
    </row>
    <row r="1770" spans="1:7">
      <c r="A1770" s="1011"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348</v>
      </c>
      <c r="B1773" s="309" t="s">
        <v>133</v>
      </c>
      <c r="C1773" s="56">
        <v>45943</v>
      </c>
      <c r="D1773" s="156">
        <v>1768</v>
      </c>
      <c r="G1773" t="s">
        <v>1425</v>
      </c>
    </row>
    <row r="1774" spans="1:7">
      <c r="A1774" s="1013" t="s">
        <v>410</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4" t="s">
        <v>1449</v>
      </c>
      <c r="G1779" t="s">
        <v>1425</v>
      </c>
    </row>
    <row r="1780" spans="1:7">
      <c r="A1780" s="348" t="s">
        <v>416</v>
      </c>
      <c r="B1780" s="348" t="s">
        <v>815</v>
      </c>
      <c r="C1780" s="56">
        <v>45944</v>
      </c>
      <c r="F1780" s="348" t="s">
        <v>1451</v>
      </c>
      <c r="G1780" t="s">
        <v>1425</v>
      </c>
    </row>
    <row r="1781" spans="1:7">
      <c r="A1781" s="321" t="s">
        <v>162</v>
      </c>
      <c r="B1781" s="310" t="s">
        <v>133</v>
      </c>
      <c r="C1781" s="56">
        <v>45944</v>
      </c>
      <c r="D1781" s="43">
        <v>150</v>
      </c>
      <c r="G1781" t="s">
        <v>1425</v>
      </c>
    </row>
    <row r="1782" spans="1:7">
      <c r="A1782" s="843" t="s">
        <v>348</v>
      </c>
      <c r="B1782" s="142" t="s">
        <v>133</v>
      </c>
      <c r="C1782" s="314">
        <v>45944</v>
      </c>
      <c r="D1782" s="43">
        <v>510</v>
      </c>
      <c r="F1782" s="43" t="s">
        <v>1452</v>
      </c>
      <c r="G1782" t="s">
        <v>1425</v>
      </c>
    </row>
    <row r="1783" spans="1:7">
      <c r="A1783" s="843" t="s">
        <v>352</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416</v>
      </c>
      <c r="B1790" s="315" t="s">
        <v>815</v>
      </c>
      <c r="C1790" s="56">
        <v>45945</v>
      </c>
      <c r="D1790" s="43">
        <v>240</v>
      </c>
      <c r="E1790" s="140">
        <v>270</v>
      </c>
      <c r="F1790" s="43" t="s">
        <v>1456</v>
      </c>
      <c r="G1790" t="s">
        <v>1425</v>
      </c>
    </row>
    <row r="1791" spans="1:7">
      <c r="A1791" s="319" t="s">
        <v>352</v>
      </c>
      <c r="B1791" s="319" t="s">
        <v>133</v>
      </c>
      <c r="C1791" s="56">
        <v>45945</v>
      </c>
      <c r="D1791" s="156">
        <v>1312</v>
      </c>
      <c r="F1791" s="43" t="s">
        <v>1457</v>
      </c>
      <c r="G1791" t="s">
        <v>1425</v>
      </c>
    </row>
    <row r="1792" spans="1:7">
      <c r="A1792" s="1019"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1" t="s">
        <v>838</v>
      </c>
      <c r="B1798" s="142" t="s">
        <v>815</v>
      </c>
      <c r="C1798" s="314">
        <v>45946</v>
      </c>
      <c r="F1798" s="320" t="s">
        <v>1449</v>
      </c>
      <c r="G1798" t="s">
        <v>1425</v>
      </c>
    </row>
    <row r="1799" spans="1:7">
      <c r="A1799" s="1022" t="s">
        <v>95</v>
      </c>
      <c r="B1799" s="142" t="s">
        <v>1416</v>
      </c>
      <c r="C1799" s="314">
        <v>45946</v>
      </c>
      <c r="D1799" s="43">
        <v>487</v>
      </c>
      <c r="F1799" s="43" t="s">
        <v>1463</v>
      </c>
      <c r="G1799" t="s">
        <v>1425</v>
      </c>
    </row>
    <row r="1800" spans="1:7">
      <c r="A1800" s="1023" t="s">
        <v>352</v>
      </c>
      <c r="B1800" s="142" t="s">
        <v>133</v>
      </c>
      <c r="C1800" s="314">
        <v>45946</v>
      </c>
      <c r="D1800" s="43">
        <v>359</v>
      </c>
      <c r="F1800" s="43" t="s">
        <v>1464</v>
      </c>
      <c r="G1800" t="s">
        <v>1425</v>
      </c>
    </row>
    <row r="1801" spans="1:7">
      <c r="A1801" s="1024"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20"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412</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9" t="s">
        <v>832</v>
      </c>
      <c r="B1813" s="816" t="s">
        <v>815</v>
      </c>
      <c r="C1813" s="56">
        <v>45950</v>
      </c>
      <c r="D1813" s="43">
        <v>92</v>
      </c>
      <c r="F1813" s="43" t="s">
        <v>1367</v>
      </c>
      <c r="G1813" t="s">
        <v>1425</v>
      </c>
    </row>
    <row r="1814" spans="1:7">
      <c r="A1814" s="1040" t="s">
        <v>373</v>
      </c>
      <c r="B1814" s="789" t="s">
        <v>815</v>
      </c>
      <c r="C1814" s="56">
        <v>45950</v>
      </c>
      <c r="D1814" s="43">
        <v>153</v>
      </c>
      <c r="F1814" s="1043"/>
      <c r="G1814" t="s">
        <v>1425</v>
      </c>
    </row>
    <row r="1815" spans="1:7">
      <c r="A1815" s="1041" t="s">
        <v>95</v>
      </c>
      <c r="B1815" s="1042" t="s">
        <v>1416</v>
      </c>
      <c r="C1815" s="56">
        <v>45950</v>
      </c>
      <c r="F1815" s="1043" t="s">
        <v>1472</v>
      </c>
      <c r="G1815" t="s">
        <v>1425</v>
      </c>
    </row>
    <row r="1816" spans="1:7">
      <c r="A1816" s="1041" t="s">
        <v>838</v>
      </c>
      <c r="B1816" s="1042" t="s">
        <v>815</v>
      </c>
      <c r="C1816" s="56">
        <v>45950</v>
      </c>
      <c r="D1816" s="43">
        <v>455</v>
      </c>
      <c r="G1816" t="s">
        <v>1425</v>
      </c>
    </row>
    <row r="1817" spans="1:7">
      <c r="A1817" s="789" t="s">
        <v>342</v>
      </c>
      <c r="B1817" s="789" t="s">
        <v>133</v>
      </c>
      <c r="C1817" s="56">
        <v>45950</v>
      </c>
      <c r="D1817" s="43">
        <v>853</v>
      </c>
      <c r="F1817" s="43" t="s">
        <v>1473</v>
      </c>
      <c r="G1817" t="s">
        <v>1425</v>
      </c>
    </row>
    <row r="1818" spans="1:7">
      <c r="A1818" s="1042" t="s">
        <v>868</v>
      </c>
      <c r="B1818" s="1042" t="s">
        <v>197</v>
      </c>
      <c r="C1818" s="56">
        <v>45950</v>
      </c>
      <c r="D1818" s="156">
        <v>3343</v>
      </c>
      <c r="F1818" s="43" t="s">
        <v>1474</v>
      </c>
      <c r="G1818" t="s">
        <v>1425</v>
      </c>
    </row>
    <row r="1819" spans="1:7">
      <c r="A1819" s="1044" t="s">
        <v>309</v>
      </c>
      <c r="B1819" s="1045" t="s">
        <v>815</v>
      </c>
      <c r="C1819" s="56">
        <v>45950</v>
      </c>
      <c r="D1819" s="43">
        <v>151</v>
      </c>
      <c r="G1819" t="s">
        <v>1425</v>
      </c>
    </row>
    <row r="1820" spans="1:7">
      <c r="A1820" s="789" t="s">
        <v>326</v>
      </c>
      <c r="B1820" s="789" t="s">
        <v>1460</v>
      </c>
      <c r="C1820" s="56">
        <v>45950</v>
      </c>
      <c r="D1820" s="156">
        <v>1186</v>
      </c>
      <c r="F1820" s="43" t="s">
        <v>1299</v>
      </c>
      <c r="G1820" t="s">
        <v>1425</v>
      </c>
    </row>
    <row r="1821" spans="1:7">
      <c r="A1821" s="1042" t="s">
        <v>325</v>
      </c>
      <c r="B1821" s="1042" t="s">
        <v>221</v>
      </c>
      <c r="C1821" s="56">
        <v>45950</v>
      </c>
      <c r="D1821" s="156">
        <v>1100</v>
      </c>
      <c r="G1821" t="s">
        <v>1425</v>
      </c>
    </row>
    <row r="1822" spans="1:7">
      <c r="A1822" s="1069" t="s">
        <v>373</v>
      </c>
      <c r="B1822" s="1055" t="s">
        <v>815</v>
      </c>
      <c r="C1822" s="56">
        <v>45951</v>
      </c>
      <c r="D1822" s="156">
        <v>244</v>
      </c>
      <c r="G1822" t="s">
        <v>1425</v>
      </c>
    </row>
    <row r="1823" spans="1:7">
      <c r="A1823" s="88" t="s">
        <v>95</v>
      </c>
      <c r="B1823" s="1050" t="s">
        <v>1416</v>
      </c>
      <c r="C1823" s="56">
        <v>45951</v>
      </c>
      <c r="D1823" s="43">
        <v>413</v>
      </c>
      <c r="F1823" s="43" t="s">
        <v>893</v>
      </c>
      <c r="G1823" t="s">
        <v>1425</v>
      </c>
    </row>
    <row r="1824" spans="1:7">
      <c r="A1824" s="1051" t="s">
        <v>352</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3" t="s">
        <v>346</v>
      </c>
      <c r="B1826" s="1054"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5"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2"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50" t="s">
        <v>1416</v>
      </c>
      <c r="C1833" s="56">
        <v>45952</v>
      </c>
      <c r="D1833" s="43">
        <v>190</v>
      </c>
      <c r="G1833" t="s">
        <v>1425</v>
      </c>
    </row>
    <row r="1834" spans="1:7">
      <c r="A1834" s="843" t="s">
        <v>868</v>
      </c>
      <c r="B1834" s="843" t="s">
        <v>197</v>
      </c>
      <c r="C1834" s="56">
        <v>45952</v>
      </c>
      <c r="D1834" s="156">
        <v>2013</v>
      </c>
      <c r="F1834" s="324" t="s">
        <v>1480</v>
      </c>
      <c r="G1834" t="s">
        <v>1425</v>
      </c>
    </row>
    <row r="1835" spans="1:7">
      <c r="A1835" s="843" t="s">
        <v>147</v>
      </c>
      <c r="B1835" s="843" t="s">
        <v>133</v>
      </c>
      <c r="C1835" s="56">
        <v>45952</v>
      </c>
      <c r="D1835" s="156">
        <v>1604</v>
      </c>
      <c r="F1835" s="43" t="s">
        <v>1481</v>
      </c>
      <c r="G1835" t="s">
        <v>1425</v>
      </c>
    </row>
    <row r="1836" spans="1:7">
      <c r="A1836" s="1053" t="s">
        <v>346</v>
      </c>
      <c r="B1836" s="409" t="s">
        <v>133</v>
      </c>
      <c r="C1836" s="56">
        <v>45952</v>
      </c>
      <c r="D1836" s="156">
        <v>1672</v>
      </c>
      <c r="F1836" s="43" t="s">
        <v>1482</v>
      </c>
      <c r="G1836" t="s">
        <v>1425</v>
      </c>
    </row>
    <row r="1837" spans="1:7">
      <c r="A1837" s="1020" t="s">
        <v>309</v>
      </c>
      <c r="B1837" s="1070"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373</v>
      </c>
      <c r="B1842" s="1088"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1" t="s">
        <v>346</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20" t="s">
        <v>309</v>
      </c>
      <c r="B1849" s="1070"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8"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20" t="s">
        <v>309</v>
      </c>
      <c r="B1857" s="1070"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346</v>
      </c>
      <c r="B1866" s="142" t="s">
        <v>133</v>
      </c>
      <c r="C1866" s="56">
        <v>45957</v>
      </c>
      <c r="D1866" s="43">
        <v>587</v>
      </c>
      <c r="F1866" s="43" t="s">
        <v>1501</v>
      </c>
      <c r="G1866" t="s">
        <v>1425</v>
      </c>
    </row>
    <row r="1867" spans="1:7">
      <c r="A1867" s="1071"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20" t="s">
        <v>260</v>
      </c>
      <c r="B1869" s="1070"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350</v>
      </c>
      <c r="B1879" s="142" t="s">
        <v>133</v>
      </c>
      <c r="C1879" s="56">
        <v>45958</v>
      </c>
      <c r="D1879" s="156">
        <v>1509</v>
      </c>
      <c r="F1879" s="43" t="s">
        <v>1507</v>
      </c>
      <c r="G1879" t="s">
        <v>1425</v>
      </c>
    </row>
    <row r="1880" spans="1:7">
      <c r="A1880" s="1071" t="s">
        <v>344</v>
      </c>
      <c r="B1880" s="409" t="s">
        <v>133</v>
      </c>
      <c r="C1880" s="56">
        <v>45958</v>
      </c>
      <c r="D1880" s="156">
        <v>1678</v>
      </c>
      <c r="F1880" s="43" t="s">
        <v>1508</v>
      </c>
      <c r="G1880" t="s">
        <v>1425</v>
      </c>
    </row>
    <row r="1881" spans="1:7">
      <c r="A1881" s="1071" t="s">
        <v>346</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350</v>
      </c>
      <c r="B1893" s="681" t="s">
        <v>133</v>
      </c>
      <c r="C1893" s="56">
        <v>45959</v>
      </c>
      <c r="D1893" s="156">
        <v>1087</v>
      </c>
      <c r="F1893" s="43" t="s">
        <v>1516</v>
      </c>
      <c r="G1893" t="s">
        <v>1425</v>
      </c>
    </row>
    <row r="1894" spans="1:7">
      <c r="A1894" s="1107"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350</v>
      </c>
      <c r="B1904" s="322" t="s">
        <v>133</v>
      </c>
      <c r="C1904" s="56">
        <v>45960</v>
      </c>
      <c r="D1904" s="43">
        <v>777</v>
      </c>
      <c r="F1904" s="43" t="s">
        <v>1525</v>
      </c>
      <c r="G1904" t="s">
        <v>1425</v>
      </c>
    </row>
    <row r="1905" spans="1:7">
      <c r="A1905" s="43" t="s">
        <v>344</v>
      </c>
      <c r="B1905" s="1129" t="s">
        <v>133</v>
      </c>
      <c r="C1905" s="56">
        <v>45960</v>
      </c>
      <c r="D1905" s="43">
        <v>394</v>
      </c>
      <c r="E1905" s="325">
        <v>1275</v>
      </c>
      <c r="F1905" s="43" t="s">
        <v>1526</v>
      </c>
      <c r="G1905" t="s">
        <v>1425</v>
      </c>
    </row>
    <row r="1906" spans="1:7">
      <c r="A1906" s="1133"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346</v>
      </c>
      <c r="B1908" s="171" t="s">
        <v>815</v>
      </c>
      <c r="C1908" s="56">
        <v>45960</v>
      </c>
      <c r="D1908" s="140"/>
      <c r="E1908" s="43">
        <v>669</v>
      </c>
      <c r="G1908" t="s">
        <v>1425</v>
      </c>
    </row>
    <row r="1909" spans="1:7">
      <c r="A1909" s="171" t="s">
        <v>348</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4"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350</v>
      </c>
      <c r="B1920" s="142" t="s">
        <v>133</v>
      </c>
      <c r="C1920" s="56">
        <v>45961</v>
      </c>
      <c r="F1920" s="69" t="s">
        <v>1532</v>
      </c>
      <c r="G1920" t="s">
        <v>1425</v>
      </c>
    </row>
    <row r="1921" spans="1:7">
      <c r="A1921" s="43" t="s">
        <v>350</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376</v>
      </c>
      <c r="B3" s="548" t="s">
        <v>204</v>
      </c>
      <c r="C3" s="716">
        <v>45742</v>
      </c>
      <c r="D3" s="717" t="s">
        <v>378</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380</v>
      </c>
      <c r="B5" s="421" t="s">
        <v>204</v>
      </c>
      <c r="C5" s="414">
        <v>45991</v>
      </c>
      <c r="D5" s="553" t="s">
        <v>381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383</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384</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385</v>
      </c>
      <c r="B18" s="183" t="s">
        <v>204</v>
      </c>
      <c r="C18" s="423">
        <v>45991</v>
      </c>
      <c r="D18" s="424" t="s">
        <v>386</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395</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354</v>
      </c>
      <c r="B73" s="178" t="s">
        <v>112</v>
      </c>
      <c r="C73" s="186">
        <v>45838</v>
      </c>
      <c r="D73" s="640" t="s">
        <v>355</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418</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381</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1554</v>
      </c>
      <c r="B32" s="1123" t="s">
        <v>50</v>
      </c>
      <c r="C32" s="996">
        <v>45991</v>
      </c>
      <c r="D32" s="996" t="s">
        <v>60</v>
      </c>
      <c r="E32" s="1115">
        <v>45734</v>
      </c>
      <c r="F32" s="1000" t="s">
        <v>61</v>
      </c>
      <c r="G32" s="1124" t="s">
        <v>1555</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1608</v>
      </c>
      <c r="B33" s="1123" t="s">
        <v>50</v>
      </c>
      <c r="C33" s="996">
        <v>45991</v>
      </c>
      <c r="D33" s="1000" t="s">
        <v>60</v>
      </c>
      <c r="E33" s="1115">
        <v>45743</v>
      </c>
      <c r="F33" s="1000" t="s">
        <v>61</v>
      </c>
      <c r="G33" s="1124" t="s">
        <v>1609</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1611</v>
      </c>
      <c r="C1" s="1141"/>
      <c r="D1" s="577"/>
      <c r="E1" s="1141" t="s">
        <v>1612</v>
      </c>
      <c r="F1" s="1141"/>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1638</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369</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373</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F59CC7-5C06-4F4E-99DC-E7D47AFD456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2025-11-03T14:41:14Z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