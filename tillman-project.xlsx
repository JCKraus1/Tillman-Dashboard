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12" documentId="8_{E14B221E-02E2-46A3-8CEC-C736815F2DD5}" xr6:coauthVersionLast="47" xr6:coauthVersionMax="47" xr10:uidLastSave="{6A77BB2A-116C-4B02-B8B9-001C0D69A92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4847" r:id="rId12"/>
    <pivotCache cacheId="4848" r:id="rId13"/>
    <pivotCache cacheId="4849" r:id="rId14"/>
    <pivotCache cacheId="4850" r:id="rId15"/>
    <pivotCache cacheId="48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<sst xmlns="http://schemas.openxmlformats.org/spreadsheetml/2006/main" count="13798" uniqueCount="1678">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</sst>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32"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O79" activePane="topRight" state="frozen"/>
      <selection pane="topRight" activeCell="P94" sqref="P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46"/>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46"/>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SUM(V35-W35)</f>
        <v>3763</v>
      </c>
      <c r="Y35" s="688">
        <f t="shared" si="1"/>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SUM(V41-W41)</f>
        <v>175</v>
      </c>
      <c r="Y41" s="688">
        <f t="shared" si="1"/>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46"/>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SUM(V51-W51)</f>
        <v>923</v>
      </c>
      <c r="Y51" s="688">
        <f t="shared" si="1"/>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SUM(V53-W53)</f>
        <v>226</v>
      </c>
      <c r="Y53" s="688">
        <f t="shared" si="1"/>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SUM(V54-W54)</f>
        <v>911</v>
      </c>
      <c r="Y54" s="688">
        <f t="shared" si="1"/>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SUM(V60-W60)</f>
        <v>2146</v>
      </c>
      <c r="Y60" s="688">
        <f t="shared" si="1"/>
        <v>0.52772887323943662</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SUM(V62-W62)</f>
        <v>6295</v>
      </c>
      <c r="Y62" s="688">
        <f t="shared" si="1"/>
        <v>0.15173157256434444</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SUM(V77-W77)</f>
        <v>2538</v>
      </c>
      <c r="Y77" s="688">
        <f t="shared" si="2"/>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SUM(V82-W82)</f>
        <v>2982</v>
      </c>
      <c r="Y82" s="688">
        <f t="shared" si="2"/>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SUM(V85-W85)</f>
        <v>6762</v>
      </c>
      <c r="Y85" s="688">
        <f t="shared" si="2"/>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SUM(V87-W87)</f>
        <v>4515</v>
      </c>
      <c r="Y87" s="688">
        <f t="shared" si="2"/>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SUM(V88-W88)</f>
        <v>5795</v>
      </c>
      <c r="Y88" s="688">
        <f t="shared" si="2"/>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SUM(V89-W89)</f>
        <v>7140</v>
      </c>
      <c r="Y89" s="688">
        <f t="shared" si="2"/>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SUM(V91-W91)</f>
        <v>881</v>
      </c>
      <c r="Y91" s="688">
        <f t="shared" si="2"/>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SUM(V92-W92)</f>
        <v>2372</v>
      </c>
      <c r="Y92" s="688">
        <f t="shared" si="2"/>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SUM(V94-W94)</f>
        <v>1278</v>
      </c>
      <c r="Y94" s="688">
        <f t="shared" si="2"/>
        <v>0.68707149853085214</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SUM(V96-W96)</f>
        <v>2</v>
      </c>
      <c r="Y96" s="688">
        <f t="shared" si="2"/>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SUM(V97-W97)</f>
        <v>2092</v>
      </c>
      <c r="Y97" s="688">
        <f t="shared" si="2"/>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SUM(V98-W98)</f>
        <v>11150</v>
      </c>
      <c r="Y98" s="688">
        <f t="shared" si="2"/>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SUM(V99-W99)</f>
        <v>5394</v>
      </c>
      <c r="Y99" s="688">
        <f t="shared" si="2"/>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SUM(V113-W113)</f>
        <v>3150</v>
      </c>
      <c r="Y113" s="929">
        <f t="shared" si="2"/>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SUM(V117-W117)</f>
        <v>6935</v>
      </c>
      <c r="Y117" s="929">
        <f t="shared" ref="Y117:Y132" si="3">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SUM(V118-W118)</f>
        <v>5421</v>
      </c>
      <c r="Y118" s="939">
        <f t="shared" si="3"/>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SUM(V119-W119)</f>
        <v>6752</v>
      </c>
      <c r="Y119" s="939">
        <f t="shared" si="3"/>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SUM(V120-W120)</f>
        <v>7274</v>
      </c>
      <c r="Y120" s="939">
        <f t="shared" si="3"/>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SUM(V121-W121)</f>
        <v>7782</v>
      </c>
      <c r="Y121" s="939">
        <f t="shared" si="3"/>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SUM(V122-W122)</f>
        <v>7060</v>
      </c>
      <c r="Y122" s="939">
        <f t="shared" si="3"/>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SUM(V123-W123)</f>
        <v>7457</v>
      </c>
      <c r="Y123" s="939">
        <f t="shared" si="3"/>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SUM(V124-W124)</f>
        <v>8042</v>
      </c>
      <c r="Y124" s="939">
        <f t="shared" si="3"/>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SUM(V125-W125)</f>
        <v>6981</v>
      </c>
      <c r="Y125" s="939">
        <f t="shared" si="3"/>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SUM(V126-W126)</f>
        <v>7010</v>
      </c>
      <c r="Y126" s="939">
        <f t="shared" si="3"/>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SUM(V127-W127)</f>
        <v>6403</v>
      </c>
      <c r="Y127" s="939">
        <f t="shared" si="3"/>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SUM(V128-W128)</f>
        <v>6739</v>
      </c>
      <c r="Y128" s="939">
        <f t="shared" si="3"/>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SUM(V129-W129)</f>
        <v>6577</v>
      </c>
      <c r="Y129" s="939">
        <f t="shared" si="3"/>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SUM(V130-W130)</f>
        <v>6965</v>
      </c>
      <c r="Y130" s="939">
        <f t="shared" si="3"/>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SUM(V131-W131)</f>
        <v>7319</v>
      </c>
      <c r="Y131" s="939">
        <f t="shared" si="3"/>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SUM(V132-W132)</f>
        <v>4140</v>
      </c>
      <c r="Y132" s="939">
        <f t="shared" si="3"/>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T19" activePane="topRight" state="frozen"/>
      <selection pane="topRight" activeCell="W26" sqref="W26"/>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6"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6"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1"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1"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6" t="s">
        <v>343</v>
      </c>
    </row>
    <row r="19" spans="1:30" ht="39.75" customHeight="1">
      <c r="A19" s="1011"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5" t="s">
        <v>345</v>
      </c>
    </row>
    <row r="20" spans="1:30" ht="39.75" customHeight="1">
      <c r="A20" s="1011"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1" t="s">
        <v>348</v>
      </c>
      <c r="B21" s="479" t="s">
        <v>112</v>
      </c>
      <c r="C21" s="505">
        <v>45838</v>
      </c>
      <c r="D21" s="505" t="s">
        <v>133</v>
      </c>
      <c r="E21" s="490">
        <v>45786</v>
      </c>
      <c r="F21" s="505" t="s">
        <v>126</v>
      </c>
      <c r="G21" s="1025"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1"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1"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1"/>
    </row>
    <row r="25" spans="1:30" ht="39.75" customHeight="1">
      <c r="A25" s="906"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8" t="s">
        <v>363</v>
      </c>
    </row>
    <row r="26" spans="1:30" ht="39.75" customHeight="1">
      <c r="A26" s="1011"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5"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1"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34" sqref="A34:XFD3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4"/>
    </row>
    <row r="3" spans="1:30" ht="39.75" customHeight="1">
      <c r="A3" s="957"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5" t="s">
        <v>375</v>
      </c>
    </row>
    <row r="4" spans="1:30" ht="39.75" customHeight="1">
      <c r="A4" s="908" t="s">
        <v>376</v>
      </c>
      <c r="B4" s="895" t="s">
        <v>204</v>
      </c>
      <c r="C4" s="490">
        <v>45807</v>
      </c>
      <c r="D4" s="479" t="s">
        <v>370</v>
      </c>
      <c r="E4" s="489" t="s">
        <v>52</v>
      </c>
      <c r="F4" s="479" t="s">
        <v>209</v>
      </c>
      <c r="G4" s="887" t="s">
        <v>377</v>
      </c>
      <c r="H4" s="483">
        <v>84</v>
      </c>
      <c r="I4" s="892" t="s">
        <v>98</v>
      </c>
      <c r="J4" s="492" t="s">
        <v>63</v>
      </c>
      <c r="K4" s="909"/>
      <c r="L4" s="481">
        <v>45716</v>
      </c>
      <c r="M4" s="492" t="s">
        <v>57</v>
      </c>
      <c r="N4" s="560">
        <v>2812.95</v>
      </c>
      <c r="O4" s="492" t="s">
        <v>57</v>
      </c>
      <c r="P4" s="843" t="s">
        <v>99</v>
      </c>
      <c r="Q4" s="493">
        <v>45792</v>
      </c>
      <c r="R4" s="493">
        <v>45947</v>
      </c>
      <c r="S4" s="363"/>
      <c r="T4" s="363"/>
      <c r="U4" s="501" t="s">
        <v>372</v>
      </c>
      <c r="V4" s="41">
        <v>285</v>
      </c>
      <c r="W4" s="910">
        <v>285</v>
      </c>
      <c r="X4" s="486">
        <f>SUM(V4-W4)</f>
        <v>0</v>
      </c>
      <c r="Y4" s="688">
        <f>IFERROR($W4/$V4, 0)</f>
        <v>1</v>
      </c>
      <c r="Z4" s="493">
        <v>45798</v>
      </c>
      <c r="AA4" s="688">
        <v>1</v>
      </c>
      <c r="AB4" s="688">
        <v>1</v>
      </c>
      <c r="AC4" s="486">
        <v>3451</v>
      </c>
      <c r="AD4" s="690"/>
    </row>
    <row r="5" spans="1:30" ht="39.75" customHeight="1">
      <c r="A5" s="908"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8" t="s">
        <v>382</v>
      </c>
      <c r="B7" s="898" t="s">
        <v>204</v>
      </c>
      <c r="C7" s="899">
        <v>45955</v>
      </c>
      <c r="D7" s="900" t="s">
        <v>133</v>
      </c>
      <c r="E7" s="900">
        <v>45919</v>
      </c>
      <c r="F7" s="900" t="s">
        <v>230</v>
      </c>
      <c r="G7" s="901" t="s">
        <v>383</v>
      </c>
      <c r="H7" s="405">
        <v>0</v>
      </c>
      <c r="I7" s="902" t="s">
        <v>98</v>
      </c>
      <c r="J7" s="405" t="s">
        <v>63</v>
      </c>
      <c r="K7" s="405"/>
      <c r="L7" s="900" t="s">
        <v>52</v>
      </c>
      <c r="M7" s="405" t="s">
        <v>57</v>
      </c>
      <c r="N7" s="903">
        <v>4646.75</v>
      </c>
      <c r="O7" s="405" t="s">
        <v>94</v>
      </c>
      <c r="P7" s="998" t="s">
        <v>99</v>
      </c>
      <c r="Q7" s="618"/>
      <c r="R7" s="618">
        <v>45947</v>
      </c>
      <c r="S7" s="618"/>
      <c r="T7" s="618"/>
      <c r="U7" s="501" t="s">
        <v>372</v>
      </c>
      <c r="V7" s="1022">
        <v>117</v>
      </c>
      <c r="W7" s="1029">
        <v>117</v>
      </c>
      <c r="X7" s="107">
        <f t="shared" ref="X7:X36" si="4">SUM(V7-W7)</f>
        <v>0</v>
      </c>
      <c r="Y7" s="683">
        <f t="shared" ref="Y7:Y36" si="5">IFERROR($W7/$V7, 0)</f>
        <v>1</v>
      </c>
      <c r="Z7" s="956">
        <v>45946</v>
      </c>
      <c r="AA7" s="622">
        <v>0</v>
      </c>
      <c r="AB7" s="622">
        <v>0</v>
      </c>
      <c r="AC7" s="904">
        <v>0</v>
      </c>
      <c r="AD7" s="905"/>
    </row>
    <row r="8" spans="1:30" ht="39.75" customHeight="1">
      <c r="A8" s="1042" t="s">
        <v>384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7" t="s">
        <v>385</v>
      </c>
    </row>
    <row r="9" spans="1:30" ht="39.75" customHeight="1">
      <c r="A9" s="911"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1"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8"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1"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8"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6" t="s">
        <v>400</v>
      </c>
    </row>
    <row r="14" spans="1:30" ht="39.75" customHeight="1">
      <c r="A14" s="911"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7" t="s">
        <v>402</v>
      </c>
    </row>
    <row r="15" spans="1:30" ht="39.75" customHeight="1">
      <c r="A15" s="911"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7">
        <v>0</v>
      </c>
      <c r="AD15" s="946" t="s">
        <v>404</v>
      </c>
    </row>
    <row r="16" spans="1:30" ht="39.75" customHeight="1">
      <c r="A16" s="1014"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1"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6" t="s">
        <v>408</v>
      </c>
    </row>
    <row r="18" spans="1:30" ht="39.75" customHeight="1">
      <c r="A18" s="1014"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8"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2" t="s">
        <v>413</v>
      </c>
      <c r="B20" s="1023" t="s">
        <v>112</v>
      </c>
      <c r="C20" s="514">
        <v>45960</v>
      </c>
      <c r="D20" s="481" t="s">
        <v>60</v>
      </c>
      <c r="E20" s="521">
        <v>45945</v>
      </c>
      <c r="F20" s="506" t="s">
        <v>113</v>
      </c>
      <c r="G20" s="1024"/>
      <c r="H20" s="520">
        <v>0</v>
      </c>
      <c r="I20" s="520" t="s">
        <v>98</v>
      </c>
      <c r="J20" s="520" t="s">
        <v>63</v>
      </c>
      <c r="K20" s="520"/>
      <c r="L20" s="521">
        <v>45936</v>
      </c>
      <c r="M20" s="520" t="s">
        <v>57</v>
      </c>
      <c r="N20" s="563">
        <v>4235.8</v>
      </c>
      <c r="O20" s="520" t="s">
        <v>57</v>
      </c>
      <c r="P20" s="1043" t="s">
        <v>99</v>
      </c>
      <c r="Q20" s="485">
        <v>45939</v>
      </c>
      <c r="R20" s="485"/>
      <c r="S20" s="485"/>
      <c r="T20" s="485"/>
      <c r="U20" s="501" t="s">
        <v>372</v>
      </c>
      <c r="V20" s="430">
        <v>228</v>
      </c>
      <c r="W20" s="1044">
        <v>240</v>
      </c>
      <c r="X20" s="107">
        <f t="shared" si="4"/>
        <v>-12</v>
      </c>
      <c r="Y20" s="683">
        <f t="shared" si="5"/>
        <v>1.0526315789473684</v>
      </c>
      <c r="Z20" s="704">
        <v>45945</v>
      </c>
      <c r="AA20" s="366">
        <v>1</v>
      </c>
      <c r="AB20" s="366">
        <v>1</v>
      </c>
      <c r="AC20" s="486">
        <v>0</v>
      </c>
      <c r="AD20" s="533" t="s">
        <v>414</v>
      </c>
    </row>
    <row r="21" spans="1:30" ht="39.75" customHeight="1">
      <c r="A21" s="908" t="s">
        <v>415</v>
      </c>
      <c r="B21" s="919"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0">
        <v>978</v>
      </c>
      <c r="X21" s="486">
        <f t="shared" si="4"/>
        <v>32</v>
      </c>
      <c r="Y21" s="688">
        <f t="shared" si="5"/>
        <v>0.96831683168316829</v>
      </c>
      <c r="Z21" s="493">
        <v>45911</v>
      </c>
      <c r="AA21" s="366">
        <v>1</v>
      </c>
      <c r="AB21" s="366">
        <v>1</v>
      </c>
      <c r="AC21" s="486">
        <v>0</v>
      </c>
      <c r="AD21" s="787" t="s">
        <v>416</v>
      </c>
    </row>
    <row r="22" spans="1:30" ht="39.75" customHeight="1">
      <c r="A22" s="908"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0">
        <v>15469</v>
      </c>
      <c r="X22" s="107">
        <f t="shared" si="4"/>
        <v>-1319</v>
      </c>
      <c r="Y22" s="683">
        <f t="shared" si="5"/>
        <v>1.0932155477031802</v>
      </c>
      <c r="Z22" s="704">
        <v>45926</v>
      </c>
      <c r="AA22" s="366">
        <v>1</v>
      </c>
      <c r="AB22" s="366">
        <v>1</v>
      </c>
      <c r="AC22" s="486">
        <v>0</v>
      </c>
      <c r="AD22" s="944" t="s">
        <v>420</v>
      </c>
    </row>
    <row r="23" spans="1:30" ht="39.75" customHeight="1">
      <c r="A23" s="1014"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0">
        <v>2732</v>
      </c>
      <c r="X23" s="107">
        <f>SUM(V23-W23)</f>
        <v>79</v>
      </c>
      <c r="Y23" s="22">
        <f>IFERROR($W23/$V23, 0)</f>
        <v>0.97189612237637857</v>
      </c>
      <c r="Z23" s="704">
        <v>45922</v>
      </c>
      <c r="AA23" s="366">
        <v>1</v>
      </c>
      <c r="AB23" s="366">
        <v>1</v>
      </c>
      <c r="AC23" s="486">
        <v>0</v>
      </c>
      <c r="AD23" s="690" t="s">
        <v>423</v>
      </c>
    </row>
    <row r="24" spans="1:30" ht="39.75" customHeight="1">
      <c r="A24" s="908" t="s">
        <v>424</v>
      </c>
      <c r="B24" s="886" t="s">
        <v>50</v>
      </c>
      <c r="C24" s="665">
        <v>45838</v>
      </c>
      <c r="D24" s="489" t="s">
        <v>425</v>
      </c>
      <c r="E24" s="490">
        <v>45727</v>
      </c>
      <c r="F24" s="489" t="s">
        <v>61</v>
      </c>
      <c r="G24" s="912"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3">
        <v>4979</v>
      </c>
      <c r="W24" s="772">
        <v>5020</v>
      </c>
      <c r="X24" s="486">
        <f t="shared" si="4"/>
        <v>-41</v>
      </c>
      <c r="Y24" s="688">
        <f t="shared" si="5"/>
        <v>1.0082345852580838</v>
      </c>
      <c r="Z24" s="493">
        <v>45741</v>
      </c>
      <c r="AA24" s="688">
        <v>1</v>
      </c>
      <c r="AB24" s="688">
        <v>1</v>
      </c>
      <c r="AC24" s="363">
        <v>0</v>
      </c>
      <c r="AD24" s="690" t="s">
        <v>427</v>
      </c>
    </row>
    <row r="25" spans="1:30" ht="39.75" customHeight="1">
      <c r="A25" s="1012"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3"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2"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3"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4" t="s">
        <v>435</v>
      </c>
      <c r="B27" s="886" t="s">
        <v>50</v>
      </c>
      <c r="C27" s="490">
        <v>45772</v>
      </c>
      <c r="D27" s="490" t="s">
        <v>425</v>
      </c>
      <c r="E27" s="889">
        <v>45686</v>
      </c>
      <c r="F27" s="489" t="s">
        <v>61</v>
      </c>
      <c r="G27" s="915" t="s">
        <v>436</v>
      </c>
      <c r="H27" s="892">
        <v>77</v>
      </c>
      <c r="I27" s="687" t="s">
        <v>98</v>
      </c>
      <c r="J27" s="892" t="s">
        <v>63</v>
      </c>
      <c r="K27" s="892"/>
      <c r="L27" s="889">
        <v>45686</v>
      </c>
      <c r="M27" s="892" t="s">
        <v>57</v>
      </c>
      <c r="N27" s="916">
        <v>61924</v>
      </c>
      <c r="O27" s="892" t="s">
        <v>57</v>
      </c>
      <c r="P27" s="843" t="s">
        <v>99</v>
      </c>
      <c r="Q27" s="493">
        <v>45692</v>
      </c>
      <c r="R27" s="493">
        <v>45847</v>
      </c>
      <c r="S27" s="493">
        <v>45852</v>
      </c>
      <c r="T27" s="493"/>
      <c r="U27" s="501" t="s">
        <v>372</v>
      </c>
      <c r="V27" s="917">
        <v>5005</v>
      </c>
      <c r="W27" s="918">
        <v>4996</v>
      </c>
      <c r="X27" s="486">
        <f t="shared" si="4"/>
        <v>9</v>
      </c>
      <c r="Y27" s="688">
        <f t="shared" si="5"/>
        <v>0.99820179820179822</v>
      </c>
      <c r="Z27" s="493">
        <v>45708</v>
      </c>
      <c r="AA27" s="688">
        <v>1</v>
      </c>
      <c r="AB27" s="688">
        <v>1</v>
      </c>
      <c r="AC27" s="855">
        <v>0</v>
      </c>
      <c r="AD27" s="921" t="s">
        <v>437</v>
      </c>
    </row>
    <row r="28" spans="1:30" ht="39.75" customHeight="1">
      <c r="A28" s="914" t="s">
        <v>438</v>
      </c>
      <c r="B28" s="886" t="s">
        <v>50</v>
      </c>
      <c r="C28" s="490">
        <v>45772</v>
      </c>
      <c r="D28" s="889" t="s">
        <v>439</v>
      </c>
      <c r="E28" s="889">
        <v>45694</v>
      </c>
      <c r="F28" s="889" t="s">
        <v>61</v>
      </c>
      <c r="G28" s="915" t="s">
        <v>440</v>
      </c>
      <c r="H28" s="892">
        <v>84</v>
      </c>
      <c r="I28" s="687" t="s">
        <v>98</v>
      </c>
      <c r="J28" s="892" t="s">
        <v>63</v>
      </c>
      <c r="K28" s="892"/>
      <c r="L28" s="889">
        <v>45698</v>
      </c>
      <c r="M28" s="892" t="s">
        <v>57</v>
      </c>
      <c r="N28" s="916">
        <v>63402.5</v>
      </c>
      <c r="O28" s="892" t="s">
        <v>57</v>
      </c>
      <c r="P28" s="843" t="s">
        <v>99</v>
      </c>
      <c r="Q28" s="493">
        <v>45695</v>
      </c>
      <c r="R28" s="493">
        <v>45847</v>
      </c>
      <c r="S28" s="493">
        <v>45852</v>
      </c>
      <c r="T28" s="493"/>
      <c r="U28" s="501" t="s">
        <v>372</v>
      </c>
      <c r="V28" s="913">
        <v>4979</v>
      </c>
      <c r="W28" s="918">
        <v>4984</v>
      </c>
      <c r="X28" s="486">
        <f t="shared" si="4"/>
        <v>-5</v>
      </c>
      <c r="Y28" s="688">
        <f t="shared" si="5"/>
        <v>1.0010042177144005</v>
      </c>
      <c r="Z28" s="493">
        <v>45714</v>
      </c>
      <c r="AA28" s="688">
        <v>1</v>
      </c>
      <c r="AB28" s="688">
        <v>1</v>
      </c>
      <c r="AC28" s="855">
        <v>0</v>
      </c>
      <c r="AD28" s="149" t="s">
        <v>441</v>
      </c>
    </row>
    <row r="29" spans="1:30" ht="39.75" customHeight="1">
      <c r="A29" s="908" t="s">
        <v>442</v>
      </c>
      <c r="B29" s="919" t="s">
        <v>50</v>
      </c>
      <c r="C29" s="665">
        <v>45688</v>
      </c>
      <c r="D29" s="665" t="s">
        <v>429</v>
      </c>
      <c r="E29" s="665">
        <v>45695</v>
      </c>
      <c r="F29" s="481" t="s">
        <v>61</v>
      </c>
      <c r="G29" s="920"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4" t="s">
        <v>444</v>
      </c>
    </row>
    <row r="30" spans="1:30" ht="39.75" customHeight="1">
      <c r="A30" s="908" t="s">
        <v>445</v>
      </c>
      <c r="B30" s="886" t="s">
        <v>50</v>
      </c>
      <c r="C30" s="889">
        <v>45688</v>
      </c>
      <c r="D30" s="490" t="s">
        <v>60</v>
      </c>
      <c r="E30" s="889">
        <v>45686</v>
      </c>
      <c r="F30" s="889" t="s">
        <v>61</v>
      </c>
      <c r="G30" s="915"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8"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3" t="s">
        <v>450</v>
      </c>
    </row>
    <row r="32" spans="1:30" ht="39.75" customHeight="1">
      <c r="A32" s="908"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3"/>
    </row>
    <row r="33" spans="1:30" ht="39.75" customHeight="1">
      <c r="A33" s="908"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5" t="s">
        <v>456</v>
      </c>
    </row>
    <row r="34" spans="1:30" ht="39.75" customHeight="1">
      <c r="A34" s="1014"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7" t="s">
        <v>460</v>
      </c>
      <c r="B35" s="886" t="s">
        <v>50</v>
      </c>
      <c r="C35" s="889">
        <v>45716</v>
      </c>
      <c r="D35" s="889" t="s">
        <v>60</v>
      </c>
      <c r="E35" s="889">
        <v>45701</v>
      </c>
      <c r="F35" s="489" t="s">
        <v>61</v>
      </c>
      <c r="G35" s="915" t="s">
        <v>374</v>
      </c>
      <c r="H35" s="892">
        <v>0</v>
      </c>
      <c r="I35" s="892" t="s">
        <v>99</v>
      </c>
      <c r="J35" s="892" t="s">
        <v>63</v>
      </c>
      <c r="K35" s="892"/>
      <c r="L35" s="889">
        <v>45705</v>
      </c>
      <c r="M35" s="892" t="s">
        <v>57</v>
      </c>
      <c r="N35" s="916">
        <v>1295</v>
      </c>
      <c r="O35" s="892" t="s">
        <v>57</v>
      </c>
      <c r="P35" s="843" t="s">
        <v>99</v>
      </c>
      <c r="Q35" s="531">
        <v>45706</v>
      </c>
      <c r="R35" s="531">
        <v>45826</v>
      </c>
      <c r="S35" s="531"/>
      <c r="T35" s="531"/>
      <c r="U35" s="501" t="s">
        <v>372</v>
      </c>
      <c r="V35" s="917">
        <v>153</v>
      </c>
      <c r="W35" s="771">
        <v>153</v>
      </c>
      <c r="X35" s="107">
        <f t="shared" si="4"/>
        <v>0</v>
      </c>
      <c r="Y35" s="683">
        <f t="shared" si="5"/>
        <v>1</v>
      </c>
      <c r="Z35" s="704">
        <v>45754</v>
      </c>
      <c r="AA35" s="487">
        <v>1</v>
      </c>
      <c r="AB35" s="487">
        <v>1</v>
      </c>
      <c r="AC35" s="855">
        <v>0</v>
      </c>
      <c r="AD35" s="176" t="s">
        <v>461</v>
      </c>
    </row>
    <row r="36" spans="1:30" ht="39.75" customHeight="1">
      <c r="A36" s="922" t="s">
        <v>462</v>
      </c>
      <c r="B36" s="958" t="s">
        <v>50</v>
      </c>
      <c r="C36" s="924">
        <v>45924</v>
      </c>
      <c r="D36" s="923" t="s">
        <v>133</v>
      </c>
      <c r="E36" s="924">
        <v>45772</v>
      </c>
      <c r="F36" s="925" t="s">
        <v>61</v>
      </c>
      <c r="G36" s="925" t="s">
        <v>463</v>
      </c>
      <c r="H36" s="926">
        <v>0</v>
      </c>
      <c r="I36" s="926" t="s">
        <v>98</v>
      </c>
      <c r="J36" s="926" t="s">
        <v>63</v>
      </c>
      <c r="K36" s="925"/>
      <c r="L36" s="933" t="s">
        <v>52</v>
      </c>
      <c r="M36" s="926" t="s">
        <v>57</v>
      </c>
      <c r="N36" s="927">
        <v>4397.6499999999996</v>
      </c>
      <c r="O36" s="926" t="s">
        <v>57</v>
      </c>
      <c r="P36" s="928" t="s">
        <v>99</v>
      </c>
      <c r="Q36" s="511">
        <v>45852</v>
      </c>
      <c r="R36" s="959"/>
      <c r="S36" s="959"/>
      <c r="T36" s="959"/>
      <c r="U36" s="332" t="s">
        <v>372</v>
      </c>
      <c r="V36" s="512">
        <v>129</v>
      </c>
      <c r="W36" s="961">
        <v>129</v>
      </c>
      <c r="X36" s="512">
        <f t="shared" si="4"/>
        <v>0</v>
      </c>
      <c r="Y36" s="929">
        <f t="shared" si="5"/>
        <v>1</v>
      </c>
      <c r="Z36" s="367">
        <v>45856</v>
      </c>
      <c r="AA36" s="61">
        <v>0</v>
      </c>
      <c r="AB36" s="61">
        <v>0</v>
      </c>
      <c r="AC36" s="962">
        <v>0</v>
      </c>
      <c r="AD36" s="150" t="s">
        <v>464</v>
      </c>
    </row>
    <row r="37" spans="1:30" ht="39.75" customHeight="1">
      <c r="A37" s="951"/>
      <c r="B37" s="949"/>
      <c r="C37" s="949"/>
      <c r="D37" s="949"/>
      <c r="E37" s="949"/>
      <c r="F37" s="951"/>
      <c r="G37" s="951"/>
      <c r="H37" s="949"/>
      <c r="I37" s="949"/>
      <c r="J37" s="949"/>
      <c r="K37" s="949"/>
      <c r="L37" s="951"/>
      <c r="M37" s="949"/>
      <c r="N37" s="952"/>
      <c r="O37" s="949"/>
      <c r="P37" s="949"/>
      <c r="Q37" s="949"/>
      <c r="R37" s="949"/>
      <c r="S37" s="949"/>
      <c r="T37" s="949"/>
      <c r="U37" s="949"/>
      <c r="V37" s="951"/>
      <c r="W37" s="949"/>
      <c r="X37" s="949"/>
      <c r="Y37" s="949"/>
      <c r="Z37" s="949"/>
      <c r="AA37" s="949"/>
      <c r="AB37" s="949"/>
      <c r="AC37" s="949"/>
      <c r="AD37" s="953"/>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2">
        <v>45868</v>
      </c>
      <c r="D74" s="804" t="s">
        <v>644</v>
      </c>
      <c r="E74" s="57">
        <v>45719</v>
      </c>
      <c r="F74" s="804" t="s">
        <v>558</v>
      </c>
      <c r="G74" s="973"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646</v>
      </c>
      <c r="B75" s="803" t="s">
        <v>50</v>
      </c>
      <c r="C75" s="57">
        <v>45772</v>
      </c>
      <c r="D75" s="57" t="s">
        <v>133</v>
      </c>
      <c r="E75" s="805">
        <v>45685</v>
      </c>
      <c r="F75" s="804" t="s">
        <v>61</v>
      </c>
      <c r="G75" s="841" t="s">
        <v>647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652</v>
      </c>
    </row>
    <row r="77" spans="1:27" ht="39.75" customHeight="1">
      <c r="A77" s="975" t="s">
        <v>653</v>
      </c>
      <c r="B77" s="803" t="s">
        <v>50</v>
      </c>
      <c r="C77" s="57">
        <v>45833</v>
      </c>
      <c r="D77" s="805" t="s">
        <v>101</v>
      </c>
      <c r="E77" s="805" t="s">
        <v>52</v>
      </c>
      <c r="F77" s="805" t="s">
        <v>654</v>
      </c>
      <c r="G77" s="841" t="s">
        <v>655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29" t="s">
        <v>670</v>
      </c>
      <c r="B88" s="479" t="s">
        <v>112</v>
      </c>
      <c r="C88" s="481">
        <v>45868</v>
      </c>
      <c r="D88" s="505" t="s">
        <v>133</v>
      </c>
      <c r="E88" s="481">
        <v>45786</v>
      </c>
      <c r="F88" s="505" t="s">
        <v>113</v>
      </c>
      <c r="G88" s="479" t="s">
        <v>671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1061">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6">
        <v>2773</v>
      </c>
      <c r="S94" s="515">
        <v>2659</v>
      </c>
      <c r="T94" s="147">
        <v>0</v>
      </c>
      <c r="U94" s="954">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5">
        <v>4818</v>
      </c>
      <c r="T95" s="83">
        <v>0</v>
      </c>
      <c r="U95" s="954">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4">
        <v>4039</v>
      </c>
      <c r="T96" s="147">
        <v>0</v>
      </c>
      <c r="U96" s="954">
        <f>IFERROR(Table5[[#This Row],[Actual Redline Completed Footage UG]]/Table5[[#This Row],[Footage UG]], 0)</f>
        <v>1.0074831628835121</v>
      </c>
      <c r="V96" s="198">
        <v>45862</v>
      </c>
      <c r="W96" s="34">
        <v>1</v>
      </c>
      <c r="X96" s="34">
        <v>1</v>
      </c>
      <c r="Y96" s="34">
        <v>1</v>
      </c>
      <c r="Z96" s="125">
        <v>45875</v>
      </c>
      <c r="AA96" s="987"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4">
        <v>2937</v>
      </c>
      <c r="T97" s="147">
        <v>0</v>
      </c>
      <c r="U97" s="954">
        <f>IFERROR(Table5[[#This Row],[Actual Redline Completed Footage UG]]/Table5[[#This Row],[Footage UG]], 0)</f>
        <v>1.420899854862119</v>
      </c>
      <c r="V97" s="956">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2">
        <v>1667</v>
      </c>
      <c r="S98" s="515">
        <v>1661</v>
      </c>
      <c r="T98" s="30">
        <v>0</v>
      </c>
      <c r="U98" s="954">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2">
        <v>2649</v>
      </c>
      <c r="S99" s="651">
        <v>2678</v>
      </c>
      <c r="T99" s="30">
        <v>0</v>
      </c>
      <c r="U99" s="954">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2">
        <v>3836</v>
      </c>
      <c r="S100" s="651">
        <v>3836</v>
      </c>
      <c r="T100" s="30">
        <v>0</v>
      </c>
      <c r="U100" s="683">
        <v>1</v>
      </c>
      <c r="V100" s="704">
        <v>45896</v>
      </c>
      <c r="W100" s="366">
        <v>1</v>
      </c>
      <c r="X100" s="366">
        <v>1</v>
      </c>
      <c r="Y100" s="366">
        <v>1</v>
      </c>
      <c r="Z100" s="54">
        <v>45917</v>
      </c>
      <c r="AA100" s="946"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6">
        <v>45895</v>
      </c>
      <c r="W101" s="622">
        <v>1</v>
      </c>
      <c r="X101" s="622">
        <v>1</v>
      </c>
      <c r="Y101" s="1061">
        <v>0</v>
      </c>
      <c r="Z101" s="54">
        <v>45917</v>
      </c>
      <c r="AA101" s="971"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4">
        <f>IFERROR(Table5[[#This Row],[Actual Redline Completed Footage UG]]/Table5[[#This Row],[Footage UG]], 0)</f>
        <v>1</v>
      </c>
      <c r="V102" s="956">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4">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4">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4">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2">
        <v>116</v>
      </c>
      <c r="S106" s="983">
        <v>130</v>
      </c>
      <c r="T106" s="30">
        <v>0</v>
      </c>
      <c r="U106" s="954">
        <f>IFERROR(Table5[[#This Row],[Actual Redline Completed Footage UG]]/Table5[[#This Row],[Footage UG]], 0)</f>
        <v>1.1206896551724137</v>
      </c>
      <c r="V106" s="956">
        <v>45896</v>
      </c>
      <c r="W106" s="1076">
        <v>1</v>
      </c>
      <c r="X106" s="1076">
        <v>1</v>
      </c>
      <c r="Y106" s="1076">
        <v>1</v>
      </c>
      <c r="Z106" s="125">
        <v>45926</v>
      </c>
      <c r="AA106" s="1083"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2">
        <v>74</v>
      </c>
      <c r="S107" s="983">
        <v>0</v>
      </c>
      <c r="T107" s="107">
        <v>0</v>
      </c>
      <c r="U107" s="954">
        <f>IFERROR(Table5[[#This Row],[Actual Redline Completed Footage UG]]/Table5[[#This Row],[Footage UG]], 0)</f>
        <v>0</v>
      </c>
      <c r="V107" s="1034" t="s">
        <v>56</v>
      </c>
      <c r="W107" s="622">
        <v>0</v>
      </c>
      <c r="X107" s="622">
        <v>0</v>
      </c>
      <c r="Y107" s="622">
        <v>0</v>
      </c>
      <c r="Z107" s="125" t="s">
        <v>56</v>
      </c>
      <c r="AA107" s="1063"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4">
        <f>IFERROR(Table5[[#This Row],[Actual Redline Completed Footage UG]]/Table5[[#This Row],[Footage UG]], 0)</f>
        <v>0.93893714869698519</v>
      </c>
      <c r="V108" s="956">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4">
        <f>IFERROR(Table5[[#This Row],[Actual Redline Completed Footage UG]]/Table5[[#This Row],[Footage UG]], 0)</f>
        <v>0.90158371040723984</v>
      </c>
      <c r="V109" s="956">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2">
        <v>1100</v>
      </c>
      <c r="S110" s="983">
        <v>1110</v>
      </c>
      <c r="T110" s="30">
        <v>0</v>
      </c>
      <c r="U110" s="954">
        <f>IFERROR(Table5[[#This Row],[Actual Redline Completed Footage UG]]/Table5[[#This Row],[Footage UG]], 0)</f>
        <v>1.009090909090909</v>
      </c>
      <c r="V110" s="956">
        <v>45887</v>
      </c>
      <c r="W110" s="622">
        <v>1</v>
      </c>
      <c r="X110" s="622">
        <v>1</v>
      </c>
      <c r="Y110" s="622">
        <v>1</v>
      </c>
      <c r="Z110" s="125">
        <v>45926</v>
      </c>
      <c r="AA110" s="1063"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4">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7" t="s">
        <v>113</v>
      </c>
      <c r="G112" s="1079" t="s">
        <v>738</v>
      </c>
      <c r="H112" s="520">
        <v>0</v>
      </c>
      <c r="I112" s="520" t="s">
        <v>98</v>
      </c>
      <c r="J112" s="520" t="s">
        <v>63</v>
      </c>
      <c r="K112" s="521">
        <v>45853</v>
      </c>
      <c r="L112" s="520" t="s">
        <v>57</v>
      </c>
      <c r="M112" s="980">
        <v>68216.5</v>
      </c>
      <c r="N112" s="764"/>
      <c r="O112" s="520" t="s">
        <v>57</v>
      </c>
      <c r="P112" s="796" t="s">
        <v>99</v>
      </c>
      <c r="Q112" s="485">
        <v>45853</v>
      </c>
      <c r="R112" s="1059">
        <v>581</v>
      </c>
      <c r="S112" s="1060">
        <v>581</v>
      </c>
      <c r="T112" s="30">
        <v>0</v>
      </c>
      <c r="U112" s="954">
        <f>IFERROR(Table5[[#This Row],[Actual Redline Completed Footage UG]]/Table5[[#This Row],[Footage UG]], 0)</f>
        <v>1</v>
      </c>
      <c r="V112" s="704">
        <v>45868</v>
      </c>
      <c r="W112" s="366">
        <v>1</v>
      </c>
      <c r="X112" s="366">
        <v>1</v>
      </c>
      <c r="Y112" s="366">
        <v>1</v>
      </c>
      <c r="Z112" s="54">
        <v>45916</v>
      </c>
      <c r="AA112" s="945"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1">
        <v>45838</v>
      </c>
      <c r="L113" s="492" t="s">
        <v>57</v>
      </c>
      <c r="M113" s="810">
        <v>72566</v>
      </c>
      <c r="N113" s="764"/>
      <c r="O113" s="492" t="s">
        <v>57</v>
      </c>
      <c r="P113" s="779" t="s">
        <v>99</v>
      </c>
      <c r="Q113" s="493">
        <v>45838</v>
      </c>
      <c r="R113" s="41">
        <v>765</v>
      </c>
      <c r="S113" s="515">
        <v>786</v>
      </c>
      <c r="T113" s="30">
        <v>0</v>
      </c>
      <c r="U113" s="954">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0"/>
      <c r="H114" s="117">
        <v>0</v>
      </c>
      <c r="I114" s="117" t="s">
        <v>98</v>
      </c>
      <c r="J114" s="117" t="s">
        <v>63</v>
      </c>
      <c r="K114" s="521">
        <v>45902</v>
      </c>
      <c r="L114" s="520" t="s">
        <v>57</v>
      </c>
      <c r="M114" s="980">
        <v>3067.9</v>
      </c>
      <c r="N114" s="97"/>
      <c r="O114" s="520" t="s">
        <v>57</v>
      </c>
      <c r="P114" s="796" t="s">
        <v>99</v>
      </c>
      <c r="Q114" s="125">
        <v>45902</v>
      </c>
      <c r="R114" s="108">
        <v>662</v>
      </c>
      <c r="S114" s="1033">
        <v>662</v>
      </c>
      <c r="T114" s="30">
        <v>0</v>
      </c>
      <c r="U114" s="954">
        <f>IFERROR(Table5[[#This Row],[Actual Redline Completed Footage UG]]/Table5[[#This Row],[Footage UG]], 0)</f>
        <v>1</v>
      </c>
      <c r="V114" s="704">
        <v>45909</v>
      </c>
      <c r="W114" s="487">
        <v>1</v>
      </c>
      <c r="X114" s="487">
        <v>1</v>
      </c>
      <c r="Y114" s="487">
        <v>1</v>
      </c>
      <c r="Z114" s="125">
        <v>45926</v>
      </c>
      <c r="AA114" s="946" t="s">
        <v>744</v>
      </c>
    </row>
    <row r="115" spans="1:27" ht="39.75" customHeight="1">
      <c r="A115" s="795" t="s">
        <v>745</v>
      </c>
      <c r="B115" s="1072" t="s">
        <v>112</v>
      </c>
      <c r="C115" s="1073">
        <v>45930</v>
      </c>
      <c r="D115" s="1073" t="s">
        <v>133</v>
      </c>
      <c r="E115" s="1073">
        <v>45874</v>
      </c>
      <c r="F115" s="1078" t="s">
        <v>126</v>
      </c>
      <c r="G115" s="1074"/>
      <c r="H115" s="1075">
        <v>208</v>
      </c>
      <c r="I115" s="1080" t="s">
        <v>98</v>
      </c>
      <c r="J115" s="1075" t="s">
        <v>56</v>
      </c>
      <c r="K115" s="1031">
        <v>45876</v>
      </c>
      <c r="L115" s="1055" t="s">
        <v>57</v>
      </c>
      <c r="M115" s="1057">
        <v>124980</v>
      </c>
      <c r="N115" s="97"/>
      <c r="O115" s="1055" t="s">
        <v>57</v>
      </c>
      <c r="P115" s="797" t="s">
        <v>99</v>
      </c>
      <c r="Q115" s="358">
        <v>45876</v>
      </c>
      <c r="R115" s="1062">
        <v>11700</v>
      </c>
      <c r="S115" s="983">
        <v>11820</v>
      </c>
      <c r="T115" s="30">
        <v>0</v>
      </c>
      <c r="U115" s="22">
        <v>1.01</v>
      </c>
      <c r="V115" s="956">
        <v>45890</v>
      </c>
      <c r="W115" s="622">
        <v>1</v>
      </c>
      <c r="X115" s="622">
        <v>1</v>
      </c>
      <c r="Y115" s="1076">
        <v>1</v>
      </c>
      <c r="Z115" s="125">
        <v>45926</v>
      </c>
      <c r="AA115" s="1063" t="s">
        <v>746</v>
      </c>
    </row>
    <row r="116" spans="1:27" ht="39.75" customHeight="1">
      <c r="A116" s="798" t="s">
        <v>747</v>
      </c>
      <c r="B116" s="803" t="s">
        <v>50</v>
      </c>
      <c r="C116" s="972">
        <v>45838</v>
      </c>
      <c r="D116" s="972" t="s">
        <v>387</v>
      </c>
      <c r="E116" s="972">
        <v>45818</v>
      </c>
      <c r="F116" s="978" t="s">
        <v>558</v>
      </c>
      <c r="G116" s="978" t="s">
        <v>748</v>
      </c>
      <c r="H116" s="826">
        <v>56</v>
      </c>
      <c r="I116" s="826" t="s">
        <v>98</v>
      </c>
      <c r="J116" s="826" t="s">
        <v>63</v>
      </c>
      <c r="K116" s="386">
        <v>45817</v>
      </c>
      <c r="L116" s="387" t="s">
        <v>57</v>
      </c>
      <c r="M116" s="443">
        <v>75953</v>
      </c>
      <c r="N116" s="1071"/>
      <c r="O116" s="387" t="s">
        <v>57</v>
      </c>
      <c r="P116" s="769" t="s">
        <v>99</v>
      </c>
      <c r="Q116" s="125">
        <v>45817</v>
      </c>
      <c r="R116" s="107">
        <v>6005</v>
      </c>
      <c r="S116" s="652">
        <v>6044</v>
      </c>
      <c r="T116" s="31">
        <v>0</v>
      </c>
      <c r="U116" s="954">
        <f>IFERROR(Table5[[#This Row],[Actual Redline Completed Footage UG]]/Table5[[#This Row],[Footage UG]], 0)</f>
        <v>1.0064945878434637</v>
      </c>
      <c r="V116" s="1034">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69"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4">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2" t="s">
        <v>50</v>
      </c>
      <c r="C118" s="1053">
        <v>45688</v>
      </c>
      <c r="D118" s="514" t="s">
        <v>752</v>
      </c>
      <c r="E118" s="1053">
        <v>45685</v>
      </c>
      <c r="F118" s="1053" t="s">
        <v>620</v>
      </c>
      <c r="G118" s="1054" t="s">
        <v>753</v>
      </c>
      <c r="H118" s="117">
        <v>86</v>
      </c>
      <c r="I118" s="1056" t="s">
        <v>356</v>
      </c>
      <c r="J118" s="117" t="s">
        <v>63</v>
      </c>
      <c r="K118" s="514">
        <v>45677</v>
      </c>
      <c r="L118" s="1056" t="s">
        <v>57</v>
      </c>
      <c r="M118" s="809">
        <v>78075.5</v>
      </c>
      <c r="N118" s="819"/>
      <c r="O118" s="1056"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8"/>
    </row>
    <row r="119" spans="1:27" ht="39.75" customHeight="1">
      <c r="A119" s="798" t="s">
        <v>754</v>
      </c>
      <c r="B119" s="803" t="s">
        <v>50</v>
      </c>
      <c r="C119" s="972">
        <v>45831</v>
      </c>
      <c r="D119" s="978" t="s">
        <v>425</v>
      </c>
      <c r="E119" s="57">
        <v>45807</v>
      </c>
      <c r="F119" s="978" t="s">
        <v>549</v>
      </c>
      <c r="G119" s="978"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4">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4">
        <f>IFERROR(Table5[[#This Row],[Actual Redline Completed Footage UG]]/Table5[[#This Row],[Footage UG]], 0)</f>
        <v>1.0144927536231885</v>
      </c>
      <c r="V120" s="704">
        <v>45761</v>
      </c>
      <c r="W120" s="487">
        <v>1</v>
      </c>
      <c r="X120" s="487">
        <v>1</v>
      </c>
      <c r="Y120" s="487">
        <v>1</v>
      </c>
      <c r="Z120" s="493">
        <v>45917</v>
      </c>
      <c r="AA120" s="948"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4">
        <f>IFERROR(Table5[[#This Row],[Actual Redline Completed Footage UG]]/Table5[[#This Row],[Footage UG]], 0)</f>
        <v>0.69776119402985071</v>
      </c>
      <c r="V121" s="704">
        <v>45742</v>
      </c>
      <c r="W121" s="487">
        <v>1</v>
      </c>
      <c r="X121" s="487">
        <v>1</v>
      </c>
      <c r="Y121" s="487">
        <v>1</v>
      </c>
      <c r="Z121" s="531">
        <v>45894</v>
      </c>
      <c r="AA121" s="204"/>
    </row>
    <row r="122" spans="1:27" ht="39.75" customHeight="1">
      <c r="A122" s="969" t="s">
        <v>761</v>
      </c>
      <c r="B122" s="480" t="s">
        <v>50</v>
      </c>
      <c r="C122" s="490">
        <v>45772</v>
      </c>
      <c r="D122" s="490" t="s">
        <v>425</v>
      </c>
      <c r="E122" s="442">
        <v>45686</v>
      </c>
      <c r="F122" s="489" t="s">
        <v>549</v>
      </c>
      <c r="G122" s="509" t="s">
        <v>762</v>
      </c>
      <c r="H122" s="492">
        <v>85</v>
      </c>
      <c r="I122" s="484" t="s">
        <v>98</v>
      </c>
      <c r="J122" s="492" t="s">
        <v>63</v>
      </c>
      <c r="K122" s="514">
        <v>45698</v>
      </c>
      <c r="L122" s="1070" t="s">
        <v>57</v>
      </c>
      <c r="M122" s="810">
        <v>67892.5</v>
      </c>
      <c r="N122" s="97"/>
      <c r="O122" s="498" t="s">
        <v>57</v>
      </c>
      <c r="P122" s="779" t="s">
        <v>99</v>
      </c>
      <c r="Q122" s="493">
        <v>45709</v>
      </c>
      <c r="R122" s="41">
        <v>5494</v>
      </c>
      <c r="S122" s="515">
        <v>5431</v>
      </c>
      <c r="T122" s="31">
        <v>0</v>
      </c>
      <c r="U122" s="954">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7">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2">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4">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4">
        <f>IFERROR(Table5[[#This Row],[Actual Redline Completed Footage UG]]/Table5[[#This Row],[Footage UG]], 0)</f>
        <v>1</v>
      </c>
      <c r="V125" s="704">
        <v>45721</v>
      </c>
      <c r="W125" s="517">
        <v>1</v>
      </c>
      <c r="X125" s="517">
        <v>1</v>
      </c>
      <c r="Y125" s="517">
        <v>1</v>
      </c>
      <c r="Z125" s="54">
        <v>45917</v>
      </c>
      <c r="AA125" s="981"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4">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6" t="s">
        <v>57</v>
      </c>
      <c r="M127" s="809">
        <v>22755.7</v>
      </c>
      <c r="N127" s="819"/>
      <c r="O127" s="1056" t="s">
        <v>57</v>
      </c>
      <c r="P127" s="796" t="s">
        <v>99</v>
      </c>
      <c r="Q127" s="493">
        <v>45693</v>
      </c>
      <c r="R127" s="41">
        <v>1735</v>
      </c>
      <c r="S127" s="515">
        <v>1725</v>
      </c>
      <c r="T127" s="115">
        <v>0</v>
      </c>
      <c r="U127" s="967">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7">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7">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6"/>
      <c r="P130" s="968"/>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0" t="s">
        <v>48</v>
      </c>
    </row>
    <row r="134" spans="1:30" ht="39.75" customHeight="1">
      <c r="A134" s="979" t="s">
        <v>783</v>
      </c>
      <c r="B134" s="895" t="s">
        <v>204</v>
      </c>
      <c r="C134" s="490">
        <v>45807</v>
      </c>
      <c r="D134" s="479" t="s">
        <v>51</v>
      </c>
      <c r="E134" s="489" t="s">
        <v>52</v>
      </c>
      <c r="F134" s="479" t="s">
        <v>620</v>
      </c>
      <c r="G134" s="709" t="s">
        <v>314</v>
      </c>
      <c r="H134" s="483">
        <v>60</v>
      </c>
      <c r="I134" s="892" t="s">
        <v>98</v>
      </c>
      <c r="J134" s="492" t="s">
        <v>56</v>
      </c>
      <c r="K134" s="909"/>
      <c r="L134" s="481">
        <v>45716</v>
      </c>
      <c r="M134" s="492" t="s">
        <v>57</v>
      </c>
      <c r="N134" s="560">
        <v>2075.6999999999998</v>
      </c>
      <c r="O134" s="492" t="s">
        <v>57</v>
      </c>
      <c r="P134" s="1004" t="s">
        <v>99</v>
      </c>
      <c r="Q134" s="363" t="s">
        <v>56</v>
      </c>
      <c r="R134" s="363" t="s">
        <v>56</v>
      </c>
      <c r="S134" s="363" t="s">
        <v>56</v>
      </c>
      <c r="T134" s="363" t="s">
        <v>56</v>
      </c>
      <c r="U134" s="363" t="s">
        <v>56</v>
      </c>
      <c r="V134" s="41">
        <v>0</v>
      </c>
      <c r="W134" s="363">
        <v>0</v>
      </c>
      <c r="X134" s="486">
        <f t="shared" ref="X134:X140" si="0">SUM(V134-W134)</f>
        <v>0</v>
      </c>
      <c r="Y134" s="930">
        <f t="shared" ref="Y134:Y140" si="1">IFERROR($W134/$V134, 0)</f>
        <v>0</v>
      </c>
      <c r="Z134" s="493">
        <v>45744</v>
      </c>
      <c r="AA134" s="517">
        <v>1</v>
      </c>
      <c r="AB134" s="517">
        <v>1</v>
      </c>
      <c r="AC134" s="486">
        <v>2266</v>
      </c>
      <c r="AD134" s="690"/>
    </row>
    <row r="135" spans="1:30" ht="39.75" customHeight="1">
      <c r="A135" s="979" t="s">
        <v>784</v>
      </c>
      <c r="B135" s="895"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5" t="s">
        <v>99</v>
      </c>
      <c r="Q135" s="363" t="s">
        <v>56</v>
      </c>
      <c r="R135" s="363" t="s">
        <v>56</v>
      </c>
      <c r="S135" s="363" t="s">
        <v>56</v>
      </c>
      <c r="T135" s="363" t="s">
        <v>56</v>
      </c>
      <c r="U135" s="363" t="s">
        <v>56</v>
      </c>
      <c r="V135" s="41">
        <v>0</v>
      </c>
      <c r="W135" s="363">
        <v>0</v>
      </c>
      <c r="X135" s="486">
        <f t="shared" si="0"/>
        <v>0</v>
      </c>
      <c r="Y135" s="930">
        <f t="shared" si="1"/>
        <v>0</v>
      </c>
      <c r="Z135" s="493">
        <v>45744</v>
      </c>
      <c r="AA135" s="517">
        <v>1</v>
      </c>
      <c r="AB135" s="517">
        <v>1</v>
      </c>
      <c r="AC135" s="41">
        <v>3830</v>
      </c>
      <c r="AD135" s="690"/>
    </row>
    <row r="136" spans="1:30" ht="39.75" customHeight="1">
      <c r="A136" s="979" t="s">
        <v>786</v>
      </c>
      <c r="B136" s="895"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3371</v>
      </c>
      <c r="AD136" s="690"/>
    </row>
    <row r="137" spans="1:30" ht="39.75" customHeight="1">
      <c r="A137" s="979"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6" t="s">
        <v>99</v>
      </c>
      <c r="Q137" s="363" t="s">
        <v>56</v>
      </c>
      <c r="R137" s="363" t="s">
        <v>56</v>
      </c>
      <c r="S137" s="363" t="s">
        <v>56</v>
      </c>
      <c r="T137" s="363" t="s">
        <v>56</v>
      </c>
      <c r="U137" s="363" t="s">
        <v>56</v>
      </c>
      <c r="V137" s="41">
        <v>0</v>
      </c>
      <c r="W137" s="486">
        <v>0</v>
      </c>
      <c r="X137" s="486">
        <f t="shared" si="0"/>
        <v>0</v>
      </c>
      <c r="Y137" s="930">
        <f t="shared" si="1"/>
        <v>0</v>
      </c>
      <c r="Z137" s="363"/>
      <c r="AA137" s="688">
        <v>1</v>
      </c>
      <c r="AB137" s="688">
        <v>1</v>
      </c>
      <c r="AC137" s="913">
        <v>5569</v>
      </c>
      <c r="AD137" s="690"/>
    </row>
    <row r="138" spans="1:30" ht="39.75" customHeight="1">
      <c r="A138" s="979" t="s">
        <v>790</v>
      </c>
      <c r="B138" s="886" t="s">
        <v>50</v>
      </c>
      <c r="C138" s="490">
        <v>45772</v>
      </c>
      <c r="D138" s="489" t="s">
        <v>51</v>
      </c>
      <c r="E138" s="489" t="s">
        <v>52</v>
      </c>
      <c r="F138" s="489" t="s">
        <v>53</v>
      </c>
      <c r="G138" s="912" t="s">
        <v>791</v>
      </c>
      <c r="H138" s="492">
        <v>38</v>
      </c>
      <c r="I138" s="492" t="s">
        <v>99</v>
      </c>
      <c r="J138" s="492" t="s">
        <v>56</v>
      </c>
      <c r="K138" s="504"/>
      <c r="L138" s="481">
        <v>45716</v>
      </c>
      <c r="M138" s="492" t="s">
        <v>57</v>
      </c>
      <c r="N138" s="561">
        <v>870</v>
      </c>
      <c r="O138" s="492" t="s">
        <v>57</v>
      </c>
      <c r="P138" s="1006" t="s">
        <v>99</v>
      </c>
      <c r="Q138" s="363" t="s">
        <v>56</v>
      </c>
      <c r="R138" s="363" t="s">
        <v>56</v>
      </c>
      <c r="S138" s="363" t="s">
        <v>56</v>
      </c>
      <c r="T138" s="363" t="s">
        <v>56</v>
      </c>
      <c r="U138" s="363" t="s">
        <v>56</v>
      </c>
      <c r="V138" s="41">
        <v>0</v>
      </c>
      <c r="W138" s="501">
        <v>0</v>
      </c>
      <c r="X138" s="486">
        <f t="shared" si="0"/>
        <v>0</v>
      </c>
      <c r="Y138" s="930">
        <f t="shared" si="1"/>
        <v>0</v>
      </c>
      <c r="Z138" s="493">
        <v>45742</v>
      </c>
      <c r="AA138" s="688">
        <v>1</v>
      </c>
      <c r="AB138" s="688">
        <v>1</v>
      </c>
      <c r="AC138" s="363">
        <v>145</v>
      </c>
      <c r="AD138" s="690"/>
    </row>
    <row r="139" spans="1:30" ht="39.75" customHeight="1">
      <c r="A139" s="979"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6" t="s">
        <v>99</v>
      </c>
      <c r="Q139" s="363" t="s">
        <v>56</v>
      </c>
      <c r="R139" s="363" t="s">
        <v>56</v>
      </c>
      <c r="S139" s="363" t="s">
        <v>56</v>
      </c>
      <c r="T139" s="363" t="s">
        <v>56</v>
      </c>
      <c r="U139" s="363" t="s">
        <v>56</v>
      </c>
      <c r="V139" s="41">
        <v>0</v>
      </c>
      <c r="W139" s="486">
        <v>0</v>
      </c>
      <c r="X139" s="486">
        <f t="shared" si="0"/>
        <v>0</v>
      </c>
      <c r="Y139" s="930">
        <f t="shared" si="1"/>
        <v>0</v>
      </c>
      <c r="Z139" s="493">
        <v>45716</v>
      </c>
      <c r="AA139" s="688">
        <v>1</v>
      </c>
      <c r="AB139" s="688">
        <v>1</v>
      </c>
      <c r="AC139" s="917">
        <v>1408</v>
      </c>
      <c r="AD139" s="116" t="s">
        <v>794</v>
      </c>
    </row>
    <row r="140" spans="1:30" ht="39.75" customHeight="1">
      <c r="A140" s="979"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6" t="s">
        <v>99</v>
      </c>
      <c r="Q140" s="363" t="s">
        <v>56</v>
      </c>
      <c r="R140" s="363" t="s">
        <v>56</v>
      </c>
      <c r="S140" s="363" t="s">
        <v>56</v>
      </c>
      <c r="T140" s="363" t="s">
        <v>56</v>
      </c>
      <c r="U140" s="363" t="s">
        <v>56</v>
      </c>
      <c r="V140" s="41">
        <v>0</v>
      </c>
      <c r="W140" s="363">
        <v>0</v>
      </c>
      <c r="X140" s="486">
        <f t="shared" si="0"/>
        <v>0</v>
      </c>
      <c r="Y140" s="930">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6"/>
      <c r="P141" s="968"/>
      <c r="Q141" s="43"/>
      <c r="R141" s="43"/>
      <c r="S141" s="43"/>
      <c r="T141" s="43"/>
      <c r="U141" s="43"/>
      <c r="V141" s="43"/>
      <c r="W141" s="43"/>
      <c r="X141" s="43"/>
      <c r="Y141" s="43"/>
      <c r="Z141" s="43"/>
      <c r="AA141" s="43"/>
    </row>
    <row r="142" spans="1:30" ht="39.75" customHeight="1">
      <c r="A142" s="988" t="s">
        <v>797</v>
      </c>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9" t="s">
        <v>798</v>
      </c>
      <c r="B143" s="990" t="s">
        <v>112</v>
      </c>
      <c r="C143" s="991"/>
      <c r="D143" s="992" t="s">
        <v>60</v>
      </c>
      <c r="E143" s="992">
        <v>45768</v>
      </c>
      <c r="F143" s="993" t="s">
        <v>126</v>
      </c>
      <c r="G143" s="990"/>
      <c r="H143" s="994">
        <v>0</v>
      </c>
      <c r="I143" s="995" t="s">
        <v>99</v>
      </c>
      <c r="J143" s="994" t="s">
        <v>56</v>
      </c>
      <c r="K143" s="991"/>
      <c r="L143" s="996" t="s">
        <v>56</v>
      </c>
      <c r="M143" s="994" t="s">
        <v>94</v>
      </c>
      <c r="N143" s="997">
        <v>0</v>
      </c>
      <c r="O143" s="994" t="s">
        <v>94</v>
      </c>
      <c r="P143" s="998" t="s">
        <v>99</v>
      </c>
      <c r="Q143" s="999" t="s">
        <v>56</v>
      </c>
      <c r="R143" s="1000" t="s">
        <v>163</v>
      </c>
      <c r="S143" s="1000" t="s">
        <v>163</v>
      </c>
      <c r="T143" s="1000" t="s">
        <v>163</v>
      </c>
      <c r="U143" s="999"/>
      <c r="V143" s="1000">
        <v>3</v>
      </c>
      <c r="W143" s="1000">
        <v>3</v>
      </c>
      <c r="X143" s="621">
        <f t="shared" ref="X143:X144" si="2">SUM(V143-W143)</f>
        <v>0</v>
      </c>
      <c r="Y143" s="1001">
        <f t="shared" ref="Y143:Y144" si="3">IFERROR($W143/$V143, 0)</f>
        <v>1</v>
      </c>
      <c r="Z143" s="620">
        <v>45768</v>
      </c>
      <c r="AA143" s="622">
        <v>0</v>
      </c>
      <c r="AB143" s="622">
        <v>0</v>
      </c>
      <c r="AC143" s="1002">
        <v>0</v>
      </c>
      <c r="AD143" s="1003" t="s">
        <v>799</v>
      </c>
    </row>
    <row r="144" spans="1:30" ht="39.75" customHeight="1">
      <c r="A144" s="922" t="s">
        <v>800</v>
      </c>
      <c r="B144" s="925" t="s">
        <v>112</v>
      </c>
      <c r="C144" s="931"/>
      <c r="D144" s="924" t="s">
        <v>60</v>
      </c>
      <c r="E144" s="924">
        <v>45768</v>
      </c>
      <c r="F144" s="923" t="s">
        <v>126</v>
      </c>
      <c r="G144" s="925"/>
      <c r="H144" s="926">
        <v>0</v>
      </c>
      <c r="I144" s="932" t="s">
        <v>99</v>
      </c>
      <c r="J144" s="926" t="s">
        <v>56</v>
      </c>
      <c r="K144" s="931"/>
      <c r="L144" s="933" t="s">
        <v>56</v>
      </c>
      <c r="M144" s="926" t="s">
        <v>94</v>
      </c>
      <c r="N144" s="927">
        <v>0</v>
      </c>
      <c r="O144" s="926" t="s">
        <v>94</v>
      </c>
      <c r="P144" s="928" t="s">
        <v>99</v>
      </c>
      <c r="Q144" s="79" t="s">
        <v>56</v>
      </c>
      <c r="R144" s="332" t="s">
        <v>163</v>
      </c>
      <c r="S144" s="332" t="s">
        <v>163</v>
      </c>
      <c r="T144" s="332" t="s">
        <v>163</v>
      </c>
      <c r="U144" s="79"/>
      <c r="V144" s="332">
        <v>3</v>
      </c>
      <c r="W144" s="332">
        <v>3</v>
      </c>
      <c r="X144" s="512">
        <f t="shared" si="2"/>
        <v>0</v>
      </c>
      <c r="Y144" s="935">
        <f t="shared" si="3"/>
        <v>1</v>
      </c>
      <c r="Z144" s="367">
        <v>45768</v>
      </c>
      <c r="AA144" s="61">
        <v>0</v>
      </c>
      <c r="AB144" s="61">
        <v>0</v>
      </c>
      <c r="AC144" s="934">
        <v>0</v>
      </c>
      <c r="AD144" s="936" t="s">
        <v>801</v>
      </c>
    </row>
    <row r="145" spans="1:27" ht="39.75" customHeight="1">
      <c r="A145" s="97"/>
      <c r="B145" s="97"/>
      <c r="C145" s="97"/>
      <c r="D145" s="97"/>
      <c r="E145" s="97"/>
      <c r="F145" s="97"/>
      <c r="G145" s="97"/>
      <c r="H145" s="97"/>
      <c r="I145" s="97"/>
      <c r="J145" s="97"/>
      <c r="K145" s="97"/>
      <c r="L145" s="97"/>
      <c r="M145" s="97"/>
      <c r="N145" s="97"/>
      <c r="O145" s="966"/>
      <c r="P145" s="968"/>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370</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353</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353</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353</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353</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353</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315</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373</v>
      </c>
      <c r="B284">
        <v>2227</v>
      </c>
      <c r="G284">
        <v>2227</v>
      </c>
    </row>
    <row r="285" spans="1:7">
      <c r="A285" t="s">
        <v>442</v>
      </c>
      <c r="C285">
        <v>0</v>
      </c>
      <c r="D285">
        <v>0</v>
      </c>
      <c r="E285">
        <v>344</v>
      </c>
      <c r="G285">
        <v>344</v>
      </c>
    </row>
    <row r="286" spans="1:7">
      <c r="A286" t="s">
        <v>369</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312</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369</v>
      </c>
    </row>
    <row r="311" spans="1:7">
      <c r="A311" t="s">
        <v>628</v>
      </c>
    </row>
    <row r="312" spans="1:7">
      <c r="A312" t="s">
        <v>517</v>
      </c>
      <c r="B312">
        <v>618</v>
      </c>
      <c r="C312">
        <v>700</v>
      </c>
      <c r="G312">
        <v>1318</v>
      </c>
    </row>
    <row r="313" spans="1:7">
      <c r="A313" t="s">
        <v>509</v>
      </c>
    </row>
    <row r="314" spans="1:7">
      <c r="A314" t="s">
        <v>312</v>
      </c>
    </row>
    <row r="315" spans="1:7">
      <c r="A315" t="s">
        <v>625</v>
      </c>
      <c r="B315">
        <v>990</v>
      </c>
      <c r="C315">
        <v>1871</v>
      </c>
      <c r="D315">
        <v>1307</v>
      </c>
      <c r="G315">
        <v>4168</v>
      </c>
    </row>
    <row r="316" spans="1:7">
      <c r="A316" t="s">
        <v>360</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360</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364</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348</v>
      </c>
      <c r="B470">
        <v>644</v>
      </c>
      <c r="C470">
        <v>1430</v>
      </c>
      <c r="D470">
        <v>970</v>
      </c>
      <c r="G470">
        <v>3044</v>
      </c>
    </row>
    <row r="471" spans="1:7">
      <c r="A471" t="s">
        <v>376</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348</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360</v>
      </c>
      <c r="E501">
        <v>341</v>
      </c>
      <c r="G501">
        <v>341</v>
      </c>
    </row>
    <row r="502" spans="1:7">
      <c r="A502" t="s">
        <v>839</v>
      </c>
    </row>
    <row r="503" spans="1:7">
      <c r="A503" t="s">
        <v>348</v>
      </c>
      <c r="B503">
        <v>1957</v>
      </c>
      <c r="G503">
        <v>1957</v>
      </c>
    </row>
    <row r="504" spans="1:7">
      <c r="A504" t="s">
        <v>328</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328</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369</v>
      </c>
      <c r="E534">
        <v>977</v>
      </c>
      <c r="G534">
        <v>977</v>
      </c>
    </row>
    <row r="535" spans="1:7">
      <c r="A535" t="s">
        <v>838</v>
      </c>
      <c r="D535">
        <v>81</v>
      </c>
      <c r="F535">
        <v>114</v>
      </c>
      <c r="G535">
        <v>195</v>
      </c>
    </row>
    <row r="536" spans="1:7">
      <c r="A536" t="s">
        <v>478</v>
      </c>
    </row>
    <row r="537" spans="1:7">
      <c r="A537" t="s">
        <v>348</v>
      </c>
    </row>
    <row r="538" spans="1:7">
      <c r="A538" t="s">
        <v>328</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369</v>
      </c>
      <c r="E549">
        <v>676</v>
      </c>
      <c r="F549">
        <v>430</v>
      </c>
      <c r="G549">
        <v>1106</v>
      </c>
    </row>
    <row r="550" spans="1:7">
      <c r="A550" t="s">
        <v>360</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369</v>
      </c>
      <c r="B565">
        <v>885</v>
      </c>
      <c r="C565">
        <v>478</v>
      </c>
      <c r="D565">
        <v>490</v>
      </c>
      <c r="E565">
        <v>372</v>
      </c>
      <c r="G565">
        <v>2225</v>
      </c>
    </row>
    <row r="566" spans="1:7">
      <c r="A566" t="s">
        <v>75</v>
      </c>
    </row>
    <row r="567" spans="1:7">
      <c r="A567" t="s">
        <v>838</v>
      </c>
      <c r="B567">
        <v>360</v>
      </c>
      <c r="G567">
        <v>360</v>
      </c>
    </row>
    <row r="568" spans="1:7">
      <c r="A568" t="s">
        <v>348</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F578">
        <v>198</v>
      </c>
      <c r="G578">
        <v>198</v>
      </c>
    </row>
    <row r="579" spans="1:7">
      <c r="A579" t="s">
        <v>369</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373</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373</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373</v>
      </c>
      <c r="B625">
        <v>345</v>
      </c>
      <c r="G625">
        <v>345</v>
      </c>
    </row>
    <row r="626" spans="1:7">
      <c r="A626" t="s">
        <v>328</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378</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307</v>
      </c>
    </row>
    <row r="642" spans="1:7">
      <c r="A642" t="s">
        <v>378</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378</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360</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378</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373</v>
      </c>
      <c r="D685">
        <v>1241</v>
      </c>
      <c r="G685">
        <v>1241</v>
      </c>
    </row>
    <row r="686" spans="1:7">
      <c r="A686" t="s">
        <v>312</v>
      </c>
      <c r="B686">
        <v>503</v>
      </c>
      <c r="C686">
        <v>295</v>
      </c>
      <c r="F686">
        <v>6</v>
      </c>
      <c r="G686">
        <v>804</v>
      </c>
    </row>
    <row r="687" spans="1:7">
      <c r="A687" t="s">
        <v>360</v>
      </c>
      <c r="C687">
        <v>1009</v>
      </c>
      <c r="G687">
        <v>1009</v>
      </c>
    </row>
    <row r="688" spans="1:7">
      <c r="A688" t="s">
        <v>833</v>
      </c>
      <c r="B688">
        <v>20</v>
      </c>
      <c r="E688">
        <v>250</v>
      </c>
      <c r="F688">
        <v>177</v>
      </c>
      <c r="G688">
        <v>447</v>
      </c>
    </row>
    <row r="689" spans="1:7">
      <c r="A689" t="s">
        <v>378</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332</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373</v>
      </c>
    </row>
    <row r="708" spans="1:7">
      <c r="A708" t="s">
        <v>628</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332</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373</v>
      </c>
      <c r="D743">
        <v>139</v>
      </c>
      <c r="G743">
        <v>139</v>
      </c>
    </row>
    <row r="744" spans="1:7">
      <c r="A744" t="s">
        <v>312</v>
      </c>
    </row>
    <row r="745" spans="1:7">
      <c r="A745" t="s">
        <v>364</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401</v>
      </c>
      <c r="E755">
        <v>754</v>
      </c>
      <c r="G755">
        <v>754</v>
      </c>
    </row>
    <row r="756" spans="1:7">
      <c r="A756" t="s">
        <v>335</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373</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403</v>
      </c>
    </row>
    <row r="769" spans="1:7">
      <c r="A769" t="s">
        <v>389</v>
      </c>
    </row>
    <row r="770" spans="1:7">
      <c r="A770" t="s">
        <v>318</v>
      </c>
      <c r="C770">
        <v>120</v>
      </c>
      <c r="D770">
        <v>190</v>
      </c>
      <c r="G770">
        <v>310</v>
      </c>
    </row>
    <row r="771" spans="1:7">
      <c r="A771" t="s">
        <v>304</v>
      </c>
      <c r="B771">
        <v>839</v>
      </c>
      <c r="D771">
        <v>616</v>
      </c>
      <c r="E771">
        <v>969</v>
      </c>
      <c r="F771">
        <v>552</v>
      </c>
      <c r="G771">
        <v>2976</v>
      </c>
    </row>
    <row r="772" spans="1:7">
      <c r="A772" t="s">
        <v>401</v>
      </c>
      <c r="B772">
        <v>1285</v>
      </c>
      <c r="G772">
        <v>1285</v>
      </c>
    </row>
    <row r="773" spans="1:7">
      <c r="A773" t="s">
        <v>335</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364</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364</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321</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342</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413</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346</v>
      </c>
      <c r="C851">
        <v>974</v>
      </c>
      <c r="D851">
        <v>1312</v>
      </c>
      <c r="E851">
        <v>359</v>
      </c>
      <c r="G851">
        <v>2645</v>
      </c>
    </row>
    <row r="852" spans="1:7">
      <c r="A852" t="s">
        <v>338</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364</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346</v>
      </c>
      <c r="C868">
        <v>230</v>
      </c>
      <c r="G868">
        <v>230</v>
      </c>
    </row>
    <row r="869" spans="1:7">
      <c r="A869" t="s">
        <v>338</v>
      </c>
      <c r="B869">
        <v>853</v>
      </c>
      <c r="G869">
        <v>853</v>
      </c>
    </row>
    <row r="870" spans="1:7">
      <c r="A870" t="s">
        <v>324</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378</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342</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409</v>
      </c>
      <c r="B892">
        <v>587</v>
      </c>
      <c r="C892">
        <v>115</v>
      </c>
      <c r="G892">
        <v>702</v>
      </c>
    </row>
    <row r="893" spans="1:7">
      <c r="A893" t="s">
        <v>344</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340</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832</v>
      </c>
    </row>
    <row r="909" spans="1:7">
      <c r="A909" t="s">
        <v>304</v>
      </c>
    </row>
    <row r="910" spans="1:7">
      <c r="A910" t="s">
        <v>95</v>
      </c>
    </row>
    <row r="911" spans="1:7">
      <c r="A911" t="s">
        <v>868</v>
      </c>
    </row>
    <row r="912" spans="1:7">
      <c r="A912" t="s">
        <v>147</v>
      </c>
      <c r="B912">
        <v>701</v>
      </c>
      <c r="C912">
        <v>701</v>
      </c>
    </row>
    <row r="913" spans="1:3">
      <c r="A913" t="s">
        <v>255</v>
      </c>
      <c r="B913">
        <v>463</v>
      </c>
      <c r="C913">
        <v>463</v>
      </c>
    </row>
    <row r="914" spans="1:3">
      <c r="A914" t="s">
        <v>220</v>
      </c>
      <c r="B914">
        <v>882</v>
      </c>
      <c r="C914">
        <v>882</v>
      </c>
    </row>
    <row r="915" spans="1:3">
      <c r="A915" t="s">
        <v>182</v>
      </c>
      <c r="B915">
        <v>1420</v>
      </c>
      <c r="C915">
        <v>1420</v>
      </c>
    </row>
    <row r="916" spans="1:3">
      <c r="A916" t="s">
        <v>189</v>
      </c>
      <c r="B916">
        <v>259</v>
      </c>
      <c r="C916">
        <v>259</v>
      </c>
    </row>
    <row r="917" spans="1:3">
      <c r="A917" t="s">
        <v>138</v>
      </c>
      <c r="B917">
        <v>579</v>
      </c>
      <c r="C917">
        <v>579</v>
      </c>
    </row>
    <row r="918" spans="1:3">
      <c r="A918" t="s">
        <v>870</v>
      </c>
      <c r="B918">
        <v>365</v>
      </c>
      <c r="C918">
        <v>365</v>
      </c>
    </row>
    <row r="919" spans="1:3">
      <c r="A919" t="s">
        <v>258</v>
      </c>
      <c r="B919">
        <v>207</v>
      </c>
      <c r="C919">
        <v>207</v>
      </c>
    </row>
    <row r="920" spans="1:3">
      <c r="A920" t="s">
        <v>806</v>
      </c>
      <c r="B920">
        <v>4876</v>
      </c>
      <c r="C920">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09"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5"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346</v>
      </c>
      <c r="B1800" s="142" t="s">
        <v>133</v>
      </c>
      <c r="C1800" s="314">
        <v>45946</v>
      </c>
      <c r="D1800" s="43">
        <v>359</v>
      </c>
      <c r="F1800" s="43" t="s">
        <v>1465</v>
      </c>
      <c r="G1800" t="s">
        <v>1426</v>
      </c>
    </row>
    <row r="1801" spans="1:7">
      <c r="A1801" s="1020"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364</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338</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364</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409</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409</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7" t="s">
        <v>340</v>
      </c>
      <c r="B1880" s="409" t="s">
        <v>133</v>
      </c>
      <c r="C1880" s="56">
        <v>45958</v>
      </c>
      <c r="D1880" s="156">
        <v>1678</v>
      </c>
      <c r="F1880" s="43" t="s">
        <v>1509</v>
      </c>
      <c r="G1880" t="s">
        <v>1426</v>
      </c>
    </row>
    <row r="1881" spans="1:7">
      <c r="A1881" s="1067"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142" t="s">
        <v>868</v>
      </c>
      <c r="B1928" s="322" t="s">
        <v>815</v>
      </c>
      <c r="C1928" s="56">
        <v>45964</v>
      </c>
      <c r="G1928" t="s">
        <v>1536</v>
      </c>
    </row>
    <row r="1929" spans="1:7">
      <c r="A1929" s="308" t="s">
        <v>182</v>
      </c>
      <c r="B1929" s="360" t="s">
        <v>133</v>
      </c>
      <c r="C1929" s="56">
        <v>45964</v>
      </c>
      <c r="D1929" s="156">
        <v>1420</v>
      </c>
      <c r="F1929" s="43" t="s">
        <v>1247</v>
      </c>
      <c r="G1929" t="s">
        <v>1536</v>
      </c>
    </row>
    <row r="1930" spans="1:7">
      <c r="A1930" s="357" t="s">
        <v>147</v>
      </c>
      <c r="B1930" s="360" t="s">
        <v>133</v>
      </c>
      <c r="C1930" s="56">
        <v>45964</v>
      </c>
      <c r="D1930" s="43">
        <v>701</v>
      </c>
      <c r="F1930" s="43" t="s">
        <v>1368</v>
      </c>
      <c r="G1930" t="s">
        <v>1536</v>
      </c>
    </row>
    <row r="1931" spans="1:7">
      <c r="A1931" s="142" t="s">
        <v>138</v>
      </c>
      <c r="B1931" s="308" t="s">
        <v>133</v>
      </c>
      <c r="C1931" s="56">
        <v>45964</v>
      </c>
      <c r="D1931" s="43">
        <v>579</v>
      </c>
      <c r="F1931" s="43" t="s">
        <v>1537</v>
      </c>
      <c r="G1931" t="s">
        <v>1536</v>
      </c>
    </row>
    <row r="1932" spans="1:7">
      <c r="A1932" s="308" t="s">
        <v>870</v>
      </c>
      <c r="B1932" s="308" t="s">
        <v>1538</v>
      </c>
      <c r="C1932" s="56">
        <v>45964</v>
      </c>
      <c r="D1932" s="43">
        <v>365</v>
      </c>
      <c r="G1932" t="s">
        <v>1536</v>
      </c>
    </row>
    <row r="1933" spans="1:7">
      <c r="A1933" s="308" t="s">
        <v>189</v>
      </c>
      <c r="B1933" s="308" t="s">
        <v>815</v>
      </c>
      <c r="C1933" s="56">
        <v>45964</v>
      </c>
      <c r="D1933" s="43">
        <v>259</v>
      </c>
      <c r="G1933" t="s">
        <v>1536</v>
      </c>
    </row>
    <row r="1934" spans="1:7">
      <c r="A1934" s="142" t="s">
        <v>255</v>
      </c>
      <c r="B1934" s="322" t="s">
        <v>1461</v>
      </c>
      <c r="C1934" s="56">
        <v>45964</v>
      </c>
      <c r="D1934" s="43">
        <v>463</v>
      </c>
      <c r="G1934" t="s">
        <v>1536</v>
      </c>
    </row>
    <row r="1935" spans="1:7">
      <c r="A1935" s="309" t="s">
        <v>220</v>
      </c>
      <c r="B1935" s="308" t="s">
        <v>221</v>
      </c>
      <c r="C1935" s="56">
        <v>45964</v>
      </c>
      <c r="D1935" s="43">
        <v>882</v>
      </c>
      <c r="F1935" s="43" t="s">
        <v>1539</v>
      </c>
      <c r="G1935" t="s">
        <v>1536</v>
      </c>
    </row>
    <row r="1936" spans="1:7">
      <c r="A1936" s="142" t="s">
        <v>304</v>
      </c>
      <c r="B1936" s="360" t="s">
        <v>815</v>
      </c>
      <c r="C1936" s="56">
        <v>45964</v>
      </c>
      <c r="F1936" s="43" t="s">
        <v>1271</v>
      </c>
      <c r="G1936" t="s">
        <v>1536</v>
      </c>
    </row>
    <row r="1937" spans="1:7">
      <c r="A1937" s="142" t="s">
        <v>304</v>
      </c>
      <c r="B1937" s="360" t="s">
        <v>1540</v>
      </c>
      <c r="C1937" s="56">
        <v>45964</v>
      </c>
      <c r="E1937" s="325">
        <v>3846</v>
      </c>
      <c r="F1937" s="43" t="s">
        <v>1541</v>
      </c>
      <c r="G1937" t="s">
        <v>1536</v>
      </c>
    </row>
    <row r="1938" spans="1:7">
      <c r="A1938" s="142" t="s">
        <v>304</v>
      </c>
      <c r="B1938" s="360" t="s">
        <v>305</v>
      </c>
      <c r="C1938" s="56">
        <v>45964</v>
      </c>
      <c r="F1938" s="1008" t="s">
        <v>1542</v>
      </c>
      <c r="G1938" t="s">
        <v>1536</v>
      </c>
    </row>
    <row r="1939" spans="1:7">
      <c r="A1939" s="142" t="s">
        <v>258</v>
      </c>
      <c r="B1939" s="1135" t="s">
        <v>815</v>
      </c>
      <c r="C1939" s="56">
        <v>45964</v>
      </c>
      <c r="D1939" s="43">
        <v>207</v>
      </c>
      <c r="G1939" t="s">
        <v>1536</v>
      </c>
    </row>
    <row r="1940" spans="1:7">
      <c r="A1940" s="113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0"/>
      <c r="B1" s="1140"/>
      <c r="C1" s="1140"/>
      <c r="D1" s="1140"/>
      <c r="E1" s="1140"/>
      <c r="F1" s="1140"/>
      <c r="G1" s="1140"/>
      <c r="H1" s="1140"/>
      <c r="I1" s="1140"/>
      <c r="J1" s="1"/>
      <c r="K1" s="1"/>
      <c r="L1" s="1"/>
      <c r="M1" s="1"/>
      <c r="N1" s="1"/>
      <c r="O1" s="1"/>
      <c r="P1" s="1141" t="s">
        <v>34</v>
      </c>
      <c r="Q1" s="1141"/>
      <c r="R1" s="1141"/>
      <c r="S1" s="1141"/>
      <c r="T1" s="1141"/>
      <c r="U1" s="1141"/>
      <c r="V1" s="1141"/>
      <c r="W1" s="1141"/>
      <c r="X1" s="1141"/>
      <c r="Y1" s="1141"/>
      <c r="Z1" s="1141"/>
      <c r="AA1" s="1141"/>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1562</v>
      </c>
      <c r="B32" s="1119" t="s">
        <v>50</v>
      </c>
      <c r="C32" s="992">
        <v>45991</v>
      </c>
      <c r="D32" s="992" t="s">
        <v>60</v>
      </c>
      <c r="E32" s="1111">
        <v>45734</v>
      </c>
      <c r="F32" s="996" t="s">
        <v>61</v>
      </c>
      <c r="G32" s="1120" t="s">
        <v>1563</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1616</v>
      </c>
      <c r="B33" s="1119" t="s">
        <v>50</v>
      </c>
      <c r="C33" s="992">
        <v>45991</v>
      </c>
      <c r="D33" s="996" t="s">
        <v>60</v>
      </c>
      <c r="E33" s="1111">
        <v>45743</v>
      </c>
      <c r="F33" s="996" t="s">
        <v>61</v>
      </c>
      <c r="G33" s="1120" t="s">
        <v>1617</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2" t="s">
        <v>1619</v>
      </c>
      <c r="C1" s="1142"/>
      <c r="D1" s="577"/>
      <c r="E1" s="1142" t="s">
        <v>1620</v>
      </c>
      <c r="F1" s="1142"/>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v>122681</v>
      </c>
      <c r="E4" s="44" t="s">
        <v>1621</v>
      </c>
      <c r="F4" t="s">
        <v>809</v>
      </c>
      <c r="W4" t="s">
        <v>1625</v>
      </c>
      <c r="X4">
        <v>22</v>
      </c>
    </row>
    <row r="5" spans="1:25">
      <c r="B5" t="s">
        <v>60</v>
      </c>
      <c r="C5">
        <v>44287</v>
      </c>
      <c r="E5" t="s">
        <v>809</v>
      </c>
      <c r="F5">
        <v>194931</v>
      </c>
      <c r="K5" s="44" t="s">
        <v>1626</v>
      </c>
      <c r="P5" s="44" t="s">
        <v>1626</v>
      </c>
      <c r="W5" t="s">
        <v>1627</v>
      </c>
      <c r="X5">
        <v>13</v>
      </c>
    </row>
    <row r="6" spans="1:25">
      <c r="B6" t="s">
        <v>101</v>
      </c>
      <c r="C6">
        <v>22387</v>
      </c>
      <c r="K6" s="44" t="s">
        <v>27</v>
      </c>
      <c r="L6" s="44" t="s">
        <v>1628</v>
      </c>
      <c r="M6" t="s">
        <v>809</v>
      </c>
      <c r="P6" s="44" t="s">
        <v>1629</v>
      </c>
      <c r="Q6" s="44" t="s">
        <v>1628</v>
      </c>
      <c r="R6" t="s">
        <v>809</v>
      </c>
    </row>
    <row r="7" spans="1:25">
      <c r="B7" t="s">
        <v>835</v>
      </c>
      <c r="C7">
        <v>258167</v>
      </c>
      <c r="K7" t="s">
        <v>1622</v>
      </c>
      <c r="L7" t="s">
        <v>472</v>
      </c>
      <c r="M7">
        <v>1</v>
      </c>
      <c r="P7" t="s">
        <v>1630</v>
      </c>
      <c r="R7">
        <v>1</v>
      </c>
      <c r="X7" t="s">
        <v>1631</v>
      </c>
      <c r="Y7" t="s">
        <v>1632</v>
      </c>
    </row>
    <row r="8" spans="1:25">
      <c r="B8" t="s">
        <v>200</v>
      </c>
      <c r="C8">
        <v>5576</v>
      </c>
      <c r="L8" t="s">
        <v>474</v>
      </c>
      <c r="M8">
        <v>1</v>
      </c>
      <c r="P8" t="s">
        <v>1633</v>
      </c>
      <c r="R8">
        <v>1</v>
      </c>
      <c r="V8" t="s">
        <v>1634</v>
      </c>
      <c r="W8" s="261">
        <v>203521</v>
      </c>
      <c r="X8" s="317">
        <f>X5/X4</f>
        <v>0.59090909090909094</v>
      </c>
      <c r="Y8" s="317">
        <f>W9/W8</f>
        <v>0.31446386367991508</v>
      </c>
    </row>
    <row r="9" spans="1:25">
      <c r="B9" t="s">
        <v>51</v>
      </c>
      <c r="C9">
        <v>0</v>
      </c>
      <c r="L9" t="s">
        <v>1635</v>
      </c>
      <c r="M9">
        <v>1</v>
      </c>
      <c r="P9" t="s">
        <v>1636</v>
      </c>
      <c r="Q9" t="s">
        <v>1635</v>
      </c>
      <c r="R9">
        <v>1</v>
      </c>
      <c r="V9" t="s">
        <v>1637</v>
      </c>
      <c r="W9">
        <v>64000</v>
      </c>
    </row>
    <row r="10" spans="1:25">
      <c r="B10" t="s">
        <v>22</v>
      </c>
      <c r="C10">
        <v>0</v>
      </c>
      <c r="L10" t="s">
        <v>567</v>
      </c>
      <c r="M10">
        <v>1</v>
      </c>
      <c r="Q10" t="s">
        <v>571</v>
      </c>
      <c r="R10">
        <v>1</v>
      </c>
    </row>
    <row r="11" spans="1:25">
      <c r="B11" t="s">
        <v>221</v>
      </c>
      <c r="C11">
        <v>11388</v>
      </c>
      <c r="L11" t="s">
        <v>571</v>
      </c>
      <c r="M11">
        <v>1</v>
      </c>
      <c r="Q11" t="s">
        <v>448</v>
      </c>
      <c r="R11">
        <v>1</v>
      </c>
    </row>
    <row r="12" spans="1:25">
      <c r="B12" t="s">
        <v>229</v>
      </c>
      <c r="C12">
        <v>33952</v>
      </c>
      <c r="L12" t="s">
        <v>448</v>
      </c>
      <c r="M12">
        <v>1</v>
      </c>
      <c r="Q12" t="s">
        <v>1638</v>
      </c>
      <c r="R12">
        <v>1</v>
      </c>
    </row>
    <row r="13" spans="1:25">
      <c r="B13" t="s">
        <v>148</v>
      </c>
      <c r="C13">
        <v>13862</v>
      </c>
      <c r="L13" t="s">
        <v>1639</v>
      </c>
      <c r="M13">
        <v>1</v>
      </c>
      <c r="Q13" t="s">
        <v>756</v>
      </c>
      <c r="R13">
        <v>1</v>
      </c>
    </row>
    <row r="14" spans="1:25">
      <c r="B14" t="s">
        <v>197</v>
      </c>
      <c r="C14">
        <v>16290</v>
      </c>
      <c r="L14" t="s">
        <v>585</v>
      </c>
      <c r="M14">
        <v>1</v>
      </c>
      <c r="P14" t="s">
        <v>1640</v>
      </c>
      <c r="R14">
        <v>5</v>
      </c>
    </row>
    <row r="15" spans="1:25">
      <c r="B15" t="s">
        <v>96</v>
      </c>
      <c r="C15">
        <v>7655</v>
      </c>
      <c r="L15" t="s">
        <v>1638</v>
      </c>
      <c r="M15">
        <v>1</v>
      </c>
      <c r="P15" t="s">
        <v>835</v>
      </c>
      <c r="R15">
        <v>12</v>
      </c>
    </row>
    <row r="16" spans="1:25">
      <c r="B16" t="s">
        <v>190</v>
      </c>
      <c r="C16">
        <v>7421</v>
      </c>
      <c r="L16" t="s">
        <v>587</v>
      </c>
      <c r="M16">
        <v>1</v>
      </c>
      <c r="P16" t="s">
        <v>806</v>
      </c>
      <c r="R16">
        <v>19</v>
      </c>
    </row>
    <row r="17" spans="2:13">
      <c r="B17" t="s">
        <v>224</v>
      </c>
      <c r="C17">
        <v>3997</v>
      </c>
      <c r="L17" t="s">
        <v>591</v>
      </c>
      <c r="M17">
        <v>1</v>
      </c>
    </row>
    <row r="18" spans="2:13">
      <c r="B18" t="s">
        <v>806</v>
      </c>
      <c r="C18">
        <v>547663</v>
      </c>
      <c r="L18" t="s">
        <v>593</v>
      </c>
      <c r="M18">
        <v>1</v>
      </c>
    </row>
    <row r="19" spans="2:13">
      <c r="L19" t="s">
        <v>597</v>
      </c>
      <c r="M19">
        <v>1</v>
      </c>
    </row>
    <row r="20" spans="2:13">
      <c r="L20" t="s">
        <v>754</v>
      </c>
      <c r="M20">
        <v>1</v>
      </c>
    </row>
    <row r="21" spans="2:13">
      <c r="L21" t="s">
        <v>1641</v>
      </c>
      <c r="M21">
        <v>1</v>
      </c>
    </row>
    <row r="22" spans="2:13">
      <c r="L22" t="s">
        <v>756</v>
      </c>
      <c r="M22">
        <v>1</v>
      </c>
    </row>
    <row r="23" spans="2:13">
      <c r="L23" t="s">
        <v>625</v>
      </c>
      <c r="M23">
        <v>1</v>
      </c>
    </row>
    <row r="24" spans="2:13">
      <c r="L24" t="s">
        <v>653</v>
      </c>
      <c r="M24">
        <v>1</v>
      </c>
    </row>
    <row r="25" spans="2:13">
      <c r="L25" t="s">
        <v>172</v>
      </c>
      <c r="M25">
        <v>1</v>
      </c>
    </row>
    <row r="26" spans="2:13">
      <c r="K26" t="s">
        <v>1642</v>
      </c>
      <c r="M26">
        <v>19</v>
      </c>
    </row>
    <row r="27" spans="2:13">
      <c r="K27" t="s">
        <v>1643</v>
      </c>
      <c r="L27" t="s">
        <v>579</v>
      </c>
      <c r="M27">
        <v>1</v>
      </c>
    </row>
    <row r="28" spans="2:13">
      <c r="L28" t="s">
        <v>581</v>
      </c>
      <c r="M28">
        <v>1</v>
      </c>
    </row>
    <row r="29" spans="2:13">
      <c r="L29" t="s">
        <v>583</v>
      </c>
      <c r="M29">
        <v>1</v>
      </c>
    </row>
    <row r="30" spans="2:13">
      <c r="L30" t="s">
        <v>599</v>
      </c>
      <c r="M30">
        <v>1</v>
      </c>
    </row>
    <row r="31" spans="2:13">
      <c r="L31" t="s">
        <v>601</v>
      </c>
      <c r="M31">
        <v>1</v>
      </c>
    </row>
    <row r="32" spans="2:13">
      <c r="L32" t="s">
        <v>1644</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1645</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3"/>
      <c r="B1" s="1143"/>
      <c r="C1" s="1143"/>
      <c r="D1" s="1143"/>
      <c r="E1" s="1143"/>
      <c r="F1" s="1143"/>
      <c r="G1" s="1143"/>
      <c r="H1" s="1144" t="s">
        <v>1646</v>
      </c>
      <c r="I1" s="1144"/>
      <c r="J1" s="1144"/>
      <c r="K1" s="1144"/>
      <c r="L1" s="1144"/>
      <c r="M1" s="1144"/>
      <c r="N1" s="1144"/>
      <c r="O1" s="1144"/>
      <c r="P1" s="264"/>
      <c r="Q1" s="1145" t="s">
        <v>34</v>
      </c>
      <c r="R1" s="1145"/>
      <c r="S1" s="1141"/>
      <c r="T1" s="1145"/>
      <c r="U1" s="1145"/>
      <c r="V1" s="1145"/>
      <c r="W1" s="1145"/>
      <c r="X1" s="1145"/>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55374B4-9B78-452B-AA65-8FCCAE3A201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2025-11-04T13:48:44Z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