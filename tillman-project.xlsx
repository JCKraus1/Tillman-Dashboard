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57" documentId="8_{E14B221E-02E2-46A3-8CEC-C736815F2DD5}" xr6:coauthVersionLast="47" xr6:coauthVersionMax="47" xr10:uidLastSave="{3A47B292-F39C-4A20-9CC1-F70497EBBB1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5118" r:id="rId12"/>
    <pivotCache cacheId="5121" r:id="rId13"/>
    <pivotCache cacheId="5124" r:id="rId14"/>
    <pivotCache cacheId="5127" r:id="rId15"/>
    <pivotCache cacheId="5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<sst xmlns="http://schemas.openxmlformats.org/spreadsheetml/2006/main" count="17567" uniqueCount="2252">
  <si>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</si>
  <si>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</si>
  <si>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</si>
  <si>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</si>
  <si>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</si>
  <si>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</si>
  <si>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</si>
  <si>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</si>
  <si>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</si>
  <si>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</si>
  <si>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</si>
  <si>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</si>
  <si>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</si>
  <si>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</si>
  <si>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</si>
  <si>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</si>
  <si>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</si>
  <si>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</si>
  <si>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</si>
  <si>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</si>
  <si>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</si>
  <si>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</si>
  <si>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</si>
  <si>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</si>
  <si>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</si>
  <si>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</si>
  <si>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</si>
  <si>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</si>
  <si>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</si>
  <si>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</si>
  <si>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</si>
  <si>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</si>
  <si>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</si>
  <si>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</si>
  <si>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</si>
  <si>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</si>
  <si>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</si>
  <si>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</si>
  <si>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</si>
  <si>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</si>
  <si>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</si>
  <si>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</si>
  <si>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</si>
  <si>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</si>
  <si>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</si>
  <si>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</si>
  <si>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</si>
  <si>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</si>
  <si>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</si>
  <si>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</si>
  <si>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</si>
  <si>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</si>
  <si>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</si>
  <si>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</si>
  <si>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</si>
  <si>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</si>
  <si>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</si>
  <si>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</si>
  <si>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</si>
  <si>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</si>
  <si>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</si>
  <si>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</si>
  <si>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</si>
  <si>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</si>
  <si>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</si>
  <si>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</si>
  <si>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</si>
  <si>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</si>
  <si>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</si>
  <si>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</si>
  <si>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</si>
  <si>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</si>
  <si>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</si>
  <si>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</si>
  <si>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</si>
  <si>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</si>
  <si>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</si>
  <si>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</si>
  <si>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</si>
  <si>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</si>
  <si>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</si>
  <si>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</si>
  <si>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</si>
  <si>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</si>
  <si>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</si>
  <si>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</si>
  <si>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</si>
  <si>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</si>
  <si>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</si>
  <si>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</si>
  <si>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</si>
  <si>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</si>
  <si>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</si>
  <si>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</si>
  <si>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</si>
  <si>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</si>
  <si>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</si>
  <si>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</si>
  <si>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</si>
  <si>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</si>
  <si>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</si>
  <si>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</si>
  <si>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</si>
  <si>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</si>
  <si>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</si>
  <si>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</si>
  <si>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</si>
  <si>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</si>
  <si>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</si>
  <si>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</si>
  <si>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</si>
  <si>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</si>
  <si>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</si>
  <si>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</si>
  <si>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</si>
  <si>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</si>
  <si>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</si>
  <si>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</si>
  <si>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</si>
  <si>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</si>
  <si>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</si>
  <si>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</si>
  <si>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</si>
  <si>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</si>
  <si>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</si>
  <si>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</si>
  <si>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</si>
  <si>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</si>
  <si>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</si>
  <si>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</si>
  <si>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</si>
  <si>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</si>
  <si>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</si>
  <si>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</si>
  <si>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</si>
  <si>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</si>
  <si>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</si>
  <si>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</si>
  <si>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</si>
  <si>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</si>
  <si>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</si>
  <si>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</si>
  <si>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</si>
  <si>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</si>
  <si>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</si>
  <si>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</si>
  <si>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</si>
  <si>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</si>
  <si>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</si>
  <si>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</si>
  <si>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</si>
  <si>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</si>
  <si>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</si>
  <si>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</si>
  <si>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</si>
  <si>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</si>
  <si>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</si>
  <si>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</si>
  <si>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</si>
  <si>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</si>
  <si>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</si>
  <si>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</si>
  <si>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</si>
  <si>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</si>
  <si>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</si>
  <si>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</si>
  <si>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</si>
  <si>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</si>
  <si>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</si>
  <si>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</si>
  <si>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</si>
  <si>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</si>
  <si>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</si>
  <si>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</si>
  <si>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</si>
  <si>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</si>
  <si>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</si>
  <si>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</si>
  <si>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</si>
  <si>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</si>
  <si>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</si>
  <si>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</si>
  <si>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</si>
  <si>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</si>
  <si>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</si>
  <si>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</si>
  <si>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</si>
  <si>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</si>
  <si>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</si>
  <si>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</si>
  <si>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</si>
  <si>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</si>
  <si>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</si>
  <si>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</si>
  <si>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</si>
  <si>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</si>
  <si>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</si>
  <si>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</si>
  <si>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</si>
  <si>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</si>
  <si>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</si>
  <si>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</si>
  <si>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</si>
  <si>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</si>
  <si>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</si>
  <si>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</si>
  <si>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</si>
  <si>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</si>
  <si>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</si>
  <si>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</si>
  <si>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</si>
  <si>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</si>
  <si>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</si>
  <si>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</si>
  <si>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</si>
  <si>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</si>
  <si>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</si>
  <si>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</si>
  <si>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</si>
  <si>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</si>
  <si>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</si>
  <si>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</si>
  <si>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</si>
  <si>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</si>
  <si>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</si>
  <si>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</si>
  <si>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</si>
  <si>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</si>
  <si>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</si>
  <si>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</si>
  <si>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</si>
  <si>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</si>
  <si>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Completed on Track</t>
  </si>
  <si>
    <t>Completed</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</si>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</sst>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087961" createdVersion="8" refreshedVersion="8" minRefreshableVersion="3" recordCount="263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84"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In House"/>
        <s v="Splice Only Project"/>
        <s v="Longo Underground"/>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782408" createdVersion="8" refreshedVersion="8" minRefreshableVersion="3" recordCount="26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7013892"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In House"/>
        <s v="Splice Only Project"/>
        <s v="Longo Underground"/>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125"/>
    <x v="16"/>
    <x v="255"/>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1">
    <i>
      <x v="177"/>
    </i>
    <i>
      <x v="182"/>
    </i>
    <i>
      <x v="335"/>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2">
        <item x="19"/>
        <item m="1" x="75"/>
        <item x="7"/>
        <item m="1" x="71"/>
        <item m="1" x="72"/>
        <item m="1" x="73"/>
        <item x="24"/>
        <item m="1" x="77"/>
        <item x="5"/>
        <item x="20"/>
        <item x="23"/>
        <item x="14"/>
        <item x="15"/>
        <item x="9"/>
        <item x="11"/>
        <item x="4"/>
        <item m="1" x="79"/>
        <item x="17"/>
        <item m="1" x="70"/>
        <item x="2"/>
        <item x="12"/>
        <item x="1"/>
        <item m="1" x="76"/>
        <item x="26"/>
        <item x="25"/>
        <item x="6"/>
        <item x="21"/>
        <item x="18"/>
        <item x="3"/>
        <item x="8"/>
        <item x="0"/>
        <item x="10"/>
        <item x="13"/>
        <item m="1" x="78"/>
        <item m="1" x="74"/>
        <item x="16"/>
        <item m="1" x="80"/>
        <item x="22"/>
        <item x="27"/>
        <item x="28"/>
        <item x="29"/>
        <item x="31"/>
        <item m="1" x="69"/>
        <item x="30"/>
        <item x="32"/>
        <item x="33"/>
        <item x="34"/>
        <item x="35"/>
        <item m="1" x="68"/>
        <item x="37"/>
        <item x="36"/>
        <item x="38"/>
        <item x="39"/>
        <item x="40"/>
        <item x="41"/>
        <item m="1" x="67"/>
        <item x="42"/>
        <item x="43"/>
        <item x="44"/>
        <item x="45"/>
        <item m="1" x="66"/>
        <item m="1" x="65"/>
        <item x="46"/>
        <item x="47"/>
        <item x="48"/>
        <item x="49"/>
        <item x="50"/>
        <item x="51"/>
        <item x="52"/>
        <item x="53"/>
        <item x="55"/>
        <item m="1" x="64"/>
        <item x="54"/>
        <item x="56"/>
        <item x="57"/>
        <item m="1" x="63"/>
        <item x="58"/>
        <item x="59"/>
        <item x="60"/>
        <item x="61"/>
        <item x="62"/>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1">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9"/>
        <item h="1" x="30"/>
        <item h="1" x="32"/>
        <item h="1" x="33"/>
        <item h="1" x="34"/>
        <item h="1" x="35"/>
        <item h="1" m="1" x="68"/>
        <item h="1" x="37"/>
        <item h="1" x="36"/>
        <item h="1" x="38"/>
        <item h="1" x="39"/>
        <item h="1" x="40"/>
        <item h="1" x="41"/>
        <item h="1" m="1" x="67"/>
        <item h="1" x="42"/>
        <item h="1" x="43"/>
        <item h="1" x="44"/>
        <item h="1" x="45"/>
        <item h="1" m="1" x="66"/>
        <item h="1" m="1" x="65"/>
        <item h="1" x="46"/>
        <item h="1" x="47"/>
        <item h="1" x="48"/>
        <item h="1" x="49"/>
        <item h="1" x="50"/>
        <item h="1" x="51"/>
        <item h="1" x="52"/>
        <item h="1" x="53"/>
        <item h="1" x="55"/>
        <item h="1" m="1" x="64"/>
        <item h="1" x="54"/>
        <item h="1" x="56"/>
        <item h="1" x="57"/>
        <item h="1" m="1" x="63"/>
        <item h="1" x="58"/>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8"/>
        <item x="7"/>
        <item m="1" x="25"/>
        <item m="1" x="26"/>
        <item m="1" x="14"/>
        <item m="1" x="23"/>
        <item m="1" x="22"/>
        <item m="1" x="17"/>
        <item m="1" x="18"/>
        <item m="1" x="15"/>
        <item m="1" x="19"/>
        <item x="12"/>
        <item m="1" x="16"/>
        <item x="13"/>
        <item x="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8"/>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6"/>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7"/>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U55" activePane="topRight" state="frozen"/>
      <selection pane="topRight" activeCell="AD77" sqref="AD7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3">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0"/>
      <c r="I59" s="823" t="s">
        <v>55</v>
      </c>
      <c r="J59" s="826" t="s">
        <v>64</v>
      </c>
      <c r="K59" s="1491"/>
      <c r="L59" s="1313"/>
      <c r="M59" s="823" t="s">
        <v>57</v>
      </c>
      <c r="N59" s="1492">
        <v>36998.550000000003</v>
      </c>
      <c r="O59" s="823" t="s">
        <v>57</v>
      </c>
      <c r="P59" s="1210" t="s">
        <v>58</v>
      </c>
      <c r="Q59" s="1493"/>
      <c r="R59" s="1493"/>
      <c r="S59" s="1493"/>
      <c r="T59" s="1493"/>
      <c r="U59" s="1493"/>
      <c r="V59" s="1494">
        <v>2944</v>
      </c>
      <c r="W59" s="1495"/>
      <c r="X59" s="1495">
        <f>SUM(V59-W59)</f>
        <v>2944</v>
      </c>
      <c r="Y59" s="658">
        <f>IFERROR($W59/$V59, 0)</f>
        <v>0</v>
      </c>
      <c r="Z59" s="1496"/>
      <c r="AA59" s="1183">
        <v>0</v>
      </c>
      <c r="AB59" s="1183">
        <v>0</v>
      </c>
      <c r="AC59" s="641">
        <v>0</v>
      </c>
      <c r="AD59" s="1184"/>
      <c r="AE59" s="1242"/>
    </row>
    <row r="60" spans="1:56" ht="24.75" customHeight="1">
      <c r="A60" s="1174" t="s">
        <v>219</v>
      </c>
      <c r="B60" s="825" t="s">
        <v>177</v>
      </c>
      <c r="C60" s="1175">
        <v>46112</v>
      </c>
      <c r="D60" s="1196" t="s">
        <v>220</v>
      </c>
      <c r="E60" s="1195">
        <v>46055</v>
      </c>
      <c r="F60" s="1196"/>
      <c r="G60" s="1195" t="s">
        <v>221</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222</v>
      </c>
      <c r="AE60" s="1242"/>
    </row>
    <row r="61" spans="1:56" ht="24.75" customHeight="1">
      <c r="A61" s="1174" t="s">
        <v>223</v>
      </c>
      <c r="B61" s="825" t="s">
        <v>177</v>
      </c>
      <c r="C61" s="1175">
        <v>46112</v>
      </c>
      <c r="D61" s="1195"/>
      <c r="E61" s="1195"/>
      <c r="F61" s="1196"/>
      <c r="G61" s="1195" t="s">
        <v>224</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225</v>
      </c>
      <c r="AE61" s="1242"/>
    </row>
    <row r="62" spans="1:56" ht="24.75" customHeight="1">
      <c r="A62" s="1174" t="s">
        <v>226</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227</v>
      </c>
      <c r="AE62" s="1242"/>
    </row>
    <row r="63" spans="1:56" ht="24.75" customHeight="1">
      <c r="A63" s="1245" t="s">
        <v>228</v>
      </c>
      <c r="B63" s="825" t="s">
        <v>177</v>
      </c>
      <c r="C63" s="1175">
        <v>46040</v>
      </c>
      <c r="D63" s="1196" t="s">
        <v>229</v>
      </c>
      <c r="E63" s="1195">
        <v>45867</v>
      </c>
      <c r="F63" s="1196" t="s">
        <v>230</v>
      </c>
      <c r="G63" s="1196" t="s">
        <v>231</v>
      </c>
      <c r="H63" s="1197">
        <v>0</v>
      </c>
      <c r="I63" s="823" t="s">
        <v>232</v>
      </c>
      <c r="J63" s="1197" t="s">
        <v>64</v>
      </c>
      <c r="K63" s="1177"/>
      <c r="L63" s="1195"/>
      <c r="M63" s="1197" t="s">
        <v>57</v>
      </c>
      <c r="N63" s="1208">
        <v>144972.5</v>
      </c>
      <c r="O63" s="1197" t="s">
        <v>57</v>
      </c>
      <c r="P63" s="1246" t="s">
        <v>233</v>
      </c>
      <c r="Q63" s="1200">
        <v>45867</v>
      </c>
      <c r="R63" s="1200"/>
      <c r="S63" s="1200"/>
      <c r="T63" s="1200"/>
      <c r="U63" s="1200"/>
      <c r="V63" s="970">
        <v>9840</v>
      </c>
      <c r="W63" s="1000">
        <v>9806</v>
      </c>
      <c r="X63" s="1181">
        <f>SUM(V63-W63)</f>
        <v>34</v>
      </c>
      <c r="Y63" s="658">
        <f>IFERROR($W63/$V63, 0)</f>
        <v>0.99654471544715451</v>
      </c>
      <c r="Z63" s="1200">
        <v>45884</v>
      </c>
      <c r="AA63" s="1183">
        <v>0</v>
      </c>
      <c r="AB63" s="1183">
        <v>0</v>
      </c>
      <c r="AC63" s="1201">
        <v>0</v>
      </c>
      <c r="AD63" s="1184" t="s">
        <v>234</v>
      </c>
      <c r="AE63" s="1242"/>
    </row>
    <row r="64" spans="1:56" ht="24.75" customHeight="1">
      <c r="A64" s="1174" t="s">
        <v>235</v>
      </c>
      <c r="B64" s="825" t="s">
        <v>177</v>
      </c>
      <c r="C64" s="1175">
        <v>46112</v>
      </c>
      <c r="D64" s="1196"/>
      <c r="E64" s="1195"/>
      <c r="F64" s="1196"/>
      <c r="G64" s="1196" t="s">
        <v>236</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237</v>
      </c>
      <c r="AE64" s="1242"/>
    </row>
    <row r="65" spans="1:31" ht="24.75" customHeight="1">
      <c r="A65" s="1174" t="s">
        <v>238</v>
      </c>
      <c r="B65" s="825" t="s">
        <v>177</v>
      </c>
      <c r="C65" s="1175">
        <v>46040</v>
      </c>
      <c r="D65" s="1196"/>
      <c r="E65" s="1195"/>
      <c r="F65" s="1196"/>
      <c r="G65" s="1196" t="s">
        <v>239</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240</v>
      </c>
      <c r="AE65" s="1242"/>
    </row>
    <row r="66" spans="1:31" ht="24.75" customHeight="1">
      <c r="A66" s="1174" t="s">
        <v>241</v>
      </c>
      <c r="B66" s="825" t="s">
        <v>177</v>
      </c>
      <c r="C66" s="1175">
        <v>46040</v>
      </c>
      <c r="D66" s="1196"/>
      <c r="E66" s="1195"/>
      <c r="F66" s="1196"/>
      <c r="G66" s="1196" t="s">
        <v>242</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243</v>
      </c>
      <c r="AE66" s="1242"/>
    </row>
    <row r="67" spans="1:31" ht="24.75" customHeight="1">
      <c r="A67" s="1174" t="s">
        <v>244</v>
      </c>
      <c r="B67" s="825" t="s">
        <v>177</v>
      </c>
      <c r="C67" s="1175">
        <v>46040</v>
      </c>
      <c r="D67" s="1196" t="s">
        <v>189</v>
      </c>
      <c r="E67" s="1195">
        <v>46042</v>
      </c>
      <c r="F67" s="1196" t="s">
        <v>230</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245</v>
      </c>
      <c r="AE67" s="1242"/>
    </row>
    <row r="68" spans="1:31" ht="24.75" customHeight="1">
      <c r="A68" s="1174" t="s">
        <v>246</v>
      </c>
      <c r="B68" s="825" t="s">
        <v>177</v>
      </c>
      <c r="C68" s="1175">
        <v>46053</v>
      </c>
      <c r="D68" s="1312"/>
      <c r="E68" s="1313"/>
      <c r="F68" s="1312"/>
      <c r="G68" s="1196"/>
      <c r="H68" s="1197">
        <v>0</v>
      </c>
      <c r="I68" s="823" t="s">
        <v>55</v>
      </c>
      <c r="J68" s="1197" t="s">
        <v>64</v>
      </c>
      <c r="K68" s="1491"/>
      <c r="L68" s="1313"/>
      <c r="M68" s="1197" t="s">
        <v>57</v>
      </c>
      <c r="N68" s="1492">
        <v>118710.8</v>
      </c>
      <c r="O68" s="1197" t="s">
        <v>57</v>
      </c>
      <c r="P68" s="1179" t="s">
        <v>58</v>
      </c>
      <c r="Q68" s="1493"/>
      <c r="R68" s="1493"/>
      <c r="S68" s="1493"/>
      <c r="T68" s="1493"/>
      <c r="U68" s="1493"/>
      <c r="V68" s="1494">
        <v>9628</v>
      </c>
      <c r="W68" s="1495"/>
      <c r="X68" s="1495">
        <f>SUM(V68-W68)</f>
        <v>9628</v>
      </c>
      <c r="Y68" s="658">
        <f>IFERROR($W68/$V68, 0)</f>
        <v>0</v>
      </c>
      <c r="Z68" s="1493"/>
      <c r="AA68" s="1183">
        <v>0</v>
      </c>
      <c r="AB68" s="1183">
        <v>0</v>
      </c>
      <c r="AC68" s="1201">
        <v>0</v>
      </c>
      <c r="AD68" s="1184"/>
      <c r="AE68" s="1242"/>
    </row>
    <row r="69" spans="1:31" ht="24.75" customHeight="1">
      <c r="A69" s="1174" t="s">
        <v>247</v>
      </c>
      <c r="B69" s="825" t="s">
        <v>177</v>
      </c>
      <c r="C69" s="1175">
        <v>46045</v>
      </c>
      <c r="D69" s="1196" t="s">
        <v>220</v>
      </c>
      <c r="E69" s="1195">
        <v>46055</v>
      </c>
      <c r="F69" s="1196"/>
      <c r="G69" s="1196" t="s">
        <v>248</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249</v>
      </c>
      <c r="AE69" s="1242"/>
    </row>
    <row r="70" spans="1:31" ht="24.75" customHeight="1">
      <c r="A70" s="1174" t="s">
        <v>250</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251</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252</v>
      </c>
      <c r="AE71" s="1242"/>
    </row>
    <row r="72" spans="1:31" ht="24.75" customHeight="1">
      <c r="A72" s="1174" t="s">
        <v>253</v>
      </c>
      <c r="B72" s="825" t="s">
        <v>177</v>
      </c>
      <c r="C72" s="1195">
        <v>46030</v>
      </c>
      <c r="D72" s="1196"/>
      <c r="E72" s="1195"/>
      <c r="F72" s="1196"/>
      <c r="G72" s="1196" t="s">
        <v>254</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255</v>
      </c>
      <c r="AE72" s="1242"/>
    </row>
    <row r="73" spans="1:31" ht="24.75" customHeight="1">
      <c r="A73" s="1174" t="s">
        <v>256</v>
      </c>
      <c r="B73" s="825" t="s">
        <v>177</v>
      </c>
      <c r="C73" s="1175">
        <v>46040</v>
      </c>
      <c r="D73" s="1196" t="s">
        <v>257</v>
      </c>
      <c r="E73" s="1195">
        <v>46034</v>
      </c>
      <c r="F73" s="1196" t="s">
        <v>230</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258</v>
      </c>
      <c r="AE73" s="1242"/>
    </row>
    <row r="74" spans="1:31" ht="24.75" customHeight="1">
      <c r="A74" s="1431" t="s">
        <v>259</v>
      </c>
      <c r="B74" s="825" t="s">
        <v>177</v>
      </c>
      <c r="C74" s="1175">
        <v>46040</v>
      </c>
      <c r="D74" s="1312" t="s">
        <v>61</v>
      </c>
      <c r="E74" s="1313">
        <v>46027</v>
      </c>
      <c r="F74" s="1312" t="s">
        <v>230</v>
      </c>
      <c r="G74" s="1196"/>
      <c r="H74" s="1490">
        <v>109</v>
      </c>
      <c r="I74" s="823" t="s">
        <v>232</v>
      </c>
      <c r="J74" s="826" t="s">
        <v>64</v>
      </c>
      <c r="K74" s="1491"/>
      <c r="L74" s="1313">
        <v>45663</v>
      </c>
      <c r="M74" s="1197" t="s">
        <v>57</v>
      </c>
      <c r="N74" s="1492">
        <v>123587.5</v>
      </c>
      <c r="O74" s="1490" t="s">
        <v>57</v>
      </c>
      <c r="P74" s="1497" t="s">
        <v>233</v>
      </c>
      <c r="Q74" s="1493">
        <v>46008</v>
      </c>
      <c r="R74" s="1493"/>
      <c r="S74" s="1493"/>
      <c r="T74" s="1493"/>
      <c r="U74" s="1493"/>
      <c r="V74" s="1494">
        <v>6825</v>
      </c>
      <c r="W74" s="1498">
        <v>6575</v>
      </c>
      <c r="X74" s="1495">
        <f>SUM(V74-W74)</f>
        <v>250</v>
      </c>
      <c r="Y74" s="658">
        <f>IFERROR($W74/$V74, 0)</f>
        <v>0.96336996336996339</v>
      </c>
      <c r="Z74" s="1493">
        <v>46034</v>
      </c>
      <c r="AA74" s="1183">
        <v>0</v>
      </c>
      <c r="AB74" s="1183">
        <v>0</v>
      </c>
      <c r="AC74" s="1201">
        <v>0</v>
      </c>
      <c r="AD74" s="1184" t="s">
        <v>260</v>
      </c>
      <c r="AE74" s="1242"/>
    </row>
    <row r="75" spans="1:31" ht="24.75" customHeight="1">
      <c r="A75" s="1174" t="s">
        <v>261</v>
      </c>
      <c r="B75" s="825" t="s">
        <v>262</v>
      </c>
      <c r="C75" s="1175">
        <v>46081</v>
      </c>
      <c r="D75" s="1196" t="s">
        <v>178</v>
      </c>
      <c r="E75" s="1195">
        <v>46001</v>
      </c>
      <c r="F75" s="1196" t="s">
        <v>190</v>
      </c>
      <c r="G75" s="1196" t="s">
        <v>263</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264</v>
      </c>
      <c r="AE75" s="1242"/>
    </row>
    <row r="76" spans="1:31" ht="24.75" customHeight="1">
      <c r="A76" s="1174" t="s">
        <v>265</v>
      </c>
      <c r="B76" s="825" t="s">
        <v>262</v>
      </c>
      <c r="C76" s="1175">
        <v>46081</v>
      </c>
      <c r="D76" s="1196" t="s">
        <v>220</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262</v>
      </c>
      <c r="C77" s="1175">
        <v>46081</v>
      </c>
      <c r="D77" s="1196" t="s">
        <v>220</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181">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262</v>
      </c>
      <c r="C78" s="1175">
        <v>46081</v>
      </c>
      <c r="D78" s="1196" t="s">
        <v>220</v>
      </c>
      <c r="E78" s="1195">
        <v>46055</v>
      </c>
      <c r="F78" s="1196"/>
      <c r="G78" s="1196"/>
      <c r="H78" s="1197">
        <v>86</v>
      </c>
      <c r="I78" s="823" t="s">
        <v>55</v>
      </c>
      <c r="J78" s="826" t="s">
        <v>64</v>
      </c>
      <c r="K78" s="1177"/>
      <c r="L78" s="1195"/>
      <c r="M78" s="1197" t="s">
        <v>57</v>
      </c>
      <c r="N78" s="1208">
        <v>97494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262</v>
      </c>
      <c r="C79" s="1378">
        <v>46171</v>
      </c>
      <c r="D79" s="1248" t="s">
        <v>220</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262</v>
      </c>
      <c r="C80" s="1311">
        <v>46081</v>
      </c>
      <c r="D80" s="1312"/>
      <c r="E80" s="1313"/>
      <c r="F80" s="1312"/>
      <c r="G80" s="1196"/>
      <c r="H80" s="1490">
        <v>0</v>
      </c>
      <c r="I80" s="963" t="s">
        <v>55</v>
      </c>
      <c r="J80" s="1250" t="s">
        <v>79</v>
      </c>
      <c r="K80" s="1491" t="s">
        <v>93</v>
      </c>
      <c r="L80" s="1313"/>
      <c r="M80" s="1197" t="s">
        <v>80</v>
      </c>
      <c r="N80" s="1208"/>
      <c r="O80" s="1197" t="s">
        <v>80</v>
      </c>
      <c r="P80" s="1210" t="s">
        <v>58</v>
      </c>
      <c r="Q80" s="1493"/>
      <c r="R80" s="1493"/>
      <c r="S80" s="1493"/>
      <c r="T80" s="1493"/>
      <c r="U80" s="1493"/>
      <c r="V80" s="1494">
        <v>6202</v>
      </c>
      <c r="W80" s="1495"/>
      <c r="X80" s="1495">
        <f>SUM(V80-W80)</f>
        <v>6202</v>
      </c>
      <c r="Y80" s="658">
        <f>IFERROR($W80/$V80, 0)</f>
        <v>0</v>
      </c>
      <c r="Z80" s="1493"/>
      <c r="AA80" s="1256">
        <v>0</v>
      </c>
      <c r="AB80" s="1256">
        <v>0</v>
      </c>
      <c r="AC80" s="1255">
        <v>0</v>
      </c>
      <c r="AD80" s="1184" t="s">
        <v>276</v>
      </c>
      <c r="AE80" s="1242"/>
    </row>
    <row r="81" spans="1:31" ht="24.75" customHeight="1">
      <c r="A81" s="1310" t="s">
        <v>277</v>
      </c>
      <c r="B81" s="1003" t="s">
        <v>262</v>
      </c>
      <c r="C81" s="1378"/>
      <c r="D81" s="1312"/>
      <c r="E81" s="1313"/>
      <c r="F81" s="1312"/>
      <c r="G81" s="1196"/>
      <c r="H81" s="1490">
        <v>0</v>
      </c>
      <c r="I81" s="963" t="s">
        <v>55</v>
      </c>
      <c r="J81" s="1250" t="s">
        <v>79</v>
      </c>
      <c r="K81" s="1491" t="s">
        <v>93</v>
      </c>
      <c r="L81" s="1313"/>
      <c r="M81" s="1197" t="s">
        <v>80</v>
      </c>
      <c r="N81" s="1208"/>
      <c r="O81" s="1197" t="s">
        <v>80</v>
      </c>
      <c r="P81" s="1210" t="s">
        <v>58</v>
      </c>
      <c r="Q81" s="1493"/>
      <c r="R81" s="1493"/>
      <c r="S81" s="1493"/>
      <c r="T81" s="1493"/>
      <c r="U81" s="1493"/>
      <c r="V81" s="1494">
        <v>1172</v>
      </c>
      <c r="W81" s="1495"/>
      <c r="X81" s="1495">
        <f>SUM(V81-W81)</f>
        <v>1172</v>
      </c>
      <c r="Y81" s="658">
        <f>IFERROR($W81/$V81, 0)</f>
        <v>0</v>
      </c>
      <c r="Z81" s="1493"/>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499"/>
      <c r="R98" s="1333"/>
      <c r="S98" s="1333"/>
      <c r="T98" s="1333"/>
      <c r="U98" s="1333"/>
      <c r="V98" s="1236">
        <v>8641</v>
      </c>
      <c r="W98" s="1500"/>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1"/>
      <c r="R99" s="1335"/>
      <c r="S99" s="1335"/>
      <c r="T99" s="1335"/>
      <c r="U99" s="1335"/>
      <c r="V99" s="1337">
        <v>7502</v>
      </c>
      <c r="W99" s="1502"/>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2"/>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76" activePane="topRight" state="frozen"/>
      <selection pane="topRight" activeCell="A78" sqref="A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230</v>
      </c>
      <c r="G2" s="678"/>
      <c r="H2" s="469">
        <v>0</v>
      </c>
      <c r="I2" s="657" t="s">
        <v>232</v>
      </c>
      <c r="J2" s="469" t="s">
        <v>64</v>
      </c>
      <c r="K2" s="469"/>
      <c r="L2" s="467">
        <v>45891</v>
      </c>
      <c r="M2" s="469" t="s">
        <v>57</v>
      </c>
      <c r="N2" s="540">
        <v>184994.5</v>
      </c>
      <c r="O2" s="469" t="s">
        <v>57</v>
      </c>
      <c r="P2" s="622" t="s">
        <v>233</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232</v>
      </c>
      <c r="J3" s="469" t="s">
        <v>64</v>
      </c>
      <c r="K3" s="469"/>
      <c r="L3" s="467">
        <v>45905</v>
      </c>
      <c r="M3" s="469" t="s">
        <v>57</v>
      </c>
      <c r="N3" s="540">
        <v>98170.1</v>
      </c>
      <c r="O3" s="469" t="s">
        <v>57</v>
      </c>
      <c r="P3" s="622" t="s">
        <v>233</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232</v>
      </c>
      <c r="J4" s="469" t="s">
        <v>64</v>
      </c>
      <c r="K4" s="478"/>
      <c r="L4" s="375">
        <v>45943</v>
      </c>
      <c r="M4" s="1083" t="s">
        <v>57</v>
      </c>
      <c r="N4" s="540">
        <v>2167.3000000000002</v>
      </c>
      <c r="O4" s="469" t="s">
        <v>57</v>
      </c>
      <c r="P4" s="622" t="s">
        <v>233</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232</v>
      </c>
      <c r="J5" s="826" t="s">
        <v>64</v>
      </c>
      <c r="K5" s="486"/>
      <c r="L5" s="51">
        <v>45902</v>
      </c>
      <c r="M5" s="1084" t="s">
        <v>57</v>
      </c>
      <c r="N5" s="827">
        <v>87830</v>
      </c>
      <c r="O5" s="823" t="s">
        <v>57</v>
      </c>
      <c r="P5" s="622" t="s">
        <v>233</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232</v>
      </c>
      <c r="J6" s="469" t="s">
        <v>64</v>
      </c>
      <c r="K6" s="469"/>
      <c r="L6" s="51">
        <v>45932</v>
      </c>
      <c r="M6" s="1084" t="s">
        <v>57</v>
      </c>
      <c r="N6" s="827">
        <v>47064</v>
      </c>
      <c r="O6" s="823" t="s">
        <v>57</v>
      </c>
      <c r="P6" s="622" t="s">
        <v>233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232</v>
      </c>
      <c r="J7" s="826" t="s">
        <v>64</v>
      </c>
      <c r="K7" s="823"/>
      <c r="L7" s="51">
        <v>45902</v>
      </c>
      <c r="M7" s="1084" t="s">
        <v>57</v>
      </c>
      <c r="N7" s="827">
        <v>90173</v>
      </c>
      <c r="O7" s="823" t="s">
        <v>57</v>
      </c>
      <c r="P7" s="622" t="s">
        <v>233</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220</v>
      </c>
      <c r="E8" s="1195">
        <v>45964</v>
      </c>
      <c r="F8" s="1196" t="s">
        <v>230</v>
      </c>
      <c r="G8" s="1195" t="s">
        <v>321</v>
      </c>
      <c r="H8" s="826">
        <v>81</v>
      </c>
      <c r="I8" s="1177" t="s">
        <v>232</v>
      </c>
      <c r="J8" s="1177" t="s">
        <v>64</v>
      </c>
      <c r="K8" s="823"/>
      <c r="L8" s="1195" t="s">
        <v>52</v>
      </c>
      <c r="M8" s="823" t="s">
        <v>57</v>
      </c>
      <c r="N8" s="827">
        <v>68962</v>
      </c>
      <c r="O8" s="823" t="s">
        <v>57</v>
      </c>
      <c r="P8" s="1246" t="s">
        <v>233</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220</v>
      </c>
      <c r="E9" s="476">
        <v>45950</v>
      </c>
      <c r="F9" s="475" t="s">
        <v>230</v>
      </c>
      <c r="G9" s="822"/>
      <c r="H9" s="826">
        <v>80</v>
      </c>
      <c r="I9" s="823" t="s">
        <v>232</v>
      </c>
      <c r="J9" s="826" t="s">
        <v>64</v>
      </c>
      <c r="K9" s="823"/>
      <c r="L9" s="1085">
        <v>45905</v>
      </c>
      <c r="M9" s="823" t="s">
        <v>57</v>
      </c>
      <c r="N9" s="827">
        <v>66674.3</v>
      </c>
      <c r="O9" s="823" t="s">
        <v>57</v>
      </c>
      <c r="P9" s="622" t="s">
        <v>233</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220</v>
      </c>
      <c r="E10" s="476">
        <v>45937</v>
      </c>
      <c r="F10" s="475" t="s">
        <v>230</v>
      </c>
      <c r="G10" s="822"/>
      <c r="H10" s="826">
        <v>82</v>
      </c>
      <c r="I10" s="823" t="s">
        <v>232</v>
      </c>
      <c r="J10" s="826" t="s">
        <v>64</v>
      </c>
      <c r="K10" s="469"/>
      <c r="L10" s="476">
        <v>45903</v>
      </c>
      <c r="M10" s="823" t="s">
        <v>57</v>
      </c>
      <c r="N10" s="827">
        <v>93666.75</v>
      </c>
      <c r="O10" s="823" t="s">
        <v>57</v>
      </c>
      <c r="P10" s="622" t="s">
        <v>233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220</v>
      </c>
      <c r="E11" s="1195">
        <v>45923</v>
      </c>
      <c r="F11" s="1196" t="s">
        <v>230</v>
      </c>
      <c r="G11" s="1196" t="s">
        <v>327</v>
      </c>
      <c r="H11" s="1197">
        <v>0</v>
      </c>
      <c r="I11" s="823" t="s">
        <v>232</v>
      </c>
      <c r="J11" s="1197" t="s">
        <v>64</v>
      </c>
      <c r="K11" s="469"/>
      <c r="L11" s="1195" t="s">
        <v>52</v>
      </c>
      <c r="M11" s="1197" t="s">
        <v>57</v>
      </c>
      <c r="N11" s="1208">
        <v>139581.6</v>
      </c>
      <c r="O11" s="1197" t="s">
        <v>57</v>
      </c>
      <c r="P11" s="1246" t="s">
        <v>233</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232</v>
      </c>
      <c r="J12" s="478" t="s">
        <v>64</v>
      </c>
      <c r="K12" s="478"/>
      <c r="L12" s="476">
        <v>45716</v>
      </c>
      <c r="M12" s="478" t="s">
        <v>57</v>
      </c>
      <c r="N12" s="541">
        <v>57973.5</v>
      </c>
      <c r="O12" s="478" t="s">
        <v>57</v>
      </c>
      <c r="P12" s="622" t="s">
        <v>233</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232</v>
      </c>
      <c r="J13" s="478" t="s">
        <v>64</v>
      </c>
      <c r="K13" s="486"/>
      <c r="L13" s="476">
        <v>45863</v>
      </c>
      <c r="M13" s="478" t="s">
        <v>57</v>
      </c>
      <c r="N13" s="541">
        <v>49223.7</v>
      </c>
      <c r="O13" s="478" t="s">
        <v>57</v>
      </c>
      <c r="P13" s="622" t="s">
        <v>233</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232</v>
      </c>
      <c r="J14" s="478" t="s">
        <v>64</v>
      </c>
      <c r="K14" s="486"/>
      <c r="L14" s="476">
        <v>45879</v>
      </c>
      <c r="M14" s="478" t="s">
        <v>57</v>
      </c>
      <c r="N14" s="541">
        <v>68151.75</v>
      </c>
      <c r="O14" s="478" t="s">
        <v>57</v>
      </c>
      <c r="P14" s="622" t="s">
        <v>233</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220</v>
      </c>
      <c r="E15" s="476">
        <v>45966</v>
      </c>
      <c r="F15" s="475" t="s">
        <v>230</v>
      </c>
      <c r="G15" s="819"/>
      <c r="H15" s="478">
        <v>0</v>
      </c>
      <c r="I15" s="823" t="s">
        <v>232</v>
      </c>
      <c r="J15" s="478" t="s">
        <v>64</v>
      </c>
      <c r="K15" s="486"/>
      <c r="L15" s="476" t="s">
        <v>52</v>
      </c>
      <c r="M15" s="478" t="s">
        <v>57</v>
      </c>
      <c r="N15" s="541">
        <v>29960</v>
      </c>
      <c r="O15" s="478" t="s">
        <v>57</v>
      </c>
      <c r="P15" s="622" t="s">
        <v>233</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232</v>
      </c>
      <c r="J16" s="478" t="s">
        <v>64</v>
      </c>
      <c r="K16" s="469"/>
      <c r="L16" s="476" t="s">
        <v>52</v>
      </c>
      <c r="M16" s="478" t="s">
        <v>57</v>
      </c>
      <c r="N16" s="541">
        <v>2670.65</v>
      </c>
      <c r="O16" s="478" t="s">
        <v>57</v>
      </c>
      <c r="P16" s="622" t="s">
        <v>233</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230</v>
      </c>
      <c r="G17" s="1196"/>
      <c r="H17" s="1197">
        <v>0</v>
      </c>
      <c r="I17" s="657" t="s">
        <v>232</v>
      </c>
      <c r="J17" s="1491" t="s">
        <v>64</v>
      </c>
      <c r="K17" s="1491"/>
      <c r="L17" s="476" t="s">
        <v>52</v>
      </c>
      <c r="M17" s="478" t="s">
        <v>57</v>
      </c>
      <c r="N17" s="1492">
        <v>1035</v>
      </c>
      <c r="O17" s="1197" t="s">
        <v>57</v>
      </c>
      <c r="P17" s="1246" t="s">
        <v>233</v>
      </c>
      <c r="Q17" s="1493">
        <v>46030</v>
      </c>
      <c r="R17" s="1307"/>
      <c r="S17" s="1307"/>
      <c r="T17" s="1307"/>
      <c r="U17" s="1307"/>
      <c r="V17" s="1494">
        <v>0</v>
      </c>
      <c r="W17" s="1498">
        <v>0</v>
      </c>
      <c r="X17" s="1495">
        <f>SUM(V17-W17)</f>
        <v>0</v>
      </c>
      <c r="Y17" s="658">
        <v>1</v>
      </c>
      <c r="Z17" s="1493">
        <v>46030</v>
      </c>
      <c r="AA17" s="1183">
        <v>0</v>
      </c>
      <c r="AB17" s="1183">
        <v>0</v>
      </c>
      <c r="AC17" s="1201">
        <v>0</v>
      </c>
      <c r="AD17" s="1440" t="s">
        <v>345</v>
      </c>
    </row>
    <row r="18" spans="1:30" ht="39.75" customHeight="1">
      <c r="A18" s="916" t="s">
        <v>346</v>
      </c>
      <c r="B18" s="825" t="s">
        <v>262</v>
      </c>
      <c r="C18" s="467">
        <v>46006</v>
      </c>
      <c r="D18" s="475" t="s">
        <v>220</v>
      </c>
      <c r="E18" s="476">
        <v>45987</v>
      </c>
      <c r="F18" s="475" t="s">
        <v>190</v>
      </c>
      <c r="G18" s="819" t="s">
        <v>347</v>
      </c>
      <c r="H18" s="478">
        <v>35</v>
      </c>
      <c r="I18" s="823" t="s">
        <v>232</v>
      </c>
      <c r="J18" s="478" t="s">
        <v>64</v>
      </c>
      <c r="K18" s="469"/>
      <c r="L18" s="476" t="s">
        <v>52</v>
      </c>
      <c r="M18" s="478" t="s">
        <v>57</v>
      </c>
      <c r="N18" s="541">
        <v>35942</v>
      </c>
      <c r="O18" s="478" t="s">
        <v>57</v>
      </c>
      <c r="P18" s="622" t="s">
        <v>233</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262</v>
      </c>
      <c r="C19" s="1175">
        <v>46006</v>
      </c>
      <c r="D19" s="1196" t="s">
        <v>220</v>
      </c>
      <c r="E19" s="1195">
        <v>45987</v>
      </c>
      <c r="F19" s="1196" t="s">
        <v>190</v>
      </c>
      <c r="G19" s="1196" t="s">
        <v>350</v>
      </c>
      <c r="H19" s="1197">
        <v>30</v>
      </c>
      <c r="I19" s="823" t="s">
        <v>232</v>
      </c>
      <c r="J19" s="826" t="s">
        <v>64</v>
      </c>
      <c r="K19" s="1177"/>
      <c r="L19" s="476" t="s">
        <v>52</v>
      </c>
      <c r="M19" s="1197" t="s">
        <v>57</v>
      </c>
      <c r="N19" s="1208">
        <v>31387.05</v>
      </c>
      <c r="O19" s="1197" t="s">
        <v>57</v>
      </c>
      <c r="P19" s="1246" t="s">
        <v>233</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262</v>
      </c>
      <c r="C20" s="467">
        <v>46006</v>
      </c>
      <c r="D20" s="475" t="s">
        <v>220</v>
      </c>
      <c r="E20" s="476">
        <v>45975</v>
      </c>
      <c r="F20" s="475" t="s">
        <v>190</v>
      </c>
      <c r="G20" s="477" t="s">
        <v>353</v>
      </c>
      <c r="H20" s="478">
        <v>86</v>
      </c>
      <c r="I20" s="823" t="s">
        <v>232</v>
      </c>
      <c r="J20" s="826" t="s">
        <v>64</v>
      </c>
      <c r="K20" s="469"/>
      <c r="L20" s="476" t="s">
        <v>52</v>
      </c>
      <c r="M20" s="478" t="s">
        <v>57</v>
      </c>
      <c r="N20" s="541">
        <v>111432</v>
      </c>
      <c r="O20" s="478" t="s">
        <v>57</v>
      </c>
      <c r="P20" s="622" t="s">
        <v>233</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262</v>
      </c>
      <c r="C21" s="1175">
        <v>46040</v>
      </c>
      <c r="D21" s="1196" t="s">
        <v>220</v>
      </c>
      <c r="E21" s="1195">
        <v>46031</v>
      </c>
      <c r="F21" s="1196" t="s">
        <v>190</v>
      </c>
      <c r="G21" s="1196" t="s">
        <v>356</v>
      </c>
      <c r="H21" s="1197">
        <v>73</v>
      </c>
      <c r="I21" s="823" t="s">
        <v>232</v>
      </c>
      <c r="J21" s="826" t="s">
        <v>64</v>
      </c>
      <c r="K21" s="1177"/>
      <c r="L21" s="476" t="s">
        <v>52</v>
      </c>
      <c r="M21" s="1197" t="s">
        <v>57</v>
      </c>
      <c r="N21" s="1208">
        <v>77814</v>
      </c>
      <c r="O21" s="1197" t="s">
        <v>57</v>
      </c>
      <c r="P21" s="1246" t="s">
        <v>233</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262</v>
      </c>
      <c r="C22" s="467">
        <v>46053</v>
      </c>
      <c r="D22" s="475" t="s">
        <v>220</v>
      </c>
      <c r="E22" s="476">
        <v>45964</v>
      </c>
      <c r="F22" s="475" t="s">
        <v>190</v>
      </c>
      <c r="G22" s="477"/>
      <c r="H22" s="478">
        <v>82</v>
      </c>
      <c r="I22" s="823" t="s">
        <v>232</v>
      </c>
      <c r="J22" s="478" t="s">
        <v>64</v>
      </c>
      <c r="K22" s="469"/>
      <c r="L22" s="476" t="s">
        <v>52</v>
      </c>
      <c r="M22" s="478" t="s">
        <v>57</v>
      </c>
      <c r="N22" s="541">
        <v>101871</v>
      </c>
      <c r="O22" s="478" t="s">
        <v>57</v>
      </c>
      <c r="P22" s="622" t="s">
        <v>233</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262</v>
      </c>
      <c r="C23" s="467">
        <v>46053</v>
      </c>
      <c r="D23" s="475" t="s">
        <v>220</v>
      </c>
      <c r="E23" s="476">
        <v>45974</v>
      </c>
      <c r="F23" s="475" t="s">
        <v>190</v>
      </c>
      <c r="G23" s="477" t="s">
        <v>361</v>
      </c>
      <c r="H23" s="478">
        <v>77</v>
      </c>
      <c r="I23" s="823" t="s">
        <v>232</v>
      </c>
      <c r="J23" s="478" t="s">
        <v>64</v>
      </c>
      <c r="K23" s="469"/>
      <c r="L23" s="476">
        <v>45965</v>
      </c>
      <c r="M23" s="478" t="s">
        <v>57</v>
      </c>
      <c r="N23" s="541">
        <v>90786</v>
      </c>
      <c r="O23" s="478" t="s">
        <v>57</v>
      </c>
      <c r="P23" s="622" t="s">
        <v>233</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262</v>
      </c>
      <c r="C24" s="467">
        <v>46006</v>
      </c>
      <c r="D24" s="475" t="s">
        <v>220</v>
      </c>
      <c r="E24" s="476">
        <v>45980</v>
      </c>
      <c r="F24" s="475" t="s">
        <v>190</v>
      </c>
      <c r="G24" s="819" t="s">
        <v>363</v>
      </c>
      <c r="H24" s="478">
        <v>75</v>
      </c>
      <c r="I24" s="823" t="s">
        <v>232</v>
      </c>
      <c r="J24" s="478" t="s">
        <v>64</v>
      </c>
      <c r="K24" s="469"/>
      <c r="L24" s="476" t="s">
        <v>52</v>
      </c>
      <c r="M24" s="478" t="s">
        <v>57</v>
      </c>
      <c r="N24" s="541">
        <v>82330</v>
      </c>
      <c r="O24" s="478" t="s">
        <v>57</v>
      </c>
      <c r="P24" s="622" t="s">
        <v>233</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262</v>
      </c>
      <c r="C25" s="1175">
        <v>46040</v>
      </c>
      <c r="D25" s="1196" t="s">
        <v>220</v>
      </c>
      <c r="E25" s="1195">
        <v>45996</v>
      </c>
      <c r="F25" s="1196" t="s">
        <v>190</v>
      </c>
      <c r="G25" s="1196" t="s">
        <v>365</v>
      </c>
      <c r="H25" s="1197">
        <v>78</v>
      </c>
      <c r="I25" s="823" t="s">
        <v>232</v>
      </c>
      <c r="J25" s="1197" t="s">
        <v>64</v>
      </c>
      <c r="K25" s="1177"/>
      <c r="L25" s="476" t="s">
        <v>52</v>
      </c>
      <c r="M25" s="1197" t="s">
        <v>57</v>
      </c>
      <c r="N25" s="1208">
        <v>84477</v>
      </c>
      <c r="O25" s="1197" t="s">
        <v>57</v>
      </c>
      <c r="P25" s="1246" t="s">
        <v>233</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232</v>
      </c>
      <c r="J26" s="469" t="s">
        <v>64</v>
      </c>
      <c r="K26" s="469"/>
      <c r="L26" s="467">
        <v>45962</v>
      </c>
      <c r="M26" s="469" t="s">
        <v>57</v>
      </c>
      <c r="N26" s="540">
        <v>37418</v>
      </c>
      <c r="O26" s="469" t="s">
        <v>57</v>
      </c>
      <c r="P26" s="622" t="s">
        <v>233</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232</v>
      </c>
      <c r="J27" s="1177" t="s">
        <v>64</v>
      </c>
      <c r="K27" s="469"/>
      <c r="L27" s="1175">
        <v>46021</v>
      </c>
      <c r="M27" s="1177" t="s">
        <v>57</v>
      </c>
      <c r="N27" s="1178">
        <v>77109.5</v>
      </c>
      <c r="O27" s="1177" t="s">
        <v>57</v>
      </c>
      <c r="P27" s="1246" t="s">
        <v>233</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232</v>
      </c>
      <c r="J28" s="1177" t="s">
        <v>64</v>
      </c>
      <c r="K28" s="469"/>
      <c r="L28" s="1175">
        <v>46021</v>
      </c>
      <c r="M28" s="1177" t="s">
        <v>57</v>
      </c>
      <c r="N28" s="1178">
        <v>58952.88</v>
      </c>
      <c r="O28" s="1177" t="s">
        <v>57</v>
      </c>
      <c r="P28" s="1246" t="s">
        <v>233</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232</v>
      </c>
      <c r="J29" s="1177" t="s">
        <v>64</v>
      </c>
      <c r="K29" s="469"/>
      <c r="L29" s="1175">
        <v>46027</v>
      </c>
      <c r="M29" s="1177" t="s">
        <v>57</v>
      </c>
      <c r="N29" s="1178">
        <v>41834.75</v>
      </c>
      <c r="O29" s="1177" t="s">
        <v>57</v>
      </c>
      <c r="P29" s="1246" t="s">
        <v>233</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232</v>
      </c>
      <c r="J30" s="469" t="s">
        <v>64</v>
      </c>
      <c r="K30" s="469"/>
      <c r="L30" s="467">
        <v>45969</v>
      </c>
      <c r="M30" s="469" t="s">
        <v>57</v>
      </c>
      <c r="N30" s="540">
        <v>66402</v>
      </c>
      <c r="O30" s="469" t="s">
        <v>57</v>
      </c>
      <c r="P30" s="622" t="s">
        <v>233</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232</v>
      </c>
      <c r="J31" s="469" t="s">
        <v>64</v>
      </c>
      <c r="K31" s="469"/>
      <c r="L31" s="467">
        <v>45967</v>
      </c>
      <c r="M31" s="469" t="s">
        <v>57</v>
      </c>
      <c r="N31" s="540">
        <v>63997.35</v>
      </c>
      <c r="O31" s="469" t="s">
        <v>57</v>
      </c>
      <c r="P31" s="622" t="s">
        <v>233</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1">
        <v>0</v>
      </c>
      <c r="I32" s="657" t="s">
        <v>232</v>
      </c>
      <c r="J32" s="1491" t="s">
        <v>64</v>
      </c>
      <c r="K32" s="1491"/>
      <c r="L32" s="1311" t="s">
        <v>132</v>
      </c>
      <c r="M32" s="1491" t="s">
        <v>57</v>
      </c>
      <c r="N32" s="1503">
        <v>15670.45</v>
      </c>
      <c r="O32" s="1491" t="s">
        <v>57</v>
      </c>
      <c r="P32" s="1497" t="s">
        <v>233</v>
      </c>
      <c r="Q32" s="1504">
        <v>46031</v>
      </c>
      <c r="R32" s="1504"/>
      <c r="S32" s="1504"/>
      <c r="T32" s="1504"/>
      <c r="U32" s="1504"/>
      <c r="V32" s="782">
        <v>1202</v>
      </c>
      <c r="W32" s="1247">
        <v>1208</v>
      </c>
      <c r="X32" s="1495">
        <f>SUM(V32-W32)</f>
        <v>-6</v>
      </c>
      <c r="Y32" s="658">
        <v>1</v>
      </c>
      <c r="Z32" s="1200">
        <v>46035</v>
      </c>
      <c r="AA32" s="355">
        <v>1</v>
      </c>
      <c r="AB32" s="1505">
        <v>0</v>
      </c>
      <c r="AC32" s="1495">
        <v>0</v>
      </c>
      <c r="AD32" s="1440" t="s">
        <v>385</v>
      </c>
    </row>
    <row r="33" spans="1:30" ht="39.75" customHeight="1">
      <c r="A33" s="1245" t="s">
        <v>386</v>
      </c>
      <c r="B33" s="1176" t="s">
        <v>99</v>
      </c>
      <c r="C33" s="1175">
        <v>45675</v>
      </c>
      <c r="D33" s="1175" t="s">
        <v>113</v>
      </c>
      <c r="E33" s="1175">
        <v>46006</v>
      </c>
      <c r="F33" s="1176" t="s">
        <v>106</v>
      </c>
      <c r="G33" s="1176"/>
      <c r="H33" s="1177">
        <v>0</v>
      </c>
      <c r="I33" s="1177" t="s">
        <v>232</v>
      </c>
      <c r="J33" s="1177" t="s">
        <v>64</v>
      </c>
      <c r="K33" s="1177"/>
      <c r="L33" s="1175">
        <v>46006</v>
      </c>
      <c r="M33" s="1177" t="s">
        <v>57</v>
      </c>
      <c r="N33" s="1178">
        <v>45512.75</v>
      </c>
      <c r="O33" s="1177" t="s">
        <v>57</v>
      </c>
      <c r="P33" s="1246" t="s">
        <v>233</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232</v>
      </c>
      <c r="J34" s="469" t="s">
        <v>64</v>
      </c>
      <c r="K34" s="469"/>
      <c r="L34" s="467" t="s">
        <v>132</v>
      </c>
      <c r="M34" s="469" t="s">
        <v>57</v>
      </c>
      <c r="N34" s="540">
        <v>1931.75</v>
      </c>
      <c r="O34" s="469" t="s">
        <v>57</v>
      </c>
      <c r="P34" s="1045" t="s">
        <v>233</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232</v>
      </c>
      <c r="J35" s="469" t="s">
        <v>64</v>
      </c>
      <c r="K35" s="469"/>
      <c r="L35" s="467" t="s">
        <v>132</v>
      </c>
      <c r="M35" s="469" t="s">
        <v>57</v>
      </c>
      <c r="N35" s="540">
        <v>74164.05</v>
      </c>
      <c r="O35" s="469" t="s">
        <v>57</v>
      </c>
      <c r="P35" s="1045" t="s">
        <v>233</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232</v>
      </c>
      <c r="J36" s="1177" t="s">
        <v>56</v>
      </c>
      <c r="K36" s="469"/>
      <c r="L36" s="1175">
        <v>45978</v>
      </c>
      <c r="M36" s="1177" t="s">
        <v>57</v>
      </c>
      <c r="N36" s="1178">
        <v>87807.5</v>
      </c>
      <c r="O36" s="1177" t="s">
        <v>57</v>
      </c>
      <c r="P36" s="1246" t="s">
        <v>233</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232</v>
      </c>
      <c r="J37" s="1269" t="s">
        <v>64</v>
      </c>
      <c r="K37" s="1083"/>
      <c r="L37" s="1262">
        <v>46027</v>
      </c>
      <c r="M37" s="1197" t="s">
        <v>57</v>
      </c>
      <c r="N37" s="1291">
        <v>68608</v>
      </c>
      <c r="O37" s="1347" t="s">
        <v>57</v>
      </c>
      <c r="P37" s="1292" t="s">
        <v>233</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232</v>
      </c>
      <c r="J38" s="1269" t="s">
        <v>64</v>
      </c>
      <c r="K38" s="1365"/>
      <c r="L38" s="1262">
        <v>46027</v>
      </c>
      <c r="M38" s="1197" t="s">
        <v>57</v>
      </c>
      <c r="N38" s="1291">
        <v>73334</v>
      </c>
      <c r="O38" s="1347" t="s">
        <v>57</v>
      </c>
      <c r="P38" s="1292" t="s">
        <v>233</v>
      </c>
      <c r="Q38" s="1226">
        <v>46027</v>
      </c>
      <c r="R38" s="1447"/>
      <c r="S38" s="1333"/>
      <c r="T38" s="1369"/>
      <c r="U38" s="1226">
        <v>46052</v>
      </c>
      <c r="V38" s="31">
        <v>5860</v>
      </c>
      <c r="W38" s="1506">
        <v>5829</v>
      </c>
      <c r="X38" s="1371">
        <f t="shared" ref="X38:X45" si="15">SUM(V38-W38)</f>
        <v>31</v>
      </c>
      <c r="Y38" s="1130">
        <f t="shared" si="13"/>
        <v>0.99470989761092155</v>
      </c>
      <c r="Z38" s="1499">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232</v>
      </c>
      <c r="J39" s="1269" t="s">
        <v>64</v>
      </c>
      <c r="K39" s="1365"/>
      <c r="L39" s="1262">
        <v>46027</v>
      </c>
      <c r="M39" s="1197" t="s">
        <v>57</v>
      </c>
      <c r="N39" s="1291">
        <v>73885</v>
      </c>
      <c r="O39" s="1347" t="s">
        <v>57</v>
      </c>
      <c r="P39" s="1292" t="s">
        <v>233</v>
      </c>
      <c r="Q39" s="1226">
        <v>46027</v>
      </c>
      <c r="R39" s="1447"/>
      <c r="S39" s="1333"/>
      <c r="T39" s="1369"/>
      <c r="U39" s="1226">
        <v>46052</v>
      </c>
      <c r="V39" s="31">
        <v>6021</v>
      </c>
      <c r="W39" s="1506">
        <v>6080</v>
      </c>
      <c r="X39" s="1371">
        <f t="shared" si="15"/>
        <v>-59</v>
      </c>
      <c r="Y39" s="1130">
        <f t="shared" si="13"/>
        <v>1.0097990367048664</v>
      </c>
      <c r="Z39" s="1499">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232</v>
      </c>
      <c r="J40" s="1269" t="s">
        <v>64</v>
      </c>
      <c r="K40" s="1365"/>
      <c r="L40" s="1262">
        <v>46027</v>
      </c>
      <c r="M40" s="1197" t="s">
        <v>57</v>
      </c>
      <c r="N40" s="1291">
        <v>78025</v>
      </c>
      <c r="O40" s="1347" t="s">
        <v>57</v>
      </c>
      <c r="P40" s="1292" t="s">
        <v>233</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232</v>
      </c>
      <c r="J41" s="1269" t="s">
        <v>64</v>
      </c>
      <c r="K41" s="1365"/>
      <c r="L41" s="1262">
        <v>46027</v>
      </c>
      <c r="M41" s="1197" t="s">
        <v>57</v>
      </c>
      <c r="N41" s="1291">
        <v>88362</v>
      </c>
      <c r="O41" s="1347" t="s">
        <v>57</v>
      </c>
      <c r="P41" s="1292" t="s">
        <v>233</v>
      </c>
      <c r="Q41" s="1226">
        <v>46027</v>
      </c>
      <c r="R41" s="1294"/>
      <c r="S41" s="1271"/>
      <c r="T41" s="1368"/>
      <c r="U41" s="1271"/>
      <c r="V41" s="31">
        <v>7145</v>
      </c>
      <c r="W41" s="1482">
        <v>7093</v>
      </c>
      <c r="X41" s="1236">
        <f>SUM(V41-W41)</f>
        <v>52</v>
      </c>
      <c r="Y41" s="868">
        <f>IFERROR($W41/$V41, 0)</f>
        <v>0.99272218334499651</v>
      </c>
      <c r="Z41" s="1226">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232</v>
      </c>
      <c r="J42" s="1269" t="s">
        <v>64</v>
      </c>
      <c r="K42" s="1365"/>
      <c r="L42" s="1262">
        <v>46027</v>
      </c>
      <c r="M42" s="1197" t="s">
        <v>57</v>
      </c>
      <c r="N42" s="1291">
        <v>59114.5</v>
      </c>
      <c r="O42" s="1347" t="s">
        <v>57</v>
      </c>
      <c r="P42" s="1292" t="s">
        <v>233</v>
      </c>
      <c r="Q42" s="1226">
        <v>46027</v>
      </c>
      <c r="R42" s="1447"/>
      <c r="S42" s="1333"/>
      <c r="T42" s="1369"/>
      <c r="U42" s="1226">
        <v>46052</v>
      </c>
      <c r="V42" s="31">
        <v>4836</v>
      </c>
      <c r="W42" s="1506">
        <v>4810</v>
      </c>
      <c r="X42" s="1372">
        <f t="shared" si="15"/>
        <v>26</v>
      </c>
      <c r="Y42" s="1360">
        <f t="shared" si="13"/>
        <v>0.9946236559139785</v>
      </c>
      <c r="Z42" s="1501">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232</v>
      </c>
      <c r="J43" s="1269" t="s">
        <v>64</v>
      </c>
      <c r="K43" s="1459"/>
      <c r="L43" s="1262">
        <v>46027</v>
      </c>
      <c r="M43" s="1197" t="s">
        <v>57</v>
      </c>
      <c r="N43" s="1178">
        <v>86984</v>
      </c>
      <c r="O43" s="1347" t="s">
        <v>57</v>
      </c>
      <c r="P43" s="1292" t="s">
        <v>233</v>
      </c>
      <c r="Q43" s="1226">
        <v>46027</v>
      </c>
      <c r="R43" s="1448"/>
      <c r="S43" s="1335"/>
      <c r="T43" s="1370"/>
      <c r="U43" s="1469"/>
      <c r="V43" s="31">
        <v>7341</v>
      </c>
      <c r="W43" s="1507">
        <v>7151</v>
      </c>
      <c r="X43" s="1236">
        <f t="shared" si="15"/>
        <v>190</v>
      </c>
      <c r="Y43" s="868">
        <f t="shared" si="13"/>
        <v>0.97411796757934888</v>
      </c>
      <c r="Z43" s="1499">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232</v>
      </c>
      <c r="J44" s="1269" t="s">
        <v>64</v>
      </c>
      <c r="K44" s="1459"/>
      <c r="L44" s="1262">
        <v>46027</v>
      </c>
      <c r="M44" s="1197" t="s">
        <v>57</v>
      </c>
      <c r="N44" s="1178">
        <v>54261.05</v>
      </c>
      <c r="O44" s="1347" t="s">
        <v>57</v>
      </c>
      <c r="P44" s="1292" t="s">
        <v>233</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232</v>
      </c>
      <c r="J45" s="1269" t="s">
        <v>64</v>
      </c>
      <c r="K45" s="1459"/>
      <c r="L45" s="1262">
        <v>46027</v>
      </c>
      <c r="M45" s="1197" t="s">
        <v>57</v>
      </c>
      <c r="N45" s="1291">
        <v>18078.28</v>
      </c>
      <c r="O45" s="1347" t="s">
        <v>57</v>
      </c>
      <c r="P45" s="1292" t="s">
        <v>233</v>
      </c>
      <c r="Q45" s="1226">
        <v>46027</v>
      </c>
      <c r="R45" s="1447"/>
      <c r="S45" s="1333"/>
      <c r="T45" s="1369"/>
      <c r="U45" s="1333"/>
      <c r="V45" s="31">
        <v>1284</v>
      </c>
      <c r="W45" s="1507">
        <v>1277</v>
      </c>
      <c r="X45" s="1236">
        <f t="shared" si="15"/>
        <v>7</v>
      </c>
      <c r="Y45" s="868">
        <f t="shared" si="13"/>
        <v>0.99454828660436134</v>
      </c>
      <c r="Z45" s="1499">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232</v>
      </c>
      <c r="J46" s="964" t="s">
        <v>64</v>
      </c>
      <c r="K46" s="469"/>
      <c r="L46" s="375">
        <v>45964</v>
      </c>
      <c r="M46" s="964" t="s">
        <v>57</v>
      </c>
      <c r="N46" s="1050">
        <v>62937.05</v>
      </c>
      <c r="O46" s="52" t="s">
        <v>57</v>
      </c>
      <c r="P46" s="1052" t="s">
        <v>233</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232</v>
      </c>
      <c r="J47" s="1250" t="s">
        <v>64</v>
      </c>
      <c r="K47" s="469"/>
      <c r="L47" s="1263" t="s">
        <v>52</v>
      </c>
      <c r="M47" s="1250" t="s">
        <v>57</v>
      </c>
      <c r="N47" s="1288">
        <v>45545.15</v>
      </c>
      <c r="O47" s="1269" t="s">
        <v>57</v>
      </c>
      <c r="P47" s="1292" t="s">
        <v>233</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232</v>
      </c>
      <c r="J48" s="478" t="s">
        <v>64</v>
      </c>
      <c r="K48" s="1058"/>
      <c r="L48" s="476" t="s">
        <v>52</v>
      </c>
      <c r="M48" s="478" t="s">
        <v>57</v>
      </c>
      <c r="N48" s="1059">
        <v>4046.5</v>
      </c>
      <c r="O48" s="478" t="s">
        <v>57</v>
      </c>
      <c r="P48" s="622" t="s">
        <v>233</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232</v>
      </c>
      <c r="J49" s="478" t="s">
        <v>64</v>
      </c>
      <c r="K49" s="1058"/>
      <c r="L49" s="467">
        <v>45964</v>
      </c>
      <c r="M49" s="478" t="s">
        <v>57</v>
      </c>
      <c r="N49" s="1059">
        <v>170</v>
      </c>
      <c r="O49" s="478" t="s">
        <v>57</v>
      </c>
      <c r="P49" s="622" t="s">
        <v>233</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232</v>
      </c>
      <c r="J50" s="964" t="s">
        <v>64</v>
      </c>
      <c r="K50" s="994"/>
      <c r="L50" s="476" t="s">
        <v>52</v>
      </c>
      <c r="M50" s="964" t="s">
        <v>57</v>
      </c>
      <c r="N50" s="1050">
        <v>5668</v>
      </c>
      <c r="O50" s="52" t="s">
        <v>57</v>
      </c>
      <c r="P50" s="1052" t="s">
        <v>233</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232</v>
      </c>
      <c r="J51" s="964" t="s">
        <v>64</v>
      </c>
      <c r="K51" s="994"/>
      <c r="L51" s="476" t="s">
        <v>52</v>
      </c>
      <c r="M51" s="964" t="s">
        <v>57</v>
      </c>
      <c r="N51" s="1050">
        <v>170</v>
      </c>
      <c r="O51" s="52" t="s">
        <v>57</v>
      </c>
      <c r="P51" s="1052" t="s">
        <v>233</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232</v>
      </c>
      <c r="J52" s="1250" t="s">
        <v>64</v>
      </c>
      <c r="K52" s="994"/>
      <c r="L52" s="1263">
        <v>45993</v>
      </c>
      <c r="M52" s="1250" t="s">
        <v>57</v>
      </c>
      <c r="N52" s="1288">
        <v>93349.5</v>
      </c>
      <c r="O52" s="1269" t="s">
        <v>57</v>
      </c>
      <c r="P52" s="1329" t="s">
        <v>233</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232</v>
      </c>
      <c r="J53" s="964" t="s">
        <v>64</v>
      </c>
      <c r="K53" s="646"/>
      <c r="L53" s="51">
        <v>45964</v>
      </c>
      <c r="M53" s="52" t="s">
        <v>57</v>
      </c>
      <c r="N53" s="833">
        <v>84750.5</v>
      </c>
      <c r="O53" s="52" t="s">
        <v>57</v>
      </c>
      <c r="P53" s="1052" t="s">
        <v>233</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232</v>
      </c>
      <c r="J54" s="964" t="s">
        <v>64</v>
      </c>
      <c r="K54" s="646"/>
      <c r="L54" s="51">
        <v>45964</v>
      </c>
      <c r="M54" s="964" t="s">
        <v>57</v>
      </c>
      <c r="N54" s="833">
        <v>65066.5</v>
      </c>
      <c r="O54" s="52" t="s">
        <v>57</v>
      </c>
      <c r="P54" s="1052" t="s">
        <v>233</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232</v>
      </c>
      <c r="J55" s="964" t="s">
        <v>64</v>
      </c>
      <c r="K55" s="646"/>
      <c r="L55" s="51">
        <v>45964</v>
      </c>
      <c r="M55" s="964" t="s">
        <v>57</v>
      </c>
      <c r="N55" s="833">
        <v>81602</v>
      </c>
      <c r="O55" s="52" t="s">
        <v>57</v>
      </c>
      <c r="P55" s="1052" t="s">
        <v>233</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232</v>
      </c>
      <c r="J56" s="964" t="s">
        <v>64</v>
      </c>
      <c r="K56" s="646"/>
      <c r="L56" s="51">
        <v>45961</v>
      </c>
      <c r="M56" s="52" t="s">
        <v>57</v>
      </c>
      <c r="N56" s="833">
        <v>88231.9</v>
      </c>
      <c r="O56" s="52" t="s">
        <v>57</v>
      </c>
      <c r="P56" s="1052" t="s">
        <v>233</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232</v>
      </c>
      <c r="J57" s="964" t="s">
        <v>64</v>
      </c>
      <c r="K57" s="646"/>
      <c r="L57" s="51">
        <v>45964</v>
      </c>
      <c r="M57" s="964" t="s">
        <v>57</v>
      </c>
      <c r="N57" s="833">
        <v>93578</v>
      </c>
      <c r="O57" s="52" t="s">
        <v>57</v>
      </c>
      <c r="P57" s="1052" t="s">
        <v>233</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232</v>
      </c>
      <c r="J58" s="964" t="s">
        <v>64</v>
      </c>
      <c r="K58" s="646"/>
      <c r="L58" s="51">
        <v>45964</v>
      </c>
      <c r="M58" s="52" t="s">
        <v>57</v>
      </c>
      <c r="N58" s="833">
        <v>84896</v>
      </c>
      <c r="O58" s="52" t="s">
        <v>57</v>
      </c>
      <c r="P58" s="1052" t="s">
        <v>233</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232</v>
      </c>
      <c r="J59" s="1250" t="s">
        <v>64</v>
      </c>
      <c r="K59" s="646"/>
      <c r="L59" s="1267">
        <v>45961</v>
      </c>
      <c r="M59" s="1250" t="s">
        <v>57</v>
      </c>
      <c r="N59" s="1291">
        <v>91897</v>
      </c>
      <c r="O59" s="1269" t="s">
        <v>57</v>
      </c>
      <c r="P59" s="1292" t="s">
        <v>233</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232</v>
      </c>
      <c r="J60" s="964" t="s">
        <v>64</v>
      </c>
      <c r="K60" s="646"/>
      <c r="L60" s="51">
        <v>45964</v>
      </c>
      <c r="M60" s="964" t="s">
        <v>57</v>
      </c>
      <c r="N60" s="833">
        <v>96685</v>
      </c>
      <c r="O60" s="52" t="s">
        <v>57</v>
      </c>
      <c r="P60" s="1052" t="s">
        <v>233</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232</v>
      </c>
      <c r="J61" s="1250" t="s">
        <v>64</v>
      </c>
      <c r="K61" s="1266"/>
      <c r="L61" s="1267">
        <v>45964</v>
      </c>
      <c r="M61" s="1250" t="s">
        <v>57</v>
      </c>
      <c r="N61" s="1291">
        <v>85815</v>
      </c>
      <c r="O61" s="1269" t="s">
        <v>57</v>
      </c>
      <c r="P61" s="1292" t="s">
        <v>233</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232</v>
      </c>
      <c r="J62" s="964" t="s">
        <v>64</v>
      </c>
      <c r="K62" s="646"/>
      <c r="L62" s="51">
        <v>45961</v>
      </c>
      <c r="M62" s="964" t="s">
        <v>57</v>
      </c>
      <c r="N62" s="833">
        <v>83615</v>
      </c>
      <c r="O62" s="52" t="s">
        <v>57</v>
      </c>
      <c r="P62" s="1052" t="s">
        <v>233</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232</v>
      </c>
      <c r="J63" s="1250" t="s">
        <v>64</v>
      </c>
      <c r="K63" s="646"/>
      <c r="L63" s="1267">
        <v>45964</v>
      </c>
      <c r="M63" s="1250" t="s">
        <v>57</v>
      </c>
      <c r="N63" s="1291">
        <v>78736.5</v>
      </c>
      <c r="O63" s="1269" t="s">
        <v>57</v>
      </c>
      <c r="P63" s="1292" t="s">
        <v>233</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232</v>
      </c>
      <c r="J64" s="1250" t="s">
        <v>64</v>
      </c>
      <c r="K64" s="646"/>
      <c r="L64" s="1267">
        <v>45964</v>
      </c>
      <c r="M64" s="1250" t="s">
        <v>57</v>
      </c>
      <c r="N64" s="1291">
        <v>80698</v>
      </c>
      <c r="O64" s="1269" t="s">
        <v>57</v>
      </c>
      <c r="P64" s="1292" t="s">
        <v>233</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232</v>
      </c>
      <c r="J65" s="1250" t="s">
        <v>64</v>
      </c>
      <c r="K65" s="646"/>
      <c r="L65" s="1267">
        <v>45964</v>
      </c>
      <c r="M65" s="1250" t="s">
        <v>57</v>
      </c>
      <c r="N65" s="1291">
        <v>79552</v>
      </c>
      <c r="O65" s="1269" t="s">
        <v>57</v>
      </c>
      <c r="P65" s="1292" t="s">
        <v>233</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232</v>
      </c>
      <c r="J66" s="1250" t="s">
        <v>64</v>
      </c>
      <c r="K66" s="646"/>
      <c r="L66" s="1267">
        <v>45964</v>
      </c>
      <c r="M66" s="1250" t="s">
        <v>57</v>
      </c>
      <c r="N66" s="1291">
        <v>84770</v>
      </c>
      <c r="O66" s="1269" t="s">
        <v>57</v>
      </c>
      <c r="P66" s="1292" t="s">
        <v>233</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232</v>
      </c>
      <c r="J67" s="1250" t="s">
        <v>64</v>
      </c>
      <c r="K67" s="1266"/>
      <c r="L67" s="1267">
        <v>45964</v>
      </c>
      <c r="M67" s="1250" t="s">
        <v>57</v>
      </c>
      <c r="N67" s="1291">
        <v>87875</v>
      </c>
      <c r="O67" s="1269" t="s">
        <v>57</v>
      </c>
      <c r="P67" s="1292" t="s">
        <v>233</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232</v>
      </c>
      <c r="J68" s="1250" t="s">
        <v>64</v>
      </c>
      <c r="K68" s="1266"/>
      <c r="L68" s="1267">
        <v>45987</v>
      </c>
      <c r="M68" s="1250" t="s">
        <v>57</v>
      </c>
      <c r="N68" s="1291">
        <v>84092.5</v>
      </c>
      <c r="O68" s="1269" t="s">
        <v>57</v>
      </c>
      <c r="P68" s="1329" t="s">
        <v>233</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232</v>
      </c>
      <c r="J69" s="1250" t="s">
        <v>64</v>
      </c>
      <c r="K69" s="1266"/>
      <c r="L69" s="1267">
        <v>45987</v>
      </c>
      <c r="M69" s="1250" t="s">
        <v>57</v>
      </c>
      <c r="N69" s="1291">
        <v>74892.5</v>
      </c>
      <c r="O69" s="1269" t="s">
        <v>57</v>
      </c>
      <c r="P69" s="1329" t="s">
        <v>233</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232</v>
      </c>
      <c r="J70" s="1269" t="s">
        <v>64</v>
      </c>
      <c r="K70" s="1364"/>
      <c r="L70" s="1267">
        <v>45987</v>
      </c>
      <c r="M70" s="1250" t="s">
        <v>57</v>
      </c>
      <c r="N70" s="1291">
        <v>68606.5</v>
      </c>
      <c r="O70" s="1269" t="s">
        <v>57</v>
      </c>
      <c r="P70" s="1329" t="s">
        <v>233</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81" t="s">
        <v>485</v>
      </c>
      <c r="B71" s="1261" t="s">
        <v>281</v>
      </c>
      <c r="C71" s="1354">
        <v>46052</v>
      </c>
      <c r="D71" s="1343" t="s">
        <v>113</v>
      </c>
      <c r="E71" s="1262">
        <v>45987</v>
      </c>
      <c r="F71" s="1176" t="s">
        <v>135</v>
      </c>
      <c r="G71" s="1264" t="s">
        <v>486</v>
      </c>
      <c r="H71" s="1265">
        <v>73</v>
      </c>
      <c r="I71" s="656" t="s">
        <v>232</v>
      </c>
      <c r="J71" s="1269" t="s">
        <v>64</v>
      </c>
      <c r="K71" s="1364"/>
      <c r="L71" s="1346">
        <v>45987</v>
      </c>
      <c r="M71" s="1197" t="s">
        <v>57</v>
      </c>
      <c r="N71" s="1178">
        <v>71371</v>
      </c>
      <c r="O71" s="1347" t="s">
        <v>57</v>
      </c>
      <c r="P71" s="1292" t="s">
        <v>233</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232</v>
      </c>
      <c r="J72" s="1250" t="s">
        <v>64</v>
      </c>
      <c r="K72" s="1266"/>
      <c r="L72" s="1267">
        <v>45961</v>
      </c>
      <c r="M72" s="1250" t="s">
        <v>57</v>
      </c>
      <c r="N72" s="1291">
        <v>64985.65</v>
      </c>
      <c r="O72" s="1269" t="s">
        <v>57</v>
      </c>
      <c r="P72" s="1329" t="s">
        <v>233</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232</v>
      </c>
      <c r="J73" s="1250" t="s">
        <v>64</v>
      </c>
      <c r="K73" s="1266"/>
      <c r="L73" s="1267">
        <v>45961</v>
      </c>
      <c r="M73" s="1250" t="s">
        <v>57</v>
      </c>
      <c r="N73" s="1291">
        <v>54043.5</v>
      </c>
      <c r="O73" s="1269" t="s">
        <v>57</v>
      </c>
      <c r="P73" s="1292" t="s">
        <v>233</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232</v>
      </c>
      <c r="J74" s="469" t="s">
        <v>64</v>
      </c>
      <c r="K74" s="893"/>
      <c r="L74" s="51">
        <v>45741</v>
      </c>
      <c r="M74" s="376" t="s">
        <v>57</v>
      </c>
      <c r="N74" s="833">
        <v>67734.5</v>
      </c>
      <c r="O74" s="376" t="s">
        <v>57</v>
      </c>
      <c r="P74" s="1052" t="s">
        <v>233</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232</v>
      </c>
      <c r="J75" s="1177" t="s">
        <v>64</v>
      </c>
      <c r="K75" s="1198"/>
      <c r="L75" s="1195">
        <v>45741</v>
      </c>
      <c r="M75" s="1177" t="s">
        <v>57</v>
      </c>
      <c r="N75" s="1208">
        <v>48215.5</v>
      </c>
      <c r="O75" s="1177" t="s">
        <v>57</v>
      </c>
      <c r="P75" s="1433" t="s">
        <v>233</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232</v>
      </c>
      <c r="J76" s="478" t="s">
        <v>64</v>
      </c>
      <c r="K76" s="52"/>
      <c r="L76" s="375">
        <v>45716</v>
      </c>
      <c r="M76" s="52" t="s">
        <v>57</v>
      </c>
      <c r="N76" s="1060">
        <v>56262.5</v>
      </c>
      <c r="O76" s="52" t="s">
        <v>57</v>
      </c>
      <c r="P76" s="1052" t="s">
        <v>233</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232</v>
      </c>
      <c r="J77" s="469" t="s">
        <v>64</v>
      </c>
      <c r="K77" s="820"/>
      <c r="L77" s="476">
        <v>45741</v>
      </c>
      <c r="M77" s="469" t="s">
        <v>57</v>
      </c>
      <c r="N77" s="541">
        <v>17203.45</v>
      </c>
      <c r="O77" s="469" t="s">
        <v>57</v>
      </c>
      <c r="P77" s="961" t="s">
        <v>233</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232</v>
      </c>
      <c r="J78" s="1177" t="s">
        <v>64</v>
      </c>
      <c r="K78" s="820"/>
      <c r="L78" s="1195">
        <v>45742</v>
      </c>
      <c r="M78" s="1177" t="s">
        <v>57</v>
      </c>
      <c r="N78" s="1208">
        <v>13442.35</v>
      </c>
      <c r="O78" s="1177" t="s">
        <v>57</v>
      </c>
      <c r="P78" s="1432" t="s">
        <v>233</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232</v>
      </c>
      <c r="J79" s="469" t="s">
        <v>64</v>
      </c>
      <c r="K79" s="893"/>
      <c r="L79" s="51">
        <v>45742</v>
      </c>
      <c r="M79" s="899" t="s">
        <v>57</v>
      </c>
      <c r="N79" s="1060">
        <v>23800.25</v>
      </c>
      <c r="O79" s="376" t="s">
        <v>57</v>
      </c>
      <c r="P79" s="1052" t="s">
        <v>233</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232</v>
      </c>
      <c r="J80" s="1197" t="s">
        <v>64</v>
      </c>
      <c r="K80" s="1197"/>
      <c r="L80" s="1195">
        <v>45700</v>
      </c>
      <c r="M80" s="1197" t="s">
        <v>57</v>
      </c>
      <c r="N80" s="1208">
        <v>19745.25</v>
      </c>
      <c r="O80" s="1197" t="s">
        <v>57</v>
      </c>
      <c r="P80" s="1432" t="s">
        <v>233</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232</v>
      </c>
      <c r="J81" s="1177" t="s">
        <v>56</v>
      </c>
      <c r="K81" s="1220"/>
      <c r="L81" s="1195">
        <v>45964</v>
      </c>
      <c r="M81" s="1197" t="s">
        <v>57</v>
      </c>
      <c r="N81" s="1208">
        <v>117414</v>
      </c>
      <c r="O81" s="1197" t="s">
        <v>57</v>
      </c>
      <c r="P81" s="1246" t="s">
        <v>233</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44"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232</v>
      </c>
      <c r="J2" s="469" t="s">
        <v>64</v>
      </c>
      <c r="K2" s="469"/>
      <c r="L2" s="467">
        <v>45852</v>
      </c>
      <c r="M2" s="469" t="s">
        <v>57</v>
      </c>
      <c r="N2" s="540">
        <v>42837.2</v>
      </c>
      <c r="O2" s="469" t="s">
        <v>57</v>
      </c>
      <c r="P2" s="801" t="s">
        <v>233</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232</v>
      </c>
      <c r="J3" s="478" t="s">
        <v>64</v>
      </c>
      <c r="K3" s="486"/>
      <c r="L3" s="467">
        <v>45716</v>
      </c>
      <c r="M3" s="478" t="s">
        <v>57</v>
      </c>
      <c r="N3" s="541">
        <v>64932.55</v>
      </c>
      <c r="O3" s="478" t="s">
        <v>57</v>
      </c>
      <c r="P3" s="801" t="s">
        <v>233</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232</v>
      </c>
      <c r="J4" s="899" t="s">
        <v>64</v>
      </c>
      <c r="K4" s="899"/>
      <c r="L4" s="51">
        <v>45960</v>
      </c>
      <c r="M4" s="1396" t="s">
        <v>57</v>
      </c>
      <c r="N4" s="974">
        <v>4911.8999999999996</v>
      </c>
      <c r="O4" s="964" t="s">
        <v>57</v>
      </c>
      <c r="P4" s="903" t="s">
        <v>233</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232</v>
      </c>
      <c r="J5" s="483" t="s">
        <v>64</v>
      </c>
      <c r="K5" s="483"/>
      <c r="L5" s="476">
        <v>45708</v>
      </c>
      <c r="M5" s="483" t="s">
        <v>57</v>
      </c>
      <c r="N5" s="542">
        <v>87944.4</v>
      </c>
      <c r="O5" s="483" t="s">
        <v>57</v>
      </c>
      <c r="P5" s="801" t="s">
        <v>233</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232</v>
      </c>
      <c r="J6" s="478" t="s">
        <v>64</v>
      </c>
      <c r="K6" s="838"/>
      <c r="L6" s="467">
        <v>45716</v>
      </c>
      <c r="M6" s="478" t="s">
        <v>57</v>
      </c>
      <c r="N6" s="540">
        <v>2812.95</v>
      </c>
      <c r="O6" s="478" t="s">
        <v>57</v>
      </c>
      <c r="P6" s="801" t="s">
        <v>233</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232</v>
      </c>
      <c r="J7" s="478" t="s">
        <v>64</v>
      </c>
      <c r="K7" s="486"/>
      <c r="L7" s="476">
        <v>45863</v>
      </c>
      <c r="M7" s="478" t="s">
        <v>57</v>
      </c>
      <c r="N7" s="541">
        <v>143407.25</v>
      </c>
      <c r="O7" s="478" t="s">
        <v>57</v>
      </c>
      <c r="P7" s="801" t="s">
        <v>233</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232</v>
      </c>
      <c r="J8" s="478" t="s">
        <v>64</v>
      </c>
      <c r="K8" s="486"/>
      <c r="L8" s="476">
        <v>45881</v>
      </c>
      <c r="M8" s="478" t="s">
        <v>57</v>
      </c>
      <c r="N8" s="541">
        <v>4815.6499999999996</v>
      </c>
      <c r="O8" s="478" t="s">
        <v>57</v>
      </c>
      <c r="P8" s="801" t="s">
        <v>233</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230</v>
      </c>
      <c r="G9" s="831" t="s">
        <v>541</v>
      </c>
      <c r="H9" s="393">
        <v>0</v>
      </c>
      <c r="I9" s="832" t="s">
        <v>232</v>
      </c>
      <c r="J9" s="393" t="s">
        <v>64</v>
      </c>
      <c r="K9" s="393"/>
      <c r="L9" s="830" t="s">
        <v>52</v>
      </c>
      <c r="M9" s="393" t="s">
        <v>57</v>
      </c>
      <c r="N9" s="833">
        <v>4646.75</v>
      </c>
      <c r="O9" s="393" t="s">
        <v>80</v>
      </c>
      <c r="P9" s="903" t="s">
        <v>233</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232</v>
      </c>
      <c r="J10" s="469" t="s">
        <v>64</v>
      </c>
      <c r="K10" s="469"/>
      <c r="L10" s="476">
        <v>45918</v>
      </c>
      <c r="M10" s="478" t="s">
        <v>57</v>
      </c>
      <c r="N10" s="541">
        <v>9611.9500000000007</v>
      </c>
      <c r="O10" s="478" t="s">
        <v>57</v>
      </c>
      <c r="P10" s="801" t="s">
        <v>233</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232</v>
      </c>
      <c r="J11" s="1177" t="s">
        <v>64</v>
      </c>
      <c r="K11" s="1177"/>
      <c r="L11" s="1175">
        <v>45994</v>
      </c>
      <c r="M11" s="1197" t="s">
        <v>57</v>
      </c>
      <c r="N11" s="1178">
        <v>42150</v>
      </c>
      <c r="O11" s="1197" t="s">
        <v>57</v>
      </c>
      <c r="P11" s="1340" t="s">
        <v>233</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232</v>
      </c>
      <c r="J12" s="478" t="s">
        <v>64</v>
      </c>
      <c r="K12" s="486"/>
      <c r="L12" s="476">
        <v>45888</v>
      </c>
      <c r="M12" s="478" t="s">
        <v>57</v>
      </c>
      <c r="N12" s="541">
        <v>53902</v>
      </c>
      <c r="O12" s="478" t="s">
        <v>57</v>
      </c>
      <c r="P12" s="801" t="s">
        <v>233</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232</v>
      </c>
      <c r="J13" s="469" t="s">
        <v>64</v>
      </c>
      <c r="K13" s="469"/>
      <c r="L13" s="467">
        <v>45897</v>
      </c>
      <c r="M13" s="469" t="s">
        <v>57</v>
      </c>
      <c r="N13" s="540">
        <v>44896.1</v>
      </c>
      <c r="O13" s="469" t="s">
        <v>57</v>
      </c>
      <c r="P13" s="801" t="s">
        <v>233</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232</v>
      </c>
      <c r="J14" s="469" t="s">
        <v>64</v>
      </c>
      <c r="K14" s="469"/>
      <c r="L14" s="467">
        <v>45903</v>
      </c>
      <c r="M14" s="469" t="s">
        <v>57</v>
      </c>
      <c r="N14" s="540">
        <v>59116.7</v>
      </c>
      <c r="O14" s="469" t="s">
        <v>57</v>
      </c>
      <c r="P14" s="801" t="s">
        <v>233</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232</v>
      </c>
      <c r="J15" s="1177" t="s">
        <v>64</v>
      </c>
      <c r="K15" s="1177"/>
      <c r="L15" s="1175">
        <v>45936</v>
      </c>
      <c r="M15" s="1177" t="s">
        <v>57</v>
      </c>
      <c r="N15" s="1178">
        <v>38192</v>
      </c>
      <c r="O15" s="1177" t="s">
        <v>57</v>
      </c>
      <c r="P15" s="1340" t="s">
        <v>233</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232</v>
      </c>
      <c r="J16" s="469" t="s">
        <v>64</v>
      </c>
      <c r="K16" s="469"/>
      <c r="L16" s="467">
        <v>45903</v>
      </c>
      <c r="M16" s="469" t="s">
        <v>57</v>
      </c>
      <c r="N16" s="540">
        <v>40406</v>
      </c>
      <c r="O16" s="469" t="s">
        <v>57</v>
      </c>
      <c r="P16" s="801" t="s">
        <v>233</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232</v>
      </c>
      <c r="J17" s="1177" t="s">
        <v>64</v>
      </c>
      <c r="K17" s="1177"/>
      <c r="L17" s="1175">
        <v>45936</v>
      </c>
      <c r="M17" s="1177" t="s">
        <v>57</v>
      </c>
      <c r="N17" s="1178">
        <v>37755.599999999999</v>
      </c>
      <c r="O17" s="1177" t="s">
        <v>57</v>
      </c>
      <c r="P17" s="1340" t="s">
        <v>233</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232</v>
      </c>
      <c r="J18" s="1177" t="s">
        <v>64</v>
      </c>
      <c r="K18" s="1177"/>
      <c r="L18" s="1175">
        <v>45972</v>
      </c>
      <c r="M18" s="1177" t="s">
        <v>57</v>
      </c>
      <c r="N18" s="1178">
        <v>27615.5</v>
      </c>
      <c r="O18" s="1177" t="s">
        <v>57</v>
      </c>
      <c r="P18" s="1340" t="s">
        <v>233</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232</v>
      </c>
      <c r="J19" s="1177" t="s">
        <v>64</v>
      </c>
      <c r="K19" s="469"/>
      <c r="L19" s="1175">
        <v>45999</v>
      </c>
      <c r="M19" s="1177" t="s">
        <v>57</v>
      </c>
      <c r="N19" s="1178">
        <v>74384</v>
      </c>
      <c r="O19" s="1177" t="s">
        <v>57</v>
      </c>
      <c r="P19" s="1340" t="s">
        <v>233</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232</v>
      </c>
      <c r="J20" s="469" t="s">
        <v>64</v>
      </c>
      <c r="K20" s="469"/>
      <c r="L20" s="467">
        <v>45979</v>
      </c>
      <c r="M20" s="469" t="s">
        <v>57</v>
      </c>
      <c r="N20" s="540">
        <v>29683</v>
      </c>
      <c r="O20" s="469" t="s">
        <v>57</v>
      </c>
      <c r="P20" s="801" t="s">
        <v>233</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232</v>
      </c>
      <c r="J21" s="469" t="s">
        <v>64</v>
      </c>
      <c r="K21" s="469"/>
      <c r="L21" s="467">
        <v>45933</v>
      </c>
      <c r="M21" s="469" t="s">
        <v>57</v>
      </c>
      <c r="N21" s="540">
        <v>26026</v>
      </c>
      <c r="O21" s="469" t="s">
        <v>57</v>
      </c>
      <c r="P21" s="801" t="s">
        <v>233</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232</v>
      </c>
      <c r="J22" s="469" t="s">
        <v>64</v>
      </c>
      <c r="K22" s="469"/>
      <c r="L22" s="467">
        <v>45912</v>
      </c>
      <c r="M22" s="469" t="s">
        <v>57</v>
      </c>
      <c r="N22" s="540">
        <v>82621.149999999994</v>
      </c>
      <c r="O22" s="469" t="s">
        <v>57</v>
      </c>
      <c r="P22" s="801" t="s">
        <v>233</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232</v>
      </c>
      <c r="J23" s="469" t="s">
        <v>64</v>
      </c>
      <c r="K23" s="469"/>
      <c r="L23" s="467">
        <v>45933</v>
      </c>
      <c r="M23" s="469" t="s">
        <v>57</v>
      </c>
      <c r="N23" s="540">
        <v>29646</v>
      </c>
      <c r="O23" s="469" t="s">
        <v>57</v>
      </c>
      <c r="P23" s="801" t="s">
        <v>233</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232</v>
      </c>
      <c r="J24" s="469" t="s">
        <v>64</v>
      </c>
      <c r="K24" s="469"/>
      <c r="L24" s="467">
        <v>45933</v>
      </c>
      <c r="M24" s="469" t="s">
        <v>57</v>
      </c>
      <c r="N24" s="540">
        <v>45014</v>
      </c>
      <c r="O24" s="469" t="s">
        <v>57</v>
      </c>
      <c r="P24" s="801" t="s">
        <v>233</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232</v>
      </c>
      <c r="J25" s="469" t="s">
        <v>64</v>
      </c>
      <c r="K25" s="469"/>
      <c r="L25" s="467">
        <v>45936</v>
      </c>
      <c r="M25" s="469" t="s">
        <v>57</v>
      </c>
      <c r="N25" s="540">
        <v>38796</v>
      </c>
      <c r="O25" s="469" t="s">
        <v>57</v>
      </c>
      <c r="P25" s="801" t="s">
        <v>233</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232</v>
      </c>
      <c r="J26" s="469" t="s">
        <v>64</v>
      </c>
      <c r="K26" s="469"/>
      <c r="L26" s="467">
        <v>45962</v>
      </c>
      <c r="M26" s="469" t="s">
        <v>57</v>
      </c>
      <c r="N26" s="540">
        <v>35050</v>
      </c>
      <c r="O26" s="469" t="s">
        <v>57</v>
      </c>
      <c r="P26" s="801" t="s">
        <v>233</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232</v>
      </c>
      <c r="J27" s="469" t="s">
        <v>64</v>
      </c>
      <c r="K27" s="469"/>
      <c r="L27" s="467">
        <v>45954</v>
      </c>
      <c r="M27" s="469" t="s">
        <v>57</v>
      </c>
      <c r="N27" s="540">
        <v>54228.7</v>
      </c>
      <c r="O27" s="469" t="s">
        <v>57</v>
      </c>
      <c r="P27" s="801" t="s">
        <v>233</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232</v>
      </c>
      <c r="J28" s="469" t="s">
        <v>64</v>
      </c>
      <c r="K28" s="469"/>
      <c r="L28" s="467">
        <v>45936</v>
      </c>
      <c r="M28" s="469" t="s">
        <v>57</v>
      </c>
      <c r="N28" s="540">
        <v>96748</v>
      </c>
      <c r="O28" s="469" t="s">
        <v>57</v>
      </c>
      <c r="P28" s="839" t="s">
        <v>233</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232</v>
      </c>
      <c r="J29" s="469" t="s">
        <v>64</v>
      </c>
      <c r="K29" s="469"/>
      <c r="L29" s="467">
        <v>45969</v>
      </c>
      <c r="M29" s="469" t="s">
        <v>57</v>
      </c>
      <c r="N29" s="540">
        <v>75672.100000000006</v>
      </c>
      <c r="O29" s="469" t="s">
        <v>57</v>
      </c>
      <c r="P29" s="1131" t="s">
        <v>233</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232</v>
      </c>
      <c r="J30" s="469" t="s">
        <v>64</v>
      </c>
      <c r="K30" s="469"/>
      <c r="L30" s="467">
        <v>45967</v>
      </c>
      <c r="M30" s="469" t="s">
        <v>57</v>
      </c>
      <c r="N30" s="540">
        <v>76565.850000000006</v>
      </c>
      <c r="O30" s="469" t="s">
        <v>57</v>
      </c>
      <c r="P30" s="1131" t="s">
        <v>233</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232</v>
      </c>
      <c r="J31" s="469" t="s">
        <v>64</v>
      </c>
      <c r="K31" s="469"/>
      <c r="L31" s="467">
        <v>45967</v>
      </c>
      <c r="M31" s="469" t="s">
        <v>57</v>
      </c>
      <c r="N31" s="540">
        <v>60620</v>
      </c>
      <c r="O31" s="469" t="s">
        <v>57</v>
      </c>
      <c r="P31" s="1382" t="s">
        <v>233</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232</v>
      </c>
      <c r="J32" s="1177" t="s">
        <v>64</v>
      </c>
      <c r="K32" s="1177"/>
      <c r="L32" s="1175">
        <v>45965</v>
      </c>
      <c r="M32" s="1177" t="s">
        <v>57</v>
      </c>
      <c r="N32" s="1178">
        <v>18021.7</v>
      </c>
      <c r="O32" s="1177" t="s">
        <v>57</v>
      </c>
      <c r="P32" s="1340" t="s">
        <v>233</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232</v>
      </c>
      <c r="J33" s="1177" t="s">
        <v>64</v>
      </c>
      <c r="K33" s="1177"/>
      <c r="L33" s="1175">
        <v>45965</v>
      </c>
      <c r="M33" s="1177" t="s">
        <v>57</v>
      </c>
      <c r="N33" s="1178">
        <v>20705</v>
      </c>
      <c r="O33" s="1177" t="s">
        <v>57</v>
      </c>
      <c r="P33" s="1340" t="s">
        <v>233</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232</v>
      </c>
      <c r="J34" s="469" t="s">
        <v>64</v>
      </c>
      <c r="K34" s="469"/>
      <c r="L34" s="467">
        <v>45968</v>
      </c>
      <c r="M34" s="469" t="s">
        <v>57</v>
      </c>
      <c r="N34" s="540">
        <v>12840.7</v>
      </c>
      <c r="O34" s="469" t="s">
        <v>57</v>
      </c>
      <c r="P34" s="801" t="s">
        <v>233</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232</v>
      </c>
      <c r="J35" s="1177" t="s">
        <v>64</v>
      </c>
      <c r="K35" s="469"/>
      <c r="L35" s="1175" t="s">
        <v>132</v>
      </c>
      <c r="M35" s="1177" t="s">
        <v>57</v>
      </c>
      <c r="N35" s="1178">
        <v>23475.5</v>
      </c>
      <c r="O35" s="1240" t="s">
        <v>57</v>
      </c>
      <c r="P35" s="1388" t="s">
        <v>233</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232</v>
      </c>
      <c r="J36" s="1177" t="s">
        <v>64</v>
      </c>
      <c r="K36" s="1177"/>
      <c r="L36" s="1175" t="s">
        <v>132</v>
      </c>
      <c r="M36" s="1177" t="s">
        <v>57</v>
      </c>
      <c r="N36" s="1178">
        <v>11500.3</v>
      </c>
      <c r="O36" s="1240" t="s">
        <v>57</v>
      </c>
      <c r="P36" s="1388" t="s">
        <v>233</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232</v>
      </c>
      <c r="J37" s="469" t="s">
        <v>64</v>
      </c>
      <c r="K37" s="469"/>
      <c r="L37" s="467" t="s">
        <v>132</v>
      </c>
      <c r="M37" s="469" t="s">
        <v>57</v>
      </c>
      <c r="N37" s="540">
        <v>51970</v>
      </c>
      <c r="O37" s="87" t="s">
        <v>57</v>
      </c>
      <c r="P37" s="1389" t="s">
        <v>233</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232</v>
      </c>
      <c r="J38" s="469" t="s">
        <v>64</v>
      </c>
      <c r="K38" s="469"/>
      <c r="L38" s="467" t="s">
        <v>132</v>
      </c>
      <c r="M38" s="469" t="s">
        <v>57</v>
      </c>
      <c r="N38" s="540">
        <v>39221.800000000003</v>
      </c>
      <c r="O38" s="1387" t="s">
        <v>57</v>
      </c>
      <c r="P38" s="1309" t="s">
        <v>233</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232</v>
      </c>
      <c r="J39" s="469" t="s">
        <v>56</v>
      </c>
      <c r="K39" s="469"/>
      <c r="L39" s="467">
        <v>45953</v>
      </c>
      <c r="M39" s="469" t="s">
        <v>57</v>
      </c>
      <c r="N39" s="540">
        <v>168480.8</v>
      </c>
      <c r="O39" s="469" t="s">
        <v>57</v>
      </c>
      <c r="P39" s="801" t="s">
        <v>233</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232</v>
      </c>
      <c r="J40" s="469" t="s">
        <v>56</v>
      </c>
      <c r="K40" s="469"/>
      <c r="L40" s="467">
        <v>45905</v>
      </c>
      <c r="M40" s="469" t="s">
        <v>57</v>
      </c>
      <c r="N40" s="540">
        <v>145985.5</v>
      </c>
      <c r="O40" s="469" t="s">
        <v>57</v>
      </c>
      <c r="P40" s="1086" t="s">
        <v>233</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232</v>
      </c>
      <c r="J41" s="469" t="s">
        <v>56</v>
      </c>
      <c r="K41" s="469"/>
      <c r="L41" s="465" t="s">
        <v>233</v>
      </c>
      <c r="M41" s="469" t="s">
        <v>57</v>
      </c>
      <c r="N41" s="540">
        <v>30892</v>
      </c>
      <c r="O41" s="469" t="s">
        <v>57</v>
      </c>
      <c r="P41" s="801" t="s">
        <v>233</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232</v>
      </c>
      <c r="J42" s="469" t="s">
        <v>56</v>
      </c>
      <c r="K42" s="469"/>
      <c r="L42" s="467">
        <v>45943</v>
      </c>
      <c r="M42" s="469" t="s">
        <v>57</v>
      </c>
      <c r="N42" s="540">
        <v>64059.5</v>
      </c>
      <c r="O42" s="469" t="s">
        <v>57</v>
      </c>
      <c r="P42" s="853" t="s">
        <v>233</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233</v>
      </c>
      <c r="M43" s="380" t="s">
        <v>57</v>
      </c>
      <c r="N43" s="1060">
        <v>64790.5</v>
      </c>
      <c r="O43" s="380" t="s">
        <v>57</v>
      </c>
      <c r="P43" s="1078" t="s">
        <v>233</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220</v>
      </c>
      <c r="E44" s="467">
        <v>45927</v>
      </c>
      <c r="F44" s="465" t="s">
        <v>635</v>
      </c>
      <c r="G44" s="678" t="s">
        <v>636</v>
      </c>
      <c r="H44" s="469">
        <v>86</v>
      </c>
      <c r="I44" s="657" t="s">
        <v>232</v>
      </c>
      <c r="J44" s="469" t="s">
        <v>64</v>
      </c>
      <c r="K44" s="478"/>
      <c r="L44" s="467">
        <v>45917</v>
      </c>
      <c r="M44" s="469" t="s">
        <v>57</v>
      </c>
      <c r="N44" s="540">
        <v>45500</v>
      </c>
      <c r="O44" s="469" t="s">
        <v>57</v>
      </c>
      <c r="P44" s="801" t="s">
        <v>233</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232</v>
      </c>
      <c r="J45" s="469" t="s">
        <v>64</v>
      </c>
      <c r="K45" s="820"/>
      <c r="L45" s="476">
        <v>45741</v>
      </c>
      <c r="M45" s="469" t="s">
        <v>57</v>
      </c>
      <c r="N45" s="541">
        <v>67735.5</v>
      </c>
      <c r="O45" s="469" t="s">
        <v>57</v>
      </c>
      <c r="P45" s="801" t="s">
        <v>233</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233</v>
      </c>
      <c r="J46" s="823" t="s">
        <v>64</v>
      </c>
      <c r="K46" s="823"/>
      <c r="L46" s="821">
        <v>45705</v>
      </c>
      <c r="M46" s="823" t="s">
        <v>57</v>
      </c>
      <c r="N46" s="844">
        <v>1295</v>
      </c>
      <c r="O46" s="823" t="s">
        <v>57</v>
      </c>
      <c r="P46" s="801" t="s">
        <v>233</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232</v>
      </c>
      <c r="J47" s="469" t="s">
        <v>56</v>
      </c>
      <c r="K47" s="823"/>
      <c r="L47" s="821">
        <v>46303</v>
      </c>
      <c r="M47" s="851" t="s">
        <v>57</v>
      </c>
      <c r="N47" s="1060">
        <v>86136</v>
      </c>
      <c r="O47" s="851" t="s">
        <v>57</v>
      </c>
      <c r="P47" s="853" t="s">
        <v>233</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232</v>
      </c>
      <c r="J48" s="469" t="s">
        <v>56</v>
      </c>
      <c r="K48" s="770"/>
      <c r="L48" s="57" t="s">
        <v>52</v>
      </c>
      <c r="M48" s="964" t="s">
        <v>57</v>
      </c>
      <c r="N48" s="1060">
        <v>42766.5</v>
      </c>
      <c r="O48" s="52" t="s">
        <v>57</v>
      </c>
      <c r="P48" s="1078" t="s">
        <v>233</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233</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232</v>
      </c>
      <c r="J2" s="52" t="s">
        <v>64</v>
      </c>
      <c r="K2" s="51">
        <v>45701</v>
      </c>
      <c r="L2" s="380" t="s">
        <v>57</v>
      </c>
      <c r="M2" s="426">
        <v>55089</v>
      </c>
      <c r="N2" s="550">
        <v>57509</v>
      </c>
      <c r="O2" s="764" t="s">
        <v>57</v>
      </c>
      <c r="P2" s="376" t="s">
        <v>233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232</v>
      </c>
      <c r="J3" s="478" t="s">
        <v>64</v>
      </c>
      <c r="K3" s="467">
        <v>45716</v>
      </c>
      <c r="L3" s="478" t="s">
        <v>57</v>
      </c>
      <c r="M3" s="772">
        <v>28777</v>
      </c>
      <c r="N3" s="550">
        <v>28496.799999999999</v>
      </c>
      <c r="O3" s="478" t="s">
        <v>57</v>
      </c>
      <c r="P3" s="780" t="s">
        <v>233</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232</v>
      </c>
      <c r="J4" s="52" t="s">
        <v>64</v>
      </c>
      <c r="K4" s="608">
        <v>45718</v>
      </c>
      <c r="L4" s="52" t="s">
        <v>57</v>
      </c>
      <c r="M4" s="426">
        <v>200394.1</v>
      </c>
      <c r="N4" s="426">
        <v>209003.94</v>
      </c>
      <c r="O4" s="52" t="s">
        <v>57</v>
      </c>
      <c r="P4" s="437" t="s">
        <v>233</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232</v>
      </c>
      <c r="J5" s="52" t="s">
        <v>64</v>
      </c>
      <c r="K5" s="51">
        <v>45708</v>
      </c>
      <c r="L5" s="52" t="s">
        <v>57</v>
      </c>
      <c r="M5" s="426">
        <v>62460.45</v>
      </c>
      <c r="N5" s="550">
        <v>61491.05</v>
      </c>
      <c r="O5" s="52" t="s">
        <v>57</v>
      </c>
      <c r="P5" s="52" t="s">
        <v>233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232</v>
      </c>
      <c r="J6" s="376" t="s">
        <v>64</v>
      </c>
      <c r="K6" s="375">
        <v>45735</v>
      </c>
      <c r="L6" s="376" t="s">
        <v>57</v>
      </c>
      <c r="M6" s="429">
        <v>15690.1</v>
      </c>
      <c r="N6" s="550">
        <v>16153.75</v>
      </c>
      <c r="O6" s="376" t="s">
        <v>57</v>
      </c>
      <c r="P6" s="376" t="s">
        <v>233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232</v>
      </c>
      <c r="J7" s="376" t="s">
        <v>64</v>
      </c>
      <c r="K7" s="375">
        <v>45793</v>
      </c>
      <c r="L7" s="376" t="s">
        <v>57</v>
      </c>
      <c r="M7" s="429">
        <v>104070.8</v>
      </c>
      <c r="N7" s="426">
        <v>106593.55</v>
      </c>
      <c r="O7" s="376" t="s">
        <v>57</v>
      </c>
      <c r="P7" s="437" t="s">
        <v>233</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232</v>
      </c>
      <c r="J8" s="376" t="s">
        <v>64</v>
      </c>
      <c r="K8" s="375">
        <v>45782</v>
      </c>
      <c r="L8" s="376" t="s">
        <v>57</v>
      </c>
      <c r="M8" s="429">
        <v>119135.3</v>
      </c>
      <c r="N8" s="426">
        <v>121256.65</v>
      </c>
      <c r="O8" s="376" t="s">
        <v>57</v>
      </c>
      <c r="P8" s="376" t="s">
        <v>233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232</v>
      </c>
      <c r="J9" s="52" t="s">
        <v>64</v>
      </c>
      <c r="K9" s="50" t="s">
        <v>233</v>
      </c>
      <c r="L9" s="52" t="s">
        <v>57</v>
      </c>
      <c r="M9" s="426">
        <v>12601.45</v>
      </c>
      <c r="N9" s="550">
        <v>13008.1</v>
      </c>
      <c r="O9" s="52" t="s">
        <v>57</v>
      </c>
      <c r="P9" s="52" t="s">
        <v>233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232</v>
      </c>
      <c r="J10" s="52" t="s">
        <v>64</v>
      </c>
      <c r="K10" s="375">
        <v>45826</v>
      </c>
      <c r="L10" s="376" t="s">
        <v>57</v>
      </c>
      <c r="M10" s="429">
        <v>144886</v>
      </c>
      <c r="N10" s="426">
        <v>138688</v>
      </c>
      <c r="O10" s="376" t="s">
        <v>57</v>
      </c>
      <c r="P10" s="437" t="s">
        <v>233</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233</v>
      </c>
      <c r="L11" s="663" t="s">
        <v>57</v>
      </c>
      <c r="M11" s="429">
        <v>47461.5</v>
      </c>
      <c r="N11" s="565">
        <v>45340</v>
      </c>
      <c r="O11" s="663" t="s">
        <v>57</v>
      </c>
      <c r="P11" s="376" t="s">
        <v>233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233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233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232</v>
      </c>
      <c r="J14" s="52" t="s">
        <v>64</v>
      </c>
      <c r="K14" s="661">
        <v>45756</v>
      </c>
      <c r="L14" s="52" t="s">
        <v>57</v>
      </c>
      <c r="M14" s="426">
        <v>67171.5</v>
      </c>
      <c r="N14" s="550">
        <v>64739</v>
      </c>
      <c r="O14" s="52" t="s">
        <v>57</v>
      </c>
      <c r="P14" s="52" t="s">
        <v>233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232</v>
      </c>
      <c r="J15" s="52" t="s">
        <v>64</v>
      </c>
      <c r="K15" s="51">
        <v>45749</v>
      </c>
      <c r="L15" s="52" t="s">
        <v>57</v>
      </c>
      <c r="M15" s="426">
        <v>72492</v>
      </c>
      <c r="N15" s="550">
        <v>73087.5</v>
      </c>
      <c r="O15" s="52" t="s">
        <v>57</v>
      </c>
      <c r="P15" s="52" t="s">
        <v>233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232</v>
      </c>
      <c r="J16" s="52" t="s">
        <v>64</v>
      </c>
      <c r="K16" s="51">
        <v>45750</v>
      </c>
      <c r="L16" s="52" t="s">
        <v>57</v>
      </c>
      <c r="M16" s="426">
        <v>51295</v>
      </c>
      <c r="N16" s="550">
        <v>51485.5</v>
      </c>
      <c r="O16" s="52" t="s">
        <v>57</v>
      </c>
      <c r="P16" s="52" t="s">
        <v>233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232</v>
      </c>
      <c r="J17" s="52" t="s">
        <v>64</v>
      </c>
      <c r="K17" s="50" t="s">
        <v>233</v>
      </c>
      <c r="L17" s="656" t="s">
        <v>57</v>
      </c>
      <c r="M17" s="426">
        <v>26617</v>
      </c>
      <c r="N17" s="566">
        <v>25405</v>
      </c>
      <c r="O17" s="656" t="s">
        <v>57</v>
      </c>
      <c r="P17" s="52" t="s">
        <v>233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233</v>
      </c>
      <c r="L18" s="656" t="s">
        <v>57</v>
      </c>
      <c r="M18" s="426">
        <v>72118</v>
      </c>
      <c r="N18" s="669">
        <v>70778</v>
      </c>
      <c r="O18" s="656" t="s">
        <v>57</v>
      </c>
      <c r="P18" s="52" t="s">
        <v>233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233</v>
      </c>
      <c r="L19" s="656" t="s">
        <v>57</v>
      </c>
      <c r="M19" s="426">
        <v>69288</v>
      </c>
      <c r="N19" s="566">
        <v>70664</v>
      </c>
      <c r="O19" s="656" t="s">
        <v>57</v>
      </c>
      <c r="P19" s="52" t="s">
        <v>233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233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233</v>
      </c>
      <c r="L21" s="656" t="s">
        <v>57</v>
      </c>
      <c r="M21" s="426">
        <v>83754</v>
      </c>
      <c r="N21" s="566">
        <v>80572.5</v>
      </c>
      <c r="O21" s="656" t="s">
        <v>57</v>
      </c>
      <c r="P21" s="52" t="s">
        <v>233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233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232</v>
      </c>
      <c r="J23" s="52" t="s">
        <v>64</v>
      </c>
      <c r="K23" s="51">
        <v>45733</v>
      </c>
      <c r="L23" s="52" t="s">
        <v>57</v>
      </c>
      <c r="M23" s="426">
        <v>50824.5</v>
      </c>
      <c r="N23" s="566">
        <v>50928.5</v>
      </c>
      <c r="O23" s="52" t="s">
        <v>57</v>
      </c>
      <c r="P23" s="52" t="s">
        <v>233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232</v>
      </c>
      <c r="J24" s="52" t="s">
        <v>64</v>
      </c>
      <c r="K24" s="51">
        <v>45737</v>
      </c>
      <c r="L24" s="52" t="s">
        <v>57</v>
      </c>
      <c r="M24" s="426">
        <v>83462</v>
      </c>
      <c r="N24" s="566">
        <v>83033</v>
      </c>
      <c r="O24" s="52" t="s">
        <v>57</v>
      </c>
      <c r="P24" s="52" t="s">
        <v>233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233</v>
      </c>
      <c r="L25" s="52" t="s">
        <v>57</v>
      </c>
      <c r="M25" s="426">
        <v>47414</v>
      </c>
      <c r="N25" s="566">
        <v>45744</v>
      </c>
      <c r="O25" s="52" t="s">
        <v>57</v>
      </c>
      <c r="P25" s="52" t="s">
        <v>233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232</v>
      </c>
      <c r="J26" s="52" t="s">
        <v>64</v>
      </c>
      <c r="K26" s="51">
        <v>45736</v>
      </c>
      <c r="L26" s="52" t="s">
        <v>57</v>
      </c>
      <c r="M26" s="426">
        <v>59562.5</v>
      </c>
      <c r="N26" s="566">
        <v>52525.5</v>
      </c>
      <c r="O26" s="52" t="s">
        <v>57</v>
      </c>
      <c r="P26" s="52" t="s">
        <v>233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232</v>
      </c>
      <c r="J27" s="52" t="s">
        <v>64</v>
      </c>
      <c r="K27" s="51">
        <v>45735</v>
      </c>
      <c r="L27" s="52" t="s">
        <v>57</v>
      </c>
      <c r="M27" s="426">
        <v>41187</v>
      </c>
      <c r="N27" s="566">
        <v>39597.5</v>
      </c>
      <c r="O27" s="52" t="s">
        <v>57</v>
      </c>
      <c r="P27" s="52" t="s">
        <v>233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232</v>
      </c>
      <c r="J28" s="52" t="s">
        <v>64</v>
      </c>
      <c r="K28" s="50" t="s">
        <v>233</v>
      </c>
      <c r="L28" s="52" t="s">
        <v>57</v>
      </c>
      <c r="M28" s="426">
        <v>14497.5</v>
      </c>
      <c r="N28" s="566">
        <v>14042</v>
      </c>
      <c r="O28" s="52" t="s">
        <v>57</v>
      </c>
      <c r="P28" s="52" t="s">
        <v>233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232</v>
      </c>
      <c r="J29" s="376" t="s">
        <v>64</v>
      </c>
      <c r="K29" s="375">
        <v>45840</v>
      </c>
      <c r="L29" s="376" t="s">
        <v>57</v>
      </c>
      <c r="M29" s="429">
        <v>10430.549999999999</v>
      </c>
      <c r="N29" s="426">
        <v>37639.800000000003</v>
      </c>
      <c r="O29" s="376" t="s">
        <v>57</v>
      </c>
      <c r="P29" s="1375" t="s">
        <v>233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232</v>
      </c>
      <c r="J30" s="376" t="s">
        <v>64</v>
      </c>
      <c r="K30" s="375">
        <v>45912</v>
      </c>
      <c r="L30" s="376" t="s">
        <v>57</v>
      </c>
      <c r="M30" s="429">
        <v>60115.95</v>
      </c>
      <c r="N30" s="426">
        <v>58210</v>
      </c>
      <c r="O30" s="376" t="s">
        <v>57</v>
      </c>
      <c r="P30" s="1035" t="s">
        <v>233</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232</v>
      </c>
      <c r="J31" s="376" t="s">
        <v>64</v>
      </c>
      <c r="K31" s="375">
        <v>45847</v>
      </c>
      <c r="L31" s="376" t="s">
        <v>57</v>
      </c>
      <c r="M31" s="429">
        <v>71310.899999999994</v>
      </c>
      <c r="N31" s="426">
        <v>62984.35</v>
      </c>
      <c r="O31" s="376" t="s">
        <v>57</v>
      </c>
      <c r="P31" s="437" t="s">
        <v>233</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232</v>
      </c>
      <c r="J32" s="376" t="s">
        <v>64</v>
      </c>
      <c r="K32" s="375">
        <v>45840</v>
      </c>
      <c r="L32" s="376" t="s">
        <v>57</v>
      </c>
      <c r="M32" s="429">
        <v>53605.2</v>
      </c>
      <c r="N32" s="426">
        <v>52185.2</v>
      </c>
      <c r="O32" s="376" t="s">
        <v>57</v>
      </c>
      <c r="P32" s="437" t="s">
        <v>233</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232</v>
      </c>
      <c r="J33" s="376" t="s">
        <v>64</v>
      </c>
      <c r="K33" s="375">
        <v>45833</v>
      </c>
      <c r="L33" s="376" t="s">
        <v>57</v>
      </c>
      <c r="M33" s="429">
        <v>32940.449999999997</v>
      </c>
      <c r="N33" s="426">
        <v>43258.2</v>
      </c>
      <c r="O33" s="376" t="s">
        <v>57</v>
      </c>
      <c r="P33" s="1028" t="s">
        <v>233</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232</v>
      </c>
      <c r="J34" s="376" t="s">
        <v>64</v>
      </c>
      <c r="K34" s="375">
        <v>45840</v>
      </c>
      <c r="L34" s="376" t="s">
        <v>57</v>
      </c>
      <c r="M34" s="429">
        <v>23404.75</v>
      </c>
      <c r="N34" s="426">
        <v>18702.400000000001</v>
      </c>
      <c r="O34" s="376" t="s">
        <v>57</v>
      </c>
      <c r="P34" s="1035" t="s">
        <v>233</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232</v>
      </c>
      <c r="J35" s="376" t="s">
        <v>64</v>
      </c>
      <c r="K35" s="375">
        <v>45887</v>
      </c>
      <c r="L35" s="376" t="s">
        <v>57</v>
      </c>
      <c r="M35" s="429">
        <v>37930</v>
      </c>
      <c r="N35" s="426">
        <v>38208</v>
      </c>
      <c r="O35" s="376" t="s">
        <v>57</v>
      </c>
      <c r="P35" s="1028" t="s">
        <v>233</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232</v>
      </c>
      <c r="J36" s="52" t="s">
        <v>64</v>
      </c>
      <c r="K36" s="51">
        <v>45762</v>
      </c>
      <c r="L36" s="52" t="s">
        <v>57</v>
      </c>
      <c r="M36" s="426">
        <v>62502</v>
      </c>
      <c r="N36" s="550">
        <v>59129.5</v>
      </c>
      <c r="O36" s="52" t="s">
        <v>57</v>
      </c>
      <c r="P36" s="52" t="s">
        <v>233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232</v>
      </c>
      <c r="J37" s="52" t="s">
        <v>64</v>
      </c>
      <c r="K37" s="51">
        <v>45762</v>
      </c>
      <c r="L37" s="52" t="s">
        <v>57</v>
      </c>
      <c r="M37" s="426">
        <v>70705.5</v>
      </c>
      <c r="N37" s="550">
        <v>67666</v>
      </c>
      <c r="O37" s="52" t="s">
        <v>57</v>
      </c>
      <c r="P37" s="52" t="s">
        <v>233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232</v>
      </c>
      <c r="J38" s="52" t="s">
        <v>64</v>
      </c>
      <c r="K38" s="51">
        <v>45762</v>
      </c>
      <c r="L38" s="52" t="s">
        <v>57</v>
      </c>
      <c r="M38" s="426">
        <v>66004.5</v>
      </c>
      <c r="N38" s="550">
        <v>64943.5</v>
      </c>
      <c r="O38" s="52" t="s">
        <v>57</v>
      </c>
      <c r="P38" s="52" t="s">
        <v>233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232</v>
      </c>
      <c r="J39" s="376" t="s">
        <v>64</v>
      </c>
      <c r="K39" s="375">
        <v>45790</v>
      </c>
      <c r="L39" s="376" t="s">
        <v>57</v>
      </c>
      <c r="M39" s="429">
        <v>57237</v>
      </c>
      <c r="N39" s="564">
        <v>55777</v>
      </c>
      <c r="O39" s="52" t="s">
        <v>57</v>
      </c>
      <c r="P39" s="376" t="s">
        <v>233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233</v>
      </c>
      <c r="J40" s="116" t="s">
        <v>64</v>
      </c>
      <c r="K40" s="508">
        <v>45673</v>
      </c>
      <c r="L40" s="503" t="s">
        <v>57</v>
      </c>
      <c r="M40" s="771">
        <v>24886.5</v>
      </c>
      <c r="N40" s="802">
        <v>7262</v>
      </c>
      <c r="O40" s="503" t="s">
        <v>57</v>
      </c>
      <c r="P40" s="808" t="s">
        <v>233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232</v>
      </c>
      <c r="J41" s="899" t="s">
        <v>64</v>
      </c>
      <c r="K41" s="375">
        <v>45848</v>
      </c>
      <c r="L41" s="376" t="s">
        <v>57</v>
      </c>
      <c r="M41" s="986">
        <v>23436.55</v>
      </c>
      <c r="N41" s="426">
        <v>15484.65</v>
      </c>
      <c r="O41" s="376" t="s">
        <v>57</v>
      </c>
      <c r="P41" s="1035" t="s">
        <v>233</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232</v>
      </c>
      <c r="J42" s="1141" t="s">
        <v>64</v>
      </c>
      <c r="K42" s="51" t="s">
        <v>52</v>
      </c>
      <c r="L42" s="376" t="s">
        <v>57</v>
      </c>
      <c r="M42" s="429">
        <v>1343</v>
      </c>
      <c r="N42" s="1143">
        <v>2310</v>
      </c>
      <c r="O42" s="376" t="s">
        <v>57</v>
      </c>
      <c r="P42" s="1035" t="s">
        <v>233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232</v>
      </c>
      <c r="J43" s="469" t="s">
        <v>64</v>
      </c>
      <c r="K43" s="476">
        <v>45902</v>
      </c>
      <c r="L43" s="469" t="s">
        <v>57</v>
      </c>
      <c r="M43" s="986">
        <v>5604.6</v>
      </c>
      <c r="N43" s="550">
        <v>7746.35</v>
      </c>
      <c r="O43" s="469" t="s">
        <v>57</v>
      </c>
      <c r="P43" s="485" t="s">
        <v>233</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232</v>
      </c>
      <c r="J44" s="947" t="s">
        <v>64</v>
      </c>
      <c r="K44" s="930">
        <v>45870</v>
      </c>
      <c r="L44" s="947" t="s">
        <v>57</v>
      </c>
      <c r="M44" s="949">
        <v>49307.5</v>
      </c>
      <c r="N44" s="426">
        <v>47409</v>
      </c>
      <c r="O44" s="947" t="s">
        <v>57</v>
      </c>
      <c r="P44" s="1159" t="s">
        <v>233</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232</v>
      </c>
      <c r="J45" s="376" t="s">
        <v>64</v>
      </c>
      <c r="K45" s="375">
        <v>45705</v>
      </c>
      <c r="L45" s="376" t="s">
        <v>57</v>
      </c>
      <c r="M45" s="429">
        <v>88491.8</v>
      </c>
      <c r="N45" s="426">
        <v>85791.25</v>
      </c>
      <c r="O45" s="376" t="s">
        <v>57</v>
      </c>
      <c r="P45" s="376" t="s">
        <v>233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232</v>
      </c>
      <c r="J46" s="947" t="s">
        <v>64</v>
      </c>
      <c r="K46" s="930">
        <v>45870</v>
      </c>
      <c r="L46" s="947" t="s">
        <v>57</v>
      </c>
      <c r="M46" s="949">
        <v>12886.4</v>
      </c>
      <c r="N46" s="1143">
        <v>18418.349999999999</v>
      </c>
      <c r="O46" s="947" t="s">
        <v>57</v>
      </c>
      <c r="P46" s="1160" t="s">
        <v>233</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232</v>
      </c>
      <c r="J47" s="786" t="s">
        <v>64</v>
      </c>
      <c r="K47" s="375">
        <v>45882</v>
      </c>
      <c r="L47" s="376" t="s">
        <v>57</v>
      </c>
      <c r="M47" s="429">
        <v>13056.5</v>
      </c>
      <c r="N47" s="635">
        <v>15624.85</v>
      </c>
      <c r="O47" s="376" t="s">
        <v>57</v>
      </c>
      <c r="P47" s="437" t="s">
        <v>233</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232</v>
      </c>
      <c r="J48" s="469" t="s">
        <v>64</v>
      </c>
      <c r="K48" s="467">
        <v>45790</v>
      </c>
      <c r="L48" s="469" t="s">
        <v>57</v>
      </c>
      <c r="M48" s="986">
        <v>63283</v>
      </c>
      <c r="N48" s="550">
        <v>84546.7</v>
      </c>
      <c r="O48" s="469" t="s">
        <v>57</v>
      </c>
      <c r="P48" s="780" t="s">
        <v>233</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232</v>
      </c>
      <c r="J49" s="1141" t="s">
        <v>64</v>
      </c>
      <c r="K49" s="930">
        <v>45868</v>
      </c>
      <c r="L49" s="947" t="s">
        <v>57</v>
      </c>
      <c r="M49" s="949">
        <v>14179.65</v>
      </c>
      <c r="N49" s="1143">
        <v>15936.8</v>
      </c>
      <c r="O49" s="947" t="s">
        <v>57</v>
      </c>
      <c r="P49" s="1159" t="s">
        <v>233</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232</v>
      </c>
      <c r="J50" s="478" t="s">
        <v>64</v>
      </c>
      <c r="K50" s="508">
        <v>45838</v>
      </c>
      <c r="L50" s="1013" t="s">
        <v>57</v>
      </c>
      <c r="M50" s="772">
        <v>72566</v>
      </c>
      <c r="N50" s="426">
        <v>9904.1</v>
      </c>
      <c r="O50" s="478" t="s">
        <v>57</v>
      </c>
      <c r="P50" s="780" t="s">
        <v>233</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232</v>
      </c>
      <c r="J51" s="1152" t="s">
        <v>64</v>
      </c>
      <c r="K51" s="897">
        <v>45902</v>
      </c>
      <c r="L51" s="899" t="s">
        <v>57</v>
      </c>
      <c r="M51" s="1149">
        <v>3067.9</v>
      </c>
      <c r="N51" s="1143">
        <v>8729.7000000000007</v>
      </c>
      <c r="O51" s="899" t="s">
        <v>57</v>
      </c>
      <c r="P51" s="1022" t="s">
        <v>233</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232</v>
      </c>
      <c r="J52" s="899" t="s">
        <v>64</v>
      </c>
      <c r="K52" s="375">
        <v>45848</v>
      </c>
      <c r="L52" s="376" t="s">
        <v>57</v>
      </c>
      <c r="M52" s="429">
        <v>1206</v>
      </c>
      <c r="N52" s="426">
        <v>1195</v>
      </c>
      <c r="O52" s="376" t="s">
        <v>57</v>
      </c>
      <c r="P52" s="1035" t="s">
        <v>233</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232</v>
      </c>
      <c r="J53" s="899" t="s">
        <v>64</v>
      </c>
      <c r="K53" s="897" t="s">
        <v>52</v>
      </c>
      <c r="L53" s="899" t="s">
        <v>57</v>
      </c>
      <c r="M53" s="1149">
        <v>18903.7</v>
      </c>
      <c r="N53" s="426">
        <v>7007.75</v>
      </c>
      <c r="O53" s="899" t="s">
        <v>57</v>
      </c>
      <c r="P53" s="1022" t="s">
        <v>233</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232</v>
      </c>
      <c r="J54" s="501" t="s">
        <v>64</v>
      </c>
      <c r="K54" s="502" t="s">
        <v>788</v>
      </c>
      <c r="L54" s="501" t="s">
        <v>57</v>
      </c>
      <c r="M54" s="887">
        <v>21888.65</v>
      </c>
      <c r="N54" s="426">
        <v>21950.85</v>
      </c>
      <c r="O54" s="501" t="s">
        <v>57</v>
      </c>
      <c r="P54" s="1076" t="s">
        <v>233</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233</v>
      </c>
      <c r="J55" s="52" t="s">
        <v>64</v>
      </c>
      <c r="K55" s="50" t="s">
        <v>233</v>
      </c>
      <c r="L55" s="52" t="s">
        <v>57</v>
      </c>
      <c r="M55" s="426">
        <v>3425.55</v>
      </c>
      <c r="N55" s="550">
        <v>7741.4</v>
      </c>
      <c r="O55" s="52" t="s">
        <v>57</v>
      </c>
      <c r="P55" s="52" t="s">
        <v>233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232</v>
      </c>
      <c r="J56" s="376" t="s">
        <v>64</v>
      </c>
      <c r="K56" s="374" t="s">
        <v>233</v>
      </c>
      <c r="L56" s="376" t="s">
        <v>57</v>
      </c>
      <c r="M56" s="429">
        <v>3707.3</v>
      </c>
      <c r="N56" s="426">
        <v>8209.69</v>
      </c>
      <c r="O56" s="376" t="s">
        <v>57</v>
      </c>
      <c r="P56" s="376" t="s">
        <v>233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233</v>
      </c>
      <c r="L57" s="52" t="s">
        <v>57</v>
      </c>
      <c r="M57" s="426">
        <v>21648.75</v>
      </c>
      <c r="N57" s="550">
        <v>35235</v>
      </c>
      <c r="O57" s="52" t="s">
        <v>57</v>
      </c>
      <c r="P57" s="52" t="s">
        <v>233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232</v>
      </c>
      <c r="J58" s="786" t="s">
        <v>64</v>
      </c>
      <c r="K58" s="502">
        <v>45817</v>
      </c>
      <c r="L58" s="501" t="s">
        <v>57</v>
      </c>
      <c r="M58" s="887">
        <v>75953</v>
      </c>
      <c r="N58" s="955">
        <v>61562</v>
      </c>
      <c r="O58" s="501" t="s">
        <v>57</v>
      </c>
      <c r="P58" s="1305" t="s">
        <v>233</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232</v>
      </c>
      <c r="J59" s="52" t="s">
        <v>64</v>
      </c>
      <c r="K59" s="51">
        <v>45716</v>
      </c>
      <c r="L59" s="52" t="s">
        <v>57</v>
      </c>
      <c r="M59" s="426">
        <v>64727</v>
      </c>
      <c r="N59" s="550">
        <v>68203</v>
      </c>
      <c r="O59" s="52" t="s">
        <v>57</v>
      </c>
      <c r="P59" s="376" t="s">
        <v>233</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233</v>
      </c>
      <c r="J60" s="52" t="s">
        <v>64</v>
      </c>
      <c r="K60" s="51">
        <v>45728</v>
      </c>
      <c r="L60" s="52" t="s">
        <v>57</v>
      </c>
      <c r="M60" s="426">
        <v>88033.5</v>
      </c>
      <c r="N60" s="550">
        <v>88045.5</v>
      </c>
      <c r="O60" s="52" t="s">
        <v>57</v>
      </c>
      <c r="P60" s="52" t="s">
        <v>233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233</v>
      </c>
      <c r="J61" s="52" t="s">
        <v>64</v>
      </c>
      <c r="K61" s="51">
        <v>45728</v>
      </c>
      <c r="L61" s="52" t="s">
        <v>57</v>
      </c>
      <c r="M61" s="426">
        <v>82979.5</v>
      </c>
      <c r="N61" s="550">
        <v>78032</v>
      </c>
      <c r="O61" s="52" t="s">
        <v>57</v>
      </c>
      <c r="P61" s="376" t="s">
        <v>233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232</v>
      </c>
      <c r="J62" s="478" t="s">
        <v>64</v>
      </c>
      <c r="K62" s="476">
        <v>45728</v>
      </c>
      <c r="L62" s="478" t="s">
        <v>57</v>
      </c>
      <c r="M62" s="772">
        <v>60843.5</v>
      </c>
      <c r="N62" s="550">
        <v>59355.5</v>
      </c>
      <c r="O62" s="478" t="s">
        <v>57</v>
      </c>
      <c r="P62" s="780" t="s">
        <v>233</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233</v>
      </c>
      <c r="J63" s="52" t="s">
        <v>64</v>
      </c>
      <c r="K63" s="51">
        <v>45716</v>
      </c>
      <c r="L63" s="52" t="s">
        <v>57</v>
      </c>
      <c r="M63" s="426">
        <v>74446</v>
      </c>
      <c r="N63" s="564">
        <v>73894</v>
      </c>
      <c r="O63" s="52" t="s">
        <v>57</v>
      </c>
      <c r="P63" s="376" t="s">
        <v>233</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233</v>
      </c>
      <c r="J64" s="52" t="s">
        <v>64</v>
      </c>
      <c r="K64" s="608">
        <v>45716</v>
      </c>
      <c r="L64" s="52" t="s">
        <v>57</v>
      </c>
      <c r="M64" s="670">
        <v>84935.5</v>
      </c>
      <c r="N64" s="565">
        <v>81445</v>
      </c>
      <c r="O64" s="52" t="s">
        <v>57</v>
      </c>
      <c r="P64" s="376" t="s">
        <v>233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232</v>
      </c>
      <c r="J65" s="503" t="s">
        <v>64</v>
      </c>
      <c r="K65" s="510">
        <v>45714</v>
      </c>
      <c r="L65" s="503" t="s">
        <v>57</v>
      </c>
      <c r="M65" s="1416">
        <v>94170.5</v>
      </c>
      <c r="N65" s="1415">
        <v>90860.5</v>
      </c>
      <c r="O65" s="503" t="s">
        <v>57</v>
      </c>
      <c r="P65" s="1076" t="s">
        <v>233</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232</v>
      </c>
      <c r="J66" s="656" t="s">
        <v>64</v>
      </c>
      <c r="K66" s="654">
        <v>45692</v>
      </c>
      <c r="L66" s="656" t="s">
        <v>57</v>
      </c>
      <c r="M66" s="659">
        <v>90302</v>
      </c>
      <c r="N66" s="426">
        <v>98764.5</v>
      </c>
      <c r="O66" s="656" t="s">
        <v>57</v>
      </c>
      <c r="P66" s="376" t="s">
        <v>233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232</v>
      </c>
      <c r="J67" s="503" t="s">
        <v>64</v>
      </c>
      <c r="K67" s="510">
        <v>45695</v>
      </c>
      <c r="L67" s="503" t="s">
        <v>57</v>
      </c>
      <c r="M67" s="1412">
        <v>89698.5</v>
      </c>
      <c r="N67" s="550">
        <v>86876.5</v>
      </c>
      <c r="O67" s="503" t="s">
        <v>57</v>
      </c>
      <c r="P67" s="1076" t="s">
        <v>233</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232</v>
      </c>
      <c r="J68" s="380" t="s">
        <v>64</v>
      </c>
      <c r="K68" s="381">
        <v>45698</v>
      </c>
      <c r="L68" s="380" t="s">
        <v>57</v>
      </c>
      <c r="M68" s="636">
        <v>71361</v>
      </c>
      <c r="N68" s="550">
        <v>72125</v>
      </c>
      <c r="O68" s="380" t="s">
        <v>57</v>
      </c>
      <c r="P68" s="52" t="s">
        <v>233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232</v>
      </c>
      <c r="J69" s="823" t="s">
        <v>64</v>
      </c>
      <c r="K69" s="821">
        <v>45686</v>
      </c>
      <c r="L69" s="823" t="s">
        <v>57</v>
      </c>
      <c r="M69" s="1414">
        <v>61924</v>
      </c>
      <c r="N69" s="550">
        <v>61494</v>
      </c>
      <c r="O69" s="823" t="s">
        <v>57</v>
      </c>
      <c r="P69" s="780" t="s">
        <v>233</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232</v>
      </c>
      <c r="J70" s="380" t="s">
        <v>64</v>
      </c>
      <c r="K70" s="381">
        <v>45700</v>
      </c>
      <c r="L70" s="380" t="s">
        <v>57</v>
      </c>
      <c r="M70" s="636">
        <v>76139.5</v>
      </c>
      <c r="N70" s="564">
        <v>79581.5</v>
      </c>
      <c r="O70" s="380" t="s">
        <v>57</v>
      </c>
      <c r="P70" s="376" t="s">
        <v>233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232</v>
      </c>
      <c r="J71" s="380" t="s">
        <v>64</v>
      </c>
      <c r="K71" s="381">
        <v>45699</v>
      </c>
      <c r="L71" s="380" t="s">
        <v>57</v>
      </c>
      <c r="M71" s="636">
        <v>73583.5</v>
      </c>
      <c r="N71" s="550">
        <v>84066</v>
      </c>
      <c r="O71" s="764" t="s">
        <v>57</v>
      </c>
      <c r="P71" s="376" t="s">
        <v>233</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232</v>
      </c>
      <c r="J72" s="823" t="s">
        <v>64</v>
      </c>
      <c r="K72" s="821">
        <v>45698</v>
      </c>
      <c r="L72" s="823" t="s">
        <v>57</v>
      </c>
      <c r="M72" s="1414">
        <v>63402.5</v>
      </c>
      <c r="N72" s="550">
        <v>62670.5</v>
      </c>
      <c r="O72" s="823" t="s">
        <v>57</v>
      </c>
      <c r="P72" s="780" t="s">
        <v>233</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233</v>
      </c>
      <c r="L73" s="380" t="s">
        <v>57</v>
      </c>
      <c r="M73" s="636">
        <v>51958</v>
      </c>
      <c r="N73" s="550">
        <v>20330.259999999998</v>
      </c>
      <c r="O73" s="380" t="s">
        <v>57</v>
      </c>
      <c r="P73" s="52" t="s">
        <v>233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233</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233</v>
      </c>
      <c r="L75" s="656" t="s">
        <v>57</v>
      </c>
      <c r="M75" s="426">
        <v>82480.5</v>
      </c>
      <c r="N75" s="426">
        <v>77870.5</v>
      </c>
      <c r="O75" s="656" t="s">
        <v>57</v>
      </c>
      <c r="P75" s="376" t="s">
        <v>233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233</v>
      </c>
      <c r="L76" s="900" t="s">
        <v>57</v>
      </c>
      <c r="M76" s="429">
        <v>43130</v>
      </c>
      <c r="N76" s="426">
        <v>43560</v>
      </c>
      <c r="O76" s="663" t="s">
        <v>57</v>
      </c>
      <c r="P76" s="1035" t="s">
        <v>233</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233</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232</v>
      </c>
      <c r="J78" s="376" t="s">
        <v>64</v>
      </c>
      <c r="K78" s="51">
        <v>45741</v>
      </c>
      <c r="L78" s="376" t="s">
        <v>57</v>
      </c>
      <c r="M78" s="426">
        <v>74508.5</v>
      </c>
      <c r="N78" s="550">
        <v>75008.5</v>
      </c>
      <c r="O78" s="376" t="s">
        <v>57</v>
      </c>
      <c r="P78" s="376" t="s">
        <v>233</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232</v>
      </c>
      <c r="J79" s="52" t="s">
        <v>64</v>
      </c>
      <c r="K79" s="51">
        <v>45741</v>
      </c>
      <c r="L79" s="52" t="s">
        <v>57</v>
      </c>
      <c r="M79" s="426">
        <v>73070.5</v>
      </c>
      <c r="N79" s="550">
        <v>72678</v>
      </c>
      <c r="O79" s="52" t="s">
        <v>57</v>
      </c>
      <c r="P79" s="52" t="s">
        <v>233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232</v>
      </c>
      <c r="J80" s="899" t="s">
        <v>64</v>
      </c>
      <c r="K80" s="972">
        <v>45741</v>
      </c>
      <c r="L80" s="899" t="s">
        <v>57</v>
      </c>
      <c r="M80" s="426">
        <v>49071</v>
      </c>
      <c r="N80" s="426">
        <v>51376.61</v>
      </c>
      <c r="O80" s="376" t="s">
        <v>57</v>
      </c>
      <c r="P80" s="1035" t="s">
        <v>233</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233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233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232</v>
      </c>
      <c r="J83" s="376" t="s">
        <v>64</v>
      </c>
      <c r="K83" s="51">
        <v>45741</v>
      </c>
      <c r="L83" s="376" t="s">
        <v>57</v>
      </c>
      <c r="M83" s="426">
        <v>62104</v>
      </c>
      <c r="N83" s="565">
        <v>64186</v>
      </c>
      <c r="O83" s="376" t="s">
        <v>57</v>
      </c>
      <c r="P83" s="376" t="s">
        <v>233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232</v>
      </c>
      <c r="J84" s="376" t="s">
        <v>64</v>
      </c>
      <c r="K84" s="51">
        <v>45741</v>
      </c>
      <c r="L84" s="376" t="s">
        <v>57</v>
      </c>
      <c r="M84" s="426">
        <v>63756.5</v>
      </c>
      <c r="N84" s="565">
        <v>64902.5</v>
      </c>
      <c r="O84" s="376" t="s">
        <v>57</v>
      </c>
      <c r="P84" s="376" t="s">
        <v>233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232</v>
      </c>
      <c r="J85" s="52" t="s">
        <v>64</v>
      </c>
      <c r="K85" s="51">
        <v>45741</v>
      </c>
      <c r="L85" s="52" t="s">
        <v>57</v>
      </c>
      <c r="M85" s="426">
        <v>67840.5</v>
      </c>
      <c r="N85" s="550">
        <v>66607.5</v>
      </c>
      <c r="O85" s="52" t="s">
        <v>57</v>
      </c>
      <c r="P85" s="52" t="s">
        <v>233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232</v>
      </c>
      <c r="J86" s="52" t="s">
        <v>64</v>
      </c>
      <c r="K86" s="51">
        <v>45757</v>
      </c>
      <c r="L86" s="52" t="s">
        <v>57</v>
      </c>
      <c r="M86" s="426">
        <v>53906.75</v>
      </c>
      <c r="N86" s="550">
        <v>54578.5</v>
      </c>
      <c r="O86" s="52" t="s">
        <v>57</v>
      </c>
      <c r="P86" s="52" t="s">
        <v>233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232</v>
      </c>
      <c r="J87" s="376" t="s">
        <v>64</v>
      </c>
      <c r="K87" s="375">
        <v>45757</v>
      </c>
      <c r="L87" s="376" t="s">
        <v>57</v>
      </c>
      <c r="M87" s="429">
        <v>47432.5</v>
      </c>
      <c r="N87" s="550">
        <v>54385.09</v>
      </c>
      <c r="O87" s="376" t="s">
        <v>57</v>
      </c>
      <c r="P87" s="376" t="s">
        <v>233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233</v>
      </c>
      <c r="J88" s="52" t="s">
        <v>64</v>
      </c>
      <c r="K88" s="51">
        <v>45757</v>
      </c>
      <c r="L88" s="52" t="s">
        <v>57</v>
      </c>
      <c r="M88" s="426">
        <v>62383</v>
      </c>
      <c r="N88" s="550">
        <v>61939</v>
      </c>
      <c r="O88" s="52" t="s">
        <v>57</v>
      </c>
      <c r="P88" s="52" t="s">
        <v>233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233</v>
      </c>
      <c r="J89" s="376" t="s">
        <v>64</v>
      </c>
      <c r="K89" s="375">
        <v>45757</v>
      </c>
      <c r="L89" s="376" t="s">
        <v>57</v>
      </c>
      <c r="M89" s="429">
        <v>80443.5</v>
      </c>
      <c r="N89" s="550">
        <v>81941</v>
      </c>
      <c r="O89" s="376" t="s">
        <v>57</v>
      </c>
      <c r="P89" s="376" t="s">
        <v>233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232</v>
      </c>
      <c r="J90" s="376" t="s">
        <v>64</v>
      </c>
      <c r="K90" s="375">
        <v>45757</v>
      </c>
      <c r="L90" s="376" t="s">
        <v>57</v>
      </c>
      <c r="M90" s="429">
        <v>68736.5</v>
      </c>
      <c r="N90" s="550">
        <v>68249</v>
      </c>
      <c r="O90" s="376" t="s">
        <v>57</v>
      </c>
      <c r="P90" s="376" t="s">
        <v>233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232</v>
      </c>
      <c r="J91" s="376" t="s">
        <v>64</v>
      </c>
      <c r="K91" s="51">
        <v>45741</v>
      </c>
      <c r="L91" s="376" t="s">
        <v>57</v>
      </c>
      <c r="M91" s="426">
        <v>73491.5</v>
      </c>
      <c r="N91" s="564">
        <v>202651</v>
      </c>
      <c r="O91" s="376" t="s">
        <v>57</v>
      </c>
      <c r="P91" s="376" t="s">
        <v>233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232</v>
      </c>
      <c r="J92" s="376" t="s">
        <v>64</v>
      </c>
      <c r="K92" s="375">
        <v>45757</v>
      </c>
      <c r="L92" s="393" t="s">
        <v>57</v>
      </c>
      <c r="M92" s="429">
        <v>78331</v>
      </c>
      <c r="N92" s="426">
        <v>82072.25</v>
      </c>
      <c r="O92" s="376" t="s">
        <v>57</v>
      </c>
      <c r="P92" s="437" t="s">
        <v>233</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232</v>
      </c>
      <c r="J93" s="376" t="s">
        <v>64</v>
      </c>
      <c r="K93" s="51">
        <v>45741</v>
      </c>
      <c r="L93" s="376" t="s">
        <v>57</v>
      </c>
      <c r="M93" s="426">
        <v>74961</v>
      </c>
      <c r="N93" s="426">
        <v>77123</v>
      </c>
      <c r="O93" s="376" t="s">
        <v>57</v>
      </c>
      <c r="P93" s="376" t="s">
        <v>233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232</v>
      </c>
      <c r="J94" s="376" t="s">
        <v>64</v>
      </c>
      <c r="K94" s="51">
        <v>45741</v>
      </c>
      <c r="L94" s="376" t="s">
        <v>57</v>
      </c>
      <c r="M94" s="426">
        <v>70235</v>
      </c>
      <c r="N94" s="564">
        <v>134171.5</v>
      </c>
      <c r="O94" s="376" t="s">
        <v>57</v>
      </c>
      <c r="P94" s="376" t="s">
        <v>233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233</v>
      </c>
      <c r="L95" s="656" t="s">
        <v>57</v>
      </c>
      <c r="M95" s="426">
        <v>60625.5</v>
      </c>
      <c r="N95" s="550">
        <v>59084</v>
      </c>
      <c r="O95" s="656" t="s">
        <v>57</v>
      </c>
      <c r="P95" s="52" t="s">
        <v>233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232</v>
      </c>
      <c r="J96" s="52" t="s">
        <v>64</v>
      </c>
      <c r="K96" s="51">
        <v>45721</v>
      </c>
      <c r="L96" s="52" t="s">
        <v>57</v>
      </c>
      <c r="M96" s="587">
        <v>79507</v>
      </c>
      <c r="N96" s="550">
        <v>86709.5</v>
      </c>
      <c r="O96" s="52" t="s">
        <v>57</v>
      </c>
      <c r="P96" s="52" t="s">
        <v>233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233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232</v>
      </c>
      <c r="J98" s="52" t="s">
        <v>64</v>
      </c>
      <c r="K98" s="51">
        <v>45716</v>
      </c>
      <c r="L98" s="52" t="s">
        <v>57</v>
      </c>
      <c r="M98" s="426">
        <v>64609</v>
      </c>
      <c r="N98" s="564">
        <v>76965</v>
      </c>
      <c r="O98" s="52" t="s">
        <v>57</v>
      </c>
      <c r="P98" s="376" t="s">
        <v>233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232</v>
      </c>
      <c r="J99" s="52" t="s">
        <v>64</v>
      </c>
      <c r="K99" s="51">
        <v>45701</v>
      </c>
      <c r="L99" s="380" t="s">
        <v>57</v>
      </c>
      <c r="M99" s="426">
        <v>48609</v>
      </c>
      <c r="N99" s="550">
        <v>48682.5</v>
      </c>
      <c r="O99" s="764" t="s">
        <v>57</v>
      </c>
      <c r="P99" s="376" t="s">
        <v>233</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232</v>
      </c>
      <c r="J100" s="52" t="s">
        <v>64</v>
      </c>
      <c r="K100" s="51">
        <v>45698</v>
      </c>
      <c r="L100" s="656" t="s">
        <v>57</v>
      </c>
      <c r="M100" s="426">
        <v>52222</v>
      </c>
      <c r="N100" s="550">
        <v>51838</v>
      </c>
      <c r="O100" s="656" t="s">
        <v>57</v>
      </c>
      <c r="P100" s="52" t="s">
        <v>233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232</v>
      </c>
      <c r="J101" s="52" t="s">
        <v>64</v>
      </c>
      <c r="K101" s="51">
        <v>45698</v>
      </c>
      <c r="L101" s="1165" t="s">
        <v>57</v>
      </c>
      <c r="M101" s="426">
        <v>67892.5</v>
      </c>
      <c r="N101" s="426">
        <v>65771.429999999993</v>
      </c>
      <c r="O101" s="656" t="s">
        <v>57</v>
      </c>
      <c r="P101" s="354" t="s">
        <v>233</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233</v>
      </c>
      <c r="J102" s="52" t="s">
        <v>64</v>
      </c>
      <c r="K102" s="51">
        <v>45716</v>
      </c>
      <c r="L102" s="52" t="s">
        <v>57</v>
      </c>
      <c r="M102" s="587">
        <v>67463</v>
      </c>
      <c r="N102" s="550">
        <v>69992</v>
      </c>
      <c r="O102" s="52" t="s">
        <v>57</v>
      </c>
      <c r="P102" s="52" t="s">
        <v>233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233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232</v>
      </c>
      <c r="J104" s="770" t="s">
        <v>64</v>
      </c>
      <c r="K104" s="57">
        <v>45707</v>
      </c>
      <c r="L104" s="770" t="s">
        <v>57</v>
      </c>
      <c r="M104" s="426" t="s">
        <v>924</v>
      </c>
      <c r="N104" s="565">
        <v>67080</v>
      </c>
      <c r="O104" s="52" t="s">
        <v>57</v>
      </c>
      <c r="P104" s="1035" t="s">
        <v>233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232</v>
      </c>
      <c r="J105" s="786" t="s">
        <v>64</v>
      </c>
      <c r="K105" s="57">
        <v>45741</v>
      </c>
      <c r="L105" s="786" t="s">
        <v>57</v>
      </c>
      <c r="M105" s="426">
        <v>79069.5</v>
      </c>
      <c r="N105" s="564">
        <v>73300</v>
      </c>
      <c r="O105" s="376" t="s">
        <v>57</v>
      </c>
      <c r="P105" s="437" t="s">
        <v>233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232</v>
      </c>
      <c r="J106" s="786" t="s">
        <v>64</v>
      </c>
      <c r="K106" s="57">
        <v>45741</v>
      </c>
      <c r="L106" s="786" t="s">
        <v>57</v>
      </c>
      <c r="M106" s="426">
        <v>16398</v>
      </c>
      <c r="N106" s="550">
        <v>15664</v>
      </c>
      <c r="O106" s="376" t="s">
        <v>57</v>
      </c>
      <c r="P106" s="1028" t="s">
        <v>233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232</v>
      </c>
      <c r="J107" s="786" t="s">
        <v>64</v>
      </c>
      <c r="K107" s="495">
        <v>45741</v>
      </c>
      <c r="L107" s="501" t="s">
        <v>57</v>
      </c>
      <c r="M107" s="771">
        <v>75396.5</v>
      </c>
      <c r="N107" s="635">
        <v>75756.5</v>
      </c>
      <c r="O107" s="501" t="s">
        <v>57</v>
      </c>
      <c r="P107" s="1305" t="s">
        <v>233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232</v>
      </c>
      <c r="J108" s="478" t="s">
        <v>64</v>
      </c>
      <c r="K108" s="476">
        <v>45698</v>
      </c>
      <c r="L108" s="823" t="s">
        <v>57</v>
      </c>
      <c r="M108" s="772">
        <v>68216.5</v>
      </c>
      <c r="N108" s="635">
        <v>65624.5</v>
      </c>
      <c r="O108" s="823" t="s">
        <v>57</v>
      </c>
      <c r="P108" s="1022" t="s">
        <v>233</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233</v>
      </c>
      <c r="J109" s="770" t="s">
        <v>64</v>
      </c>
      <c r="K109" s="57">
        <v>45708</v>
      </c>
      <c r="L109" s="770" t="s">
        <v>57</v>
      </c>
      <c r="M109" s="635">
        <v>56854</v>
      </c>
      <c r="N109" s="802">
        <v>62254</v>
      </c>
      <c r="O109" s="770" t="s">
        <v>57</v>
      </c>
      <c r="P109" s="770" t="s">
        <v>233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233</v>
      </c>
      <c r="J110" s="76" t="s">
        <v>64</v>
      </c>
      <c r="K110" s="77">
        <v>45708</v>
      </c>
      <c r="L110" s="103" t="s">
        <v>57</v>
      </c>
      <c r="M110" s="806">
        <v>73639</v>
      </c>
      <c r="N110" s="1034">
        <v>73025</v>
      </c>
      <c r="O110" s="103" t="s">
        <v>57</v>
      </c>
      <c r="P110" s="105" t="s">
        <v>233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233</v>
      </c>
      <c r="J111" s="76" t="s">
        <v>64</v>
      </c>
      <c r="K111" s="77">
        <v>45698</v>
      </c>
      <c r="L111" s="103" t="s">
        <v>57</v>
      </c>
      <c r="M111" s="806">
        <v>54861</v>
      </c>
      <c r="N111" s="807">
        <v>55197</v>
      </c>
      <c r="O111" s="103" t="s">
        <v>57</v>
      </c>
      <c r="P111" s="76" t="s">
        <v>233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233</v>
      </c>
      <c r="J112" s="478" t="s">
        <v>64</v>
      </c>
      <c r="K112" s="476">
        <v>45699</v>
      </c>
      <c r="L112" s="483" t="s">
        <v>57</v>
      </c>
      <c r="M112" s="772">
        <v>72566</v>
      </c>
      <c r="N112" s="426">
        <v>83382</v>
      </c>
      <c r="O112" s="483" t="s">
        <v>57</v>
      </c>
      <c r="P112" s="780" t="s">
        <v>233</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232</v>
      </c>
      <c r="J113" s="770" t="s">
        <v>64</v>
      </c>
      <c r="K113" s="57">
        <v>45735</v>
      </c>
      <c r="L113" s="770" t="s">
        <v>57</v>
      </c>
      <c r="M113" s="635">
        <v>41285</v>
      </c>
      <c r="N113" s="802">
        <v>40484</v>
      </c>
      <c r="O113" s="770" t="s">
        <v>57</v>
      </c>
      <c r="P113" s="786" t="s">
        <v>233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233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233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233</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232</v>
      </c>
      <c r="J117" s="776" t="s">
        <v>64</v>
      </c>
      <c r="K117" s="885" t="s">
        <v>233</v>
      </c>
      <c r="L117" s="776" t="s">
        <v>57</v>
      </c>
      <c r="M117" s="883">
        <v>289634.75</v>
      </c>
      <c r="N117" s="802">
        <v>296306.83</v>
      </c>
      <c r="O117" s="884" t="s">
        <v>57</v>
      </c>
      <c r="P117" s="786" t="s">
        <v>233</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232</v>
      </c>
      <c r="J118" s="770" t="s">
        <v>64</v>
      </c>
      <c r="K118" s="476">
        <v>45741</v>
      </c>
      <c r="L118" s="469" t="s">
        <v>57</v>
      </c>
      <c r="M118" s="772">
        <v>47849</v>
      </c>
      <c r="N118" s="635">
        <v>51778</v>
      </c>
      <c r="O118" s="469" t="s">
        <v>57</v>
      </c>
      <c r="P118" s="780" t="s">
        <v>233</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232</v>
      </c>
      <c r="J119" s="770" t="s">
        <v>64</v>
      </c>
      <c r="K119" s="476" t="s">
        <v>52</v>
      </c>
      <c r="L119" s="823" t="s">
        <v>57</v>
      </c>
      <c r="M119" s="772">
        <v>1594</v>
      </c>
      <c r="N119" s="635">
        <v>1187.5</v>
      </c>
      <c r="O119" s="823" t="s">
        <v>57</v>
      </c>
      <c r="P119" s="780" t="s">
        <v>233</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232</v>
      </c>
      <c r="J120" s="52" t="s">
        <v>64</v>
      </c>
      <c r="K120" s="51" t="s">
        <v>52</v>
      </c>
      <c r="L120" s="478" t="s">
        <v>57</v>
      </c>
      <c r="M120" s="1406">
        <v>170</v>
      </c>
      <c r="N120" s="426">
        <v>588.79999999999995</v>
      </c>
      <c r="O120" s="478" t="s">
        <v>57</v>
      </c>
      <c r="P120" s="1450" t="s">
        <v>233</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232</v>
      </c>
      <c r="J121" s="52" t="s">
        <v>64</v>
      </c>
      <c r="K121" s="51" t="s">
        <v>52</v>
      </c>
      <c r="L121" s="52" t="s">
        <v>57</v>
      </c>
      <c r="M121" s="1428">
        <v>26696</v>
      </c>
      <c r="N121" s="426">
        <v>499.4</v>
      </c>
      <c r="O121" s="52" t="s">
        <v>57</v>
      </c>
      <c r="P121" s="376" t="s">
        <v>233</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232</v>
      </c>
      <c r="J122" s="478" t="s">
        <v>64</v>
      </c>
      <c r="K122" s="476" t="s">
        <v>52</v>
      </c>
      <c r="L122" s="478" t="s">
        <v>57</v>
      </c>
      <c r="M122" s="1406">
        <v>170</v>
      </c>
      <c r="N122" s="426">
        <v>948</v>
      </c>
      <c r="O122" s="478" t="s">
        <v>57</v>
      </c>
      <c r="P122" s="1451" t="s">
        <v>233</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232</v>
      </c>
      <c r="J129" s="52" t="s">
        <v>64</v>
      </c>
      <c r="K129" s="51">
        <v>45701</v>
      </c>
      <c r="L129" s="52" t="s">
        <v>57</v>
      </c>
      <c r="M129" s="426">
        <v>111163</v>
      </c>
      <c r="N129" s="731"/>
      <c r="O129" s="52" t="s">
        <v>57</v>
      </c>
      <c r="P129" s="582" t="s">
        <v>233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220</v>
      </c>
      <c r="E130" s="476">
        <v>45944</v>
      </c>
      <c r="F130" s="475" t="s">
        <v>230</v>
      </c>
      <c r="G130" s="819"/>
      <c r="H130" s="478">
        <v>0</v>
      </c>
      <c r="I130" s="823" t="s">
        <v>232</v>
      </c>
      <c r="J130" s="478" t="s">
        <v>64</v>
      </c>
      <c r="K130" s="476" t="s">
        <v>52</v>
      </c>
      <c r="L130" s="478" t="s">
        <v>57</v>
      </c>
      <c r="M130" s="541">
        <v>50539.6</v>
      </c>
      <c r="N130" s="731"/>
      <c r="O130" s="478" t="s">
        <v>57</v>
      </c>
      <c r="P130" s="744" t="s">
        <v>233</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232</v>
      </c>
      <c r="J131" s="376" t="s">
        <v>56</v>
      </c>
      <c r="K131" s="375">
        <v>45874</v>
      </c>
      <c r="L131" s="376" t="s">
        <v>57</v>
      </c>
      <c r="M131" s="429">
        <v>11894.25</v>
      </c>
      <c r="N131" s="96"/>
      <c r="O131" s="376" t="s">
        <v>57</v>
      </c>
      <c r="P131" s="583" t="s">
        <v>233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232</v>
      </c>
      <c r="J132" s="469" t="s">
        <v>64</v>
      </c>
      <c r="K132" s="467">
        <v>45786</v>
      </c>
      <c r="L132" s="469" t="s">
        <v>57</v>
      </c>
      <c r="M132" s="986">
        <v>133172.15</v>
      </c>
      <c r="N132" s="731"/>
      <c r="O132" s="469" t="s">
        <v>57</v>
      </c>
      <c r="P132" s="744" t="s">
        <v>233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232</v>
      </c>
      <c r="J133" s="52" t="s">
        <v>64</v>
      </c>
      <c r="K133" s="51">
        <v>45918</v>
      </c>
      <c r="L133" s="376" t="s">
        <v>57</v>
      </c>
      <c r="M133" s="429">
        <v>10840.25</v>
      </c>
      <c r="N133" s="731"/>
      <c r="O133" s="376" t="s">
        <v>57</v>
      </c>
      <c r="P133" s="735" t="s">
        <v>233</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232</v>
      </c>
      <c r="J134" s="52" t="s">
        <v>64</v>
      </c>
      <c r="K134" s="375">
        <v>45853</v>
      </c>
      <c r="L134" s="380" t="s">
        <v>57</v>
      </c>
      <c r="M134" s="429">
        <v>60849.9</v>
      </c>
      <c r="N134" s="96"/>
      <c r="O134" s="380" t="s">
        <v>57</v>
      </c>
      <c r="P134" s="735" t="s">
        <v>233</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232</v>
      </c>
      <c r="J135" s="469" t="s">
        <v>64</v>
      </c>
      <c r="K135" s="467">
        <v>45793</v>
      </c>
      <c r="L135" s="469" t="s">
        <v>57</v>
      </c>
      <c r="M135" s="986">
        <v>53589.8</v>
      </c>
      <c r="N135" s="96"/>
      <c r="O135" s="469" t="s">
        <v>57</v>
      </c>
      <c r="P135" s="744" t="s">
        <v>233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232</v>
      </c>
      <c r="J136" s="52" t="s">
        <v>64</v>
      </c>
      <c r="K136" s="375">
        <v>45884</v>
      </c>
      <c r="L136" s="376" t="s">
        <v>57</v>
      </c>
      <c r="M136" s="429">
        <v>67441</v>
      </c>
      <c r="N136" s="96"/>
      <c r="O136" s="376" t="s">
        <v>57</v>
      </c>
      <c r="P136" s="735" t="s">
        <v>233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232</v>
      </c>
      <c r="J137" s="376" t="s">
        <v>64</v>
      </c>
      <c r="K137" s="375">
        <v>45797</v>
      </c>
      <c r="L137" s="376" t="s">
        <v>57</v>
      </c>
      <c r="M137" s="429">
        <v>43097.65</v>
      </c>
      <c r="N137" s="731"/>
      <c r="O137" s="376" t="s">
        <v>57</v>
      </c>
      <c r="P137" s="735" t="s">
        <v>233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232</v>
      </c>
      <c r="J138" s="478" t="s">
        <v>64</v>
      </c>
      <c r="K138" s="467">
        <v>45880</v>
      </c>
      <c r="L138" s="469" t="s">
        <v>57</v>
      </c>
      <c r="M138" s="986">
        <v>56807.95</v>
      </c>
      <c r="N138" s="731"/>
      <c r="O138" s="469" t="s">
        <v>57</v>
      </c>
      <c r="P138" s="744" t="s">
        <v>233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232</v>
      </c>
      <c r="J139" s="376" t="s">
        <v>64</v>
      </c>
      <c r="K139" s="375">
        <v>45882</v>
      </c>
      <c r="L139" s="376" t="s">
        <v>57</v>
      </c>
      <c r="M139" s="429">
        <v>59869.5</v>
      </c>
      <c r="N139" s="731"/>
      <c r="O139" s="376" t="s">
        <v>57</v>
      </c>
      <c r="P139" s="583" t="s">
        <v>233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232</v>
      </c>
      <c r="J140" s="376" t="s">
        <v>64</v>
      </c>
      <c r="K140" s="375">
        <v>45897</v>
      </c>
      <c r="L140" s="376" t="s">
        <v>57</v>
      </c>
      <c r="M140" s="429">
        <v>50874.95</v>
      </c>
      <c r="N140" s="731"/>
      <c r="O140" s="376" t="s">
        <v>57</v>
      </c>
      <c r="P140" s="591" t="s">
        <v>233</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232</v>
      </c>
      <c r="J141" s="376" t="s">
        <v>64</v>
      </c>
      <c r="K141" s="375">
        <v>45903</v>
      </c>
      <c r="L141" s="376" t="s">
        <v>57</v>
      </c>
      <c r="M141" s="429">
        <v>27186</v>
      </c>
      <c r="N141" s="731"/>
      <c r="O141" s="376" t="s">
        <v>57</v>
      </c>
      <c r="P141" s="735" t="s">
        <v>233</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232</v>
      </c>
      <c r="J142" s="52" t="s">
        <v>64</v>
      </c>
      <c r="K142" s="375">
        <v>45887</v>
      </c>
      <c r="L142" s="376" t="s">
        <v>57</v>
      </c>
      <c r="M142" s="429">
        <v>69889</v>
      </c>
      <c r="N142" s="96"/>
      <c r="O142" s="376" t="s">
        <v>57</v>
      </c>
      <c r="P142" s="583" t="s">
        <v>233</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232</v>
      </c>
      <c r="J143" s="52" t="s">
        <v>64</v>
      </c>
      <c r="K143" s="375">
        <v>45887</v>
      </c>
      <c r="L143" s="376" t="s">
        <v>57</v>
      </c>
      <c r="M143" s="429">
        <v>52110</v>
      </c>
      <c r="N143" s="731"/>
      <c r="O143" s="376" t="s">
        <v>57</v>
      </c>
      <c r="P143" s="583" t="s">
        <v>233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232</v>
      </c>
      <c r="J144" s="52" t="s">
        <v>64</v>
      </c>
      <c r="K144" s="375">
        <v>45897</v>
      </c>
      <c r="L144" s="376" t="s">
        <v>57</v>
      </c>
      <c r="M144" s="429">
        <v>52204</v>
      </c>
      <c r="N144" s="731"/>
      <c r="O144" s="376" t="s">
        <v>57</v>
      </c>
      <c r="P144" s="735" t="s">
        <v>233</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232</v>
      </c>
      <c r="J145" s="1177" t="s">
        <v>64</v>
      </c>
      <c r="K145" s="1175">
        <v>46006</v>
      </c>
      <c r="L145" s="1177" t="s">
        <v>57</v>
      </c>
      <c r="M145" s="1456">
        <v>20891</v>
      </c>
      <c r="N145" s="731"/>
      <c r="O145" s="1177" t="s">
        <v>57</v>
      </c>
      <c r="P145" s="1457" t="s">
        <v>233</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232</v>
      </c>
      <c r="J146" s="52" t="s">
        <v>64</v>
      </c>
      <c r="K146" s="375">
        <v>45912</v>
      </c>
      <c r="L146" s="376" t="s">
        <v>57</v>
      </c>
      <c r="M146" s="429">
        <v>47676</v>
      </c>
      <c r="N146" s="731"/>
      <c r="O146" s="376" t="s">
        <v>57</v>
      </c>
      <c r="P146" s="735" t="s">
        <v>233</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232</v>
      </c>
      <c r="J147" s="52" t="s">
        <v>64</v>
      </c>
      <c r="K147" s="375">
        <v>45933</v>
      </c>
      <c r="L147" s="376" t="s">
        <v>57</v>
      </c>
      <c r="M147" s="429">
        <v>44697.599999999999</v>
      </c>
      <c r="N147" s="731"/>
      <c r="O147" s="376" t="s">
        <v>57</v>
      </c>
      <c r="P147" s="735" t="s">
        <v>233</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232</v>
      </c>
      <c r="J148" s="52" t="s">
        <v>64</v>
      </c>
      <c r="K148" s="375">
        <v>45933</v>
      </c>
      <c r="L148" s="376" t="s">
        <v>57</v>
      </c>
      <c r="M148" s="429">
        <v>58864</v>
      </c>
      <c r="N148" s="731"/>
      <c r="O148" s="376" t="s">
        <v>57</v>
      </c>
      <c r="P148" s="735" t="s">
        <v>233</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232</v>
      </c>
      <c r="J149" s="1177" t="s">
        <v>64</v>
      </c>
      <c r="K149" s="1175">
        <v>46027</v>
      </c>
      <c r="L149" s="1177" t="s">
        <v>57</v>
      </c>
      <c r="M149" s="1456">
        <v>38323.550000000003</v>
      </c>
      <c r="N149" s="731"/>
      <c r="O149" s="1177" t="s">
        <v>57</v>
      </c>
      <c r="P149" s="1457" t="s">
        <v>233</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232</v>
      </c>
      <c r="J150" s="1177" t="s">
        <v>64</v>
      </c>
      <c r="K150" s="1175">
        <v>46027</v>
      </c>
      <c r="L150" s="1177" t="s">
        <v>57</v>
      </c>
      <c r="M150" s="1456">
        <v>63322.45</v>
      </c>
      <c r="N150" s="731"/>
      <c r="O150" s="1177" t="s">
        <v>57</v>
      </c>
      <c r="P150" s="1457" t="s">
        <v>233</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232</v>
      </c>
      <c r="J151" s="52" t="s">
        <v>64</v>
      </c>
      <c r="K151" s="375">
        <v>45902</v>
      </c>
      <c r="L151" s="376" t="s">
        <v>57</v>
      </c>
      <c r="M151" s="429">
        <v>12695</v>
      </c>
      <c r="N151" s="731"/>
      <c r="O151" s="376" t="s">
        <v>57</v>
      </c>
      <c r="P151" s="735" t="s">
        <v>233</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232</v>
      </c>
      <c r="J152" s="947" t="s">
        <v>64</v>
      </c>
      <c r="K152" s="1156">
        <v>45821</v>
      </c>
      <c r="L152" s="1018" t="s">
        <v>57</v>
      </c>
      <c r="M152" s="949">
        <v>23436.55</v>
      </c>
      <c r="N152" s="731"/>
      <c r="O152" s="1018" t="s">
        <v>57</v>
      </c>
      <c r="P152" s="762" t="s">
        <v>233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232</v>
      </c>
      <c r="J153" s="947" t="s">
        <v>64</v>
      </c>
      <c r="K153" s="930">
        <v>45876</v>
      </c>
      <c r="L153" s="947" t="s">
        <v>57</v>
      </c>
      <c r="M153" s="949">
        <v>1462.85</v>
      </c>
      <c r="N153" s="96"/>
      <c r="O153" s="947" t="s">
        <v>57</v>
      </c>
      <c r="P153" s="762" t="s">
        <v>233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232</v>
      </c>
      <c r="J154" s="786" t="s">
        <v>64</v>
      </c>
      <c r="K154" s="375">
        <v>45882</v>
      </c>
      <c r="L154" s="376" t="s">
        <v>57</v>
      </c>
      <c r="M154" s="429">
        <v>13056.5</v>
      </c>
      <c r="N154" s="779"/>
      <c r="O154" s="376" t="s">
        <v>57</v>
      </c>
      <c r="P154" s="583" t="s">
        <v>233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232</v>
      </c>
      <c r="J155" s="786" t="s">
        <v>64</v>
      </c>
      <c r="K155" s="467">
        <v>45853</v>
      </c>
      <c r="L155" s="469" t="s">
        <v>57</v>
      </c>
      <c r="M155" s="986">
        <v>68216.5</v>
      </c>
      <c r="N155" s="773"/>
      <c r="O155" s="469" t="s">
        <v>57</v>
      </c>
      <c r="P155" s="744" t="s">
        <v>233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232</v>
      </c>
      <c r="J156" s="52" t="s">
        <v>64</v>
      </c>
      <c r="K156" s="375">
        <v>45936</v>
      </c>
      <c r="L156" s="376" t="s">
        <v>57</v>
      </c>
      <c r="M156" s="429">
        <v>4235.8</v>
      </c>
      <c r="N156" s="731"/>
      <c r="O156" s="376" t="s">
        <v>57</v>
      </c>
      <c r="P156" s="583" t="s">
        <v>233</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232</v>
      </c>
      <c r="J157" s="469" t="s">
        <v>56</v>
      </c>
      <c r="K157" s="467">
        <v>45937</v>
      </c>
      <c r="L157" s="469" t="s">
        <v>57</v>
      </c>
      <c r="M157" s="986">
        <v>210533.1</v>
      </c>
      <c r="N157" s="731"/>
      <c r="O157" s="469" t="s">
        <v>57</v>
      </c>
      <c r="P157" s="744" t="s">
        <v>233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232</v>
      </c>
      <c r="J158" s="770" t="s">
        <v>56</v>
      </c>
      <c r="K158" s="467">
        <v>45876</v>
      </c>
      <c r="L158" s="469" t="s">
        <v>57</v>
      </c>
      <c r="M158" s="986">
        <v>124980</v>
      </c>
      <c r="N158" s="779"/>
      <c r="O158" s="469" t="s">
        <v>57</v>
      </c>
      <c r="P158" s="744" t="s">
        <v>233</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232</v>
      </c>
      <c r="J159" s="770" t="s">
        <v>64</v>
      </c>
      <c r="K159" s="502">
        <v>45716</v>
      </c>
      <c r="L159" s="116" t="s">
        <v>57</v>
      </c>
      <c r="M159" s="771">
        <v>45321.5</v>
      </c>
      <c r="N159" s="779"/>
      <c r="O159" s="116" t="s">
        <v>57</v>
      </c>
      <c r="P159" s="761" t="s">
        <v>233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232</v>
      </c>
      <c r="J160" s="786" t="s">
        <v>64</v>
      </c>
      <c r="K160" s="1008">
        <v>45741</v>
      </c>
      <c r="L160" s="851" t="s">
        <v>57</v>
      </c>
      <c r="M160" s="1009">
        <v>41813</v>
      </c>
      <c r="N160" s="779"/>
      <c r="O160" s="851" t="s">
        <v>57</v>
      </c>
      <c r="P160" s="1001" t="s">
        <v>233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232</v>
      </c>
      <c r="J161" s="770" t="s">
        <v>64</v>
      </c>
      <c r="K161" s="495">
        <v>45698</v>
      </c>
      <c r="L161" s="503" t="s">
        <v>57</v>
      </c>
      <c r="M161" s="771">
        <v>71979</v>
      </c>
      <c r="N161" s="773"/>
      <c r="O161" s="503" t="s">
        <v>57</v>
      </c>
      <c r="P161" s="778" t="s">
        <v>233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233</v>
      </c>
      <c r="J162" s="478" t="s">
        <v>64</v>
      </c>
      <c r="K162" s="476">
        <v>45712</v>
      </c>
      <c r="L162" s="478" t="s">
        <v>57</v>
      </c>
      <c r="M162" s="772">
        <v>14262</v>
      </c>
      <c r="N162" s="731"/>
      <c r="O162" s="478" t="s">
        <v>57</v>
      </c>
      <c r="P162" s="744" t="s">
        <v>233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232</v>
      </c>
      <c r="J163" s="770" t="s">
        <v>64</v>
      </c>
      <c r="K163" s="476">
        <v>45714</v>
      </c>
      <c r="L163" s="478" t="s">
        <v>57</v>
      </c>
      <c r="M163" s="772">
        <v>93462.85</v>
      </c>
      <c r="N163" s="773"/>
      <c r="O163" s="478" t="s">
        <v>57</v>
      </c>
      <c r="P163" s="744" t="s">
        <v>233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232</v>
      </c>
      <c r="J164" s="770" t="s">
        <v>64</v>
      </c>
      <c r="K164" s="475" t="s">
        <v>52</v>
      </c>
      <c r="L164" s="469" t="s">
        <v>57</v>
      </c>
      <c r="M164" s="986">
        <v>4397.6499999999996</v>
      </c>
      <c r="N164" s="773"/>
      <c r="O164" s="469" t="s">
        <v>57</v>
      </c>
      <c r="P164" s="744" t="s">
        <v>233</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232</v>
      </c>
      <c r="J165" s="770" t="s">
        <v>64</v>
      </c>
      <c r="K165" s="476" t="s">
        <v>52</v>
      </c>
      <c r="L165" s="478" t="s">
        <v>57</v>
      </c>
      <c r="M165" s="1406">
        <v>29180.45</v>
      </c>
      <c r="N165" s="773"/>
      <c r="O165" s="478" t="s">
        <v>57</v>
      </c>
      <c r="P165" s="744" t="s">
        <v>233</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232</v>
      </c>
      <c r="J166" s="964" t="s">
        <v>64</v>
      </c>
      <c r="K166" s="476" t="s">
        <v>52</v>
      </c>
      <c r="L166" s="964" t="s">
        <v>57</v>
      </c>
      <c r="M166" s="1407">
        <v>25891</v>
      </c>
      <c r="N166" s="731"/>
      <c r="O166" s="52" t="s">
        <v>57</v>
      </c>
      <c r="P166" s="1408" t="s">
        <v>233</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232</v>
      </c>
      <c r="J167" s="770" t="s">
        <v>64</v>
      </c>
      <c r="K167" s="476" t="s">
        <v>52</v>
      </c>
      <c r="L167" s="964" t="s">
        <v>57</v>
      </c>
      <c r="M167" s="1407">
        <v>170</v>
      </c>
      <c r="N167" s="773"/>
      <c r="O167" s="52" t="s">
        <v>57</v>
      </c>
      <c r="P167" s="1408" t="s">
        <v>233</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232</v>
      </c>
      <c r="J168" s="770" t="s">
        <v>64</v>
      </c>
      <c r="K168" s="476" t="s">
        <v>52</v>
      </c>
      <c r="L168" s="964" t="s">
        <v>57</v>
      </c>
      <c r="M168" s="1407">
        <v>30788</v>
      </c>
      <c r="N168" s="773"/>
      <c r="O168" s="52" t="s">
        <v>57</v>
      </c>
      <c r="P168" s="1408" t="s">
        <v>233</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232</v>
      </c>
      <c r="J174" s="478" t="s">
        <v>56</v>
      </c>
      <c r="K174" s="838"/>
      <c r="L174" s="467">
        <v>45716</v>
      </c>
      <c r="M174" s="478" t="s">
        <v>57</v>
      </c>
      <c r="N174" s="540">
        <v>2075.6999999999998</v>
      </c>
      <c r="O174" s="478" t="s">
        <v>57</v>
      </c>
      <c r="P174" s="909" t="s">
        <v>233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232</v>
      </c>
      <c r="J175" s="478" t="s">
        <v>56</v>
      </c>
      <c r="K175" s="486"/>
      <c r="L175" s="467">
        <v>45716</v>
      </c>
      <c r="M175" s="478" t="s">
        <v>57</v>
      </c>
      <c r="N175" s="541">
        <v>2947.5</v>
      </c>
      <c r="O175" s="478" t="s">
        <v>57</v>
      </c>
      <c r="P175" s="910" t="s">
        <v>233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232</v>
      </c>
      <c r="J176" s="478" t="s">
        <v>56</v>
      </c>
      <c r="K176" s="486"/>
      <c r="L176" s="467">
        <v>45716</v>
      </c>
      <c r="M176" s="478" t="s">
        <v>57</v>
      </c>
      <c r="N176" s="541">
        <v>2908.95</v>
      </c>
      <c r="O176" s="478" t="s">
        <v>57</v>
      </c>
      <c r="P176" s="910" t="s">
        <v>233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233</v>
      </c>
      <c r="J177" s="478" t="s">
        <v>56</v>
      </c>
      <c r="K177" s="478"/>
      <c r="L177" s="824">
        <v>45716</v>
      </c>
      <c r="M177" s="478" t="s">
        <v>57</v>
      </c>
      <c r="N177" s="541">
        <v>1134</v>
      </c>
      <c r="O177" s="478" t="s">
        <v>57</v>
      </c>
      <c r="P177" s="911" t="s">
        <v>233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233</v>
      </c>
      <c r="J178" s="478" t="s">
        <v>56</v>
      </c>
      <c r="K178" s="486"/>
      <c r="L178" s="467">
        <v>45716</v>
      </c>
      <c r="M178" s="478" t="s">
        <v>57</v>
      </c>
      <c r="N178" s="541">
        <v>870</v>
      </c>
      <c r="O178" s="478" t="s">
        <v>57</v>
      </c>
      <c r="P178" s="911" t="s">
        <v>233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232</v>
      </c>
      <c r="J179" s="478" t="s">
        <v>64</v>
      </c>
      <c r="K179" s="478"/>
      <c r="L179" s="824">
        <v>45716</v>
      </c>
      <c r="M179" s="823" t="s">
        <v>57</v>
      </c>
      <c r="N179" s="541">
        <v>2025.6</v>
      </c>
      <c r="O179" s="823" t="s">
        <v>57</v>
      </c>
      <c r="P179" s="911" t="s">
        <v>233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233</v>
      </c>
      <c r="J180" s="478" t="s">
        <v>56</v>
      </c>
      <c r="K180" s="478"/>
      <c r="L180" s="476">
        <v>45715</v>
      </c>
      <c r="M180" s="478" t="s">
        <v>57</v>
      </c>
      <c r="N180" s="541">
        <v>3801.75</v>
      </c>
      <c r="O180" s="478" t="s">
        <v>57</v>
      </c>
      <c r="P180" s="911" t="s">
        <v>233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233</v>
      </c>
      <c r="J183" s="899" t="s">
        <v>56</v>
      </c>
      <c r="K183" s="896"/>
      <c r="L183" s="901" t="s">
        <v>56</v>
      </c>
      <c r="M183" s="899" t="s">
        <v>80</v>
      </c>
      <c r="N183" s="902">
        <v>0</v>
      </c>
      <c r="O183" s="899" t="s">
        <v>80</v>
      </c>
      <c r="P183" s="903" t="s">
        <v>233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233</v>
      </c>
      <c r="J184" s="851" t="s">
        <v>56</v>
      </c>
      <c r="K184" s="856"/>
      <c r="L184" s="858" t="s">
        <v>56</v>
      </c>
      <c r="M184" s="851" t="s">
        <v>80</v>
      </c>
      <c r="N184" s="852">
        <v>0</v>
      </c>
      <c r="O184" s="851" t="s">
        <v>80</v>
      </c>
      <c r="P184" s="853" t="s">
        <v>233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6"/>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F4">
        <v>1049</v>
      </c>
      <c r="G4">
        <v>1049</v>
      </c>
      <c r="J4" s="44" t="s">
        <v>1092</v>
      </c>
      <c r="K4" t="s">
        <v>1093</v>
      </c>
      <c r="N4" s="44" t="s">
        <v>1092</v>
      </c>
      <c r="O4" t="s">
        <v>1094</v>
      </c>
      <c r="P4" t="s">
        <v>1095</v>
      </c>
      <c r="Q4" t="s">
        <v>1096</v>
      </c>
      <c r="R4" t="s">
        <v>1090</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113</v>
      </c>
      <c r="K6">
        <v>22274</v>
      </c>
      <c r="N6" t="s">
        <v>113</v>
      </c>
      <c r="O6">
        <v>11735</v>
      </c>
      <c r="P6">
        <v>42799</v>
      </c>
      <c r="Q6">
        <v>33743</v>
      </c>
      <c r="R6">
        <v>88277</v>
      </c>
    </row>
    <row r="7" spans="1:18">
      <c r="A7" t="s">
        <v>848</v>
      </c>
      <c r="B7">
        <v>2677</v>
      </c>
      <c r="G7">
        <v>2677</v>
      </c>
      <c r="J7" t="s">
        <v>1097</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1098</v>
      </c>
      <c r="P9">
        <v>2546</v>
      </c>
      <c r="Q9">
        <v>627</v>
      </c>
      <c r="R9">
        <v>3173</v>
      </c>
    </row>
    <row r="10" spans="1:18">
      <c r="A10" t="s">
        <v>699</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161</v>
      </c>
      <c r="O11">
        <v>6561</v>
      </c>
      <c r="P11">
        <v>14625</v>
      </c>
      <c r="Q11">
        <v>17060</v>
      </c>
      <c r="R11">
        <v>38246</v>
      </c>
    </row>
    <row r="12" spans="1:18">
      <c r="A12" t="s">
        <v>1090</v>
      </c>
      <c r="B12">
        <v>2677</v>
      </c>
      <c r="C12">
        <v>2967</v>
      </c>
      <c r="D12">
        <v>3297</v>
      </c>
      <c r="E12">
        <v>2384</v>
      </c>
      <c r="F12">
        <v>1394</v>
      </c>
      <c r="G12">
        <v>12719</v>
      </c>
      <c r="J12" t="s">
        <v>1099</v>
      </c>
      <c r="K12">
        <v>3502</v>
      </c>
      <c r="N12" t="s">
        <v>653</v>
      </c>
      <c r="P12">
        <v>5968</v>
      </c>
      <c r="Q12">
        <v>20002</v>
      </c>
      <c r="R12">
        <v>25970</v>
      </c>
    </row>
    <row r="13" spans="1:18">
      <c r="J13" t="s">
        <v>161</v>
      </c>
      <c r="K13">
        <v>7128</v>
      </c>
      <c r="N13" t="s">
        <v>838</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653</v>
      </c>
      <c r="K15">
        <v>13034</v>
      </c>
    </row>
    <row r="16" spans="1:18">
      <c r="A16" s="44" t="s">
        <v>1089</v>
      </c>
      <c r="B16" s="111">
        <v>45705</v>
      </c>
      <c r="C16" s="111">
        <v>45706</v>
      </c>
      <c r="D16" s="111">
        <v>45707</v>
      </c>
      <c r="E16" s="111">
        <v>45708</v>
      </c>
      <c r="F16" s="111">
        <v>45709</v>
      </c>
      <c r="G16" t="s">
        <v>1090</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1090</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1101</v>
      </c>
      <c r="F66">
        <v>0</v>
      </c>
      <c r="G66">
        <v>0</v>
      </c>
    </row>
    <row r="67" spans="1:7">
      <c r="A67" t="s">
        <v>837</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1101</v>
      </c>
      <c r="B102">
        <v>0</v>
      </c>
      <c r="D102">
        <v>0</v>
      </c>
      <c r="E102">
        <v>0</v>
      </c>
      <c r="F102">
        <v>0</v>
      </c>
      <c r="G102">
        <v>0</v>
      </c>
    </row>
    <row r="103" spans="1:7">
      <c r="A103" t="s">
        <v>837</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1101</v>
      </c>
      <c r="B149">
        <v>0</v>
      </c>
      <c r="C149">
        <v>106</v>
      </c>
      <c r="D149">
        <v>0</v>
      </c>
      <c r="E149">
        <v>0</v>
      </c>
      <c r="F149">
        <v>0</v>
      </c>
      <c r="G149">
        <v>106</v>
      </c>
    </row>
    <row r="150" spans="1:7">
      <c r="A150" t="s">
        <v>837</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514</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812</v>
      </c>
      <c r="B239">
        <v>905</v>
      </c>
      <c r="C239">
        <v>630</v>
      </c>
      <c r="D239">
        <v>894</v>
      </c>
      <c r="G239">
        <v>2429</v>
      </c>
    </row>
    <row r="240" spans="1:7">
      <c r="A240" t="s">
        <v>1109</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1110</v>
      </c>
    </row>
    <row r="245" spans="1:7">
      <c r="A245" t="s">
        <v>1111</v>
      </c>
    </row>
    <row r="246" spans="1:7">
      <c r="A246" t="s">
        <v>1052</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329</v>
      </c>
      <c r="C251">
        <v>483</v>
      </c>
      <c r="D251">
        <v>1799</v>
      </c>
      <c r="F251">
        <v>0</v>
      </c>
      <c r="G251">
        <v>2282</v>
      </c>
    </row>
    <row r="252" spans="1:7">
      <c r="A252" t="s">
        <v>652</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665</v>
      </c>
      <c r="E255">
        <v>195</v>
      </c>
      <c r="G255">
        <v>195</v>
      </c>
    </row>
    <row r="256" spans="1:7">
      <c r="A256" t="s">
        <v>796</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1045</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329</v>
      </c>
      <c r="B277">
        <v>499</v>
      </c>
      <c r="C277">
        <v>0</v>
      </c>
      <c r="D277">
        <v>0</v>
      </c>
      <c r="G277">
        <v>499</v>
      </c>
    </row>
    <row r="278" spans="1:7">
      <c r="A278" t="s">
        <v>1050</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1114</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1054</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524</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1110</v>
      </c>
      <c r="E336">
        <v>96</v>
      </c>
      <c r="G336">
        <v>96</v>
      </c>
    </row>
    <row r="337" spans="1:7">
      <c r="A337" t="s">
        <v>1050</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1047</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663</v>
      </c>
    </row>
    <row r="387" spans="1:7">
      <c r="A387" t="s">
        <v>944</v>
      </c>
      <c r="F387">
        <v>1367</v>
      </c>
      <c r="G387">
        <v>1367</v>
      </c>
    </row>
    <row r="388" spans="1:7">
      <c r="A388" t="s">
        <v>872</v>
      </c>
    </row>
    <row r="389" spans="1:7">
      <c r="A389" t="s">
        <v>1047</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1116</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817</v>
      </c>
      <c r="C435">
        <v>55</v>
      </c>
      <c r="G435">
        <v>55</v>
      </c>
    </row>
    <row r="436" spans="1:7">
      <c r="A436" t="s">
        <v>760</v>
      </c>
      <c r="D436">
        <v>1190</v>
      </c>
      <c r="G436">
        <v>1190</v>
      </c>
    </row>
    <row r="437" spans="1:7">
      <c r="A437" t="s">
        <v>1110</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1118</v>
      </c>
    </row>
    <row r="445" spans="1:7">
      <c r="A445" t="s">
        <v>1119</v>
      </c>
      <c r="C445">
        <v>212</v>
      </c>
      <c r="E445">
        <v>1316</v>
      </c>
      <c r="F445">
        <v>1232</v>
      </c>
      <c r="G445">
        <v>2760</v>
      </c>
    </row>
    <row r="446" spans="1:7">
      <c r="A446" t="s">
        <v>511</v>
      </c>
      <c r="D446">
        <v>153</v>
      </c>
      <c r="G446">
        <v>153</v>
      </c>
    </row>
    <row r="447" spans="1:7">
      <c r="A447" t="s">
        <v>1121</v>
      </c>
    </row>
    <row r="448" spans="1:7">
      <c r="A448" t="s">
        <v>1122</v>
      </c>
    </row>
    <row r="449" spans="1:7">
      <c r="A449" t="s">
        <v>1123</v>
      </c>
      <c r="E449">
        <v>201</v>
      </c>
      <c r="F449">
        <v>30</v>
      </c>
      <c r="G449">
        <v>231</v>
      </c>
    </row>
    <row r="450" spans="1:7">
      <c r="A450" t="s">
        <v>672</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1124</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744</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row>
    <row r="531" spans="1:7">
      <c r="A531" t="s">
        <v>1050</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1123</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660</v>
      </c>
      <c r="C564">
        <v>282</v>
      </c>
      <c r="G564">
        <v>282</v>
      </c>
    </row>
    <row r="565" spans="1:7">
      <c r="A565" t="s">
        <v>524</v>
      </c>
      <c r="B565">
        <v>885</v>
      </c>
      <c r="C565">
        <v>478</v>
      </c>
      <c r="D565">
        <v>490</v>
      </c>
      <c r="E565">
        <v>372</v>
      </c>
      <c r="G565">
        <v>2225</v>
      </c>
    </row>
    <row r="566" spans="1:7">
      <c r="A566" t="s">
        <v>1116</v>
      </c>
    </row>
    <row r="567" spans="1:7">
      <c r="A567" t="s">
        <v>1123</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F578">
        <v>198</v>
      </c>
      <c r="G578">
        <v>198</v>
      </c>
    </row>
    <row r="579" spans="1:7">
      <c r="A579" t="s">
        <v>524</v>
      </c>
    </row>
    <row r="580" spans="1:7">
      <c r="A580" t="s">
        <v>656</v>
      </c>
    </row>
    <row r="581" spans="1:7">
      <c r="A581" t="s">
        <v>1118</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C590">
        <v>403</v>
      </c>
      <c r="D590">
        <v>39</v>
      </c>
      <c r="G590">
        <v>442</v>
      </c>
    </row>
    <row r="591" spans="1:7">
      <c r="A591" t="s">
        <v>530</v>
      </c>
      <c r="B591">
        <v>862</v>
      </c>
      <c r="G591">
        <v>862</v>
      </c>
    </row>
    <row r="592" spans="1:7">
      <c r="A592" t="s">
        <v>1118</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C604">
        <v>318</v>
      </c>
      <c r="G604">
        <v>318</v>
      </c>
    </row>
    <row r="605" spans="1:7">
      <c r="A605" t="s">
        <v>530</v>
      </c>
      <c r="D605">
        <v>461</v>
      </c>
      <c r="E605">
        <v>880</v>
      </c>
      <c r="F605">
        <v>585</v>
      </c>
      <c r="G605">
        <v>1926</v>
      </c>
    </row>
    <row r="606" spans="1:7">
      <c r="A606" t="s">
        <v>656</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1138</v>
      </c>
      <c r="C615">
        <v>605</v>
      </c>
      <c r="G615">
        <v>605</v>
      </c>
    </row>
    <row r="616" spans="1:7">
      <c r="A616" t="s">
        <v>726</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F623">
        <v>318</v>
      </c>
      <c r="G623">
        <v>318</v>
      </c>
    </row>
    <row r="624" spans="1:7">
      <c r="A624" t="s">
        <v>828</v>
      </c>
      <c r="F624">
        <v>183</v>
      </c>
      <c r="G624">
        <v>183</v>
      </c>
    </row>
    <row r="625" spans="1:7">
      <c r="A625" t="s">
        <v>530</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521</v>
      </c>
      <c r="D632">
        <v>314</v>
      </c>
      <c r="G632">
        <v>314</v>
      </c>
    </row>
    <row r="633" spans="1:7">
      <c r="A633" t="s">
        <v>535</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C651">
        <v>319</v>
      </c>
      <c r="G651">
        <v>319</v>
      </c>
    </row>
    <row r="652" spans="1:7">
      <c r="A652" t="s">
        <v>1118</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1139</v>
      </c>
    </row>
    <row r="659" spans="1:7">
      <c r="A659" t="s">
        <v>228</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D665">
        <v>499</v>
      </c>
      <c r="E665">
        <v>231</v>
      </c>
      <c r="F665">
        <v>316</v>
      </c>
      <c r="G665">
        <v>1046</v>
      </c>
    </row>
    <row r="666" spans="1:7">
      <c r="A666" t="s">
        <v>501</v>
      </c>
    </row>
    <row r="667" spans="1:7">
      <c r="A667" t="s">
        <v>1118</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228</v>
      </c>
      <c r="B673">
        <v>396</v>
      </c>
      <c r="G673">
        <v>396</v>
      </c>
    </row>
    <row r="674" spans="1:7">
      <c r="A674" t="s">
        <v>766</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1118</v>
      </c>
      <c r="B688">
        <v>20</v>
      </c>
      <c r="E688">
        <v>250</v>
      </c>
      <c r="F688">
        <v>177</v>
      </c>
      <c r="G688">
        <v>447</v>
      </c>
    </row>
    <row r="689" spans="1:7">
      <c r="A689" t="s">
        <v>535</v>
      </c>
      <c r="B689">
        <v>639</v>
      </c>
      <c r="G689">
        <v>639</v>
      </c>
    </row>
    <row r="690" spans="1:7">
      <c r="A690" t="s">
        <v>228</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1143</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329</v>
      </c>
      <c r="E706">
        <v>99</v>
      </c>
      <c r="G706">
        <v>99</v>
      </c>
    </row>
    <row r="707" spans="1:7">
      <c r="A707" t="s">
        <v>530</v>
      </c>
    </row>
    <row r="708" spans="1:7">
      <c r="A708" t="s">
        <v>928</v>
      </c>
    </row>
    <row r="709" spans="1:7">
      <c r="A709" t="s">
        <v>656</v>
      </c>
      <c r="C709">
        <v>15</v>
      </c>
      <c r="D709">
        <v>65</v>
      </c>
      <c r="E709">
        <v>6</v>
      </c>
      <c r="G709">
        <v>86</v>
      </c>
    </row>
    <row r="710" spans="1:7">
      <c r="A710" t="s">
        <v>1118</v>
      </c>
    </row>
    <row r="711" spans="1:7">
      <c r="A711" t="s">
        <v>1123</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547</v>
      </c>
      <c r="E719">
        <v>903</v>
      </c>
      <c r="G719">
        <v>903</v>
      </c>
    </row>
    <row r="720" spans="1:7">
      <c r="A720" t="s">
        <v>537</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305</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row>
    <row r="743" spans="1:7">
      <c r="A743" t="s">
        <v>530</v>
      </c>
      <c r="D743">
        <v>139</v>
      </c>
      <c r="G743">
        <v>139</v>
      </c>
    </row>
    <row r="744" spans="1:7">
      <c r="A744" t="s">
        <v>656</v>
      </c>
    </row>
    <row r="745" spans="1:7">
      <c r="A745" t="s">
        <v>511</v>
      </c>
      <c r="E745">
        <v>97</v>
      </c>
      <c r="G745">
        <v>97</v>
      </c>
    </row>
    <row r="746" spans="1:7">
      <c r="A746" t="s">
        <v>1123</v>
      </c>
      <c r="B746">
        <v>42</v>
      </c>
      <c r="C746">
        <v>219</v>
      </c>
      <c r="F746">
        <v>70</v>
      </c>
      <c r="G746">
        <v>331</v>
      </c>
    </row>
    <row r="747" spans="1:7">
      <c r="A747" t="s">
        <v>1141</v>
      </c>
    </row>
    <row r="748" spans="1:7">
      <c r="A748" t="s">
        <v>547</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332</v>
      </c>
      <c r="C753">
        <v>251</v>
      </c>
      <c r="D753">
        <v>253</v>
      </c>
      <c r="E753">
        <v>1076</v>
      </c>
      <c r="G753">
        <v>1580</v>
      </c>
    </row>
    <row r="754" spans="1:7">
      <c r="A754" t="s">
        <v>305</v>
      </c>
      <c r="B754">
        <v>829</v>
      </c>
      <c r="D754">
        <v>863</v>
      </c>
      <c r="E754">
        <v>499</v>
      </c>
      <c r="F754">
        <v>475</v>
      </c>
      <c r="G754">
        <v>2666</v>
      </c>
    </row>
    <row r="755" spans="1:7">
      <c r="A755" t="s">
        <v>1003</v>
      </c>
      <c r="E755">
        <v>754</v>
      </c>
      <c r="G755">
        <v>754</v>
      </c>
    </row>
    <row r="756" spans="1:7">
      <c r="A756" t="s">
        <v>549</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row>
    <row r="763" spans="1:7">
      <c r="A763" t="s">
        <v>530</v>
      </c>
      <c r="B763">
        <v>60</v>
      </c>
      <c r="G763">
        <v>60</v>
      </c>
    </row>
    <row r="764" spans="1:7">
      <c r="A764" t="s">
        <v>505</v>
      </c>
      <c r="E764">
        <v>175</v>
      </c>
      <c r="G764">
        <v>175</v>
      </c>
    </row>
    <row r="765" spans="1:7">
      <c r="A765" t="s">
        <v>1123</v>
      </c>
      <c r="C765">
        <v>224</v>
      </c>
      <c r="G765">
        <v>224</v>
      </c>
    </row>
    <row r="766" spans="1:7">
      <c r="A766" t="s">
        <v>521</v>
      </c>
      <c r="D766">
        <v>406</v>
      </c>
      <c r="G766">
        <v>406</v>
      </c>
    </row>
    <row r="767" spans="1:7">
      <c r="A767" t="s">
        <v>228</v>
      </c>
      <c r="D767">
        <v>362</v>
      </c>
      <c r="E767">
        <v>399</v>
      </c>
      <c r="G767">
        <v>761</v>
      </c>
    </row>
    <row r="768" spans="1:7">
      <c r="A768" t="s">
        <v>1011</v>
      </c>
    </row>
    <row r="769" spans="1:7">
      <c r="A769" t="s">
        <v>1001</v>
      </c>
    </row>
    <row r="770" spans="1:7">
      <c r="A770" t="s">
        <v>332</v>
      </c>
      <c r="C770">
        <v>120</v>
      </c>
      <c r="D770">
        <v>190</v>
      </c>
      <c r="G770">
        <v>310</v>
      </c>
    </row>
    <row r="771" spans="1:7">
      <c r="A771" t="s">
        <v>305</v>
      </c>
      <c r="B771">
        <v>839</v>
      </c>
      <c r="D771">
        <v>616</v>
      </c>
      <c r="E771">
        <v>969</v>
      </c>
      <c r="F771">
        <v>552</v>
      </c>
      <c r="G771">
        <v>2976</v>
      </c>
    </row>
    <row r="772" spans="1:7">
      <c r="A772" t="s">
        <v>1003</v>
      </c>
      <c r="B772">
        <v>1285</v>
      </c>
      <c r="G772">
        <v>1285</v>
      </c>
    </row>
    <row r="773" spans="1:7">
      <c r="A773" t="s">
        <v>549</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755</v>
      </c>
      <c r="B776">
        <v>335</v>
      </c>
      <c r="G776">
        <v>335</v>
      </c>
    </row>
    <row r="777" spans="1:7">
      <c r="A777" t="s">
        <v>1147</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982</v>
      </c>
      <c r="D780">
        <v>240</v>
      </c>
      <c r="E780">
        <v>504</v>
      </c>
      <c r="G780">
        <v>744</v>
      </c>
    </row>
    <row r="781" spans="1:7">
      <c r="A781" t="s">
        <v>1148</v>
      </c>
      <c r="F781">
        <v>4135</v>
      </c>
      <c r="G781">
        <v>4135</v>
      </c>
    </row>
    <row r="782" spans="1:7">
      <c r="A782" t="s">
        <v>335</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row>
    <row r="790" spans="1:7">
      <c r="A790" t="s">
        <v>505</v>
      </c>
      <c r="B790">
        <v>229</v>
      </c>
      <c r="G790">
        <v>229</v>
      </c>
    </row>
    <row r="791" spans="1:7">
      <c r="A791" t="s">
        <v>511</v>
      </c>
      <c r="C791">
        <v>134</v>
      </c>
      <c r="E791">
        <v>450</v>
      </c>
      <c r="F791">
        <v>352</v>
      </c>
      <c r="G791">
        <v>936</v>
      </c>
    </row>
    <row r="792" spans="1:7">
      <c r="A792" t="s">
        <v>1123</v>
      </c>
      <c r="D792">
        <v>201</v>
      </c>
      <c r="F792">
        <v>352</v>
      </c>
      <c r="G792">
        <v>553</v>
      </c>
    </row>
    <row r="793" spans="1:7">
      <c r="A793" t="s">
        <v>521</v>
      </c>
      <c r="C793">
        <v>665</v>
      </c>
      <c r="D793">
        <v>753</v>
      </c>
      <c r="E793">
        <v>305</v>
      </c>
      <c r="G793">
        <v>1723</v>
      </c>
    </row>
    <row r="794" spans="1:7">
      <c r="A794" t="s">
        <v>332</v>
      </c>
      <c r="B794">
        <v>479</v>
      </c>
      <c r="E794">
        <v>170</v>
      </c>
      <c r="G794">
        <v>649</v>
      </c>
    </row>
    <row r="795" spans="1:7">
      <c r="A795" t="s">
        <v>305</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335</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E813">
        <v>270</v>
      </c>
      <c r="F813">
        <v>268</v>
      </c>
      <c r="G813">
        <v>538</v>
      </c>
    </row>
    <row r="814" spans="1:7">
      <c r="A814" t="s">
        <v>1117</v>
      </c>
      <c r="D814">
        <v>126</v>
      </c>
      <c r="E814">
        <v>229</v>
      </c>
      <c r="G814">
        <v>355</v>
      </c>
    </row>
    <row r="815" spans="1:7">
      <c r="A815" t="s">
        <v>511</v>
      </c>
      <c r="B815">
        <v>175</v>
      </c>
      <c r="C815">
        <v>270</v>
      </c>
      <c r="G815">
        <v>445</v>
      </c>
    </row>
    <row r="816" spans="1:7">
      <c r="A816" t="s">
        <v>1123</v>
      </c>
      <c r="B816">
        <v>65</v>
      </c>
      <c r="C816">
        <v>55</v>
      </c>
      <c r="G816">
        <v>120</v>
      </c>
    </row>
    <row r="817" spans="1:7">
      <c r="A817" t="s">
        <v>521</v>
      </c>
    </row>
    <row r="818" spans="1:7">
      <c r="A818" t="s">
        <v>332</v>
      </c>
      <c r="E818">
        <v>725</v>
      </c>
      <c r="G818">
        <v>725</v>
      </c>
    </row>
    <row r="819" spans="1:7">
      <c r="A819" t="s">
        <v>305</v>
      </c>
      <c r="B819">
        <v>768</v>
      </c>
      <c r="C819">
        <v>1014</v>
      </c>
      <c r="G819">
        <v>1782</v>
      </c>
    </row>
    <row r="820" spans="1:7">
      <c r="A820" t="s">
        <v>1147</v>
      </c>
      <c r="B820">
        <v>225</v>
      </c>
      <c r="C820">
        <v>1287</v>
      </c>
      <c r="D820">
        <v>1185</v>
      </c>
      <c r="E820">
        <v>508</v>
      </c>
      <c r="G820">
        <v>3205</v>
      </c>
    </row>
    <row r="821" spans="1:7">
      <c r="A821" t="s">
        <v>558</v>
      </c>
      <c r="D821">
        <v>334</v>
      </c>
      <c r="G821">
        <v>334</v>
      </c>
    </row>
    <row r="822" spans="1:7">
      <c r="A822" t="s">
        <v>1148</v>
      </c>
      <c r="C822">
        <v>216</v>
      </c>
      <c r="G822">
        <v>216</v>
      </c>
    </row>
    <row r="823" spans="1:7">
      <c r="A823" t="s">
        <v>335</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1016</v>
      </c>
      <c r="B826">
        <v>1545</v>
      </c>
      <c r="C826">
        <v>995</v>
      </c>
      <c r="G826">
        <v>2540</v>
      </c>
    </row>
    <row r="827" spans="1:7">
      <c r="A827" t="s">
        <v>542</v>
      </c>
      <c r="D827">
        <v>333</v>
      </c>
      <c r="G827">
        <v>333</v>
      </c>
    </row>
    <row r="828" spans="1:7">
      <c r="A828" t="s">
        <v>1150</v>
      </c>
      <c r="D828">
        <v>160</v>
      </c>
      <c r="G828">
        <v>160</v>
      </c>
    </row>
    <row r="829" spans="1:7">
      <c r="A829" t="s">
        <v>130</v>
      </c>
      <c r="D829">
        <v>1282</v>
      </c>
      <c r="E829">
        <v>980</v>
      </c>
      <c r="G829">
        <v>2262</v>
      </c>
    </row>
    <row r="830" spans="1:7">
      <c r="A830" t="s">
        <v>308</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228</v>
      </c>
      <c r="E838">
        <v>170</v>
      </c>
      <c r="G838">
        <v>170</v>
      </c>
    </row>
    <row r="839" spans="1:7">
      <c r="A839" t="s">
        <v>305</v>
      </c>
      <c r="D839">
        <v>986</v>
      </c>
      <c r="G839">
        <v>986</v>
      </c>
    </row>
    <row r="840" spans="1:7">
      <c r="A840" t="s">
        <v>1147</v>
      </c>
      <c r="B840">
        <v>916</v>
      </c>
      <c r="C840">
        <v>144</v>
      </c>
      <c r="G840">
        <v>1060</v>
      </c>
    </row>
    <row r="841" spans="1:7">
      <c r="A841" t="s">
        <v>575</v>
      </c>
    </row>
    <row r="842" spans="1:7">
      <c r="A842" t="s">
        <v>1016</v>
      </c>
    </row>
    <row r="843" spans="1:7">
      <c r="A843" t="s">
        <v>130</v>
      </c>
      <c r="B843">
        <v>828</v>
      </c>
      <c r="C843">
        <v>150</v>
      </c>
      <c r="E843">
        <v>688</v>
      </c>
      <c r="G843">
        <v>1666</v>
      </c>
    </row>
    <row r="844" spans="1:7">
      <c r="A844" t="s">
        <v>1151</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311</v>
      </c>
      <c r="B847">
        <v>60</v>
      </c>
      <c r="C847">
        <v>219</v>
      </c>
      <c r="G847">
        <v>279</v>
      </c>
    </row>
    <row r="848" spans="1:7">
      <c r="A848" t="s">
        <v>1038</v>
      </c>
      <c r="D848">
        <v>240</v>
      </c>
      <c r="G848">
        <v>240</v>
      </c>
    </row>
    <row r="849" spans="1:7">
      <c r="A849" t="s">
        <v>1152</v>
      </c>
      <c r="C849">
        <v>1603</v>
      </c>
      <c r="D849">
        <v>791</v>
      </c>
      <c r="E849">
        <v>2803</v>
      </c>
      <c r="G849">
        <v>5197</v>
      </c>
    </row>
    <row r="850" spans="1:7">
      <c r="A850" t="s">
        <v>319</v>
      </c>
      <c r="C850">
        <v>927</v>
      </c>
      <c r="D850">
        <v>1221</v>
      </c>
      <c r="E850">
        <v>1023</v>
      </c>
      <c r="G850">
        <v>3171</v>
      </c>
    </row>
    <row r="851" spans="1:7">
      <c r="A851" t="s">
        <v>581</v>
      </c>
      <c r="C851">
        <v>974</v>
      </c>
      <c r="D851">
        <v>1312</v>
      </c>
      <c r="E851">
        <v>359</v>
      </c>
      <c r="G851">
        <v>2645</v>
      </c>
    </row>
    <row r="852" spans="1:7">
      <c r="A852" t="s">
        <v>1018</v>
      </c>
      <c r="D852">
        <v>1239</v>
      </c>
      <c r="E852">
        <v>1220</v>
      </c>
      <c r="G852">
        <v>2459</v>
      </c>
    </row>
    <row r="853" spans="1:7">
      <c r="A853" t="s">
        <v>325</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511</v>
      </c>
      <c r="B860">
        <v>153</v>
      </c>
      <c r="C860">
        <v>244</v>
      </c>
      <c r="E860">
        <v>237</v>
      </c>
      <c r="G860">
        <v>634</v>
      </c>
    </row>
    <row r="861" spans="1:7">
      <c r="A861" t="s">
        <v>1123</v>
      </c>
      <c r="B861">
        <v>455</v>
      </c>
      <c r="G861">
        <v>455</v>
      </c>
    </row>
    <row r="862" spans="1:7">
      <c r="A862" t="s">
        <v>521</v>
      </c>
      <c r="B862">
        <v>151</v>
      </c>
      <c r="C862">
        <v>149</v>
      </c>
      <c r="G862">
        <v>300</v>
      </c>
    </row>
    <row r="863" spans="1:7">
      <c r="A863" t="s">
        <v>73</v>
      </c>
      <c r="D863">
        <v>168</v>
      </c>
      <c r="F863">
        <v>34</v>
      </c>
      <c r="G863">
        <v>202</v>
      </c>
    </row>
    <row r="864" spans="1:7">
      <c r="A864" t="s">
        <v>542</v>
      </c>
    </row>
    <row r="865" spans="1:7">
      <c r="A865" t="s">
        <v>642</v>
      </c>
      <c r="C865">
        <v>413</v>
      </c>
      <c r="D865">
        <v>190</v>
      </c>
      <c r="E865">
        <v>1194</v>
      </c>
      <c r="F865">
        <v>306</v>
      </c>
      <c r="G865">
        <v>2103</v>
      </c>
    </row>
    <row r="866" spans="1:7">
      <c r="A866" t="s">
        <v>1152</v>
      </c>
      <c r="B866">
        <v>3343</v>
      </c>
      <c r="C866">
        <v>714</v>
      </c>
      <c r="D866">
        <v>2013</v>
      </c>
      <c r="E866">
        <v>1500</v>
      </c>
      <c r="F866">
        <v>1933</v>
      </c>
      <c r="G866">
        <v>9503</v>
      </c>
    </row>
    <row r="867" spans="1:7">
      <c r="A867" t="s">
        <v>319</v>
      </c>
      <c r="B867">
        <v>1100</v>
      </c>
      <c r="C867">
        <v>527</v>
      </c>
      <c r="D867">
        <v>553</v>
      </c>
      <c r="G867">
        <v>2180</v>
      </c>
    </row>
    <row r="868" spans="1:7">
      <c r="A868" t="s">
        <v>581</v>
      </c>
      <c r="C868">
        <v>230</v>
      </c>
      <c r="G868">
        <v>230</v>
      </c>
    </row>
    <row r="869" spans="1:7">
      <c r="A869" t="s">
        <v>1018</v>
      </c>
      <c r="B869">
        <v>853</v>
      </c>
      <c r="G869">
        <v>853</v>
      </c>
    </row>
    <row r="870" spans="1:7">
      <c r="A870" t="s">
        <v>325</v>
      </c>
      <c r="B870">
        <v>1186</v>
      </c>
      <c r="C870">
        <v>1564</v>
      </c>
      <c r="D870">
        <v>1012</v>
      </c>
      <c r="E870">
        <v>588</v>
      </c>
      <c r="G870">
        <v>4350</v>
      </c>
    </row>
    <row r="871" spans="1:7">
      <c r="A871" t="s">
        <v>1020</v>
      </c>
      <c r="C871">
        <v>1007</v>
      </c>
      <c r="D871">
        <v>1672</v>
      </c>
      <c r="E871">
        <v>1544</v>
      </c>
      <c r="G871">
        <v>4223</v>
      </c>
    </row>
    <row r="872" spans="1:7">
      <c r="A872" t="s">
        <v>587</v>
      </c>
      <c r="C872">
        <v>1182</v>
      </c>
      <c r="D872">
        <v>1604</v>
      </c>
      <c r="E872">
        <v>1268</v>
      </c>
      <c r="G872">
        <v>4054</v>
      </c>
    </row>
    <row r="873" spans="1:7">
      <c r="A873" t="s">
        <v>976</v>
      </c>
      <c r="D873">
        <v>1624</v>
      </c>
      <c r="E873">
        <v>551</v>
      </c>
      <c r="G873">
        <v>2175</v>
      </c>
    </row>
    <row r="874" spans="1:7">
      <c r="A874" t="s">
        <v>323</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D880">
        <v>171</v>
      </c>
      <c r="G880">
        <v>171</v>
      </c>
    </row>
    <row r="881" spans="1:7">
      <c r="A881" t="s">
        <v>1117</v>
      </c>
      <c r="B881">
        <v>567</v>
      </c>
      <c r="G881">
        <v>567</v>
      </c>
    </row>
    <row r="882" spans="1:7">
      <c r="A882" t="s">
        <v>521</v>
      </c>
    </row>
    <row r="883" spans="1:7">
      <c r="A883" t="s">
        <v>535</v>
      </c>
      <c r="F883">
        <v>60</v>
      </c>
      <c r="G883">
        <v>60</v>
      </c>
    </row>
    <row r="884" spans="1:7">
      <c r="A884" t="s">
        <v>228</v>
      </c>
    </row>
    <row r="885" spans="1:7">
      <c r="A885" t="s">
        <v>305</v>
      </c>
    </row>
    <row r="886" spans="1:7">
      <c r="A886" t="s">
        <v>73</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1152</v>
      </c>
      <c r="B890">
        <v>820</v>
      </c>
      <c r="C890">
        <v>2077</v>
      </c>
      <c r="D890">
        <v>1096</v>
      </c>
      <c r="G890">
        <v>3993</v>
      </c>
    </row>
    <row r="891" spans="1:7">
      <c r="A891" t="s">
        <v>319</v>
      </c>
      <c r="C891">
        <v>1647</v>
      </c>
      <c r="D891">
        <v>343</v>
      </c>
      <c r="G891">
        <v>1990</v>
      </c>
    </row>
    <row r="892" spans="1:7">
      <c r="A892" t="s">
        <v>1020</v>
      </c>
      <c r="B892">
        <v>587</v>
      </c>
      <c r="C892">
        <v>115</v>
      </c>
      <c r="G892">
        <v>702</v>
      </c>
    </row>
    <row r="893" spans="1:7">
      <c r="A893" t="s">
        <v>579</v>
      </c>
      <c r="C893">
        <v>1509</v>
      </c>
      <c r="D893">
        <v>1087</v>
      </c>
      <c r="E893">
        <v>777</v>
      </c>
      <c r="G893">
        <v>3373</v>
      </c>
    </row>
    <row r="894" spans="1:7">
      <c r="A894" t="s">
        <v>587</v>
      </c>
      <c r="B894">
        <v>1310</v>
      </c>
      <c r="G894">
        <v>1310</v>
      </c>
    </row>
    <row r="895" spans="1:7">
      <c r="A895" t="s">
        <v>976</v>
      </c>
      <c r="F895">
        <v>168</v>
      </c>
      <c r="G895">
        <v>168</v>
      </c>
    </row>
    <row r="896" spans="1:7">
      <c r="A896" t="s">
        <v>323</v>
      </c>
      <c r="B896">
        <v>1323</v>
      </c>
      <c r="C896">
        <v>1516</v>
      </c>
      <c r="D896">
        <v>790</v>
      </c>
      <c r="E896">
        <v>930</v>
      </c>
      <c r="F896">
        <v>408</v>
      </c>
      <c r="G896">
        <v>4967</v>
      </c>
    </row>
    <row r="897" spans="1:7">
      <c r="A897" t="s">
        <v>1153</v>
      </c>
      <c r="B897">
        <v>1224</v>
      </c>
      <c r="C897">
        <v>988</v>
      </c>
      <c r="D897">
        <v>2316</v>
      </c>
      <c r="E897">
        <v>2066</v>
      </c>
      <c r="G897">
        <v>6594</v>
      </c>
    </row>
    <row r="898" spans="1:7">
      <c r="A898" t="s">
        <v>573</v>
      </c>
      <c r="C898">
        <v>1678</v>
      </c>
      <c r="E898">
        <v>394</v>
      </c>
      <c r="G898">
        <v>2072</v>
      </c>
    </row>
    <row r="899" spans="1:7">
      <c r="A899" t="s">
        <v>314</v>
      </c>
      <c r="D899">
        <v>3179</v>
      </c>
      <c r="G899">
        <v>3179</v>
      </c>
    </row>
    <row r="900" spans="1:7">
      <c r="A900" t="s">
        <v>612</v>
      </c>
      <c r="E900">
        <v>978</v>
      </c>
      <c r="G900">
        <v>978</v>
      </c>
    </row>
    <row r="901" spans="1:7">
      <c r="A901" t="s">
        <v>391</v>
      </c>
      <c r="E901">
        <v>502</v>
      </c>
      <c r="G901">
        <v>502</v>
      </c>
    </row>
    <row r="902" spans="1:7">
      <c r="A902" t="s">
        <v>196</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537</v>
      </c>
    </row>
    <row r="910" spans="1:7">
      <c r="A910" t="s">
        <v>305</v>
      </c>
    </row>
    <row r="911" spans="1:7">
      <c r="A911" t="s">
        <v>335</v>
      </c>
      <c r="F911">
        <v>569</v>
      </c>
      <c r="G911">
        <v>569</v>
      </c>
    </row>
    <row r="912" spans="1:7">
      <c r="A912" t="s">
        <v>642</v>
      </c>
    </row>
    <row r="913" spans="1:7">
      <c r="A913" t="s">
        <v>311</v>
      </c>
      <c r="D913">
        <v>150</v>
      </c>
      <c r="G913">
        <v>150</v>
      </c>
    </row>
    <row r="914" spans="1:7">
      <c r="A914" t="s">
        <v>325</v>
      </c>
    </row>
    <row r="915" spans="1:7">
      <c r="A915" t="s">
        <v>587</v>
      </c>
      <c r="B915">
        <v>701</v>
      </c>
      <c r="G915">
        <v>701</v>
      </c>
    </row>
    <row r="916" spans="1:7">
      <c r="A916" t="s">
        <v>976</v>
      </c>
      <c r="B916">
        <v>463</v>
      </c>
      <c r="C916">
        <v>633</v>
      </c>
      <c r="D916">
        <v>625</v>
      </c>
      <c r="G916">
        <v>1721</v>
      </c>
    </row>
    <row r="917" spans="1:7">
      <c r="A917" t="s">
        <v>323</v>
      </c>
    </row>
    <row r="918" spans="1:7">
      <c r="A918" t="s">
        <v>314</v>
      </c>
      <c r="B918">
        <v>882</v>
      </c>
      <c r="C918">
        <v>1072</v>
      </c>
      <c r="D918">
        <v>1034</v>
      </c>
      <c r="E918">
        <v>209</v>
      </c>
      <c r="G918">
        <v>3197</v>
      </c>
    </row>
    <row r="919" spans="1:7">
      <c r="A919" t="s">
        <v>612</v>
      </c>
      <c r="B919">
        <v>1420</v>
      </c>
      <c r="C919">
        <v>990</v>
      </c>
      <c r="D919">
        <v>549</v>
      </c>
      <c r="G919">
        <v>2959</v>
      </c>
    </row>
    <row r="920" spans="1:7">
      <c r="A920" t="s">
        <v>391</v>
      </c>
      <c r="B920">
        <v>259</v>
      </c>
      <c r="C920">
        <v>1087</v>
      </c>
      <c r="D920">
        <v>2206</v>
      </c>
      <c r="E920">
        <v>453</v>
      </c>
      <c r="G920">
        <v>4005</v>
      </c>
    </row>
    <row r="921" spans="1:7">
      <c r="A921" t="s">
        <v>196</v>
      </c>
      <c r="C921">
        <v>379</v>
      </c>
      <c r="D921">
        <v>208</v>
      </c>
      <c r="G921">
        <v>587</v>
      </c>
    </row>
    <row r="922" spans="1:7">
      <c r="A922" t="s">
        <v>585</v>
      </c>
      <c r="B922">
        <v>579</v>
      </c>
      <c r="C922">
        <v>1120</v>
      </c>
      <c r="D922">
        <v>1488</v>
      </c>
      <c r="E922">
        <v>954</v>
      </c>
      <c r="G922">
        <v>4141</v>
      </c>
    </row>
    <row r="923" spans="1:7">
      <c r="A923" t="s">
        <v>1154</v>
      </c>
      <c r="B923">
        <v>365</v>
      </c>
      <c r="G923">
        <v>365</v>
      </c>
    </row>
    <row r="924" spans="1:7">
      <c r="A924" t="s">
        <v>339</v>
      </c>
      <c r="B924">
        <v>207</v>
      </c>
      <c r="G924">
        <v>207</v>
      </c>
    </row>
    <row r="925" spans="1:7">
      <c r="A925" t="s">
        <v>646</v>
      </c>
      <c r="C925">
        <v>1691</v>
      </c>
      <c r="D925">
        <v>1998</v>
      </c>
      <c r="E925">
        <v>760</v>
      </c>
      <c r="F925">
        <v>3975</v>
      </c>
      <c r="G925">
        <v>8424</v>
      </c>
    </row>
    <row r="926" spans="1:7">
      <c r="A926" t="s">
        <v>615</v>
      </c>
      <c r="D926">
        <v>1031</v>
      </c>
      <c r="G926">
        <v>1031</v>
      </c>
    </row>
    <row r="927" spans="1:7">
      <c r="A927" t="s">
        <v>337</v>
      </c>
      <c r="E927">
        <v>1063</v>
      </c>
      <c r="F927">
        <v>1263</v>
      </c>
      <c r="G927">
        <v>2326</v>
      </c>
    </row>
    <row r="928" spans="1:7">
      <c r="A928" t="s">
        <v>644</v>
      </c>
      <c r="F928">
        <v>451</v>
      </c>
      <c r="G928">
        <v>451</v>
      </c>
    </row>
    <row r="929" spans="1:7">
      <c r="A929" t="s">
        <v>425</v>
      </c>
      <c r="B929">
        <v>3266</v>
      </c>
      <c r="C929">
        <v>3910</v>
      </c>
      <c r="D929">
        <v>346</v>
      </c>
      <c r="G929">
        <v>7522</v>
      </c>
    </row>
    <row r="930" spans="1:7">
      <c r="A930" t="s">
        <v>420</v>
      </c>
      <c r="C930">
        <v>372</v>
      </c>
      <c r="D930">
        <v>656</v>
      </c>
      <c r="G930">
        <v>1028</v>
      </c>
    </row>
    <row r="931" spans="1:7">
      <c r="A931" t="s">
        <v>416</v>
      </c>
      <c r="D931">
        <v>2985</v>
      </c>
      <c r="E931">
        <v>2373</v>
      </c>
      <c r="G931">
        <v>5358</v>
      </c>
    </row>
    <row r="932" spans="1:7">
      <c r="A932" t="s">
        <v>442</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row>
    <row r="939" spans="1:7">
      <c r="A939" t="s">
        <v>308</v>
      </c>
    </row>
    <row r="940" spans="1:7">
      <c r="A940" t="s">
        <v>642</v>
      </c>
      <c r="B940">
        <v>560</v>
      </c>
      <c r="G940">
        <v>560</v>
      </c>
    </row>
    <row r="941" spans="1:7">
      <c r="A941" t="s">
        <v>325</v>
      </c>
    </row>
    <row r="942" spans="1:7">
      <c r="A942" t="s">
        <v>587</v>
      </c>
      <c r="B942">
        <v>138</v>
      </c>
      <c r="G942">
        <v>138</v>
      </c>
    </row>
    <row r="943" spans="1:7">
      <c r="A943" t="s">
        <v>323</v>
      </c>
    </row>
    <row r="944" spans="1:7">
      <c r="A944" t="s">
        <v>314</v>
      </c>
      <c r="B944">
        <v>96</v>
      </c>
      <c r="G944">
        <v>96</v>
      </c>
    </row>
    <row r="945" spans="1:7">
      <c r="A945" t="s">
        <v>612</v>
      </c>
      <c r="B945">
        <v>632</v>
      </c>
      <c r="G945">
        <v>632</v>
      </c>
    </row>
    <row r="946" spans="1:7">
      <c r="A946" t="s">
        <v>391</v>
      </c>
      <c r="B946">
        <v>558</v>
      </c>
      <c r="G946">
        <v>558</v>
      </c>
    </row>
    <row r="947" spans="1:7">
      <c r="A947" t="s">
        <v>196</v>
      </c>
      <c r="B947">
        <v>562</v>
      </c>
      <c r="D947">
        <v>474</v>
      </c>
      <c r="E947">
        <v>606</v>
      </c>
      <c r="F947">
        <v>322</v>
      </c>
      <c r="G947">
        <v>1964</v>
      </c>
    </row>
    <row r="948" spans="1:7">
      <c r="A948" t="s">
        <v>615</v>
      </c>
      <c r="B948">
        <v>1351</v>
      </c>
      <c r="D948">
        <v>890</v>
      </c>
      <c r="G948">
        <v>2241</v>
      </c>
    </row>
    <row r="949" spans="1:7">
      <c r="A949" t="s">
        <v>442</v>
      </c>
      <c r="B949">
        <v>4084</v>
      </c>
      <c r="D949">
        <v>242</v>
      </c>
      <c r="G949">
        <v>4326</v>
      </c>
    </row>
    <row r="950" spans="1:7">
      <c r="A950" t="s">
        <v>1155</v>
      </c>
      <c r="B950">
        <v>748</v>
      </c>
      <c r="C950">
        <v>1062</v>
      </c>
      <c r="G950">
        <v>1810</v>
      </c>
    </row>
    <row r="951" spans="1:7">
      <c r="A951" t="s">
        <v>316</v>
      </c>
      <c r="B951">
        <v>435</v>
      </c>
      <c r="E951">
        <v>1123</v>
      </c>
      <c r="G951">
        <v>1558</v>
      </c>
    </row>
    <row r="952" spans="1:7">
      <c r="A952" t="s">
        <v>366</v>
      </c>
      <c r="D952">
        <v>1580</v>
      </c>
      <c r="E952">
        <v>1258</v>
      </c>
      <c r="G952">
        <v>2838</v>
      </c>
    </row>
    <row r="953" spans="1:7">
      <c r="A953" t="s">
        <v>583</v>
      </c>
      <c r="D953">
        <v>877</v>
      </c>
      <c r="E953">
        <v>814</v>
      </c>
      <c r="G953">
        <v>1691</v>
      </c>
    </row>
    <row r="954" spans="1:7">
      <c r="A954" t="s">
        <v>182</v>
      </c>
      <c r="D954">
        <v>711</v>
      </c>
      <c r="E954">
        <v>325</v>
      </c>
      <c r="F954">
        <v>430</v>
      </c>
      <c r="G954">
        <v>1466</v>
      </c>
    </row>
    <row r="955" spans="1:7">
      <c r="A955" t="s">
        <v>358</v>
      </c>
      <c r="D955">
        <v>1486</v>
      </c>
      <c r="E955">
        <v>2912</v>
      </c>
      <c r="F955">
        <v>2125</v>
      </c>
      <c r="G955">
        <v>6523</v>
      </c>
    </row>
    <row r="956" spans="1:7">
      <c r="A956" t="s">
        <v>434</v>
      </c>
      <c r="D956">
        <v>1264</v>
      </c>
      <c r="E956">
        <v>1281</v>
      </c>
      <c r="G956">
        <v>2545</v>
      </c>
    </row>
    <row r="957" spans="1:7">
      <c r="A957" t="s">
        <v>1156</v>
      </c>
    </row>
    <row r="958" spans="1:7">
      <c r="A958" t="s">
        <v>447</v>
      </c>
      <c r="D958">
        <v>3678</v>
      </c>
      <c r="E958">
        <v>3382</v>
      </c>
      <c r="G958">
        <v>7060</v>
      </c>
    </row>
    <row r="959" spans="1:7">
      <c r="A959" t="s">
        <v>1157</v>
      </c>
      <c r="F959">
        <v>1505</v>
      </c>
      <c r="G959">
        <v>1505</v>
      </c>
    </row>
    <row r="960" spans="1:7">
      <c r="A960" t="s">
        <v>491</v>
      </c>
      <c r="E960">
        <v>424</v>
      </c>
      <c r="G960">
        <v>424</v>
      </c>
    </row>
    <row r="961" spans="1:7">
      <c r="A961" t="s">
        <v>449</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E968">
        <v>170</v>
      </c>
      <c r="F968">
        <v>271</v>
      </c>
      <c r="G968">
        <v>441</v>
      </c>
    </row>
    <row r="969" spans="1:7">
      <c r="A969" t="s">
        <v>228</v>
      </c>
      <c r="B969">
        <v>446</v>
      </c>
      <c r="C969">
        <v>120</v>
      </c>
      <c r="D969">
        <v>550</v>
      </c>
      <c r="G969">
        <v>1116</v>
      </c>
    </row>
    <row r="970" spans="1:7">
      <c r="A970" t="s">
        <v>642</v>
      </c>
      <c r="C970">
        <v>17</v>
      </c>
      <c r="G970">
        <v>17</v>
      </c>
    </row>
    <row r="971" spans="1:7">
      <c r="A971" t="s">
        <v>587</v>
      </c>
    </row>
    <row r="972" spans="1:7">
      <c r="A972" t="s">
        <v>391</v>
      </c>
      <c r="B972">
        <v>127</v>
      </c>
      <c r="G972">
        <v>127</v>
      </c>
    </row>
    <row r="973" spans="1:7">
      <c r="A973" t="s">
        <v>196</v>
      </c>
      <c r="B973">
        <v>420</v>
      </c>
      <c r="G973">
        <v>420</v>
      </c>
    </row>
    <row r="974" spans="1:7">
      <c r="A974" t="s">
        <v>615</v>
      </c>
    </row>
    <row r="975" spans="1:7">
      <c r="A975" t="s">
        <v>316</v>
      </c>
      <c r="C975">
        <v>1917</v>
      </c>
      <c r="E975">
        <v>272</v>
      </c>
      <c r="G975">
        <v>2189</v>
      </c>
    </row>
    <row r="976" spans="1:7">
      <c r="A976" t="s">
        <v>583</v>
      </c>
      <c r="B976">
        <v>956</v>
      </c>
      <c r="G976">
        <v>956</v>
      </c>
    </row>
    <row r="977" spans="1:7">
      <c r="A977" t="s">
        <v>182</v>
      </c>
      <c r="E977">
        <v>195</v>
      </c>
      <c r="G977">
        <v>195</v>
      </c>
    </row>
    <row r="978" spans="1:7">
      <c r="A978" t="s">
        <v>358</v>
      </c>
      <c r="B978">
        <v>1449</v>
      </c>
      <c r="G978">
        <v>1449</v>
      </c>
    </row>
    <row r="979" spans="1:7">
      <c r="A979" t="s">
        <v>434</v>
      </c>
      <c r="B979">
        <v>1662</v>
      </c>
      <c r="C979">
        <v>2684</v>
      </c>
      <c r="F979">
        <v>51</v>
      </c>
      <c r="G979">
        <v>4397</v>
      </c>
    </row>
    <row r="980" spans="1:7">
      <c r="A980" t="s">
        <v>444</v>
      </c>
      <c r="B980">
        <v>5466</v>
      </c>
      <c r="E980">
        <v>2252</v>
      </c>
      <c r="G980">
        <v>7718</v>
      </c>
    </row>
    <row r="981" spans="1:7">
      <c r="A981" t="s">
        <v>1157</v>
      </c>
      <c r="B981">
        <v>907</v>
      </c>
      <c r="G981">
        <v>907</v>
      </c>
    </row>
    <row r="982" spans="1:7">
      <c r="A982" t="s">
        <v>491</v>
      </c>
      <c r="E982">
        <v>313</v>
      </c>
      <c r="F982">
        <v>3007</v>
      </c>
      <c r="G982">
        <v>3320</v>
      </c>
    </row>
    <row r="983" spans="1:7">
      <c r="A983" t="s">
        <v>449</v>
      </c>
      <c r="B983">
        <v>1498</v>
      </c>
      <c r="C983">
        <v>3613</v>
      </c>
      <c r="E983">
        <v>1027</v>
      </c>
      <c r="F983">
        <v>490</v>
      </c>
      <c r="G983">
        <v>6628</v>
      </c>
    </row>
    <row r="984" spans="1:7">
      <c r="A984" t="s">
        <v>1158</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378</v>
      </c>
      <c r="C987">
        <v>1679</v>
      </c>
      <c r="D987">
        <v>1429</v>
      </c>
      <c r="E987">
        <v>1624</v>
      </c>
      <c r="G987">
        <v>4732</v>
      </c>
    </row>
    <row r="988" spans="1:7">
      <c r="A988" t="s">
        <v>360</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527</v>
      </c>
      <c r="C993">
        <v>136</v>
      </c>
      <c r="D993">
        <v>170</v>
      </c>
      <c r="F993">
        <v>15</v>
      </c>
      <c r="G993">
        <v>321</v>
      </c>
    </row>
    <row r="994" spans="1:7">
      <c r="A994" t="s">
        <v>452</v>
      </c>
      <c r="E994">
        <v>1420</v>
      </c>
      <c r="F994">
        <v>3043</v>
      </c>
      <c r="G994">
        <v>4463</v>
      </c>
    </row>
    <row r="995" spans="1:7">
      <c r="A995" t="s">
        <v>455</v>
      </c>
      <c r="E995">
        <v>2376</v>
      </c>
      <c r="F995">
        <v>1217</v>
      </c>
      <c r="G995">
        <v>3593</v>
      </c>
    </row>
    <row r="996" spans="1:7">
      <c r="A996" t="s">
        <v>362</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514</v>
      </c>
    </row>
    <row r="1005" spans="1:7">
      <c r="A1005" t="s">
        <v>505</v>
      </c>
      <c r="C1005">
        <v>68</v>
      </c>
      <c r="G1005">
        <v>68</v>
      </c>
    </row>
    <row r="1006" spans="1:7">
      <c r="A1006" t="s">
        <v>1142</v>
      </c>
    </row>
    <row r="1007" spans="1:7">
      <c r="A1007" t="s">
        <v>308</v>
      </c>
    </row>
    <row r="1008" spans="1:7">
      <c r="A1008" t="s">
        <v>976</v>
      </c>
    </row>
    <row r="1009" spans="1:7">
      <c r="A1009" t="s">
        <v>323</v>
      </c>
    </row>
    <row r="1010" spans="1:7">
      <c r="A1010" t="s">
        <v>314</v>
      </c>
    </row>
    <row r="1011" spans="1:7">
      <c r="A1011" t="s">
        <v>196</v>
      </c>
      <c r="D1011">
        <v>426</v>
      </c>
      <c r="G1011">
        <v>426</v>
      </c>
    </row>
    <row r="1012" spans="1:7">
      <c r="A1012" t="s">
        <v>337</v>
      </c>
    </row>
    <row r="1013" spans="1:7">
      <c r="A1013" t="s">
        <v>425</v>
      </c>
    </row>
    <row r="1014" spans="1:7">
      <c r="A1014" t="s">
        <v>420</v>
      </c>
      <c r="C1014">
        <v>1175</v>
      </c>
      <c r="G1014">
        <v>1175</v>
      </c>
    </row>
    <row r="1015" spans="1:7">
      <c r="A1015" t="s">
        <v>416</v>
      </c>
      <c r="C1015">
        <v>996</v>
      </c>
      <c r="G1015">
        <v>996</v>
      </c>
    </row>
    <row r="1016" spans="1:7">
      <c r="A1016" t="s">
        <v>316</v>
      </c>
      <c r="B1016">
        <v>900</v>
      </c>
      <c r="G1016">
        <v>900</v>
      </c>
    </row>
    <row r="1017" spans="1:7">
      <c r="A1017" t="s">
        <v>366</v>
      </c>
    </row>
    <row r="1018" spans="1:7">
      <c r="A1018" t="s">
        <v>583</v>
      </c>
    </row>
    <row r="1019" spans="1:7">
      <c r="A1019" t="s">
        <v>1158</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378</v>
      </c>
      <c r="B1022">
        <v>572</v>
      </c>
      <c r="G1022">
        <v>572</v>
      </c>
    </row>
    <row r="1023" spans="1:7">
      <c r="A1023" t="s">
        <v>1160</v>
      </c>
      <c r="B1023">
        <v>1718</v>
      </c>
      <c r="C1023">
        <v>2478</v>
      </c>
      <c r="D1023">
        <v>1567</v>
      </c>
      <c r="G1023">
        <v>5763</v>
      </c>
    </row>
    <row r="1024" spans="1:7">
      <c r="A1024" t="s">
        <v>452</v>
      </c>
      <c r="C1024">
        <v>3411</v>
      </c>
      <c r="G1024">
        <v>3411</v>
      </c>
    </row>
    <row r="1025" spans="1:7">
      <c r="A1025" t="s">
        <v>172</v>
      </c>
      <c r="B1025">
        <v>82</v>
      </c>
      <c r="G1025">
        <v>82</v>
      </c>
    </row>
    <row r="1026" spans="1:7">
      <c r="A1026" t="s">
        <v>455</v>
      </c>
      <c r="C1026">
        <v>3311</v>
      </c>
      <c r="G1026">
        <v>3311</v>
      </c>
    </row>
    <row r="1027" spans="1:7">
      <c r="A1027" t="s">
        <v>423</v>
      </c>
    </row>
    <row r="1028" spans="1:7">
      <c r="A1028" t="s">
        <v>362</v>
      </c>
      <c r="C1028">
        <v>2568</v>
      </c>
      <c r="G1028">
        <v>2568</v>
      </c>
    </row>
    <row r="1029" spans="1:7">
      <c r="A1029" t="s">
        <v>604</v>
      </c>
      <c r="B1029">
        <v>286</v>
      </c>
      <c r="C1029">
        <v>357</v>
      </c>
      <c r="D1029">
        <v>331</v>
      </c>
      <c r="G1029">
        <v>974</v>
      </c>
    </row>
    <row r="1030" spans="1:7">
      <c r="A1030" t="s">
        <v>352</v>
      </c>
      <c r="B1030">
        <v>1655</v>
      </c>
      <c r="C1030">
        <v>2537</v>
      </c>
      <c r="G1030">
        <v>4192</v>
      </c>
    </row>
    <row r="1031" spans="1:7">
      <c r="A1031" t="s">
        <v>436</v>
      </c>
      <c r="C1031">
        <v>2382</v>
      </c>
      <c r="G1031">
        <v>2382</v>
      </c>
    </row>
    <row r="1032" spans="1:7">
      <c r="A1032" t="s">
        <v>595</v>
      </c>
      <c r="C1032">
        <v>1100</v>
      </c>
      <c r="D1032">
        <v>855</v>
      </c>
      <c r="G1032">
        <v>1955</v>
      </c>
    </row>
    <row r="1033" spans="1:7">
      <c r="A1033" t="s">
        <v>1161</v>
      </c>
      <c r="C1033">
        <v>486</v>
      </c>
      <c r="G1033">
        <v>486</v>
      </c>
    </row>
    <row r="1034" spans="1:7">
      <c r="A1034" t="s">
        <v>458</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428</v>
      </c>
    </row>
    <row r="1043" spans="1:7">
      <c r="A1043" t="s">
        <v>430</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420</v>
      </c>
      <c r="B1053">
        <v>1515</v>
      </c>
      <c r="G1053">
        <v>1515</v>
      </c>
    </row>
    <row r="1054" spans="1:7">
      <c r="A1054" t="s">
        <v>444</v>
      </c>
      <c r="E1054">
        <v>64</v>
      </c>
      <c r="G1054">
        <v>64</v>
      </c>
    </row>
    <row r="1055" spans="1:7">
      <c r="A1055" t="s">
        <v>447</v>
      </c>
    </row>
    <row r="1056" spans="1:7">
      <c r="A1056" t="s">
        <v>592</v>
      </c>
      <c r="B1056">
        <v>1610</v>
      </c>
      <c r="G1056">
        <v>1610</v>
      </c>
    </row>
    <row r="1057" spans="1:7">
      <c r="A1057" t="s">
        <v>589</v>
      </c>
    </row>
    <row r="1058" spans="1:7">
      <c r="A1058" t="s">
        <v>452</v>
      </c>
      <c r="E1058">
        <v>52</v>
      </c>
      <c r="G1058">
        <v>52</v>
      </c>
    </row>
    <row r="1059" spans="1:7">
      <c r="A1059" t="s">
        <v>362</v>
      </c>
      <c r="E1059">
        <v>489</v>
      </c>
      <c r="F1059">
        <v>2020</v>
      </c>
      <c r="G1059">
        <v>2509</v>
      </c>
    </row>
    <row r="1060" spans="1:7">
      <c r="A1060" t="s">
        <v>352</v>
      </c>
      <c r="B1060">
        <v>2113</v>
      </c>
      <c r="D1060">
        <v>1677</v>
      </c>
      <c r="E1060">
        <v>1316</v>
      </c>
      <c r="G1060">
        <v>5106</v>
      </c>
    </row>
    <row r="1061" spans="1:7">
      <c r="A1061" t="s">
        <v>436</v>
      </c>
      <c r="B1061">
        <v>3084</v>
      </c>
      <c r="G1061">
        <v>3084</v>
      </c>
    </row>
    <row r="1062" spans="1:7">
      <c r="A1062" t="s">
        <v>595</v>
      </c>
      <c r="B1062">
        <v>1622</v>
      </c>
      <c r="C1062">
        <v>1131</v>
      </c>
      <c r="G1062">
        <v>2753</v>
      </c>
    </row>
    <row r="1063" spans="1:7">
      <c r="A1063" t="s">
        <v>1161</v>
      </c>
      <c r="B1063">
        <v>600</v>
      </c>
      <c r="C1063">
        <v>610</v>
      </c>
      <c r="D1063">
        <v>974</v>
      </c>
      <c r="G1063">
        <v>2184</v>
      </c>
    </row>
    <row r="1064" spans="1:7">
      <c r="A1064" t="s">
        <v>458</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488</v>
      </c>
      <c r="B1067">
        <v>1829</v>
      </c>
      <c r="C1067">
        <v>2302</v>
      </c>
      <c r="D1067">
        <v>694</v>
      </c>
      <c r="G1067">
        <v>4825</v>
      </c>
    </row>
    <row r="1068" spans="1:7">
      <c r="A1068" t="s">
        <v>439</v>
      </c>
      <c r="B1068">
        <v>1391</v>
      </c>
      <c r="C1068">
        <v>2916</v>
      </c>
      <c r="D1068">
        <v>2430</v>
      </c>
      <c r="G1068">
        <v>6737</v>
      </c>
    </row>
    <row r="1069" spans="1:7">
      <c r="A1069" t="s">
        <v>564</v>
      </c>
      <c r="D1069">
        <v>466</v>
      </c>
      <c r="E1069">
        <v>345</v>
      </c>
      <c r="G1069">
        <v>811</v>
      </c>
    </row>
    <row r="1070" spans="1:7">
      <c r="A1070" t="s">
        <v>381</v>
      </c>
      <c r="E1070">
        <v>1431</v>
      </c>
      <c r="G1070">
        <v>1431</v>
      </c>
    </row>
    <row r="1071" spans="1:7">
      <c r="A1071" t="s">
        <v>570</v>
      </c>
      <c r="D1071">
        <v>1379</v>
      </c>
      <c r="E1071">
        <v>1154</v>
      </c>
      <c r="G1071">
        <v>2533</v>
      </c>
    </row>
    <row r="1072" spans="1:7">
      <c r="A1072" t="s">
        <v>431</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646</v>
      </c>
      <c r="B1081">
        <v>1283</v>
      </c>
      <c r="C1081">
        <v>442</v>
      </c>
      <c r="F1081">
        <v>706</v>
      </c>
      <c r="G1081">
        <v>2431</v>
      </c>
    </row>
    <row r="1082" spans="1:7">
      <c r="A1082" t="s">
        <v>416</v>
      </c>
      <c r="C1082">
        <v>2203</v>
      </c>
      <c r="G1082">
        <v>2203</v>
      </c>
    </row>
    <row r="1083" spans="1:7">
      <c r="A1083" t="s">
        <v>449</v>
      </c>
      <c r="E1083">
        <v>242</v>
      </c>
      <c r="G1083">
        <v>242</v>
      </c>
    </row>
    <row r="1084" spans="1:7">
      <c r="A1084" t="s">
        <v>592</v>
      </c>
    </row>
    <row r="1085" spans="1:7">
      <c r="A1085" t="s">
        <v>362</v>
      </c>
      <c r="B1085">
        <v>428</v>
      </c>
      <c r="G1085">
        <v>428</v>
      </c>
    </row>
    <row r="1086" spans="1:7">
      <c r="A1086" t="s">
        <v>1162</v>
      </c>
    </row>
    <row r="1087" spans="1:7">
      <c r="A1087" t="s">
        <v>1164</v>
      </c>
      <c r="C1087">
        <v>265</v>
      </c>
      <c r="D1087">
        <v>542</v>
      </c>
      <c r="E1087">
        <v>739</v>
      </c>
      <c r="G1087">
        <v>1546</v>
      </c>
    </row>
    <row r="1088" spans="1:7">
      <c r="A1088" t="s">
        <v>488</v>
      </c>
      <c r="D1088">
        <v>91</v>
      </c>
      <c r="G1088">
        <v>91</v>
      </c>
    </row>
    <row r="1089" spans="1:7">
      <c r="A1089" t="s">
        <v>564</v>
      </c>
      <c r="B1089">
        <v>1172</v>
      </c>
      <c r="G1089">
        <v>1172</v>
      </c>
    </row>
    <row r="1090" spans="1:7">
      <c r="A1090" t="s">
        <v>381</v>
      </c>
      <c r="B1090">
        <v>1583</v>
      </c>
      <c r="C1090">
        <v>1325</v>
      </c>
      <c r="D1090">
        <v>621</v>
      </c>
      <c r="G1090">
        <v>3529</v>
      </c>
    </row>
    <row r="1091" spans="1:7">
      <c r="A1091" t="s">
        <v>570</v>
      </c>
    </row>
    <row r="1092" spans="1:7">
      <c r="A1092" t="s">
        <v>1165</v>
      </c>
      <c r="B1092">
        <v>640</v>
      </c>
      <c r="C1092">
        <v>541</v>
      </c>
      <c r="D1092">
        <v>330</v>
      </c>
      <c r="E1092">
        <v>520</v>
      </c>
      <c r="F1092">
        <v>550</v>
      </c>
      <c r="G1092">
        <v>2581</v>
      </c>
    </row>
    <row r="1093" spans="1:7">
      <c r="A1093" t="s">
        <v>470</v>
      </c>
      <c r="B1093">
        <v>2855</v>
      </c>
      <c r="C1093">
        <v>3343</v>
      </c>
      <c r="D1093">
        <v>931</v>
      </c>
      <c r="G1093">
        <v>7129</v>
      </c>
    </row>
    <row r="1094" spans="1:7">
      <c r="A1094" t="s">
        <v>473</v>
      </c>
      <c r="C1094">
        <v>1743</v>
      </c>
      <c r="D1094">
        <v>522</v>
      </c>
      <c r="E1094">
        <v>1194</v>
      </c>
      <c r="F1094">
        <v>2811</v>
      </c>
      <c r="G1094">
        <v>6270</v>
      </c>
    </row>
    <row r="1095" spans="1:7">
      <c r="A1095" t="s">
        <v>1167</v>
      </c>
    </row>
    <row r="1096" spans="1:7">
      <c r="A1096" t="s">
        <v>346</v>
      </c>
      <c r="C1096">
        <v>1640</v>
      </c>
      <c r="D1096">
        <v>1177</v>
      </c>
      <c r="G1096">
        <v>2817</v>
      </c>
    </row>
    <row r="1097" spans="1:7">
      <c r="A1097" t="s">
        <v>461</v>
      </c>
      <c r="C1097">
        <v>1980</v>
      </c>
      <c r="D1097">
        <v>1251</v>
      </c>
      <c r="E1097">
        <v>3172</v>
      </c>
      <c r="G1097">
        <v>6403</v>
      </c>
    </row>
    <row r="1098" spans="1:7">
      <c r="A1098" t="s">
        <v>467</v>
      </c>
      <c r="C1098">
        <v>1111</v>
      </c>
      <c r="D1098">
        <v>1373</v>
      </c>
      <c r="E1098">
        <v>1090</v>
      </c>
      <c r="F1098">
        <v>1204</v>
      </c>
      <c r="G1098">
        <v>4778</v>
      </c>
    </row>
    <row r="1099" spans="1:7">
      <c r="A1099" t="s">
        <v>561</v>
      </c>
      <c r="C1099">
        <v>1500</v>
      </c>
      <c r="D1099">
        <v>1084</v>
      </c>
      <c r="G1099">
        <v>2584</v>
      </c>
    </row>
    <row r="1100" spans="1:7">
      <c r="A1100" t="s">
        <v>349</v>
      </c>
      <c r="D1100">
        <v>817</v>
      </c>
      <c r="E1100">
        <v>1820</v>
      </c>
      <c r="G1100">
        <v>2637</v>
      </c>
    </row>
    <row r="1101" spans="1:7">
      <c r="A1101" t="s">
        <v>555</v>
      </c>
      <c r="E1101">
        <v>1351</v>
      </c>
      <c r="G1101">
        <v>1351</v>
      </c>
    </row>
    <row r="1102" spans="1:7">
      <c r="A1102" t="s">
        <v>261</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646</v>
      </c>
      <c r="B1109">
        <v>735</v>
      </c>
      <c r="G1109">
        <v>735</v>
      </c>
    </row>
    <row r="1110" spans="1:7">
      <c r="A1110" t="s">
        <v>425</v>
      </c>
    </row>
    <row r="1111" spans="1:7">
      <c r="A1111" t="s">
        <v>447</v>
      </c>
    </row>
    <row r="1112" spans="1:7">
      <c r="A1112" t="s">
        <v>491</v>
      </c>
      <c r="E1112">
        <v>396</v>
      </c>
      <c r="G1112">
        <v>396</v>
      </c>
    </row>
    <row r="1113" spans="1:7">
      <c r="A1113" t="s">
        <v>449</v>
      </c>
    </row>
    <row r="1114" spans="1:7">
      <c r="A1114" t="s">
        <v>592</v>
      </c>
    </row>
    <row r="1115" spans="1:7">
      <c r="A1115" t="s">
        <v>455</v>
      </c>
      <c r="B1115">
        <v>87</v>
      </c>
      <c r="G1115">
        <v>87</v>
      </c>
    </row>
    <row r="1116" spans="1:7">
      <c r="A1116" t="s">
        <v>1164</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431</v>
      </c>
      <c r="D1119">
        <v>372</v>
      </c>
      <c r="F1119">
        <v>582</v>
      </c>
      <c r="G1119">
        <v>954</v>
      </c>
    </row>
    <row r="1120" spans="1:7">
      <c r="A1120" t="s">
        <v>1165</v>
      </c>
      <c r="B1120">
        <v>752</v>
      </c>
      <c r="C1120">
        <v>1249</v>
      </c>
      <c r="D1120">
        <v>235</v>
      </c>
      <c r="E1120">
        <v>563</v>
      </c>
      <c r="F1120">
        <v>483</v>
      </c>
      <c r="G1120">
        <v>3282</v>
      </c>
    </row>
    <row r="1121" spans="1:7">
      <c r="A1121" t="s">
        <v>473</v>
      </c>
      <c r="D1121">
        <v>1049</v>
      </c>
      <c r="G1121">
        <v>1049</v>
      </c>
    </row>
    <row r="1122" spans="1:7">
      <c r="A1122" t="s">
        <v>461</v>
      </c>
      <c r="B1122">
        <v>29</v>
      </c>
      <c r="G1122">
        <v>29</v>
      </c>
    </row>
    <row r="1123" spans="1:7">
      <c r="A1123" t="s">
        <v>467</v>
      </c>
      <c r="F1123">
        <v>1235</v>
      </c>
      <c r="G1123">
        <v>1235</v>
      </c>
    </row>
    <row r="1124" spans="1:7">
      <c r="A1124" t="s">
        <v>561</v>
      </c>
    </row>
    <row r="1125" spans="1:7">
      <c r="A1125" t="s">
        <v>555</v>
      </c>
      <c r="B1125">
        <v>689</v>
      </c>
      <c r="C1125">
        <v>586</v>
      </c>
      <c r="D1125">
        <v>199</v>
      </c>
      <c r="G1125">
        <v>1474</v>
      </c>
    </row>
    <row r="1126" spans="1:7">
      <c r="A1126" t="s">
        <v>261</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188</v>
      </c>
      <c r="C1129">
        <v>890</v>
      </c>
      <c r="D1129">
        <v>1810</v>
      </c>
      <c r="E1129">
        <v>967</v>
      </c>
      <c r="G1129">
        <v>3667</v>
      </c>
    </row>
    <row r="1130" spans="1:7">
      <c r="A1130" t="s">
        <v>364</v>
      </c>
      <c r="B1130">
        <v>1511</v>
      </c>
      <c r="C1130">
        <v>1887</v>
      </c>
      <c r="D1130">
        <v>916</v>
      </c>
      <c r="E1130">
        <v>1704</v>
      </c>
      <c r="F1130">
        <v>974</v>
      </c>
      <c r="G1130">
        <v>6992</v>
      </c>
    </row>
    <row r="1131" spans="1:7">
      <c r="A1131" t="s">
        <v>464</v>
      </c>
      <c r="C1131">
        <v>1617</v>
      </c>
      <c r="D1131">
        <v>1083</v>
      </c>
      <c r="E1131">
        <v>1905</v>
      </c>
      <c r="F1131">
        <v>2064</v>
      </c>
      <c r="G1131">
        <v>6669</v>
      </c>
    </row>
    <row r="1132" spans="1:7">
      <c r="A1132" t="s">
        <v>280</v>
      </c>
      <c r="D1132">
        <v>95</v>
      </c>
      <c r="E1132">
        <v>881</v>
      </c>
      <c r="G1132">
        <v>976</v>
      </c>
    </row>
    <row r="1133" spans="1:7">
      <c r="A1133" t="s">
        <v>476</v>
      </c>
      <c r="E1133">
        <v>3028</v>
      </c>
      <c r="F1133">
        <v>1683</v>
      </c>
      <c r="G1133">
        <v>4711</v>
      </c>
    </row>
    <row r="1134" spans="1:7">
      <c r="A1134" t="s">
        <v>607</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488</v>
      </c>
      <c r="B1144">
        <v>870</v>
      </c>
      <c r="G1144">
        <v>870</v>
      </c>
    </row>
    <row r="1145" spans="1:7">
      <c r="A1145" t="s">
        <v>431</v>
      </c>
      <c r="B1145">
        <v>551</v>
      </c>
      <c r="G1145">
        <v>551</v>
      </c>
    </row>
    <row r="1146" spans="1:7">
      <c r="A1146" t="s">
        <v>1165</v>
      </c>
    </row>
    <row r="1147" spans="1:7">
      <c r="A1147" t="s">
        <v>261</v>
      </c>
      <c r="B1147">
        <v>154</v>
      </c>
      <c r="G1147">
        <v>154</v>
      </c>
    </row>
    <row r="1148" spans="1:7">
      <c r="A1148" t="s">
        <v>567</v>
      </c>
      <c r="B1148">
        <v>342</v>
      </c>
      <c r="G1148">
        <v>342</v>
      </c>
    </row>
    <row r="1149" spans="1:7">
      <c r="A1149" t="s">
        <v>464</v>
      </c>
    </row>
    <row r="1150" spans="1:7">
      <c r="A1150" t="s">
        <v>280</v>
      </c>
      <c r="B1150">
        <v>3523</v>
      </c>
      <c r="C1150">
        <v>2384</v>
      </c>
      <c r="G1150">
        <v>5907</v>
      </c>
    </row>
    <row r="1151" spans="1:7">
      <c r="A1151" t="s">
        <v>476</v>
      </c>
      <c r="B1151">
        <v>362</v>
      </c>
      <c r="G1151">
        <v>362</v>
      </c>
    </row>
    <row r="1152" spans="1:7">
      <c r="A1152" t="s">
        <v>607</v>
      </c>
      <c r="B1152">
        <v>380</v>
      </c>
      <c r="G1152">
        <v>380</v>
      </c>
    </row>
    <row r="1153" spans="1:7">
      <c r="A1153" t="s">
        <v>610</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442</v>
      </c>
    </row>
    <row r="1162" spans="1:7">
      <c r="A1162" t="s">
        <v>434</v>
      </c>
      <c r="B1162">
        <v>0</v>
      </c>
      <c r="G1162">
        <v>0</v>
      </c>
    </row>
    <row r="1163" spans="1:7">
      <c r="A1163" t="s">
        <v>436</v>
      </c>
      <c r="C1163">
        <v>0</v>
      </c>
      <c r="G1163">
        <v>0</v>
      </c>
    </row>
    <row r="1164" spans="1:7">
      <c r="A1164" t="s">
        <v>439</v>
      </c>
      <c r="B1164">
        <v>0</v>
      </c>
      <c r="G1164">
        <v>0</v>
      </c>
    </row>
    <row r="1165" spans="1:7">
      <c r="A1165" t="s">
        <v>381</v>
      </c>
    </row>
    <row r="1166" spans="1:7">
      <c r="A1166" t="s">
        <v>431</v>
      </c>
      <c r="B1166">
        <v>738</v>
      </c>
      <c r="C1166">
        <v>466</v>
      </c>
      <c r="G1166">
        <v>1204</v>
      </c>
    </row>
    <row r="1167" spans="1:7">
      <c r="A1167" t="s">
        <v>473</v>
      </c>
      <c r="B1167">
        <v>0</v>
      </c>
      <c r="G1167">
        <v>0</v>
      </c>
    </row>
    <row r="1168" spans="1:7">
      <c r="A1168" t="s">
        <v>261</v>
      </c>
      <c r="D1168">
        <v>173</v>
      </c>
      <c r="G1168">
        <v>173</v>
      </c>
    </row>
    <row r="1169" spans="1:7">
      <c r="A1169" t="s">
        <v>476</v>
      </c>
      <c r="B1169">
        <v>1297</v>
      </c>
      <c r="G1169">
        <v>1297</v>
      </c>
    </row>
    <row r="1170" spans="1:7">
      <c r="A1170" t="s">
        <v>607</v>
      </c>
      <c r="B1170">
        <v>100</v>
      </c>
      <c r="G1170">
        <v>100</v>
      </c>
    </row>
    <row r="1171" spans="1:7">
      <c r="A1171" t="s">
        <v>479</v>
      </c>
      <c r="B1171">
        <v>2583</v>
      </c>
      <c r="C1171">
        <v>3099</v>
      </c>
      <c r="G1171">
        <v>5682</v>
      </c>
    </row>
    <row r="1172" spans="1:7">
      <c r="A1172" t="s">
        <v>598</v>
      </c>
      <c r="B1172">
        <v>1188</v>
      </c>
      <c r="C1172">
        <v>0</v>
      </c>
      <c r="G1172">
        <v>1188</v>
      </c>
    </row>
    <row r="1173" spans="1:7">
      <c r="A1173" t="s">
        <v>601</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C1179">
        <v>152</v>
      </c>
      <c r="E1179">
        <v>85</v>
      </c>
      <c r="G1179">
        <v>237</v>
      </c>
    </row>
    <row r="1180" spans="1:7">
      <c r="A1180" t="s">
        <v>1134</v>
      </c>
      <c r="B1180">
        <v>248</v>
      </c>
      <c r="D1180">
        <v>366</v>
      </c>
      <c r="E1180">
        <v>113</v>
      </c>
      <c r="G1180">
        <v>727</v>
      </c>
    </row>
    <row r="1181" spans="1:7">
      <c r="A1181" t="s">
        <v>337</v>
      </c>
      <c r="F1181">
        <v>0</v>
      </c>
      <c r="G1181">
        <v>0</v>
      </c>
    </row>
    <row r="1182" spans="1:7">
      <c r="A1182" t="s">
        <v>416</v>
      </c>
      <c r="C1182">
        <v>0</v>
      </c>
      <c r="G1182">
        <v>0</v>
      </c>
    </row>
    <row r="1183" spans="1:7">
      <c r="A1183" t="s">
        <v>458</v>
      </c>
    </row>
    <row r="1184" spans="1:7">
      <c r="A1184" t="s">
        <v>431</v>
      </c>
      <c r="B1184">
        <v>3728</v>
      </c>
      <c r="C1184">
        <v>1789</v>
      </c>
      <c r="G1184">
        <v>5517</v>
      </c>
    </row>
    <row r="1185" spans="1:7">
      <c r="A1185" t="s">
        <v>470</v>
      </c>
      <c r="D1185">
        <v>0</v>
      </c>
      <c r="G1185">
        <v>0</v>
      </c>
    </row>
    <row r="1186" spans="1:7">
      <c r="A1186" t="s">
        <v>467</v>
      </c>
    </row>
    <row r="1187" spans="1:7">
      <c r="A1187" t="s">
        <v>464</v>
      </c>
      <c r="D1187">
        <v>0</v>
      </c>
      <c r="F1187">
        <v>104</v>
      </c>
      <c r="G1187">
        <v>104</v>
      </c>
    </row>
    <row r="1188" spans="1:7">
      <c r="A1188" t="s">
        <v>479</v>
      </c>
      <c r="B1188">
        <v>568</v>
      </c>
      <c r="G1188">
        <v>568</v>
      </c>
    </row>
    <row r="1189" spans="1:7">
      <c r="A1189" t="s">
        <v>326</v>
      </c>
      <c r="B1189">
        <v>1105</v>
      </c>
      <c r="C1189">
        <v>942</v>
      </c>
      <c r="D1189">
        <v>2151</v>
      </c>
      <c r="E1189">
        <v>1926</v>
      </c>
      <c r="F1189">
        <v>1000</v>
      </c>
      <c r="G1189">
        <v>7124</v>
      </c>
    </row>
    <row r="1190" spans="1:7">
      <c r="A1190" t="s">
        <v>386</v>
      </c>
      <c r="B1190">
        <v>1353</v>
      </c>
      <c r="C1190">
        <v>1153</v>
      </c>
      <c r="G1190">
        <v>2506</v>
      </c>
    </row>
    <row r="1191" spans="1:7">
      <c r="A1191" t="s">
        <v>482</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485</v>
      </c>
      <c r="E1195">
        <v>2367</v>
      </c>
      <c r="F1195">
        <v>447</v>
      </c>
      <c r="G1195">
        <v>2814</v>
      </c>
    </row>
    <row r="1196" spans="1:7">
      <c r="A1196" t="s">
        <v>247</v>
      </c>
      <c r="F1196">
        <v>0</v>
      </c>
      <c r="G1196">
        <v>0</v>
      </c>
    </row>
    <row r="1197" spans="1:7">
      <c r="A1197" t="s">
        <v>355</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F1203">
        <v>50</v>
      </c>
      <c r="G1203">
        <v>50</v>
      </c>
    </row>
    <row r="1204" spans="1:7">
      <c r="A1204" t="s">
        <v>514</v>
      </c>
      <c r="C1204">
        <v>312</v>
      </c>
      <c r="G1204">
        <v>312</v>
      </c>
    </row>
    <row r="1205" spans="1:7">
      <c r="A1205" t="s">
        <v>1117</v>
      </c>
      <c r="E1205">
        <v>142</v>
      </c>
      <c r="G1205">
        <v>142</v>
      </c>
    </row>
    <row r="1206" spans="1:7">
      <c r="A1206" t="s">
        <v>228</v>
      </c>
      <c r="D1206">
        <v>1200</v>
      </c>
      <c r="E1206">
        <v>445</v>
      </c>
      <c r="F1206">
        <v>686</v>
      </c>
      <c r="G1206">
        <v>2331</v>
      </c>
    </row>
    <row r="1207" spans="1:7">
      <c r="A1207" t="s">
        <v>537</v>
      </c>
    </row>
    <row r="1208" spans="1:7">
      <c r="A1208" t="s">
        <v>308</v>
      </c>
    </row>
    <row r="1209" spans="1:7">
      <c r="A1209" t="s">
        <v>339</v>
      </c>
    </row>
    <row r="1210" spans="1:7">
      <c r="A1210" t="s">
        <v>467</v>
      </c>
    </row>
    <row r="1211" spans="1:7">
      <c r="A1211" t="s">
        <v>326</v>
      </c>
      <c r="B1211">
        <v>1812</v>
      </c>
      <c r="C1211">
        <v>1838</v>
      </c>
      <c r="E1211">
        <v>0</v>
      </c>
      <c r="G1211">
        <v>3650</v>
      </c>
    </row>
    <row r="1212" spans="1:7">
      <c r="A1212" t="s">
        <v>386</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485</v>
      </c>
      <c r="B1216">
        <v>858</v>
      </c>
      <c r="G1216">
        <v>858</v>
      </c>
    </row>
    <row r="1217" spans="1:7">
      <c r="A1217" t="s">
        <v>355</v>
      </c>
      <c r="B1217">
        <v>926</v>
      </c>
      <c r="C1217">
        <v>1128</v>
      </c>
      <c r="D1217">
        <v>1082</v>
      </c>
      <c r="E1217">
        <v>1325</v>
      </c>
      <c r="F1217">
        <v>441</v>
      </c>
      <c r="G1217">
        <v>4902</v>
      </c>
    </row>
    <row r="1218" spans="1:7">
      <c r="A1218" t="s">
        <v>508</v>
      </c>
      <c r="B1218">
        <v>205</v>
      </c>
      <c r="F1218">
        <v>107</v>
      </c>
      <c r="G1218">
        <v>312</v>
      </c>
    </row>
    <row r="1219" spans="1:7">
      <c r="A1219" t="s">
        <v>400</v>
      </c>
      <c r="B1219">
        <v>4915</v>
      </c>
      <c r="C1219">
        <v>914</v>
      </c>
      <c r="D1219">
        <v>0</v>
      </c>
      <c r="G1219">
        <v>5829</v>
      </c>
    </row>
    <row r="1220" spans="1:7">
      <c r="A1220" t="s">
        <v>398</v>
      </c>
      <c r="B1220">
        <v>813</v>
      </c>
      <c r="C1220">
        <v>1491</v>
      </c>
      <c r="D1220">
        <v>1062</v>
      </c>
      <c r="E1220">
        <v>527</v>
      </c>
      <c r="G1220">
        <v>3893</v>
      </c>
    </row>
    <row r="1221" spans="1:7">
      <c r="A1221" t="s">
        <v>394</v>
      </c>
    </row>
    <row r="1222" spans="1:7">
      <c r="A1222" t="s">
        <v>384</v>
      </c>
    </row>
    <row r="1223" spans="1:7">
      <c r="A1223" t="s">
        <v>402</v>
      </c>
      <c r="C1223">
        <v>6092</v>
      </c>
      <c r="D1223">
        <v>0</v>
      </c>
      <c r="E1223">
        <v>0</v>
      </c>
      <c r="G1223">
        <v>6092</v>
      </c>
    </row>
    <row r="1224" spans="1:7">
      <c r="A1224" t="s">
        <v>404</v>
      </c>
      <c r="C1224">
        <v>822</v>
      </c>
      <c r="D1224">
        <v>2611</v>
      </c>
      <c r="G1224">
        <v>3433</v>
      </c>
    </row>
    <row r="1225" spans="1:7">
      <c r="A1225" t="s">
        <v>406</v>
      </c>
      <c r="D1225">
        <v>544</v>
      </c>
      <c r="E1225">
        <v>2832</v>
      </c>
      <c r="F1225">
        <v>457</v>
      </c>
      <c r="G1225">
        <v>3833</v>
      </c>
    </row>
    <row r="1226" spans="1:7">
      <c r="A1226" t="s">
        <v>408</v>
      </c>
      <c r="D1226">
        <v>1728</v>
      </c>
      <c r="F1226">
        <v>3082</v>
      </c>
      <c r="G1226">
        <v>4810</v>
      </c>
    </row>
    <row r="1227" spans="1:7">
      <c r="A1227" t="s">
        <v>410</v>
      </c>
      <c r="E1227">
        <v>1562</v>
      </c>
      <c r="F1227">
        <v>673</v>
      </c>
      <c r="G1227">
        <v>2235</v>
      </c>
    </row>
    <row r="1228" spans="1:7">
      <c r="A1228" t="s">
        <v>412</v>
      </c>
      <c r="E1228">
        <v>1639</v>
      </c>
      <c r="F1228">
        <v>987</v>
      </c>
      <c r="G1228">
        <v>2626</v>
      </c>
    </row>
    <row r="1229" spans="1:7">
      <c r="A1229" t="s">
        <v>259</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228</v>
      </c>
      <c r="C1237">
        <v>0</v>
      </c>
      <c r="G1237">
        <v>0</v>
      </c>
    </row>
    <row r="1238" spans="1:7">
      <c r="A1238" t="s">
        <v>1142</v>
      </c>
      <c r="D1238">
        <v>150</v>
      </c>
      <c r="E1238">
        <v>0</v>
      </c>
      <c r="F1238">
        <v>274</v>
      </c>
      <c r="G1238">
        <v>424</v>
      </c>
    </row>
    <row r="1239" spans="1:7">
      <c r="A1239" t="s">
        <v>420</v>
      </c>
      <c r="C1239">
        <v>2209</v>
      </c>
      <c r="G1239">
        <v>2209</v>
      </c>
    </row>
    <row r="1240" spans="1:7">
      <c r="A1240" t="s">
        <v>464</v>
      </c>
    </row>
    <row r="1241" spans="1:7">
      <c r="A1241" t="s">
        <v>386</v>
      </c>
    </row>
    <row r="1242" spans="1:7">
      <c r="A1242" t="s">
        <v>1025</v>
      </c>
      <c r="C1242">
        <v>0</v>
      </c>
      <c r="G1242">
        <v>0</v>
      </c>
    </row>
    <row r="1243" spans="1:7">
      <c r="A1243" t="s">
        <v>485</v>
      </c>
      <c r="E1243">
        <v>1940</v>
      </c>
      <c r="G1243">
        <v>1940</v>
      </c>
    </row>
    <row r="1244" spans="1:7">
      <c r="A1244" t="s">
        <v>508</v>
      </c>
      <c r="C1244">
        <v>183</v>
      </c>
      <c r="D1244">
        <v>182</v>
      </c>
      <c r="E1244">
        <v>186</v>
      </c>
      <c r="G1244">
        <v>551</v>
      </c>
    </row>
    <row r="1245" spans="1:7">
      <c r="A1245" t="s">
        <v>398</v>
      </c>
      <c r="E1245">
        <v>1776</v>
      </c>
      <c r="G1245">
        <v>1776</v>
      </c>
    </row>
    <row r="1246" spans="1:7">
      <c r="A1246" t="s">
        <v>406</v>
      </c>
      <c r="C1246">
        <v>506</v>
      </c>
      <c r="G1246">
        <v>506</v>
      </c>
    </row>
    <row r="1247" spans="1:7">
      <c r="A1247" t="s">
        <v>410</v>
      </c>
      <c r="D1247">
        <v>2265</v>
      </c>
      <c r="F1247">
        <v>2651</v>
      </c>
      <c r="G1247">
        <v>4916</v>
      </c>
    </row>
    <row r="1248" spans="1:7">
      <c r="A1248" t="s">
        <v>412</v>
      </c>
      <c r="C1248">
        <v>0</v>
      </c>
      <c r="D1248">
        <v>575</v>
      </c>
      <c r="F1248">
        <v>818</v>
      </c>
      <c r="G1248">
        <v>1393</v>
      </c>
    </row>
    <row r="1249" spans="1:7">
      <c r="A1249" t="s">
        <v>167</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265</v>
      </c>
      <c r="C1252">
        <v>2719</v>
      </c>
      <c r="D1252">
        <v>408</v>
      </c>
      <c r="G1252">
        <v>3127</v>
      </c>
    </row>
    <row r="1253" spans="1:7">
      <c r="A1253" t="s">
        <v>414</v>
      </c>
      <c r="C1253">
        <v>1277</v>
      </c>
      <c r="G1253">
        <v>1277</v>
      </c>
    </row>
    <row r="1254" spans="1:7">
      <c r="A1254" t="s">
        <v>372</v>
      </c>
      <c r="D1254">
        <v>686</v>
      </c>
      <c r="E1254">
        <v>736</v>
      </c>
      <c r="G1254">
        <v>1422</v>
      </c>
    </row>
    <row r="1255" spans="1:7">
      <c r="A1255" t="s">
        <v>369</v>
      </c>
      <c r="D1255">
        <v>867</v>
      </c>
      <c r="E1255">
        <v>1539</v>
      </c>
      <c r="G1255">
        <v>2406</v>
      </c>
    </row>
    <row r="1256" spans="1:7">
      <c r="A1256" t="s">
        <v>272</v>
      </c>
      <c r="D1256">
        <v>2000</v>
      </c>
      <c r="E1256">
        <v>970</v>
      </c>
      <c r="G1256">
        <v>2970</v>
      </c>
    </row>
    <row r="1257" spans="1:7">
      <c r="A1257" t="s">
        <v>320</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228</v>
      </c>
      <c r="C1263">
        <v>511</v>
      </c>
      <c r="D1263">
        <v>324</v>
      </c>
      <c r="E1263">
        <v>838</v>
      </c>
      <c r="F1263">
        <v>481</v>
      </c>
      <c r="G1263">
        <v>2154</v>
      </c>
    </row>
    <row r="1264" spans="1:7">
      <c r="A1264" t="s">
        <v>1142</v>
      </c>
      <c r="C1264">
        <v>343</v>
      </c>
      <c r="D1264">
        <v>62</v>
      </c>
      <c r="E1264">
        <v>329</v>
      </c>
      <c r="G1264">
        <v>734</v>
      </c>
    </row>
    <row r="1265" spans="1:7">
      <c r="A1265" t="s">
        <v>280</v>
      </c>
    </row>
    <row r="1266" spans="1:7">
      <c r="A1266" t="s">
        <v>476</v>
      </c>
    </row>
    <row r="1267" spans="1:7">
      <c r="A1267" t="s">
        <v>479</v>
      </c>
    </row>
    <row r="1268" spans="1:7">
      <c r="A1268" t="s">
        <v>326</v>
      </c>
      <c r="D1268">
        <v>149</v>
      </c>
      <c r="G1268">
        <v>149</v>
      </c>
    </row>
    <row r="1269" spans="1:7">
      <c r="A1269" t="s">
        <v>386</v>
      </c>
    </row>
    <row r="1270" spans="1:7">
      <c r="A1270" t="s">
        <v>482</v>
      </c>
    </row>
    <row r="1271" spans="1:7">
      <c r="A1271" t="s">
        <v>1022</v>
      </c>
    </row>
    <row r="1272" spans="1:7">
      <c r="A1272" t="s">
        <v>485</v>
      </c>
    </row>
    <row r="1273" spans="1:7">
      <c r="A1273" t="s">
        <v>400</v>
      </c>
    </row>
    <row r="1274" spans="1:7">
      <c r="A1274" t="s">
        <v>398</v>
      </c>
    </row>
    <row r="1275" spans="1:7">
      <c r="A1275" t="s">
        <v>402</v>
      </c>
    </row>
    <row r="1276" spans="1:7">
      <c r="A1276" t="s">
        <v>404</v>
      </c>
      <c r="B1276">
        <v>1908</v>
      </c>
      <c r="G1276">
        <v>1908</v>
      </c>
    </row>
    <row r="1277" spans="1:7">
      <c r="A1277" t="s">
        <v>406</v>
      </c>
    </row>
    <row r="1278" spans="1:7">
      <c r="A1278" t="s">
        <v>408</v>
      </c>
    </row>
    <row r="1279" spans="1:7">
      <c r="A1279" t="s">
        <v>410</v>
      </c>
    </row>
    <row r="1280" spans="1:7">
      <c r="A1280" t="s">
        <v>412</v>
      </c>
    </row>
    <row r="1281" spans="1:7">
      <c r="A1281" t="s">
        <v>167</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414</v>
      </c>
    </row>
    <row r="1285" spans="1:7">
      <c r="A1285" t="s">
        <v>372</v>
      </c>
      <c r="B1285">
        <v>835</v>
      </c>
      <c r="C1285">
        <v>858</v>
      </c>
      <c r="D1285">
        <v>976</v>
      </c>
      <c r="G1285">
        <v>2669</v>
      </c>
    </row>
    <row r="1286" spans="1:7">
      <c r="A1286" t="s">
        <v>369</v>
      </c>
      <c r="B1286">
        <v>1590</v>
      </c>
      <c r="C1286">
        <v>1230</v>
      </c>
      <c r="D1286">
        <v>1015</v>
      </c>
      <c r="G1286">
        <v>3835</v>
      </c>
    </row>
    <row r="1287" spans="1:7">
      <c r="A1287" t="s">
        <v>320</v>
      </c>
      <c r="B1287">
        <v>1530</v>
      </c>
      <c r="C1287">
        <v>388</v>
      </c>
      <c r="E1287">
        <v>470</v>
      </c>
      <c r="G1287">
        <v>2388</v>
      </c>
    </row>
    <row r="1288" spans="1:7">
      <c r="A1288" t="s">
        <v>375</v>
      </c>
      <c r="C1288">
        <v>1758</v>
      </c>
      <c r="D1288">
        <v>1363</v>
      </c>
      <c r="G1288">
        <v>3121</v>
      </c>
    </row>
    <row r="1289" spans="1:7">
      <c r="A1289" t="s">
        <v>244</v>
      </c>
      <c r="D1289">
        <v>881</v>
      </c>
      <c r="E1289">
        <v>1143</v>
      </c>
      <c r="G1289">
        <v>2024</v>
      </c>
    </row>
    <row r="1290" spans="1:7">
      <c r="A1290" t="s">
        <v>268</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228</v>
      </c>
      <c r="B1296">
        <v>859</v>
      </c>
      <c r="C1296">
        <v>859</v>
      </c>
    </row>
    <row r="1297" spans="1:3">
      <c r="A1297" t="s">
        <v>1142</v>
      </c>
      <c r="B1297">
        <v>251</v>
      </c>
      <c r="C1297">
        <v>251</v>
      </c>
    </row>
    <row r="1298" spans="1:3">
      <c r="A1298" t="s">
        <v>326</v>
      </c>
    </row>
    <row r="1299" spans="1:3">
      <c r="A1299" t="s">
        <v>508</v>
      </c>
    </row>
    <row r="1300" spans="1:3">
      <c r="A1300" t="s">
        <v>1169</v>
      </c>
    </row>
    <row r="1301" spans="1:3">
      <c r="A1301" t="s">
        <v>1170</v>
      </c>
    </row>
    <row r="1302" spans="1:3">
      <c r="A1302" t="s">
        <v>372</v>
      </c>
      <c r="B1302">
        <v>505</v>
      </c>
      <c r="C1302">
        <v>505</v>
      </c>
    </row>
    <row r="1303" spans="1:3">
      <c r="A1303" t="s">
        <v>369</v>
      </c>
    </row>
    <row r="1304" spans="1:3">
      <c r="A1304" t="s">
        <v>375</v>
      </c>
    </row>
    <row r="1305" spans="1:3">
      <c r="A1305" t="s">
        <v>244</v>
      </c>
    </row>
    <row r="1306" spans="1:3">
      <c r="A1306" t="s">
        <v>1090</v>
      </c>
      <c r="B1306">
        <v>1615</v>
      </c>
      <c r="C1306">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11" activePane="bottomLeft" state="frozen"/>
      <selection pane="bottomLeft" activeCell="F2636" sqref="F26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228</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228</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228</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228</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228</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228</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228</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228</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228</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228</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220</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220</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228</v>
      </c>
      <c r="B2046" s="318" t="s">
        <v>1099</v>
      </c>
      <c r="C2046" s="56">
        <v>45978</v>
      </c>
      <c r="D2046" s="43">
        <v>176</v>
      </c>
      <c r="G2046" t="s">
        <v>1834</v>
      </c>
    </row>
    <row r="2047" spans="1:7">
      <c r="A2047" s="141" t="s">
        <v>228</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228</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228</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228</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261</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261</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261</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261</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261</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261</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261</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220</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220</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220</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220</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247</v>
      </c>
      <c r="B2460" s="157" t="s">
        <v>2039</v>
      </c>
      <c r="C2460" s="56">
        <v>46031</v>
      </c>
      <c r="D2460" s="88">
        <v>0</v>
      </c>
      <c r="E2460" s="88"/>
      <c r="F2460" s="1422" t="s">
        <v>1228</v>
      </c>
      <c r="G2460" t="s">
        <v>2032</v>
      </c>
    </row>
    <row r="2461" spans="1:7">
      <c r="A2461" s="247" t="s">
        <v>326</v>
      </c>
      <c r="B2461" s="157" t="s">
        <v>220</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220</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259</v>
      </c>
      <c r="B2475" s="157" t="s">
        <v>61</v>
      </c>
      <c r="C2475" s="56">
        <v>46034</v>
      </c>
      <c r="D2475" s="88">
        <v>607</v>
      </c>
      <c r="E2475" s="88"/>
      <c r="F2475" s="1424"/>
      <c r="G2475" t="s">
        <v>2032</v>
      </c>
    </row>
    <row r="2476" spans="1:7">
      <c r="A2476" s="247" t="s">
        <v>326</v>
      </c>
      <c r="B2476" s="157" t="s">
        <v>220</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220</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220</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259</v>
      </c>
      <c r="B2489" s="157" t="s">
        <v>61</v>
      </c>
      <c r="C2489" s="56">
        <v>46035</v>
      </c>
      <c r="D2489" s="88">
        <v>662</v>
      </c>
      <c r="E2489" s="88"/>
      <c r="F2489" s="1424"/>
      <c r="G2489" t="s">
        <v>2032</v>
      </c>
    </row>
    <row r="2490" spans="1:7">
      <c r="A2490" s="247" t="s">
        <v>355</v>
      </c>
      <c r="B2490" s="157" t="s">
        <v>220</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259</v>
      </c>
      <c r="B2496" s="157" t="s">
        <v>61</v>
      </c>
      <c r="C2496" s="56">
        <v>46036</v>
      </c>
      <c r="D2496" s="88">
        <v>877</v>
      </c>
      <c r="E2496" s="43"/>
      <c r="F2496" s="1424" t="s">
        <v>2050</v>
      </c>
      <c r="G2496" t="s">
        <v>2032</v>
      </c>
    </row>
    <row r="2497" spans="1:7">
      <c r="A2497" s="247" t="s">
        <v>228</v>
      </c>
      <c r="B2497" s="157" t="s">
        <v>220</v>
      </c>
      <c r="C2497" s="56">
        <v>46036</v>
      </c>
      <c r="D2497" s="1410">
        <v>1200</v>
      </c>
      <c r="E2497" s="43"/>
      <c r="F2497" s="1424"/>
      <c r="G2497" t="s">
        <v>2032</v>
      </c>
    </row>
    <row r="2498" spans="1:7">
      <c r="A2498" s="247" t="s">
        <v>355</v>
      </c>
      <c r="B2498" s="157" t="s">
        <v>220</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228</v>
      </c>
      <c r="B2509" s="157" t="s">
        <v>220</v>
      </c>
      <c r="C2509" s="56">
        <v>46037</v>
      </c>
      <c r="D2509" s="88">
        <v>445</v>
      </c>
      <c r="E2509" s="43"/>
      <c r="F2509" s="1424"/>
      <c r="G2509" t="s">
        <v>2032</v>
      </c>
    </row>
    <row r="2510" spans="1:7">
      <c r="A2510" s="247" t="s">
        <v>259</v>
      </c>
      <c r="B2510" s="157" t="s">
        <v>61</v>
      </c>
      <c r="C2510" s="56">
        <v>46037</v>
      </c>
      <c r="D2510" s="88">
        <v>499</v>
      </c>
      <c r="E2510" s="43"/>
      <c r="F2510" s="1424" t="s">
        <v>2056</v>
      </c>
      <c r="G2510" t="s">
        <v>2032</v>
      </c>
    </row>
    <row r="2511" spans="1:7">
      <c r="A2511" s="247" t="s">
        <v>355</v>
      </c>
      <c r="B2511" s="157" t="s">
        <v>220</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220</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259</v>
      </c>
      <c r="B2517" s="157" t="s">
        <v>61</v>
      </c>
      <c r="C2517" s="56">
        <v>46038</v>
      </c>
      <c r="D2517" s="88">
        <v>186</v>
      </c>
      <c r="F2517" s="1424" t="s">
        <v>2053</v>
      </c>
      <c r="G2517" t="s">
        <v>2032</v>
      </c>
    </row>
    <row r="2518" spans="1:7">
      <c r="A2518" s="247" t="s">
        <v>228</v>
      </c>
      <c r="B2518" s="157" t="s">
        <v>220</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220</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228</v>
      </c>
      <c r="B2527" s="311" t="s">
        <v>220</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265</v>
      </c>
      <c r="B2530" s="315" t="s">
        <v>220</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265</v>
      </c>
      <c r="B2542" s="315" t="s">
        <v>220</v>
      </c>
      <c r="C2542" s="56">
        <v>46043</v>
      </c>
      <c r="D2542" s="155">
        <v>408</v>
      </c>
      <c r="F2542" s="1422"/>
      <c r="G2542" t="s">
        <v>2032</v>
      </c>
    </row>
    <row r="2543" spans="1:7">
      <c r="A2543" s="315" t="s">
        <v>272</v>
      </c>
      <c r="B2543" s="315" t="s">
        <v>220</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220</v>
      </c>
      <c r="C2554" s="56">
        <v>46044</v>
      </c>
      <c r="D2554" s="155">
        <v>2031</v>
      </c>
      <c r="F2554" s="1422" t="s">
        <v>2072</v>
      </c>
      <c r="G2554" t="s">
        <v>2032</v>
      </c>
    </row>
    <row r="2555" spans="1:7">
      <c r="A2555" s="315" t="s">
        <v>272</v>
      </c>
      <c r="B2555" s="315" t="s">
        <v>220</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220</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220</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220</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228</v>
      </c>
      <c r="B2585" s="935" t="s">
        <v>220</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228</v>
      </c>
      <c r="B2598" s="751" t="s">
        <v>220</v>
      </c>
      <c r="C2598" s="56">
        <v>46050</v>
      </c>
      <c r="D2598" s="201">
        <v>324</v>
      </c>
      <c r="E2598" s="43"/>
      <c r="F2598" s="751" t="s">
        <v>1566</v>
      </c>
      <c r="G2598" t="s">
        <v>2032</v>
      </c>
    </row>
    <row r="2599" spans="1:7">
      <c r="A2599" s="134" t="s">
        <v>326</v>
      </c>
      <c r="B2599" s="141" t="s">
        <v>220</v>
      </c>
      <c r="C2599" s="56">
        <v>46050</v>
      </c>
      <c r="D2599" s="43">
        <v>149</v>
      </c>
      <c r="E2599" s="169"/>
      <c r="F2599" s="169"/>
      <c r="G2599" t="s">
        <v>2032</v>
      </c>
    </row>
    <row r="2600" spans="1:7">
      <c r="A2600" s="134" t="s">
        <v>244</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228</v>
      </c>
      <c r="B2611" s="732" t="s">
        <v>220</v>
      </c>
      <c r="C2611" s="56">
        <v>46051</v>
      </c>
      <c r="D2611" s="43">
        <v>838</v>
      </c>
      <c r="G2611" t="s">
        <v>2032</v>
      </c>
    </row>
    <row r="2612" spans="1:7">
      <c r="A2612" s="134" t="s">
        <v>244</v>
      </c>
      <c r="B2612" s="141" t="s">
        <v>189</v>
      </c>
      <c r="C2612" s="1480">
        <v>46051</v>
      </c>
      <c r="D2612" s="1472">
        <v>1143</v>
      </c>
      <c r="E2612" s="201"/>
      <c r="F2612" s="115"/>
      <c r="G2612" t="s">
        <v>2032</v>
      </c>
    </row>
    <row r="2613" spans="1:7">
      <c r="A2613" s="134" t="s">
        <v>268</v>
      </c>
      <c r="B2613" s="141" t="s">
        <v>220</v>
      </c>
      <c r="C2613" s="310">
        <v>46051</v>
      </c>
      <c r="D2613" s="155">
        <v>1468</v>
      </c>
      <c r="E2613" s="43"/>
      <c r="F2613" s="43" t="s">
        <v>2098</v>
      </c>
      <c r="G2613" t="s">
        <v>2032</v>
      </c>
    </row>
    <row r="2614" spans="1:7">
      <c r="A2614" s="134" t="s">
        <v>320</v>
      </c>
      <c r="B2614" s="141" t="s">
        <v>220</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244</v>
      </c>
      <c r="B2621" s="315" t="s">
        <v>189</v>
      </c>
      <c r="C2621" s="56">
        <v>46052</v>
      </c>
      <c r="F2621" s="315" t="s">
        <v>2101</v>
      </c>
      <c r="G2621" t="s">
        <v>2032</v>
      </c>
    </row>
    <row r="2622" spans="1:7">
      <c r="A2622" s="612" t="s">
        <v>268</v>
      </c>
      <c r="B2622" s="315" t="s">
        <v>220</v>
      </c>
      <c r="C2622" s="56">
        <v>46052</v>
      </c>
      <c r="D2622" s="155">
        <v>1637</v>
      </c>
      <c r="F2622" s="43" t="s">
        <v>2102</v>
      </c>
      <c r="G2622" t="s">
        <v>2032</v>
      </c>
    </row>
    <row r="2623" spans="1:7">
      <c r="A2623" s="612" t="s">
        <v>228</v>
      </c>
      <c r="B2623" s="315" t="s">
        <v>220</v>
      </c>
      <c r="C2623" s="56">
        <v>46052</v>
      </c>
      <c r="D2623" s="43">
        <v>481</v>
      </c>
      <c r="F2623" s="43" t="s">
        <v>2103</v>
      </c>
      <c r="G2623" t="s">
        <v>2032</v>
      </c>
    </row>
    <row r="2624" spans="1:7">
      <c r="A2624" s="311" t="s">
        <v>476</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508</v>
      </c>
      <c r="B2626" s="315" t="s">
        <v>1099</v>
      </c>
      <c r="C2626" s="56">
        <v>46055</v>
      </c>
      <c r="F2626" s="1315" t="s">
        <v>1378</v>
      </c>
      <c r="G2626" t="s">
        <v>1094</v>
      </c>
    </row>
    <row r="2627" spans="1:7">
      <c r="A2627" s="311" t="s">
        <v>372</v>
      </c>
      <c r="B2627" s="311" t="s">
        <v>161</v>
      </c>
      <c r="C2627" s="56">
        <v>46055</v>
      </c>
      <c r="D2627" s="43">
        <v>505</v>
      </c>
      <c r="F2627" s="43" t="s">
        <v>2104</v>
      </c>
      <c r="G2627" t="s">
        <v>1094</v>
      </c>
    </row>
    <row r="2628" spans="1:7">
      <c r="A2628" s="315" t="s">
        <v>369</v>
      </c>
      <c r="B2628" s="315" t="s">
        <v>1099</v>
      </c>
      <c r="C2628" s="56">
        <v>46055</v>
      </c>
      <c r="E2628" s="201"/>
      <c r="F2628" s="311" t="s">
        <v>1401</v>
      </c>
      <c r="G2628" t="s">
        <v>1094</v>
      </c>
    </row>
    <row r="2629" spans="1:7">
      <c r="A2629" s="315" t="s">
        <v>375</v>
      </c>
      <c r="B2629" s="315" t="s">
        <v>1099</v>
      </c>
      <c r="C2629" s="56">
        <v>46055</v>
      </c>
      <c r="D2629" s="139"/>
      <c r="E2629" s="155">
        <v>2004</v>
      </c>
      <c r="F2629" s="800" t="s">
        <v>1401</v>
      </c>
      <c r="G2629" t="s">
        <v>1094</v>
      </c>
    </row>
    <row r="2630" spans="1:7">
      <c r="A2630" s="311" t="s">
        <v>1169</v>
      </c>
      <c r="B2630" s="311" t="s">
        <v>61</v>
      </c>
      <c r="C2630" s="56">
        <v>46055</v>
      </c>
      <c r="E2630" s="253"/>
      <c r="F2630" s="754" t="s">
        <v>1401</v>
      </c>
      <c r="G2630" t="s">
        <v>1094</v>
      </c>
    </row>
    <row r="2631" spans="1:7">
      <c r="A2631" s="315" t="s">
        <v>1170</v>
      </c>
      <c r="B2631" s="315" t="s">
        <v>1786</v>
      </c>
      <c r="C2631" s="56">
        <v>46055</v>
      </c>
      <c r="F2631" s="754" t="s">
        <v>1805</v>
      </c>
      <c r="G2631" t="s">
        <v>1094</v>
      </c>
    </row>
    <row r="2632" spans="1:7">
      <c r="A2632" s="612" t="s">
        <v>244</v>
      </c>
      <c r="B2632" s="315" t="s">
        <v>189</v>
      </c>
      <c r="C2632" s="56">
        <v>46055</v>
      </c>
      <c r="F2632" s="754" t="s">
        <v>1805</v>
      </c>
      <c r="G2632" t="s">
        <v>1094</v>
      </c>
    </row>
    <row r="2633" spans="1:7">
      <c r="A2633" s="247" t="s">
        <v>326</v>
      </c>
      <c r="B2633" s="157" t="s">
        <v>2105</v>
      </c>
      <c r="C2633" s="56">
        <v>46055</v>
      </c>
      <c r="E2633" s="321">
        <v>13102</v>
      </c>
      <c r="F2633" s="43" t="s">
        <v>2106</v>
      </c>
      <c r="G2633" t="s">
        <v>1094</v>
      </c>
    </row>
    <row r="2634" spans="1:7">
      <c r="A2634" s="247" t="s">
        <v>228</v>
      </c>
      <c r="B2634" s="935" t="s">
        <v>220</v>
      </c>
      <c r="C2634" s="56">
        <v>46055</v>
      </c>
      <c r="D2634" s="43">
        <v>859</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233</v>
      </c>
      <c r="O3" s="54">
        <v>45721</v>
      </c>
      <c r="P3" s="87" t="s">
        <v>233</v>
      </c>
      <c r="Q3" s="69" t="s">
        <v>233</v>
      </c>
      <c r="R3" s="69" t="s">
        <v>233</v>
      </c>
      <c r="S3" s="69" t="s">
        <v>56</v>
      </c>
      <c r="T3" s="69" t="s">
        <v>233</v>
      </c>
      <c r="U3" s="69" t="s">
        <v>233</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233</v>
      </c>
      <c r="O6" s="356">
        <v>45718</v>
      </c>
      <c r="P6" s="30" t="s">
        <v>233</v>
      </c>
      <c r="Q6" s="334" t="s">
        <v>233</v>
      </c>
      <c r="R6" s="43" t="s">
        <v>2181</v>
      </c>
      <c r="S6" s="43" t="s">
        <v>233</v>
      </c>
      <c r="T6" s="43" t="s">
        <v>233</v>
      </c>
      <c r="U6" s="157" t="s">
        <v>233</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233</v>
      </c>
      <c r="O7" s="79" t="s">
        <v>233</v>
      </c>
      <c r="P7" s="30" t="s">
        <v>233</v>
      </c>
      <c r="Q7" s="334" t="s">
        <v>233</v>
      </c>
      <c r="R7" s="43" t="s">
        <v>2181</v>
      </c>
      <c r="S7" s="43" t="s">
        <v>233</v>
      </c>
      <c r="T7" s="43" t="s">
        <v>233</v>
      </c>
      <c r="U7" s="43" t="s">
        <v>233</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233</v>
      </c>
      <c r="O8" s="30" t="s">
        <v>233</v>
      </c>
      <c r="P8" s="707" t="s">
        <v>233</v>
      </c>
      <c r="Q8" s="69" t="s">
        <v>233</v>
      </c>
      <c r="R8" s="43" t="s">
        <v>2181</v>
      </c>
      <c r="S8" s="43" t="s">
        <v>233</v>
      </c>
      <c r="T8" s="43" t="s">
        <v>233</v>
      </c>
      <c r="U8" s="43" t="s">
        <v>233</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233</v>
      </c>
      <c r="O9" s="54">
        <v>45718</v>
      </c>
      <c r="P9" s="119" t="s">
        <v>233</v>
      </c>
      <c r="Q9" s="69" t="s">
        <v>233</v>
      </c>
      <c r="R9" s="43" t="s">
        <v>2181</v>
      </c>
      <c r="S9" s="43" t="s">
        <v>233</v>
      </c>
      <c r="T9" s="43" t="s">
        <v>233</v>
      </c>
      <c r="U9" s="43" t="s">
        <v>233</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233</v>
      </c>
      <c r="O10" s="30" t="s">
        <v>233</v>
      </c>
      <c r="P10" s="30" t="s">
        <v>233</v>
      </c>
      <c r="Q10" s="43" t="s">
        <v>233</v>
      </c>
      <c r="R10" s="43" t="s">
        <v>2181</v>
      </c>
      <c r="S10" s="43" t="s">
        <v>233</v>
      </c>
      <c r="T10" s="43" t="s">
        <v>233</v>
      </c>
      <c r="U10" s="161" t="s">
        <v>233</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233</v>
      </c>
      <c r="Q11" s="69" t="s">
        <v>233</v>
      </c>
      <c r="R11" s="43" t="s">
        <v>2181</v>
      </c>
      <c r="S11" s="43" t="s">
        <v>233</v>
      </c>
      <c r="T11" s="43" t="s">
        <v>233</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233</v>
      </c>
      <c r="Q12" s="69" t="s">
        <v>233</v>
      </c>
      <c r="R12" s="43" t="s">
        <v>2181</v>
      </c>
      <c r="S12" s="43" t="s">
        <v>233</v>
      </c>
      <c r="T12" s="43" t="s">
        <v>233</v>
      </c>
      <c r="U12" s="69" t="s">
        <v>79</v>
      </c>
      <c r="V12" s="69" t="s">
        <v>79</v>
      </c>
      <c r="W12" s="30"/>
      <c r="X12" s="69" t="s">
        <v>79</v>
      </c>
      <c r="Y12" t="e">
        <f>VLOOKUP(A12,#REF!,2,FALSE)</f>
        <v>#REF!</v>
      </c>
    </row>
    <row r="13" spans="1:25">
      <c r="A13" s="178" t="s">
        <v>228</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233</v>
      </c>
      <c r="O15" s="54">
        <v>45718</v>
      </c>
      <c r="P15" s="30" t="s">
        <v>233</v>
      </c>
      <c r="Q15" s="43" t="s">
        <v>233</v>
      </c>
      <c r="R15" s="43" t="s">
        <v>233</v>
      </c>
      <c r="S15" s="43" t="s">
        <v>56</v>
      </c>
      <c r="T15" s="43" t="s">
        <v>233</v>
      </c>
      <c r="U15" s="43" t="s">
        <v>233</v>
      </c>
      <c r="V15" s="43" t="s">
        <v>233</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233</v>
      </c>
      <c r="O16" s="54" t="s">
        <v>2185</v>
      </c>
      <c r="P16" s="30" t="s">
        <v>233</v>
      </c>
      <c r="Q16" s="69" t="s">
        <v>233</v>
      </c>
      <c r="R16" s="43" t="s">
        <v>233</v>
      </c>
      <c r="S16" s="43" t="s">
        <v>56</v>
      </c>
      <c r="T16" s="43" t="s">
        <v>233</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233</v>
      </c>
      <c r="O17" s="54">
        <v>45863</v>
      </c>
      <c r="P17" s="30" t="s">
        <v>233</v>
      </c>
      <c r="Q17" s="69" t="s">
        <v>233</v>
      </c>
      <c r="R17" s="43" t="s">
        <v>233</v>
      </c>
      <c r="S17" s="43" t="s">
        <v>56</v>
      </c>
      <c r="T17" s="43" t="s">
        <v>233</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233</v>
      </c>
      <c r="O18" s="195">
        <v>45881</v>
      </c>
      <c r="P18" s="30" t="s">
        <v>233</v>
      </c>
      <c r="Q18" s="69" t="s">
        <v>233</v>
      </c>
      <c r="R18" s="43" t="s">
        <v>233</v>
      </c>
      <c r="S18" s="43" t="s">
        <v>56</v>
      </c>
      <c r="T18" s="43" t="s">
        <v>233</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233</v>
      </c>
      <c r="O19" s="54">
        <v>45873</v>
      </c>
      <c r="P19" s="87" t="s">
        <v>233</v>
      </c>
      <c r="Q19" s="69" t="s">
        <v>233</v>
      </c>
      <c r="R19" s="69" t="s">
        <v>233</v>
      </c>
      <c r="S19" s="69" t="s">
        <v>56</v>
      </c>
      <c r="T19" s="69" t="s">
        <v>233</v>
      </c>
      <c r="U19" s="69" t="s">
        <v>233</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233</v>
      </c>
      <c r="O20" s="124">
        <v>45709</v>
      </c>
      <c r="P20" s="87" t="s">
        <v>233</v>
      </c>
      <c r="Q20" s="69" t="s">
        <v>233</v>
      </c>
      <c r="R20" s="69" t="s">
        <v>233</v>
      </c>
      <c r="S20" s="69" t="s">
        <v>56</v>
      </c>
      <c r="T20" s="69" t="s">
        <v>233</v>
      </c>
      <c r="U20" s="69" t="s">
        <v>233</v>
      </c>
      <c r="V20" s="69" t="s">
        <v>233</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233</v>
      </c>
      <c r="O21" s="54">
        <v>45737</v>
      </c>
      <c r="P21" s="87" t="s">
        <v>233</v>
      </c>
      <c r="Q21" s="69" t="s">
        <v>233</v>
      </c>
      <c r="R21" s="69" t="s">
        <v>233</v>
      </c>
      <c r="S21" s="69" t="s">
        <v>56</v>
      </c>
      <c r="T21" s="69" t="s">
        <v>233</v>
      </c>
      <c r="U21" s="69" t="s">
        <v>233</v>
      </c>
      <c r="V21" s="69" t="s">
        <v>233</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233</v>
      </c>
      <c r="O22" s="54">
        <v>45814</v>
      </c>
      <c r="P22" s="87" t="s">
        <v>233</v>
      </c>
      <c r="Q22" s="69" t="s">
        <v>233</v>
      </c>
      <c r="R22" s="69" t="s">
        <v>233</v>
      </c>
      <c r="S22" s="69" t="s">
        <v>56</v>
      </c>
      <c r="T22" s="69" t="s">
        <v>233</v>
      </c>
      <c r="U22" s="69" t="s">
        <v>233</v>
      </c>
      <c r="V22" s="69" t="s">
        <v>233</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233</v>
      </c>
      <c r="O23" s="54">
        <v>45789</v>
      </c>
      <c r="P23" s="87" t="s">
        <v>233</v>
      </c>
      <c r="Q23" s="69" t="s">
        <v>233</v>
      </c>
      <c r="R23" s="69" t="s">
        <v>233</v>
      </c>
      <c r="S23" s="69" t="s">
        <v>56</v>
      </c>
      <c r="T23" s="69" t="s">
        <v>233</v>
      </c>
      <c r="U23" s="69" t="s">
        <v>233</v>
      </c>
      <c r="V23" s="69" t="s">
        <v>233</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233</v>
      </c>
      <c r="O24" s="54">
        <v>45782</v>
      </c>
      <c r="P24" s="87" t="s">
        <v>233</v>
      </c>
      <c r="Q24" s="69" t="s">
        <v>233</v>
      </c>
      <c r="R24" s="69" t="s">
        <v>233</v>
      </c>
      <c r="S24" s="69" t="s">
        <v>56</v>
      </c>
      <c r="T24" s="69" t="s">
        <v>233</v>
      </c>
      <c r="U24" s="69" t="s">
        <v>233</v>
      </c>
      <c r="V24" s="69" t="s">
        <v>233</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233</v>
      </c>
      <c r="O25" s="124">
        <v>45716</v>
      </c>
      <c r="P25" s="87" t="s">
        <v>233</v>
      </c>
      <c r="Q25" s="69" t="s">
        <v>233</v>
      </c>
      <c r="R25" s="69" t="s">
        <v>233</v>
      </c>
      <c r="S25" s="69" t="s">
        <v>56</v>
      </c>
      <c r="T25" s="69" t="s">
        <v>233</v>
      </c>
      <c r="U25" s="69" t="s">
        <v>233</v>
      </c>
      <c r="V25" s="69" t="s">
        <v>233</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233</v>
      </c>
      <c r="O26" s="54">
        <v>45840</v>
      </c>
      <c r="P26" s="87" t="s">
        <v>233</v>
      </c>
      <c r="Q26" s="69" t="s">
        <v>233</v>
      </c>
      <c r="R26" s="69" t="s">
        <v>233</v>
      </c>
      <c r="S26" s="69" t="s">
        <v>56</v>
      </c>
      <c r="T26" s="69" t="s">
        <v>233</v>
      </c>
      <c r="U26" s="69" t="s">
        <v>233</v>
      </c>
      <c r="V26" s="69" t="s">
        <v>233</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233</v>
      </c>
      <c r="O27" s="54">
        <v>45853</v>
      </c>
      <c r="P27" s="87" t="s">
        <v>233</v>
      </c>
      <c r="Q27" s="69" t="s">
        <v>233</v>
      </c>
      <c r="R27" s="69" t="s">
        <v>233</v>
      </c>
      <c r="S27" s="69" t="s">
        <v>56</v>
      </c>
      <c r="T27" s="69" t="s">
        <v>233</v>
      </c>
      <c r="U27" s="69" t="s">
        <v>233</v>
      </c>
      <c r="V27" s="69" t="s">
        <v>233</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233</v>
      </c>
      <c r="O28" s="54">
        <v>45793</v>
      </c>
      <c r="P28" s="87" t="s">
        <v>233</v>
      </c>
      <c r="Q28" s="69" t="s">
        <v>233</v>
      </c>
      <c r="R28" s="69" t="s">
        <v>233</v>
      </c>
      <c r="S28" s="69" t="s">
        <v>56</v>
      </c>
      <c r="T28" s="69" t="s">
        <v>233</v>
      </c>
      <c r="U28" s="69" t="s">
        <v>233</v>
      </c>
      <c r="V28" s="69" t="s">
        <v>233</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233</v>
      </c>
      <c r="O29" s="124">
        <v>45692</v>
      </c>
      <c r="P29" s="30" t="s">
        <v>233</v>
      </c>
      <c r="Q29" s="43" t="s">
        <v>233</v>
      </c>
      <c r="R29" s="43" t="s">
        <v>233</v>
      </c>
      <c r="S29" s="43" t="s">
        <v>233</v>
      </c>
      <c r="T29" s="43" t="s">
        <v>233</v>
      </c>
      <c r="U29" s="43" t="s">
        <v>233</v>
      </c>
      <c r="V29" s="69" t="s">
        <v>233</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233</v>
      </c>
      <c r="O30" s="124">
        <v>45692</v>
      </c>
      <c r="P30" s="30" t="s">
        <v>233</v>
      </c>
      <c r="Q30" s="43" t="s">
        <v>233</v>
      </c>
      <c r="R30" s="43" t="s">
        <v>233</v>
      </c>
      <c r="S30" s="43" t="s">
        <v>233</v>
      </c>
      <c r="T30" s="43" t="s">
        <v>233</v>
      </c>
      <c r="U30" s="115" t="s">
        <v>233</v>
      </c>
      <c r="V30" s="69" t="s">
        <v>233</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233</v>
      </c>
      <c r="O31" s="54">
        <v>45707</v>
      </c>
      <c r="P31" s="87" t="s">
        <v>233</v>
      </c>
      <c r="Q31" s="43" t="s">
        <v>233</v>
      </c>
      <c r="R31" s="43" t="s">
        <v>2181</v>
      </c>
      <c r="S31" s="43" t="s">
        <v>233</v>
      </c>
      <c r="T31" s="139" t="s">
        <v>233</v>
      </c>
      <c r="U31" s="115" t="s">
        <v>233</v>
      </c>
      <c r="V31" s="69" t="s">
        <v>233</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233</v>
      </c>
      <c r="O32" s="54">
        <v>45756</v>
      </c>
      <c r="P32" s="30" t="s">
        <v>233</v>
      </c>
      <c r="Q32" s="69" t="s">
        <v>233</v>
      </c>
      <c r="R32" s="69" t="s">
        <v>2181</v>
      </c>
      <c r="S32" s="43" t="s">
        <v>233</v>
      </c>
      <c r="T32" s="139" t="s">
        <v>233</v>
      </c>
      <c r="U32" s="43" t="s">
        <v>233</v>
      </c>
      <c r="V32" s="69" t="s">
        <v>233</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233</v>
      </c>
      <c r="O33" s="124">
        <v>45749</v>
      </c>
      <c r="P33" s="30" t="s">
        <v>233</v>
      </c>
      <c r="Q33" s="69" t="s">
        <v>233</v>
      </c>
      <c r="R33" s="69" t="s">
        <v>2181</v>
      </c>
      <c r="S33" s="43" t="s">
        <v>233</v>
      </c>
      <c r="T33" s="139" t="s">
        <v>233</v>
      </c>
      <c r="U33" s="43" t="s">
        <v>233</v>
      </c>
      <c r="V33" s="334" t="s">
        <v>233</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233</v>
      </c>
      <c r="O34" s="124">
        <v>45750</v>
      </c>
      <c r="P34" s="30" t="s">
        <v>233</v>
      </c>
      <c r="Q34" s="69" t="s">
        <v>233</v>
      </c>
      <c r="R34" s="69" t="s">
        <v>2181</v>
      </c>
      <c r="S34" s="43" t="s">
        <v>233</v>
      </c>
      <c r="T34" s="139" t="s">
        <v>233</v>
      </c>
      <c r="U34" s="43" t="s">
        <v>233</v>
      </c>
      <c r="V34" s="404" t="s">
        <v>233</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233</v>
      </c>
      <c r="O35" s="124">
        <v>45659</v>
      </c>
      <c r="P35" s="87" t="s">
        <v>233</v>
      </c>
      <c r="Q35" s="43" t="s">
        <v>233</v>
      </c>
      <c r="R35" s="43" t="s">
        <v>2181</v>
      </c>
      <c r="S35" s="43" t="s">
        <v>233</v>
      </c>
      <c r="T35" s="139" t="s">
        <v>233</v>
      </c>
      <c r="U35" s="169" t="s">
        <v>233</v>
      </c>
      <c r="V35" s="69" t="s">
        <v>233</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233</v>
      </c>
      <c r="O36" s="124">
        <v>45659</v>
      </c>
      <c r="P36" s="87" t="s">
        <v>233</v>
      </c>
      <c r="Q36" s="43" t="s">
        <v>233</v>
      </c>
      <c r="R36" s="43" t="s">
        <v>2181</v>
      </c>
      <c r="S36" s="43" t="s">
        <v>233</v>
      </c>
      <c r="T36" s="139" t="s">
        <v>233</v>
      </c>
      <c r="U36" s="43" t="s">
        <v>233</v>
      </c>
      <c r="V36" s="69" t="s">
        <v>233</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233</v>
      </c>
      <c r="N37" s="30" t="s">
        <v>233</v>
      </c>
      <c r="O37" s="124">
        <v>45672</v>
      </c>
      <c r="P37" s="30" t="s">
        <v>233</v>
      </c>
      <c r="Q37" s="43" t="s">
        <v>233</v>
      </c>
      <c r="R37" s="43" t="s">
        <v>2181</v>
      </c>
      <c r="S37" s="43" t="s">
        <v>233</v>
      </c>
      <c r="T37" s="43" t="s">
        <v>233</v>
      </c>
      <c r="U37" s="169" t="s">
        <v>233</v>
      </c>
      <c r="V37" s="69" t="s">
        <v>233</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233</v>
      </c>
      <c r="O38" s="124">
        <v>45673</v>
      </c>
      <c r="P38" s="30" t="s">
        <v>233</v>
      </c>
      <c r="Q38" s="43" t="s">
        <v>233</v>
      </c>
      <c r="R38" s="43" t="s">
        <v>2181</v>
      </c>
      <c r="S38" s="43" t="s">
        <v>233</v>
      </c>
      <c r="T38" s="43" t="s">
        <v>233</v>
      </c>
      <c r="U38" s="169" t="s">
        <v>233</v>
      </c>
      <c r="V38" s="69" t="s">
        <v>233</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233</v>
      </c>
      <c r="N39" s="30" t="s">
        <v>233</v>
      </c>
      <c r="O39" s="124">
        <v>45672</v>
      </c>
      <c r="P39" s="30" t="s">
        <v>233</v>
      </c>
      <c r="Q39" s="43" t="s">
        <v>233</v>
      </c>
      <c r="R39" s="43" t="s">
        <v>2181</v>
      </c>
      <c r="S39" s="43" t="s">
        <v>233</v>
      </c>
      <c r="T39" s="43" t="s">
        <v>233</v>
      </c>
      <c r="U39" s="169" t="s">
        <v>233</v>
      </c>
      <c r="V39" s="69" t="s">
        <v>233</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233</v>
      </c>
      <c r="O40" s="124">
        <v>45715</v>
      </c>
      <c r="P40" s="30" t="s">
        <v>233</v>
      </c>
      <c r="Q40" s="43" t="s">
        <v>233</v>
      </c>
      <c r="R40" s="43" t="s">
        <v>233</v>
      </c>
      <c r="S40" s="43" t="s">
        <v>233</v>
      </c>
      <c r="T40" s="43" t="s">
        <v>233</v>
      </c>
      <c r="U40" s="43" t="s">
        <v>233</v>
      </c>
      <c r="V40" s="69" t="s">
        <v>233</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233</v>
      </c>
      <c r="O41" s="54">
        <v>45729</v>
      </c>
      <c r="P41" s="87" t="s">
        <v>233</v>
      </c>
      <c r="Q41" s="43" t="s">
        <v>233</v>
      </c>
      <c r="R41" s="43" t="s">
        <v>233</v>
      </c>
      <c r="S41" s="43" t="s">
        <v>233</v>
      </c>
      <c r="T41" s="43" t="s">
        <v>233</v>
      </c>
      <c r="U41" s="169" t="s">
        <v>233</v>
      </c>
      <c r="V41" s="69" t="s">
        <v>233</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233</v>
      </c>
      <c r="O42" s="54">
        <v>45737</v>
      </c>
      <c r="P42" s="87" t="s">
        <v>233</v>
      </c>
      <c r="Q42" s="43" t="s">
        <v>233</v>
      </c>
      <c r="R42" s="43" t="s">
        <v>233</v>
      </c>
      <c r="S42" s="43" t="s">
        <v>233</v>
      </c>
      <c r="T42" s="43" t="s">
        <v>233</v>
      </c>
      <c r="U42" s="43" t="s">
        <v>233</v>
      </c>
      <c r="V42" s="69" t="s">
        <v>233</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233</v>
      </c>
      <c r="N43" s="30" t="s">
        <v>233</v>
      </c>
      <c r="O43" s="124">
        <v>45726</v>
      </c>
      <c r="P43" s="30" t="s">
        <v>233</v>
      </c>
      <c r="Q43" s="43" t="s">
        <v>233</v>
      </c>
      <c r="R43" s="43" t="s">
        <v>233</v>
      </c>
      <c r="S43" s="43" t="s">
        <v>233</v>
      </c>
      <c r="T43" s="43" t="s">
        <v>233</v>
      </c>
      <c r="U43" s="43" t="s">
        <v>233</v>
      </c>
      <c r="V43" s="69" t="s">
        <v>233</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233</v>
      </c>
      <c r="O44" s="54">
        <v>45741</v>
      </c>
      <c r="P44" s="30" t="s">
        <v>233</v>
      </c>
      <c r="Q44" s="43" t="s">
        <v>233</v>
      </c>
      <c r="R44" s="43" t="s">
        <v>233</v>
      </c>
      <c r="S44" s="43" t="s">
        <v>233</v>
      </c>
      <c r="T44" s="43" t="s">
        <v>233</v>
      </c>
      <c r="U44" s="43" t="s">
        <v>233</v>
      </c>
      <c r="V44" s="69" t="s">
        <v>233</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233</v>
      </c>
      <c r="N45" s="30" t="s">
        <v>233</v>
      </c>
      <c r="O45" s="124">
        <v>45695</v>
      </c>
      <c r="P45" s="30" t="s">
        <v>233</v>
      </c>
      <c r="Q45" s="43" t="s">
        <v>233</v>
      </c>
      <c r="R45" s="43" t="s">
        <v>233</v>
      </c>
      <c r="S45" s="43" t="s">
        <v>233</v>
      </c>
      <c r="T45" s="43" t="s">
        <v>233</v>
      </c>
      <c r="U45" s="43" t="s">
        <v>233</v>
      </c>
      <c r="V45" s="69" t="s">
        <v>233</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233</v>
      </c>
      <c r="O46" s="124">
        <v>45810</v>
      </c>
      <c r="P46" s="30" t="s">
        <v>233</v>
      </c>
      <c r="Q46" s="43" t="s">
        <v>233</v>
      </c>
      <c r="R46" s="43" t="s">
        <v>233</v>
      </c>
      <c r="S46" s="43" t="s">
        <v>233</v>
      </c>
      <c r="T46" s="43" t="s">
        <v>233</v>
      </c>
      <c r="U46" s="43" t="s">
        <v>233</v>
      </c>
      <c r="V46" s="69" t="s">
        <v>233</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233</v>
      </c>
      <c r="O47" s="54">
        <v>45880</v>
      </c>
      <c r="P47" s="87" t="s">
        <v>233</v>
      </c>
      <c r="Q47" s="43" t="s">
        <v>233</v>
      </c>
      <c r="R47" s="43" t="s">
        <v>233</v>
      </c>
      <c r="S47" s="43" t="s">
        <v>56</v>
      </c>
      <c r="T47" s="43" t="s">
        <v>233</v>
      </c>
      <c r="U47" s="43" t="s">
        <v>233</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233</v>
      </c>
      <c r="O48" s="54">
        <v>45882</v>
      </c>
      <c r="P48" s="87" t="s">
        <v>233</v>
      </c>
      <c r="Q48" s="157" t="s">
        <v>233</v>
      </c>
      <c r="R48" s="157" t="s">
        <v>233</v>
      </c>
      <c r="S48" s="43" t="s">
        <v>233</v>
      </c>
      <c r="T48" s="43" t="s">
        <v>233</v>
      </c>
      <c r="U48" s="69" t="s">
        <v>233</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233</v>
      </c>
      <c r="O49" s="54">
        <v>45840</v>
      </c>
      <c r="P49" s="87" t="s">
        <v>233</v>
      </c>
      <c r="Q49" s="43" t="s">
        <v>233</v>
      </c>
      <c r="R49" s="43" t="s">
        <v>233</v>
      </c>
      <c r="S49" s="43" t="s">
        <v>56</v>
      </c>
      <c r="T49" s="43" t="s">
        <v>233</v>
      </c>
      <c r="U49" s="43" t="s">
        <v>233</v>
      </c>
      <c r="V49" s="69" t="s">
        <v>233</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233</v>
      </c>
      <c r="O50" s="54">
        <v>45847</v>
      </c>
      <c r="P50" s="87" t="s">
        <v>233</v>
      </c>
      <c r="Q50" s="43" t="s">
        <v>233</v>
      </c>
      <c r="R50" s="43" t="s">
        <v>233</v>
      </c>
      <c r="S50" s="43" t="s">
        <v>56</v>
      </c>
      <c r="T50" s="43" t="s">
        <v>233</v>
      </c>
      <c r="U50" s="43" t="s">
        <v>233</v>
      </c>
      <c r="V50" s="69" t="s">
        <v>233</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233</v>
      </c>
      <c r="O51" s="54">
        <v>45840</v>
      </c>
      <c r="P51" s="87" t="s">
        <v>233</v>
      </c>
      <c r="Q51" s="43" t="s">
        <v>233</v>
      </c>
      <c r="R51" s="43" t="s">
        <v>233</v>
      </c>
      <c r="S51" s="43" t="s">
        <v>56</v>
      </c>
      <c r="T51" s="43" t="s">
        <v>233</v>
      </c>
      <c r="U51" s="43" t="s">
        <v>233</v>
      </c>
      <c r="V51" s="69" t="s">
        <v>233</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233</v>
      </c>
      <c r="O52" s="54">
        <v>45833</v>
      </c>
      <c r="P52" s="30" t="s">
        <v>233</v>
      </c>
      <c r="Q52" s="43" t="s">
        <v>233</v>
      </c>
      <c r="R52" s="43" t="s">
        <v>233</v>
      </c>
      <c r="S52" s="43" t="s">
        <v>233</v>
      </c>
      <c r="T52" s="43" t="s">
        <v>233</v>
      </c>
      <c r="U52" s="43" t="s">
        <v>233</v>
      </c>
      <c r="V52" s="69" t="s">
        <v>233</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233</v>
      </c>
      <c r="O53" s="54">
        <v>45840</v>
      </c>
      <c r="P53" s="87" t="s">
        <v>233</v>
      </c>
      <c r="Q53" s="43" t="s">
        <v>56</v>
      </c>
      <c r="R53" s="43" t="s">
        <v>233</v>
      </c>
      <c r="S53" s="43" t="s">
        <v>233</v>
      </c>
      <c r="T53" s="43" t="s">
        <v>233</v>
      </c>
      <c r="U53" s="43" t="s">
        <v>233</v>
      </c>
      <c r="V53" s="69" t="s">
        <v>233</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233</v>
      </c>
      <c r="O54" s="54">
        <v>45887</v>
      </c>
      <c r="P54" s="87" t="s">
        <v>233</v>
      </c>
      <c r="Q54" s="43" t="s">
        <v>233</v>
      </c>
      <c r="R54" s="43" t="s">
        <v>233</v>
      </c>
      <c r="S54" s="43" t="s">
        <v>233</v>
      </c>
      <c r="T54" s="43" t="s">
        <v>233</v>
      </c>
      <c r="U54" s="43" t="s">
        <v>233</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233</v>
      </c>
      <c r="O55" s="54">
        <v>45887</v>
      </c>
      <c r="P55" s="87" t="s">
        <v>233</v>
      </c>
      <c r="Q55" s="115" t="s">
        <v>233</v>
      </c>
      <c r="R55" s="115" t="s">
        <v>233</v>
      </c>
      <c r="S55" s="115" t="s">
        <v>233</v>
      </c>
      <c r="T55" s="115" t="s">
        <v>233</v>
      </c>
      <c r="U55" s="43" t="s">
        <v>233</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233</v>
      </c>
      <c r="O56" s="54">
        <v>45887</v>
      </c>
      <c r="P56" s="328" t="s">
        <v>233</v>
      </c>
      <c r="Q56" s="43" t="s">
        <v>233</v>
      </c>
      <c r="R56" s="43" t="s">
        <v>233</v>
      </c>
      <c r="S56" s="43" t="s">
        <v>233</v>
      </c>
      <c r="T56" s="43" t="s">
        <v>233</v>
      </c>
      <c r="U56" s="43" t="s">
        <v>233</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233</v>
      </c>
      <c r="O57" s="124">
        <v>45783</v>
      </c>
      <c r="P57" s="328" t="s">
        <v>233</v>
      </c>
      <c r="Q57" s="43" t="s">
        <v>233</v>
      </c>
      <c r="R57" s="43" t="s">
        <v>2181</v>
      </c>
      <c r="S57" s="43" t="s">
        <v>233</v>
      </c>
      <c r="T57" s="43" t="s">
        <v>233</v>
      </c>
      <c r="U57" s="43" t="s">
        <v>233</v>
      </c>
      <c r="V57" s="69" t="s">
        <v>233</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233</v>
      </c>
      <c r="O58" s="54">
        <v>45776</v>
      </c>
      <c r="P58" s="328" t="s">
        <v>233</v>
      </c>
      <c r="Q58" s="43" t="s">
        <v>233</v>
      </c>
      <c r="R58" s="43" t="s">
        <v>2181</v>
      </c>
      <c r="S58" s="43" t="s">
        <v>233</v>
      </c>
      <c r="T58" s="43" t="s">
        <v>233</v>
      </c>
      <c r="U58" s="43" t="s">
        <v>233</v>
      </c>
      <c r="V58" s="334" t="s">
        <v>233</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233</v>
      </c>
      <c r="O59" s="30" t="s">
        <v>2163</v>
      </c>
      <c r="P59" s="328" t="s">
        <v>233</v>
      </c>
      <c r="Q59" s="43" t="s">
        <v>233</v>
      </c>
      <c r="R59" s="43" t="s">
        <v>2181</v>
      </c>
      <c r="S59" s="43" t="s">
        <v>233</v>
      </c>
      <c r="T59" s="43" t="s">
        <v>233</v>
      </c>
      <c r="U59" s="43" t="s">
        <v>233</v>
      </c>
      <c r="V59" s="334" t="s">
        <v>233</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233</v>
      </c>
      <c r="O60" s="54">
        <v>45812</v>
      </c>
      <c r="P60" s="328" t="s">
        <v>233</v>
      </c>
      <c r="Q60" s="43" t="s">
        <v>233</v>
      </c>
      <c r="R60" s="43" t="s">
        <v>2181</v>
      </c>
      <c r="S60" s="43" t="s">
        <v>233</v>
      </c>
      <c r="T60" s="43" t="s">
        <v>233</v>
      </c>
      <c r="U60" s="43" t="s">
        <v>233</v>
      </c>
      <c r="V60" s="334" t="s">
        <v>233</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233</v>
      </c>
      <c r="N61" s="87" t="s">
        <v>233</v>
      </c>
      <c r="O61" s="124">
        <v>45673</v>
      </c>
      <c r="P61" s="328" t="s">
        <v>233</v>
      </c>
      <c r="Q61" s="43" t="s">
        <v>233</v>
      </c>
      <c r="R61" s="69" t="s">
        <v>65</v>
      </c>
      <c r="S61" s="43" t="s">
        <v>56</v>
      </c>
      <c r="T61" s="43" t="s">
        <v>233</v>
      </c>
      <c r="U61" s="161" t="s">
        <v>233</v>
      </c>
      <c r="V61" s="69" t="s">
        <v>233</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233</v>
      </c>
      <c r="O62" s="54">
        <v>45848</v>
      </c>
      <c r="P62" s="328" t="s">
        <v>233</v>
      </c>
      <c r="Q62" s="43" t="s">
        <v>233</v>
      </c>
      <c r="R62" s="43" t="s">
        <v>233</v>
      </c>
      <c r="S62" s="43" t="s">
        <v>56</v>
      </c>
      <c r="T62" s="43" t="s">
        <v>233</v>
      </c>
      <c r="U62" s="43" t="s">
        <v>233</v>
      </c>
      <c r="V62" s="43" t="s">
        <v>233</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233</v>
      </c>
      <c r="O63" s="54">
        <v>45882</v>
      </c>
      <c r="P63" s="328" t="s">
        <v>233</v>
      </c>
      <c r="Q63" s="43" t="s">
        <v>233</v>
      </c>
      <c r="R63" s="43" t="s">
        <v>233</v>
      </c>
      <c r="S63" s="43" t="s">
        <v>56</v>
      </c>
      <c r="T63" s="43" t="s">
        <v>233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233</v>
      </c>
      <c r="O64" s="54">
        <v>45884</v>
      </c>
      <c r="P64" s="328" t="s">
        <v>233</v>
      </c>
      <c r="Q64" s="43" t="s">
        <v>233</v>
      </c>
      <c r="R64" s="43" t="s">
        <v>233</v>
      </c>
      <c r="S64" s="43" t="s">
        <v>56</v>
      </c>
      <c r="T64" s="43" t="s">
        <v>233</v>
      </c>
      <c r="U64" s="43" t="s">
        <v>233</v>
      </c>
      <c r="V64" s="43" t="s">
        <v>233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233</v>
      </c>
      <c r="O65" s="54">
        <v>45824</v>
      </c>
      <c r="P65" s="328" t="s">
        <v>233</v>
      </c>
      <c r="Q65" s="43" t="s">
        <v>233</v>
      </c>
      <c r="R65" s="43" t="s">
        <v>233</v>
      </c>
      <c r="S65" s="43" t="s">
        <v>56</v>
      </c>
      <c r="T65" s="43" t="s">
        <v>233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233</v>
      </c>
      <c r="O66" s="124">
        <v>45817</v>
      </c>
      <c r="P66" s="328" t="s">
        <v>233</v>
      </c>
      <c r="Q66" s="157" t="s">
        <v>233</v>
      </c>
      <c r="R66" s="43" t="s">
        <v>233</v>
      </c>
      <c r="S66" s="43" t="s">
        <v>56</v>
      </c>
      <c r="T66" s="43" t="s">
        <v>233</v>
      </c>
      <c r="U66" s="43" t="s">
        <v>233</v>
      </c>
      <c r="V66" s="43" t="s">
        <v>233</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233</v>
      </c>
      <c r="O67" s="54">
        <v>45876</v>
      </c>
      <c r="P67" s="328" t="s">
        <v>233</v>
      </c>
      <c r="Q67" s="157" t="s">
        <v>233</v>
      </c>
      <c r="R67" s="157" t="s">
        <v>233</v>
      </c>
      <c r="S67" s="43" t="s">
        <v>56</v>
      </c>
      <c r="T67" s="43" t="s">
        <v>233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233</v>
      </c>
      <c r="N68" s="87" t="s">
        <v>233</v>
      </c>
      <c r="O68" s="87" t="s">
        <v>233</v>
      </c>
      <c r="P68" s="328" t="s">
        <v>233</v>
      </c>
      <c r="Q68" s="43" t="s">
        <v>233</v>
      </c>
      <c r="R68" s="43" t="s">
        <v>233</v>
      </c>
      <c r="S68" s="43" t="s">
        <v>56</v>
      </c>
      <c r="T68" s="43" t="s">
        <v>233</v>
      </c>
      <c r="U68" s="43" t="s">
        <v>233</v>
      </c>
      <c r="V68" s="334" t="s">
        <v>233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233</v>
      </c>
      <c r="O69" s="54">
        <v>45870</v>
      </c>
      <c r="P69" s="328" t="s">
        <v>233</v>
      </c>
      <c r="Q69" s="43" t="s">
        <v>233</v>
      </c>
      <c r="R69" s="43" t="s">
        <v>233</v>
      </c>
      <c r="S69" s="43" t="s">
        <v>56</v>
      </c>
      <c r="T69" s="43" t="s">
        <v>233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233</v>
      </c>
      <c r="O70" s="124">
        <v>45705</v>
      </c>
      <c r="P70" s="79" t="s">
        <v>233</v>
      </c>
      <c r="Q70" s="43" t="s">
        <v>233</v>
      </c>
      <c r="R70" s="43" t="s">
        <v>233</v>
      </c>
      <c r="S70" s="43" t="s">
        <v>56</v>
      </c>
      <c r="T70" s="43" t="s">
        <v>233</v>
      </c>
      <c r="U70" s="43" t="s">
        <v>233</v>
      </c>
      <c r="V70" s="334" t="s">
        <v>233</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233</v>
      </c>
      <c r="O71" s="54">
        <v>45870</v>
      </c>
      <c r="P71" s="79" t="s">
        <v>233</v>
      </c>
      <c r="Q71" s="43" t="s">
        <v>233</v>
      </c>
      <c r="R71" s="43" t="s">
        <v>233</v>
      </c>
      <c r="S71" s="43" t="s">
        <v>56</v>
      </c>
      <c r="T71" s="43" t="s">
        <v>233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233</v>
      </c>
      <c r="O72" s="54">
        <v>45882</v>
      </c>
      <c r="P72" s="328" t="s">
        <v>233</v>
      </c>
      <c r="Q72" s="157" t="s">
        <v>233</v>
      </c>
      <c r="R72" s="43" t="s">
        <v>233</v>
      </c>
      <c r="S72" s="43" t="s">
        <v>56</v>
      </c>
      <c r="T72" s="43" t="s">
        <v>233</v>
      </c>
      <c r="U72" s="43" t="s">
        <v>233</v>
      </c>
      <c r="V72" s="43" t="s">
        <v>233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233</v>
      </c>
      <c r="O73" s="124">
        <v>45790</v>
      </c>
      <c r="P73" s="79" t="s">
        <v>233</v>
      </c>
      <c r="Q73" s="43" t="s">
        <v>233</v>
      </c>
      <c r="R73" s="43" t="s">
        <v>233</v>
      </c>
      <c r="S73" s="43" t="s">
        <v>56</v>
      </c>
      <c r="T73" s="43" t="s">
        <v>233</v>
      </c>
      <c r="U73" s="43" t="s">
        <v>233</v>
      </c>
      <c r="V73" s="334" t="s">
        <v>233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233</v>
      </c>
      <c r="O74" s="54">
        <v>45871</v>
      </c>
      <c r="P74" s="79" t="s">
        <v>233</v>
      </c>
      <c r="Q74" s="43" t="s">
        <v>233</v>
      </c>
      <c r="R74" s="43" t="s">
        <v>233</v>
      </c>
      <c r="S74" s="43" t="s">
        <v>56</v>
      </c>
      <c r="T74" s="43" t="s">
        <v>233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233</v>
      </c>
      <c r="O75" s="54">
        <v>45853</v>
      </c>
      <c r="P75" s="79" t="s">
        <v>233</v>
      </c>
      <c r="Q75" s="43" t="s">
        <v>233</v>
      </c>
      <c r="R75" s="43" t="s">
        <v>233</v>
      </c>
      <c r="S75" s="43" t="s">
        <v>56</v>
      </c>
      <c r="T75" s="43" t="s">
        <v>233</v>
      </c>
      <c r="U75" s="43" t="s">
        <v>233</v>
      </c>
      <c r="V75" s="43" t="s">
        <v>233</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233</v>
      </c>
      <c r="O76" s="54">
        <v>45838</v>
      </c>
      <c r="P76" s="87" t="s">
        <v>233</v>
      </c>
      <c r="Q76" s="169" t="s">
        <v>233</v>
      </c>
      <c r="R76" s="169" t="s">
        <v>233</v>
      </c>
      <c r="S76" s="169" t="s">
        <v>56</v>
      </c>
      <c r="T76" s="169" t="s">
        <v>233</v>
      </c>
      <c r="U76" s="43" t="s">
        <v>233</v>
      </c>
      <c r="V76" s="43" t="s">
        <v>233</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233</v>
      </c>
      <c r="O77" s="54">
        <v>45902</v>
      </c>
      <c r="P77" s="328" t="s">
        <v>233</v>
      </c>
      <c r="Q77" s="43" t="s">
        <v>233</v>
      </c>
      <c r="R77" s="43" t="s">
        <v>233</v>
      </c>
      <c r="S77" s="43" t="s">
        <v>56</v>
      </c>
      <c r="T77" s="43" t="s">
        <v>233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233</v>
      </c>
      <c r="O78" s="54">
        <v>45902</v>
      </c>
      <c r="P78" s="328" t="s">
        <v>233</v>
      </c>
      <c r="Q78" s="43" t="s">
        <v>233</v>
      </c>
      <c r="R78" s="43" t="s">
        <v>233</v>
      </c>
      <c r="S78" s="43" t="s">
        <v>56</v>
      </c>
      <c r="T78" s="43" t="s">
        <v>233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233</v>
      </c>
      <c r="N79" s="87" t="s">
        <v>233</v>
      </c>
      <c r="O79" s="87" t="s">
        <v>233</v>
      </c>
      <c r="P79" s="87" t="s">
        <v>233</v>
      </c>
      <c r="Q79" s="43" t="s">
        <v>56</v>
      </c>
      <c r="R79" s="43" t="s">
        <v>56</v>
      </c>
      <c r="S79" s="43" t="s">
        <v>56</v>
      </c>
      <c r="T79" s="43" t="s">
        <v>233</v>
      </c>
      <c r="U79" s="43" t="s">
        <v>233</v>
      </c>
      <c r="V79" s="334" t="s">
        <v>233</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233</v>
      </c>
      <c r="O80" s="30" t="s">
        <v>52</v>
      </c>
      <c r="P80" s="87" t="s">
        <v>233</v>
      </c>
      <c r="Q80" s="43" t="s">
        <v>56</v>
      </c>
      <c r="R80" s="43" t="s">
        <v>56</v>
      </c>
      <c r="S80" s="43" t="s">
        <v>56</v>
      </c>
      <c r="T80" s="43" t="s">
        <v>233</v>
      </c>
      <c r="U80" s="43" t="s">
        <v>233</v>
      </c>
      <c r="V80" s="69" t="s">
        <v>233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233</v>
      </c>
      <c r="N81" s="87" t="s">
        <v>233</v>
      </c>
      <c r="O81" s="124">
        <v>45678</v>
      </c>
      <c r="P81" s="87" t="s">
        <v>233</v>
      </c>
      <c r="Q81" s="43" t="s">
        <v>233</v>
      </c>
      <c r="R81" s="43" t="s">
        <v>2181</v>
      </c>
      <c r="S81" s="43" t="s">
        <v>233</v>
      </c>
      <c r="T81" s="43" t="s">
        <v>233</v>
      </c>
      <c r="U81" s="115" t="s">
        <v>233</v>
      </c>
      <c r="V81" s="69" t="s">
        <v>233</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233</v>
      </c>
      <c r="O82" s="54">
        <v>45874</v>
      </c>
      <c r="P82" s="87" t="s">
        <v>233</v>
      </c>
      <c r="Q82" s="43" t="s">
        <v>233</v>
      </c>
      <c r="R82" s="43" t="s">
        <v>2181</v>
      </c>
      <c r="S82" s="43" t="s">
        <v>233</v>
      </c>
      <c r="T82" s="43" t="s">
        <v>233</v>
      </c>
      <c r="U82" s="115" t="s">
        <v>233</v>
      </c>
      <c r="V82" s="69" t="s">
        <v>233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233</v>
      </c>
      <c r="O83" s="54">
        <v>45706</v>
      </c>
      <c r="P83" s="87" t="s">
        <v>233</v>
      </c>
      <c r="Q83" s="165" t="s">
        <v>233</v>
      </c>
      <c r="R83" s="69" t="s">
        <v>233</v>
      </c>
      <c r="S83" s="69" t="s">
        <v>56</v>
      </c>
      <c r="T83" s="69" t="s">
        <v>233</v>
      </c>
      <c r="U83" s="43" t="s">
        <v>233</v>
      </c>
      <c r="V83" s="43" t="s">
        <v>233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233</v>
      </c>
      <c r="O84" s="54">
        <v>45728</v>
      </c>
      <c r="P84" s="30" t="s">
        <v>233</v>
      </c>
      <c r="Q84" s="169" t="s">
        <v>233</v>
      </c>
      <c r="R84" s="169" t="s">
        <v>2181</v>
      </c>
      <c r="S84" s="169" t="s">
        <v>233</v>
      </c>
      <c r="T84" s="169" t="s">
        <v>233</v>
      </c>
      <c r="U84" s="91" t="s">
        <v>233</v>
      </c>
      <c r="V84" s="69" t="s">
        <v>233</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233</v>
      </c>
      <c r="O85" s="54">
        <v>45719</v>
      </c>
      <c r="P85" s="30" t="s">
        <v>233</v>
      </c>
      <c r="Q85" s="43" t="s">
        <v>233</v>
      </c>
      <c r="R85" s="169" t="s">
        <v>2181</v>
      </c>
      <c r="S85" s="169" t="s">
        <v>233</v>
      </c>
      <c r="T85" s="169" t="s">
        <v>233</v>
      </c>
      <c r="U85" s="91" t="s">
        <v>233</v>
      </c>
      <c r="V85" s="91" t="s">
        <v>233</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233</v>
      </c>
      <c r="O86" s="195">
        <v>45728</v>
      </c>
      <c r="P86" s="30" t="s">
        <v>233</v>
      </c>
      <c r="Q86" s="43" t="s">
        <v>233</v>
      </c>
      <c r="R86" s="43" t="s">
        <v>2181</v>
      </c>
      <c r="S86" s="43" t="s">
        <v>233</v>
      </c>
      <c r="T86" s="43" t="s">
        <v>233</v>
      </c>
      <c r="U86" s="69" t="s">
        <v>233</v>
      </c>
      <c r="V86" s="69" t="s">
        <v>233</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233</v>
      </c>
      <c r="O87" s="30" t="s">
        <v>233</v>
      </c>
      <c r="P87" s="30" t="s">
        <v>233</v>
      </c>
      <c r="Q87" s="43" t="s">
        <v>233</v>
      </c>
      <c r="R87" s="43" t="s">
        <v>2181</v>
      </c>
      <c r="S87" s="43" t="s">
        <v>233</v>
      </c>
      <c r="T87" s="43" t="s">
        <v>233</v>
      </c>
      <c r="U87" s="157" t="s">
        <v>233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233</v>
      </c>
      <c r="O88" s="54">
        <v>45728</v>
      </c>
      <c r="P88" s="30" t="s">
        <v>233</v>
      </c>
      <c r="Q88" s="43" t="s">
        <v>233</v>
      </c>
      <c r="R88" s="43" t="s">
        <v>2181</v>
      </c>
      <c r="S88" s="43" t="s">
        <v>233</v>
      </c>
      <c r="T88" s="43" t="s">
        <v>233</v>
      </c>
      <c r="U88" s="157" t="s">
        <v>233</v>
      </c>
      <c r="V88" s="157" t="s">
        <v>233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233</v>
      </c>
      <c r="O89" s="54">
        <v>45722</v>
      </c>
      <c r="P89" s="30" t="s">
        <v>233</v>
      </c>
      <c r="Q89" s="69" t="s">
        <v>233</v>
      </c>
      <c r="R89" s="43" t="s">
        <v>2181</v>
      </c>
      <c r="S89" s="69" t="s">
        <v>233</v>
      </c>
      <c r="T89" s="69" t="s">
        <v>233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233</v>
      </c>
      <c r="O90" s="54">
        <v>45727</v>
      </c>
      <c r="P90" s="30" t="s">
        <v>233</v>
      </c>
      <c r="Q90" s="69" t="s">
        <v>233</v>
      </c>
      <c r="R90" s="43" t="s">
        <v>2181</v>
      </c>
      <c r="S90" s="69" t="s">
        <v>233</v>
      </c>
      <c r="T90" s="69" t="s">
        <v>233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233</v>
      </c>
      <c r="O91" s="54">
        <v>45723</v>
      </c>
      <c r="P91" s="30" t="s">
        <v>233</v>
      </c>
      <c r="Q91" s="69" t="s">
        <v>233</v>
      </c>
      <c r="R91" s="43" t="s">
        <v>2181</v>
      </c>
      <c r="S91" s="69" t="s">
        <v>233</v>
      </c>
      <c r="T91" s="69" t="s">
        <v>233</v>
      </c>
      <c r="U91" s="69" t="s">
        <v>233</v>
      </c>
      <c r="V91" s="69" t="s">
        <v>233</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233</v>
      </c>
      <c r="O92" s="54">
        <v>45726</v>
      </c>
      <c r="P92" s="30" t="s">
        <v>233</v>
      </c>
      <c r="Q92" s="148" t="s">
        <v>233</v>
      </c>
      <c r="R92" s="43" t="s">
        <v>2181</v>
      </c>
      <c r="S92" s="69" t="s">
        <v>233</v>
      </c>
      <c r="T92" s="69" t="s">
        <v>233</v>
      </c>
      <c r="U92" s="334" t="s">
        <v>233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233</v>
      </c>
      <c r="O93" s="54">
        <v>45727</v>
      </c>
      <c r="P93" s="79" t="s">
        <v>233</v>
      </c>
      <c r="Q93" s="43" t="s">
        <v>233</v>
      </c>
      <c r="R93" s="43" t="s">
        <v>2181</v>
      </c>
      <c r="S93" s="43" t="s">
        <v>233</v>
      </c>
      <c r="T93" s="43" t="s">
        <v>233</v>
      </c>
      <c r="U93" s="334" t="s">
        <v>233</v>
      </c>
      <c r="V93" s="69" t="s">
        <v>233</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233</v>
      </c>
      <c r="O94" s="54">
        <v>45693</v>
      </c>
      <c r="P94" s="79" t="s">
        <v>233</v>
      </c>
      <c r="Q94" s="69" t="s">
        <v>233</v>
      </c>
      <c r="R94" s="69" t="s">
        <v>2181</v>
      </c>
      <c r="S94" s="69" t="s">
        <v>233</v>
      </c>
      <c r="T94" s="69" t="s">
        <v>233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233</v>
      </c>
      <c r="O95" s="195">
        <v>45694</v>
      </c>
      <c r="P95" s="79" t="s">
        <v>233</v>
      </c>
      <c r="Q95" s="69" t="s">
        <v>233</v>
      </c>
      <c r="R95" s="69" t="s">
        <v>2181</v>
      </c>
      <c r="S95" s="69" t="s">
        <v>233</v>
      </c>
      <c r="T95" s="43" t="s">
        <v>233</v>
      </c>
      <c r="U95" s="69" t="s">
        <v>233</v>
      </c>
      <c r="V95" s="69" t="s">
        <v>233</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233</v>
      </c>
      <c r="O96" s="54">
        <v>45694</v>
      </c>
      <c r="P96" s="30" t="s">
        <v>233</v>
      </c>
      <c r="Q96" s="69" t="s">
        <v>233</v>
      </c>
      <c r="R96" s="91" t="s">
        <v>2181</v>
      </c>
      <c r="S96" s="69" t="s">
        <v>233</v>
      </c>
      <c r="T96" s="69" t="s">
        <v>233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233</v>
      </c>
      <c r="O97" s="54">
        <v>45688</v>
      </c>
      <c r="P97" s="30" t="s">
        <v>233</v>
      </c>
      <c r="Q97" s="69" t="s">
        <v>233</v>
      </c>
      <c r="R97" s="69" t="s">
        <v>2181</v>
      </c>
      <c r="S97" s="69" t="s">
        <v>233</v>
      </c>
      <c r="T97" s="69" t="s">
        <v>233</v>
      </c>
      <c r="U97" s="69" t="s">
        <v>233</v>
      </c>
      <c r="V97" s="43" t="s">
        <v>233</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233</v>
      </c>
      <c r="O98" s="54">
        <v>45692</v>
      </c>
      <c r="P98" s="30" t="s">
        <v>233</v>
      </c>
      <c r="Q98" s="43" t="s">
        <v>233</v>
      </c>
      <c r="R98" s="43" t="s">
        <v>2181</v>
      </c>
      <c r="S98" s="43" t="s">
        <v>233</v>
      </c>
      <c r="T98" s="43" t="s">
        <v>233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233</v>
      </c>
      <c r="O99" s="54">
        <v>45692</v>
      </c>
      <c r="P99" s="30" t="s">
        <v>233</v>
      </c>
      <c r="Q99" s="43" t="s">
        <v>233</v>
      </c>
      <c r="R99" s="43" t="s">
        <v>2181</v>
      </c>
      <c r="S99" s="43" t="s">
        <v>233</v>
      </c>
      <c r="T99" s="115" t="s">
        <v>233</v>
      </c>
      <c r="U99" s="148" t="s">
        <v>233</v>
      </c>
      <c r="V99" s="69" t="s">
        <v>233</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233</v>
      </c>
      <c r="O100" s="166">
        <v>45691</v>
      </c>
      <c r="P100" s="30" t="s">
        <v>233</v>
      </c>
      <c r="Q100" s="43" t="s">
        <v>233</v>
      </c>
      <c r="R100" s="43" t="s">
        <v>2181</v>
      </c>
      <c r="S100" s="43" t="s">
        <v>233</v>
      </c>
      <c r="T100" s="43" t="s">
        <v>233</v>
      </c>
      <c r="U100" s="69" t="s">
        <v>233</v>
      </c>
      <c r="V100" s="157" t="s">
        <v>233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233</v>
      </c>
      <c r="O101" s="54">
        <v>45695</v>
      </c>
      <c r="P101" s="30" t="s">
        <v>233</v>
      </c>
      <c r="Q101" s="43" t="s">
        <v>233</v>
      </c>
      <c r="R101" s="43" t="s">
        <v>2181</v>
      </c>
      <c r="S101" s="43" t="s">
        <v>233</v>
      </c>
      <c r="T101" s="43" t="s">
        <v>233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233</v>
      </c>
      <c r="N102" s="30" t="s">
        <v>233</v>
      </c>
      <c r="O102" s="54">
        <v>45699</v>
      </c>
      <c r="P102" s="87" t="s">
        <v>233</v>
      </c>
      <c r="Q102" s="88" t="s">
        <v>233</v>
      </c>
      <c r="R102" s="43" t="s">
        <v>2181</v>
      </c>
      <c r="S102" s="43" t="s">
        <v>233</v>
      </c>
      <c r="T102" s="43" t="s">
        <v>233</v>
      </c>
      <c r="U102" s="43" t="s">
        <v>233</v>
      </c>
      <c r="V102" s="165" t="s">
        <v>233</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233</v>
      </c>
      <c r="O103" s="54">
        <v>45675</v>
      </c>
      <c r="P103" s="87" t="s">
        <v>233</v>
      </c>
      <c r="Q103" s="43" t="s">
        <v>233</v>
      </c>
      <c r="R103" s="43" t="s">
        <v>2181</v>
      </c>
      <c r="S103" s="43" t="s">
        <v>233</v>
      </c>
      <c r="T103" s="43" t="s">
        <v>233</v>
      </c>
      <c r="U103" s="43" t="s">
        <v>233</v>
      </c>
      <c r="V103" s="139" t="s">
        <v>233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233</v>
      </c>
      <c r="N104" s="119" t="s">
        <v>233</v>
      </c>
      <c r="O104" s="54">
        <v>45675</v>
      </c>
      <c r="P104" s="213" t="s">
        <v>233</v>
      </c>
      <c r="Q104" s="43" t="s">
        <v>233</v>
      </c>
      <c r="R104" s="43" t="s">
        <v>2181</v>
      </c>
      <c r="S104" s="43" t="s">
        <v>233</v>
      </c>
      <c r="T104" s="43" t="s">
        <v>233</v>
      </c>
      <c r="U104" s="43" t="s">
        <v>233</v>
      </c>
      <c r="V104" s="139" t="s">
        <v>233</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233</v>
      </c>
      <c r="O105" s="54">
        <v>45743</v>
      </c>
      <c r="P105" s="87" t="s">
        <v>233</v>
      </c>
      <c r="Q105" s="157" t="s">
        <v>233</v>
      </c>
      <c r="R105" s="69" t="s">
        <v>2181</v>
      </c>
      <c r="S105" s="43" t="s">
        <v>233</v>
      </c>
      <c r="T105" s="43" t="s">
        <v>233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233</v>
      </c>
      <c r="O106" s="54">
        <v>45679</v>
      </c>
      <c r="P106" s="87" t="s">
        <v>233</v>
      </c>
      <c r="Q106" s="43" t="s">
        <v>233</v>
      </c>
      <c r="R106" s="43" t="s">
        <v>2181</v>
      </c>
      <c r="S106" s="43" t="s">
        <v>233</v>
      </c>
      <c r="T106" s="43" t="s">
        <v>233</v>
      </c>
      <c r="U106" s="43" t="s">
        <v>233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233</v>
      </c>
      <c r="O107" s="54">
        <v>45749</v>
      </c>
      <c r="P107" s="30" t="s">
        <v>233</v>
      </c>
      <c r="Q107" s="43" t="s">
        <v>233</v>
      </c>
      <c r="R107" s="43" t="s">
        <v>2181</v>
      </c>
      <c r="S107" s="43" t="s">
        <v>233</v>
      </c>
      <c r="T107" s="43" t="s">
        <v>233</v>
      </c>
      <c r="U107" s="43" t="s">
        <v>233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233</v>
      </c>
      <c r="O108" s="54">
        <v>45749</v>
      </c>
      <c r="P108" s="30" t="s">
        <v>233</v>
      </c>
      <c r="Q108" s="43" t="s">
        <v>233</v>
      </c>
      <c r="R108" s="334" t="s">
        <v>2181</v>
      </c>
      <c r="S108" s="43" t="s">
        <v>233</v>
      </c>
      <c r="T108" s="43" t="s">
        <v>233</v>
      </c>
      <c r="U108" s="88" t="s">
        <v>233</v>
      </c>
      <c r="V108" s="481" t="s">
        <v>233</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233</v>
      </c>
      <c r="O109" s="54">
        <v>45744</v>
      </c>
      <c r="P109" s="79" t="s">
        <v>233</v>
      </c>
      <c r="Q109" s="43" t="s">
        <v>233</v>
      </c>
      <c r="R109" s="334" t="s">
        <v>2181</v>
      </c>
      <c r="S109" s="43" t="s">
        <v>233</v>
      </c>
      <c r="T109" s="43" t="s">
        <v>233</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233</v>
      </c>
      <c r="O110" s="54">
        <v>45691</v>
      </c>
      <c r="P110" s="79" t="s">
        <v>233</v>
      </c>
      <c r="Q110" s="43" t="s">
        <v>233</v>
      </c>
      <c r="R110" s="334" t="s">
        <v>2181</v>
      </c>
      <c r="S110" s="43" t="s">
        <v>233</v>
      </c>
      <c r="T110" s="43" t="s">
        <v>233</v>
      </c>
      <c r="U110" s="88" t="s">
        <v>233</v>
      </c>
      <c r="V110" s="481" t="s">
        <v>233</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233</v>
      </c>
      <c r="O111" s="54">
        <v>45708</v>
      </c>
      <c r="P111" s="30" t="s">
        <v>233</v>
      </c>
      <c r="Q111" s="169" t="s">
        <v>233</v>
      </c>
      <c r="R111" s="69" t="s">
        <v>2181</v>
      </c>
      <c r="S111" s="43" t="s">
        <v>233</v>
      </c>
      <c r="T111" s="43" t="s">
        <v>233</v>
      </c>
      <c r="U111" s="43" t="s">
        <v>233</v>
      </c>
      <c r="V111" s="201" t="s">
        <v>233</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233</v>
      </c>
      <c r="O112" s="166">
        <v>45744</v>
      </c>
      <c r="P112" s="114" t="s">
        <v>233</v>
      </c>
      <c r="Q112" s="115" t="s">
        <v>233</v>
      </c>
      <c r="R112" s="148" t="s">
        <v>2181</v>
      </c>
      <c r="S112" s="43" t="s">
        <v>233</v>
      </c>
      <c r="T112" s="43" t="s">
        <v>233</v>
      </c>
      <c r="U112" s="43" t="s">
        <v>233</v>
      </c>
      <c r="V112" s="201" t="s">
        <v>233</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233</v>
      </c>
      <c r="O113" s="166">
        <v>45755</v>
      </c>
      <c r="P113" s="114" t="s">
        <v>233</v>
      </c>
      <c r="Q113" s="115" t="s">
        <v>233</v>
      </c>
      <c r="R113" s="148" t="s">
        <v>2181</v>
      </c>
      <c r="S113" s="115" t="s">
        <v>233</v>
      </c>
      <c r="T113" s="43" t="s">
        <v>233</v>
      </c>
      <c r="U113" s="43" t="s">
        <v>233</v>
      </c>
      <c r="V113" s="201" t="s">
        <v>233</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233</v>
      </c>
      <c r="O114" s="54">
        <v>45747</v>
      </c>
      <c r="P114" s="114" t="s">
        <v>233</v>
      </c>
      <c r="Q114" s="115" t="s">
        <v>233</v>
      </c>
      <c r="R114" s="148" t="s">
        <v>2181</v>
      </c>
      <c r="S114" s="115" t="s">
        <v>233</v>
      </c>
      <c r="T114" s="43" t="s">
        <v>233</v>
      </c>
      <c r="U114" s="157" t="s">
        <v>233</v>
      </c>
      <c r="V114" s="201" t="s">
        <v>233</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233</v>
      </c>
      <c r="O115" s="124">
        <v>45757</v>
      </c>
      <c r="P115" s="30" t="s">
        <v>233</v>
      </c>
      <c r="Q115" s="43" t="s">
        <v>233</v>
      </c>
      <c r="R115" s="69" t="s">
        <v>2181</v>
      </c>
      <c r="S115" s="43" t="s">
        <v>233</v>
      </c>
      <c r="T115" s="43" t="s">
        <v>233</v>
      </c>
      <c r="U115" s="43" t="s">
        <v>233</v>
      </c>
      <c r="V115" s="88" t="s">
        <v>233</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233</v>
      </c>
      <c r="O116" s="124">
        <v>45757</v>
      </c>
      <c r="P116" s="30" t="s">
        <v>233</v>
      </c>
      <c r="Q116" s="43" t="s">
        <v>233</v>
      </c>
      <c r="R116" s="69" t="s">
        <v>2181</v>
      </c>
      <c r="S116" s="43" t="s">
        <v>233</v>
      </c>
      <c r="T116" s="43" t="s">
        <v>233</v>
      </c>
      <c r="U116" s="43" t="s">
        <v>233</v>
      </c>
      <c r="V116" s="481" t="s">
        <v>233</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233</v>
      </c>
      <c r="O117" s="124">
        <v>45757</v>
      </c>
      <c r="P117" s="30" t="s">
        <v>233</v>
      </c>
      <c r="Q117" s="43" t="s">
        <v>233</v>
      </c>
      <c r="R117" s="69" t="s">
        <v>2181</v>
      </c>
      <c r="S117" s="43" t="s">
        <v>233</v>
      </c>
      <c r="T117" s="43" t="s">
        <v>233</v>
      </c>
      <c r="U117" s="43" t="s">
        <v>233</v>
      </c>
      <c r="V117" s="88" t="s">
        <v>233</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233</v>
      </c>
      <c r="O118" s="124">
        <v>45757</v>
      </c>
      <c r="P118" s="87" t="s">
        <v>233</v>
      </c>
      <c r="Q118" s="43" t="s">
        <v>233</v>
      </c>
      <c r="R118" s="43" t="s">
        <v>2181</v>
      </c>
      <c r="S118" s="43" t="s">
        <v>233</v>
      </c>
      <c r="T118" s="43" t="s">
        <v>233</v>
      </c>
      <c r="U118" s="157" t="s">
        <v>233</v>
      </c>
      <c r="V118" s="88" t="s">
        <v>233</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233</v>
      </c>
      <c r="O119" s="124">
        <v>45757</v>
      </c>
      <c r="P119" s="30" t="s">
        <v>233</v>
      </c>
      <c r="Q119" s="69" t="s">
        <v>233</v>
      </c>
      <c r="R119" s="69" t="s">
        <v>2181</v>
      </c>
      <c r="S119" s="43" t="s">
        <v>233</v>
      </c>
      <c r="T119" s="43" t="s">
        <v>233</v>
      </c>
      <c r="U119" s="157" t="s">
        <v>233</v>
      </c>
      <c r="V119" s="88" t="s">
        <v>233</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233</v>
      </c>
      <c r="O120" s="54">
        <v>45748</v>
      </c>
      <c r="P120" s="30" t="s">
        <v>233</v>
      </c>
      <c r="Q120" s="43" t="s">
        <v>233</v>
      </c>
      <c r="R120" s="69" t="s">
        <v>2181</v>
      </c>
      <c r="S120" s="43" t="s">
        <v>233</v>
      </c>
      <c r="T120" s="43" t="s">
        <v>233</v>
      </c>
      <c r="U120" s="43" t="s">
        <v>233</v>
      </c>
      <c r="V120" s="88" t="s">
        <v>233</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233</v>
      </c>
      <c r="O121" s="124">
        <v>45757</v>
      </c>
      <c r="P121" s="30" t="s">
        <v>233</v>
      </c>
      <c r="Q121" s="69" t="s">
        <v>233</v>
      </c>
      <c r="R121" s="69" t="s">
        <v>2181</v>
      </c>
      <c r="S121" s="43" t="s">
        <v>233</v>
      </c>
      <c r="T121" s="43" t="s">
        <v>233</v>
      </c>
      <c r="U121" s="43" t="s">
        <v>233</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233</v>
      </c>
      <c r="O122" s="54">
        <v>45747</v>
      </c>
      <c r="P122" s="30" t="s">
        <v>233</v>
      </c>
      <c r="Q122" s="69" t="s">
        <v>233</v>
      </c>
      <c r="R122" s="69" t="s">
        <v>2181</v>
      </c>
      <c r="S122" s="43" t="s">
        <v>233</v>
      </c>
      <c r="T122" s="43" t="s">
        <v>233</v>
      </c>
      <c r="U122" s="157" t="s">
        <v>233</v>
      </c>
      <c r="V122" s="157" t="s">
        <v>233</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233</v>
      </c>
      <c r="O123" s="54">
        <v>45744</v>
      </c>
      <c r="P123" s="30" t="s">
        <v>233</v>
      </c>
      <c r="Q123" s="43" t="s">
        <v>233</v>
      </c>
      <c r="R123" s="69" t="s">
        <v>2181</v>
      </c>
      <c r="S123" s="43" t="s">
        <v>233</v>
      </c>
      <c r="T123" s="43" t="s">
        <v>233</v>
      </c>
      <c r="U123" s="43" t="s">
        <v>233</v>
      </c>
      <c r="V123" s="69" t="s">
        <v>233</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233</v>
      </c>
      <c r="O124" s="54">
        <v>45744</v>
      </c>
      <c r="P124" s="30" t="s">
        <v>233</v>
      </c>
      <c r="Q124" s="43" t="s">
        <v>233</v>
      </c>
      <c r="R124" s="69" t="s">
        <v>2181</v>
      </c>
      <c r="S124" s="43" t="s">
        <v>233</v>
      </c>
      <c r="T124" s="43" t="s">
        <v>233</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233</v>
      </c>
      <c r="N125" s="30" t="s">
        <v>233</v>
      </c>
      <c r="O125" s="54">
        <v>45679</v>
      </c>
      <c r="P125" s="30" t="s">
        <v>233</v>
      </c>
      <c r="Q125" s="69" t="s">
        <v>233</v>
      </c>
      <c r="R125" s="43" t="s">
        <v>2181</v>
      </c>
      <c r="S125" s="43" t="s">
        <v>233</v>
      </c>
      <c r="T125" s="43" t="s">
        <v>233</v>
      </c>
      <c r="U125" s="43" t="s">
        <v>233</v>
      </c>
      <c r="V125" s="43" t="s">
        <v>233</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233</v>
      </c>
      <c r="N126" s="30" t="s">
        <v>233</v>
      </c>
      <c r="O126" s="54">
        <v>45720</v>
      </c>
      <c r="P126" s="30" t="s">
        <v>233</v>
      </c>
      <c r="Q126" s="69" t="s">
        <v>233</v>
      </c>
      <c r="R126" s="43" t="s">
        <v>2181</v>
      </c>
      <c r="S126" s="43" t="s">
        <v>233</v>
      </c>
      <c r="T126" s="43" t="s">
        <v>233</v>
      </c>
      <c r="U126" s="43" t="s">
        <v>233</v>
      </c>
      <c r="V126" s="88" t="s">
        <v>233</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233</v>
      </c>
      <c r="O127" s="54">
        <v>45679</v>
      </c>
      <c r="P127" s="30" t="s">
        <v>233</v>
      </c>
      <c r="Q127" s="43" t="s">
        <v>233</v>
      </c>
      <c r="R127" s="43" t="s">
        <v>2181</v>
      </c>
      <c r="S127" s="43" t="s">
        <v>233</v>
      </c>
      <c r="T127" s="43" t="s">
        <v>233</v>
      </c>
      <c r="U127" s="43" t="s">
        <v>233</v>
      </c>
      <c r="V127" s="88" t="s">
        <v>233</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233</v>
      </c>
      <c r="O128" s="347">
        <v>45694</v>
      </c>
      <c r="P128" s="87" t="s">
        <v>233</v>
      </c>
      <c r="Q128" s="43" t="s">
        <v>233</v>
      </c>
      <c r="R128" s="43" t="s">
        <v>2181</v>
      </c>
      <c r="S128" s="43" t="s">
        <v>233</v>
      </c>
      <c r="T128" s="43" t="s">
        <v>233</v>
      </c>
      <c r="U128" s="43" t="s">
        <v>233</v>
      </c>
      <c r="V128" s="88" t="s">
        <v>233</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233</v>
      </c>
      <c r="O129" s="166">
        <v>45720</v>
      </c>
      <c r="P129" s="114" t="s">
        <v>233</v>
      </c>
      <c r="Q129" s="148" t="s">
        <v>233</v>
      </c>
      <c r="R129" s="43" t="s">
        <v>2181</v>
      </c>
      <c r="S129" s="43" t="s">
        <v>233</v>
      </c>
      <c r="T129" s="115" t="s">
        <v>233</v>
      </c>
      <c r="U129" s="115" t="s">
        <v>233</v>
      </c>
      <c r="V129" s="88" t="s">
        <v>233</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233</v>
      </c>
      <c r="O130" s="54">
        <v>45698</v>
      </c>
      <c r="P130" s="30" t="s">
        <v>233</v>
      </c>
      <c r="Q130" s="69" t="s">
        <v>233</v>
      </c>
      <c r="R130" s="43" t="s">
        <v>2181</v>
      </c>
      <c r="S130" s="43" t="s">
        <v>233</v>
      </c>
      <c r="T130" s="43" t="s">
        <v>233</v>
      </c>
      <c r="U130" s="43" t="s">
        <v>233</v>
      </c>
      <c r="V130" s="88" t="s">
        <v>233</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233</v>
      </c>
      <c r="N131" s="49" t="s">
        <v>233</v>
      </c>
      <c r="O131" s="30" t="s">
        <v>233</v>
      </c>
      <c r="P131" s="30" t="s">
        <v>233</v>
      </c>
      <c r="Q131" s="43" t="s">
        <v>233</v>
      </c>
      <c r="R131" s="43" t="s">
        <v>2181</v>
      </c>
      <c r="S131" s="43" t="s">
        <v>233</v>
      </c>
      <c r="T131" s="157" t="s">
        <v>233</v>
      </c>
      <c r="U131" s="157" t="s">
        <v>233</v>
      </c>
      <c r="V131" s="88" t="s">
        <v>233</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233</v>
      </c>
      <c r="O132" s="54">
        <v>45691</v>
      </c>
      <c r="P132" s="87" t="s">
        <v>233</v>
      </c>
      <c r="Q132" s="43" t="s">
        <v>233</v>
      </c>
      <c r="R132" s="43" t="s">
        <v>2181</v>
      </c>
      <c r="S132" s="43" t="s">
        <v>233</v>
      </c>
      <c r="T132" s="43" t="s">
        <v>233</v>
      </c>
      <c r="U132" s="43" t="s">
        <v>233</v>
      </c>
      <c r="V132" s="43" t="s">
        <v>233</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233</v>
      </c>
      <c r="N133" s="49" t="s">
        <v>233</v>
      </c>
      <c r="O133" s="54">
        <v>45701</v>
      </c>
      <c r="P133" s="30" t="s">
        <v>233</v>
      </c>
      <c r="Q133" s="69" t="s">
        <v>233</v>
      </c>
      <c r="R133" s="43" t="s">
        <v>2181</v>
      </c>
      <c r="S133" s="43" t="s">
        <v>233</v>
      </c>
      <c r="T133" s="43" t="s">
        <v>233</v>
      </c>
      <c r="U133" s="43" t="s">
        <v>233</v>
      </c>
      <c r="V133" s="69" t="s">
        <v>233</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233</v>
      </c>
      <c r="O134" s="54">
        <v>45709</v>
      </c>
      <c r="P134" s="30" t="s">
        <v>233</v>
      </c>
      <c r="Q134" s="43" t="s">
        <v>233</v>
      </c>
      <c r="R134" s="43" t="s">
        <v>2181</v>
      </c>
      <c r="S134" s="43" t="s">
        <v>233</v>
      </c>
      <c r="T134" s="43" t="s">
        <v>233</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233</v>
      </c>
      <c r="N135" s="49" t="s">
        <v>233</v>
      </c>
      <c r="O135" s="195">
        <v>45720</v>
      </c>
      <c r="P135" s="49" t="s">
        <v>233</v>
      </c>
      <c r="Q135" s="69" t="s">
        <v>233</v>
      </c>
      <c r="R135" s="43" t="s">
        <v>2181</v>
      </c>
      <c r="S135" s="43" t="s">
        <v>233</v>
      </c>
      <c r="T135" s="43" t="s">
        <v>233</v>
      </c>
      <c r="U135" s="157" t="s">
        <v>233</v>
      </c>
      <c r="V135" s="43" t="s">
        <v>233</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233</v>
      </c>
      <c r="O136" s="54">
        <v>45691</v>
      </c>
      <c r="P136" s="30" t="s">
        <v>233</v>
      </c>
      <c r="Q136" s="43" t="s">
        <v>233</v>
      </c>
      <c r="R136" s="43" t="s">
        <v>2181</v>
      </c>
      <c r="S136" s="43" t="s">
        <v>233</v>
      </c>
      <c r="T136" s="43" t="s">
        <v>233</v>
      </c>
      <c r="U136" s="43" t="s">
        <v>233</v>
      </c>
      <c r="V136" s="43" t="s">
        <v>233</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233</v>
      </c>
      <c r="O137" s="30" t="s">
        <v>233</v>
      </c>
      <c r="P137" s="49" t="s">
        <v>233</v>
      </c>
      <c r="Q137" s="69" t="s">
        <v>233</v>
      </c>
      <c r="R137" s="43" t="s">
        <v>2181</v>
      </c>
      <c r="S137" s="43" t="s">
        <v>233</v>
      </c>
      <c r="T137" s="43" t="s">
        <v>233</v>
      </c>
      <c r="U137" s="157" t="s">
        <v>233</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233</v>
      </c>
      <c r="O138" s="124">
        <v>45707</v>
      </c>
      <c r="P138" s="30" t="s">
        <v>233</v>
      </c>
      <c r="Q138" s="43" t="s">
        <v>233</v>
      </c>
      <c r="R138" s="43" t="s">
        <v>2181</v>
      </c>
      <c r="S138" s="43" t="s">
        <v>233</v>
      </c>
      <c r="T138" s="43" t="s">
        <v>233</v>
      </c>
      <c r="U138" s="43" t="s">
        <v>233</v>
      </c>
      <c r="V138" s="43" t="s">
        <v>233</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233</v>
      </c>
      <c r="N139" s="30" t="s">
        <v>233</v>
      </c>
      <c r="O139" s="30" t="s">
        <v>233</v>
      </c>
      <c r="P139" s="30" t="s">
        <v>233</v>
      </c>
      <c r="Q139" s="43" t="s">
        <v>233</v>
      </c>
      <c r="R139" s="43" t="s">
        <v>2181</v>
      </c>
      <c r="S139" s="43" t="s">
        <v>233</v>
      </c>
      <c r="T139" s="43" t="s">
        <v>233</v>
      </c>
      <c r="U139" s="157" t="s">
        <v>233</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233</v>
      </c>
      <c r="O140" s="54">
        <v>45743</v>
      </c>
      <c r="P140" s="87" t="s">
        <v>233</v>
      </c>
      <c r="Q140" s="88" t="s">
        <v>233</v>
      </c>
      <c r="R140" s="43" t="s">
        <v>2181</v>
      </c>
      <c r="S140" s="43" t="s">
        <v>233</v>
      </c>
      <c r="T140" s="43" t="s">
        <v>233</v>
      </c>
      <c r="U140" s="88" t="s">
        <v>233</v>
      </c>
      <c r="V140" s="69" t="s">
        <v>233</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233</v>
      </c>
      <c r="O141" s="195">
        <v>45743</v>
      </c>
      <c r="P141" s="87" t="s">
        <v>233</v>
      </c>
      <c r="Q141" s="88" t="s">
        <v>233</v>
      </c>
      <c r="R141" s="43" t="s">
        <v>2181</v>
      </c>
      <c r="S141" s="43" t="s">
        <v>233</v>
      </c>
      <c r="T141" s="43" t="s">
        <v>233</v>
      </c>
      <c r="U141" s="88" t="s">
        <v>233</v>
      </c>
      <c r="V141" s="88" t="s">
        <v>233</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233</v>
      </c>
      <c r="N142" s="49" t="s">
        <v>233</v>
      </c>
      <c r="O142" s="195">
        <v>45691</v>
      </c>
      <c r="P142" s="30" t="s">
        <v>233</v>
      </c>
      <c r="Q142" s="69" t="s">
        <v>233</v>
      </c>
      <c r="R142" s="43" t="s">
        <v>2181</v>
      </c>
      <c r="S142" s="43" t="s">
        <v>233</v>
      </c>
      <c r="T142" s="43" t="s">
        <v>233</v>
      </c>
      <c r="U142" s="157" t="s">
        <v>233</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233</v>
      </c>
      <c r="N143" s="49" t="s">
        <v>233</v>
      </c>
      <c r="O143" s="195">
        <v>45675</v>
      </c>
      <c r="P143" s="30" t="s">
        <v>233</v>
      </c>
      <c r="Q143" s="69" t="s">
        <v>233</v>
      </c>
      <c r="R143" s="43" t="s">
        <v>2181</v>
      </c>
      <c r="S143" s="43" t="s">
        <v>233</v>
      </c>
      <c r="T143" s="43" t="s">
        <v>233</v>
      </c>
      <c r="U143" s="157" t="s">
        <v>233</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233</v>
      </c>
      <c r="O144" s="195">
        <v>45749</v>
      </c>
      <c r="P144" s="30" t="s">
        <v>233</v>
      </c>
      <c r="Q144" s="43" t="s">
        <v>233</v>
      </c>
      <c r="R144" s="43" t="s">
        <v>233</v>
      </c>
      <c r="S144" s="43" t="s">
        <v>56</v>
      </c>
      <c r="T144" s="43" t="s">
        <v>233</v>
      </c>
      <c r="U144" s="88" t="s">
        <v>233</v>
      </c>
      <c r="V144" s="88" t="s">
        <v>233</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233</v>
      </c>
      <c r="O148" s="195">
        <v>45744</v>
      </c>
      <c r="P148" s="49" t="s">
        <v>233</v>
      </c>
      <c r="Q148" s="43" t="s">
        <v>233</v>
      </c>
      <c r="R148" s="43" t="s">
        <v>233</v>
      </c>
      <c r="S148" s="43" t="s">
        <v>56</v>
      </c>
      <c r="T148" s="43" t="s">
        <v>233</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233</v>
      </c>
      <c r="O150" s="195">
        <v>45744</v>
      </c>
      <c r="P150" s="100" t="s">
        <v>233</v>
      </c>
      <c r="Q150" s="69" t="s">
        <v>233</v>
      </c>
      <c r="R150" s="43" t="s">
        <v>2181</v>
      </c>
      <c r="S150" s="43" t="s">
        <v>233</v>
      </c>
      <c r="T150" s="43" t="s">
        <v>233</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233</v>
      </c>
      <c r="O151" s="195">
        <v>45698</v>
      </c>
      <c r="P151" s="100" t="s">
        <v>233</v>
      </c>
      <c r="Q151" s="69" t="s">
        <v>233</v>
      </c>
      <c r="R151" s="43" t="s">
        <v>2181</v>
      </c>
      <c r="S151" s="43" t="s">
        <v>233</v>
      </c>
      <c r="T151" s="43" t="s">
        <v>233</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233</v>
      </c>
      <c r="O153" s="195">
        <v>45696</v>
      </c>
      <c r="P153" s="30" t="s">
        <v>233</v>
      </c>
      <c r="Q153" s="69" t="s">
        <v>233</v>
      </c>
      <c r="R153" s="43" t="s">
        <v>2181</v>
      </c>
      <c r="S153" s="43" t="s">
        <v>233</v>
      </c>
      <c r="T153" s="157" t="s">
        <v>233</v>
      </c>
      <c r="U153" s="157" t="s">
        <v>233</v>
      </c>
      <c r="V153" s="43" t="s">
        <v>233</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233</v>
      </c>
      <c r="O154" s="347">
        <v>45696</v>
      </c>
      <c r="P154" s="30" t="s">
        <v>233</v>
      </c>
      <c r="Q154" s="69" t="s">
        <v>233</v>
      </c>
      <c r="R154" s="43" t="s">
        <v>2181</v>
      </c>
      <c r="S154" s="43" t="s">
        <v>233</v>
      </c>
      <c r="T154" s="157" t="s">
        <v>233</v>
      </c>
      <c r="U154" s="157" t="s">
        <v>233</v>
      </c>
      <c r="V154" s="43" t="s">
        <v>233</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233</v>
      </c>
      <c r="O155" s="54">
        <v>45699</v>
      </c>
      <c r="P155" s="49" t="s">
        <v>233</v>
      </c>
      <c r="Q155" s="69" t="s">
        <v>233</v>
      </c>
      <c r="R155" s="43" t="s">
        <v>2181</v>
      </c>
      <c r="S155" s="43" t="s">
        <v>233</v>
      </c>
      <c r="T155" s="43" t="s">
        <v>233</v>
      </c>
      <c r="U155" s="157" t="s">
        <v>233</v>
      </c>
      <c r="V155" s="43" t="s">
        <v>233</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233</v>
      </c>
      <c r="O156" s="54">
        <v>45699</v>
      </c>
      <c r="P156" s="49" t="s">
        <v>233</v>
      </c>
      <c r="Q156" s="69" t="s">
        <v>233</v>
      </c>
      <c r="R156" s="43" t="s">
        <v>2181</v>
      </c>
      <c r="S156" s="43" t="s">
        <v>233</v>
      </c>
      <c r="T156" s="43" t="s">
        <v>233</v>
      </c>
      <c r="U156" s="69" t="s">
        <v>233</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233</v>
      </c>
      <c r="O158" s="54">
        <v>45736</v>
      </c>
      <c r="P158" s="49" t="s">
        <v>233</v>
      </c>
      <c r="Q158" s="69" t="s">
        <v>233</v>
      </c>
      <c r="R158" s="43" t="s">
        <v>2181</v>
      </c>
      <c r="S158" s="43" t="s">
        <v>233</v>
      </c>
      <c r="T158" s="43" t="s">
        <v>233</v>
      </c>
      <c r="U158" s="157" t="s">
        <v>233</v>
      </c>
      <c r="V158" s="157" t="s">
        <v>233</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233</v>
      </c>
      <c r="O159" s="30" t="s">
        <v>233</v>
      </c>
      <c r="P159" s="49" t="s">
        <v>233</v>
      </c>
      <c r="Q159" s="43" t="s">
        <v>233</v>
      </c>
      <c r="R159" s="43" t="s">
        <v>233</v>
      </c>
      <c r="S159" s="43" t="s">
        <v>56</v>
      </c>
      <c r="T159" s="43" t="s">
        <v>233</v>
      </c>
      <c r="U159" s="43" t="s">
        <v>233</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233</v>
      </c>
      <c r="O160" s="54">
        <v>45723</v>
      </c>
      <c r="P160" s="49" t="s">
        <v>233</v>
      </c>
      <c r="Q160" s="43" t="s">
        <v>233</v>
      </c>
      <c r="R160" s="43" t="s">
        <v>233</v>
      </c>
      <c r="S160" s="43" t="s">
        <v>56</v>
      </c>
      <c r="T160" s="43" t="s">
        <v>233</v>
      </c>
      <c r="U160" s="43" t="s">
        <v>233</v>
      </c>
      <c r="V160" s="69" t="s">
        <v>233</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233</v>
      </c>
      <c r="O161" s="156">
        <v>45726</v>
      </c>
      <c r="P161" s="49" t="s">
        <v>233</v>
      </c>
      <c r="Q161" s="43" t="s">
        <v>233</v>
      </c>
      <c r="R161" s="43" t="s">
        <v>233</v>
      </c>
      <c r="S161" s="43" t="s">
        <v>56</v>
      </c>
      <c r="T161" s="43" t="s">
        <v>233</v>
      </c>
      <c r="U161" s="43" t="s">
        <v>233</v>
      </c>
      <c r="V161" s="88" t="s">
        <v>233</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233</v>
      </c>
      <c r="O162" s="578">
        <v>45693</v>
      </c>
      <c r="P162" s="30" t="s">
        <v>233</v>
      </c>
      <c r="Q162" s="43" t="s">
        <v>233</v>
      </c>
      <c r="R162" s="43" t="s">
        <v>233</v>
      </c>
      <c r="S162" s="43" t="s">
        <v>56</v>
      </c>
      <c r="T162" s="43" t="s">
        <v>233</v>
      </c>
      <c r="U162" s="43" t="s">
        <v>233</v>
      </c>
      <c r="V162" s="88" t="s">
        <v>233</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233</v>
      </c>
      <c r="O163" s="54">
        <v>45693</v>
      </c>
      <c r="P163" s="30" t="s">
        <v>233</v>
      </c>
      <c r="Q163" s="69" t="s">
        <v>233</v>
      </c>
      <c r="R163" s="69" t="s">
        <v>233</v>
      </c>
      <c r="S163" s="43" t="s">
        <v>56</v>
      </c>
      <c r="T163" s="43" t="s">
        <v>233</v>
      </c>
      <c r="U163" s="69" t="s">
        <v>233</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233</v>
      </c>
      <c r="N164" s="30" t="s">
        <v>233</v>
      </c>
      <c r="O164" s="40" t="s">
        <v>233</v>
      </c>
      <c r="P164" s="87" t="s">
        <v>233</v>
      </c>
      <c r="Q164" s="43" t="s">
        <v>233</v>
      </c>
      <c r="R164" s="43" t="s">
        <v>233</v>
      </c>
      <c r="S164" s="43" t="s">
        <v>56</v>
      </c>
      <c r="T164" s="43" t="s">
        <v>233</v>
      </c>
      <c r="U164" s="43" t="s">
        <v>233</v>
      </c>
      <c r="V164" s="43" t="s">
        <v>233</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233</v>
      </c>
      <c r="N165" s="30" t="s">
        <v>233</v>
      </c>
      <c r="O165" s="578">
        <v>45818</v>
      </c>
      <c r="P165" s="87" t="s">
        <v>233</v>
      </c>
      <c r="Q165" s="43" t="s">
        <v>233</v>
      </c>
      <c r="R165" s="43" t="s">
        <v>233</v>
      </c>
      <c r="S165" s="43" t="s">
        <v>56</v>
      </c>
      <c r="T165" s="43" t="s">
        <v>233</v>
      </c>
      <c r="U165" s="43" t="s">
        <v>233</v>
      </c>
      <c r="V165" s="43" t="s">
        <v>233</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233</v>
      </c>
      <c r="N166" s="30" t="s">
        <v>233</v>
      </c>
      <c r="O166" s="578">
        <v>45693</v>
      </c>
      <c r="P166" s="87" t="s">
        <v>233</v>
      </c>
      <c r="Q166" s="43" t="s">
        <v>233</v>
      </c>
      <c r="R166" s="43" t="s">
        <v>233</v>
      </c>
      <c r="S166" s="43" t="s">
        <v>56</v>
      </c>
      <c r="T166" s="43" t="s">
        <v>233</v>
      </c>
      <c r="U166" s="43" t="s">
        <v>233</v>
      </c>
      <c r="V166" s="43" t="s">
        <v>233</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233</v>
      </c>
      <c r="O167" s="578">
        <v>45720</v>
      </c>
      <c r="P167" s="87" t="s">
        <v>233</v>
      </c>
      <c r="Q167" s="43" t="s">
        <v>233</v>
      </c>
      <c r="R167" s="43" t="s">
        <v>233</v>
      </c>
      <c r="S167" s="43" t="s">
        <v>56</v>
      </c>
      <c r="T167" s="43" t="s">
        <v>233</v>
      </c>
      <c r="U167" s="43" t="s">
        <v>233</v>
      </c>
      <c r="V167" s="43" t="s">
        <v>233</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233</v>
      </c>
      <c r="O172" s="40" t="s">
        <v>52</v>
      </c>
      <c r="P172" s="87" t="s">
        <v>233</v>
      </c>
      <c r="Q172" s="43" t="s">
        <v>56</v>
      </c>
      <c r="R172" s="43" t="s">
        <v>56</v>
      </c>
      <c r="S172" s="43" t="s">
        <v>56</v>
      </c>
      <c r="T172" s="43" t="s">
        <v>233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18526</v>
      </c>
      <c r="E4" s="44" t="s">
        <v>2196</v>
      </c>
      <c r="F4" t="s">
        <v>1093</v>
      </c>
      <c r="W4" t="s">
        <v>2200</v>
      </c>
      <c r="X4">
        <v>22</v>
      </c>
    </row>
    <row r="5" spans="1:25">
      <c r="B5" t="s">
        <v>178</v>
      </c>
      <c r="C5">
        <v>17860</v>
      </c>
      <c r="E5" t="s">
        <v>1093</v>
      </c>
      <c r="F5">
        <v>39096</v>
      </c>
      <c r="K5" s="44" t="s">
        <v>2201</v>
      </c>
      <c r="P5" s="44" t="s">
        <v>2201</v>
      </c>
      <c r="W5" t="s">
        <v>2202</v>
      </c>
      <c r="X5">
        <v>13</v>
      </c>
    </row>
    <row r="6" spans="1:25">
      <c r="B6" t="s">
        <v>1120</v>
      </c>
      <c r="C6">
        <v>146423</v>
      </c>
      <c r="K6" s="44" t="s">
        <v>27</v>
      </c>
      <c r="L6" s="44" t="s">
        <v>2203</v>
      </c>
      <c r="M6" t="s">
        <v>1093</v>
      </c>
      <c r="P6" s="44" t="s">
        <v>2204</v>
      </c>
      <c r="Q6" s="44" t="s">
        <v>2203</v>
      </c>
      <c r="R6" t="s">
        <v>1093</v>
      </c>
    </row>
    <row r="7" spans="1:25">
      <c r="B7" t="s">
        <v>51</v>
      </c>
      <c r="C7">
        <v>446</v>
      </c>
      <c r="K7" t="s">
        <v>2197</v>
      </c>
      <c r="L7" t="s">
        <v>663</v>
      </c>
      <c r="M7">
        <v>1</v>
      </c>
      <c r="P7" t="s">
        <v>2205</v>
      </c>
      <c r="R7">
        <v>1</v>
      </c>
      <c r="X7" t="s">
        <v>2206</v>
      </c>
      <c r="Y7" t="s">
        <v>2207</v>
      </c>
    </row>
    <row r="8" spans="1:25">
      <c r="B8" t="s">
        <v>22</v>
      </c>
      <c r="C8">
        <v>0</v>
      </c>
      <c r="L8" t="s">
        <v>665</v>
      </c>
      <c r="M8">
        <v>1</v>
      </c>
      <c r="P8" t="s">
        <v>2208</v>
      </c>
      <c r="R8">
        <v>1</v>
      </c>
      <c r="V8" t="s">
        <v>2209</v>
      </c>
      <c r="W8" s="257">
        <v>203521</v>
      </c>
      <c r="X8" s="313">
        <f>X5/X4</f>
        <v>0.59090909090909094</v>
      </c>
      <c r="Y8" s="313">
        <f>W9/W8</f>
        <v>0.31446386367991508</v>
      </c>
    </row>
    <row r="9" spans="1:25">
      <c r="B9" t="s">
        <v>189</v>
      </c>
      <c r="C9">
        <v>10811</v>
      </c>
      <c r="L9" t="s">
        <v>2210</v>
      </c>
      <c r="M9">
        <v>1</v>
      </c>
      <c r="P9" t="s">
        <v>2211</v>
      </c>
      <c r="Q9" t="s">
        <v>2210</v>
      </c>
      <c r="R9">
        <v>1</v>
      </c>
      <c r="V9" t="s">
        <v>2212</v>
      </c>
      <c r="W9">
        <v>64000</v>
      </c>
    </row>
    <row r="10" spans="1:25">
      <c r="B10" t="s">
        <v>220</v>
      </c>
      <c r="C10">
        <v>31303</v>
      </c>
      <c r="L10" t="s">
        <v>857</v>
      </c>
      <c r="M10">
        <v>1</v>
      </c>
      <c r="Q10" t="s">
        <v>861</v>
      </c>
      <c r="R10">
        <v>1</v>
      </c>
    </row>
    <row r="11" spans="1:25">
      <c r="B11" t="s">
        <v>105</v>
      </c>
      <c r="C11">
        <v>8613</v>
      </c>
      <c r="L11" t="s">
        <v>861</v>
      </c>
      <c r="M11">
        <v>1</v>
      </c>
      <c r="Q11" t="s">
        <v>864</v>
      </c>
      <c r="R11">
        <v>1</v>
      </c>
    </row>
    <row r="12" spans="1:25">
      <c r="B12" t="s">
        <v>161</v>
      </c>
      <c r="C12">
        <v>2710</v>
      </c>
      <c r="L12" t="s">
        <v>864</v>
      </c>
      <c r="M12">
        <v>1</v>
      </c>
      <c r="Q12" t="s">
        <v>2213</v>
      </c>
      <c r="R12">
        <v>1</v>
      </c>
    </row>
    <row r="13" spans="1:25">
      <c r="B13" t="s">
        <v>148</v>
      </c>
      <c r="C13">
        <v>3</v>
      </c>
      <c r="L13" t="s">
        <v>2214</v>
      </c>
      <c r="M13">
        <v>1</v>
      </c>
      <c r="Q13" t="s">
        <v>1047</v>
      </c>
      <c r="R13">
        <v>1</v>
      </c>
    </row>
    <row r="14" spans="1:25">
      <c r="B14" t="s">
        <v>229</v>
      </c>
      <c r="C14">
        <v>8622</v>
      </c>
      <c r="L14" t="s">
        <v>878</v>
      </c>
      <c r="M14">
        <v>1</v>
      </c>
      <c r="P14" t="s">
        <v>2215</v>
      </c>
      <c r="R14">
        <v>5</v>
      </c>
    </row>
    <row r="15" spans="1:25">
      <c r="B15" t="s">
        <v>257</v>
      </c>
      <c r="C15">
        <v>8189</v>
      </c>
      <c r="L15" t="s">
        <v>2213</v>
      </c>
      <c r="M15">
        <v>1</v>
      </c>
      <c r="P15" t="s">
        <v>1120</v>
      </c>
      <c r="R15">
        <v>12</v>
      </c>
    </row>
    <row r="16" spans="1:25">
      <c r="B16" t="s">
        <v>61</v>
      </c>
      <c r="C16">
        <v>22933</v>
      </c>
      <c r="L16" t="s">
        <v>880</v>
      </c>
      <c r="M16">
        <v>1</v>
      </c>
      <c r="P16" t="s">
        <v>1090</v>
      </c>
      <c r="R16">
        <v>19</v>
      </c>
    </row>
    <row r="17" spans="2:13">
      <c r="B17" t="s">
        <v>127</v>
      </c>
      <c r="C17">
        <v>789</v>
      </c>
      <c r="L17" t="s">
        <v>883</v>
      </c>
      <c r="M17">
        <v>1</v>
      </c>
    </row>
    <row r="18" spans="2:13">
      <c r="B18" t="s">
        <v>1090</v>
      </c>
      <c r="C18">
        <v>277228</v>
      </c>
      <c r="L18" t="s">
        <v>885</v>
      </c>
      <c r="M18">
        <v>1</v>
      </c>
    </row>
    <row r="19" spans="2:13">
      <c r="L19" t="s">
        <v>889</v>
      </c>
      <c r="M19">
        <v>1</v>
      </c>
    </row>
    <row r="20" spans="2:13">
      <c r="L20" t="s">
        <v>893</v>
      </c>
      <c r="M20">
        <v>1</v>
      </c>
    </row>
    <row r="21" spans="2:13">
      <c r="L21" t="s">
        <v>2216</v>
      </c>
      <c r="M21">
        <v>1</v>
      </c>
    </row>
    <row r="22" spans="2:13">
      <c r="L22" t="s">
        <v>1047</v>
      </c>
      <c r="M22">
        <v>1</v>
      </c>
    </row>
    <row r="23" spans="2:13">
      <c r="L23" t="s">
        <v>925</v>
      </c>
      <c r="M23">
        <v>1</v>
      </c>
    </row>
    <row r="24" spans="2:13">
      <c r="L24" t="s">
        <v>954</v>
      </c>
      <c r="M24">
        <v>1</v>
      </c>
    </row>
    <row r="25" spans="2:13">
      <c r="L25" t="s">
        <v>144</v>
      </c>
      <c r="M25">
        <v>1</v>
      </c>
    </row>
    <row r="26" spans="2:13">
      <c r="K26" t="s">
        <v>2217</v>
      </c>
      <c r="M26">
        <v>19</v>
      </c>
    </row>
    <row r="27" spans="2:13">
      <c r="K27" t="s">
        <v>2218</v>
      </c>
      <c r="L27" t="s">
        <v>872</v>
      </c>
      <c r="M27">
        <v>1</v>
      </c>
    </row>
    <row r="28" spans="2:13">
      <c r="L28" t="s">
        <v>874</v>
      </c>
      <c r="M28">
        <v>1</v>
      </c>
    </row>
    <row r="29" spans="2:13">
      <c r="L29" t="s">
        <v>876</v>
      </c>
      <c r="M29">
        <v>1</v>
      </c>
    </row>
    <row r="30" spans="2:13">
      <c r="L30" t="s">
        <v>891</v>
      </c>
      <c r="M30">
        <v>1</v>
      </c>
    </row>
    <row r="31" spans="2:13">
      <c r="L31" t="s">
        <v>895</v>
      </c>
      <c r="M31">
        <v>1</v>
      </c>
    </row>
    <row r="32" spans="2:13">
      <c r="L32" t="s">
        <v>2219</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E6030CB-1C7C-49CE-BE03-4E54FDCDDD1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2026-02-02T22:17:22Z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