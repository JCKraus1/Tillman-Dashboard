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68" documentId="8_{E14B221E-02E2-46A3-8CEC-C736815F2DD5}" xr6:coauthVersionLast="47" xr6:coauthVersionMax="47" xr10:uidLastSave="{BFC1F4DE-42E1-4AE9-9853-5C6346D2E12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<sst xmlns="http://schemas.openxmlformats.org/spreadsheetml/2006/main" count="16656" uniqueCount="2150">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</sst>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V85" activePane="topRight" state="frozen"/>
      <selection pane="topRight" activeCell="Z88" sqref="Z8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0"/>
      <c r="K57" s="1450"/>
      <c r="L57" s="1346"/>
      <c r="M57" s="1226" t="s">
        <v>57</v>
      </c>
      <c r="N57" s="1451">
        <v>1035</v>
      </c>
      <c r="O57" s="1226" t="s">
        <v>57</v>
      </c>
      <c r="P57" s="1239" t="s">
        <v>58</v>
      </c>
      <c r="Q57" s="1452"/>
      <c r="R57" s="1452"/>
      <c r="S57" s="1452"/>
      <c r="T57" s="1452"/>
      <c r="U57" s="1452"/>
      <c r="V57" s="1453">
        <v>0</v>
      </c>
      <c r="W57" s="1454"/>
      <c r="X57" s="1454">
        <f>SUM(V57-W57)</f>
        <v>0</v>
      </c>
      <c r="Y57" s="662">
        <f>IFERROR($W57/$V57, 0)</f>
        <v>0</v>
      </c>
      <c r="Z57" s="1455"/>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6"/>
      <c r="I71" s="828" t="s">
        <v>55</v>
      </c>
      <c r="J71" s="831" t="s">
        <v>63</v>
      </c>
      <c r="K71" s="1450"/>
      <c r="L71" s="1348"/>
      <c r="M71" s="828" t="s">
        <v>57</v>
      </c>
      <c r="N71" s="1451">
        <v>36998.550000000003</v>
      </c>
      <c r="O71" s="828" t="s">
        <v>57</v>
      </c>
      <c r="P71" s="1239" t="s">
        <v>58</v>
      </c>
      <c r="Q71" s="1452"/>
      <c r="R71" s="1452"/>
      <c r="S71" s="1452"/>
      <c r="T71" s="1452"/>
      <c r="U71" s="1452"/>
      <c r="V71" s="1453">
        <v>2944</v>
      </c>
      <c r="W71" s="1454"/>
      <c r="X71" s="1454">
        <f>SUM(V71-W71)</f>
        <v>2944</v>
      </c>
      <c r="Y71" s="662">
        <f>IFERROR($W71/$V71, 0)</f>
        <v>0</v>
      </c>
      <c r="Z71" s="1455"/>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0"/>
      <c r="L80" s="1348"/>
      <c r="M80" s="1226" t="s">
        <v>57</v>
      </c>
      <c r="N80" s="1451">
        <v>118710.8</v>
      </c>
      <c r="O80" s="1226" t="s">
        <v>57</v>
      </c>
      <c r="P80" s="1208" t="s">
        <v>58</v>
      </c>
      <c r="Q80" s="1452"/>
      <c r="R80" s="1452"/>
      <c r="S80" s="1452"/>
      <c r="T80" s="1452"/>
      <c r="U80" s="1452"/>
      <c r="V80" s="1453">
        <v>9628</v>
      </c>
      <c r="W80" s="1454"/>
      <c r="X80" s="1454">
        <f>SUM(V80-W80)</f>
        <v>9628</v>
      </c>
      <c r="Y80" s="662">
        <f>IFERROR($W80/$V80, 0)</f>
        <v>0</v>
      </c>
      <c r="Z80" s="1452"/>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6">
        <v>109</v>
      </c>
      <c r="I87" s="828" t="s">
        <v>55</v>
      </c>
      <c r="J87" s="831" t="s">
        <v>63</v>
      </c>
      <c r="K87" s="1450"/>
      <c r="L87" s="1348"/>
      <c r="M87" s="1456" t="s">
        <v>91</v>
      </c>
      <c r="N87" s="1451"/>
      <c r="O87" s="1456" t="s">
        <v>91</v>
      </c>
      <c r="P87" s="1457" t="s">
        <v>58</v>
      </c>
      <c r="Q87" s="1452"/>
      <c r="R87" s="1452"/>
      <c r="S87" s="1452"/>
      <c r="T87" s="1452"/>
      <c r="U87" s="1452"/>
      <c r="V87" s="1453">
        <v>6825</v>
      </c>
      <c r="W87" s="1454"/>
      <c r="X87" s="1454">
        <f>SUM(V87-W87)</f>
        <v>6825</v>
      </c>
      <c r="Y87" s="662">
        <f>IFERROR($W87/$V87, 0)</f>
        <v>0</v>
      </c>
      <c r="Z87" s="1455"/>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6">
        <v>0</v>
      </c>
      <c r="I94" s="828" t="s">
        <v>55</v>
      </c>
      <c r="J94" s="1206" t="s">
        <v>90</v>
      </c>
      <c r="K94" s="1206" t="s">
        <v>76</v>
      </c>
      <c r="L94" s="1348"/>
      <c r="M94" s="1226" t="s">
        <v>91</v>
      </c>
      <c r="N94" s="1237"/>
      <c r="O94" s="1226" t="s">
        <v>91</v>
      </c>
      <c r="P94" s="1239" t="s">
        <v>58</v>
      </c>
      <c r="Q94" s="1452"/>
      <c r="R94" s="1452"/>
      <c r="S94" s="1452"/>
      <c r="T94" s="1452"/>
      <c r="U94" s="1452"/>
      <c r="V94" s="1453">
        <v>6202</v>
      </c>
      <c r="W94" s="1454"/>
      <c r="X94" s="1454">
        <f>SUM(V94-W94)</f>
        <v>6202</v>
      </c>
      <c r="Y94" s="662">
        <f>IFERROR($W94/$V94, 0)</f>
        <v>0</v>
      </c>
      <c r="Z94" s="1455"/>
      <c r="AA94" s="1288">
        <v>0</v>
      </c>
      <c r="AB94" s="1288">
        <v>0</v>
      </c>
      <c r="AC94" s="1287">
        <v>0</v>
      </c>
      <c r="AD94" s="1213" t="s">
        <v>302</v>
      </c>
      <c r="AE94" s="1274"/>
    </row>
    <row r="95" spans="1:31" ht="24.75" customHeight="1">
      <c r="A95" s="1442" t="s">
        <v>303</v>
      </c>
      <c r="B95" s="1016" t="s">
        <v>286</v>
      </c>
      <c r="C95" s="1425">
        <v>46051</v>
      </c>
      <c r="D95" s="1347"/>
      <c r="E95" s="1348"/>
      <c r="F95" s="1347"/>
      <c r="G95" s="1225"/>
      <c r="H95" s="1456">
        <v>0</v>
      </c>
      <c r="I95" s="828" t="s">
        <v>55</v>
      </c>
      <c r="J95" s="1206" t="s">
        <v>90</v>
      </c>
      <c r="K95" s="1206" t="s">
        <v>76</v>
      </c>
      <c r="L95" s="1348"/>
      <c r="M95" s="1226" t="s">
        <v>91</v>
      </c>
      <c r="N95" s="1237"/>
      <c r="O95" s="1226" t="s">
        <v>91</v>
      </c>
      <c r="P95" s="1239" t="s">
        <v>58</v>
      </c>
      <c r="Q95" s="1452"/>
      <c r="R95" s="1452"/>
      <c r="S95" s="1452"/>
      <c r="T95" s="1452"/>
      <c r="U95" s="1452"/>
      <c r="V95" s="1458">
        <v>545</v>
      </c>
      <c r="W95" s="1459"/>
      <c r="X95" s="1459">
        <f>SUM(V95-W95)</f>
        <v>545</v>
      </c>
      <c r="Y95" s="657">
        <f>IFERROR($W95/$V95, 0)</f>
        <v>0</v>
      </c>
      <c r="Z95" s="1460"/>
      <c r="AA95" s="1288">
        <v>0</v>
      </c>
      <c r="AB95" s="1288">
        <v>0</v>
      </c>
      <c r="AC95" s="1287">
        <v>0</v>
      </c>
      <c r="AD95" s="1213" t="s">
        <v>302</v>
      </c>
      <c r="AE95" s="1274"/>
    </row>
    <row r="96" spans="1:31" ht="24.75" customHeight="1">
      <c r="A96" s="1442" t="s">
        <v>304</v>
      </c>
      <c r="B96" s="1016" t="s">
        <v>286</v>
      </c>
      <c r="C96" s="1425">
        <v>46051</v>
      </c>
      <c r="D96" s="1347"/>
      <c r="E96" s="1348"/>
      <c r="F96" s="1347"/>
      <c r="G96" s="1225"/>
      <c r="H96" s="1456">
        <v>0</v>
      </c>
      <c r="I96" s="828" t="s">
        <v>55</v>
      </c>
      <c r="J96" s="1206" t="s">
        <v>90</v>
      </c>
      <c r="K96" s="1206" t="s">
        <v>76</v>
      </c>
      <c r="L96" s="1348"/>
      <c r="M96" s="1226" t="s">
        <v>91</v>
      </c>
      <c r="N96" s="1237"/>
      <c r="O96" s="1226" t="s">
        <v>91</v>
      </c>
      <c r="P96" s="1239" t="s">
        <v>58</v>
      </c>
      <c r="Q96" s="1452"/>
      <c r="R96" s="1452"/>
      <c r="S96" s="1452"/>
      <c r="T96" s="1452"/>
      <c r="U96" s="1452"/>
      <c r="V96" s="1458">
        <v>1172</v>
      </c>
      <c r="W96" s="1459"/>
      <c r="X96" s="1459">
        <f>SUM(V96-W96)</f>
        <v>1172</v>
      </c>
      <c r="Y96" s="657">
        <f>IFERROR($W96/$V96, 0)</f>
        <v>0</v>
      </c>
      <c r="Z96" s="1460"/>
      <c r="AA96" s="1288">
        <v>0</v>
      </c>
      <c r="AB96" s="1288">
        <v>0</v>
      </c>
      <c r="AC96" s="1287">
        <v>0</v>
      </c>
      <c r="AD96" s="1213" t="s">
        <v>302</v>
      </c>
      <c r="AE96" s="1274"/>
    </row>
    <row r="97" spans="1:31" ht="24.75" customHeight="1">
      <c r="A97" s="1442" t="s">
        <v>305</v>
      </c>
      <c r="B97" s="1016" t="s">
        <v>286</v>
      </c>
      <c r="C97" s="1425">
        <v>46051</v>
      </c>
      <c r="D97" s="1347"/>
      <c r="E97" s="1348"/>
      <c r="F97" s="1347"/>
      <c r="G97" s="1225"/>
      <c r="H97" s="1456">
        <v>0</v>
      </c>
      <c r="I97" s="828" t="s">
        <v>55</v>
      </c>
      <c r="J97" s="1206" t="s">
        <v>90</v>
      </c>
      <c r="K97" s="1206" t="s">
        <v>76</v>
      </c>
      <c r="L97" s="1348"/>
      <c r="M97" s="1226" t="s">
        <v>91</v>
      </c>
      <c r="N97" s="1237"/>
      <c r="O97" s="1226" t="s">
        <v>91</v>
      </c>
      <c r="P97" s="1239" t="s">
        <v>58</v>
      </c>
      <c r="Q97" s="1452"/>
      <c r="R97" s="1452"/>
      <c r="S97" s="1452"/>
      <c r="T97" s="1452"/>
      <c r="U97" s="1452"/>
      <c r="V97" s="1458">
        <v>4184</v>
      </c>
      <c r="W97" s="1459"/>
      <c r="X97" s="1459">
        <f>SUM(V97-W97)</f>
        <v>4184</v>
      </c>
      <c r="Y97" s="657">
        <f>IFERROR($W97/$V97, 0)</f>
        <v>0</v>
      </c>
      <c r="Z97" s="1460"/>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1"/>
      <c r="R109" s="1368"/>
      <c r="S109" s="1368"/>
      <c r="T109" s="1412"/>
      <c r="U109" s="1368"/>
      <c r="V109" s="31">
        <v>5699</v>
      </c>
      <c r="W109" s="1459"/>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1"/>
      <c r="R110" s="1368"/>
      <c r="S110" s="1368"/>
      <c r="T110" s="1412"/>
      <c r="U110" s="1368"/>
      <c r="V110" s="31">
        <v>5860</v>
      </c>
      <c r="W110" s="1459"/>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1"/>
      <c r="R111" s="1368"/>
      <c r="S111" s="1368"/>
      <c r="T111" s="1412"/>
      <c r="U111" s="1368"/>
      <c r="V111" s="31">
        <v>6021</v>
      </c>
      <c r="W111" s="1459"/>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1"/>
      <c r="R112" s="1368"/>
      <c r="S112" s="1368"/>
      <c r="T112" s="1412"/>
      <c r="U112" s="1368"/>
      <c r="V112" s="31">
        <v>6432</v>
      </c>
      <c r="W112" s="1459"/>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1"/>
      <c r="R113" s="1368"/>
      <c r="S113" s="1368"/>
      <c r="T113" s="1412"/>
      <c r="U113" s="1368"/>
      <c r="V113" s="31">
        <v>4836</v>
      </c>
      <c r="W113" s="1459"/>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1"/>
      <c r="R114" s="1368"/>
      <c r="S114" s="1368"/>
      <c r="T114" s="1412"/>
      <c r="U114" s="1368"/>
      <c r="V114" s="31">
        <v>7145</v>
      </c>
      <c r="W114" s="1459"/>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2"/>
      <c r="R115" s="1370"/>
      <c r="S115" s="1370"/>
      <c r="T115" s="1413"/>
      <c r="U115" s="1368"/>
      <c r="V115" s="31">
        <v>7341</v>
      </c>
      <c r="W115" s="1459"/>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1"/>
      <c r="R116" s="1368"/>
      <c r="S116" s="1368"/>
      <c r="T116" s="1412"/>
      <c r="U116" s="1368"/>
      <c r="V116" s="31">
        <v>1284</v>
      </c>
      <c r="W116" s="1459"/>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3"/>
      <c r="R117" s="1370"/>
      <c r="S117" s="1370"/>
      <c r="T117" s="1413"/>
      <c r="U117" s="1368"/>
      <c r="V117" s="31">
        <v>4022</v>
      </c>
      <c r="W117" s="1459"/>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4"/>
      <c r="R130" s="1368"/>
      <c r="S130" s="1368"/>
      <c r="T130" s="1368"/>
      <c r="U130" s="1368"/>
      <c r="V130" s="1268">
        <v>8641</v>
      </c>
      <c r="W130" s="1459"/>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3"/>
      <c r="R131" s="1370"/>
      <c r="S131" s="1370"/>
      <c r="T131" s="1370"/>
      <c r="U131" s="1370"/>
      <c r="V131" s="1372">
        <v>7502</v>
      </c>
      <c r="W131" s="1465"/>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3"/>
      <c r="R132" s="1370"/>
      <c r="S132" s="1370"/>
      <c r="T132" s="1370"/>
      <c r="U132" s="1370"/>
      <c r="V132" s="1372">
        <v>3682</v>
      </c>
      <c r="W132" s="1465"/>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AC30"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AD23"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550</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552</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549</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557</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549</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557</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524</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524</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528</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531</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436</v>
      </c>
      <c r="B470" s="1449">
        <v>644</v>
      </c>
      <c r="C470" s="1449">
        <v>1430</v>
      </c>
      <c r="D470" s="1449">
        <v>970</v>
      </c>
      <c r="E470" s="1449"/>
      <c r="F470" s="1449"/>
      <c r="G470" s="1449">
        <v>3044</v>
      </c>
    </row>
    <row r="471" spans="1:7">
      <c r="A471" t="s">
        <v>555</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436</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524</v>
      </c>
      <c r="B501" s="1449"/>
      <c r="C501" s="1449"/>
      <c r="D501" s="1449"/>
      <c r="E501" s="1449">
        <v>341</v>
      </c>
      <c r="F501" s="1449"/>
      <c r="G501" s="1449">
        <v>341</v>
      </c>
    </row>
    <row r="502" spans="1:7">
      <c r="A502" t="s">
        <v>1097</v>
      </c>
      <c r="B502" s="1449"/>
      <c r="C502" s="1449"/>
      <c r="D502" s="1449"/>
      <c r="E502" s="1449"/>
      <c r="F502" s="1449"/>
      <c r="G502" s="1449"/>
    </row>
    <row r="503" spans="1:7">
      <c r="A503" t="s">
        <v>436</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549</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436</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549</v>
      </c>
      <c r="B549" s="1449"/>
      <c r="C549" s="1449"/>
      <c r="D549" s="1449"/>
      <c r="E549" s="1449">
        <v>676</v>
      </c>
      <c r="F549" s="1449">
        <v>430</v>
      </c>
      <c r="G549" s="1449">
        <v>1106</v>
      </c>
    </row>
    <row r="550" spans="1:7">
      <c r="A550" t="s">
        <v>524</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549</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436</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B578" s="1449"/>
      <c r="C578" s="1449"/>
      <c r="D578" s="1449"/>
      <c r="E578" s="1449"/>
      <c r="F578" s="1449">
        <v>198</v>
      </c>
      <c r="G578" s="1449">
        <v>198</v>
      </c>
    </row>
    <row r="579" spans="1:7">
      <c r="A579" t="s">
        <v>549</v>
      </c>
      <c r="B579" s="1449"/>
      <c r="C579" s="1449"/>
      <c r="D579" s="1449"/>
      <c r="E579" s="1449"/>
      <c r="F579" s="1449"/>
      <c r="G579" s="1449"/>
    </row>
    <row r="580" spans="1:7">
      <c r="A580" t="s">
        <v>557</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552</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552</v>
      </c>
      <c r="B605" s="1449"/>
      <c r="C605" s="1449"/>
      <c r="D605" s="1449">
        <v>461</v>
      </c>
      <c r="E605" s="1449">
        <v>880</v>
      </c>
      <c r="F605" s="1449">
        <v>585</v>
      </c>
      <c r="G605" s="1449">
        <v>1926</v>
      </c>
    </row>
    <row r="606" spans="1:7">
      <c r="A606" t="s">
        <v>557</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552</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546</v>
      </c>
      <c r="B632" s="1449"/>
      <c r="C632" s="1449"/>
      <c r="D632" s="1449">
        <v>314</v>
      </c>
      <c r="E632" s="1449"/>
      <c r="F632" s="1449"/>
      <c r="G632" s="1449">
        <v>314</v>
      </c>
    </row>
    <row r="633" spans="1:7">
      <c r="A633" t="s">
        <v>560</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546</v>
      </c>
      <c r="B641" s="1449"/>
      <c r="C641" s="1449"/>
      <c r="D641" s="1449"/>
      <c r="E641" s="1449"/>
      <c r="F641" s="1449"/>
      <c r="G641" s="1449"/>
    </row>
    <row r="642" spans="1:7">
      <c r="A642" t="s">
        <v>560</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560</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B665" s="1449"/>
      <c r="C665" s="1449"/>
      <c r="D665" s="1449">
        <v>499</v>
      </c>
      <c r="E665" s="1449">
        <v>231</v>
      </c>
      <c r="F665" s="1449">
        <v>316</v>
      </c>
      <c r="G665" s="1449">
        <v>1046</v>
      </c>
    </row>
    <row r="666" spans="1:7">
      <c r="A666" t="s">
        <v>524</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546</v>
      </c>
      <c r="B669" s="1449"/>
      <c r="C669" s="1449">
        <v>430</v>
      </c>
      <c r="D669" s="1449"/>
      <c r="E669" s="1449"/>
      <c r="F669" s="1449"/>
      <c r="G669" s="1449">
        <v>430</v>
      </c>
    </row>
    <row r="670" spans="1:7">
      <c r="A670" t="s">
        <v>560</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552</v>
      </c>
      <c r="B685" s="1449"/>
      <c r="C685" s="1449"/>
      <c r="D685" s="1449">
        <v>1241</v>
      </c>
      <c r="E685" s="1449"/>
      <c r="F685" s="1449"/>
      <c r="G685" s="1449">
        <v>1241</v>
      </c>
    </row>
    <row r="686" spans="1:7">
      <c r="A686" t="s">
        <v>557</v>
      </c>
      <c r="B686" s="1449">
        <v>503</v>
      </c>
      <c r="C686" s="1449">
        <v>295</v>
      </c>
      <c r="D686" s="1449"/>
      <c r="E686" s="1449"/>
      <c r="F686" s="1449">
        <v>6</v>
      </c>
      <c r="G686" s="1449">
        <v>804</v>
      </c>
    </row>
    <row r="687" spans="1:7">
      <c r="A687" t="s">
        <v>524</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560</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552</v>
      </c>
      <c r="B707" s="1449"/>
      <c r="C707" s="1449"/>
      <c r="D707" s="1449"/>
      <c r="E707" s="1449"/>
      <c r="F707" s="1449"/>
      <c r="G707" s="1449"/>
    </row>
    <row r="708" spans="1:7">
      <c r="A708" t="s">
        <v>908</v>
      </c>
      <c r="B708" s="1449"/>
      <c r="C708" s="1449"/>
      <c r="D708" s="1449"/>
      <c r="E708" s="1449"/>
      <c r="F708" s="1449"/>
      <c r="G708" s="1449"/>
    </row>
    <row r="709" spans="1:7">
      <c r="A709" t="s">
        <v>557</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571</v>
      </c>
      <c r="B719" s="1449"/>
      <c r="C719" s="1449"/>
      <c r="D719" s="1449"/>
      <c r="E719" s="1449">
        <v>903</v>
      </c>
      <c r="F719" s="1449"/>
      <c r="G719" s="1449">
        <v>903</v>
      </c>
    </row>
    <row r="720" spans="1:7">
      <c r="A720" t="s">
        <v>562</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571</v>
      </c>
      <c r="B731" s="1449">
        <v>254</v>
      </c>
      <c r="C731" s="1449">
        <v>1686</v>
      </c>
      <c r="D731" s="1449">
        <v>611</v>
      </c>
      <c r="E731" s="1449"/>
      <c r="F731" s="1449"/>
      <c r="G731" s="1449">
        <v>2551</v>
      </c>
    </row>
    <row r="732" spans="1:7">
      <c r="A732" t="s">
        <v>562</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552</v>
      </c>
      <c r="B743" s="1449"/>
      <c r="C743" s="1449"/>
      <c r="D743" s="1449">
        <v>139</v>
      </c>
      <c r="E743" s="1449"/>
      <c r="F743" s="1449"/>
      <c r="G743" s="1449">
        <v>139</v>
      </c>
    </row>
    <row r="744" spans="1:7">
      <c r="A744" t="s">
        <v>557</v>
      </c>
      <c r="B744" s="1449"/>
      <c r="C744" s="1449"/>
      <c r="D744" s="1449"/>
      <c r="E744" s="1449"/>
      <c r="F744" s="1449"/>
      <c r="G744" s="1449"/>
    </row>
    <row r="745" spans="1:7">
      <c r="A745" t="s">
        <v>531</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571</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573</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552</v>
      </c>
      <c r="B763" s="1449">
        <v>60</v>
      </c>
      <c r="C763" s="1449"/>
      <c r="D763" s="1449"/>
      <c r="E763" s="1449"/>
      <c r="F763" s="1449"/>
      <c r="G763" s="1449">
        <v>60</v>
      </c>
    </row>
    <row r="764" spans="1:7">
      <c r="A764" t="s">
        <v>528</v>
      </c>
      <c r="B764" s="1449"/>
      <c r="C764" s="1449"/>
      <c r="D764" s="1449"/>
      <c r="E764" s="1449">
        <v>175</v>
      </c>
      <c r="F764" s="1449"/>
      <c r="G764" s="1449">
        <v>175</v>
      </c>
    </row>
    <row r="765" spans="1:7">
      <c r="A765" t="s">
        <v>1096</v>
      </c>
      <c r="B765" s="1449"/>
      <c r="C765" s="1449">
        <v>224</v>
      </c>
      <c r="D765" s="1449"/>
      <c r="E765" s="1449"/>
      <c r="F765" s="1449"/>
      <c r="G765" s="1449">
        <v>224</v>
      </c>
    </row>
    <row r="766" spans="1:7">
      <c r="A766" t="s">
        <v>546</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573</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616</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576</v>
      </c>
      <c r="B778" s="1449"/>
      <c r="C778" s="1449">
        <v>1231</v>
      </c>
      <c r="D778" s="1449">
        <v>1538</v>
      </c>
      <c r="E778" s="1449">
        <v>1377</v>
      </c>
      <c r="F778" s="1449"/>
      <c r="G778" s="1449">
        <v>4146</v>
      </c>
    </row>
    <row r="779" spans="1:7">
      <c r="A779" t="s">
        <v>579</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528</v>
      </c>
      <c r="B790" s="1449">
        <v>229</v>
      </c>
      <c r="C790" s="1449"/>
      <c r="D790" s="1449"/>
      <c r="E790" s="1449"/>
      <c r="F790" s="1449"/>
      <c r="G790" s="1449">
        <v>229</v>
      </c>
    </row>
    <row r="791" spans="1:7">
      <c r="A791" t="s">
        <v>531</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546</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576</v>
      </c>
      <c r="B798" s="1449">
        <v>600</v>
      </c>
      <c r="C798" s="1449"/>
      <c r="D798" s="1449"/>
      <c r="E798" s="1449"/>
      <c r="F798" s="1449"/>
      <c r="G798" s="1449">
        <v>600</v>
      </c>
    </row>
    <row r="799" spans="1:7">
      <c r="A799" t="s">
        <v>579</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593</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531</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546</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579</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593</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566</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593</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595</v>
      </c>
      <c r="B845" s="1449">
        <v>1768</v>
      </c>
      <c r="C845" s="1449">
        <v>510</v>
      </c>
      <c r="D845" s="1449"/>
      <c r="E845" s="1449"/>
      <c r="F845" s="1449"/>
      <c r="G845" s="1449">
        <v>2278</v>
      </c>
    </row>
    <row r="846" spans="1:7">
      <c r="A846" t="s">
        <v>534</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599</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531</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546</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566</v>
      </c>
      <c r="B864" s="1449"/>
      <c r="C864" s="1449"/>
      <c r="D864" s="1449"/>
      <c r="E864" s="1449"/>
      <c r="F864" s="1449"/>
      <c r="G864" s="1449"/>
    </row>
    <row r="865" spans="1:7">
      <c r="A865" t="s">
        <v>534</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599</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605</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B880" s="1449"/>
      <c r="C880" s="1449"/>
      <c r="D880" s="1449">
        <v>171</v>
      </c>
      <c r="E880" s="1449"/>
      <c r="F880" s="1449"/>
      <c r="G880" s="1449">
        <v>171</v>
      </c>
    </row>
    <row r="881" spans="1:7">
      <c r="A881" t="s">
        <v>1090</v>
      </c>
      <c r="B881" s="1449">
        <v>567</v>
      </c>
      <c r="C881" s="1449"/>
      <c r="D881" s="1449"/>
      <c r="E881" s="1449"/>
      <c r="F881" s="1449"/>
      <c r="G881" s="1449">
        <v>567</v>
      </c>
    </row>
    <row r="882" spans="1:7">
      <c r="A882" t="s">
        <v>546</v>
      </c>
      <c r="B882" s="1449"/>
      <c r="C882" s="1449"/>
      <c r="D882" s="1449"/>
      <c r="E882" s="1449"/>
      <c r="F882" s="1449"/>
      <c r="G882" s="1449"/>
    </row>
    <row r="883" spans="1:7">
      <c r="A883" t="s">
        <v>560</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566</v>
      </c>
      <c r="B887" s="1449">
        <v>270</v>
      </c>
      <c r="C887" s="1449">
        <v>60</v>
      </c>
      <c r="D887" s="1449"/>
      <c r="E887" s="1449"/>
      <c r="F887" s="1449"/>
      <c r="G887" s="1449">
        <v>330</v>
      </c>
    </row>
    <row r="888" spans="1:7">
      <c r="A888" t="s">
        <v>595</v>
      </c>
      <c r="B888" s="1449"/>
      <c r="C888" s="1449"/>
      <c r="D888" s="1449"/>
      <c r="E888" s="1449"/>
      <c r="F888" s="1449"/>
      <c r="G888" s="1449"/>
    </row>
    <row r="889" spans="1:7">
      <c r="A889" t="s">
        <v>534</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597</v>
      </c>
      <c r="B893" s="1449"/>
      <c r="C893" s="1449">
        <v>1509</v>
      </c>
      <c r="D893" s="1449">
        <v>1087</v>
      </c>
      <c r="E893" s="1449">
        <v>777</v>
      </c>
      <c r="F893" s="1449"/>
      <c r="G893" s="1449">
        <v>3373</v>
      </c>
    </row>
    <row r="894" spans="1:7">
      <c r="A894" t="s">
        <v>605</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591</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623</v>
      </c>
      <c r="B900" s="1449"/>
      <c r="C900" s="1449"/>
      <c r="D900" s="1449"/>
      <c r="E900" s="1449">
        <v>978</v>
      </c>
      <c r="F900" s="1449"/>
      <c r="G900" s="1449">
        <v>978</v>
      </c>
    </row>
    <row r="901" spans="1:7">
      <c r="A901" t="s">
        <v>442</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562</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534</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605</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623</v>
      </c>
      <c r="B919" s="1449">
        <v>1420</v>
      </c>
      <c r="C919" s="1449">
        <v>990</v>
      </c>
      <c r="D919" s="1449">
        <v>549</v>
      </c>
      <c r="E919" s="1449"/>
      <c r="F919" s="1449"/>
      <c r="G919" s="1449">
        <v>2959</v>
      </c>
    </row>
    <row r="920" spans="1:7">
      <c r="A920" t="s">
        <v>442</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603</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537</v>
      </c>
      <c r="B925" s="1449"/>
      <c r="C925" s="1449">
        <v>1691</v>
      </c>
      <c r="D925" s="1449">
        <v>1998</v>
      </c>
      <c r="E925" s="1449">
        <v>760</v>
      </c>
      <c r="F925" s="1449">
        <v>3975</v>
      </c>
      <c r="G925" s="1449">
        <v>8424</v>
      </c>
    </row>
    <row r="926" spans="1:7">
      <c r="A926" t="s">
        <v>626</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466</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457</v>
      </c>
      <c r="B931" s="1449"/>
      <c r="C931" s="1449"/>
      <c r="D931" s="1449">
        <v>2985</v>
      </c>
      <c r="E931" s="1449">
        <v>2373</v>
      </c>
      <c r="F931" s="1449"/>
      <c r="G931" s="1449">
        <v>5358</v>
      </c>
    </row>
    <row r="932" spans="1:7">
      <c r="A932" t="s">
        <v>484</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534</v>
      </c>
      <c r="B940" s="1449">
        <v>560</v>
      </c>
      <c r="C940" s="1449"/>
      <c r="D940" s="1449"/>
      <c r="E940" s="1449"/>
      <c r="F940" s="1449"/>
      <c r="G940" s="1449">
        <v>560</v>
      </c>
    </row>
    <row r="941" spans="1:7">
      <c r="A941" t="s">
        <v>382</v>
      </c>
      <c r="B941" s="1449"/>
      <c r="C941" s="1449"/>
      <c r="D941" s="1449"/>
      <c r="E941" s="1449"/>
      <c r="F941" s="1449"/>
      <c r="G941" s="1449"/>
    </row>
    <row r="942" spans="1:7">
      <c r="A942" t="s">
        <v>605</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623</v>
      </c>
      <c r="B945" s="1449">
        <v>632</v>
      </c>
      <c r="C945" s="1449"/>
      <c r="D945" s="1449"/>
      <c r="E945" s="1449"/>
      <c r="F945" s="1449"/>
      <c r="G945" s="1449">
        <v>632</v>
      </c>
    </row>
    <row r="946" spans="1:7">
      <c r="A946" t="s">
        <v>442</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626</v>
      </c>
      <c r="B948" s="1449">
        <v>1351</v>
      </c>
      <c r="C948" s="1449"/>
      <c r="D948" s="1449">
        <v>890</v>
      </c>
      <c r="E948" s="1449"/>
      <c r="F948" s="1449"/>
      <c r="G948" s="1449">
        <v>2241</v>
      </c>
    </row>
    <row r="949" spans="1:7">
      <c r="A949" t="s">
        <v>484</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417</v>
      </c>
      <c r="B952" s="1449"/>
      <c r="C952" s="1449"/>
      <c r="D952" s="1449">
        <v>1580</v>
      </c>
      <c r="E952" s="1449">
        <v>1258</v>
      </c>
      <c r="F952" s="1449"/>
      <c r="G952" s="1449">
        <v>2838</v>
      </c>
    </row>
    <row r="953" spans="1:7">
      <c r="A953" t="s">
        <v>601</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476</v>
      </c>
      <c r="B956" s="1449"/>
      <c r="C956" s="1449"/>
      <c r="D956" s="1449">
        <v>1264</v>
      </c>
      <c r="E956" s="1449">
        <v>1281</v>
      </c>
      <c r="F956" s="1449"/>
      <c r="G956" s="1449">
        <v>2545</v>
      </c>
    </row>
    <row r="957" spans="1:7">
      <c r="A957" t="s">
        <v>1129</v>
      </c>
      <c r="B957" s="1449"/>
      <c r="C957" s="1449"/>
      <c r="D957" s="1449"/>
      <c r="E957" s="1449"/>
      <c r="F957" s="1449"/>
      <c r="G957" s="1449"/>
    </row>
    <row r="958" spans="1:7">
      <c r="A958" t="s">
        <v>489</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518</v>
      </c>
      <c r="B960" s="1449"/>
      <c r="C960" s="1449"/>
      <c r="D960" s="1449"/>
      <c r="E960" s="1449">
        <v>424</v>
      </c>
      <c r="F960" s="1449"/>
      <c r="G960" s="1449">
        <v>424</v>
      </c>
    </row>
    <row r="961" spans="1:7">
      <c r="A961" t="s">
        <v>491</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534</v>
      </c>
      <c r="B970" s="1449"/>
      <c r="C970" s="1449">
        <v>17</v>
      </c>
      <c r="D970" s="1449"/>
      <c r="E970" s="1449"/>
      <c r="F970" s="1449"/>
      <c r="G970" s="1449">
        <v>17</v>
      </c>
    </row>
    <row r="971" spans="1:7">
      <c r="A971" t="s">
        <v>605</v>
      </c>
      <c r="B971" s="1449"/>
      <c r="C971" s="1449"/>
      <c r="D971" s="1449"/>
      <c r="E971" s="1449"/>
      <c r="F971" s="1449"/>
      <c r="G971" s="1449"/>
    </row>
    <row r="972" spans="1:7">
      <c r="A972" t="s">
        <v>442</v>
      </c>
      <c r="B972" s="1449">
        <v>127</v>
      </c>
      <c r="C972" s="1449"/>
      <c r="D972" s="1449"/>
      <c r="E972" s="1449"/>
      <c r="F972" s="1449"/>
      <c r="G972" s="1449">
        <v>127</v>
      </c>
    </row>
    <row r="973" spans="1:7">
      <c r="A973" t="s">
        <v>221</v>
      </c>
      <c r="B973" s="1449">
        <v>420</v>
      </c>
      <c r="C973" s="1449"/>
      <c r="D973" s="1449"/>
      <c r="E973" s="1449"/>
      <c r="F973" s="1449"/>
      <c r="G973" s="1449">
        <v>420</v>
      </c>
    </row>
    <row r="974" spans="1:7">
      <c r="A974" t="s">
        <v>626</v>
      </c>
      <c r="B974" s="1449"/>
      <c r="C974" s="1449"/>
      <c r="D974" s="1449"/>
      <c r="E974" s="1449"/>
      <c r="F974" s="1449"/>
      <c r="G974" s="1449"/>
    </row>
    <row r="975" spans="1:7">
      <c r="A975" t="s">
        <v>377</v>
      </c>
      <c r="B975" s="1449"/>
      <c r="C975" s="1449">
        <v>1917</v>
      </c>
      <c r="D975" s="1449"/>
      <c r="E975" s="1449">
        <v>272</v>
      </c>
      <c r="F975" s="1449"/>
      <c r="G975" s="1449">
        <v>2189</v>
      </c>
    </row>
    <row r="976" spans="1:7">
      <c r="A976" t="s">
        <v>601</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476</v>
      </c>
      <c r="B979" s="1449">
        <v>1662</v>
      </c>
      <c r="C979" s="1449">
        <v>2684</v>
      </c>
      <c r="D979" s="1449"/>
      <c r="E979" s="1449"/>
      <c r="F979" s="1449">
        <v>51</v>
      </c>
      <c r="G979" s="1449">
        <v>4397</v>
      </c>
    </row>
    <row r="980" spans="1:7">
      <c r="A980" t="s">
        <v>486</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518</v>
      </c>
      <c r="B982" s="1449"/>
      <c r="C982" s="1449"/>
      <c r="D982" s="1449"/>
      <c r="E982" s="1449">
        <v>313</v>
      </c>
      <c r="F982" s="1449">
        <v>3007</v>
      </c>
      <c r="G982" s="1449">
        <v>3320</v>
      </c>
    </row>
    <row r="983" spans="1:7">
      <c r="A983" t="s">
        <v>491</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610</v>
      </c>
      <c r="B985" s="1449">
        <v>1471</v>
      </c>
      <c r="C985" s="1449"/>
      <c r="D985" s="1449"/>
      <c r="E985" s="1449"/>
      <c r="F985" s="1449"/>
      <c r="G985" s="1449">
        <v>1471</v>
      </c>
    </row>
    <row r="986" spans="1:7">
      <c r="A986" t="s">
        <v>607</v>
      </c>
      <c r="B986" s="1449">
        <v>762</v>
      </c>
      <c r="C986" s="1449">
        <v>1530</v>
      </c>
      <c r="D986" s="1449">
        <v>954</v>
      </c>
      <c r="E986" s="1449">
        <v>1603</v>
      </c>
      <c r="F986" s="1449"/>
      <c r="G986" s="1449">
        <v>4849</v>
      </c>
    </row>
    <row r="987" spans="1:7">
      <c r="A987" t="s">
        <v>420</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494</v>
      </c>
      <c r="B994" s="1449"/>
      <c r="C994" s="1449"/>
      <c r="D994" s="1449"/>
      <c r="E994" s="1449">
        <v>1420</v>
      </c>
      <c r="F994" s="1449">
        <v>3043</v>
      </c>
      <c r="G994" s="1449">
        <v>4463</v>
      </c>
    </row>
    <row r="995" spans="1:7">
      <c r="A995" t="s">
        <v>497</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528</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466</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457</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417</v>
      </c>
      <c r="B1017" s="1449"/>
      <c r="C1017" s="1449"/>
      <c r="D1017" s="1449"/>
      <c r="E1017" s="1449"/>
      <c r="F1017" s="1449"/>
      <c r="G1017" s="1449"/>
    </row>
    <row r="1018" spans="1:7">
      <c r="A1018" t="s">
        <v>601</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610</v>
      </c>
      <c r="B1020" s="1449">
        <v>665</v>
      </c>
      <c r="C1020" s="1449">
        <v>1360</v>
      </c>
      <c r="D1020" s="1449">
        <v>1024</v>
      </c>
      <c r="E1020" s="1449"/>
      <c r="F1020" s="1449"/>
      <c r="G1020" s="1449">
        <v>3049</v>
      </c>
    </row>
    <row r="1021" spans="1:7">
      <c r="A1021" t="s">
        <v>607</v>
      </c>
      <c r="B1021" s="1449">
        <v>805</v>
      </c>
      <c r="C1021" s="1449"/>
      <c r="D1021" s="1449"/>
      <c r="E1021" s="1449"/>
      <c r="F1021" s="1449"/>
      <c r="G1021" s="1449">
        <v>805</v>
      </c>
    </row>
    <row r="1022" spans="1:7">
      <c r="A1022" t="s">
        <v>420</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494</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497</v>
      </c>
      <c r="B1026" s="1449"/>
      <c r="C1026" s="1449">
        <v>3311</v>
      </c>
      <c r="D1026" s="1449"/>
      <c r="E1026" s="1449"/>
      <c r="F1026" s="1449"/>
      <c r="G1026" s="1449">
        <v>3311</v>
      </c>
    </row>
    <row r="1027" spans="1:7">
      <c r="A1027" t="s">
        <v>460</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432</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478</v>
      </c>
      <c r="B1031" s="1449"/>
      <c r="C1031" s="1449">
        <v>2382</v>
      </c>
      <c r="D1031" s="1449"/>
      <c r="E1031" s="1449"/>
      <c r="F1031" s="1449"/>
      <c r="G1031" s="1449">
        <v>2382</v>
      </c>
    </row>
    <row r="1032" spans="1:7">
      <c r="A1032" t="s">
        <v>613</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500</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470</v>
      </c>
      <c r="B1037" s="1449"/>
      <c r="C1037" s="1449"/>
      <c r="D1037" s="1449"/>
      <c r="E1037" s="1449"/>
      <c r="F1037" s="1449"/>
      <c r="G1037" s="1449"/>
    </row>
    <row r="1038" spans="1:7">
      <c r="A1038" t="s">
        <v>462</v>
      </c>
      <c r="B1038" s="1449"/>
      <c r="C1038" s="1449"/>
      <c r="D1038" s="1449"/>
      <c r="E1038" s="1449"/>
      <c r="F1038" s="1449"/>
      <c r="G1038" s="1449"/>
    </row>
    <row r="1039" spans="1:7">
      <c r="A1039" t="s">
        <v>464</v>
      </c>
      <c r="B1039" s="1449"/>
      <c r="C1039" s="1449"/>
      <c r="D1039" s="1449"/>
      <c r="E1039" s="1449"/>
      <c r="F1039" s="1449"/>
      <c r="G1039" s="1449"/>
    </row>
    <row r="1040" spans="1:7">
      <c r="A1040" t="s">
        <v>469</v>
      </c>
      <c r="B1040" s="1449"/>
      <c r="C1040" s="1449"/>
      <c r="D1040" s="1449"/>
      <c r="E1040" s="1449"/>
      <c r="F1040" s="1449"/>
      <c r="G1040" s="1449"/>
    </row>
    <row r="1041" spans="1:7">
      <c r="A1041" t="s">
        <v>472</v>
      </c>
      <c r="B1041" s="1449"/>
      <c r="C1041" s="1449"/>
      <c r="D1041" s="1449"/>
      <c r="E1041" s="1449"/>
      <c r="F1041" s="1449"/>
      <c r="G1041" s="1449"/>
    </row>
    <row r="1042" spans="1:7">
      <c r="A1042" t="s">
        <v>474</v>
      </c>
      <c r="B1042" s="1449"/>
      <c r="C1042" s="1449"/>
      <c r="D1042" s="1449"/>
      <c r="E1042" s="1449"/>
      <c r="F1042" s="1449"/>
      <c r="G1042" s="1449"/>
    </row>
    <row r="1043" spans="1:7">
      <c r="A1043" t="s">
        <v>475</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603</v>
      </c>
      <c r="B1051" s="1449"/>
      <c r="C1051" s="1449">
        <v>175</v>
      </c>
      <c r="D1051" s="1449"/>
      <c r="E1051" s="1449"/>
      <c r="F1051" s="1449"/>
      <c r="G1051" s="1449">
        <v>175</v>
      </c>
    </row>
    <row r="1052" spans="1:7">
      <c r="A1052" t="s">
        <v>537</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486</v>
      </c>
      <c r="B1054" s="1449"/>
      <c r="C1054" s="1449"/>
      <c r="D1054" s="1449"/>
      <c r="E1054" s="1449">
        <v>64</v>
      </c>
      <c r="F1054" s="1449"/>
      <c r="G1054" s="1449">
        <v>64</v>
      </c>
    </row>
    <row r="1055" spans="1:7">
      <c r="A1055" t="s">
        <v>489</v>
      </c>
      <c r="B1055" s="1449"/>
      <c r="C1055" s="1449"/>
      <c r="D1055" s="1449"/>
      <c r="E1055" s="1449"/>
      <c r="F1055" s="1449"/>
      <c r="G1055" s="1449"/>
    </row>
    <row r="1056" spans="1:7">
      <c r="A1056" t="s">
        <v>610</v>
      </c>
      <c r="B1056" s="1449">
        <v>1610</v>
      </c>
      <c r="C1056" s="1449"/>
      <c r="D1056" s="1449"/>
      <c r="E1056" s="1449"/>
      <c r="F1056" s="1449"/>
      <c r="G1056" s="1449">
        <v>1610</v>
      </c>
    </row>
    <row r="1057" spans="1:7">
      <c r="A1057" t="s">
        <v>607</v>
      </c>
      <c r="B1057" s="1449"/>
      <c r="C1057" s="1449"/>
      <c r="D1057" s="1449"/>
      <c r="E1057" s="1449"/>
      <c r="F1057" s="1449"/>
      <c r="G1057" s="1449"/>
    </row>
    <row r="1058" spans="1:7">
      <c r="A1058" t="s">
        <v>494</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478</v>
      </c>
      <c r="B1061" s="1449">
        <v>3084</v>
      </c>
      <c r="C1061" s="1449"/>
      <c r="D1061" s="1449"/>
      <c r="E1061" s="1449"/>
      <c r="F1061" s="1449"/>
      <c r="G1061" s="1449">
        <v>3084</v>
      </c>
    </row>
    <row r="1062" spans="1:7">
      <c r="A1062" t="s">
        <v>613</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500</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515</v>
      </c>
      <c r="B1067" s="1449">
        <v>1829</v>
      </c>
      <c r="C1067" s="1449">
        <v>2302</v>
      </c>
      <c r="D1067" s="1449">
        <v>694</v>
      </c>
      <c r="E1067" s="1449"/>
      <c r="F1067" s="1449"/>
      <c r="G1067" s="1449">
        <v>4825</v>
      </c>
    </row>
    <row r="1068" spans="1:7">
      <c r="A1068" t="s">
        <v>481</v>
      </c>
      <c r="B1068" s="1449">
        <v>1391</v>
      </c>
      <c r="C1068" s="1449">
        <v>2916</v>
      </c>
      <c r="D1068" s="1449">
        <v>2430</v>
      </c>
      <c r="E1068" s="1449"/>
      <c r="F1068" s="1449"/>
      <c r="G1068" s="1449">
        <v>6737</v>
      </c>
    </row>
    <row r="1069" spans="1:7">
      <c r="A1069" t="s">
        <v>414</v>
      </c>
      <c r="B1069" s="1449"/>
      <c r="C1069" s="1449"/>
      <c r="D1069" s="1449">
        <v>466</v>
      </c>
      <c r="E1069" s="1449">
        <v>345</v>
      </c>
      <c r="F1069" s="1449"/>
      <c r="G1069" s="1449">
        <v>811</v>
      </c>
    </row>
    <row r="1070" spans="1:7">
      <c r="A1070" t="s">
        <v>423</v>
      </c>
      <c r="B1070" s="1449"/>
      <c r="C1070" s="1449"/>
      <c r="D1070" s="1449"/>
      <c r="E1070" s="1449">
        <v>1431</v>
      </c>
      <c r="F1070" s="1449"/>
      <c r="G1070" s="1449">
        <v>1431</v>
      </c>
    </row>
    <row r="1071" spans="1:7">
      <c r="A1071" t="s">
        <v>588</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537</v>
      </c>
      <c r="B1081" s="1449">
        <v>1283</v>
      </c>
      <c r="C1081" s="1449">
        <v>442</v>
      </c>
      <c r="D1081" s="1449"/>
      <c r="E1081" s="1449"/>
      <c r="F1081" s="1449">
        <v>706</v>
      </c>
      <c r="G1081" s="1449">
        <v>2431</v>
      </c>
    </row>
    <row r="1082" spans="1:7">
      <c r="A1082" t="s">
        <v>457</v>
      </c>
      <c r="B1082" s="1449"/>
      <c r="C1082" s="1449">
        <v>2203</v>
      </c>
      <c r="D1082" s="1449"/>
      <c r="E1082" s="1449"/>
      <c r="F1082" s="1449"/>
      <c r="G1082" s="1449">
        <v>2203</v>
      </c>
    </row>
    <row r="1083" spans="1:7">
      <c r="A1083" t="s">
        <v>491</v>
      </c>
      <c r="B1083" s="1449"/>
      <c r="C1083" s="1449"/>
      <c r="D1083" s="1449"/>
      <c r="E1083" s="1449">
        <v>242</v>
      </c>
      <c r="F1083" s="1449"/>
      <c r="G1083" s="1449">
        <v>242</v>
      </c>
    </row>
    <row r="1084" spans="1:7">
      <c r="A1084" t="s">
        <v>610</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515</v>
      </c>
      <c r="B1088" s="1449"/>
      <c r="C1088" s="1449"/>
      <c r="D1088" s="1449">
        <v>91</v>
      </c>
      <c r="E1088" s="1449"/>
      <c r="F1088" s="1449"/>
      <c r="G1088" s="1449">
        <v>91</v>
      </c>
    </row>
    <row r="1089" spans="1:7">
      <c r="A1089" t="s">
        <v>414</v>
      </c>
      <c r="B1089" s="1449">
        <v>1172</v>
      </c>
      <c r="C1089" s="1449"/>
      <c r="D1089" s="1449"/>
      <c r="E1089" s="1449"/>
      <c r="F1089" s="1449"/>
      <c r="G1089" s="1449">
        <v>1172</v>
      </c>
    </row>
    <row r="1090" spans="1:7">
      <c r="A1090" t="s">
        <v>423</v>
      </c>
      <c r="B1090" s="1449">
        <v>1583</v>
      </c>
      <c r="C1090" s="1449">
        <v>1325</v>
      </c>
      <c r="D1090" s="1449">
        <v>621</v>
      </c>
      <c r="E1090" s="1449"/>
      <c r="F1090" s="1449"/>
      <c r="G1090" s="1449">
        <v>3529</v>
      </c>
    </row>
    <row r="1091" spans="1:7">
      <c r="A1091" t="s">
        <v>588</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509</v>
      </c>
      <c r="B1093" s="1449">
        <v>2855</v>
      </c>
      <c r="C1093" s="1449">
        <v>3343</v>
      </c>
      <c r="D1093" s="1449">
        <v>931</v>
      </c>
      <c r="E1093" s="1449"/>
      <c r="F1093" s="1449"/>
      <c r="G1093" s="1449">
        <v>7129</v>
      </c>
    </row>
    <row r="1094" spans="1:7">
      <c r="A1094" t="s">
        <v>512</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503</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582</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537</v>
      </c>
      <c r="B1109" s="1449">
        <v>735</v>
      </c>
      <c r="C1109" s="1449"/>
      <c r="D1109" s="1449"/>
      <c r="E1109" s="1449"/>
      <c r="F1109" s="1449"/>
      <c r="G1109" s="1449">
        <v>735</v>
      </c>
    </row>
    <row r="1110" spans="1:7">
      <c r="A1110" t="s">
        <v>466</v>
      </c>
      <c r="B1110" s="1449"/>
      <c r="C1110" s="1449"/>
      <c r="D1110" s="1449"/>
      <c r="E1110" s="1449"/>
      <c r="F1110" s="1449"/>
      <c r="G1110" s="1449"/>
    </row>
    <row r="1111" spans="1:7">
      <c r="A1111" t="s">
        <v>489</v>
      </c>
      <c r="B1111" s="1449"/>
      <c r="C1111" s="1449"/>
      <c r="D1111" s="1449"/>
      <c r="E1111" s="1449"/>
      <c r="F1111" s="1449"/>
      <c r="G1111" s="1449"/>
    </row>
    <row r="1112" spans="1:7">
      <c r="A1112" t="s">
        <v>518</v>
      </c>
      <c r="B1112" s="1449"/>
      <c r="C1112" s="1449"/>
      <c r="D1112" s="1449"/>
      <c r="E1112" s="1449">
        <v>396</v>
      </c>
      <c r="F1112" s="1449"/>
      <c r="G1112" s="1449">
        <v>396</v>
      </c>
    </row>
    <row r="1113" spans="1:7">
      <c r="A1113" t="s">
        <v>491</v>
      </c>
      <c r="B1113" s="1449"/>
      <c r="C1113" s="1449"/>
      <c r="D1113" s="1449"/>
      <c r="E1113" s="1449"/>
      <c r="F1113" s="1449"/>
      <c r="G1113" s="1449"/>
    </row>
    <row r="1114" spans="1:7">
      <c r="A1114" t="s">
        <v>610</v>
      </c>
      <c r="B1114" s="1449"/>
      <c r="C1114" s="1449"/>
      <c r="D1114" s="1449"/>
      <c r="E1114" s="1449"/>
      <c r="F1114" s="1449"/>
      <c r="G1114" s="1449"/>
    </row>
    <row r="1115" spans="1:7">
      <c r="A1115" t="s">
        <v>497</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515</v>
      </c>
      <c r="B1117" s="1449"/>
      <c r="C1117" s="1449"/>
      <c r="D1117" s="1449">
        <v>320</v>
      </c>
      <c r="E1117" s="1449">
        <v>652</v>
      </c>
      <c r="F1117" s="1449">
        <v>780</v>
      </c>
      <c r="G1117" s="1449">
        <v>1752</v>
      </c>
    </row>
    <row r="1118" spans="1:7">
      <c r="A1118" t="s">
        <v>414</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512</v>
      </c>
      <c r="B1121" s="1449"/>
      <c r="C1121" s="1449"/>
      <c r="D1121" s="1449">
        <v>1049</v>
      </c>
      <c r="E1121" s="1449"/>
      <c r="F1121" s="1449"/>
      <c r="G1121" s="1449">
        <v>1049</v>
      </c>
    </row>
    <row r="1122" spans="1:7">
      <c r="A1122" t="s">
        <v>503</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582</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569</v>
      </c>
      <c r="B1127" s="1449">
        <v>1095</v>
      </c>
      <c r="C1127" s="1449">
        <v>1676</v>
      </c>
      <c r="D1127" s="1449">
        <v>1139</v>
      </c>
      <c r="E1127" s="1449"/>
      <c r="F1127" s="1449"/>
      <c r="G1127" s="1449">
        <v>3910</v>
      </c>
    </row>
    <row r="1128" spans="1:7">
      <c r="A1128" t="s">
        <v>585</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506</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618</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515</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585</v>
      </c>
      <c r="B1148" s="1449">
        <v>342</v>
      </c>
      <c r="C1148" s="1449"/>
      <c r="D1148" s="1449"/>
      <c r="E1148" s="1449"/>
      <c r="F1148" s="1449"/>
      <c r="G1148" s="1449">
        <v>342</v>
      </c>
    </row>
    <row r="1149" spans="1:7">
      <c r="A1149" t="s">
        <v>506</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618</v>
      </c>
      <c r="B1152" s="1449">
        <v>380</v>
      </c>
      <c r="C1152" s="1449"/>
      <c r="D1152" s="1449"/>
      <c r="E1152" s="1449"/>
      <c r="F1152" s="1449"/>
      <c r="G1152" s="1449">
        <v>380</v>
      </c>
    </row>
    <row r="1153" spans="1:7">
      <c r="A1153" t="s">
        <v>621</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476</v>
      </c>
      <c r="B1161" s="1449"/>
      <c r="C1161" s="1449"/>
      <c r="D1161" s="1449"/>
      <c r="E1161" s="1449"/>
      <c r="F1161" s="1449"/>
      <c r="G1161" s="1449"/>
    </row>
    <row r="1162" spans="1:7">
      <c r="A1162" t="s">
        <v>478</v>
      </c>
      <c r="B1162" s="1449"/>
      <c r="C1162" s="1449"/>
      <c r="D1162" s="1449"/>
      <c r="E1162" s="1449"/>
      <c r="F1162" s="1449"/>
      <c r="G1162" s="1449"/>
    </row>
    <row r="1163" spans="1:7">
      <c r="A1163" t="s">
        <v>481</v>
      </c>
      <c r="B1163" s="1449"/>
      <c r="C1163" s="1449"/>
      <c r="D1163" s="1449"/>
      <c r="E1163" s="1449"/>
      <c r="F1163" s="1449"/>
      <c r="G1163" s="1449"/>
    </row>
    <row r="1164" spans="1:7">
      <c r="A1164" t="s">
        <v>423</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512</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618</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426</v>
      </c>
      <c r="B1171" s="1449">
        <v>1188</v>
      </c>
      <c r="C1171" s="1449"/>
      <c r="D1171" s="1449"/>
      <c r="E1171" s="1449"/>
      <c r="F1171" s="1449"/>
      <c r="G1171" s="1449">
        <v>1188</v>
      </c>
    </row>
    <row r="1172" spans="1:7">
      <c r="A1172" t="s">
        <v>429</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555</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528</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524</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531</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772148-4F48-45FC-AB64-EE25F208625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2026-01-02T13:18:26Z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