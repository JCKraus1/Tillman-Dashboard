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29" documentId="8_{E14B221E-02E2-46A3-8CEC-C736815F2DD5}" xr6:coauthVersionLast="47" xr6:coauthVersionMax="47" xr10:uidLastSave="{9BF9BD27-AE34-4F05-AD71-CB193B25E92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86" r:id="rId12"/>
    <pivotCache cacheId="887" r:id="rId13"/>
    <pivotCache cacheId="888" r:id="rId14"/>
    <pivotCache cacheId="889" r:id="rId15"/>
    <pivotCache cacheId="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2" l="1"/>
  <c r="Y116" i="2"/>
  <c r="X90" i="2"/>
  <c r="Y90" i="2"/>
  <c r="Y19" i="32"/>
  <c r="X19" i="32"/>
  <c r="Y18" i="32"/>
  <c r="X18" i="32"/>
  <c r="Y31" i="32"/>
  <c r="X31" i="32"/>
  <c r="X26" i="31"/>
  <c r="Y26" i="31"/>
  <c r="X49" i="31"/>
  <c r="Y49" i="31"/>
  <c r="Y45" i="2"/>
  <c r="Y63" i="2"/>
  <c r="X63" i="2"/>
  <c r="Y16" i="31"/>
  <c r="X16" i="31"/>
  <c r="Y8" i="31"/>
  <c r="X8" i="31"/>
  <c r="Y6" i="31"/>
  <c r="X6" i="31"/>
  <c r="Y25" i="31"/>
  <c r="X25" i="31"/>
  <c r="Y24" i="31"/>
  <c r="X24" i="31"/>
  <c r="X129" i="2"/>
  <c r="Y129" i="2"/>
  <c r="X130" i="2"/>
  <c r="Y130" i="2"/>
  <c r="X131" i="2"/>
  <c r="Y131" i="2"/>
  <c r="X132" i="2"/>
  <c r="Y132" i="2"/>
  <c r="X133" i="2"/>
  <c r="Y133"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4" i="2"/>
  <c r="Y134"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<sst xmlns="http://schemas.openxmlformats.org/spreadsheetml/2006/main" count="15231" uniqueCount="1921">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</sst>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 activePane="topRight" state="frozen"/>
      <selection pane="topRight" activeCell="AD24" sqref="AD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91">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AC1" activePane="topRight" state="frozen"/>
      <selection pane="topRight" activeCell="AD50" sqref="AD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225</v>
      </c>
      <c r="G12" s="491" t="s">
        <v>395</v>
      </c>
      <c r="H12" s="492">
        <v>31</v>
      </c>
      <c r="I12" s="498" t="s">
        <v>338</v>
      </c>
      <c r="J12" s="492" t="s">
        <v>63</v>
      </c>
      <c r="K12" s="503"/>
      <c r="L12" s="481">
        <v>45716</v>
      </c>
      <c r="M12" s="492" t="s">
        <v>57</v>
      </c>
      <c r="N12" s="560">
        <v>28777</v>
      </c>
      <c r="O12" s="492" t="s">
        <v>57</v>
      </c>
      <c r="P12" s="643" t="s">
        <v>339</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396</v>
      </c>
      <c r="B13" s="507" t="s">
        <v>224</v>
      </c>
      <c r="C13" s="481">
        <v>45991</v>
      </c>
      <c r="D13" s="489" t="s">
        <v>397</v>
      </c>
      <c r="E13" s="490">
        <v>45716</v>
      </c>
      <c r="F13" s="489" t="s">
        <v>236</v>
      </c>
      <c r="G13" s="491" t="s">
        <v>398</v>
      </c>
      <c r="H13" s="492">
        <v>44</v>
      </c>
      <c r="I13" s="498" t="s">
        <v>338</v>
      </c>
      <c r="J13" s="492" t="s">
        <v>63</v>
      </c>
      <c r="K13" s="492"/>
      <c r="L13" s="490">
        <v>45716</v>
      </c>
      <c r="M13" s="492" t="s">
        <v>57</v>
      </c>
      <c r="N13" s="560">
        <v>57973.5</v>
      </c>
      <c r="O13" s="492" t="s">
        <v>57</v>
      </c>
      <c r="P13" s="643" t="s">
        <v>339</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399</v>
      </c>
      <c r="B14" s="858" t="s">
        <v>224</v>
      </c>
      <c r="C14" s="481">
        <v>45991</v>
      </c>
      <c r="D14" s="489" t="s">
        <v>235</v>
      </c>
      <c r="E14" s="490">
        <v>45880</v>
      </c>
      <c r="F14" s="489" t="s">
        <v>236</v>
      </c>
      <c r="G14" s="850" t="s">
        <v>400</v>
      </c>
      <c r="H14" s="492">
        <v>57</v>
      </c>
      <c r="I14" s="855" t="s">
        <v>338</v>
      </c>
      <c r="J14" s="492" t="s">
        <v>63</v>
      </c>
      <c r="K14" s="503"/>
      <c r="L14" s="490">
        <v>45863</v>
      </c>
      <c r="M14" s="492" t="s">
        <v>57</v>
      </c>
      <c r="N14" s="560">
        <v>49223.7</v>
      </c>
      <c r="O14" s="492" t="s">
        <v>57</v>
      </c>
      <c r="P14" s="643" t="s">
        <v>339</v>
      </c>
      <c r="Q14" s="493">
        <v>45863</v>
      </c>
      <c r="R14" s="493"/>
      <c r="S14" s="493"/>
      <c r="T14" s="493"/>
      <c r="U14" s="493"/>
      <c r="V14" s="486">
        <v>3394</v>
      </c>
      <c r="W14" s="525">
        <v>3394</v>
      </c>
      <c r="X14" s="486">
        <f t="shared" si="4"/>
        <v>0</v>
      </c>
      <c r="Y14" s="682">
        <f t="shared" si="5"/>
        <v>1</v>
      </c>
      <c r="Z14" s="493">
        <v>45916</v>
      </c>
      <c r="AA14" s="366">
        <v>1</v>
      </c>
      <c r="AB14" s="366">
        <v>1</v>
      </c>
      <c r="AC14" s="41">
        <v>0</v>
      </c>
      <c r="AD14" s="173" t="s">
        <v>401</v>
      </c>
    </row>
    <row r="15" spans="1:30" ht="39.75" customHeight="1">
      <c r="A15" s="965" t="s">
        <v>402</v>
      </c>
      <c r="B15" s="858" t="s">
        <v>224</v>
      </c>
      <c r="C15" s="481">
        <v>45991</v>
      </c>
      <c r="D15" s="489" t="s">
        <v>235</v>
      </c>
      <c r="E15" s="490">
        <v>45880</v>
      </c>
      <c r="F15" s="489" t="s">
        <v>236</v>
      </c>
      <c r="G15" s="850" t="s">
        <v>403</v>
      </c>
      <c r="H15" s="492">
        <v>75</v>
      </c>
      <c r="I15" s="855" t="s">
        <v>338</v>
      </c>
      <c r="J15" s="492" t="s">
        <v>63</v>
      </c>
      <c r="K15" s="503"/>
      <c r="L15" s="490">
        <v>45879</v>
      </c>
      <c r="M15" s="492" t="s">
        <v>57</v>
      </c>
      <c r="N15" s="560">
        <v>68151.75</v>
      </c>
      <c r="O15" s="492" t="s">
        <v>57</v>
      </c>
      <c r="P15" s="643" t="s">
        <v>339</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404</v>
      </c>
      <c r="B16" s="858" t="s">
        <v>224</v>
      </c>
      <c r="C16" s="481">
        <v>45960</v>
      </c>
      <c r="D16" s="489" t="s">
        <v>71</v>
      </c>
      <c r="E16" s="490">
        <v>45867</v>
      </c>
      <c r="F16" s="489" t="s">
        <v>225</v>
      </c>
      <c r="G16" s="850" t="s">
        <v>405</v>
      </c>
      <c r="H16" s="492">
        <v>0</v>
      </c>
      <c r="I16" s="855" t="s">
        <v>338</v>
      </c>
      <c r="J16" s="492" t="s">
        <v>63</v>
      </c>
      <c r="K16" s="483"/>
      <c r="L16" s="490"/>
      <c r="M16" s="492" t="s">
        <v>57</v>
      </c>
      <c r="N16" s="560">
        <v>144972.5</v>
      </c>
      <c r="O16" s="492" t="s">
        <v>57</v>
      </c>
      <c r="P16" s="643" t="s">
        <v>339</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406</v>
      </c>
      <c r="B17" s="858" t="s">
        <v>224</v>
      </c>
      <c r="C17" s="481">
        <v>45960</v>
      </c>
      <c r="D17" s="489" t="s">
        <v>245</v>
      </c>
      <c r="E17" s="490">
        <v>45966</v>
      </c>
      <c r="F17" s="489" t="s">
        <v>246</v>
      </c>
      <c r="G17" s="850"/>
      <c r="H17" s="492">
        <v>0</v>
      </c>
      <c r="I17" s="855" t="s">
        <v>338</v>
      </c>
      <c r="J17" s="492" t="s">
        <v>63</v>
      </c>
      <c r="K17" s="503"/>
      <c r="L17" s="490" t="s">
        <v>52</v>
      </c>
      <c r="M17" s="492" t="s">
        <v>57</v>
      </c>
      <c r="N17" s="560">
        <v>29960</v>
      </c>
      <c r="O17" s="492" t="s">
        <v>57</v>
      </c>
      <c r="P17" s="643" t="s">
        <v>339</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407</v>
      </c>
      <c r="B18" s="858" t="s">
        <v>224</v>
      </c>
      <c r="C18" s="481">
        <v>45960</v>
      </c>
      <c r="D18" s="489" t="s">
        <v>245</v>
      </c>
      <c r="E18" s="490">
        <v>45944</v>
      </c>
      <c r="F18" s="489" t="s">
        <v>246</v>
      </c>
      <c r="G18" s="850"/>
      <c r="H18" s="492">
        <v>0</v>
      </c>
      <c r="I18" s="855" t="s">
        <v>338</v>
      </c>
      <c r="J18" s="492" t="s">
        <v>63</v>
      </c>
      <c r="K18" s="503"/>
      <c r="L18" s="490" t="s">
        <v>52</v>
      </c>
      <c r="M18" s="492" t="s">
        <v>57</v>
      </c>
      <c r="N18" s="560">
        <v>50539.6</v>
      </c>
      <c r="O18" s="492" t="s">
        <v>57</v>
      </c>
      <c r="P18" s="643" t="s">
        <v>339</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408</v>
      </c>
    </row>
    <row r="19" spans="1:30" ht="39.75" customHeight="1">
      <c r="A19" s="965" t="s">
        <v>409</v>
      </c>
      <c r="B19" s="858" t="s">
        <v>224</v>
      </c>
      <c r="C19" s="481" t="s">
        <v>410</v>
      </c>
      <c r="D19" s="489" t="s">
        <v>71</v>
      </c>
      <c r="E19" s="490">
        <v>45964</v>
      </c>
      <c r="F19" s="489" t="s">
        <v>411</v>
      </c>
      <c r="G19" s="850"/>
      <c r="H19" s="492">
        <v>0</v>
      </c>
      <c r="I19" s="483" t="s">
        <v>338</v>
      </c>
      <c r="J19" s="492" t="s">
        <v>63</v>
      </c>
      <c r="K19" s="483"/>
      <c r="L19" s="490" t="s">
        <v>52</v>
      </c>
      <c r="M19" s="492" t="s">
        <v>57</v>
      </c>
      <c r="N19" s="560">
        <v>2670.65</v>
      </c>
      <c r="O19" s="492" t="s">
        <v>57</v>
      </c>
      <c r="P19" s="643" t="s">
        <v>339</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412</v>
      </c>
      <c r="B20" s="507" t="s">
        <v>296</v>
      </c>
      <c r="C20" s="481">
        <v>46053</v>
      </c>
      <c r="D20" s="489" t="s">
        <v>245</v>
      </c>
      <c r="E20" s="490">
        <v>45964</v>
      </c>
      <c r="F20" s="489" t="s">
        <v>236</v>
      </c>
      <c r="G20" s="491"/>
      <c r="H20" s="492">
        <v>82</v>
      </c>
      <c r="I20" s="855" t="s">
        <v>338</v>
      </c>
      <c r="J20" s="492" t="s">
        <v>63</v>
      </c>
      <c r="K20" s="483"/>
      <c r="L20" s="490" t="s">
        <v>52</v>
      </c>
      <c r="M20" s="492" t="s">
        <v>57</v>
      </c>
      <c r="N20" s="560">
        <v>101871</v>
      </c>
      <c r="O20" s="492" t="s">
        <v>57</v>
      </c>
      <c r="P20" s="643" t="s">
        <v>339</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413</v>
      </c>
      <c r="B21" s="479" t="s">
        <v>114</v>
      </c>
      <c r="C21" s="481">
        <v>45868</v>
      </c>
      <c r="D21" s="481" t="s">
        <v>71</v>
      </c>
      <c r="E21" s="481">
        <v>45793</v>
      </c>
      <c r="F21" s="504" t="s">
        <v>115</v>
      </c>
      <c r="G21" s="1059" t="s">
        <v>414</v>
      </c>
      <c r="H21" s="483">
        <v>0</v>
      </c>
      <c r="I21" s="483" t="s">
        <v>338</v>
      </c>
      <c r="J21" s="483" t="s">
        <v>63</v>
      </c>
      <c r="K21" s="978"/>
      <c r="L21" s="481">
        <v>45793</v>
      </c>
      <c r="M21" s="483" t="s">
        <v>57</v>
      </c>
      <c r="N21" s="559">
        <v>53589.8</v>
      </c>
      <c r="O21" s="483" t="s">
        <v>57</v>
      </c>
      <c r="P21" s="643" t="s">
        <v>339</v>
      </c>
      <c r="Q21" s="485">
        <v>45793</v>
      </c>
      <c r="R21" s="485" t="s">
        <v>415</v>
      </c>
      <c r="S21" s="485"/>
      <c r="T21" s="485"/>
      <c r="U21" s="485">
        <v>45917</v>
      </c>
      <c r="V21" s="486">
        <v>8305</v>
      </c>
      <c r="W21" s="644">
        <v>8818</v>
      </c>
      <c r="X21" s="107">
        <f t="shared" si="8"/>
        <v>-513</v>
      </c>
      <c r="Y21" s="22">
        <f t="shared" si="9"/>
        <v>1.0617700180614087</v>
      </c>
      <c r="Z21" s="672">
        <v>45810</v>
      </c>
      <c r="AA21" s="366">
        <v>1</v>
      </c>
      <c r="AB21" s="366">
        <v>1</v>
      </c>
      <c r="AC21" s="662">
        <v>0</v>
      </c>
      <c r="AD21" s="427" t="s">
        <v>416</v>
      </c>
    </row>
    <row r="22" spans="1:30" ht="39.75" customHeight="1">
      <c r="A22" s="965" t="s">
        <v>417</v>
      </c>
      <c r="B22" s="479" t="s">
        <v>114</v>
      </c>
      <c r="C22" s="490">
        <v>45976</v>
      </c>
      <c r="D22" s="481" t="s">
        <v>159</v>
      </c>
      <c r="E22" s="481">
        <v>45959</v>
      </c>
      <c r="F22" s="479" t="s">
        <v>150</v>
      </c>
      <c r="G22" s="702"/>
      <c r="H22" s="483">
        <v>61</v>
      </c>
      <c r="I22" s="681" t="s">
        <v>338</v>
      </c>
      <c r="J22" s="483" t="s">
        <v>63</v>
      </c>
      <c r="K22" s="483"/>
      <c r="L22" s="481">
        <v>45962</v>
      </c>
      <c r="M22" s="483" t="s">
        <v>57</v>
      </c>
      <c r="N22" s="559">
        <v>35050</v>
      </c>
      <c r="O22" s="483" t="s">
        <v>57</v>
      </c>
      <c r="P22" s="643" t="s">
        <v>339</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418</v>
      </c>
    </row>
    <row r="23" spans="1:30" ht="39.75" customHeight="1">
      <c r="A23" s="965" t="s">
        <v>419</v>
      </c>
      <c r="B23" s="479" t="s">
        <v>114</v>
      </c>
      <c r="C23" s="490">
        <v>45976</v>
      </c>
      <c r="D23" s="481" t="s">
        <v>159</v>
      </c>
      <c r="E23" s="481">
        <v>45959</v>
      </c>
      <c r="F23" s="479" t="s">
        <v>165</v>
      </c>
      <c r="G23" s="702"/>
      <c r="H23" s="483">
        <v>69</v>
      </c>
      <c r="I23" s="681" t="s">
        <v>338</v>
      </c>
      <c r="J23" s="483" t="s">
        <v>63</v>
      </c>
      <c r="K23" s="483"/>
      <c r="L23" s="481">
        <v>45962</v>
      </c>
      <c r="M23" s="483" t="s">
        <v>57</v>
      </c>
      <c r="N23" s="559">
        <v>37418</v>
      </c>
      <c r="O23" s="483" t="s">
        <v>57</v>
      </c>
      <c r="P23" s="643" t="s">
        <v>339</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420</v>
      </c>
    </row>
    <row r="24" spans="1:30" ht="39.75" customHeight="1">
      <c r="A24" s="965" t="s">
        <v>421</v>
      </c>
      <c r="B24" s="479" t="s">
        <v>114</v>
      </c>
      <c r="C24" s="481">
        <v>45991</v>
      </c>
      <c r="D24" s="481" t="s">
        <v>159</v>
      </c>
      <c r="E24" s="481">
        <v>45966</v>
      </c>
      <c r="F24" s="479" t="s">
        <v>115</v>
      </c>
      <c r="G24" s="482" t="s">
        <v>422</v>
      </c>
      <c r="H24" s="483">
        <v>69</v>
      </c>
      <c r="I24" s="681" t="s">
        <v>338</v>
      </c>
      <c r="J24" s="483" t="s">
        <v>63</v>
      </c>
      <c r="K24" s="483"/>
      <c r="L24" s="481">
        <v>45969</v>
      </c>
      <c r="M24" s="483" t="s">
        <v>57</v>
      </c>
      <c r="N24" s="559">
        <v>75672.100000000006</v>
      </c>
      <c r="O24" s="483" t="s">
        <v>57</v>
      </c>
      <c r="P24" s="643" t="s">
        <v>339</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423</v>
      </c>
    </row>
    <row r="25" spans="1:30" ht="39.75" customHeight="1">
      <c r="A25" s="965" t="s">
        <v>424</v>
      </c>
      <c r="B25" s="479" t="s">
        <v>114</v>
      </c>
      <c r="C25" s="481">
        <v>45991</v>
      </c>
      <c r="D25" s="481" t="s">
        <v>159</v>
      </c>
      <c r="E25" s="481">
        <v>45966</v>
      </c>
      <c r="F25" s="479" t="s">
        <v>115</v>
      </c>
      <c r="G25" s="702" t="s">
        <v>425</v>
      </c>
      <c r="H25" s="483">
        <v>83</v>
      </c>
      <c r="I25" s="681" t="s">
        <v>338</v>
      </c>
      <c r="J25" s="483" t="s">
        <v>63</v>
      </c>
      <c r="K25" s="483"/>
      <c r="L25" s="481">
        <v>45969</v>
      </c>
      <c r="M25" s="483" t="s">
        <v>57</v>
      </c>
      <c r="N25" s="559">
        <v>66402</v>
      </c>
      <c r="O25" s="483" t="s">
        <v>57</v>
      </c>
      <c r="P25" s="643" t="s">
        <v>339</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426</v>
      </c>
    </row>
    <row r="26" spans="1:30" ht="39.75" customHeight="1">
      <c r="A26" s="965" t="s">
        <v>427</v>
      </c>
      <c r="B26" s="479" t="s">
        <v>114</v>
      </c>
      <c r="C26" s="481">
        <v>45975</v>
      </c>
      <c r="D26" s="481" t="s">
        <v>168</v>
      </c>
      <c r="E26" s="481">
        <v>45982</v>
      </c>
      <c r="F26" s="659" t="s">
        <v>115</v>
      </c>
      <c r="G26" s="702" t="s">
        <v>428</v>
      </c>
      <c r="H26" s="483">
        <v>0</v>
      </c>
      <c r="I26" s="483" t="s">
        <v>338</v>
      </c>
      <c r="J26" s="483" t="s">
        <v>63</v>
      </c>
      <c r="K26" s="483"/>
      <c r="L26" s="481">
        <v>45968</v>
      </c>
      <c r="M26" s="483" t="s">
        <v>57</v>
      </c>
      <c r="N26" s="559">
        <v>12840.7</v>
      </c>
      <c r="O26" s="483" t="s">
        <v>57</v>
      </c>
      <c r="P26" s="643" t="s">
        <v>339</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429</v>
      </c>
    </row>
    <row r="27" spans="1:30" ht="39.75" customHeight="1">
      <c r="A27" s="965" t="s">
        <v>430</v>
      </c>
      <c r="B27" s="479" t="s">
        <v>114</v>
      </c>
      <c r="C27" s="490">
        <v>45991</v>
      </c>
      <c r="D27" s="481" t="s">
        <v>212</v>
      </c>
      <c r="E27" s="481">
        <v>45953</v>
      </c>
      <c r="F27" s="479" t="s">
        <v>150</v>
      </c>
      <c r="G27" s="702" t="s">
        <v>431</v>
      </c>
      <c r="H27" s="483">
        <v>0</v>
      </c>
      <c r="I27" s="483" t="s">
        <v>338</v>
      </c>
      <c r="J27" s="483" t="s">
        <v>63</v>
      </c>
      <c r="K27" s="483"/>
      <c r="L27" s="481" t="s">
        <v>175</v>
      </c>
      <c r="M27" s="483" t="s">
        <v>57</v>
      </c>
      <c r="N27" s="559">
        <v>51970</v>
      </c>
      <c r="O27" s="483" t="s">
        <v>57</v>
      </c>
      <c r="P27" s="643" t="s">
        <v>339</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432</v>
      </c>
    </row>
    <row r="28" spans="1:30" ht="39.75" customHeight="1">
      <c r="A28" s="965" t="s">
        <v>433</v>
      </c>
      <c r="B28" s="479" t="s">
        <v>114</v>
      </c>
      <c r="C28" s="504">
        <v>45838</v>
      </c>
      <c r="D28" s="504" t="s">
        <v>159</v>
      </c>
      <c r="E28" s="490">
        <v>45786</v>
      </c>
      <c r="F28" s="504" t="s">
        <v>140</v>
      </c>
      <c r="G28" s="976" t="s">
        <v>434</v>
      </c>
      <c r="H28" s="483">
        <v>0</v>
      </c>
      <c r="I28" s="484" t="s">
        <v>338</v>
      </c>
      <c r="J28" s="483" t="s">
        <v>63</v>
      </c>
      <c r="K28" s="483"/>
      <c r="L28" s="481">
        <v>45790</v>
      </c>
      <c r="M28" s="483" t="s">
        <v>57</v>
      </c>
      <c r="N28" s="559">
        <v>63283</v>
      </c>
      <c r="O28" s="483" t="s">
        <v>57</v>
      </c>
      <c r="P28" s="643" t="s">
        <v>339</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435</v>
      </c>
    </row>
    <row r="29" spans="1:30" ht="39.75" customHeight="1">
      <c r="A29" s="965" t="s">
        <v>436</v>
      </c>
      <c r="B29" s="701" t="s">
        <v>114</v>
      </c>
      <c r="C29" s="490">
        <v>45991</v>
      </c>
      <c r="D29" s="479" t="s">
        <v>437</v>
      </c>
      <c r="E29" s="481">
        <v>45936</v>
      </c>
      <c r="F29" s="479" t="s">
        <v>115</v>
      </c>
      <c r="G29" s="702"/>
      <c r="H29" s="483">
        <v>0</v>
      </c>
      <c r="I29" s="483" t="s">
        <v>338</v>
      </c>
      <c r="J29" s="483" t="s">
        <v>63</v>
      </c>
      <c r="K29" s="483"/>
      <c r="L29" s="481" t="s">
        <v>175</v>
      </c>
      <c r="M29" s="483" t="s">
        <v>57</v>
      </c>
      <c r="N29" s="559">
        <v>74164.05</v>
      </c>
      <c r="O29" s="483" t="s">
        <v>57</v>
      </c>
      <c r="P29" s="1134" t="s">
        <v>339</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438</v>
      </c>
    </row>
    <row r="30" spans="1:30" ht="39.75" customHeight="1">
      <c r="A30" s="965" t="s">
        <v>439</v>
      </c>
      <c r="B30" s="701" t="s">
        <v>114</v>
      </c>
      <c r="C30" s="490">
        <v>45991</v>
      </c>
      <c r="D30" s="481" t="s">
        <v>212</v>
      </c>
      <c r="E30" s="481">
        <v>45961</v>
      </c>
      <c r="F30" s="479" t="s">
        <v>115</v>
      </c>
      <c r="G30" s="702"/>
      <c r="H30" s="483">
        <v>0</v>
      </c>
      <c r="I30" s="483" t="s">
        <v>338</v>
      </c>
      <c r="J30" s="483" t="s">
        <v>63</v>
      </c>
      <c r="K30" s="483"/>
      <c r="L30" s="481" t="s">
        <v>175</v>
      </c>
      <c r="M30" s="483" t="s">
        <v>57</v>
      </c>
      <c r="N30" s="559">
        <v>39221.800000000003</v>
      </c>
      <c r="O30" s="483" t="s">
        <v>57</v>
      </c>
      <c r="P30" s="1133" t="s">
        <v>339</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440</v>
      </c>
    </row>
    <row r="31" spans="1:30" ht="39.75" customHeight="1">
      <c r="A31" s="965" t="s">
        <v>441</v>
      </c>
      <c r="B31" s="479" t="s">
        <v>114</v>
      </c>
      <c r="C31" s="490">
        <v>45960</v>
      </c>
      <c r="D31" s="481" t="s">
        <v>219</v>
      </c>
      <c r="E31" s="481">
        <v>45939</v>
      </c>
      <c r="F31" s="479" t="s">
        <v>140</v>
      </c>
      <c r="G31" s="702"/>
      <c r="H31" s="483">
        <v>385</v>
      </c>
      <c r="I31" s="681" t="s">
        <v>338</v>
      </c>
      <c r="J31" s="483" t="s">
        <v>56</v>
      </c>
      <c r="K31" s="483"/>
      <c r="L31" s="481">
        <v>45937</v>
      </c>
      <c r="M31" s="483" t="s">
        <v>57</v>
      </c>
      <c r="N31" s="559">
        <v>210533.1</v>
      </c>
      <c r="O31" s="483" t="s">
        <v>57</v>
      </c>
      <c r="P31" s="643" t="s">
        <v>339</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442</v>
      </c>
    </row>
    <row r="32" spans="1:30" ht="39.75" customHeight="1">
      <c r="A32" s="965" t="s">
        <v>443</v>
      </c>
      <c r="B32" s="479" t="s">
        <v>114</v>
      </c>
      <c r="C32" s="481">
        <v>46017</v>
      </c>
      <c r="D32" s="481" t="s">
        <v>216</v>
      </c>
      <c r="E32" s="481">
        <v>45936</v>
      </c>
      <c r="F32" s="479" t="s">
        <v>115</v>
      </c>
      <c r="G32" s="482"/>
      <c r="H32" s="483">
        <v>157</v>
      </c>
      <c r="I32" s="681" t="s">
        <v>338</v>
      </c>
      <c r="J32" s="483" t="s">
        <v>56</v>
      </c>
      <c r="K32" s="483"/>
      <c r="L32" s="481">
        <v>45943</v>
      </c>
      <c r="M32" s="483" t="s">
        <v>57</v>
      </c>
      <c r="N32" s="559">
        <v>64059.5</v>
      </c>
      <c r="O32" s="483" t="s">
        <v>57</v>
      </c>
      <c r="P32" s="643" t="s">
        <v>339</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444</v>
      </c>
    </row>
    <row r="33" spans="1:30" ht="39.75" customHeight="1">
      <c r="A33" s="1159" t="s">
        <v>445</v>
      </c>
      <c r="B33" s="1033" t="s">
        <v>324</v>
      </c>
      <c r="C33" s="481">
        <v>46045</v>
      </c>
      <c r="D33" s="659" t="s">
        <v>159</v>
      </c>
      <c r="E33" s="481"/>
      <c r="F33" s="479"/>
      <c r="G33" s="482"/>
      <c r="H33" s="1147">
        <v>77</v>
      </c>
      <c r="I33" s="855" t="s">
        <v>338</v>
      </c>
      <c r="J33" s="492" t="s">
        <v>63</v>
      </c>
      <c r="K33" s="1148"/>
      <c r="L33" s="481"/>
      <c r="M33" s="492" t="s">
        <v>57</v>
      </c>
      <c r="N33" s="1149">
        <v>4046.5</v>
      </c>
      <c r="O33" s="492" t="s">
        <v>57</v>
      </c>
      <c r="P33" s="643" t="s">
        <v>339</v>
      </c>
      <c r="Q33" s="485"/>
      <c r="R33" s="569"/>
      <c r="S33" s="569"/>
      <c r="T33" s="569"/>
      <c r="U33" s="569"/>
      <c r="V33" s="1153">
        <v>5136</v>
      </c>
      <c r="W33" s="644">
        <v>5136</v>
      </c>
      <c r="X33" s="1073">
        <f t="shared" si="12"/>
        <v>0</v>
      </c>
      <c r="Y33" s="71">
        <f t="shared" si="13"/>
        <v>1</v>
      </c>
      <c r="Z33" s="672">
        <v>45964</v>
      </c>
      <c r="AA33" s="366">
        <v>1</v>
      </c>
      <c r="AB33" s="366">
        <v>0</v>
      </c>
      <c r="AC33" s="41">
        <v>0</v>
      </c>
      <c r="AD33" s="908" t="s">
        <v>446</v>
      </c>
    </row>
    <row r="34" spans="1:30" ht="39.75" customHeight="1">
      <c r="A34" s="1144" t="s">
        <v>447</v>
      </c>
      <c r="B34" s="1033" t="s">
        <v>324</v>
      </c>
      <c r="C34" s="481">
        <v>46045</v>
      </c>
      <c r="D34" s="659" t="s">
        <v>159</v>
      </c>
      <c r="E34" s="481"/>
      <c r="F34" s="479"/>
      <c r="G34" s="482"/>
      <c r="H34" s="1147">
        <v>85</v>
      </c>
      <c r="I34" s="855" t="s">
        <v>338</v>
      </c>
      <c r="J34" s="492" t="s">
        <v>63</v>
      </c>
      <c r="K34" s="1148"/>
      <c r="L34" s="481"/>
      <c r="M34" s="492" t="s">
        <v>57</v>
      </c>
      <c r="N34" s="1149">
        <v>29180.45</v>
      </c>
      <c r="O34" s="492" t="s">
        <v>57</v>
      </c>
      <c r="P34" s="643" t="s">
        <v>339</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448</v>
      </c>
    </row>
    <row r="35" spans="1:30" ht="39.75" customHeight="1">
      <c r="A35" s="1160" t="s">
        <v>449</v>
      </c>
      <c r="B35" s="1033" t="s">
        <v>324</v>
      </c>
      <c r="C35" s="481">
        <v>46045</v>
      </c>
      <c r="D35" s="659" t="s">
        <v>159</v>
      </c>
      <c r="E35" s="481"/>
      <c r="F35" s="479"/>
      <c r="G35" s="482"/>
      <c r="H35" s="1147">
        <v>62</v>
      </c>
      <c r="I35" s="855" t="s">
        <v>338</v>
      </c>
      <c r="J35" s="492" t="s">
        <v>63</v>
      </c>
      <c r="K35" s="1148"/>
      <c r="L35" s="481"/>
      <c r="M35" s="492" t="s">
        <v>57</v>
      </c>
      <c r="N35" s="1149">
        <v>170</v>
      </c>
      <c r="O35" s="492" t="s">
        <v>57</v>
      </c>
      <c r="P35" s="732" t="s">
        <v>339</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450</v>
      </c>
    </row>
    <row r="36" spans="1:30" ht="39.75" customHeight="1">
      <c r="A36" s="1144" t="s">
        <v>451</v>
      </c>
      <c r="B36" s="1033" t="s">
        <v>324</v>
      </c>
      <c r="C36" s="481">
        <v>46045</v>
      </c>
      <c r="D36" s="659" t="s">
        <v>159</v>
      </c>
      <c r="E36" s="481"/>
      <c r="F36" s="479" t="s">
        <v>325</v>
      </c>
      <c r="G36" s="482"/>
      <c r="H36" s="1147">
        <v>80</v>
      </c>
      <c r="I36" s="855" t="s">
        <v>338</v>
      </c>
      <c r="J36" s="492" t="s">
        <v>63</v>
      </c>
      <c r="K36" s="1148"/>
      <c r="L36" s="481"/>
      <c r="M36" s="492" t="s">
        <v>57</v>
      </c>
      <c r="N36" s="1149">
        <v>170</v>
      </c>
      <c r="O36" s="492" t="s">
        <v>57</v>
      </c>
      <c r="P36" s="1017" t="s">
        <v>339</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452</v>
      </c>
    </row>
    <row r="37" spans="1:30" ht="39.75" customHeight="1">
      <c r="A37" s="1144" t="s">
        <v>453</v>
      </c>
      <c r="B37" s="1033" t="s">
        <v>324</v>
      </c>
      <c r="C37" s="481">
        <v>46045</v>
      </c>
      <c r="D37" s="659" t="s">
        <v>159</v>
      </c>
      <c r="E37" s="481"/>
      <c r="F37" s="479" t="s">
        <v>325</v>
      </c>
      <c r="G37" s="482"/>
      <c r="H37" s="1147">
        <v>89</v>
      </c>
      <c r="I37" s="855" t="s">
        <v>338</v>
      </c>
      <c r="J37" s="492" t="s">
        <v>63</v>
      </c>
      <c r="K37" s="1148"/>
      <c r="L37" s="481"/>
      <c r="M37" s="492" t="s">
        <v>57</v>
      </c>
      <c r="N37" s="1149">
        <v>26696</v>
      </c>
      <c r="O37" s="492" t="s">
        <v>57</v>
      </c>
      <c r="P37" s="643" t="s">
        <v>339</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454</v>
      </c>
    </row>
    <row r="38" spans="1:30" ht="39.75" customHeight="1">
      <c r="A38" s="1144" t="s">
        <v>455</v>
      </c>
      <c r="B38" s="1033" t="s">
        <v>324</v>
      </c>
      <c r="C38" s="481">
        <v>46045</v>
      </c>
      <c r="D38" s="659" t="s">
        <v>159</v>
      </c>
      <c r="E38" s="481">
        <v>45959</v>
      </c>
      <c r="F38" s="479" t="s">
        <v>325</v>
      </c>
      <c r="G38" s="482" t="s">
        <v>456</v>
      </c>
      <c r="H38" s="1147">
        <v>78</v>
      </c>
      <c r="I38" s="855" t="s">
        <v>338</v>
      </c>
      <c r="J38" s="492" t="s">
        <v>63</v>
      </c>
      <c r="K38" s="1148"/>
      <c r="L38" s="481">
        <v>45964</v>
      </c>
      <c r="M38" s="492" t="s">
        <v>57</v>
      </c>
      <c r="N38" s="1149">
        <v>170</v>
      </c>
      <c r="O38" s="492" t="s">
        <v>57</v>
      </c>
      <c r="P38" s="643" t="s">
        <v>339</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457</v>
      </c>
    </row>
    <row r="39" spans="1:30" ht="39.75" customHeight="1">
      <c r="A39" s="1143" t="s">
        <v>458</v>
      </c>
      <c r="B39" s="464" t="s">
        <v>324</v>
      </c>
      <c r="C39" s="386">
        <v>46045</v>
      </c>
      <c r="D39" s="1026" t="s">
        <v>159</v>
      </c>
      <c r="E39" s="386"/>
      <c r="F39" s="385"/>
      <c r="G39" s="654"/>
      <c r="H39" s="1139">
        <v>80</v>
      </c>
      <c r="I39" s="1030" t="s">
        <v>338</v>
      </c>
      <c r="J39" s="1031" t="s">
        <v>63</v>
      </c>
      <c r="K39" s="1071"/>
      <c r="L39" s="386"/>
      <c r="M39" s="1031" t="s">
        <v>57</v>
      </c>
      <c r="N39" s="1140">
        <v>25891</v>
      </c>
      <c r="O39" s="52" t="s">
        <v>57</v>
      </c>
      <c r="P39" s="1142" t="s">
        <v>339</v>
      </c>
      <c r="Q39" s="125"/>
      <c r="R39" s="670"/>
      <c r="S39" s="670"/>
      <c r="T39" s="670"/>
      <c r="U39" s="670"/>
      <c r="V39" s="1073">
        <v>5254</v>
      </c>
      <c r="W39" s="1074">
        <v>5254</v>
      </c>
      <c r="X39" s="1073">
        <f t="shared" si="12"/>
        <v>0</v>
      </c>
      <c r="Y39" s="901">
        <f t="shared" si="13"/>
        <v>1</v>
      </c>
      <c r="Z39" s="125">
        <v>45964</v>
      </c>
      <c r="AA39" s="366">
        <v>1</v>
      </c>
      <c r="AB39" s="366">
        <v>0</v>
      </c>
      <c r="AC39" s="41">
        <v>0</v>
      </c>
      <c r="AD39" s="450" t="s">
        <v>450</v>
      </c>
    </row>
    <row r="40" spans="1:30" ht="39.75" customHeight="1">
      <c r="A40" s="1143" t="s">
        <v>459</v>
      </c>
      <c r="B40" s="464" t="s">
        <v>324</v>
      </c>
      <c r="C40" s="386">
        <v>46045</v>
      </c>
      <c r="D40" s="1026" t="s">
        <v>159</v>
      </c>
      <c r="E40" s="386"/>
      <c r="F40" s="385"/>
      <c r="G40" s="654"/>
      <c r="H40" s="1139">
        <v>83</v>
      </c>
      <c r="I40" s="1030" t="s">
        <v>338</v>
      </c>
      <c r="J40" s="1031" t="s">
        <v>63</v>
      </c>
      <c r="K40" s="1071"/>
      <c r="L40" s="386"/>
      <c r="M40" s="1031" t="s">
        <v>57</v>
      </c>
      <c r="N40" s="1140">
        <v>170</v>
      </c>
      <c r="O40" s="52" t="s">
        <v>57</v>
      </c>
      <c r="P40" s="1142" t="s">
        <v>339</v>
      </c>
      <c r="Q40" s="125"/>
      <c r="R40" s="670"/>
      <c r="S40" s="670"/>
      <c r="T40" s="670"/>
      <c r="U40" s="670"/>
      <c r="V40" s="1073">
        <v>5947</v>
      </c>
      <c r="W40" s="1074">
        <v>5947</v>
      </c>
      <c r="X40" s="1073">
        <f t="shared" si="12"/>
        <v>0</v>
      </c>
      <c r="Y40" s="901">
        <f t="shared" si="13"/>
        <v>1</v>
      </c>
      <c r="Z40" s="125">
        <v>45964</v>
      </c>
      <c r="AA40" s="366">
        <v>1</v>
      </c>
      <c r="AB40" s="366">
        <v>0</v>
      </c>
      <c r="AC40" s="41">
        <v>0</v>
      </c>
      <c r="AD40" s="450" t="s">
        <v>460</v>
      </c>
    </row>
    <row r="41" spans="1:30" ht="39.75" customHeight="1">
      <c r="A41" s="1143" t="s">
        <v>461</v>
      </c>
      <c r="B41" s="464" t="s">
        <v>324</v>
      </c>
      <c r="C41" s="386">
        <v>46045</v>
      </c>
      <c r="D41" s="1026" t="s">
        <v>159</v>
      </c>
      <c r="E41" s="386"/>
      <c r="F41" s="385"/>
      <c r="G41" s="654"/>
      <c r="H41" s="1139">
        <v>85</v>
      </c>
      <c r="I41" s="1030" t="s">
        <v>338</v>
      </c>
      <c r="J41" s="1031" t="s">
        <v>63</v>
      </c>
      <c r="K41" s="1071"/>
      <c r="L41" s="386"/>
      <c r="M41" s="1031" t="s">
        <v>57</v>
      </c>
      <c r="N41" s="1140">
        <v>30788</v>
      </c>
      <c r="O41" s="52" t="s">
        <v>57</v>
      </c>
      <c r="P41" s="1142" t="s">
        <v>339</v>
      </c>
      <c r="Q41" s="125"/>
      <c r="R41" s="670"/>
      <c r="S41" s="670"/>
      <c r="T41" s="670"/>
      <c r="U41" s="670"/>
      <c r="V41" s="1073">
        <v>5599</v>
      </c>
      <c r="W41" s="1074">
        <v>5599</v>
      </c>
      <c r="X41" s="1073">
        <f t="shared" si="12"/>
        <v>0</v>
      </c>
      <c r="Y41" s="901">
        <f t="shared" si="13"/>
        <v>1</v>
      </c>
      <c r="Z41" s="125">
        <v>45964</v>
      </c>
      <c r="AA41" s="366">
        <v>1</v>
      </c>
      <c r="AB41" s="618">
        <v>0</v>
      </c>
      <c r="AC41" s="1032">
        <v>0</v>
      </c>
      <c r="AD41" s="450" t="s">
        <v>462</v>
      </c>
    </row>
    <row r="42" spans="1:30" ht="39.75" customHeight="1">
      <c r="A42" s="1143" t="s">
        <v>463</v>
      </c>
      <c r="B42" s="464" t="s">
        <v>324</v>
      </c>
      <c r="C42" s="386">
        <v>46045</v>
      </c>
      <c r="D42" s="1026" t="s">
        <v>159</v>
      </c>
      <c r="E42" s="386"/>
      <c r="F42" s="385"/>
      <c r="G42" s="654"/>
      <c r="H42" s="1139">
        <v>88</v>
      </c>
      <c r="I42" s="1030" t="s">
        <v>338</v>
      </c>
      <c r="J42" s="1031" t="s">
        <v>63</v>
      </c>
      <c r="K42" s="1071"/>
      <c r="L42" s="386"/>
      <c r="M42" s="1031" t="s">
        <v>57</v>
      </c>
      <c r="N42" s="1140">
        <v>5668</v>
      </c>
      <c r="O42" s="52" t="s">
        <v>57</v>
      </c>
      <c r="P42" s="1142" t="s">
        <v>339</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450</v>
      </c>
    </row>
    <row r="43" spans="1:30" ht="39.75" customHeight="1">
      <c r="A43" s="1143" t="s">
        <v>464</v>
      </c>
      <c r="B43" s="464" t="s">
        <v>324</v>
      </c>
      <c r="C43" s="386">
        <v>46045</v>
      </c>
      <c r="D43" s="1026" t="s">
        <v>159</v>
      </c>
      <c r="E43" s="386"/>
      <c r="F43" s="385"/>
      <c r="G43" s="654"/>
      <c r="H43" s="1139">
        <v>30</v>
      </c>
      <c r="I43" s="1030" t="s">
        <v>338</v>
      </c>
      <c r="J43" s="1031" t="s">
        <v>63</v>
      </c>
      <c r="K43" s="1071"/>
      <c r="L43" s="386"/>
      <c r="M43" s="1031" t="s">
        <v>57</v>
      </c>
      <c r="N43" s="1140">
        <v>170</v>
      </c>
      <c r="O43" s="52" t="s">
        <v>57</v>
      </c>
      <c r="P43" s="1142" t="s">
        <v>339</v>
      </c>
      <c r="Q43" s="125"/>
      <c r="R43" s="670"/>
      <c r="S43" s="670"/>
      <c r="T43" s="670"/>
      <c r="U43" s="670"/>
      <c r="V43" s="1073">
        <v>2136</v>
      </c>
      <c r="W43" s="1074">
        <v>2136</v>
      </c>
      <c r="X43" s="1073">
        <f t="shared" si="12"/>
        <v>0</v>
      </c>
      <c r="Y43" s="901">
        <f t="shared" si="13"/>
        <v>1</v>
      </c>
      <c r="Z43" s="125">
        <v>45964</v>
      </c>
      <c r="AA43" s="366">
        <v>1</v>
      </c>
      <c r="AB43" s="366">
        <v>0</v>
      </c>
      <c r="AC43" s="41">
        <v>0</v>
      </c>
      <c r="AD43" s="450" t="s">
        <v>450</v>
      </c>
    </row>
    <row r="44" spans="1:30" ht="39.75" customHeight="1">
      <c r="A44" s="1143" t="s">
        <v>465</v>
      </c>
      <c r="B44" s="464" t="s">
        <v>324</v>
      </c>
      <c r="C44" s="386">
        <v>46045</v>
      </c>
      <c r="D44" s="1026" t="s">
        <v>159</v>
      </c>
      <c r="E44" s="386">
        <v>45959</v>
      </c>
      <c r="F44" s="385" t="s">
        <v>140</v>
      </c>
      <c r="G44" s="654"/>
      <c r="H44" s="387">
        <v>89</v>
      </c>
      <c r="I44" s="1030" t="s">
        <v>338</v>
      </c>
      <c r="J44" s="1031" t="s">
        <v>63</v>
      </c>
      <c r="K44" s="667"/>
      <c r="L44" s="51">
        <v>45964</v>
      </c>
      <c r="M44" s="52" t="s">
        <v>57</v>
      </c>
      <c r="N44" s="866">
        <v>84750.5</v>
      </c>
      <c r="O44" s="52" t="s">
        <v>57</v>
      </c>
      <c r="P44" s="1142" t="s">
        <v>339</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466</v>
      </c>
    </row>
    <row r="45" spans="1:30" ht="39.75" customHeight="1">
      <c r="A45" s="1143" t="s">
        <v>467</v>
      </c>
      <c r="B45" s="464" t="s">
        <v>324</v>
      </c>
      <c r="C45" s="386">
        <v>46045</v>
      </c>
      <c r="D45" s="1026" t="s">
        <v>159</v>
      </c>
      <c r="E45" s="386">
        <v>45959</v>
      </c>
      <c r="F45" s="385" t="s">
        <v>140</v>
      </c>
      <c r="G45" s="654"/>
      <c r="H45" s="387">
        <v>88</v>
      </c>
      <c r="I45" s="1030" t="s">
        <v>338</v>
      </c>
      <c r="J45" s="1031" t="s">
        <v>63</v>
      </c>
      <c r="K45" s="667"/>
      <c r="L45" s="51">
        <v>45961</v>
      </c>
      <c r="M45" s="52" t="s">
        <v>57</v>
      </c>
      <c r="N45" s="866">
        <v>88231.9</v>
      </c>
      <c r="O45" s="52" t="s">
        <v>57</v>
      </c>
      <c r="P45" s="1142" t="s">
        <v>339</v>
      </c>
      <c r="Q45" s="54">
        <v>45961</v>
      </c>
      <c r="R45" s="670"/>
      <c r="S45" s="670"/>
      <c r="T45" s="670"/>
      <c r="U45" s="670"/>
      <c r="V45" s="107">
        <v>7274</v>
      </c>
      <c r="W45" s="1074">
        <v>7274</v>
      </c>
      <c r="X45" s="107">
        <f t="shared" si="12"/>
        <v>0</v>
      </c>
      <c r="Y45" s="901">
        <f t="shared" si="13"/>
        <v>1</v>
      </c>
      <c r="Z45" s="125">
        <v>45968</v>
      </c>
      <c r="AA45" s="366">
        <v>0</v>
      </c>
      <c r="AB45" s="366">
        <v>0</v>
      </c>
      <c r="AC45" s="41">
        <v>0</v>
      </c>
      <c r="AD45" s="450" t="s">
        <v>468</v>
      </c>
    </row>
    <row r="46" spans="1:30" ht="39.75" customHeight="1">
      <c r="A46" s="1143" t="s">
        <v>469</v>
      </c>
      <c r="B46" s="464" t="s">
        <v>324</v>
      </c>
      <c r="C46" s="386">
        <v>46045</v>
      </c>
      <c r="D46" s="1026" t="s">
        <v>159</v>
      </c>
      <c r="E46" s="386">
        <v>45959</v>
      </c>
      <c r="F46" s="385" t="s">
        <v>140</v>
      </c>
      <c r="G46" s="654"/>
      <c r="H46" s="387">
        <v>90</v>
      </c>
      <c r="I46" s="1030" t="s">
        <v>338</v>
      </c>
      <c r="J46" s="1031" t="s">
        <v>63</v>
      </c>
      <c r="K46" s="667"/>
      <c r="L46" s="51">
        <v>45964</v>
      </c>
      <c r="M46" s="52" t="s">
        <v>57</v>
      </c>
      <c r="N46" s="866">
        <v>84896</v>
      </c>
      <c r="O46" s="52" t="s">
        <v>57</v>
      </c>
      <c r="P46" s="1142" t="s">
        <v>339</v>
      </c>
      <c r="Q46" s="54">
        <v>45964</v>
      </c>
      <c r="R46" s="670"/>
      <c r="S46" s="670"/>
      <c r="T46" s="670"/>
      <c r="U46" s="670"/>
      <c r="V46" s="107">
        <v>7060</v>
      </c>
      <c r="W46" s="1074">
        <v>7060</v>
      </c>
      <c r="X46" s="107">
        <f t="shared" si="12"/>
        <v>0</v>
      </c>
      <c r="Y46" s="901">
        <f t="shared" si="13"/>
        <v>1</v>
      </c>
      <c r="Z46" s="125">
        <v>45973</v>
      </c>
      <c r="AA46" s="366">
        <v>0</v>
      </c>
      <c r="AB46" s="366">
        <v>0</v>
      </c>
      <c r="AC46" s="41">
        <v>0</v>
      </c>
      <c r="AD46" s="450" t="s">
        <v>470</v>
      </c>
    </row>
    <row r="47" spans="1:30" ht="39.75" customHeight="1">
      <c r="A47" s="1145" t="s">
        <v>471</v>
      </c>
      <c r="B47" s="810" t="s">
        <v>50</v>
      </c>
      <c r="C47" s="926">
        <v>45991</v>
      </c>
      <c r="D47" s="1162" t="s">
        <v>71</v>
      </c>
      <c r="E47" s="57">
        <v>45743</v>
      </c>
      <c r="F47" s="792" t="s">
        <v>61</v>
      </c>
      <c r="G47" s="811" t="s">
        <v>472</v>
      </c>
      <c r="H47" s="796">
        <v>69</v>
      </c>
      <c r="I47" s="681" t="s">
        <v>338</v>
      </c>
      <c r="J47" s="483" t="s">
        <v>63</v>
      </c>
      <c r="K47" s="942"/>
      <c r="L47" s="51">
        <v>45741</v>
      </c>
      <c r="M47" s="387" t="s">
        <v>57</v>
      </c>
      <c r="N47" s="866">
        <v>67734.5</v>
      </c>
      <c r="O47" s="387" t="s">
        <v>57</v>
      </c>
      <c r="P47" s="1142" t="s">
        <v>339</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t="s">
        <v>473</v>
      </c>
    </row>
    <row r="48" spans="1:30" ht="39.75" customHeight="1">
      <c r="A48" s="1145" t="s">
        <v>474</v>
      </c>
      <c r="B48" s="791" t="s">
        <v>50</v>
      </c>
      <c r="C48" s="926">
        <v>45991</v>
      </c>
      <c r="D48" s="1146" t="s">
        <v>475</v>
      </c>
      <c r="E48" s="793">
        <v>45735</v>
      </c>
      <c r="F48" s="792" t="s">
        <v>61</v>
      </c>
      <c r="G48" s="795" t="s">
        <v>476</v>
      </c>
      <c r="H48" s="796">
        <v>70</v>
      </c>
      <c r="I48" s="484" t="s">
        <v>338</v>
      </c>
      <c r="J48" s="492" t="s">
        <v>63</v>
      </c>
      <c r="K48" s="52"/>
      <c r="L48" s="386">
        <v>45716</v>
      </c>
      <c r="M48" s="52" t="s">
        <v>57</v>
      </c>
      <c r="N48" s="1150">
        <v>56262.5</v>
      </c>
      <c r="O48" s="52" t="s">
        <v>57</v>
      </c>
      <c r="P48" s="1142" t="s">
        <v>339</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477</v>
      </c>
    </row>
    <row r="49" spans="1:30" ht="39.75" customHeight="1">
      <c r="A49" s="965" t="s">
        <v>478</v>
      </c>
      <c r="B49" s="849" t="s">
        <v>50</v>
      </c>
      <c r="C49" s="481">
        <v>45991</v>
      </c>
      <c r="D49" s="481" t="s">
        <v>71</v>
      </c>
      <c r="E49" s="490">
        <v>45748</v>
      </c>
      <c r="F49" s="489" t="s">
        <v>61</v>
      </c>
      <c r="G49" s="850" t="s">
        <v>479</v>
      </c>
      <c r="H49" s="492">
        <v>0</v>
      </c>
      <c r="I49" s="492" t="s">
        <v>338</v>
      </c>
      <c r="J49" s="483" t="s">
        <v>63</v>
      </c>
      <c r="K49" s="851"/>
      <c r="L49" s="490">
        <v>45741</v>
      </c>
      <c r="M49" s="483" t="s">
        <v>57</v>
      </c>
      <c r="N49" s="560">
        <v>17203.45</v>
      </c>
      <c r="O49" s="483" t="s">
        <v>57</v>
      </c>
      <c r="P49" s="1017" t="s">
        <v>339</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480</v>
      </c>
    </row>
    <row r="50" spans="1:30" ht="39.75" customHeight="1">
      <c r="A50" s="1145" t="s">
        <v>481</v>
      </c>
      <c r="B50" s="810" t="s">
        <v>50</v>
      </c>
      <c r="C50" s="926">
        <v>45991</v>
      </c>
      <c r="D50" s="1162" t="s">
        <v>71</v>
      </c>
      <c r="E50" s="57">
        <v>45779</v>
      </c>
      <c r="F50" s="792" t="s">
        <v>61</v>
      </c>
      <c r="G50" s="811" t="s">
        <v>482</v>
      </c>
      <c r="H50" s="796">
        <v>0</v>
      </c>
      <c r="I50" s="492" t="s">
        <v>338</v>
      </c>
      <c r="J50" s="483" t="s">
        <v>63</v>
      </c>
      <c r="K50" s="942"/>
      <c r="L50" s="51">
        <v>45742</v>
      </c>
      <c r="M50" s="948" t="s">
        <v>57</v>
      </c>
      <c r="N50" s="1150">
        <v>23800.25</v>
      </c>
      <c r="O50" s="387" t="s">
        <v>57</v>
      </c>
      <c r="P50" s="1142" t="s">
        <v>339</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483</v>
      </c>
    </row>
    <row r="51" spans="1:30" ht="39.75" customHeight="1">
      <c r="A51" s="1145" t="s">
        <v>484</v>
      </c>
      <c r="B51" s="810" t="s">
        <v>50</v>
      </c>
      <c r="C51" s="926">
        <v>46008</v>
      </c>
      <c r="D51" s="1162" t="s">
        <v>485</v>
      </c>
      <c r="E51" s="57">
        <v>45952</v>
      </c>
      <c r="F51" s="792" t="s">
        <v>100</v>
      </c>
      <c r="G51" s="811"/>
      <c r="H51" s="796">
        <v>139</v>
      </c>
      <c r="I51" s="681" t="s">
        <v>338</v>
      </c>
      <c r="J51" s="483" t="s">
        <v>56</v>
      </c>
      <c r="K51" s="52"/>
      <c r="L51" s="51" t="s">
        <v>52</v>
      </c>
      <c r="M51" s="1031" t="s">
        <v>57</v>
      </c>
      <c r="N51" s="1150">
        <v>42766.5</v>
      </c>
      <c r="O51" s="52" t="s">
        <v>57</v>
      </c>
      <c r="P51" s="1142" t="s">
        <v>339</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486</v>
      </c>
      <c r="B52" s="810" t="s">
        <v>50</v>
      </c>
      <c r="C52" s="926">
        <v>46008</v>
      </c>
      <c r="D52" s="1162" t="s">
        <v>487</v>
      </c>
      <c r="E52" s="57">
        <v>45938</v>
      </c>
      <c r="F52" s="792" t="s">
        <v>100</v>
      </c>
      <c r="G52" s="811"/>
      <c r="H52" s="796">
        <v>193</v>
      </c>
      <c r="I52" s="681" t="s">
        <v>338</v>
      </c>
      <c r="J52" s="483" t="s">
        <v>56</v>
      </c>
      <c r="K52" s="97"/>
      <c r="L52" s="51" t="s">
        <v>52</v>
      </c>
      <c r="M52" s="1031" t="s">
        <v>57</v>
      </c>
      <c r="N52" s="1150">
        <v>86136</v>
      </c>
      <c r="O52" s="52" t="s">
        <v>57</v>
      </c>
      <c r="P52" s="1142" t="s">
        <v>339</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488</v>
      </c>
      <c r="B2" s="507" t="s">
        <v>224</v>
      </c>
      <c r="C2" s="481">
        <v>45868</v>
      </c>
      <c r="D2" s="489" t="s">
        <v>489</v>
      </c>
      <c r="E2" s="490">
        <v>45716</v>
      </c>
      <c r="F2" s="489" t="s">
        <v>236</v>
      </c>
      <c r="G2" s="614" t="s">
        <v>490</v>
      </c>
      <c r="H2" s="492">
        <v>0</v>
      </c>
      <c r="I2" s="498" t="s">
        <v>338</v>
      </c>
      <c r="J2" s="492" t="s">
        <v>63</v>
      </c>
      <c r="K2" s="503"/>
      <c r="L2" s="481">
        <v>45716</v>
      </c>
      <c r="M2" s="492" t="s">
        <v>57</v>
      </c>
      <c r="N2" s="560">
        <v>64932.55</v>
      </c>
      <c r="O2" s="492" t="s">
        <v>57</v>
      </c>
      <c r="P2" s="828" t="s">
        <v>339</v>
      </c>
      <c r="Q2" s="493">
        <v>45721</v>
      </c>
      <c r="R2" s="493"/>
      <c r="S2" s="493"/>
      <c r="T2" s="493"/>
      <c r="U2" s="501" t="s">
        <v>491</v>
      </c>
      <c r="V2" s="41">
        <v>5151</v>
      </c>
      <c r="W2" s="763">
        <v>5207</v>
      </c>
      <c r="X2" s="107">
        <f>SUM(V2-W2)</f>
        <v>-56</v>
      </c>
      <c r="Y2" s="22">
        <f>IFERROR($W2/$V2, 0)</f>
        <v>1.0108716754028344</v>
      </c>
      <c r="Z2" s="698">
        <v>45748</v>
      </c>
      <c r="AA2" s="366">
        <v>1</v>
      </c>
      <c r="AB2" s="366">
        <v>1</v>
      </c>
      <c r="AC2" s="41">
        <v>0</v>
      </c>
      <c r="AD2" s="906"/>
    </row>
    <row r="3" spans="1:30" ht="39.75" customHeight="1">
      <c r="A3" s="916" t="s">
        <v>492</v>
      </c>
      <c r="B3" s="507" t="s">
        <v>224</v>
      </c>
      <c r="C3" s="481">
        <v>45991</v>
      </c>
      <c r="D3" s="490" t="s">
        <v>397</v>
      </c>
      <c r="E3" s="442">
        <v>45707</v>
      </c>
      <c r="F3" s="489" t="s">
        <v>236</v>
      </c>
      <c r="G3" s="508" t="s">
        <v>493</v>
      </c>
      <c r="H3" s="498">
        <v>0</v>
      </c>
      <c r="I3" s="498" t="s">
        <v>338</v>
      </c>
      <c r="J3" s="498" t="s">
        <v>63</v>
      </c>
      <c r="K3" s="498"/>
      <c r="L3" s="490">
        <v>45708</v>
      </c>
      <c r="M3" s="498" t="s">
        <v>57</v>
      </c>
      <c r="N3" s="561">
        <v>87944.4</v>
      </c>
      <c r="O3" s="498" t="s">
        <v>57</v>
      </c>
      <c r="P3" s="828" t="s">
        <v>339</v>
      </c>
      <c r="Q3" s="493">
        <v>45709</v>
      </c>
      <c r="R3" s="493"/>
      <c r="S3" s="493"/>
      <c r="T3" s="493"/>
      <c r="U3" s="501" t="s">
        <v>491</v>
      </c>
      <c r="V3" s="509">
        <v>7008</v>
      </c>
      <c r="W3" s="762">
        <v>7258</v>
      </c>
      <c r="X3" s="107">
        <f t="shared" ref="X3" si="0">SUM(V3-W3)</f>
        <v>-250</v>
      </c>
      <c r="Y3" s="22">
        <f t="shared" ref="Y3" si="1">IFERROR($W3/$V3, 0)</f>
        <v>1.0356735159817352</v>
      </c>
      <c r="Z3" s="698">
        <v>45747</v>
      </c>
      <c r="AA3" s="487">
        <v>1</v>
      </c>
      <c r="AB3" s="487">
        <v>1</v>
      </c>
      <c r="AC3" s="837">
        <v>0</v>
      </c>
      <c r="AD3" s="907" t="s">
        <v>494</v>
      </c>
    </row>
    <row r="4" spans="1:30" ht="39.75" customHeight="1">
      <c r="A4" s="870" t="s">
        <v>495</v>
      </c>
      <c r="B4" s="858" t="s">
        <v>224</v>
      </c>
      <c r="C4" s="490">
        <v>45807</v>
      </c>
      <c r="D4" s="479" t="s">
        <v>489</v>
      </c>
      <c r="E4" s="489" t="s">
        <v>52</v>
      </c>
      <c r="F4" s="479" t="s">
        <v>236</v>
      </c>
      <c r="G4" s="850" t="s">
        <v>496</v>
      </c>
      <c r="H4" s="483">
        <v>84</v>
      </c>
      <c r="I4" s="855" t="s">
        <v>338</v>
      </c>
      <c r="J4" s="492" t="s">
        <v>63</v>
      </c>
      <c r="K4" s="871"/>
      <c r="L4" s="481">
        <v>45716</v>
      </c>
      <c r="M4" s="492" t="s">
        <v>57</v>
      </c>
      <c r="N4" s="559">
        <v>2812.95</v>
      </c>
      <c r="O4" s="492" t="s">
        <v>57</v>
      </c>
      <c r="P4" s="828" t="s">
        <v>339</v>
      </c>
      <c r="Q4" s="493">
        <v>45792</v>
      </c>
      <c r="R4" s="493">
        <v>45947</v>
      </c>
      <c r="S4" s="363"/>
      <c r="T4" s="363"/>
      <c r="U4" s="501" t="s">
        <v>491</v>
      </c>
      <c r="V4" s="41">
        <v>285</v>
      </c>
      <c r="W4" s="872">
        <v>285</v>
      </c>
      <c r="X4" s="486">
        <f>SUM(V4-W4)</f>
        <v>0</v>
      </c>
      <c r="Y4" s="682">
        <f>IFERROR($W4/$V4, 0)</f>
        <v>1</v>
      </c>
      <c r="Z4" s="493">
        <v>45798</v>
      </c>
      <c r="AA4" s="682">
        <v>1</v>
      </c>
      <c r="AB4" s="682">
        <v>1</v>
      </c>
      <c r="AC4" s="486">
        <v>3451</v>
      </c>
      <c r="AD4" s="684"/>
    </row>
    <row r="5" spans="1:30" ht="39.75" customHeight="1">
      <c r="A5" s="870" t="s">
        <v>497</v>
      </c>
      <c r="B5" s="507" t="s">
        <v>224</v>
      </c>
      <c r="C5" s="481">
        <v>45991</v>
      </c>
      <c r="D5" s="489" t="s">
        <v>397</v>
      </c>
      <c r="E5" s="490">
        <v>45866</v>
      </c>
      <c r="F5" s="489" t="s">
        <v>236</v>
      </c>
      <c r="G5" s="491" t="s">
        <v>498</v>
      </c>
      <c r="H5" s="492">
        <v>0</v>
      </c>
      <c r="I5" s="498" t="s">
        <v>338</v>
      </c>
      <c r="J5" s="492" t="s">
        <v>63</v>
      </c>
      <c r="K5" s="503"/>
      <c r="L5" s="490">
        <v>45863</v>
      </c>
      <c r="M5" s="492" t="s">
        <v>57</v>
      </c>
      <c r="N5" s="560">
        <v>143407.25</v>
      </c>
      <c r="O5" s="492" t="s">
        <v>57</v>
      </c>
      <c r="P5" s="828" t="s">
        <v>339</v>
      </c>
      <c r="Q5" s="493">
        <v>45863</v>
      </c>
      <c r="R5" s="493"/>
      <c r="S5" s="493"/>
      <c r="T5" s="493"/>
      <c r="U5" s="501" t="s">
        <v>491</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499</v>
      </c>
      <c r="B6" s="507" t="s">
        <v>224</v>
      </c>
      <c r="C6" s="481">
        <v>45991</v>
      </c>
      <c r="D6" s="489" t="s">
        <v>71</v>
      </c>
      <c r="E6" s="490">
        <v>45880</v>
      </c>
      <c r="F6" s="489" t="s">
        <v>225</v>
      </c>
      <c r="G6" s="491" t="s">
        <v>500</v>
      </c>
      <c r="H6" s="492">
        <v>0</v>
      </c>
      <c r="I6" s="498" t="s">
        <v>338</v>
      </c>
      <c r="J6" s="492" t="s">
        <v>63</v>
      </c>
      <c r="K6" s="503"/>
      <c r="L6" s="490">
        <v>45881</v>
      </c>
      <c r="M6" s="492" t="s">
        <v>57</v>
      </c>
      <c r="N6" s="560">
        <v>4815.6499999999996</v>
      </c>
      <c r="O6" s="492" t="s">
        <v>57</v>
      </c>
      <c r="P6" s="828" t="s">
        <v>339</v>
      </c>
      <c r="Q6" s="493">
        <v>45881</v>
      </c>
      <c r="R6" s="493">
        <v>45947</v>
      </c>
      <c r="S6" s="493"/>
      <c r="T6" s="493"/>
      <c r="U6" s="501" t="s">
        <v>491</v>
      </c>
      <c r="V6" s="41">
        <v>321</v>
      </c>
      <c r="W6" s="763">
        <v>367</v>
      </c>
      <c r="X6" s="107">
        <f>SUM(V6-W6)</f>
        <v>-46</v>
      </c>
      <c r="Y6" s="22">
        <f>IFERROR($W6/$V6, 0)</f>
        <v>1.1433021806853583</v>
      </c>
      <c r="Z6" s="698">
        <v>45905</v>
      </c>
      <c r="AA6" s="366">
        <v>0</v>
      </c>
      <c r="AB6" s="366">
        <v>0</v>
      </c>
      <c r="AC6" s="41">
        <v>0</v>
      </c>
      <c r="AD6" s="532"/>
    </row>
    <row r="7" spans="1:30" ht="39.75" customHeight="1">
      <c r="A7" s="979" t="s">
        <v>501</v>
      </c>
      <c r="B7" s="861" t="s">
        <v>224</v>
      </c>
      <c r="C7" s="862">
        <v>45955</v>
      </c>
      <c r="D7" s="863" t="s">
        <v>159</v>
      </c>
      <c r="E7" s="863">
        <v>45919</v>
      </c>
      <c r="F7" s="863" t="s">
        <v>246</v>
      </c>
      <c r="G7" s="864" t="s">
        <v>502</v>
      </c>
      <c r="H7" s="405">
        <v>0</v>
      </c>
      <c r="I7" s="865" t="s">
        <v>338</v>
      </c>
      <c r="J7" s="405" t="s">
        <v>63</v>
      </c>
      <c r="K7" s="405"/>
      <c r="L7" s="863" t="s">
        <v>52</v>
      </c>
      <c r="M7" s="405" t="s">
        <v>57</v>
      </c>
      <c r="N7" s="866">
        <v>4646.75</v>
      </c>
      <c r="O7" s="405" t="s">
        <v>93</v>
      </c>
      <c r="P7" s="952" t="s">
        <v>339</v>
      </c>
      <c r="Q7" s="615"/>
      <c r="R7" s="615">
        <v>45947</v>
      </c>
      <c r="S7" s="615"/>
      <c r="T7" s="615"/>
      <c r="U7" s="501" t="s">
        <v>491</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503</v>
      </c>
      <c r="B8" s="479" t="s">
        <v>114</v>
      </c>
      <c r="C8" s="490">
        <v>45960</v>
      </c>
      <c r="D8" s="481" t="s">
        <v>71</v>
      </c>
      <c r="E8" s="490">
        <v>45918</v>
      </c>
      <c r="F8" s="479" t="s">
        <v>115</v>
      </c>
      <c r="G8" s="50" t="s">
        <v>504</v>
      </c>
      <c r="H8" s="1058">
        <v>0</v>
      </c>
      <c r="I8" s="681" t="s">
        <v>338</v>
      </c>
      <c r="J8" s="483" t="s">
        <v>63</v>
      </c>
      <c r="K8" s="483"/>
      <c r="L8" s="490">
        <v>45918</v>
      </c>
      <c r="M8" s="492" t="s">
        <v>57</v>
      </c>
      <c r="N8" s="560">
        <v>9611.9500000000007</v>
      </c>
      <c r="O8" s="492" t="s">
        <v>57</v>
      </c>
      <c r="P8" s="828" t="s">
        <v>339</v>
      </c>
      <c r="Q8" s="493">
        <v>45918</v>
      </c>
      <c r="R8" s="493"/>
      <c r="S8" s="493"/>
      <c r="T8" s="493"/>
      <c r="U8" s="501" t="s">
        <v>491</v>
      </c>
      <c r="V8" s="41">
        <v>807</v>
      </c>
      <c r="W8" s="763">
        <v>896</v>
      </c>
      <c r="X8" s="107">
        <f t="shared" si="4"/>
        <v>-89</v>
      </c>
      <c r="Y8" s="677">
        <f t="shared" si="5"/>
        <v>1.110285006195787</v>
      </c>
      <c r="Z8" s="698">
        <v>45938</v>
      </c>
      <c r="AA8" s="682">
        <v>1</v>
      </c>
      <c r="AB8" s="682">
        <v>1</v>
      </c>
      <c r="AC8" s="662">
        <v>0</v>
      </c>
      <c r="AD8" s="488" t="s">
        <v>505</v>
      </c>
    </row>
    <row r="9" spans="1:30" ht="39.75" customHeight="1">
      <c r="A9" s="873" t="s">
        <v>506</v>
      </c>
      <c r="B9" s="479" t="s">
        <v>114</v>
      </c>
      <c r="C9" s="490">
        <v>45899</v>
      </c>
      <c r="D9" s="528" t="s">
        <v>132</v>
      </c>
      <c r="E9" s="490">
        <v>45889</v>
      </c>
      <c r="F9" s="504" t="s">
        <v>140</v>
      </c>
      <c r="G9" s="491"/>
      <c r="H9" s="492">
        <v>76</v>
      </c>
      <c r="I9" s="498" t="s">
        <v>338</v>
      </c>
      <c r="J9" s="492" t="s">
        <v>63</v>
      </c>
      <c r="K9" s="503"/>
      <c r="L9" s="490">
        <v>45888</v>
      </c>
      <c r="M9" s="492" t="s">
        <v>57</v>
      </c>
      <c r="N9" s="560">
        <v>53902</v>
      </c>
      <c r="O9" s="492" t="s">
        <v>57</v>
      </c>
      <c r="P9" s="828" t="s">
        <v>339</v>
      </c>
      <c r="Q9" s="493">
        <v>45887</v>
      </c>
      <c r="R9" s="493"/>
      <c r="S9" s="493"/>
      <c r="T9" s="493"/>
      <c r="U9" s="501" t="s">
        <v>491</v>
      </c>
      <c r="V9" s="41">
        <v>3566</v>
      </c>
      <c r="W9" s="763">
        <v>3704</v>
      </c>
      <c r="X9" s="107">
        <f t="shared" si="4"/>
        <v>-138</v>
      </c>
      <c r="Y9" s="22">
        <f t="shared" si="5"/>
        <v>1.0386988222097588</v>
      </c>
      <c r="Z9" s="698">
        <v>45904</v>
      </c>
      <c r="AA9" s="366">
        <v>1</v>
      </c>
      <c r="AB9" s="366">
        <v>1</v>
      </c>
      <c r="AC9" s="662">
        <v>0</v>
      </c>
      <c r="AD9" s="532" t="s">
        <v>507</v>
      </c>
    </row>
    <row r="10" spans="1:30" ht="39.75" customHeight="1">
      <c r="A10" s="873" t="s">
        <v>508</v>
      </c>
      <c r="B10" s="479" t="s">
        <v>114</v>
      </c>
      <c r="C10" s="490">
        <v>45930</v>
      </c>
      <c r="D10" s="481" t="s">
        <v>159</v>
      </c>
      <c r="E10" s="481">
        <v>45896</v>
      </c>
      <c r="F10" s="479" t="s">
        <v>140</v>
      </c>
      <c r="G10" s="479" t="s">
        <v>509</v>
      </c>
      <c r="H10" s="483">
        <v>66</v>
      </c>
      <c r="I10" s="483" t="s">
        <v>338</v>
      </c>
      <c r="J10" s="483" t="s">
        <v>63</v>
      </c>
      <c r="K10" s="483"/>
      <c r="L10" s="481">
        <v>45897</v>
      </c>
      <c r="M10" s="483" t="s">
        <v>57</v>
      </c>
      <c r="N10" s="559">
        <v>44896.1</v>
      </c>
      <c r="O10" s="483" t="s">
        <v>57</v>
      </c>
      <c r="P10" s="828" t="s">
        <v>339</v>
      </c>
      <c r="Q10" s="485">
        <v>45897</v>
      </c>
      <c r="R10" s="496"/>
      <c r="S10" s="496"/>
      <c r="T10" s="496"/>
      <c r="U10" s="501" t="s">
        <v>491</v>
      </c>
      <c r="V10" s="486">
        <v>2385</v>
      </c>
      <c r="W10" s="763">
        <v>2385</v>
      </c>
      <c r="X10" s="107">
        <f t="shared" si="4"/>
        <v>0</v>
      </c>
      <c r="Y10" s="22">
        <f t="shared" si="5"/>
        <v>1</v>
      </c>
      <c r="Z10" s="698">
        <v>45918</v>
      </c>
      <c r="AA10" s="366">
        <v>1</v>
      </c>
      <c r="AB10" s="366">
        <v>1</v>
      </c>
      <c r="AC10" s="662">
        <v>0</v>
      </c>
      <c r="AD10" s="427" t="s">
        <v>510</v>
      </c>
    </row>
    <row r="11" spans="1:30" ht="39.75" customHeight="1">
      <c r="A11" s="873" t="s">
        <v>511</v>
      </c>
      <c r="B11" s="479" t="s">
        <v>114</v>
      </c>
      <c r="C11" s="490">
        <v>45930</v>
      </c>
      <c r="D11" s="481" t="s">
        <v>159</v>
      </c>
      <c r="E11" s="659">
        <v>45910</v>
      </c>
      <c r="F11" s="479" t="s">
        <v>115</v>
      </c>
      <c r="G11" s="479" t="s">
        <v>512</v>
      </c>
      <c r="H11" s="483">
        <v>80</v>
      </c>
      <c r="I11" s="483" t="s">
        <v>338</v>
      </c>
      <c r="J11" s="483" t="s">
        <v>63</v>
      </c>
      <c r="K11" s="483"/>
      <c r="L11" s="481">
        <v>45903</v>
      </c>
      <c r="M11" s="483" t="s">
        <v>57</v>
      </c>
      <c r="N11" s="559">
        <v>59116.7</v>
      </c>
      <c r="O11" s="483" t="s">
        <v>57</v>
      </c>
      <c r="P11" s="828" t="s">
        <v>339</v>
      </c>
      <c r="Q11" s="485">
        <v>45903</v>
      </c>
      <c r="R11" s="496"/>
      <c r="S11" s="496"/>
      <c r="T11" s="485"/>
      <c r="U11" s="501" t="s">
        <v>491</v>
      </c>
      <c r="V11" s="486">
        <v>4833</v>
      </c>
      <c r="W11" s="763">
        <v>4446</v>
      </c>
      <c r="X11" s="107">
        <f t="shared" si="4"/>
        <v>387</v>
      </c>
      <c r="Y11" s="22">
        <f t="shared" si="5"/>
        <v>0.91992551210428308</v>
      </c>
      <c r="Z11" s="698">
        <v>45923</v>
      </c>
      <c r="AA11" s="366">
        <v>1</v>
      </c>
      <c r="AB11" s="366">
        <v>1</v>
      </c>
      <c r="AC11" s="662">
        <v>0</v>
      </c>
      <c r="AD11" s="427" t="s">
        <v>513</v>
      </c>
    </row>
    <row r="12" spans="1:30" ht="39.75" customHeight="1">
      <c r="A12" s="870" t="s">
        <v>514</v>
      </c>
      <c r="B12" s="479" t="s">
        <v>114</v>
      </c>
      <c r="C12" s="490">
        <v>45930</v>
      </c>
      <c r="D12" s="481" t="s">
        <v>159</v>
      </c>
      <c r="E12" s="659">
        <v>45910</v>
      </c>
      <c r="F12" s="659" t="s">
        <v>140</v>
      </c>
      <c r="G12" s="702" t="s">
        <v>515</v>
      </c>
      <c r="H12" s="483">
        <v>67</v>
      </c>
      <c r="I12" s="681" t="s">
        <v>338</v>
      </c>
      <c r="J12" s="483" t="s">
        <v>63</v>
      </c>
      <c r="K12" s="483"/>
      <c r="L12" s="481">
        <v>45903</v>
      </c>
      <c r="M12" s="483" t="s">
        <v>57</v>
      </c>
      <c r="N12" s="559">
        <v>40406</v>
      </c>
      <c r="O12" s="483" t="s">
        <v>57</v>
      </c>
      <c r="P12" s="828" t="s">
        <v>339</v>
      </c>
      <c r="Q12" s="485">
        <v>45903</v>
      </c>
      <c r="R12" s="569"/>
      <c r="S12" s="569"/>
      <c r="T12" s="569"/>
      <c r="U12" s="501" t="s">
        <v>491</v>
      </c>
      <c r="V12" s="486">
        <v>3895</v>
      </c>
      <c r="W12" s="763">
        <v>3809</v>
      </c>
      <c r="X12" s="107">
        <f t="shared" si="4"/>
        <v>86</v>
      </c>
      <c r="Y12" s="677">
        <f t="shared" si="5"/>
        <v>0.97792041078305525</v>
      </c>
      <c r="Z12" s="698">
        <v>45924</v>
      </c>
      <c r="AA12" s="366">
        <v>1</v>
      </c>
      <c r="AB12" s="366">
        <v>1</v>
      </c>
      <c r="AC12" s="662">
        <v>0</v>
      </c>
      <c r="AD12" s="908" t="s">
        <v>516</v>
      </c>
    </row>
    <row r="13" spans="1:30" ht="39.75" customHeight="1">
      <c r="A13" s="968" t="s">
        <v>517</v>
      </c>
      <c r="B13" s="479" t="s">
        <v>114</v>
      </c>
      <c r="C13" s="490">
        <v>45960</v>
      </c>
      <c r="D13" s="481" t="s">
        <v>159</v>
      </c>
      <c r="E13" s="481">
        <v>45936</v>
      </c>
      <c r="F13" s="479" t="s">
        <v>150</v>
      </c>
      <c r="G13" s="702"/>
      <c r="H13" s="483">
        <v>35</v>
      </c>
      <c r="I13" s="681" t="s">
        <v>338</v>
      </c>
      <c r="J13" s="483" t="s">
        <v>63</v>
      </c>
      <c r="K13" s="483"/>
      <c r="L13" s="481">
        <v>45933</v>
      </c>
      <c r="M13" s="483" t="s">
        <v>57</v>
      </c>
      <c r="N13" s="559">
        <v>26026</v>
      </c>
      <c r="O13" s="483" t="s">
        <v>57</v>
      </c>
      <c r="P13" s="828" t="s">
        <v>339</v>
      </c>
      <c r="Q13" s="485">
        <v>45933</v>
      </c>
      <c r="R13" s="569"/>
      <c r="S13" s="569"/>
      <c r="T13" s="569"/>
      <c r="U13" s="501" t="s">
        <v>491</v>
      </c>
      <c r="V13" s="486">
        <v>2071</v>
      </c>
      <c r="W13" s="763">
        <v>2072</v>
      </c>
      <c r="X13" s="486">
        <f>SUM(V13-W13)</f>
        <v>-1</v>
      </c>
      <c r="Y13" s="682">
        <f t="shared" ref="Y13" si="6">IFERROR($W13/$V13, 0)</f>
        <v>1.000482858522453</v>
      </c>
      <c r="Z13" s="493">
        <v>45958</v>
      </c>
      <c r="AA13" s="366">
        <v>1</v>
      </c>
      <c r="AB13" s="366">
        <v>1</v>
      </c>
      <c r="AC13" s="809">
        <v>0</v>
      </c>
      <c r="AD13" s="488" t="s">
        <v>518</v>
      </c>
    </row>
    <row r="14" spans="1:30" ht="39.75" customHeight="1">
      <c r="A14" s="873" t="s">
        <v>519</v>
      </c>
      <c r="B14" s="479" t="s">
        <v>114</v>
      </c>
      <c r="C14" s="490">
        <v>45960</v>
      </c>
      <c r="D14" s="481" t="s">
        <v>159</v>
      </c>
      <c r="E14" s="481">
        <v>45915</v>
      </c>
      <c r="F14" s="659" t="s">
        <v>140</v>
      </c>
      <c r="G14" s="702"/>
      <c r="H14" s="483">
        <v>82</v>
      </c>
      <c r="I14" s="681" t="s">
        <v>338</v>
      </c>
      <c r="J14" s="483" t="s">
        <v>63</v>
      </c>
      <c r="K14" s="483"/>
      <c r="L14" s="481">
        <v>45912</v>
      </c>
      <c r="M14" s="483" t="s">
        <v>57</v>
      </c>
      <c r="N14" s="559">
        <v>82621.149999999994</v>
      </c>
      <c r="O14" s="483" t="s">
        <v>57</v>
      </c>
      <c r="P14" s="828" t="s">
        <v>339</v>
      </c>
      <c r="Q14" s="485">
        <v>45912</v>
      </c>
      <c r="R14" s="485"/>
      <c r="S14" s="485"/>
      <c r="T14" s="485"/>
      <c r="U14" s="501" t="s">
        <v>491</v>
      </c>
      <c r="V14" s="486">
        <v>5653</v>
      </c>
      <c r="W14" s="763">
        <v>5653</v>
      </c>
      <c r="X14" s="107">
        <f t="shared" si="4"/>
        <v>0</v>
      </c>
      <c r="Y14" s="677">
        <f t="shared" si="5"/>
        <v>1</v>
      </c>
      <c r="Z14" s="698">
        <v>45932</v>
      </c>
      <c r="AA14" s="366">
        <v>1</v>
      </c>
      <c r="AB14" s="366">
        <v>1</v>
      </c>
      <c r="AC14" s="809">
        <v>0</v>
      </c>
      <c r="AD14" s="908" t="s">
        <v>520</v>
      </c>
    </row>
    <row r="15" spans="1:30" ht="39.75" customHeight="1">
      <c r="A15" s="870" t="s">
        <v>521</v>
      </c>
      <c r="B15" s="479" t="s">
        <v>114</v>
      </c>
      <c r="C15" s="490">
        <v>45945</v>
      </c>
      <c r="D15" s="481" t="s">
        <v>159</v>
      </c>
      <c r="E15" s="481">
        <v>45932</v>
      </c>
      <c r="F15" s="479" t="s">
        <v>140</v>
      </c>
      <c r="G15" s="702"/>
      <c r="H15" s="483">
        <v>34</v>
      </c>
      <c r="I15" s="681" t="s">
        <v>338</v>
      </c>
      <c r="J15" s="483" t="s">
        <v>63</v>
      </c>
      <c r="K15" s="483"/>
      <c r="L15" s="481">
        <v>45933</v>
      </c>
      <c r="M15" s="483" t="s">
        <v>57</v>
      </c>
      <c r="N15" s="559">
        <v>29646</v>
      </c>
      <c r="O15" s="483" t="s">
        <v>57</v>
      </c>
      <c r="P15" s="828" t="s">
        <v>339</v>
      </c>
      <c r="Q15" s="485">
        <v>45933</v>
      </c>
      <c r="R15" s="569"/>
      <c r="S15" s="569"/>
      <c r="T15" s="569"/>
      <c r="U15" s="501" t="s">
        <v>491</v>
      </c>
      <c r="V15" s="486">
        <v>2188</v>
      </c>
      <c r="W15" s="763">
        <v>2278</v>
      </c>
      <c r="X15" s="107">
        <f>SUM(V15-W15)</f>
        <v>-90</v>
      </c>
      <c r="Y15" s="677">
        <f>IFERROR($W15/$V15, 0)</f>
        <v>1.0411334552102376</v>
      </c>
      <c r="Z15" s="698">
        <v>45931</v>
      </c>
      <c r="AA15" s="366">
        <v>1</v>
      </c>
      <c r="AB15" s="366">
        <v>1</v>
      </c>
      <c r="AC15" s="809">
        <v>0</v>
      </c>
      <c r="AD15" s="908" t="s">
        <v>522</v>
      </c>
    </row>
    <row r="16" spans="1:30" ht="39.75" customHeight="1">
      <c r="A16" s="968" t="s">
        <v>523</v>
      </c>
      <c r="B16" s="479" t="s">
        <v>114</v>
      </c>
      <c r="C16" s="490">
        <v>45960</v>
      </c>
      <c r="D16" s="481" t="s">
        <v>212</v>
      </c>
      <c r="E16" s="481">
        <v>45932</v>
      </c>
      <c r="F16" s="479" t="s">
        <v>115</v>
      </c>
      <c r="G16" s="702"/>
      <c r="H16" s="483">
        <v>79</v>
      </c>
      <c r="I16" s="681" t="s">
        <v>338</v>
      </c>
      <c r="J16" s="483" t="s">
        <v>63</v>
      </c>
      <c r="K16" s="483"/>
      <c r="L16" s="481">
        <v>45933</v>
      </c>
      <c r="M16" s="483" t="s">
        <v>57</v>
      </c>
      <c r="N16" s="559">
        <v>45014</v>
      </c>
      <c r="O16" s="483" t="s">
        <v>57</v>
      </c>
      <c r="P16" s="828" t="s">
        <v>339</v>
      </c>
      <c r="Q16" s="485">
        <v>45933</v>
      </c>
      <c r="R16" s="569"/>
      <c r="S16" s="569"/>
      <c r="T16" s="569"/>
      <c r="U16" s="501" t="s">
        <v>491</v>
      </c>
      <c r="V16" s="486">
        <v>3378</v>
      </c>
      <c r="W16" s="763">
        <v>3372</v>
      </c>
      <c r="X16" s="486">
        <f>SUM(V16-W16)</f>
        <v>6</v>
      </c>
      <c r="Y16" s="682">
        <f t="shared" ref="Y16" si="7">IFERROR($W16/$V16, 0)</f>
        <v>0.9982238010657194</v>
      </c>
      <c r="Z16" s="493">
        <v>45958</v>
      </c>
      <c r="AA16" s="366">
        <v>1</v>
      </c>
      <c r="AB16" s="366">
        <v>1</v>
      </c>
      <c r="AC16" s="809">
        <v>0</v>
      </c>
      <c r="AD16" s="993" t="s">
        <v>524</v>
      </c>
    </row>
    <row r="17" spans="1:30" ht="39.75" customHeight="1">
      <c r="A17" s="968" t="s">
        <v>525</v>
      </c>
      <c r="B17" s="479" t="s">
        <v>114</v>
      </c>
      <c r="C17" s="490">
        <v>45960</v>
      </c>
      <c r="D17" s="481" t="s">
        <v>159</v>
      </c>
      <c r="E17" s="481">
        <v>45936</v>
      </c>
      <c r="F17" s="479" t="s">
        <v>115</v>
      </c>
      <c r="G17" s="702"/>
      <c r="H17" s="483">
        <v>75</v>
      </c>
      <c r="I17" s="681" t="s">
        <v>338</v>
      </c>
      <c r="J17" s="483" t="s">
        <v>63</v>
      </c>
      <c r="K17" s="483"/>
      <c r="L17" s="481">
        <v>45936</v>
      </c>
      <c r="M17" s="483" t="s">
        <v>57</v>
      </c>
      <c r="N17" s="559">
        <v>38796</v>
      </c>
      <c r="O17" s="483" t="s">
        <v>57</v>
      </c>
      <c r="P17" s="828" t="s">
        <v>339</v>
      </c>
      <c r="Q17" s="485">
        <v>45936</v>
      </c>
      <c r="R17" s="569"/>
      <c r="S17" s="569"/>
      <c r="T17" s="569"/>
      <c r="U17" s="501" t="s">
        <v>491</v>
      </c>
      <c r="V17" s="430">
        <v>2874</v>
      </c>
      <c r="W17" s="992">
        <v>2875</v>
      </c>
      <c r="X17" s="107">
        <f t="shared" ref="X17:X19" si="8">SUM(V17-W17)</f>
        <v>-1</v>
      </c>
      <c r="Y17" s="677">
        <f t="shared" ref="Y17:Y19" si="9">IFERROR($W17/$V17, 0)</f>
        <v>1.0003479471120389</v>
      </c>
      <c r="Z17" s="698">
        <v>45944</v>
      </c>
      <c r="AA17" s="366">
        <v>1</v>
      </c>
      <c r="AB17" s="366">
        <v>1</v>
      </c>
      <c r="AC17" s="486">
        <v>0</v>
      </c>
      <c r="AD17" s="173" t="s">
        <v>526</v>
      </c>
    </row>
    <row r="18" spans="1:30" ht="39.75" customHeight="1">
      <c r="A18" s="968" t="s">
        <v>527</v>
      </c>
      <c r="B18" s="479" t="s">
        <v>114</v>
      </c>
      <c r="C18" s="490">
        <v>45976</v>
      </c>
      <c r="D18" s="481" t="s">
        <v>159</v>
      </c>
      <c r="E18" s="481">
        <v>45958</v>
      </c>
      <c r="F18" s="479" t="s">
        <v>150</v>
      </c>
      <c r="G18" s="702"/>
      <c r="H18" s="483">
        <v>48</v>
      </c>
      <c r="I18" s="681" t="s">
        <v>338</v>
      </c>
      <c r="J18" s="483" t="s">
        <v>63</v>
      </c>
      <c r="K18" s="483"/>
      <c r="L18" s="481">
        <v>45954</v>
      </c>
      <c r="M18" s="483" t="s">
        <v>57</v>
      </c>
      <c r="N18" s="559">
        <v>54228.7</v>
      </c>
      <c r="O18" s="483" t="s">
        <v>57</v>
      </c>
      <c r="P18" s="828" t="s">
        <v>339</v>
      </c>
      <c r="Q18" s="485">
        <v>45953</v>
      </c>
      <c r="R18" s="569"/>
      <c r="S18" s="569"/>
      <c r="T18" s="569"/>
      <c r="U18" s="501" t="s">
        <v>491</v>
      </c>
      <c r="V18" s="486">
        <v>4141</v>
      </c>
      <c r="W18" s="763">
        <v>4141</v>
      </c>
      <c r="X18" s="486">
        <f t="shared" si="8"/>
        <v>0</v>
      </c>
      <c r="Y18" s="682">
        <f t="shared" si="9"/>
        <v>1</v>
      </c>
      <c r="Z18" s="493">
        <v>45964</v>
      </c>
      <c r="AA18" s="366">
        <v>1</v>
      </c>
      <c r="AB18" s="366">
        <v>1</v>
      </c>
      <c r="AC18" s="809">
        <v>0</v>
      </c>
      <c r="AD18" s="450" t="s">
        <v>528</v>
      </c>
    </row>
    <row r="19" spans="1:30" ht="39.75" customHeight="1">
      <c r="A19" s="968" t="s">
        <v>529</v>
      </c>
      <c r="B19" s="479" t="s">
        <v>114</v>
      </c>
      <c r="C19" s="490">
        <v>45991</v>
      </c>
      <c r="D19" s="481" t="s">
        <v>212</v>
      </c>
      <c r="E19" s="481">
        <v>45936</v>
      </c>
      <c r="F19" s="479" t="s">
        <v>150</v>
      </c>
      <c r="G19" s="702"/>
      <c r="H19" s="483">
        <v>83</v>
      </c>
      <c r="I19" s="681" t="s">
        <v>338</v>
      </c>
      <c r="J19" s="483" t="s">
        <v>63</v>
      </c>
      <c r="K19" s="483"/>
      <c r="L19" s="481">
        <v>45936</v>
      </c>
      <c r="M19" s="483" t="s">
        <v>57</v>
      </c>
      <c r="N19" s="559">
        <v>96748</v>
      </c>
      <c r="O19" s="483" t="s">
        <v>57</v>
      </c>
      <c r="P19" s="828" t="s">
        <v>339</v>
      </c>
      <c r="Q19" s="485">
        <v>45936</v>
      </c>
      <c r="R19" s="569"/>
      <c r="S19" s="569"/>
      <c r="T19" s="569"/>
      <c r="U19" s="501" t="s">
        <v>491</v>
      </c>
      <c r="V19" s="486">
        <v>6240</v>
      </c>
      <c r="W19" s="763">
        <v>6203</v>
      </c>
      <c r="X19" s="486">
        <f t="shared" si="8"/>
        <v>37</v>
      </c>
      <c r="Y19" s="682">
        <f t="shared" si="9"/>
        <v>0.99407051282051284</v>
      </c>
      <c r="Z19" s="493">
        <v>45951</v>
      </c>
      <c r="AA19" s="366">
        <v>1</v>
      </c>
      <c r="AB19" s="366">
        <v>0</v>
      </c>
      <c r="AC19" s="662">
        <v>0</v>
      </c>
      <c r="AD19" s="1141" t="s">
        <v>530</v>
      </c>
    </row>
    <row r="20" spans="1:30" ht="39.75" customHeight="1">
      <c r="A20" s="870" t="s">
        <v>531</v>
      </c>
      <c r="B20" s="701" t="s">
        <v>114</v>
      </c>
      <c r="C20" s="490">
        <v>45930</v>
      </c>
      <c r="D20" s="659" t="s">
        <v>71</v>
      </c>
      <c r="E20" s="481">
        <v>45902</v>
      </c>
      <c r="F20" s="479" t="s">
        <v>115</v>
      </c>
      <c r="G20" s="779"/>
      <c r="H20" s="483">
        <v>0</v>
      </c>
      <c r="I20" s="681" t="s">
        <v>338</v>
      </c>
      <c r="J20" s="483" t="s">
        <v>63</v>
      </c>
      <c r="K20" s="483"/>
      <c r="L20" s="490">
        <v>45902</v>
      </c>
      <c r="M20" s="483" t="s">
        <v>57</v>
      </c>
      <c r="N20" s="559">
        <v>5604.6</v>
      </c>
      <c r="O20" s="483" t="s">
        <v>57</v>
      </c>
      <c r="P20" s="828" t="s">
        <v>339</v>
      </c>
      <c r="Q20" s="493">
        <v>45902</v>
      </c>
      <c r="R20" s="485"/>
      <c r="S20" s="485"/>
      <c r="T20" s="485"/>
      <c r="U20" s="501" t="s">
        <v>491</v>
      </c>
      <c r="V20" s="486">
        <v>328</v>
      </c>
      <c r="W20" s="763">
        <v>335</v>
      </c>
      <c r="X20" s="486">
        <f t="shared" si="4"/>
        <v>-7</v>
      </c>
      <c r="Y20" s="487">
        <f t="shared" si="5"/>
        <v>1.0213414634146341</v>
      </c>
      <c r="Z20" s="493">
        <v>45922</v>
      </c>
      <c r="AA20" s="366">
        <v>1</v>
      </c>
      <c r="AB20" s="366">
        <v>1</v>
      </c>
      <c r="AC20" s="486">
        <v>0</v>
      </c>
      <c r="AD20" s="778" t="s">
        <v>532</v>
      </c>
    </row>
    <row r="21" spans="1:30" ht="39.75" customHeight="1">
      <c r="A21" s="870" t="s">
        <v>533</v>
      </c>
      <c r="B21" s="479" t="s">
        <v>114</v>
      </c>
      <c r="C21" s="490">
        <v>45960</v>
      </c>
      <c r="D21" s="481" t="s">
        <v>534</v>
      </c>
      <c r="E21" s="481">
        <v>45915</v>
      </c>
      <c r="F21" s="479" t="s">
        <v>535</v>
      </c>
      <c r="G21" s="702"/>
      <c r="H21" s="483">
        <v>384</v>
      </c>
      <c r="I21" s="681" t="s">
        <v>338</v>
      </c>
      <c r="J21" s="483" t="s">
        <v>56</v>
      </c>
      <c r="K21" s="483"/>
      <c r="L21" s="481">
        <v>45905</v>
      </c>
      <c r="M21" s="483" t="s">
        <v>57</v>
      </c>
      <c r="N21" s="559">
        <v>145985.5</v>
      </c>
      <c r="O21" s="483" t="s">
        <v>57</v>
      </c>
      <c r="P21" s="828" t="s">
        <v>339</v>
      </c>
      <c r="Q21" s="485">
        <v>45906</v>
      </c>
      <c r="R21" s="485"/>
      <c r="S21" s="485"/>
      <c r="T21" s="485"/>
      <c r="U21" s="501" t="s">
        <v>491</v>
      </c>
      <c r="V21" s="809">
        <v>14150</v>
      </c>
      <c r="W21" s="917">
        <v>15469</v>
      </c>
      <c r="X21" s="107">
        <f t="shared" si="4"/>
        <v>-1319</v>
      </c>
      <c r="Y21" s="677">
        <f t="shared" si="5"/>
        <v>1.0932155477031802</v>
      </c>
      <c r="Z21" s="698">
        <v>45926</v>
      </c>
      <c r="AA21" s="366">
        <v>1</v>
      </c>
      <c r="AB21" s="366">
        <v>1</v>
      </c>
      <c r="AC21" s="486">
        <v>0</v>
      </c>
      <c r="AD21" s="906" t="s">
        <v>536</v>
      </c>
    </row>
    <row r="22" spans="1:30" ht="39.75" customHeight="1">
      <c r="A22" s="968" t="s">
        <v>537</v>
      </c>
      <c r="B22" s="479" t="s">
        <v>114</v>
      </c>
      <c r="C22" s="490">
        <v>45930</v>
      </c>
      <c r="D22" s="481" t="s">
        <v>538</v>
      </c>
      <c r="E22" s="481">
        <v>45916</v>
      </c>
      <c r="F22" s="479" t="s">
        <v>115</v>
      </c>
      <c r="G22" s="702"/>
      <c r="H22" s="483">
        <v>84</v>
      </c>
      <c r="I22" s="681" t="s">
        <v>338</v>
      </c>
      <c r="J22" s="483" t="s">
        <v>56</v>
      </c>
      <c r="K22" s="483"/>
      <c r="L22" s="479" t="s">
        <v>339</v>
      </c>
      <c r="M22" s="483" t="s">
        <v>57</v>
      </c>
      <c r="N22" s="559">
        <v>30892</v>
      </c>
      <c r="O22" s="483" t="s">
        <v>57</v>
      </c>
      <c r="P22" s="828" t="s">
        <v>339</v>
      </c>
      <c r="Q22" s="485">
        <v>45911</v>
      </c>
      <c r="R22" s="485"/>
      <c r="S22" s="485"/>
      <c r="T22" s="485"/>
      <c r="U22" s="501" t="s">
        <v>491</v>
      </c>
      <c r="V22" s="809">
        <v>2811</v>
      </c>
      <c r="W22" s="917">
        <v>2732</v>
      </c>
      <c r="X22" s="107">
        <f>SUM(V22-W22)</f>
        <v>79</v>
      </c>
      <c r="Y22" s="22">
        <f>IFERROR($W22/$V22, 0)</f>
        <v>0.97189612237637857</v>
      </c>
      <c r="Z22" s="698">
        <v>45922</v>
      </c>
      <c r="AA22" s="366">
        <v>1</v>
      </c>
      <c r="AB22" s="366">
        <v>1</v>
      </c>
      <c r="AC22" s="486">
        <v>0</v>
      </c>
      <c r="AD22" s="684" t="s">
        <v>539</v>
      </c>
    </row>
    <row r="23" spans="1:30" ht="39.75" customHeight="1">
      <c r="A23" s="870" t="s">
        <v>540</v>
      </c>
      <c r="B23" s="849" t="s">
        <v>50</v>
      </c>
      <c r="C23" s="659">
        <v>45838</v>
      </c>
      <c r="D23" s="489" t="s">
        <v>541</v>
      </c>
      <c r="E23" s="490">
        <v>45727</v>
      </c>
      <c r="F23" s="489" t="s">
        <v>61</v>
      </c>
      <c r="G23" s="874" t="s">
        <v>542</v>
      </c>
      <c r="H23" s="492">
        <v>71</v>
      </c>
      <c r="I23" s="855" t="s">
        <v>338</v>
      </c>
      <c r="J23" s="492" t="s">
        <v>63</v>
      </c>
      <c r="K23" s="503"/>
      <c r="L23" s="490">
        <v>45728</v>
      </c>
      <c r="M23" s="492" t="s">
        <v>57</v>
      </c>
      <c r="N23" s="560">
        <v>60843.5</v>
      </c>
      <c r="O23" s="492" t="s">
        <v>57</v>
      </c>
      <c r="P23" s="828" t="s">
        <v>339</v>
      </c>
      <c r="Q23" s="493">
        <v>45722</v>
      </c>
      <c r="R23" s="493">
        <v>45917</v>
      </c>
      <c r="S23" s="493">
        <v>45939</v>
      </c>
      <c r="T23" s="493"/>
      <c r="U23" s="501" t="s">
        <v>491</v>
      </c>
      <c r="V23" s="875">
        <v>4979</v>
      </c>
      <c r="W23" s="763">
        <v>5020</v>
      </c>
      <c r="X23" s="486">
        <f t="shared" si="4"/>
        <v>-41</v>
      </c>
      <c r="Y23" s="682">
        <f t="shared" si="5"/>
        <v>1.0082345852580838</v>
      </c>
      <c r="Z23" s="493">
        <v>45741</v>
      </c>
      <c r="AA23" s="682">
        <v>1</v>
      </c>
      <c r="AB23" s="682">
        <v>1</v>
      </c>
      <c r="AC23" s="363">
        <v>0</v>
      </c>
      <c r="AD23" s="684" t="s">
        <v>543</v>
      </c>
    </row>
    <row r="24" spans="1:30" ht="39.75" customHeight="1">
      <c r="A24" s="966" t="s">
        <v>544</v>
      </c>
      <c r="B24" s="527" t="s">
        <v>50</v>
      </c>
      <c r="C24" s="513">
        <v>45772</v>
      </c>
      <c r="D24" s="528" t="s">
        <v>545</v>
      </c>
      <c r="E24" s="528">
        <v>45693</v>
      </c>
      <c r="F24" s="518" t="s">
        <v>61</v>
      </c>
      <c r="G24" s="529" t="s">
        <v>546</v>
      </c>
      <c r="H24" s="521">
        <v>86</v>
      </c>
      <c r="I24" s="523" t="s">
        <v>338</v>
      </c>
      <c r="J24" s="521" t="s">
        <v>63</v>
      </c>
      <c r="K24" s="521"/>
      <c r="L24" s="528">
        <v>45714</v>
      </c>
      <c r="M24" s="521" t="s">
        <v>57</v>
      </c>
      <c r="N24" s="562">
        <v>94170.5</v>
      </c>
      <c r="O24" s="521" t="s">
        <v>57</v>
      </c>
      <c r="P24" s="967" t="s">
        <v>339</v>
      </c>
      <c r="Q24" s="493">
        <v>45693</v>
      </c>
      <c r="R24" s="493">
        <v>45869</v>
      </c>
      <c r="S24" s="493">
        <v>45903</v>
      </c>
      <c r="T24" s="493"/>
      <c r="U24" s="501" t="s">
        <v>491</v>
      </c>
      <c r="V24" s="509">
        <v>7980</v>
      </c>
      <c r="W24" s="762">
        <v>7901</v>
      </c>
      <c r="X24" s="107">
        <f t="shared" si="4"/>
        <v>79</v>
      </c>
      <c r="Y24" s="22">
        <f t="shared" si="5"/>
        <v>0.99010025062656637</v>
      </c>
      <c r="Z24" s="698">
        <v>45713</v>
      </c>
      <c r="AA24" s="487">
        <v>1</v>
      </c>
      <c r="AB24" s="487">
        <v>1</v>
      </c>
      <c r="AC24" s="837">
        <v>0</v>
      </c>
      <c r="AD24" s="176" t="s">
        <v>547</v>
      </c>
    </row>
    <row r="25" spans="1:30" ht="39.75" customHeight="1">
      <c r="A25" s="966" t="s">
        <v>548</v>
      </c>
      <c r="B25" s="527" t="s">
        <v>50</v>
      </c>
      <c r="C25" s="513">
        <v>45772</v>
      </c>
      <c r="D25" s="528" t="s">
        <v>545</v>
      </c>
      <c r="E25" s="528">
        <v>45698</v>
      </c>
      <c r="F25" s="513" t="s">
        <v>61</v>
      </c>
      <c r="G25" s="529" t="s">
        <v>549</v>
      </c>
      <c r="H25" s="521">
        <v>89</v>
      </c>
      <c r="I25" s="521" t="s">
        <v>338</v>
      </c>
      <c r="J25" s="521" t="s">
        <v>63</v>
      </c>
      <c r="K25" s="521"/>
      <c r="L25" s="528">
        <v>45695</v>
      </c>
      <c r="M25" s="521" t="s">
        <v>57</v>
      </c>
      <c r="N25" s="563">
        <v>89698.5</v>
      </c>
      <c r="O25" s="521" t="s">
        <v>57</v>
      </c>
      <c r="P25" s="967" t="s">
        <v>339</v>
      </c>
      <c r="Q25" s="493">
        <v>45694</v>
      </c>
      <c r="R25" s="493">
        <v>45917</v>
      </c>
      <c r="S25" s="493">
        <v>45936</v>
      </c>
      <c r="T25" s="493"/>
      <c r="U25" s="501" t="s">
        <v>491</v>
      </c>
      <c r="V25" s="509">
        <v>7562</v>
      </c>
      <c r="W25" s="762">
        <v>7556</v>
      </c>
      <c r="X25" s="107">
        <f t="shared" si="4"/>
        <v>6</v>
      </c>
      <c r="Y25" s="22">
        <f t="shared" si="5"/>
        <v>0.99920655911134626</v>
      </c>
      <c r="Z25" s="698">
        <v>45709</v>
      </c>
      <c r="AA25" s="487">
        <v>1</v>
      </c>
      <c r="AB25" s="487">
        <v>1</v>
      </c>
      <c r="AC25" s="837">
        <v>0</v>
      </c>
      <c r="AD25" s="204" t="s">
        <v>550</v>
      </c>
    </row>
    <row r="26" spans="1:30" ht="39.75" customHeight="1">
      <c r="A26" s="876" t="s">
        <v>551</v>
      </c>
      <c r="B26" s="849" t="s">
        <v>50</v>
      </c>
      <c r="C26" s="490">
        <v>45772</v>
      </c>
      <c r="D26" s="490" t="s">
        <v>541</v>
      </c>
      <c r="E26" s="852">
        <v>45686</v>
      </c>
      <c r="F26" s="489" t="s">
        <v>61</v>
      </c>
      <c r="G26" s="877" t="s">
        <v>552</v>
      </c>
      <c r="H26" s="855">
        <v>77</v>
      </c>
      <c r="I26" s="681" t="s">
        <v>338</v>
      </c>
      <c r="J26" s="855" t="s">
        <v>63</v>
      </c>
      <c r="K26" s="855"/>
      <c r="L26" s="852">
        <v>45686</v>
      </c>
      <c r="M26" s="855" t="s">
        <v>57</v>
      </c>
      <c r="N26" s="878">
        <v>61924</v>
      </c>
      <c r="O26" s="855" t="s">
        <v>57</v>
      </c>
      <c r="P26" s="828" t="s">
        <v>339</v>
      </c>
      <c r="Q26" s="493">
        <v>45692</v>
      </c>
      <c r="R26" s="493">
        <v>45847</v>
      </c>
      <c r="S26" s="493">
        <v>45852</v>
      </c>
      <c r="T26" s="493"/>
      <c r="U26" s="501" t="s">
        <v>491</v>
      </c>
      <c r="V26" s="879">
        <v>5005</v>
      </c>
      <c r="W26" s="880">
        <v>4996</v>
      </c>
      <c r="X26" s="486">
        <f t="shared" si="4"/>
        <v>9</v>
      </c>
      <c r="Y26" s="682">
        <f t="shared" si="5"/>
        <v>0.99820179820179822</v>
      </c>
      <c r="Z26" s="493">
        <v>45708</v>
      </c>
      <c r="AA26" s="682">
        <v>1</v>
      </c>
      <c r="AB26" s="682">
        <v>1</v>
      </c>
      <c r="AC26" s="837">
        <v>0</v>
      </c>
      <c r="AD26" s="883" t="s">
        <v>553</v>
      </c>
    </row>
    <row r="27" spans="1:30" ht="39.75" customHeight="1">
      <c r="A27" s="876" t="s">
        <v>554</v>
      </c>
      <c r="B27" s="849" t="s">
        <v>50</v>
      </c>
      <c r="C27" s="490">
        <v>45772</v>
      </c>
      <c r="D27" s="852" t="s">
        <v>555</v>
      </c>
      <c r="E27" s="852">
        <v>45694</v>
      </c>
      <c r="F27" s="852" t="s">
        <v>61</v>
      </c>
      <c r="G27" s="877" t="s">
        <v>556</v>
      </c>
      <c r="H27" s="855">
        <v>84</v>
      </c>
      <c r="I27" s="681" t="s">
        <v>338</v>
      </c>
      <c r="J27" s="855" t="s">
        <v>63</v>
      </c>
      <c r="K27" s="855"/>
      <c r="L27" s="852">
        <v>45698</v>
      </c>
      <c r="M27" s="855" t="s">
        <v>57</v>
      </c>
      <c r="N27" s="878">
        <v>63402.5</v>
      </c>
      <c r="O27" s="855" t="s">
        <v>57</v>
      </c>
      <c r="P27" s="828" t="s">
        <v>339</v>
      </c>
      <c r="Q27" s="493">
        <v>45695</v>
      </c>
      <c r="R27" s="493">
        <v>45847</v>
      </c>
      <c r="S27" s="493">
        <v>45852</v>
      </c>
      <c r="T27" s="493"/>
      <c r="U27" s="501" t="s">
        <v>491</v>
      </c>
      <c r="V27" s="875">
        <v>4979</v>
      </c>
      <c r="W27" s="880">
        <v>4984</v>
      </c>
      <c r="X27" s="486">
        <f t="shared" si="4"/>
        <v>-5</v>
      </c>
      <c r="Y27" s="682">
        <f t="shared" si="5"/>
        <v>1.0010042177144005</v>
      </c>
      <c r="Z27" s="493">
        <v>45714</v>
      </c>
      <c r="AA27" s="682">
        <v>1</v>
      </c>
      <c r="AB27" s="682">
        <v>1</v>
      </c>
      <c r="AC27" s="837">
        <v>0</v>
      </c>
      <c r="AD27" s="149" t="s">
        <v>557</v>
      </c>
    </row>
    <row r="28" spans="1:30" ht="39.75" customHeight="1">
      <c r="A28" s="870" t="s">
        <v>558</v>
      </c>
      <c r="B28" s="881" t="s">
        <v>50</v>
      </c>
      <c r="C28" s="659">
        <v>45688</v>
      </c>
      <c r="D28" s="659" t="s">
        <v>545</v>
      </c>
      <c r="E28" s="659">
        <v>45695</v>
      </c>
      <c r="F28" s="481" t="s">
        <v>61</v>
      </c>
      <c r="G28" s="882" t="s">
        <v>559</v>
      </c>
      <c r="H28" s="483">
        <v>88</v>
      </c>
      <c r="I28" s="681" t="s">
        <v>560</v>
      </c>
      <c r="J28" s="483" t="s">
        <v>63</v>
      </c>
      <c r="K28" s="855"/>
      <c r="L28" s="479" t="s">
        <v>339</v>
      </c>
      <c r="M28" s="681" t="s">
        <v>57</v>
      </c>
      <c r="N28" s="559">
        <v>43130</v>
      </c>
      <c r="O28" s="681" t="s">
        <v>57</v>
      </c>
      <c r="P28" s="828" t="s">
        <v>339</v>
      </c>
      <c r="Q28" s="485">
        <v>45691</v>
      </c>
      <c r="R28" s="485">
        <v>45870</v>
      </c>
      <c r="S28" s="485">
        <v>45908</v>
      </c>
      <c r="T28" s="485"/>
      <c r="U28" s="501" t="s">
        <v>491</v>
      </c>
      <c r="V28" s="486">
        <v>2931</v>
      </c>
      <c r="W28" s="763">
        <v>3257</v>
      </c>
      <c r="X28" s="486">
        <f t="shared" si="4"/>
        <v>-326</v>
      </c>
      <c r="Y28" s="682">
        <f t="shared" si="5"/>
        <v>1.11122483793927</v>
      </c>
      <c r="Z28" s="485">
        <v>45750</v>
      </c>
      <c r="AA28" s="515">
        <v>1</v>
      </c>
      <c r="AB28" s="515">
        <v>1</v>
      </c>
      <c r="AC28" s="662">
        <v>0</v>
      </c>
      <c r="AD28" s="919" t="s">
        <v>561</v>
      </c>
    </row>
    <row r="29" spans="1:30" ht="39.75" customHeight="1">
      <c r="A29" s="870" t="s">
        <v>562</v>
      </c>
      <c r="B29" s="849" t="s">
        <v>50</v>
      </c>
      <c r="C29" s="852">
        <v>45688</v>
      </c>
      <c r="D29" s="490" t="s">
        <v>71</v>
      </c>
      <c r="E29" s="852">
        <v>45686</v>
      </c>
      <c r="F29" s="852" t="s">
        <v>61</v>
      </c>
      <c r="G29" s="877" t="s">
        <v>563</v>
      </c>
      <c r="H29" s="492">
        <v>88</v>
      </c>
      <c r="I29" s="855" t="s">
        <v>560</v>
      </c>
      <c r="J29" s="492" t="s">
        <v>63</v>
      </c>
      <c r="K29" s="492"/>
      <c r="L29" s="856">
        <v>45706</v>
      </c>
      <c r="M29" s="855" t="s">
        <v>57</v>
      </c>
      <c r="N29" s="560">
        <v>69212.5</v>
      </c>
      <c r="O29" s="855" t="s">
        <v>57</v>
      </c>
      <c r="P29" s="828" t="s">
        <v>339</v>
      </c>
      <c r="Q29" s="493">
        <v>45679</v>
      </c>
      <c r="R29" s="493">
        <v>45917</v>
      </c>
      <c r="S29" s="493">
        <v>45918</v>
      </c>
      <c r="T29" s="493"/>
      <c r="U29" s="501" t="s">
        <v>491</v>
      </c>
      <c r="V29" s="41">
        <v>5661</v>
      </c>
      <c r="W29" s="763">
        <v>5752</v>
      </c>
      <c r="X29" s="486">
        <f t="shared" si="4"/>
        <v>-91</v>
      </c>
      <c r="Y29" s="682">
        <f t="shared" si="5"/>
        <v>1.0160748984278396</v>
      </c>
      <c r="Z29" s="493">
        <v>45681</v>
      </c>
      <c r="AA29" s="682">
        <v>1</v>
      </c>
      <c r="AB29" s="682">
        <v>1</v>
      </c>
      <c r="AC29" s="837">
        <v>0</v>
      </c>
      <c r="AD29" s="149" t="s">
        <v>564</v>
      </c>
    </row>
    <row r="30" spans="1:30" ht="39.75" customHeight="1">
      <c r="A30" s="870" t="s">
        <v>565</v>
      </c>
      <c r="B30" s="849" t="s">
        <v>50</v>
      </c>
      <c r="C30" s="490">
        <v>45772</v>
      </c>
      <c r="D30" s="489" t="s">
        <v>555</v>
      </c>
      <c r="E30" s="490">
        <v>45743</v>
      </c>
      <c r="F30" s="489" t="s">
        <v>61</v>
      </c>
      <c r="G30" s="850" t="s">
        <v>566</v>
      </c>
      <c r="H30" s="492">
        <v>57</v>
      </c>
      <c r="I30" s="855" t="s">
        <v>338</v>
      </c>
      <c r="J30" s="483" t="s">
        <v>63</v>
      </c>
      <c r="K30" s="851"/>
      <c r="L30" s="490">
        <v>45741</v>
      </c>
      <c r="M30" s="483" t="s">
        <v>57</v>
      </c>
      <c r="N30" s="560">
        <v>49071</v>
      </c>
      <c r="O30" s="483" t="s">
        <v>57</v>
      </c>
      <c r="P30" s="828" t="s">
        <v>339</v>
      </c>
      <c r="Q30" s="493">
        <v>45745</v>
      </c>
      <c r="R30" s="493">
        <v>45832</v>
      </c>
      <c r="S30" s="493">
        <v>45839</v>
      </c>
      <c r="T30" s="493"/>
      <c r="U30" s="501" t="s">
        <v>491</v>
      </c>
      <c r="V30" s="41">
        <v>3967</v>
      </c>
      <c r="W30" s="763">
        <v>3936</v>
      </c>
      <c r="X30" s="107">
        <f t="shared" si="4"/>
        <v>31</v>
      </c>
      <c r="Y30" s="677">
        <f t="shared" si="5"/>
        <v>0.99218553062767834</v>
      </c>
      <c r="Z30" s="698">
        <v>45756</v>
      </c>
      <c r="AA30" s="682">
        <v>1</v>
      </c>
      <c r="AB30" s="682">
        <v>1</v>
      </c>
      <c r="AC30" s="662">
        <v>0</v>
      </c>
      <c r="AD30" s="918" t="s">
        <v>567</v>
      </c>
    </row>
    <row r="31" spans="1:30" ht="39.75" customHeight="1">
      <c r="A31" s="1178" t="s">
        <v>568</v>
      </c>
      <c r="B31" s="389" t="s">
        <v>50</v>
      </c>
      <c r="C31" s="51">
        <v>45742</v>
      </c>
      <c r="D31" s="1161" t="s">
        <v>569</v>
      </c>
      <c r="E31" s="392">
        <v>45680</v>
      </c>
      <c r="F31" s="50" t="s">
        <v>61</v>
      </c>
      <c r="G31" s="589" t="s">
        <v>570</v>
      </c>
      <c r="H31" s="52">
        <v>79</v>
      </c>
      <c r="I31" s="1163" t="s">
        <v>560</v>
      </c>
      <c r="J31" s="1031" t="s">
        <v>63</v>
      </c>
      <c r="K31" s="52"/>
      <c r="L31" s="385" t="s">
        <v>339</v>
      </c>
      <c r="M31" s="391" t="s">
        <v>57</v>
      </c>
      <c r="N31" s="1150">
        <v>64790.5</v>
      </c>
      <c r="O31" s="391" t="s">
        <v>57</v>
      </c>
      <c r="P31" s="1179" t="s">
        <v>339</v>
      </c>
      <c r="Q31" s="54">
        <v>45675</v>
      </c>
      <c r="R31" s="54">
        <v>45917</v>
      </c>
      <c r="S31" s="54">
        <v>45931</v>
      </c>
      <c r="T31" s="54"/>
      <c r="U31" s="501" t="s">
        <v>491</v>
      </c>
      <c r="V31" s="31">
        <v>4975</v>
      </c>
      <c r="W31" s="1180">
        <v>4975</v>
      </c>
      <c r="X31" s="107">
        <f t="shared" si="4"/>
        <v>0</v>
      </c>
      <c r="Y31" s="22">
        <f t="shared" si="5"/>
        <v>1</v>
      </c>
      <c r="Z31" s="198">
        <v>45680</v>
      </c>
      <c r="AA31" s="366">
        <v>0</v>
      </c>
      <c r="AB31" s="366">
        <v>0</v>
      </c>
      <c r="AC31" s="837">
        <v>0</v>
      </c>
      <c r="AD31" s="69" t="s">
        <v>571</v>
      </c>
    </row>
    <row r="32" spans="1:30" ht="39.75" customHeight="1">
      <c r="A32" s="870" t="s">
        <v>572</v>
      </c>
      <c r="B32" s="849" t="s">
        <v>50</v>
      </c>
      <c r="C32" s="481">
        <v>45960</v>
      </c>
      <c r="D32" s="479" t="s">
        <v>245</v>
      </c>
      <c r="E32" s="481">
        <v>45927</v>
      </c>
      <c r="F32" s="479" t="s">
        <v>100</v>
      </c>
      <c r="G32" s="702" t="s">
        <v>573</v>
      </c>
      <c r="H32" s="483">
        <v>86</v>
      </c>
      <c r="I32" s="681" t="s">
        <v>338</v>
      </c>
      <c r="J32" s="483" t="s">
        <v>63</v>
      </c>
      <c r="K32" s="492"/>
      <c r="L32" s="481">
        <v>45917</v>
      </c>
      <c r="M32" s="483" t="s">
        <v>57</v>
      </c>
      <c r="N32" s="559">
        <v>45500</v>
      </c>
      <c r="O32" s="483" t="s">
        <v>57</v>
      </c>
      <c r="P32" s="828" t="s">
        <v>339</v>
      </c>
      <c r="Q32" s="485">
        <v>45917</v>
      </c>
      <c r="R32" s="485">
        <v>45944</v>
      </c>
      <c r="S32" s="485">
        <v>45951</v>
      </c>
      <c r="T32" s="485"/>
      <c r="U32" s="501" t="s">
        <v>491</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574</v>
      </c>
      <c r="B33" s="849" t="s">
        <v>50</v>
      </c>
      <c r="C33" s="481">
        <v>45991</v>
      </c>
      <c r="D33" s="481" t="s">
        <v>71</v>
      </c>
      <c r="E33" s="490">
        <v>45743</v>
      </c>
      <c r="F33" s="489" t="s">
        <v>61</v>
      </c>
      <c r="G33" s="850" t="s">
        <v>575</v>
      </c>
      <c r="H33" s="492">
        <v>70</v>
      </c>
      <c r="I33" s="681" t="s">
        <v>338</v>
      </c>
      <c r="J33" s="483" t="s">
        <v>63</v>
      </c>
      <c r="K33" s="851"/>
      <c r="L33" s="490">
        <v>45741</v>
      </c>
      <c r="M33" s="483" t="s">
        <v>57</v>
      </c>
      <c r="N33" s="560">
        <v>67735.5</v>
      </c>
      <c r="O33" s="483" t="s">
        <v>57</v>
      </c>
      <c r="P33" s="828" t="s">
        <v>339</v>
      </c>
      <c r="Q33" s="493">
        <v>45779</v>
      </c>
      <c r="R33" s="493"/>
      <c r="S33" s="493"/>
      <c r="T33" s="493"/>
      <c r="U33" s="501" t="s">
        <v>491</v>
      </c>
      <c r="V33" s="41">
        <v>6152</v>
      </c>
      <c r="W33" s="763">
        <v>5723</v>
      </c>
      <c r="X33" s="107">
        <f>SUM(V33-W33)</f>
        <v>429</v>
      </c>
      <c r="Y33" s="677">
        <f>IFERROR($W33/$V33, 0)</f>
        <v>0.9302665799739922</v>
      </c>
      <c r="Z33" s="698">
        <v>45792</v>
      </c>
      <c r="AA33" s="366">
        <v>0</v>
      </c>
      <c r="AB33" s="366">
        <v>0</v>
      </c>
      <c r="AC33" s="662">
        <v>0</v>
      </c>
      <c r="AD33" s="364" t="s">
        <v>576</v>
      </c>
    </row>
    <row r="34" spans="1:30" ht="39.75" customHeight="1">
      <c r="A34" s="916" t="s">
        <v>577</v>
      </c>
      <c r="B34" s="849" t="s">
        <v>50</v>
      </c>
      <c r="C34" s="852">
        <v>45716</v>
      </c>
      <c r="D34" s="852" t="s">
        <v>71</v>
      </c>
      <c r="E34" s="852">
        <v>45701</v>
      </c>
      <c r="F34" s="489" t="s">
        <v>61</v>
      </c>
      <c r="G34" s="877" t="s">
        <v>493</v>
      </c>
      <c r="H34" s="855">
        <v>0</v>
      </c>
      <c r="I34" s="855" t="s">
        <v>339</v>
      </c>
      <c r="J34" s="855" t="s">
        <v>63</v>
      </c>
      <c r="K34" s="855"/>
      <c r="L34" s="852">
        <v>45705</v>
      </c>
      <c r="M34" s="855" t="s">
        <v>57</v>
      </c>
      <c r="N34" s="878">
        <v>1295</v>
      </c>
      <c r="O34" s="855" t="s">
        <v>57</v>
      </c>
      <c r="P34" s="828" t="s">
        <v>339</v>
      </c>
      <c r="Q34" s="530">
        <v>45706</v>
      </c>
      <c r="R34" s="530">
        <v>45826</v>
      </c>
      <c r="S34" s="530"/>
      <c r="T34" s="530"/>
      <c r="U34" s="501" t="s">
        <v>491</v>
      </c>
      <c r="V34" s="879">
        <v>153</v>
      </c>
      <c r="W34" s="762">
        <v>153</v>
      </c>
      <c r="X34" s="107">
        <f t="shared" si="4"/>
        <v>0</v>
      </c>
      <c r="Y34" s="677">
        <f t="shared" si="5"/>
        <v>1</v>
      </c>
      <c r="Z34" s="698">
        <v>45754</v>
      </c>
      <c r="AA34" s="487">
        <v>1</v>
      </c>
      <c r="AB34" s="487">
        <v>1</v>
      </c>
      <c r="AC34" s="837">
        <v>0</v>
      </c>
      <c r="AD34" s="176" t="s">
        <v>578</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489</v>
      </c>
      <c r="E36" s="51">
        <v>45727</v>
      </c>
      <c r="F36" s="50" t="s">
        <v>664</v>
      </c>
      <c r="G36" s="605" t="s">
        <v>665</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338</v>
      </c>
      <c r="J70" s="796" t="s">
        <v>63</v>
      </c>
      <c r="K70" s="57">
        <v>45707</v>
      </c>
      <c r="L70" s="796" t="s">
        <v>57</v>
      </c>
      <c r="M70" s="440" t="s">
        <v>754</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338</v>
      </c>
      <c r="J120" s="519" t="s">
        <v>63</v>
      </c>
      <c r="K120" s="520" t="s">
        <v>871</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489</v>
      </c>
      <c r="E139" s="57">
        <v>45694</v>
      </c>
      <c r="F139" s="57" t="s">
        <v>664</v>
      </c>
      <c r="G139" s="816" t="s">
        <v>922</v>
      </c>
      <c r="H139" s="796">
        <v>0</v>
      </c>
      <c r="I139" s="812" t="s">
        <v>560</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395</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489</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396</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396</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492</v>
      </c>
      <c r="B284">
        <v>2227</v>
      </c>
      <c r="G284">
        <v>2227</v>
      </c>
    </row>
    <row r="285" spans="1:7">
      <c r="A285" t="s">
        <v>558</v>
      </c>
      <c r="C285">
        <v>0</v>
      </c>
      <c r="D285">
        <v>0</v>
      </c>
      <c r="E285">
        <v>344</v>
      </c>
      <c r="G285">
        <v>344</v>
      </c>
    </row>
    <row r="286" spans="1:7">
      <c r="A286" t="s">
        <v>488</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393</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488</v>
      </c>
    </row>
    <row r="311" spans="1:7">
      <c r="A311" t="s">
        <v>758</v>
      </c>
    </row>
    <row r="312" spans="1:7">
      <c r="A312" t="s">
        <v>634</v>
      </c>
      <c r="B312">
        <v>618</v>
      </c>
      <c r="C312">
        <v>700</v>
      </c>
      <c r="G312">
        <v>1318</v>
      </c>
    </row>
    <row r="313" spans="1:7">
      <c r="A313" t="s">
        <v>626</v>
      </c>
    </row>
    <row r="314" spans="1:7">
      <c r="A314" t="s">
        <v>393</v>
      </c>
    </row>
    <row r="315" spans="1:7">
      <c r="A315" t="s">
        <v>755</v>
      </c>
      <c r="B315">
        <v>990</v>
      </c>
      <c r="C315">
        <v>1871</v>
      </c>
      <c r="D315">
        <v>1307</v>
      </c>
      <c r="G315">
        <v>4168</v>
      </c>
    </row>
    <row r="316" spans="1:7">
      <c r="A316" t="s">
        <v>474</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474</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478</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481</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433</v>
      </c>
      <c r="B470">
        <v>644</v>
      </c>
      <c r="C470">
        <v>1430</v>
      </c>
      <c r="D470">
        <v>970</v>
      </c>
      <c r="G470">
        <v>3044</v>
      </c>
    </row>
    <row r="471" spans="1:7">
      <c r="A471" t="s">
        <v>495</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433</v>
      </c>
      <c r="B485">
        <v>948</v>
      </c>
      <c r="D485">
        <v>736</v>
      </c>
      <c r="F485">
        <v>1684</v>
      </c>
    </row>
    <row r="486" spans="1:7">
      <c r="A486" t="s">
        <v>413</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474</v>
      </c>
      <c r="E501">
        <v>341</v>
      </c>
      <c r="G501">
        <v>341</v>
      </c>
    </row>
    <row r="502" spans="1:7">
      <c r="A502" t="s">
        <v>989</v>
      </c>
    </row>
    <row r="503" spans="1:7">
      <c r="A503" t="s">
        <v>433</v>
      </c>
      <c r="B503">
        <v>1957</v>
      </c>
      <c r="G503">
        <v>1957</v>
      </c>
    </row>
    <row r="504" spans="1:7">
      <c r="A504" t="s">
        <v>413</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413</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488</v>
      </c>
      <c r="E534">
        <v>977</v>
      </c>
      <c r="G534">
        <v>977</v>
      </c>
    </row>
    <row r="535" spans="1:7">
      <c r="A535" t="s">
        <v>988</v>
      </c>
      <c r="D535">
        <v>81</v>
      </c>
      <c r="F535">
        <v>114</v>
      </c>
      <c r="G535">
        <v>195</v>
      </c>
    </row>
    <row r="536" spans="1:7">
      <c r="A536" t="s">
        <v>595</v>
      </c>
    </row>
    <row r="537" spans="1:7">
      <c r="A537" t="s">
        <v>433</v>
      </c>
    </row>
    <row r="538" spans="1:7">
      <c r="A538" t="s">
        <v>413</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488</v>
      </c>
      <c r="E549">
        <v>676</v>
      </c>
      <c r="F549">
        <v>430</v>
      </c>
      <c r="G549">
        <v>1106</v>
      </c>
    </row>
    <row r="550" spans="1:7">
      <c r="A550" t="s">
        <v>474</v>
      </c>
      <c r="D550">
        <v>649</v>
      </c>
      <c r="G550">
        <v>649</v>
      </c>
    </row>
    <row r="551" spans="1:7">
      <c r="A551" t="s">
        <v>988</v>
      </c>
      <c r="B551">
        <v>237</v>
      </c>
      <c r="C551">
        <v>322</v>
      </c>
      <c r="D551">
        <v>245</v>
      </c>
      <c r="E551">
        <v>1091</v>
      </c>
      <c r="F551">
        <v>303</v>
      </c>
      <c r="G551">
        <v>2198</v>
      </c>
    </row>
    <row r="552" spans="1:7">
      <c r="A552" t="s">
        <v>413</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488</v>
      </c>
      <c r="B565">
        <v>885</v>
      </c>
      <c r="C565">
        <v>478</v>
      </c>
      <c r="D565">
        <v>490</v>
      </c>
      <c r="E565">
        <v>372</v>
      </c>
      <c r="G565">
        <v>2225</v>
      </c>
    </row>
    <row r="566" spans="1:7">
      <c r="A566" t="s">
        <v>77</v>
      </c>
    </row>
    <row r="567" spans="1:7">
      <c r="A567" t="s">
        <v>988</v>
      </c>
      <c r="B567">
        <v>360</v>
      </c>
      <c r="G567">
        <v>360</v>
      </c>
    </row>
    <row r="568" spans="1:7">
      <c r="A568" t="s">
        <v>433</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492</v>
      </c>
      <c r="F578">
        <v>198</v>
      </c>
      <c r="G578">
        <v>198</v>
      </c>
    </row>
    <row r="579" spans="1:7">
      <c r="A579" t="s">
        <v>488</v>
      </c>
    </row>
    <row r="580" spans="1:7">
      <c r="A580" t="s">
        <v>393</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396</v>
      </c>
      <c r="C590">
        <v>403</v>
      </c>
      <c r="D590">
        <v>39</v>
      </c>
      <c r="G590">
        <v>442</v>
      </c>
    </row>
    <row r="591" spans="1:7">
      <c r="A591" t="s">
        <v>492</v>
      </c>
      <c r="B591">
        <v>862</v>
      </c>
      <c r="G591">
        <v>862</v>
      </c>
    </row>
    <row r="592" spans="1:7">
      <c r="A592" t="s">
        <v>983</v>
      </c>
      <c r="C592">
        <v>203</v>
      </c>
      <c r="D592">
        <v>170</v>
      </c>
      <c r="E592">
        <v>106</v>
      </c>
      <c r="G592">
        <v>479</v>
      </c>
    </row>
    <row r="593" spans="1:7">
      <c r="A593" t="s">
        <v>413</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396</v>
      </c>
      <c r="C604">
        <v>318</v>
      </c>
      <c r="G604">
        <v>318</v>
      </c>
    </row>
    <row r="605" spans="1:7">
      <c r="A605" t="s">
        <v>492</v>
      </c>
      <c r="D605">
        <v>461</v>
      </c>
      <c r="E605">
        <v>880</v>
      </c>
      <c r="F605">
        <v>585</v>
      </c>
      <c r="G605">
        <v>1926</v>
      </c>
    </row>
    <row r="606" spans="1:7">
      <c r="A606" t="s">
        <v>393</v>
      </c>
      <c r="E606">
        <v>868</v>
      </c>
      <c r="G606">
        <v>868</v>
      </c>
    </row>
    <row r="607" spans="1:7">
      <c r="A607" t="s">
        <v>983</v>
      </c>
      <c r="D607">
        <v>272</v>
      </c>
      <c r="E607">
        <v>79</v>
      </c>
      <c r="G607">
        <v>351</v>
      </c>
    </row>
    <row r="608" spans="1:7">
      <c r="A608" t="s">
        <v>413</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492</v>
      </c>
      <c r="B625">
        <v>345</v>
      </c>
      <c r="G625">
        <v>345</v>
      </c>
    </row>
    <row r="626" spans="1:7">
      <c r="A626" t="s">
        <v>413</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396</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404</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393</v>
      </c>
      <c r="D665">
        <v>499</v>
      </c>
      <c r="E665">
        <v>231</v>
      </c>
      <c r="F665">
        <v>316</v>
      </c>
      <c r="G665">
        <v>1046</v>
      </c>
    </row>
    <row r="666" spans="1:7">
      <c r="A666" t="s">
        <v>474</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404</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396</v>
      </c>
      <c r="D684">
        <v>358</v>
      </c>
      <c r="G684">
        <v>358</v>
      </c>
    </row>
    <row r="685" spans="1:7">
      <c r="A685" t="s">
        <v>492</v>
      </c>
      <c r="D685">
        <v>1241</v>
      </c>
      <c r="G685">
        <v>1241</v>
      </c>
    </row>
    <row r="686" spans="1:7">
      <c r="A686" t="s">
        <v>393</v>
      </c>
      <c r="B686">
        <v>503</v>
      </c>
      <c r="C686">
        <v>295</v>
      </c>
      <c r="F686">
        <v>6</v>
      </c>
      <c r="G686">
        <v>804</v>
      </c>
    </row>
    <row r="687" spans="1:7">
      <c r="A687" t="s">
        <v>474</v>
      </c>
      <c r="C687">
        <v>1009</v>
      </c>
      <c r="G687">
        <v>1009</v>
      </c>
    </row>
    <row r="688" spans="1:7">
      <c r="A688" t="s">
        <v>983</v>
      </c>
      <c r="B688">
        <v>20</v>
      </c>
      <c r="E688">
        <v>250</v>
      </c>
      <c r="F688">
        <v>177</v>
      </c>
      <c r="G688">
        <v>447</v>
      </c>
    </row>
    <row r="689" spans="1:7">
      <c r="A689" t="s">
        <v>497</v>
      </c>
      <c r="B689">
        <v>639</v>
      </c>
      <c r="G689">
        <v>639</v>
      </c>
    </row>
    <row r="690" spans="1:7">
      <c r="A690" t="s">
        <v>404</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396</v>
      </c>
      <c r="E706">
        <v>99</v>
      </c>
      <c r="G706">
        <v>99</v>
      </c>
    </row>
    <row r="707" spans="1:7">
      <c r="A707" t="s">
        <v>492</v>
      </c>
    </row>
    <row r="708" spans="1:7">
      <c r="A708" t="s">
        <v>758</v>
      </c>
    </row>
    <row r="709" spans="1:7">
      <c r="A709" t="s">
        <v>393</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474</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396</v>
      </c>
    </row>
    <row r="743" spans="1:7">
      <c r="A743" t="s">
        <v>492</v>
      </c>
      <c r="D743">
        <v>139</v>
      </c>
      <c r="G743">
        <v>139</v>
      </c>
    </row>
    <row r="744" spans="1:7">
      <c r="A744" t="s">
        <v>393</v>
      </c>
    </row>
    <row r="745" spans="1:7">
      <c r="A745" t="s">
        <v>481</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399</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396</v>
      </c>
    </row>
    <row r="763" spans="1:7">
      <c r="A763" t="s">
        <v>492</v>
      </c>
      <c r="B763">
        <v>60</v>
      </c>
      <c r="G763">
        <v>60</v>
      </c>
    </row>
    <row r="764" spans="1:7">
      <c r="A764" t="s">
        <v>478</v>
      </c>
      <c r="E764">
        <v>175</v>
      </c>
      <c r="G764">
        <v>175</v>
      </c>
    </row>
    <row r="765" spans="1:7">
      <c r="A765" t="s">
        <v>988</v>
      </c>
      <c r="C765">
        <v>224</v>
      </c>
      <c r="G765">
        <v>224</v>
      </c>
    </row>
    <row r="766" spans="1:7">
      <c r="A766" t="s">
        <v>374</v>
      </c>
      <c r="D766">
        <v>406</v>
      </c>
      <c r="G766">
        <v>406</v>
      </c>
    </row>
    <row r="767" spans="1:7">
      <c r="A767" t="s">
        <v>404</v>
      </c>
      <c r="D767">
        <v>362</v>
      </c>
      <c r="E767">
        <v>399</v>
      </c>
      <c r="G767">
        <v>761</v>
      </c>
    </row>
    <row r="768" spans="1:7">
      <c r="A768" t="s">
        <v>851</v>
      </c>
    </row>
    <row r="769" spans="1:7">
      <c r="A769" t="s">
        <v>821</v>
      </c>
    </row>
    <row r="770" spans="1:7">
      <c r="A770" t="s">
        <v>399</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402</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396</v>
      </c>
    </row>
    <row r="790" spans="1:7">
      <c r="A790" t="s">
        <v>478</v>
      </c>
      <c r="B790">
        <v>229</v>
      </c>
      <c r="G790">
        <v>229</v>
      </c>
    </row>
    <row r="791" spans="1:7">
      <c r="A791" t="s">
        <v>481</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399</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402</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478</v>
      </c>
      <c r="E813">
        <v>270</v>
      </c>
      <c r="F813">
        <v>268</v>
      </c>
      <c r="G813">
        <v>538</v>
      </c>
    </row>
    <row r="814" spans="1:7">
      <c r="A814" t="s">
        <v>982</v>
      </c>
      <c r="D814">
        <v>126</v>
      </c>
      <c r="E814">
        <v>229</v>
      </c>
      <c r="G814">
        <v>355</v>
      </c>
    </row>
    <row r="815" spans="1:7">
      <c r="A815" t="s">
        <v>481</v>
      </c>
      <c r="B815">
        <v>175</v>
      </c>
      <c r="C815">
        <v>270</v>
      </c>
      <c r="G815">
        <v>445</v>
      </c>
    </row>
    <row r="816" spans="1:7">
      <c r="A816" t="s">
        <v>988</v>
      </c>
      <c r="B816">
        <v>65</v>
      </c>
      <c r="C816">
        <v>55</v>
      </c>
      <c r="G816">
        <v>120</v>
      </c>
    </row>
    <row r="817" spans="1:7">
      <c r="A817" t="s">
        <v>374</v>
      </c>
    </row>
    <row r="818" spans="1:7">
      <c r="A818" t="s">
        <v>399</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402</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404</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486</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481</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486</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407</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478</v>
      </c>
      <c r="D880">
        <v>171</v>
      </c>
      <c r="G880">
        <v>171</v>
      </c>
    </row>
    <row r="881" spans="1:7">
      <c r="A881" t="s">
        <v>982</v>
      </c>
      <c r="B881">
        <v>567</v>
      </c>
      <c r="G881">
        <v>567</v>
      </c>
    </row>
    <row r="882" spans="1:7">
      <c r="A882" t="s">
        <v>374</v>
      </c>
    </row>
    <row r="883" spans="1:7">
      <c r="A883" t="s">
        <v>497</v>
      </c>
      <c r="F883">
        <v>60</v>
      </c>
      <c r="G883">
        <v>60</v>
      </c>
    </row>
    <row r="884" spans="1:7">
      <c r="A884" t="s">
        <v>404</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486</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407</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402</v>
      </c>
      <c r="F911">
        <v>569</v>
      </c>
      <c r="G911">
        <v>569</v>
      </c>
    </row>
    <row r="912" spans="1:7">
      <c r="A912" t="s">
        <v>486</v>
      </c>
    </row>
    <row r="913" spans="1:7">
      <c r="A913" t="s">
        <v>379</v>
      </c>
      <c r="D913">
        <v>150</v>
      </c>
      <c r="G913">
        <v>150</v>
      </c>
    </row>
    <row r="914" spans="1:7">
      <c r="A914" t="s">
        <v>392</v>
      </c>
    </row>
    <row r="915" spans="1:7">
      <c r="A915" t="s">
        <v>529</v>
      </c>
      <c r="B915">
        <v>701</v>
      </c>
      <c r="G915">
        <v>701</v>
      </c>
    </row>
    <row r="916" spans="1:7">
      <c r="A916" t="s">
        <v>407</v>
      </c>
      <c r="B916">
        <v>463</v>
      </c>
      <c r="C916">
        <v>633</v>
      </c>
      <c r="D916">
        <v>625</v>
      </c>
      <c r="G916">
        <v>1721</v>
      </c>
    </row>
    <row r="917" spans="1:7">
      <c r="A917" t="s">
        <v>390</v>
      </c>
    </row>
    <row r="918" spans="1:7">
      <c r="A918" t="s">
        <v>385</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409</v>
      </c>
      <c r="B924">
        <v>207</v>
      </c>
      <c r="G924">
        <v>207</v>
      </c>
    </row>
    <row r="925" spans="1:7">
      <c r="A925" t="s">
        <v>98</v>
      </c>
      <c r="C925">
        <v>1691</v>
      </c>
      <c r="D925">
        <v>1998</v>
      </c>
      <c r="E925">
        <v>760</v>
      </c>
      <c r="F925">
        <v>3975</v>
      </c>
      <c r="G925">
        <v>8424</v>
      </c>
    </row>
    <row r="926" spans="1:7">
      <c r="A926" t="s">
        <v>439</v>
      </c>
      <c r="D926">
        <v>1031</v>
      </c>
      <c r="G926">
        <v>1031</v>
      </c>
    </row>
    <row r="927" spans="1:7">
      <c r="A927" t="s">
        <v>406</v>
      </c>
      <c r="E927">
        <v>1063</v>
      </c>
      <c r="F927">
        <v>1263</v>
      </c>
      <c r="G927">
        <v>2326</v>
      </c>
    </row>
    <row r="928" spans="1:7">
      <c r="A928" t="s">
        <v>484</v>
      </c>
      <c r="F928">
        <v>451</v>
      </c>
      <c r="G928">
        <v>451</v>
      </c>
    </row>
    <row r="929" spans="1:7">
      <c r="A929" t="s">
        <v>455</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467</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486</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1021</v>
      </c>
      <c r="B950">
        <v>748</v>
      </c>
      <c r="C950">
        <v>1062</v>
      </c>
      <c r="G950">
        <v>1810</v>
      </c>
    </row>
    <row r="951" spans="1:7">
      <c r="A951" t="s">
        <v>387</v>
      </c>
      <c r="B951">
        <v>435</v>
      </c>
      <c r="E951">
        <v>1123</v>
      </c>
      <c r="G951">
        <v>1558</v>
      </c>
    </row>
    <row r="952" spans="1:7">
      <c r="A952" t="s">
        <v>419</v>
      </c>
      <c r="D952">
        <v>1580</v>
      </c>
      <c r="E952">
        <v>1258</v>
      </c>
      <c r="G952">
        <v>2838</v>
      </c>
    </row>
    <row r="953" spans="1:7">
      <c r="A953" t="s">
        <v>417</v>
      </c>
      <c r="D953">
        <v>877</v>
      </c>
      <c r="E953">
        <v>814</v>
      </c>
      <c r="G953">
        <v>1691</v>
      </c>
    </row>
    <row r="954" spans="1:7">
      <c r="A954" t="s">
        <v>228</v>
      </c>
      <c r="D954">
        <v>711</v>
      </c>
      <c r="E954">
        <v>325</v>
      </c>
      <c r="F954">
        <v>430</v>
      </c>
      <c r="G954">
        <v>1466</v>
      </c>
    </row>
    <row r="955" spans="1:7">
      <c r="A955" t="s">
        <v>412</v>
      </c>
      <c r="D955">
        <v>1486</v>
      </c>
      <c r="E955">
        <v>2912</v>
      </c>
      <c r="F955">
        <v>2125</v>
      </c>
      <c r="G955">
        <v>6523</v>
      </c>
    </row>
    <row r="956" spans="1:7">
      <c r="A956" t="s">
        <v>465</v>
      </c>
      <c r="D956">
        <v>1264</v>
      </c>
      <c r="E956">
        <v>1281</v>
      </c>
      <c r="G956">
        <v>2545</v>
      </c>
    </row>
    <row r="957" spans="1:7">
      <c r="A957" t="s">
        <v>1022</v>
      </c>
    </row>
    <row r="958" spans="1:7">
      <c r="A958" t="s">
        <v>469</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404</v>
      </c>
      <c r="B969">
        <v>446</v>
      </c>
      <c r="C969">
        <v>120</v>
      </c>
      <c r="D969">
        <v>550</v>
      </c>
      <c r="G969">
        <v>1116</v>
      </c>
    </row>
    <row r="970" spans="1:7">
      <c r="A970" t="s">
        <v>486</v>
      </c>
      <c r="C970">
        <v>17</v>
      </c>
      <c r="G970">
        <v>17</v>
      </c>
    </row>
    <row r="971" spans="1:7">
      <c r="A971" t="s">
        <v>529</v>
      </c>
    </row>
    <row r="972" spans="1:7">
      <c r="A972" t="s">
        <v>436</v>
      </c>
      <c r="B972">
        <v>127</v>
      </c>
      <c r="G972">
        <v>127</v>
      </c>
    </row>
    <row r="973" spans="1:7">
      <c r="A973" t="s">
        <v>241</v>
      </c>
      <c r="B973">
        <v>420</v>
      </c>
      <c r="G973">
        <v>420</v>
      </c>
    </row>
    <row r="974" spans="1:7">
      <c r="A974" t="s">
        <v>439</v>
      </c>
    </row>
    <row r="975" spans="1:7">
      <c r="A975" t="s">
        <v>387</v>
      </c>
      <c r="C975">
        <v>1917</v>
      </c>
      <c r="E975">
        <v>272</v>
      </c>
      <c r="G975">
        <v>2189</v>
      </c>
    </row>
    <row r="976" spans="1:7">
      <c r="A976" t="s">
        <v>417</v>
      </c>
      <c r="B976">
        <v>956</v>
      </c>
      <c r="G976">
        <v>956</v>
      </c>
    </row>
    <row r="977" spans="1:7">
      <c r="A977" t="s">
        <v>228</v>
      </c>
      <c r="E977">
        <v>195</v>
      </c>
      <c r="G977">
        <v>195</v>
      </c>
    </row>
    <row r="978" spans="1:7">
      <c r="A978" t="s">
        <v>412</v>
      </c>
      <c r="B978">
        <v>1449</v>
      </c>
      <c r="G978">
        <v>1449</v>
      </c>
    </row>
    <row r="979" spans="1:7">
      <c r="A979" t="s">
        <v>465</v>
      </c>
      <c r="B979">
        <v>1662</v>
      </c>
      <c r="C979">
        <v>2684</v>
      </c>
      <c r="F979">
        <v>51</v>
      </c>
      <c r="G979">
        <v>4397</v>
      </c>
    </row>
    <row r="980" spans="1:7">
      <c r="A980" t="s">
        <v>336</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451</v>
      </c>
    </row>
    <row r="992" spans="1:7">
      <c r="A992" t="s">
        <v>453</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478</v>
      </c>
      <c r="C1005">
        <v>68</v>
      </c>
      <c r="G1005">
        <v>68</v>
      </c>
    </row>
    <row r="1006" spans="1:7">
      <c r="A1006" t="s">
        <v>1008</v>
      </c>
    </row>
    <row r="1007" spans="1:7">
      <c r="A1007" t="s">
        <v>376</v>
      </c>
    </row>
    <row r="1008" spans="1:7">
      <c r="A1008" t="s">
        <v>407</v>
      </c>
    </row>
    <row r="1009" spans="1:7">
      <c r="A1009" t="s">
        <v>390</v>
      </c>
    </row>
    <row r="1010" spans="1:7">
      <c r="A1010" t="s">
        <v>385</v>
      </c>
    </row>
    <row r="1011" spans="1:7">
      <c r="A1011" t="s">
        <v>241</v>
      </c>
      <c r="D1011">
        <v>426</v>
      </c>
      <c r="G1011">
        <v>426</v>
      </c>
    </row>
    <row r="1012" spans="1:7">
      <c r="A1012" t="s">
        <v>406</v>
      </c>
    </row>
    <row r="1013" spans="1:7">
      <c r="A1013" t="s">
        <v>455</v>
      </c>
    </row>
    <row r="1014" spans="1:7">
      <c r="A1014" t="s">
        <v>328</v>
      </c>
      <c r="C1014">
        <v>1175</v>
      </c>
      <c r="G1014">
        <v>1175</v>
      </c>
    </row>
    <row r="1015" spans="1:7">
      <c r="A1015" t="s">
        <v>323</v>
      </c>
      <c r="C1015">
        <v>996</v>
      </c>
      <c r="G1015">
        <v>996</v>
      </c>
    </row>
    <row r="1016" spans="1:7">
      <c r="A1016" t="s">
        <v>387</v>
      </c>
      <c r="B1016">
        <v>900</v>
      </c>
      <c r="G1016">
        <v>900</v>
      </c>
    </row>
    <row r="1017" spans="1:7">
      <c r="A1017" t="s">
        <v>419</v>
      </c>
    </row>
    <row r="1018" spans="1:7">
      <c r="A1018" t="s">
        <v>417</v>
      </c>
    </row>
    <row r="1019" spans="1:7">
      <c r="A1019" t="s">
        <v>1024</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445</v>
      </c>
    </row>
    <row r="1028" spans="1:7">
      <c r="A1028" t="s">
        <v>316</v>
      </c>
      <c r="C1028">
        <v>2568</v>
      </c>
      <c r="G1028">
        <v>2568</v>
      </c>
    </row>
    <row r="1029" spans="1:7">
      <c r="A1029" t="s">
        <v>427</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459</v>
      </c>
    </row>
    <row r="1038" spans="1:7">
      <c r="A1038" t="s">
        <v>447</v>
      </c>
    </row>
    <row r="1039" spans="1:7">
      <c r="A1039" t="s">
        <v>449</v>
      </c>
    </row>
    <row r="1040" spans="1:7">
      <c r="A1040" t="s">
        <v>458</v>
      </c>
    </row>
    <row r="1041" spans="1:7">
      <c r="A1041" t="s">
        <v>461</v>
      </c>
    </row>
    <row r="1042" spans="1:7">
      <c r="A1042" t="s">
        <v>463</v>
      </c>
    </row>
    <row r="1043" spans="1:7">
      <c r="A1043" t="s">
        <v>464</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98</v>
      </c>
    </row>
    <row r="1050" spans="1:7">
      <c r="A1050" t="s">
        <v>328</v>
      </c>
    </row>
    <row r="1051" spans="1:7">
      <c r="A1051" t="s">
        <v>465</v>
      </c>
    </row>
    <row r="1052" spans="1:7">
      <c r="A1052" t="s">
        <v>158</v>
      </c>
    </row>
    <row r="1053" spans="1:7">
      <c r="A1053" t="s">
        <v>316</v>
      </c>
    </row>
    <row r="1054" spans="1:7">
      <c r="A1054" t="s">
        <v>300</v>
      </c>
    </row>
    <row r="1055" spans="1:7">
      <c r="A1055" t="s">
        <v>333</v>
      </c>
    </row>
    <row r="1056" spans="1:7">
      <c r="A1056" t="s">
        <v>162</v>
      </c>
    </row>
    <row r="1057" spans="1:1">
      <c r="A1057" t="s">
        <v>1027</v>
      </c>
    </row>
    <row r="1058" spans="1:1">
      <c r="A1058" t="s">
        <v>350</v>
      </c>
    </row>
    <row r="1059" spans="1:1">
      <c r="A1059" t="s">
        <v>1028</v>
      </c>
    </row>
    <row r="1060" spans="1:1">
      <c r="A1060" t="s">
        <v>1030</v>
      </c>
    </row>
    <row r="1061" spans="1:1">
      <c r="A1061" t="s">
        <v>956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4"/>
  <sheetViews>
    <sheetView workbookViewId="0">
      <pane ySplit="1" topLeftCell="A2158" activePane="bottomLeft" state="frozen"/>
      <selection pane="bottomLeft" activeCell="A2181" sqref="A2181:XFD21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396</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396</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396</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396</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492</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396</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488</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396</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488</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393</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488</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393</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488</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474</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474</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393</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488</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393</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488</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489</v>
      </c>
      <c r="C882" s="56">
        <v>45758</v>
      </c>
      <c r="E882" s="43"/>
      <c r="F882" s="142" t="s">
        <v>1231</v>
      </c>
      <c r="G882" t="str">
        <f t="shared" si="13"/>
        <v>April</v>
      </c>
    </row>
    <row r="883" spans="1:7">
      <c r="A883" s="142" t="s">
        <v>764</v>
      </c>
      <c r="B883" s="142" t="s">
        <v>489</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489</v>
      </c>
      <c r="C894" s="56">
        <v>45761</v>
      </c>
      <c r="E894" s="43"/>
      <c r="G894" t="str">
        <f t="shared" si="13"/>
        <v>April</v>
      </c>
    </row>
    <row r="895" spans="1:7">
      <c r="A895" s="142" t="s">
        <v>764</v>
      </c>
      <c r="B895" s="142" t="s">
        <v>489</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489</v>
      </c>
      <c r="C905" s="56">
        <v>45762</v>
      </c>
      <c r="E905" s="43"/>
      <c r="F905" s="142" t="s">
        <v>1243</v>
      </c>
      <c r="G905" t="str">
        <f t="shared" si="14"/>
        <v>April</v>
      </c>
    </row>
    <row r="906" spans="1:7">
      <c r="A906" s="142" t="s">
        <v>764</v>
      </c>
      <c r="B906" s="142" t="s">
        <v>489</v>
      </c>
      <c r="C906" s="56">
        <v>45762</v>
      </c>
      <c r="E906" s="43"/>
      <c r="F906" s="142" t="s">
        <v>1243</v>
      </c>
      <c r="G906" t="str">
        <f t="shared" si="14"/>
        <v>April</v>
      </c>
    </row>
    <row r="907" spans="1:7">
      <c r="A907" s="142" t="s">
        <v>745</v>
      </c>
      <c r="B907" s="142" t="s">
        <v>489</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489</v>
      </c>
      <c r="C920" s="56">
        <v>45763</v>
      </c>
      <c r="E920" s="43"/>
      <c r="F920" s="142" t="s">
        <v>1105</v>
      </c>
      <c r="G920" t="str">
        <f t="shared" si="14"/>
        <v>April</v>
      </c>
    </row>
    <row r="921" spans="1:7">
      <c r="A921" s="142" t="s">
        <v>745</v>
      </c>
      <c r="B921" s="142" t="s">
        <v>489</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489</v>
      </c>
      <c r="C946" s="56">
        <v>45765</v>
      </c>
      <c r="E946" s="43"/>
      <c r="F946" s="310" t="s">
        <v>1265</v>
      </c>
      <c r="G946" t="str">
        <f t="shared" si="14"/>
        <v>April</v>
      </c>
    </row>
    <row r="947" spans="1:7">
      <c r="A947" s="315" t="s">
        <v>745</v>
      </c>
      <c r="B947" s="315" t="s">
        <v>489</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489</v>
      </c>
      <c r="C959" s="56">
        <v>45768</v>
      </c>
      <c r="E959" s="43"/>
      <c r="F959" s="315" t="s">
        <v>1265</v>
      </c>
      <c r="G959" t="str">
        <f t="shared" si="15"/>
        <v>April</v>
      </c>
    </row>
    <row r="960" spans="1:7">
      <c r="A960" s="319" t="s">
        <v>764</v>
      </c>
      <c r="B960" s="142" t="s">
        <v>489</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478</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478</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474</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474</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481</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433</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433</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433</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495</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495</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433</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413</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433</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413</v>
      </c>
      <c r="B1204" s="311" t="s">
        <v>965</v>
      </c>
      <c r="C1204" s="56">
        <v>45810</v>
      </c>
      <c r="D1204" s="43">
        <v>275</v>
      </c>
      <c r="G1204" t="s">
        <v>1409</v>
      </c>
    </row>
    <row r="1205" spans="1:7">
      <c r="A1205" s="360" t="s">
        <v>433</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413</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474</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413</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433</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474</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413</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413</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413</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413</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413</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413</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413</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413</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413</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488</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413</v>
      </c>
      <c r="B1269" s="315" t="s">
        <v>965</v>
      </c>
      <c r="C1269" s="56">
        <v>45828</v>
      </c>
      <c r="D1269" s="43">
        <v>52</v>
      </c>
      <c r="F1269" s="43" t="s">
        <v>1088</v>
      </c>
      <c r="G1269" t="s">
        <v>1409</v>
      </c>
    </row>
    <row r="1270" spans="1:7">
      <c r="A1270" s="319" t="s">
        <v>433</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413</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413</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474</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488</v>
      </c>
      <c r="B1296" s="142" t="s">
        <v>545</v>
      </c>
      <c r="C1296" s="56">
        <v>45834</v>
      </c>
      <c r="D1296" s="43">
        <v>676</v>
      </c>
      <c r="F1296" s="43" t="s">
        <v>1402</v>
      </c>
      <c r="G1296" t="s">
        <v>1409</v>
      </c>
    </row>
    <row r="1297" spans="1:7">
      <c r="A1297" s="142" t="s">
        <v>586</v>
      </c>
      <c r="B1297" s="142" t="s">
        <v>397</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488</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488</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433</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488</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488</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488</v>
      </c>
      <c r="B1316" s="321" t="s">
        <v>545</v>
      </c>
      <c r="C1316" s="56">
        <v>45841</v>
      </c>
      <c r="D1316" s="43">
        <v>372</v>
      </c>
      <c r="F1316" s="116" t="s">
        <v>1088</v>
      </c>
      <c r="G1316" t="s">
        <v>1442</v>
      </c>
    </row>
    <row r="1317" spans="1:7" ht="15.75">
      <c r="A1317" s="142" t="s">
        <v>488</v>
      </c>
      <c r="B1317" s="321" t="s">
        <v>397</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488</v>
      </c>
      <c r="B1322" s="158" t="s">
        <v>397</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393</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492</v>
      </c>
      <c r="B1331" s="158" t="s">
        <v>397</v>
      </c>
      <c r="C1331" s="56">
        <v>45849</v>
      </c>
      <c r="D1331" s="43">
        <v>198</v>
      </c>
      <c r="G1331" t="s">
        <v>1442</v>
      </c>
    </row>
    <row r="1332" spans="1:7">
      <c r="A1332" s="251" t="s">
        <v>895</v>
      </c>
      <c r="B1332" s="412" t="s">
        <v>965</v>
      </c>
      <c r="C1332" s="56">
        <v>45852</v>
      </c>
      <c r="F1332" s="43" t="s">
        <v>1105</v>
      </c>
      <c r="G1332" t="s">
        <v>1442</v>
      </c>
    </row>
    <row r="1333" spans="1:7">
      <c r="A1333" s="634" t="s">
        <v>492</v>
      </c>
      <c r="B1333" s="158" t="s">
        <v>397</v>
      </c>
      <c r="C1333" s="56">
        <v>45852</v>
      </c>
      <c r="D1333" s="43">
        <v>862</v>
      </c>
      <c r="G1333" t="s">
        <v>1442</v>
      </c>
    </row>
    <row r="1334" spans="1:7">
      <c r="A1334" s="322" t="s">
        <v>983</v>
      </c>
      <c r="B1334" s="412" t="s">
        <v>965</v>
      </c>
      <c r="C1334" s="56">
        <v>45853</v>
      </c>
      <c r="D1334" s="43">
        <v>203</v>
      </c>
      <c r="G1334" t="s">
        <v>1442</v>
      </c>
    </row>
    <row r="1335" spans="1:7">
      <c r="A1335" s="142" t="s">
        <v>413</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396</v>
      </c>
      <c r="B1337" s="158" t="s">
        <v>397</v>
      </c>
      <c r="C1337" s="56">
        <v>45853</v>
      </c>
      <c r="D1337" s="43">
        <v>403</v>
      </c>
      <c r="G1337" t="s">
        <v>1442</v>
      </c>
    </row>
    <row r="1338" spans="1:7">
      <c r="A1338" s="322" t="s">
        <v>983</v>
      </c>
      <c r="B1338" s="315" t="s">
        <v>965</v>
      </c>
      <c r="C1338" s="56">
        <v>45854</v>
      </c>
      <c r="D1338" s="43">
        <v>170</v>
      </c>
      <c r="G1338" t="s">
        <v>1442</v>
      </c>
    </row>
    <row r="1339" spans="1:7">
      <c r="A1339" s="142" t="s">
        <v>413</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396</v>
      </c>
      <c r="B1343" s="322" t="s">
        <v>397</v>
      </c>
      <c r="C1343" s="56">
        <v>45854</v>
      </c>
      <c r="D1343" s="43">
        <v>39</v>
      </c>
      <c r="G1343" t="s">
        <v>1442</v>
      </c>
    </row>
    <row r="1344" spans="1:7">
      <c r="A1344" s="142" t="s">
        <v>413</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413</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413</v>
      </c>
      <c r="B1350" s="412" t="s">
        <v>965</v>
      </c>
      <c r="C1350" s="56">
        <v>45859</v>
      </c>
      <c r="D1350" s="43">
        <v>551</v>
      </c>
      <c r="G1350" t="s">
        <v>1442</v>
      </c>
    </row>
    <row r="1351" spans="1:7">
      <c r="A1351" s="409" t="s">
        <v>413</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396</v>
      </c>
      <c r="B1354" s="158" t="s">
        <v>397</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413</v>
      </c>
      <c r="B1358" s="412" t="s">
        <v>132</v>
      </c>
      <c r="C1358" s="56">
        <v>45860</v>
      </c>
      <c r="D1358" s="43">
        <v>300</v>
      </c>
      <c r="G1358" t="s">
        <v>1442</v>
      </c>
    </row>
    <row r="1359" spans="1:7">
      <c r="A1359" s="308" t="s">
        <v>413</v>
      </c>
      <c r="B1359" s="308" t="s">
        <v>721</v>
      </c>
      <c r="C1359" s="56">
        <v>45860</v>
      </c>
      <c r="D1359" s="156">
        <v>1107</v>
      </c>
      <c r="G1359" t="s">
        <v>1442</v>
      </c>
    </row>
    <row r="1360" spans="1:7">
      <c r="A1360" s="308" t="s">
        <v>413</v>
      </c>
      <c r="B1360" s="319" t="s">
        <v>965</v>
      </c>
      <c r="C1360" s="56">
        <v>45860</v>
      </c>
      <c r="D1360" s="43">
        <v>316</v>
      </c>
      <c r="G1360" t="s">
        <v>1442</v>
      </c>
    </row>
    <row r="1361" spans="1:7">
      <c r="A1361" s="135" t="s">
        <v>396</v>
      </c>
      <c r="B1361" s="158" t="s">
        <v>397</v>
      </c>
      <c r="C1361" s="56">
        <v>45860</v>
      </c>
      <c r="D1361" s="43">
        <v>318</v>
      </c>
      <c r="G1361" t="s">
        <v>1442</v>
      </c>
    </row>
    <row r="1362" spans="1:7">
      <c r="A1362" s="251" t="s">
        <v>1004</v>
      </c>
      <c r="B1362" s="158" t="s">
        <v>397</v>
      </c>
      <c r="C1362" s="56">
        <v>45860</v>
      </c>
      <c r="D1362" s="43">
        <v>605</v>
      </c>
      <c r="G1362" t="s">
        <v>1442</v>
      </c>
    </row>
    <row r="1363" spans="1:7">
      <c r="A1363" s="322" t="s">
        <v>983</v>
      </c>
      <c r="B1363" s="315" t="s">
        <v>965</v>
      </c>
      <c r="C1363" s="56">
        <v>45861</v>
      </c>
      <c r="D1363" s="43">
        <v>272</v>
      </c>
      <c r="F1363" s="43" t="s">
        <v>1459</v>
      </c>
      <c r="G1363" t="s">
        <v>1442</v>
      </c>
    </row>
    <row r="1364" spans="1:7">
      <c r="A1364" s="142" t="s">
        <v>413</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492</v>
      </c>
      <c r="B1370" s="158" t="s">
        <v>397</v>
      </c>
      <c r="C1370" s="56">
        <v>45861</v>
      </c>
      <c r="D1370" s="43">
        <v>461</v>
      </c>
      <c r="G1370" t="s">
        <v>1442</v>
      </c>
    </row>
    <row r="1371" spans="1:7">
      <c r="A1371" s="322" t="s">
        <v>983</v>
      </c>
      <c r="B1371" s="315" t="s">
        <v>965</v>
      </c>
      <c r="C1371" s="56">
        <v>45862</v>
      </c>
      <c r="D1371" s="43">
        <v>79</v>
      </c>
      <c r="F1371" s="43" t="s">
        <v>1463</v>
      </c>
      <c r="G1371" t="s">
        <v>1442</v>
      </c>
    </row>
    <row r="1372" spans="1:7">
      <c r="A1372" s="142" t="s">
        <v>413</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413</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492</v>
      </c>
      <c r="B1378" s="322" t="s">
        <v>397</v>
      </c>
      <c r="C1378" s="56">
        <v>45862</v>
      </c>
      <c r="D1378" s="43">
        <v>880</v>
      </c>
      <c r="G1378" t="s">
        <v>1442</v>
      </c>
    </row>
    <row r="1379" spans="1:7">
      <c r="A1379" s="328" t="s">
        <v>393</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413</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492</v>
      </c>
      <c r="B1386" s="158" t="s">
        <v>397</v>
      </c>
      <c r="C1386" s="56">
        <v>45863</v>
      </c>
      <c r="D1386" s="43">
        <v>585</v>
      </c>
      <c r="F1386" s="43" t="s">
        <v>1100</v>
      </c>
      <c r="G1386" t="s">
        <v>1442</v>
      </c>
    </row>
    <row r="1387" spans="1:7">
      <c r="A1387" s="142" t="s">
        <v>413</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492</v>
      </c>
      <c r="B1392" s="158" t="s">
        <v>397</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413</v>
      </c>
      <c r="B1401" s="308" t="s">
        <v>1478</v>
      </c>
      <c r="C1401" s="56">
        <v>45868</v>
      </c>
      <c r="E1401" s="325">
        <v>6067</v>
      </c>
      <c r="G1401" t="s">
        <v>1442</v>
      </c>
    </row>
    <row r="1402" spans="1:7">
      <c r="A1402" s="135" t="s">
        <v>374</v>
      </c>
      <c r="B1402" s="322" t="s">
        <v>397</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413</v>
      </c>
      <c r="B1406" s="315" t="s">
        <v>1478</v>
      </c>
      <c r="C1406" s="56">
        <v>45869</v>
      </c>
      <c r="E1406" s="325">
        <v>2691</v>
      </c>
      <c r="G1406" t="s">
        <v>1442</v>
      </c>
    </row>
    <row r="1407" spans="1:7">
      <c r="A1407" s="357" t="s">
        <v>497</v>
      </c>
      <c r="B1407" s="158" t="s">
        <v>397</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397</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397</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397</v>
      </c>
      <c r="C1418" s="56">
        <v>45875</v>
      </c>
      <c r="D1418" s="43">
        <v>840</v>
      </c>
      <c r="G1418" t="s">
        <v>1481</v>
      </c>
    </row>
    <row r="1419" spans="1:7">
      <c r="A1419" s="142" t="s">
        <v>374</v>
      </c>
      <c r="B1419" s="567" t="s">
        <v>397</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397</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397</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397</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396</v>
      </c>
      <c r="B1435" s="315" t="s">
        <v>397</v>
      </c>
      <c r="C1435" s="56">
        <v>45881</v>
      </c>
      <c r="D1435" s="43">
        <v>319</v>
      </c>
      <c r="G1435" t="s">
        <v>1481</v>
      </c>
    </row>
    <row r="1436" spans="1:7">
      <c r="A1436" s="568" t="s">
        <v>497</v>
      </c>
      <c r="B1436" s="315" t="s">
        <v>397</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397</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397</v>
      </c>
      <c r="C1447" s="56">
        <v>45883</v>
      </c>
      <c r="D1447" s="43">
        <v>554</v>
      </c>
      <c r="G1447" t="s">
        <v>1481</v>
      </c>
    </row>
    <row r="1448" spans="1:7">
      <c r="A1448" s="43" t="s">
        <v>404</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397</v>
      </c>
      <c r="C1453" s="56">
        <v>45884</v>
      </c>
      <c r="D1453" s="43">
        <v>89</v>
      </c>
      <c r="G1453" t="s">
        <v>1481</v>
      </c>
    </row>
    <row r="1454" spans="1:7">
      <c r="A1454" s="308" t="s">
        <v>404</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397</v>
      </c>
      <c r="C1460" s="56">
        <v>45887</v>
      </c>
      <c r="D1460" s="43">
        <v>377</v>
      </c>
      <c r="G1460" t="s">
        <v>1481</v>
      </c>
    </row>
    <row r="1461" spans="1:7">
      <c r="A1461" s="308" t="s">
        <v>404</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397</v>
      </c>
      <c r="C1466" s="56">
        <v>45888</v>
      </c>
      <c r="D1466" s="43">
        <v>408</v>
      </c>
      <c r="F1466" s="116"/>
      <c r="G1466" t="s">
        <v>1481</v>
      </c>
    </row>
    <row r="1467" spans="1:7">
      <c r="A1467" s="600" t="s">
        <v>393</v>
      </c>
      <c r="B1467" s="322" t="s">
        <v>965</v>
      </c>
      <c r="C1467" s="56">
        <v>45888</v>
      </c>
      <c r="F1467" s="142" t="s">
        <v>1496</v>
      </c>
      <c r="G1467" t="s">
        <v>1481</v>
      </c>
    </row>
    <row r="1468" spans="1:7">
      <c r="A1468" s="251" t="s">
        <v>374</v>
      </c>
      <c r="B1468" s="315" t="s">
        <v>397</v>
      </c>
      <c r="C1468" s="56">
        <v>45888</v>
      </c>
      <c r="D1468" s="43">
        <v>430</v>
      </c>
      <c r="F1468" s="171"/>
      <c r="G1468" t="s">
        <v>1481</v>
      </c>
    </row>
    <row r="1469" spans="1:7">
      <c r="A1469" s="88" t="s">
        <v>983</v>
      </c>
      <c r="B1469" s="412" t="s">
        <v>965</v>
      </c>
      <c r="C1469" s="56">
        <v>45889</v>
      </c>
      <c r="D1469" s="43">
        <v>181</v>
      </c>
      <c r="G1469" t="s">
        <v>1481</v>
      </c>
    </row>
    <row r="1470" spans="1:7">
      <c r="A1470" s="88" t="s">
        <v>474</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397</v>
      </c>
      <c r="C1474" s="56">
        <v>45889</v>
      </c>
      <c r="D1474" s="43">
        <v>607</v>
      </c>
      <c r="F1474" s="43" t="s">
        <v>1497</v>
      </c>
      <c r="G1474" t="s">
        <v>1481</v>
      </c>
    </row>
    <row r="1475" spans="1:7">
      <c r="A1475" s="600" t="s">
        <v>393</v>
      </c>
      <c r="B1475" s="322" t="s">
        <v>965</v>
      </c>
      <c r="C1475" s="56">
        <v>45889</v>
      </c>
      <c r="D1475" s="43">
        <v>499</v>
      </c>
      <c r="G1475" t="s">
        <v>1481</v>
      </c>
    </row>
    <row r="1476" spans="1:7">
      <c r="A1476" s="88" t="s">
        <v>983</v>
      </c>
      <c r="B1476" s="412" t="s">
        <v>965</v>
      </c>
      <c r="C1476" s="56">
        <v>45890</v>
      </c>
      <c r="D1476" s="43">
        <v>82</v>
      </c>
      <c r="G1476" t="s">
        <v>1481</v>
      </c>
    </row>
    <row r="1477" spans="1:7">
      <c r="A1477" s="88" t="s">
        <v>474</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397</v>
      </c>
      <c r="C1482" s="56">
        <v>45890</v>
      </c>
      <c r="D1482" s="156">
        <v>1022</v>
      </c>
      <c r="G1482" t="s">
        <v>1481</v>
      </c>
    </row>
    <row r="1483" spans="1:7">
      <c r="A1483" s="600" t="s">
        <v>393</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397</v>
      </c>
      <c r="C1488" s="56">
        <v>45891</v>
      </c>
      <c r="E1488" s="325">
        <v>6090</v>
      </c>
      <c r="F1488" s="43" t="s">
        <v>1501</v>
      </c>
      <c r="G1488" t="s">
        <v>1481</v>
      </c>
    </row>
    <row r="1489" spans="1:7">
      <c r="A1489" s="600" t="s">
        <v>393</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397</v>
      </c>
      <c r="C1495" s="56">
        <v>45894</v>
      </c>
      <c r="D1495" s="43">
        <v>639</v>
      </c>
      <c r="G1495" t="s">
        <v>1481</v>
      </c>
    </row>
    <row r="1496" spans="1:7">
      <c r="A1496" s="600" t="s">
        <v>393</v>
      </c>
      <c r="B1496" s="322" t="s">
        <v>965</v>
      </c>
      <c r="C1496" s="56">
        <v>45894</v>
      </c>
      <c r="D1496" s="43">
        <v>503</v>
      </c>
      <c r="G1496" t="s">
        <v>1481</v>
      </c>
    </row>
    <row r="1497" spans="1:7">
      <c r="A1497" s="88" t="s">
        <v>983</v>
      </c>
      <c r="B1497" s="412" t="s">
        <v>965</v>
      </c>
      <c r="C1497" s="56">
        <v>45895</v>
      </c>
      <c r="F1497" s="43" t="s">
        <v>1238</v>
      </c>
      <c r="G1497" t="s">
        <v>1481</v>
      </c>
    </row>
    <row r="1498" spans="1:7">
      <c r="A1498" s="88" t="s">
        <v>474</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393</v>
      </c>
      <c r="B1504" s="648" t="s">
        <v>965</v>
      </c>
      <c r="C1504" s="56">
        <v>45895</v>
      </c>
      <c r="D1504" s="43">
        <v>295</v>
      </c>
      <c r="G1504" t="s">
        <v>1481</v>
      </c>
    </row>
    <row r="1505" spans="1:7">
      <c r="A1505" s="645" t="s">
        <v>492</v>
      </c>
      <c r="B1505" s="360" t="s">
        <v>397</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404</v>
      </c>
      <c r="B1511" s="648" t="s">
        <v>965</v>
      </c>
      <c r="C1511" s="56">
        <v>45896</v>
      </c>
      <c r="D1511" s="43">
        <v>400</v>
      </c>
      <c r="G1511" t="s">
        <v>1481</v>
      </c>
    </row>
    <row r="1512" spans="1:7">
      <c r="A1512" s="645" t="s">
        <v>396</v>
      </c>
      <c r="B1512" s="359" t="s">
        <v>397</v>
      </c>
      <c r="C1512" s="56">
        <v>45896</v>
      </c>
      <c r="D1512" s="43">
        <v>358</v>
      </c>
      <c r="F1512" s="43" t="s">
        <v>1510</v>
      </c>
      <c r="G1512" t="s">
        <v>1481</v>
      </c>
    </row>
    <row r="1513" spans="1:7">
      <c r="A1513" s="660" t="s">
        <v>492</v>
      </c>
      <c r="B1513" s="142" t="s">
        <v>397</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397</v>
      </c>
      <c r="C1518" s="56">
        <v>45897</v>
      </c>
      <c r="F1518" s="43" t="s">
        <v>1100</v>
      </c>
      <c r="G1518" t="s">
        <v>1481</v>
      </c>
    </row>
    <row r="1519" spans="1:7">
      <c r="A1519" s="600" t="s">
        <v>404</v>
      </c>
      <c r="B1519" s="648" t="s">
        <v>965</v>
      </c>
      <c r="C1519" s="56">
        <v>45897</v>
      </c>
      <c r="D1519" s="43">
        <v>320</v>
      </c>
      <c r="G1519" t="s">
        <v>1481</v>
      </c>
    </row>
    <row r="1520" spans="1:7">
      <c r="A1520" s="645" t="s">
        <v>396</v>
      </c>
      <c r="B1520" s="360" t="s">
        <v>397</v>
      </c>
      <c r="C1520" s="56">
        <v>45897</v>
      </c>
      <c r="F1520" s="315" t="s">
        <v>1238</v>
      </c>
      <c r="G1520" t="s">
        <v>1481</v>
      </c>
    </row>
    <row r="1521" spans="1:7">
      <c r="A1521" s="124" t="s">
        <v>492</v>
      </c>
      <c r="B1521" s="359" t="s">
        <v>397</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492</v>
      </c>
      <c r="B1524" s="315" t="s">
        <v>397</v>
      </c>
      <c r="C1524" s="56">
        <v>45898</v>
      </c>
      <c r="F1524" s="142" t="s">
        <v>1088</v>
      </c>
      <c r="G1524" t="s">
        <v>1481</v>
      </c>
    </row>
    <row r="1525" spans="1:7">
      <c r="A1525" s="330" t="s">
        <v>393</v>
      </c>
      <c r="B1525" s="319" t="s">
        <v>965</v>
      </c>
      <c r="C1525" s="56">
        <v>45898</v>
      </c>
      <c r="D1525" s="43">
        <v>6</v>
      </c>
      <c r="F1525" s="43" t="s">
        <v>1516</v>
      </c>
      <c r="G1525" t="s">
        <v>1481</v>
      </c>
    </row>
    <row r="1526" spans="1:7">
      <c r="A1526" s="348" t="s">
        <v>497</v>
      </c>
      <c r="B1526" s="315" t="s">
        <v>397</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393</v>
      </c>
      <c r="B1531" s="319" t="s">
        <v>965</v>
      </c>
      <c r="C1531" s="56">
        <v>45902</v>
      </c>
      <c r="D1531" s="43">
        <v>15</v>
      </c>
      <c r="F1531" s="43" t="s">
        <v>1522</v>
      </c>
      <c r="G1531" t="s">
        <v>1519</v>
      </c>
    </row>
    <row r="1532" spans="1:7">
      <c r="A1532" s="251" t="s">
        <v>492</v>
      </c>
      <c r="B1532" s="315" t="s">
        <v>397</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393</v>
      </c>
      <c r="B1539" s="322" t="s">
        <v>965</v>
      </c>
      <c r="C1539" s="56">
        <v>45903</v>
      </c>
      <c r="D1539" s="43">
        <v>65</v>
      </c>
      <c r="F1539" s="142" t="s">
        <v>1529</v>
      </c>
      <c r="G1539" t="s">
        <v>1519</v>
      </c>
    </row>
    <row r="1540" spans="1:7">
      <c r="A1540" s="665" t="s">
        <v>492</v>
      </c>
      <c r="B1540" s="359" t="s">
        <v>397</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396</v>
      </c>
      <c r="B1546" s="315" t="s">
        <v>965</v>
      </c>
      <c r="C1546" s="56">
        <v>45904</v>
      </c>
      <c r="D1546" s="43">
        <v>99</v>
      </c>
      <c r="F1546" s="43" t="s">
        <v>1533</v>
      </c>
      <c r="G1546" t="s">
        <v>1519</v>
      </c>
    </row>
    <row r="1547" spans="1:7">
      <c r="A1547" s="600" t="s">
        <v>393</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474</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393</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396</v>
      </c>
      <c r="B1586" s="251" t="s">
        <v>965</v>
      </c>
      <c r="C1586" s="56">
        <v>45916</v>
      </c>
      <c r="F1586" s="755" t="s">
        <v>1546</v>
      </c>
      <c r="G1586" t="s">
        <v>1519</v>
      </c>
    </row>
    <row r="1587" spans="1:7">
      <c r="A1587" s="116" t="s">
        <v>393</v>
      </c>
      <c r="B1587" s="382" t="s">
        <v>965</v>
      </c>
      <c r="C1587" s="56">
        <v>45916</v>
      </c>
      <c r="F1587" s="753" t="s">
        <v>1546</v>
      </c>
      <c r="G1587" t="s">
        <v>1519</v>
      </c>
    </row>
    <row r="1588" spans="1:7">
      <c r="A1588" s="665" t="s">
        <v>399</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399</v>
      </c>
      <c r="B1594" s="309" t="s">
        <v>235</v>
      </c>
      <c r="C1594" s="56">
        <v>45917</v>
      </c>
      <c r="D1594" s="43">
        <v>253</v>
      </c>
      <c r="F1594" s="754"/>
      <c r="G1594" t="s">
        <v>1519</v>
      </c>
    </row>
    <row r="1595" spans="1:7">
      <c r="A1595" s="330" t="s">
        <v>396</v>
      </c>
      <c r="B1595" s="315" t="s">
        <v>965</v>
      </c>
      <c r="C1595" s="56">
        <v>45917</v>
      </c>
      <c r="F1595" s="315" t="s">
        <v>1435</v>
      </c>
      <c r="G1595" t="s">
        <v>1519</v>
      </c>
    </row>
    <row r="1596" spans="1:7">
      <c r="A1596" s="251" t="s">
        <v>492</v>
      </c>
      <c r="B1596" s="315" t="s">
        <v>965</v>
      </c>
      <c r="C1596" s="56">
        <v>45917</v>
      </c>
      <c r="D1596" s="43">
        <v>139</v>
      </c>
      <c r="F1596" s="754"/>
      <c r="G1596" t="s">
        <v>1519</v>
      </c>
    </row>
    <row r="1597" spans="1:7">
      <c r="A1597" s="88" t="s">
        <v>481</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399</v>
      </c>
      <c r="B1604" s="142" t="s">
        <v>235</v>
      </c>
      <c r="C1604" s="56">
        <v>45918</v>
      </c>
      <c r="D1604" s="156">
        <v>1076</v>
      </c>
      <c r="F1604" s="754"/>
      <c r="G1604" t="s">
        <v>1519</v>
      </c>
    </row>
    <row r="1605" spans="1:7">
      <c r="A1605" s="158" t="s">
        <v>396</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399</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399</v>
      </c>
      <c r="B1617" s="308" t="s">
        <v>235</v>
      </c>
      <c r="C1617" s="56">
        <v>45922</v>
      </c>
      <c r="F1617" s="315" t="s">
        <v>1559</v>
      </c>
      <c r="G1617" t="s">
        <v>1519</v>
      </c>
    </row>
    <row r="1618" spans="1:7">
      <c r="A1618" s="329" t="s">
        <v>492</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399</v>
      </c>
      <c r="B1626" s="777" t="s">
        <v>235</v>
      </c>
      <c r="C1626" s="56">
        <v>45923</v>
      </c>
      <c r="D1626" s="43">
        <v>120</v>
      </c>
      <c r="F1626" s="69"/>
      <c r="G1626" t="s">
        <v>1519</v>
      </c>
    </row>
    <row r="1627" spans="1:7">
      <c r="A1627" s="158" t="s">
        <v>396</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399</v>
      </c>
      <c r="B1637" s="777" t="s">
        <v>235</v>
      </c>
      <c r="C1637" s="56">
        <v>45924</v>
      </c>
      <c r="D1637" s="43">
        <v>190</v>
      </c>
      <c r="F1637" s="69"/>
      <c r="G1637" t="s">
        <v>1519</v>
      </c>
    </row>
    <row r="1638" spans="1:7">
      <c r="A1638" s="158" t="s">
        <v>404</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478</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399</v>
      </c>
      <c r="B1652" s="777" t="s">
        <v>235</v>
      </c>
      <c r="C1652" s="56">
        <v>45925</v>
      </c>
      <c r="F1652" s="142" t="s">
        <v>1105</v>
      </c>
      <c r="G1652" t="s">
        <v>1519</v>
      </c>
    </row>
    <row r="1653" spans="1:7">
      <c r="A1653" s="158" t="s">
        <v>404</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402</v>
      </c>
      <c r="B1660" s="308" t="s">
        <v>235</v>
      </c>
      <c r="C1660" s="56">
        <v>45926</v>
      </c>
      <c r="D1660" s="43">
        <v>551</v>
      </c>
      <c r="G1660" t="s">
        <v>1519</v>
      </c>
    </row>
    <row r="1661" spans="1:7">
      <c r="A1661" s="329" t="s">
        <v>404</v>
      </c>
      <c r="B1661" s="251" t="s">
        <v>965</v>
      </c>
      <c r="C1661" s="56">
        <v>45926</v>
      </c>
      <c r="F1661" s="310" t="s">
        <v>1577</v>
      </c>
      <c r="G1661" t="s">
        <v>1519</v>
      </c>
    </row>
    <row r="1662" spans="1:7">
      <c r="A1662" s="315" t="s">
        <v>1013</v>
      </c>
      <c r="B1662" s="251" t="s">
        <v>965</v>
      </c>
      <c r="C1662" s="56">
        <v>45926</v>
      </c>
      <c r="D1662" s="43">
        <v>755</v>
      </c>
      <c r="G1662" t="s">
        <v>1519</v>
      </c>
    </row>
    <row r="1663" spans="1:7">
      <c r="A1663" s="135" t="s">
        <v>478</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396</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399</v>
      </c>
      <c r="B1672" s="322" t="s">
        <v>235</v>
      </c>
      <c r="C1672" s="56">
        <v>45929</v>
      </c>
      <c r="D1672" s="43">
        <v>479</v>
      </c>
      <c r="G1672" t="s">
        <v>1519</v>
      </c>
    </row>
    <row r="1673" spans="1:7">
      <c r="A1673" s="43" t="s">
        <v>402</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481</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402</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402</v>
      </c>
      <c r="B1695" s="359" t="s">
        <v>235</v>
      </c>
      <c r="C1695" s="56">
        <v>45931</v>
      </c>
      <c r="D1695" s="43">
        <v>224</v>
      </c>
      <c r="G1695" t="s">
        <v>1585</v>
      </c>
    </row>
    <row r="1696" spans="1:7">
      <c r="A1696" s="135" t="s">
        <v>481</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402</v>
      </c>
      <c r="B1706" s="359" t="s">
        <v>235</v>
      </c>
      <c r="C1706" s="56">
        <v>45932</v>
      </c>
      <c r="D1706" s="43">
        <v>789</v>
      </c>
      <c r="F1706" s="43" t="s">
        <v>1591</v>
      </c>
      <c r="G1706" t="s">
        <v>1585</v>
      </c>
    </row>
    <row r="1707" spans="1:7">
      <c r="A1707" s="142" t="s">
        <v>399</v>
      </c>
      <c r="B1707" s="142" t="s">
        <v>235</v>
      </c>
      <c r="C1707" s="56">
        <v>45932</v>
      </c>
      <c r="D1707" s="43">
        <v>170</v>
      </c>
      <c r="G1707" t="s">
        <v>1585</v>
      </c>
    </row>
    <row r="1708" spans="1:7">
      <c r="A1708" s="135" t="s">
        <v>481</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402</v>
      </c>
      <c r="B1715" s="142" t="s">
        <v>235</v>
      </c>
      <c r="C1715" s="56">
        <v>45933</v>
      </c>
      <c r="F1715" s="43" t="s">
        <v>1594</v>
      </c>
      <c r="G1715" t="s">
        <v>1585</v>
      </c>
    </row>
    <row r="1716" spans="1:7">
      <c r="A1716" s="310" t="s">
        <v>399</v>
      </c>
      <c r="B1716" s="142" t="s">
        <v>235</v>
      </c>
      <c r="C1716" s="56">
        <v>45933</v>
      </c>
      <c r="F1716" s="43" t="s">
        <v>1594</v>
      </c>
      <c r="G1716" t="s">
        <v>1585</v>
      </c>
    </row>
    <row r="1717" spans="1:7">
      <c r="A1717" s="135" t="s">
        <v>988</v>
      </c>
      <c r="B1717" s="315" t="s">
        <v>965</v>
      </c>
      <c r="C1717" s="56">
        <v>45936</v>
      </c>
      <c r="D1717" s="43">
        <v>65</v>
      </c>
      <c r="G1717" t="s">
        <v>1585</v>
      </c>
    </row>
    <row r="1718" spans="1:7">
      <c r="A1718" s="600" t="s">
        <v>481</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402</v>
      </c>
      <c r="B1727" s="315" t="s">
        <v>235</v>
      </c>
      <c r="C1727" s="56">
        <v>45936</v>
      </c>
      <c r="D1727" s="156">
        <v>1088</v>
      </c>
      <c r="F1727" s="43" t="s">
        <v>1589</v>
      </c>
      <c r="G1727" t="s">
        <v>1585</v>
      </c>
    </row>
    <row r="1728" spans="1:7">
      <c r="A1728" s="135" t="s">
        <v>481</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402</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402</v>
      </c>
      <c r="B1748" s="321" t="s">
        <v>235</v>
      </c>
      <c r="C1748" s="56">
        <v>45938</v>
      </c>
      <c r="D1748" s="43">
        <v>512</v>
      </c>
      <c r="F1748" s="43" t="s">
        <v>1536</v>
      </c>
      <c r="G1748" t="s">
        <v>1585</v>
      </c>
    </row>
    <row r="1749" spans="1:7">
      <c r="A1749" s="610" t="s">
        <v>478</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402</v>
      </c>
      <c r="B1758" s="321" t="s">
        <v>235</v>
      </c>
      <c r="C1758" s="56">
        <v>45939</v>
      </c>
      <c r="D1758" s="43">
        <v>369</v>
      </c>
      <c r="G1758" t="s">
        <v>1585</v>
      </c>
    </row>
    <row r="1759" spans="1:7">
      <c r="A1759" s="116" t="s">
        <v>399</v>
      </c>
      <c r="B1759" s="321" t="s">
        <v>235</v>
      </c>
      <c r="C1759" s="56">
        <v>45939</v>
      </c>
      <c r="D1759" s="43">
        <v>725</v>
      </c>
      <c r="G1759" t="s">
        <v>1585</v>
      </c>
    </row>
    <row r="1760" spans="1:7">
      <c r="A1760" s="124" t="s">
        <v>478</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486</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486</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486</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486</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404</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486</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481</v>
      </c>
      <c r="B1814" s="780" t="s">
        <v>965</v>
      </c>
      <c r="C1814" s="56">
        <v>45950</v>
      </c>
      <c r="D1814" s="43">
        <v>153</v>
      </c>
      <c r="F1814" s="989"/>
      <c r="G1814" t="s">
        <v>1585</v>
      </c>
    </row>
    <row r="1815" spans="1:7">
      <c r="A1815" s="987" t="s">
        <v>486</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481</v>
      </c>
      <c r="B1822" s="999" t="s">
        <v>965</v>
      </c>
      <c r="C1822" s="56">
        <v>45951</v>
      </c>
      <c r="D1822" s="156">
        <v>244</v>
      </c>
      <c r="G1822" t="s">
        <v>1585</v>
      </c>
    </row>
    <row r="1823" spans="1:7">
      <c r="A1823" s="88" t="s">
        <v>486</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407</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486</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407</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481</v>
      </c>
      <c r="B1842" s="1016" t="s">
        <v>965</v>
      </c>
      <c r="C1842" s="56">
        <v>45953</v>
      </c>
      <c r="D1842" s="43">
        <v>237</v>
      </c>
      <c r="G1842" t="s">
        <v>1585</v>
      </c>
    </row>
    <row r="1843" spans="1:7">
      <c r="A1843" s="335" t="s">
        <v>486</v>
      </c>
      <c r="B1843" s="251" t="s">
        <v>1576</v>
      </c>
      <c r="C1843" s="314">
        <v>45953</v>
      </c>
      <c r="D1843" s="43">
        <v>844</v>
      </c>
      <c r="F1843" s="43" t="s">
        <v>1646</v>
      </c>
      <c r="G1843" t="s">
        <v>1585</v>
      </c>
    </row>
    <row r="1844" spans="1:7">
      <c r="A1844" s="335" t="s">
        <v>486</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407</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486</v>
      </c>
      <c r="B1854" s="251" t="s">
        <v>1576</v>
      </c>
      <c r="C1854" s="56">
        <v>45954</v>
      </c>
      <c r="D1854" s="43">
        <v>142</v>
      </c>
      <c r="F1854" s="43" t="s">
        <v>1653</v>
      </c>
      <c r="G1854" t="s">
        <v>1585</v>
      </c>
    </row>
    <row r="1855" spans="1:7">
      <c r="A1855" s="88" t="s">
        <v>486</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486</v>
      </c>
      <c r="B1861" s="251" t="s">
        <v>1576</v>
      </c>
      <c r="C1861" s="56">
        <v>45957</v>
      </c>
      <c r="F1861" s="43" t="s">
        <v>1054</v>
      </c>
      <c r="G1861" t="s">
        <v>1585</v>
      </c>
    </row>
    <row r="1862" spans="1:7">
      <c r="A1862" s="88" t="s">
        <v>486</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404</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486</v>
      </c>
      <c r="B1874" s="251" t="s">
        <v>1576</v>
      </c>
      <c r="C1874" s="56">
        <v>45958</v>
      </c>
      <c r="F1874" s="324" t="s">
        <v>1238</v>
      </c>
      <c r="G1874" t="s">
        <v>1585</v>
      </c>
    </row>
    <row r="1875" spans="1:7">
      <c r="A1875" s="88" t="s">
        <v>486</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478</v>
      </c>
      <c r="B1886" s="412" t="s">
        <v>965</v>
      </c>
      <c r="C1886" s="56">
        <v>45959</v>
      </c>
      <c r="D1886" s="43">
        <v>171</v>
      </c>
      <c r="G1886" t="s">
        <v>1585</v>
      </c>
    </row>
    <row r="1887" spans="1:7">
      <c r="A1887" s="88" t="s">
        <v>486</v>
      </c>
      <c r="B1887" s="251" t="s">
        <v>1576</v>
      </c>
      <c r="C1887" s="56">
        <v>45959</v>
      </c>
      <c r="F1887" s="43" t="s">
        <v>1671</v>
      </c>
      <c r="G1887" t="s">
        <v>1585</v>
      </c>
    </row>
    <row r="1888" spans="1:7">
      <c r="A1888" s="88" t="s">
        <v>486</v>
      </c>
      <c r="B1888" s="251" t="s">
        <v>1672</v>
      </c>
      <c r="C1888" s="56">
        <v>45959</v>
      </c>
      <c r="D1888" s="156">
        <v>1147</v>
      </c>
      <c r="F1888" s="43" t="s">
        <v>1673</v>
      </c>
      <c r="G1888" t="s">
        <v>1585</v>
      </c>
    </row>
    <row r="1889" spans="1:7">
      <c r="A1889" s="88" t="s">
        <v>486</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486</v>
      </c>
      <c r="B1899" s="251" t="s">
        <v>1576</v>
      </c>
      <c r="C1899" s="56">
        <v>45960</v>
      </c>
      <c r="F1899" s="324" t="s">
        <v>1680</v>
      </c>
      <c r="G1899" t="s">
        <v>1585</v>
      </c>
    </row>
    <row r="1900" spans="1:7">
      <c r="A1900" s="88" t="s">
        <v>486</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430</v>
      </c>
      <c r="B1906" s="171" t="s">
        <v>159</v>
      </c>
      <c r="C1906" s="56">
        <v>45960</v>
      </c>
      <c r="D1906" s="43">
        <v>978</v>
      </c>
      <c r="G1906" t="s">
        <v>1585</v>
      </c>
    </row>
    <row r="1907" spans="1:7">
      <c r="A1907" s="171" t="s">
        <v>436</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486</v>
      </c>
      <c r="B1915" s="251" t="s">
        <v>1576</v>
      </c>
      <c r="C1915" s="56">
        <v>45961</v>
      </c>
      <c r="F1915" s="324" t="s">
        <v>1261</v>
      </c>
      <c r="G1915" t="s">
        <v>1585</v>
      </c>
    </row>
    <row r="1916" spans="1:7">
      <c r="A1916" s="88" t="s">
        <v>486</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407</v>
      </c>
      <c r="B1925" s="162" t="s">
        <v>1620</v>
      </c>
      <c r="C1925" s="56">
        <v>45961</v>
      </c>
      <c r="D1925" s="43">
        <v>168</v>
      </c>
      <c r="G1925" t="s">
        <v>1585</v>
      </c>
    </row>
    <row r="1926" spans="1:7">
      <c r="A1926" s="124" t="s">
        <v>982</v>
      </c>
      <c r="B1926" s="315" t="s">
        <v>965</v>
      </c>
      <c r="C1926" s="56">
        <v>45964</v>
      </c>
      <c r="F1926" s="320" t="s">
        <v>1690</v>
      </c>
      <c r="G1926" t="s">
        <v>1695</v>
      </c>
    </row>
    <row r="1927" spans="1:7">
      <c r="A1927" s="633" t="s">
        <v>486</v>
      </c>
      <c r="B1927" s="319" t="s">
        <v>1672</v>
      </c>
      <c r="C1927" s="56">
        <v>45964</v>
      </c>
      <c r="F1927" s="324" t="s">
        <v>1345</v>
      </c>
      <c r="G1927" t="s">
        <v>1695</v>
      </c>
    </row>
    <row r="1928" spans="1:7">
      <c r="A1928" s="308" t="s">
        <v>430</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436</v>
      </c>
      <c r="B1932" s="308" t="s">
        <v>965</v>
      </c>
      <c r="C1932" s="56">
        <v>45964</v>
      </c>
      <c r="D1932" s="43">
        <v>259</v>
      </c>
      <c r="G1932" t="s">
        <v>1695</v>
      </c>
    </row>
    <row r="1933" spans="1:7">
      <c r="A1933" s="142" t="s">
        <v>407</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409</v>
      </c>
      <c r="B1938" s="1065" t="s">
        <v>965</v>
      </c>
      <c r="C1938" s="56">
        <v>45964</v>
      </c>
      <c r="D1938" s="43">
        <v>207</v>
      </c>
      <c r="G1938" t="s">
        <v>1695</v>
      </c>
    </row>
    <row r="1939" spans="1:7">
      <c r="A1939" s="142" t="s">
        <v>455</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486</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430</v>
      </c>
      <c r="B1946" s="142" t="s">
        <v>159</v>
      </c>
      <c r="C1946" s="56">
        <v>45965</v>
      </c>
      <c r="D1946" s="43">
        <v>990</v>
      </c>
      <c r="F1946" s="43" t="s">
        <v>1100</v>
      </c>
      <c r="G1946" t="s">
        <v>1695</v>
      </c>
    </row>
    <row r="1947" spans="1:7">
      <c r="A1947" s="43" t="s">
        <v>436</v>
      </c>
      <c r="B1947" s="43" t="s">
        <v>1704</v>
      </c>
      <c r="C1947" s="56">
        <v>45965</v>
      </c>
      <c r="D1947" s="43">
        <v>817</v>
      </c>
      <c r="G1947" t="s">
        <v>1695</v>
      </c>
    </row>
    <row r="1948" spans="1:7">
      <c r="A1948" s="43" t="s">
        <v>436</v>
      </c>
      <c r="B1948" s="43" t="s">
        <v>965</v>
      </c>
      <c r="C1948" s="56">
        <v>45965</v>
      </c>
      <c r="D1948" s="43">
        <v>270</v>
      </c>
      <c r="G1948" t="s">
        <v>1695</v>
      </c>
    </row>
    <row r="1949" spans="1:7">
      <c r="A1949" s="635" t="s">
        <v>407</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455</v>
      </c>
      <c r="B1954" s="43" t="s">
        <v>159</v>
      </c>
      <c r="C1954" s="56">
        <v>45965</v>
      </c>
      <c r="D1954" s="325">
        <v>3910</v>
      </c>
      <c r="E1954" s="43"/>
      <c r="F1954" s="155" t="s">
        <v>1707</v>
      </c>
      <c r="G1954" t="s">
        <v>1695</v>
      </c>
    </row>
    <row r="1955" spans="1:7">
      <c r="A1955" s="251" t="s">
        <v>328</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430</v>
      </c>
      <c r="B1959" s="308" t="s">
        <v>159</v>
      </c>
      <c r="C1959" s="56">
        <v>45966</v>
      </c>
      <c r="D1959" s="43">
        <v>549</v>
      </c>
      <c r="F1959" s="43" t="s">
        <v>1122</v>
      </c>
      <c r="G1959" t="s">
        <v>1695</v>
      </c>
    </row>
    <row r="1960" spans="1:7">
      <c r="A1960" s="308" t="s">
        <v>436</v>
      </c>
      <c r="B1960" s="308" t="s">
        <v>1704</v>
      </c>
      <c r="C1960" s="56">
        <v>45966</v>
      </c>
      <c r="D1960" s="156">
        <v>1377</v>
      </c>
      <c r="G1960" t="s">
        <v>1695</v>
      </c>
    </row>
    <row r="1961" spans="1:7">
      <c r="A1961" s="308" t="s">
        <v>436</v>
      </c>
      <c r="B1961" s="308" t="s">
        <v>965</v>
      </c>
      <c r="C1961" s="56">
        <v>45966</v>
      </c>
      <c r="D1961" s="43">
        <v>829</v>
      </c>
      <c r="G1961" t="s">
        <v>1695</v>
      </c>
    </row>
    <row r="1962" spans="1:7">
      <c r="A1962" s="308" t="s">
        <v>439</v>
      </c>
      <c r="B1962" s="308" t="s">
        <v>159</v>
      </c>
      <c r="C1962" s="56">
        <v>45966</v>
      </c>
      <c r="D1962" s="156">
        <v>1031</v>
      </c>
      <c r="G1962" t="s">
        <v>1695</v>
      </c>
    </row>
    <row r="1963" spans="1:7">
      <c r="A1963" s="142" t="s">
        <v>407</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455</v>
      </c>
      <c r="B1968" s="308" t="s">
        <v>159</v>
      </c>
      <c r="C1968" s="56">
        <v>45966</v>
      </c>
      <c r="D1968" s="140">
        <v>346</v>
      </c>
      <c r="E1968" s="156"/>
      <c r="F1968" s="43" t="s">
        <v>1402</v>
      </c>
      <c r="G1968" t="s">
        <v>1695</v>
      </c>
    </row>
    <row r="1969" spans="1:7">
      <c r="A1969" s="382" t="s">
        <v>328</v>
      </c>
      <c r="B1969" s="308" t="s">
        <v>159</v>
      </c>
      <c r="C1969" s="56">
        <v>45966</v>
      </c>
      <c r="D1969" s="140">
        <v>656</v>
      </c>
      <c r="E1969" s="156"/>
      <c r="G1969" t="s">
        <v>1695</v>
      </c>
    </row>
    <row r="1970" spans="1:7">
      <c r="A1970" s="382" t="s">
        <v>323</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436</v>
      </c>
      <c r="B1974" s="43" t="s">
        <v>1704</v>
      </c>
      <c r="C1974" s="56">
        <v>45967</v>
      </c>
      <c r="D1974" s="43">
        <v>183</v>
      </c>
      <c r="G1974" t="s">
        <v>1695</v>
      </c>
    </row>
    <row r="1975" spans="1:7">
      <c r="A1975" s="43" t="s">
        <v>436</v>
      </c>
      <c r="B1975" s="43" t="s">
        <v>965</v>
      </c>
      <c r="C1975" s="56">
        <v>45967</v>
      </c>
      <c r="D1975" s="43">
        <v>270</v>
      </c>
      <c r="G1975" t="s">
        <v>1695</v>
      </c>
    </row>
    <row r="1976" spans="1:7">
      <c r="A1976" s="635" t="s">
        <v>407</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406</v>
      </c>
      <c r="B1979" s="777" t="s">
        <v>1620</v>
      </c>
      <c r="C1979" s="56">
        <v>45967</v>
      </c>
      <c r="D1979" s="156">
        <v>1063</v>
      </c>
      <c r="G1979" t="s">
        <v>1695</v>
      </c>
    </row>
    <row r="1980" spans="1:7">
      <c r="A1980" s="753" t="s">
        <v>323</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484</v>
      </c>
      <c r="B1983" s="357" t="s">
        <v>1647</v>
      </c>
      <c r="C1983" s="56">
        <v>45968</v>
      </c>
      <c r="D1983" s="43">
        <v>451</v>
      </c>
      <c r="G1983" t="s">
        <v>1695</v>
      </c>
    </row>
    <row r="1984" spans="1:7">
      <c r="A1984" s="308" t="s">
        <v>436</v>
      </c>
      <c r="B1984" s="142" t="s">
        <v>1704</v>
      </c>
      <c r="C1984" s="56">
        <v>45968</v>
      </c>
      <c r="G1984" t="s">
        <v>1695</v>
      </c>
    </row>
    <row r="1985" spans="1:7">
      <c r="A1985" s="142" t="s">
        <v>406</v>
      </c>
      <c r="B1985" s="308" t="s">
        <v>965</v>
      </c>
      <c r="C1985" s="56">
        <v>45968</v>
      </c>
      <c r="D1985" s="43">
        <v>350</v>
      </c>
      <c r="G1985" t="s">
        <v>1695</v>
      </c>
    </row>
    <row r="1986" spans="1:7">
      <c r="A1986" s="142" t="s">
        <v>406</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402</v>
      </c>
      <c r="B1989" s="43" t="s">
        <v>235</v>
      </c>
      <c r="C1989" s="56">
        <v>45968</v>
      </c>
      <c r="D1989" s="43">
        <v>569</v>
      </c>
      <c r="G1989" t="s">
        <v>1695</v>
      </c>
    </row>
    <row r="1990" spans="1:7">
      <c r="A1990" s="251" t="s">
        <v>467</v>
      </c>
      <c r="B1990" s="43" t="s">
        <v>159</v>
      </c>
      <c r="C1990" s="56">
        <v>45968</v>
      </c>
      <c r="D1990" s="156">
        <v>2948</v>
      </c>
      <c r="G1990" t="s">
        <v>1695</v>
      </c>
    </row>
    <row r="1991" spans="1:7">
      <c r="A1991" s="994" t="s">
        <v>486</v>
      </c>
      <c r="B1991" s="357" t="s">
        <v>1647</v>
      </c>
      <c r="C1991" s="56">
        <v>45971</v>
      </c>
      <c r="D1991" s="156">
        <v>560</v>
      </c>
      <c r="G1991" t="s">
        <v>1695</v>
      </c>
    </row>
    <row r="1992" spans="1:7">
      <c r="A1992" s="315" t="s">
        <v>436</v>
      </c>
      <c r="B1992" s="315" t="s">
        <v>965</v>
      </c>
      <c r="C1992" s="56">
        <v>45971</v>
      </c>
      <c r="D1992" s="43">
        <v>558</v>
      </c>
      <c r="G1992" t="s">
        <v>1695</v>
      </c>
    </row>
    <row r="1993" spans="1:7">
      <c r="A1993" s="315" t="s">
        <v>436</v>
      </c>
      <c r="B1993" s="315" t="s">
        <v>219</v>
      </c>
      <c r="C1993" s="56">
        <v>45971</v>
      </c>
      <c r="F1993" s="43" t="s">
        <v>1410</v>
      </c>
      <c r="G1993" t="s">
        <v>1695</v>
      </c>
    </row>
    <row r="1994" spans="1:7">
      <c r="A1994" s="319" t="s">
        <v>439</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430</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467</v>
      </c>
      <c r="B2001" s="315" t="s">
        <v>159</v>
      </c>
      <c r="C2001" s="56">
        <v>45971</v>
      </c>
      <c r="D2001" s="156">
        <v>4084</v>
      </c>
      <c r="G2001" t="s">
        <v>1695</v>
      </c>
    </row>
    <row r="2002" spans="1:7">
      <c r="A2002" s="142" t="s">
        <v>430</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436</v>
      </c>
      <c r="B2007" s="43" t="s">
        <v>1400</v>
      </c>
      <c r="C2007" s="56">
        <v>45973</v>
      </c>
      <c r="F2007" s="315" t="s">
        <v>1407</v>
      </c>
      <c r="G2007" t="s">
        <v>1695</v>
      </c>
    </row>
    <row r="2008" spans="1:7">
      <c r="A2008" s="43" t="s">
        <v>419</v>
      </c>
      <c r="B2008" s="43" t="s">
        <v>159</v>
      </c>
      <c r="C2008" s="56">
        <v>45973</v>
      </c>
      <c r="D2008" s="156">
        <v>1580</v>
      </c>
      <c r="F2008" s="43" t="s">
        <v>1540</v>
      </c>
      <c r="G2008" t="s">
        <v>1695</v>
      </c>
    </row>
    <row r="2009" spans="1:7">
      <c r="A2009" s="43" t="s">
        <v>439</v>
      </c>
      <c r="B2009" s="116" t="s">
        <v>159</v>
      </c>
      <c r="C2009" s="56">
        <v>45973</v>
      </c>
      <c r="D2009" s="43">
        <v>890</v>
      </c>
      <c r="G2009" t="s">
        <v>1695</v>
      </c>
    </row>
    <row r="2010" spans="1:7">
      <c r="A2010" s="43" t="s">
        <v>439</v>
      </c>
      <c r="B2010" s="116" t="s">
        <v>219</v>
      </c>
      <c r="C2010" s="56">
        <v>45973</v>
      </c>
      <c r="F2010" s="43" t="s">
        <v>1402</v>
      </c>
      <c r="G2010" t="s">
        <v>1695</v>
      </c>
    </row>
    <row r="2011" spans="1:7">
      <c r="A2011" s="43" t="s">
        <v>417</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412</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467</v>
      </c>
      <c r="B2017" s="43" t="s">
        <v>159</v>
      </c>
      <c r="C2017" s="56">
        <v>45973</v>
      </c>
      <c r="D2017" s="43">
        <v>242</v>
      </c>
      <c r="G2017" t="s">
        <v>1695</v>
      </c>
    </row>
    <row r="2018" spans="1:7">
      <c r="A2018" s="43" t="s">
        <v>465</v>
      </c>
      <c r="B2018" s="43" t="s">
        <v>159</v>
      </c>
      <c r="C2018" s="56">
        <v>45973</v>
      </c>
      <c r="D2018" s="156">
        <v>1264</v>
      </c>
      <c r="G2018" t="s">
        <v>1695</v>
      </c>
    </row>
    <row r="2019" spans="1:7">
      <c r="A2019" s="43" t="s">
        <v>469</v>
      </c>
      <c r="B2019" s="43" t="s">
        <v>159</v>
      </c>
      <c r="C2019" s="56">
        <v>45973</v>
      </c>
      <c r="D2019" s="156">
        <v>3678</v>
      </c>
      <c r="G2019" t="s">
        <v>1695</v>
      </c>
    </row>
    <row r="2020" spans="1:7">
      <c r="A2020" s="43" t="s">
        <v>436</v>
      </c>
      <c r="B2020" s="43" t="s">
        <v>1400</v>
      </c>
      <c r="C2020" s="56">
        <v>45974</v>
      </c>
      <c r="F2020" s="43" t="s">
        <v>1468</v>
      </c>
      <c r="G2020" t="s">
        <v>1695</v>
      </c>
    </row>
    <row r="2021" spans="1:7">
      <c r="A2021" s="43" t="s">
        <v>419</v>
      </c>
      <c r="B2021" s="43" t="s">
        <v>159</v>
      </c>
      <c r="C2021" s="56">
        <v>45974</v>
      </c>
      <c r="D2021" s="156">
        <v>1258</v>
      </c>
      <c r="F2021" s="43" t="s">
        <v>1728</v>
      </c>
      <c r="G2021" t="s">
        <v>1695</v>
      </c>
    </row>
    <row r="2022" spans="1:7">
      <c r="A2022" s="43" t="s">
        <v>417</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412</v>
      </c>
      <c r="B2027" s="43" t="s">
        <v>1620</v>
      </c>
      <c r="C2027" s="56">
        <v>45974</v>
      </c>
      <c r="D2027" s="156">
        <v>2912</v>
      </c>
      <c r="G2027" t="s">
        <v>1695</v>
      </c>
    </row>
    <row r="2028" spans="1:7">
      <c r="A2028" s="635" t="s">
        <v>376</v>
      </c>
      <c r="B2028" s="43" t="s">
        <v>1400</v>
      </c>
      <c r="C2028" s="56">
        <v>45974</v>
      </c>
      <c r="F2028" s="43" t="s">
        <v>1122</v>
      </c>
      <c r="G2028" t="s">
        <v>1695</v>
      </c>
    </row>
    <row r="2029" spans="1:7">
      <c r="A2029" s="43" t="s">
        <v>469</v>
      </c>
      <c r="B2029" s="43" t="s">
        <v>159</v>
      </c>
      <c r="C2029" s="56">
        <v>45974</v>
      </c>
      <c r="D2029" s="156">
        <v>3382</v>
      </c>
      <c r="G2029" t="s">
        <v>1695</v>
      </c>
    </row>
    <row r="2030" spans="1:7">
      <c r="A2030" s="43" t="s">
        <v>465</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436</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412</v>
      </c>
      <c r="B2038" s="319" t="s">
        <v>1620</v>
      </c>
      <c r="C2038" s="56">
        <v>45975</v>
      </c>
      <c r="D2038" s="156">
        <v>2125</v>
      </c>
      <c r="G2038" t="s">
        <v>1695</v>
      </c>
    </row>
    <row r="2039" spans="1:7">
      <c r="A2039" s="142" t="s">
        <v>436</v>
      </c>
      <c r="B2039" s="142" t="s">
        <v>1400</v>
      </c>
      <c r="C2039" s="56">
        <v>45978</v>
      </c>
      <c r="D2039" s="43">
        <v>127</v>
      </c>
      <c r="G2039" t="s">
        <v>1695</v>
      </c>
    </row>
    <row r="2040" spans="1:7">
      <c r="A2040" s="142" t="s">
        <v>436</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421</v>
      </c>
      <c r="B2044" s="360" t="s">
        <v>159</v>
      </c>
      <c r="C2044" s="56">
        <v>45978</v>
      </c>
      <c r="D2044" s="43">
        <v>762</v>
      </c>
      <c r="G2044" t="s">
        <v>1695</v>
      </c>
    </row>
    <row r="2045" spans="1:7">
      <c r="A2045" s="142" t="s">
        <v>417</v>
      </c>
      <c r="B2045" s="360" t="s">
        <v>159</v>
      </c>
      <c r="C2045" s="56">
        <v>45978</v>
      </c>
      <c r="D2045" s="43">
        <v>956</v>
      </c>
      <c r="F2045" s="43" t="s">
        <v>1735</v>
      </c>
      <c r="G2045" t="s">
        <v>1695</v>
      </c>
    </row>
    <row r="2046" spans="1:7">
      <c r="A2046" s="309" t="s">
        <v>404</v>
      </c>
      <c r="B2046" s="322" t="s">
        <v>965</v>
      </c>
      <c r="C2046" s="56">
        <v>45978</v>
      </c>
      <c r="D2046" s="43">
        <v>176</v>
      </c>
      <c r="G2046" t="s">
        <v>1695</v>
      </c>
    </row>
    <row r="2047" spans="1:7">
      <c r="A2047" s="142" t="s">
        <v>404</v>
      </c>
      <c r="B2047" s="360" t="s">
        <v>965</v>
      </c>
      <c r="C2047" s="56">
        <v>45978</v>
      </c>
      <c r="D2047" s="43">
        <v>270</v>
      </c>
      <c r="G2047" t="s">
        <v>1695</v>
      </c>
    </row>
    <row r="2048" spans="1:7">
      <c r="A2048" s="142" t="s">
        <v>241</v>
      </c>
      <c r="B2048" s="360" t="s">
        <v>1730</v>
      </c>
      <c r="C2048" s="56">
        <v>45978</v>
      </c>
      <c r="D2048" s="43">
        <v>420</v>
      </c>
      <c r="G2048" t="s">
        <v>1695</v>
      </c>
    </row>
    <row r="2049" spans="1:7">
      <c r="A2049" s="308" t="s">
        <v>412</v>
      </c>
      <c r="B2049" s="308" t="s">
        <v>1620</v>
      </c>
      <c r="C2049" s="56">
        <v>45978</v>
      </c>
      <c r="D2049" s="156">
        <v>1449</v>
      </c>
      <c r="G2049" t="s">
        <v>1695</v>
      </c>
    </row>
    <row r="2050" spans="1:7">
      <c r="A2050" s="142" t="s">
        <v>336</v>
      </c>
      <c r="B2050" s="142" t="s">
        <v>159</v>
      </c>
      <c r="C2050" s="56">
        <v>45978</v>
      </c>
      <c r="D2050" s="156">
        <v>5466</v>
      </c>
      <c r="G2050" t="s">
        <v>1695</v>
      </c>
    </row>
    <row r="2051" spans="1:7">
      <c r="A2051" s="308" t="s">
        <v>465</v>
      </c>
      <c r="B2051" s="308" t="s">
        <v>159</v>
      </c>
      <c r="C2051" s="56">
        <v>45978</v>
      </c>
      <c r="D2051" s="156">
        <v>1662</v>
      </c>
      <c r="G2051" t="s">
        <v>1695</v>
      </c>
    </row>
    <row r="2052" spans="1:7">
      <c r="A2052" s="308" t="s">
        <v>341</v>
      </c>
      <c r="B2052" s="308" t="s">
        <v>159</v>
      </c>
      <c r="C2052" s="56">
        <v>45978</v>
      </c>
      <c r="D2052" s="156">
        <v>1498</v>
      </c>
      <c r="G2052" t="s">
        <v>1695</v>
      </c>
    </row>
    <row r="2053" spans="1:7">
      <c r="A2053" s="308" t="s">
        <v>486</v>
      </c>
      <c r="B2053" s="308" t="s">
        <v>1647</v>
      </c>
      <c r="C2053" s="56">
        <v>45979</v>
      </c>
      <c r="D2053" s="156">
        <v>17</v>
      </c>
      <c r="G2053" t="s">
        <v>1695</v>
      </c>
    </row>
    <row r="2054" spans="1:7">
      <c r="A2054" s="308" t="s">
        <v>1025</v>
      </c>
      <c r="B2054" s="308" t="s">
        <v>1647</v>
      </c>
      <c r="C2054" s="56">
        <v>45979</v>
      </c>
      <c r="D2054" s="156">
        <v>12</v>
      </c>
      <c r="G2054" t="s">
        <v>1695</v>
      </c>
    </row>
    <row r="2055" spans="1:7">
      <c r="A2055" s="43" t="s">
        <v>439</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424</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421</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404</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465</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424</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421</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404</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421</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424</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404</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412</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336</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316</v>
      </c>
      <c r="B2096" s="43" t="s">
        <v>1620</v>
      </c>
      <c r="C2096" s="56">
        <v>45982</v>
      </c>
      <c r="D2096" s="156">
        <v>1281</v>
      </c>
      <c r="E2096" s="257"/>
      <c r="F2096" s="92" t="s">
        <v>1755</v>
      </c>
      <c r="G2096" t="s">
        <v>1695</v>
      </c>
    </row>
    <row r="2097" spans="1:7">
      <c r="A2097" s="345" t="s">
        <v>465</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451</v>
      </c>
      <c r="B2102" s="43" t="s">
        <v>965</v>
      </c>
      <c r="C2102" s="56">
        <v>45982</v>
      </c>
      <c r="E2102" s="325">
        <v>2257</v>
      </c>
      <c r="F2102" s="69" t="s">
        <v>1408</v>
      </c>
      <c r="G2102" t="s">
        <v>1695</v>
      </c>
    </row>
    <row r="2103" spans="1:7">
      <c r="A2103" s="69" t="s">
        <v>453</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478</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421</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424</v>
      </c>
      <c r="B2113" s="1168" t="s">
        <v>159</v>
      </c>
      <c r="C2113" s="56">
        <v>45985</v>
      </c>
      <c r="D2113" s="43">
        <v>572</v>
      </c>
      <c r="F2113" s="69" t="s">
        <v>1760</v>
      </c>
      <c r="G2113" t="s">
        <v>1695</v>
      </c>
    </row>
    <row r="2114" spans="1:7">
      <c r="A2114" s="171" t="s">
        <v>427</v>
      </c>
      <c r="B2114" s="171" t="s">
        <v>965</v>
      </c>
      <c r="C2114" s="56">
        <v>45985</v>
      </c>
      <c r="D2114" s="43">
        <v>286</v>
      </c>
      <c r="E2114" s="204"/>
      <c r="F2114" s="149"/>
      <c r="G2114" t="s">
        <v>1695</v>
      </c>
    </row>
    <row r="2115" spans="1:7">
      <c r="A2115" s="43" t="s">
        <v>417</v>
      </c>
      <c r="B2115" s="43" t="s">
        <v>965</v>
      </c>
      <c r="C2115" s="56">
        <v>45985</v>
      </c>
      <c r="D2115" s="140"/>
      <c r="E2115" s="43">
        <v>734</v>
      </c>
      <c r="F2115" s="69"/>
      <c r="G2115" t="s">
        <v>1695</v>
      </c>
    </row>
    <row r="2116" spans="1:7">
      <c r="A2116" s="43" t="s">
        <v>419</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407</v>
      </c>
      <c r="B2118" s="382" t="s">
        <v>1620</v>
      </c>
      <c r="C2118" s="56">
        <v>45985</v>
      </c>
      <c r="D2118" s="140"/>
      <c r="E2118" s="43"/>
      <c r="F2118" s="1167" t="s">
        <v>1762</v>
      </c>
      <c r="G2118" t="s">
        <v>1695</v>
      </c>
    </row>
    <row r="2119" spans="1:7">
      <c r="A2119" s="444" t="s">
        <v>406</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478</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427</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407</v>
      </c>
      <c r="B2131" s="382" t="s">
        <v>1620</v>
      </c>
      <c r="C2131" s="56">
        <v>45986</v>
      </c>
      <c r="D2131" s="140"/>
      <c r="E2131" s="43"/>
      <c r="F2131" s="777" t="s">
        <v>1768</v>
      </c>
      <c r="G2131" t="s">
        <v>1695</v>
      </c>
    </row>
    <row r="2132" spans="1:7">
      <c r="A2132" s="444" t="s">
        <v>406</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316</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333</v>
      </c>
      <c r="B2136" s="166" t="s">
        <v>159</v>
      </c>
      <c r="C2136" s="56">
        <v>45986</v>
      </c>
      <c r="D2136" s="156">
        <v>2382</v>
      </c>
      <c r="G2136" t="s">
        <v>1695</v>
      </c>
    </row>
    <row r="2137" spans="1:7">
      <c r="A2137" s="418" t="s">
        <v>323</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328</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478</v>
      </c>
      <c r="B2145" s="315" t="s">
        <v>965</v>
      </c>
      <c r="C2145" s="56">
        <v>45987</v>
      </c>
      <c r="F2145" s="803" t="s">
        <v>1238</v>
      </c>
      <c r="G2145" t="s">
        <v>1695</v>
      </c>
    </row>
    <row r="2146" spans="1:7">
      <c r="A2146" s="827" t="s">
        <v>427</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407</v>
      </c>
      <c r="B2151" s="310" t="s">
        <v>1620</v>
      </c>
      <c r="C2151" s="56">
        <v>45987</v>
      </c>
      <c r="D2151" s="140"/>
      <c r="E2151" s="43"/>
      <c r="F2151" s="777" t="s">
        <v>1768</v>
      </c>
      <c r="G2151" t="s">
        <v>1695</v>
      </c>
    </row>
    <row r="2152" spans="1:7">
      <c r="A2152" s="142" t="s">
        <v>406</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455</v>
      </c>
      <c r="B2158" s="319" t="s">
        <v>1400</v>
      </c>
      <c r="C2158" s="56">
        <v>45987</v>
      </c>
      <c r="E2158" s="140">
        <v>794</v>
      </c>
      <c r="G2158" t="s">
        <v>1695</v>
      </c>
    </row>
    <row r="2159" spans="1:7">
      <c r="A2159" s="142" t="s">
        <v>328</v>
      </c>
      <c r="B2159" s="142" t="s">
        <v>159</v>
      </c>
      <c r="C2159" s="56">
        <v>45987</v>
      </c>
      <c r="D2159" s="162"/>
      <c r="E2159" s="325">
        <v>2338</v>
      </c>
      <c r="F2159" s="43" t="s">
        <v>1776</v>
      </c>
      <c r="G2159" t="s">
        <v>1695</v>
      </c>
    </row>
    <row r="2160" spans="1:7">
      <c r="A2160" s="310" t="s">
        <v>445</v>
      </c>
      <c r="B2160" s="315" t="s">
        <v>965</v>
      </c>
      <c r="C2160" s="56">
        <v>45987</v>
      </c>
      <c r="E2160" s="140">
        <v>175</v>
      </c>
      <c r="G2160" t="s">
        <v>1695</v>
      </c>
    </row>
    <row r="2161" spans="1:7">
      <c r="A2161" s="310" t="s">
        <v>445</v>
      </c>
      <c r="B2161" s="319" t="s">
        <v>159</v>
      </c>
      <c r="C2161" s="56">
        <v>45987</v>
      </c>
      <c r="E2161" s="325">
        <v>2455</v>
      </c>
      <c r="F2161" s="43" t="s">
        <v>1777</v>
      </c>
      <c r="G2161" t="s">
        <v>1695</v>
      </c>
    </row>
    <row r="2162" spans="1:7">
      <c r="A2162" s="310" t="s">
        <v>447</v>
      </c>
      <c r="B2162" s="319" t="s">
        <v>965</v>
      </c>
      <c r="C2162" s="56">
        <v>45987</v>
      </c>
      <c r="E2162" s="140">
        <v>376</v>
      </c>
      <c r="G2162" t="s">
        <v>1695</v>
      </c>
    </row>
    <row r="2163" spans="1:7">
      <c r="A2163" s="310" t="s">
        <v>447</v>
      </c>
      <c r="B2163" s="757" t="s">
        <v>159</v>
      </c>
      <c r="C2163" s="56">
        <v>45987</v>
      </c>
      <c r="E2163" s="140">
        <v>404</v>
      </c>
      <c r="F2163" s="43" t="s">
        <v>1778</v>
      </c>
      <c r="G2163" t="s">
        <v>1695</v>
      </c>
    </row>
    <row r="2164" spans="1:7">
      <c r="A2164" s="315" t="s">
        <v>449</v>
      </c>
      <c r="B2164" s="315" t="s">
        <v>965</v>
      </c>
      <c r="C2164" s="56">
        <v>45987</v>
      </c>
      <c r="E2164" s="325">
        <v>1264</v>
      </c>
      <c r="G2164" t="s">
        <v>1695</v>
      </c>
    </row>
    <row r="2165" spans="1:7">
      <c r="A2165" s="319" t="s">
        <v>458</v>
      </c>
      <c r="B2165" s="319" t="s">
        <v>965</v>
      </c>
      <c r="C2165" s="56">
        <v>45987</v>
      </c>
      <c r="E2165" s="325">
        <v>1520</v>
      </c>
      <c r="G2165" t="s">
        <v>1695</v>
      </c>
    </row>
    <row r="2166" spans="1:7">
      <c r="A2166" s="319" t="s">
        <v>459</v>
      </c>
      <c r="B2166" s="319" t="s">
        <v>1400</v>
      </c>
      <c r="C2166" s="56">
        <v>45987</v>
      </c>
      <c r="E2166" s="325">
        <v>1739</v>
      </c>
      <c r="G2166" t="s">
        <v>1695</v>
      </c>
    </row>
    <row r="2167" spans="1:7">
      <c r="A2167" s="319" t="s">
        <v>461</v>
      </c>
      <c r="B2167" s="319" t="s">
        <v>965</v>
      </c>
      <c r="C2167" s="56">
        <v>45987</v>
      </c>
      <c r="E2167" s="325">
        <v>1584</v>
      </c>
      <c r="G2167" t="s">
        <v>1695</v>
      </c>
    </row>
    <row r="2168" spans="1:7">
      <c r="A2168" s="319" t="s">
        <v>463</v>
      </c>
      <c r="B2168" s="319" t="s">
        <v>965</v>
      </c>
      <c r="C2168" s="56">
        <v>45987</v>
      </c>
      <c r="E2168" s="325">
        <v>1140</v>
      </c>
      <c r="G2168" t="s">
        <v>1695</v>
      </c>
    </row>
    <row r="2169" spans="1:7">
      <c r="A2169" s="319" t="s">
        <v>464</v>
      </c>
      <c r="B2169" s="319" t="s">
        <v>965</v>
      </c>
      <c r="C2169" s="56">
        <v>45987</v>
      </c>
      <c r="E2169" s="140">
        <v>692</v>
      </c>
      <c r="G2169" t="s">
        <v>1695</v>
      </c>
    </row>
    <row r="2170" spans="1:7">
      <c r="C2170" s="56">
        <v>45988</v>
      </c>
      <c r="G2170" t="s">
        <v>1695</v>
      </c>
    </row>
    <row r="2171" spans="1:7">
      <c r="A2171" s="251" t="s">
        <v>421</v>
      </c>
      <c r="B2171" s="158" t="s">
        <v>965</v>
      </c>
      <c r="C2171" s="56">
        <v>45989</v>
      </c>
      <c r="E2171" s="140">
        <v>160</v>
      </c>
      <c r="F2171" s="43" t="s">
        <v>1779</v>
      </c>
      <c r="G2171" t="s">
        <v>1695</v>
      </c>
    </row>
    <row r="2172" spans="1:7">
      <c r="A2172" s="310" t="s">
        <v>1030</v>
      </c>
      <c r="B2172" s="310" t="s">
        <v>1647</v>
      </c>
      <c r="C2172" s="56">
        <v>45992</v>
      </c>
      <c r="G2172" t="s">
        <v>1780</v>
      </c>
    </row>
    <row r="2173" spans="1:7">
      <c r="A2173" s="310" t="s">
        <v>98</v>
      </c>
      <c r="B2173" s="310" t="s">
        <v>1486</v>
      </c>
      <c r="C2173" s="56">
        <v>45992</v>
      </c>
      <c r="G2173" t="s">
        <v>1780</v>
      </c>
    </row>
    <row r="2174" spans="1:7">
      <c r="A2174" s="310" t="s">
        <v>98</v>
      </c>
      <c r="B2174" s="310" t="s">
        <v>1576</v>
      </c>
      <c r="C2174" s="56">
        <v>45992</v>
      </c>
      <c r="G2174" t="s">
        <v>1780</v>
      </c>
    </row>
    <row r="2175" spans="1:7">
      <c r="A2175" s="315" t="s">
        <v>98</v>
      </c>
      <c r="B2175" s="315" t="s">
        <v>1712</v>
      </c>
      <c r="C2175" s="56">
        <v>45992</v>
      </c>
      <c r="G2175" t="s">
        <v>1780</v>
      </c>
    </row>
    <row r="2176" spans="1:7">
      <c r="A2176" s="827" t="s">
        <v>158</v>
      </c>
      <c r="B2176" s="827" t="s">
        <v>159</v>
      </c>
      <c r="C2176" s="56">
        <v>45992</v>
      </c>
      <c r="G2176" t="s">
        <v>1780</v>
      </c>
    </row>
    <row r="2177" spans="1:7">
      <c r="A2177" s="1173" t="s">
        <v>162</v>
      </c>
      <c r="B2177" s="308" t="s">
        <v>159</v>
      </c>
      <c r="C2177" s="56">
        <v>45992</v>
      </c>
      <c r="G2177" t="s">
        <v>1780</v>
      </c>
    </row>
    <row r="2178" spans="1:7">
      <c r="A2178" s="142" t="s">
        <v>1028</v>
      </c>
      <c r="B2178" s="308" t="s">
        <v>219</v>
      </c>
      <c r="C2178" s="56">
        <v>45992</v>
      </c>
      <c r="G2178" t="s">
        <v>1780</v>
      </c>
    </row>
    <row r="2179" spans="1:7">
      <c r="A2179" s="308" t="s">
        <v>1027</v>
      </c>
      <c r="B2179" s="308" t="s">
        <v>216</v>
      </c>
      <c r="C2179" s="56">
        <v>45992</v>
      </c>
      <c r="G2179" t="s">
        <v>1780</v>
      </c>
    </row>
    <row r="2180" spans="1:7">
      <c r="A2180" s="142" t="s">
        <v>300</v>
      </c>
      <c r="B2180" s="142" t="s">
        <v>1620</v>
      </c>
      <c r="C2180" s="56">
        <v>45992</v>
      </c>
      <c r="G2180" t="s">
        <v>1780</v>
      </c>
    </row>
    <row r="2181" spans="1:7">
      <c r="A2181" s="142" t="s">
        <v>328</v>
      </c>
      <c r="B2181" s="398" t="s">
        <v>159</v>
      </c>
      <c r="C2181" s="56">
        <v>45992</v>
      </c>
      <c r="G2181" t="s">
        <v>1780</v>
      </c>
    </row>
    <row r="2182" spans="1:7">
      <c r="A2182" s="359" t="s">
        <v>350</v>
      </c>
      <c r="B2182" s="368" t="s">
        <v>159</v>
      </c>
      <c r="C2182" s="56">
        <v>45992</v>
      </c>
      <c r="G2182" t="s">
        <v>1780</v>
      </c>
    </row>
    <row r="2183" spans="1:7">
      <c r="A2183" s="321" t="s">
        <v>333</v>
      </c>
      <c r="B2183" s="312" t="s">
        <v>159</v>
      </c>
      <c r="C2183" s="56">
        <v>45992</v>
      </c>
      <c r="G2183" t="s">
        <v>1780</v>
      </c>
    </row>
    <row r="2184" spans="1:7">
      <c r="A2184" s="315" t="s">
        <v>465</v>
      </c>
      <c r="B2184" s="315" t="s">
        <v>159</v>
      </c>
      <c r="C2184" s="56">
        <v>45992</v>
      </c>
      <c r="G2184"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1781</v>
      </c>
      <c r="W2" s="3" t="s">
        <v>1782</v>
      </c>
      <c r="X2" s="3" t="s">
        <v>1782</v>
      </c>
      <c r="Y2" s="3" t="s">
        <v>1782</v>
      </c>
      <c r="Z2" s="3" t="s">
        <v>1782</v>
      </c>
      <c r="AA2" s="8" t="s">
        <v>1783</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1784</v>
      </c>
      <c r="T3" s="19" t="s">
        <v>1785</v>
      </c>
      <c r="U3" s="19" t="s">
        <v>1786</v>
      </c>
      <c r="V3" s="5" t="s">
        <v>1787</v>
      </c>
      <c r="W3" s="5" t="s">
        <v>44</v>
      </c>
      <c r="X3" s="5" t="s">
        <v>43</v>
      </c>
      <c r="Y3" s="5" t="s">
        <v>1788</v>
      </c>
      <c r="Z3" s="5" t="s">
        <v>46</v>
      </c>
      <c r="AA3" s="90" t="s">
        <v>580</v>
      </c>
      <c r="AB3" s="68" t="s">
        <v>48</v>
      </c>
    </row>
    <row r="4" spans="1:30" ht="24.75" customHeight="1" thickBot="1">
      <c r="A4" s="454" t="s">
        <v>1789</v>
      </c>
      <c r="B4" s="454" t="s">
        <v>1790</v>
      </c>
      <c r="C4" s="16">
        <v>45717</v>
      </c>
      <c r="D4" s="63" t="s">
        <v>1791</v>
      </c>
      <c r="E4" s="51">
        <v>45707</v>
      </c>
      <c r="F4" s="51" t="s">
        <v>225</v>
      </c>
      <c r="G4" s="393" t="s">
        <v>1792</v>
      </c>
      <c r="H4" s="98">
        <v>0</v>
      </c>
      <c r="I4" s="106"/>
      <c r="J4" s="76" t="s">
        <v>63</v>
      </c>
      <c r="K4" s="76" t="s">
        <v>1793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1794</v>
      </c>
    </row>
    <row r="5" spans="1:30" ht="24.75" customHeight="1" thickBot="1">
      <c r="A5" s="454" t="s">
        <v>1795</v>
      </c>
      <c r="B5" s="454" t="s">
        <v>1790</v>
      </c>
      <c r="C5" s="16">
        <v>45717</v>
      </c>
      <c r="D5" s="63" t="s">
        <v>1791</v>
      </c>
      <c r="E5" s="51">
        <v>45707</v>
      </c>
      <c r="F5" s="392" t="s">
        <v>225</v>
      </c>
      <c r="G5" s="393" t="s">
        <v>1796</v>
      </c>
      <c r="H5" s="98">
        <v>0</v>
      </c>
      <c r="I5" s="106"/>
      <c r="J5" s="76" t="s">
        <v>63</v>
      </c>
      <c r="K5" s="76" t="s">
        <v>1793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1797</v>
      </c>
      <c r="B6" s="454" t="s">
        <v>1790</v>
      </c>
      <c r="C6" s="16">
        <v>45717</v>
      </c>
      <c r="D6" s="63" t="s">
        <v>1791</v>
      </c>
      <c r="E6" s="51">
        <v>45707</v>
      </c>
      <c r="F6" s="392" t="s">
        <v>225</v>
      </c>
      <c r="G6" s="393" t="s">
        <v>1798</v>
      </c>
      <c r="H6" s="98">
        <v>0</v>
      </c>
      <c r="I6" s="106"/>
      <c r="J6" s="76" t="s">
        <v>63</v>
      </c>
      <c r="K6" s="76" t="s">
        <v>1793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1799</v>
      </c>
      <c r="B8" s="454" t="s">
        <v>1800</v>
      </c>
      <c r="C8" s="16">
        <v>45748</v>
      </c>
      <c r="D8" s="16" t="s">
        <v>1791</v>
      </c>
      <c r="E8" s="95" t="s">
        <v>52</v>
      </c>
      <c r="F8" s="96" t="s">
        <v>52</v>
      </c>
      <c r="G8" s="637" t="s">
        <v>1801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1802</v>
      </c>
      <c r="AC8" s="449"/>
      <c r="AD8" s="70"/>
    </row>
    <row r="9" spans="1:30" ht="24.75" customHeight="1">
      <c r="A9" s="463" t="s">
        <v>1803</v>
      </c>
      <c r="B9" s="463" t="s">
        <v>1804</v>
      </c>
      <c r="C9" s="23">
        <v>45741</v>
      </c>
      <c r="D9" s="16" t="s">
        <v>1791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1805</v>
      </c>
    </row>
    <row r="10" spans="1:30" ht="24.75" customHeight="1" thickBot="1">
      <c r="A10" s="26" t="s">
        <v>1806</v>
      </c>
      <c r="B10" s="26" t="s">
        <v>1804</v>
      </c>
      <c r="C10" s="27">
        <v>45741</v>
      </c>
      <c r="D10" s="16" t="s">
        <v>1791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1807</v>
      </c>
      <c r="B11" s="36" t="s">
        <v>1804</v>
      </c>
      <c r="C11" s="37">
        <v>45747</v>
      </c>
      <c r="D11" s="16" t="s">
        <v>1791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1808</v>
      </c>
      <c r="B12" s="26" t="s">
        <v>1804</v>
      </c>
      <c r="C12" s="27">
        <v>45741</v>
      </c>
      <c r="D12" s="16" t="s">
        <v>1791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1805</v>
      </c>
    </row>
    <row r="13" spans="1:30" ht="24.75" customHeight="1" thickBot="1">
      <c r="A13" s="26" t="s">
        <v>1809</v>
      </c>
      <c r="B13" s="26" t="s">
        <v>1804</v>
      </c>
      <c r="C13" s="27">
        <v>45741</v>
      </c>
      <c r="D13" s="27" t="s">
        <v>1791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1805</v>
      </c>
    </row>
    <row r="14" spans="1:30" ht="24.75" customHeight="1" thickBot="1">
      <c r="A14" s="26" t="s">
        <v>1810</v>
      </c>
      <c r="B14" s="26" t="s">
        <v>1804</v>
      </c>
      <c r="C14" s="27">
        <v>45747</v>
      </c>
      <c r="D14" s="27" t="s">
        <v>1791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1811</v>
      </c>
      <c r="B15" s="26" t="s">
        <v>1804</v>
      </c>
      <c r="C15" s="27">
        <v>45741</v>
      </c>
      <c r="D15" s="27" t="s">
        <v>1791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1805</v>
      </c>
    </row>
    <row r="16" spans="1:30" ht="24.75" customHeight="1" thickBot="1">
      <c r="A16" s="26" t="s">
        <v>1812</v>
      </c>
      <c r="B16" s="26" t="s">
        <v>1804</v>
      </c>
      <c r="C16" s="27">
        <v>45741</v>
      </c>
      <c r="D16" s="27" t="s">
        <v>1791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1805</v>
      </c>
    </row>
    <row r="17" spans="1:30" ht="24.75" customHeight="1" thickBot="1">
      <c r="A17" s="36" t="s">
        <v>1813</v>
      </c>
      <c r="B17" s="36" t="s">
        <v>1804</v>
      </c>
      <c r="C17" s="37">
        <v>45747</v>
      </c>
      <c r="D17" s="37" t="s">
        <v>1791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1814</v>
      </c>
      <c r="B18" s="385" t="s">
        <v>1804</v>
      </c>
      <c r="C18" s="51">
        <v>45717</v>
      </c>
      <c r="D18" s="27" t="s">
        <v>1791</v>
      </c>
      <c r="E18" s="85">
        <v>45700</v>
      </c>
      <c r="F18" s="51"/>
      <c r="G18" s="51" t="s">
        <v>1815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1805</v>
      </c>
    </row>
    <row r="19" spans="1:30" ht="24.75" customHeight="1" thickBot="1">
      <c r="A19" s="50" t="s">
        <v>1816</v>
      </c>
      <c r="B19" s="26" t="s">
        <v>1804</v>
      </c>
      <c r="C19" s="51">
        <v>45747</v>
      </c>
      <c r="D19" s="27" t="s">
        <v>1791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1817</v>
      </c>
    </row>
    <row r="20" spans="1:30" ht="24.75" customHeight="1" thickBot="1">
      <c r="A20" s="385" t="s">
        <v>1818</v>
      </c>
      <c r="B20" s="385" t="s">
        <v>1804</v>
      </c>
      <c r="C20" s="386">
        <v>45717</v>
      </c>
      <c r="D20" s="27" t="s">
        <v>1791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1805</v>
      </c>
    </row>
    <row r="21" spans="1:30" ht="24.75" customHeight="1" thickBot="1">
      <c r="A21" s="385" t="s">
        <v>1819</v>
      </c>
      <c r="B21" s="113" t="s">
        <v>50</v>
      </c>
      <c r="C21" s="51">
        <v>45717</v>
      </c>
      <c r="D21" s="27" t="s">
        <v>1820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1821</v>
      </c>
      <c r="B22" s="389" t="s">
        <v>50</v>
      </c>
      <c r="C22" s="51">
        <v>45717</v>
      </c>
      <c r="D22" s="51" t="s">
        <v>1820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1823</v>
      </c>
      <c r="B24" s="389" t="s">
        <v>50</v>
      </c>
      <c r="C24" s="392">
        <v>45688</v>
      </c>
      <c r="D24" s="402" t="s">
        <v>1822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1824</v>
      </c>
      <c r="B25" s="114" t="s">
        <v>50</v>
      </c>
      <c r="C25" s="51">
        <v>45747</v>
      </c>
      <c r="D25" s="51" t="s">
        <v>1820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1825</v>
      </c>
    </row>
    <row r="26" spans="1:30" ht="24.75" customHeight="1">
      <c r="A26" s="102" t="s">
        <v>1826</v>
      </c>
      <c r="B26" s="103" t="s">
        <v>50</v>
      </c>
      <c r="C26" s="77">
        <v>45716</v>
      </c>
      <c r="D26" s="26" t="s">
        <v>1822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1827</v>
      </c>
      <c r="B27" s="103" t="s">
        <v>50</v>
      </c>
      <c r="C27" s="77">
        <v>45716</v>
      </c>
      <c r="D27" s="50" t="s">
        <v>1822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1828</v>
      </c>
      <c r="B28" s="103" t="s">
        <v>50</v>
      </c>
      <c r="C28" s="77">
        <v>45717</v>
      </c>
      <c r="D28" s="51" t="s">
        <v>1820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1829</v>
      </c>
      <c r="B29" s="103" t="s">
        <v>50</v>
      </c>
      <c r="C29" s="77">
        <v>45717</v>
      </c>
      <c r="D29" s="51" t="s">
        <v>1820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1830</v>
      </c>
      <c r="B30" s="389" t="s">
        <v>50</v>
      </c>
      <c r="C30" s="51">
        <v>45717</v>
      </c>
      <c r="D30" s="51" t="s">
        <v>1820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1831</v>
      </c>
      <c r="B31" s="389" t="s">
        <v>50</v>
      </c>
      <c r="C31" s="51">
        <v>45717</v>
      </c>
      <c r="D31" s="51" t="s">
        <v>1820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1832</v>
      </c>
      <c r="B32" s="1050" t="s">
        <v>50</v>
      </c>
      <c r="C32" s="946">
        <v>45991</v>
      </c>
      <c r="D32" s="946" t="s">
        <v>71</v>
      </c>
      <c r="E32" s="1042">
        <v>45734</v>
      </c>
      <c r="F32" s="950" t="s">
        <v>61</v>
      </c>
      <c r="G32" s="1051" t="s">
        <v>1833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1834</v>
      </c>
      <c r="B33" s="1050" t="s">
        <v>50</v>
      </c>
      <c r="C33" s="946">
        <v>45991</v>
      </c>
      <c r="D33" s="950" t="s">
        <v>71</v>
      </c>
      <c r="E33" s="1042">
        <v>45743</v>
      </c>
      <c r="F33" s="950" t="s">
        <v>61</v>
      </c>
      <c r="G33" s="1051" t="s">
        <v>1835</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1836</v>
      </c>
    </row>
    <row r="34" spans="1:28" ht="24.75" customHeight="1">
      <c r="A34" s="944" t="s">
        <v>1837</v>
      </c>
      <c r="B34" s="1050" t="s">
        <v>50</v>
      </c>
      <c r="C34" s="946">
        <v>45989</v>
      </c>
      <c r="D34" s="946" t="s">
        <v>1838</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1839</v>
      </c>
      <c r="Q1" s="160" t="s">
        <v>1840</v>
      </c>
      <c r="R1" s="128" t="s">
        <v>1841</v>
      </c>
      <c r="S1" s="128" t="s">
        <v>1842</v>
      </c>
      <c r="T1" s="160" t="s">
        <v>1843</v>
      </c>
      <c r="U1" s="128" t="s">
        <v>1105</v>
      </c>
      <c r="V1" s="161" t="s">
        <v>1844</v>
      </c>
      <c r="W1" s="161" t="s">
        <v>1845</v>
      </c>
      <c r="X1" s="164" t="s">
        <v>1846</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488</v>
      </c>
      <c r="B3" s="547" t="s">
        <v>224</v>
      </c>
      <c r="C3" s="709">
        <v>45742</v>
      </c>
      <c r="D3" s="710" t="s">
        <v>490</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1847</v>
      </c>
      <c r="B4" s="421" t="s">
        <v>224</v>
      </c>
      <c r="C4" s="422">
        <v>45742</v>
      </c>
      <c r="D4" s="716" t="s">
        <v>1848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492</v>
      </c>
      <c r="B5" s="421" t="s">
        <v>224</v>
      </c>
      <c r="C5" s="414">
        <v>45991</v>
      </c>
      <c r="D5" s="552" t="s">
        <v>493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339</v>
      </c>
      <c r="O6" s="367">
        <v>45718</v>
      </c>
      <c r="P6" s="30" t="s">
        <v>339</v>
      </c>
      <c r="Q6" s="345" t="s">
        <v>339</v>
      </c>
      <c r="R6" s="43" t="s">
        <v>1849</v>
      </c>
      <c r="S6" s="43" t="s">
        <v>339</v>
      </c>
      <c r="T6" s="43" t="s">
        <v>339</v>
      </c>
      <c r="U6" s="158" t="s">
        <v>339</v>
      </c>
      <c r="V6" s="69" t="s">
        <v>92</v>
      </c>
      <c r="W6" s="79"/>
      <c r="X6" s="69" t="s">
        <v>92</v>
      </c>
      <c r="Y6" t="e">
        <f>VLOOKUP(A6,#REF!,2,FALSE)</f>
        <v>#REF!</v>
      </c>
    </row>
    <row r="7" spans="1:25">
      <c r="A7" s="396" t="s">
        <v>933</v>
      </c>
      <c r="B7" s="706" t="s">
        <v>224</v>
      </c>
      <c r="C7" s="397">
        <v>45742</v>
      </c>
      <c r="D7" s="425" t="s">
        <v>395</v>
      </c>
      <c r="E7" s="539"/>
      <c r="F7" s="540"/>
      <c r="G7" s="540"/>
      <c r="H7" s="182">
        <v>60</v>
      </c>
      <c r="I7" s="184"/>
      <c r="J7" s="188" t="s">
        <v>57</v>
      </c>
      <c r="K7" s="188" t="s">
        <v>57</v>
      </c>
      <c r="L7" s="188" t="s">
        <v>63</v>
      </c>
      <c r="M7" s="196">
        <v>45716</v>
      </c>
      <c r="N7" s="30" t="s">
        <v>339</v>
      </c>
      <c r="O7" s="79" t="s">
        <v>339</v>
      </c>
      <c r="P7" s="30" t="s">
        <v>339</v>
      </c>
      <c r="Q7" s="345" t="s">
        <v>339</v>
      </c>
      <c r="R7" s="43" t="s">
        <v>1849</v>
      </c>
      <c r="S7" s="43" t="s">
        <v>339</v>
      </c>
      <c r="T7" s="43" t="s">
        <v>339</v>
      </c>
      <c r="U7" s="43" t="s">
        <v>339</v>
      </c>
      <c r="V7" s="69" t="s">
        <v>92</v>
      </c>
      <c r="W7" s="30"/>
      <c r="X7" s="69" t="s">
        <v>92</v>
      </c>
      <c r="Y7" t="e">
        <f>VLOOKUP(A7,#REF!,2,FALSE)</f>
        <v>#REF!</v>
      </c>
    </row>
    <row r="8" spans="1:25">
      <c r="A8" s="178" t="s">
        <v>495</v>
      </c>
      <c r="B8" s="183" t="s">
        <v>224</v>
      </c>
      <c r="C8" s="179">
        <v>45742</v>
      </c>
      <c r="D8" s="188" t="s">
        <v>1850</v>
      </c>
      <c r="E8" s="121"/>
      <c r="F8" s="109"/>
      <c r="G8" s="109"/>
      <c r="H8" s="182">
        <v>84</v>
      </c>
      <c r="I8" s="184"/>
      <c r="J8" s="188" t="s">
        <v>57</v>
      </c>
      <c r="K8" s="188" t="s">
        <v>57</v>
      </c>
      <c r="L8" s="188" t="s">
        <v>63</v>
      </c>
      <c r="M8" s="196">
        <v>45716</v>
      </c>
      <c r="N8" s="30" t="s">
        <v>339</v>
      </c>
      <c r="O8" s="30" t="s">
        <v>339</v>
      </c>
      <c r="P8" s="731" t="s">
        <v>339</v>
      </c>
      <c r="Q8" s="69" t="s">
        <v>339</v>
      </c>
      <c r="R8" s="43" t="s">
        <v>1849</v>
      </c>
      <c r="S8" s="43" t="s">
        <v>339</v>
      </c>
      <c r="T8" s="43" t="s">
        <v>339</v>
      </c>
      <c r="U8" s="43" t="s">
        <v>339</v>
      </c>
      <c r="V8" s="69" t="s">
        <v>92</v>
      </c>
      <c r="W8" s="30"/>
      <c r="X8" s="69" t="s">
        <v>92</v>
      </c>
      <c r="Y8" t="e">
        <f>VLOOKUP(A8,#REF!,2,FALSE)</f>
        <v>#REF!</v>
      </c>
    </row>
    <row r="9" spans="1:25">
      <c r="A9" s="178" t="s">
        <v>935</v>
      </c>
      <c r="B9" s="183" t="s">
        <v>224</v>
      </c>
      <c r="C9" s="179">
        <v>45742</v>
      </c>
      <c r="D9" s="536" t="s">
        <v>496</v>
      </c>
      <c r="E9" s="194"/>
      <c r="F9" s="139"/>
      <c r="G9" s="139"/>
      <c r="H9" s="188">
        <v>79</v>
      </c>
      <c r="I9" s="184"/>
      <c r="J9" s="188" t="s">
        <v>57</v>
      </c>
      <c r="K9" s="188" t="s">
        <v>57</v>
      </c>
      <c r="L9" s="188" t="s">
        <v>63</v>
      </c>
      <c r="M9" s="196">
        <v>45716</v>
      </c>
      <c r="N9" s="120" t="s">
        <v>339</v>
      </c>
      <c r="O9" s="54">
        <v>45718</v>
      </c>
      <c r="P9" s="120" t="s">
        <v>339</v>
      </c>
      <c r="Q9" s="69" t="s">
        <v>339</v>
      </c>
      <c r="R9" s="43" t="s">
        <v>1849</v>
      </c>
      <c r="S9" s="43" t="s">
        <v>339</v>
      </c>
      <c r="T9" s="43" t="s">
        <v>339</v>
      </c>
      <c r="U9" s="43" t="s">
        <v>339</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339</v>
      </c>
      <c r="O10" s="30" t="s">
        <v>339</v>
      </c>
      <c r="P10" s="30" t="s">
        <v>339</v>
      </c>
      <c r="Q10" s="43" t="s">
        <v>339</v>
      </c>
      <c r="R10" s="43" t="s">
        <v>1849</v>
      </c>
      <c r="S10" s="43" t="s">
        <v>339</v>
      </c>
      <c r="T10" s="43" t="s">
        <v>339</v>
      </c>
      <c r="U10" s="162" t="s">
        <v>339</v>
      </c>
      <c r="V10" s="345" t="s">
        <v>92</v>
      </c>
      <c r="W10" s="30"/>
      <c r="X10" s="69" t="s">
        <v>92</v>
      </c>
      <c r="Y10" t="e">
        <f>VLOOKUP(A10,#REF!,2,FALSE)</f>
        <v>#REF!</v>
      </c>
    </row>
    <row r="11" spans="1:25">
      <c r="A11" s="184" t="s">
        <v>393</v>
      </c>
      <c r="B11" s="436" t="s">
        <v>224</v>
      </c>
      <c r="C11" s="179">
        <v>45991</v>
      </c>
      <c r="D11" s="551" t="s">
        <v>395</v>
      </c>
      <c r="E11" s="121">
        <v>31</v>
      </c>
      <c r="F11" s="109"/>
      <c r="G11" s="109"/>
      <c r="H11" s="188">
        <v>31</v>
      </c>
      <c r="I11" s="184"/>
      <c r="J11" s="188" t="s">
        <v>57</v>
      </c>
      <c r="K11" s="188" t="s">
        <v>57</v>
      </c>
      <c r="L11" s="188" t="s">
        <v>63</v>
      </c>
      <c r="M11" s="198">
        <v>45716</v>
      </c>
      <c r="N11" s="30" t="s">
        <v>64</v>
      </c>
      <c r="O11" s="54">
        <v>45716</v>
      </c>
      <c r="P11" s="87" t="s">
        <v>339</v>
      </c>
      <c r="Q11" s="69" t="s">
        <v>339</v>
      </c>
      <c r="R11" s="43" t="s">
        <v>1849</v>
      </c>
      <c r="S11" s="43" t="s">
        <v>339</v>
      </c>
      <c r="T11" s="43" t="s">
        <v>339</v>
      </c>
      <c r="U11" s="345" t="s">
        <v>92</v>
      </c>
      <c r="V11" s="69" t="s">
        <v>92</v>
      </c>
      <c r="W11" s="30"/>
      <c r="X11" s="43"/>
    </row>
    <row r="12" spans="1:25">
      <c r="A12" s="178" t="s">
        <v>396</v>
      </c>
      <c r="B12" s="183" t="s">
        <v>224</v>
      </c>
      <c r="C12" s="179">
        <v>45772</v>
      </c>
      <c r="D12" s="202" t="s">
        <v>395</v>
      </c>
      <c r="E12" s="194"/>
      <c r="F12" s="139"/>
      <c r="G12" s="139"/>
      <c r="H12" s="188">
        <v>31</v>
      </c>
      <c r="I12" s="184"/>
      <c r="J12" s="188" t="s">
        <v>57</v>
      </c>
      <c r="K12" s="188" t="s">
        <v>57</v>
      </c>
      <c r="L12" s="188" t="s">
        <v>63</v>
      </c>
      <c r="M12" s="196">
        <v>45716</v>
      </c>
      <c r="N12" s="30" t="s">
        <v>64</v>
      </c>
      <c r="O12" s="54">
        <v>45716</v>
      </c>
      <c r="P12" s="87" t="s">
        <v>339</v>
      </c>
      <c r="Q12" s="69" t="s">
        <v>339</v>
      </c>
      <c r="R12" s="43" t="s">
        <v>1849</v>
      </c>
      <c r="S12" s="43" t="s">
        <v>339</v>
      </c>
      <c r="T12" s="43" t="s">
        <v>339</v>
      </c>
      <c r="U12" s="69" t="s">
        <v>92</v>
      </c>
      <c r="V12" s="69" t="s">
        <v>92</v>
      </c>
      <c r="W12" s="30"/>
      <c r="X12" s="69" t="s">
        <v>92</v>
      </c>
      <c r="Y12" t="e">
        <f>VLOOKUP(A12,#REF!,2,FALSE)</f>
        <v>#REF!</v>
      </c>
    </row>
    <row r="13" spans="1:25">
      <c r="A13" s="181" t="s">
        <v>404</v>
      </c>
      <c r="B13" s="183" t="s">
        <v>224</v>
      </c>
      <c r="C13" s="423">
        <v>45960</v>
      </c>
      <c r="D13" s="432" t="s">
        <v>1851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399</v>
      </c>
      <c r="B14" s="183" t="s">
        <v>224</v>
      </c>
      <c r="C14" s="180">
        <v>45991</v>
      </c>
      <c r="D14" s="424" t="s">
        <v>400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1852</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1853</v>
      </c>
      <c r="N16" s="30" t="s">
        <v>339</v>
      </c>
      <c r="O16" s="54" t="s">
        <v>1853</v>
      </c>
      <c r="P16" s="30" t="s">
        <v>339</v>
      </c>
      <c r="Q16" s="69" t="s">
        <v>339</v>
      </c>
      <c r="R16" s="43" t="s">
        <v>339</v>
      </c>
      <c r="S16" s="43" t="s">
        <v>56</v>
      </c>
      <c r="T16" s="43" t="s">
        <v>339</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1852</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1852</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1852</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1852</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1852</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413</v>
      </c>
      <c r="B28" s="178" t="s">
        <v>114</v>
      </c>
      <c r="C28" s="186">
        <v>45868</v>
      </c>
      <c r="D28" s="182" t="s">
        <v>414</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600</v>
      </c>
      <c r="B29" s="178" t="s">
        <v>114</v>
      </c>
      <c r="C29" s="179">
        <v>45711</v>
      </c>
      <c r="D29" s="202" t="s">
        <v>398</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1852</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1852</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339</v>
      </c>
      <c r="O31" s="54">
        <v>45707</v>
      </c>
      <c r="P31" s="87" t="s">
        <v>339</v>
      </c>
      <c r="Q31" s="43" t="s">
        <v>339</v>
      </c>
      <c r="R31" s="43" t="s">
        <v>1849</v>
      </c>
      <c r="S31" s="43" t="s">
        <v>339</v>
      </c>
      <c r="T31" s="140" t="s">
        <v>339</v>
      </c>
      <c r="U31" s="116" t="s">
        <v>339</v>
      </c>
      <c r="V31" s="69" t="s">
        <v>339</v>
      </c>
      <c r="W31" s="54">
        <v>45779</v>
      </c>
      <c r="X31" s="69" t="s">
        <v>1852</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339</v>
      </c>
      <c r="O32" s="54">
        <v>45756</v>
      </c>
      <c r="P32" s="30" t="s">
        <v>339</v>
      </c>
      <c r="Q32" s="69" t="s">
        <v>339</v>
      </c>
      <c r="R32" s="69" t="s">
        <v>1849</v>
      </c>
      <c r="S32" s="43" t="s">
        <v>339</v>
      </c>
      <c r="T32" s="140" t="s">
        <v>339</v>
      </c>
      <c r="U32" s="43" t="s">
        <v>339</v>
      </c>
      <c r="V32" s="69" t="s">
        <v>339</v>
      </c>
      <c r="W32" s="54">
        <v>45792</v>
      </c>
      <c r="X32" s="69" t="s">
        <v>1852</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339</v>
      </c>
      <c r="O33" s="125">
        <v>45749</v>
      </c>
      <c r="P33" s="30" t="s">
        <v>339</v>
      </c>
      <c r="Q33" s="69" t="s">
        <v>339</v>
      </c>
      <c r="R33" s="69" t="s">
        <v>1849</v>
      </c>
      <c r="S33" s="43" t="s">
        <v>339</v>
      </c>
      <c r="T33" s="140" t="s">
        <v>339</v>
      </c>
      <c r="U33" s="43" t="s">
        <v>339</v>
      </c>
      <c r="V33" s="345" t="s">
        <v>339</v>
      </c>
      <c r="W33" s="54">
        <v>45812</v>
      </c>
      <c r="X33" s="69" t="s">
        <v>1852</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339</v>
      </c>
      <c r="O34" s="125">
        <v>45750</v>
      </c>
      <c r="P34" s="30" t="s">
        <v>339</v>
      </c>
      <c r="Q34" s="69" t="s">
        <v>339</v>
      </c>
      <c r="R34" s="69" t="s">
        <v>1849</v>
      </c>
      <c r="S34" s="43" t="s">
        <v>339</v>
      </c>
      <c r="T34" s="140" t="s">
        <v>339</v>
      </c>
      <c r="U34" s="43" t="s">
        <v>339</v>
      </c>
      <c r="V34" s="418" t="s">
        <v>339</v>
      </c>
      <c r="W34" s="168">
        <v>45797</v>
      </c>
      <c r="X34" s="69" t="s">
        <v>1852</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339</v>
      </c>
      <c r="O35" s="125">
        <v>45659</v>
      </c>
      <c r="P35" s="87" t="s">
        <v>339</v>
      </c>
      <c r="Q35" s="43" t="s">
        <v>339</v>
      </c>
      <c r="R35" s="43" t="s">
        <v>1849</v>
      </c>
      <c r="S35" s="43" t="s">
        <v>339</v>
      </c>
      <c r="T35" s="140" t="s">
        <v>339</v>
      </c>
      <c r="U35" s="171" t="s">
        <v>339</v>
      </c>
      <c r="V35" s="69" t="s">
        <v>339</v>
      </c>
      <c r="W35" s="54">
        <v>45789</v>
      </c>
      <c r="X35" s="345" t="s">
        <v>1852</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339</v>
      </c>
      <c r="O36" s="125">
        <v>45659</v>
      </c>
      <c r="P36" s="87" t="s">
        <v>339</v>
      </c>
      <c r="Q36" s="43" t="s">
        <v>339</v>
      </c>
      <c r="R36" s="43" t="s">
        <v>1849</v>
      </c>
      <c r="S36" s="43" t="s">
        <v>339</v>
      </c>
      <c r="T36" s="140" t="s">
        <v>339</v>
      </c>
      <c r="U36" s="43" t="s">
        <v>339</v>
      </c>
      <c r="V36" s="69" t="s">
        <v>339</v>
      </c>
      <c r="W36" s="54">
        <v>45824</v>
      </c>
      <c r="X36" s="345" t="s">
        <v>1852</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339</v>
      </c>
      <c r="N37" s="30" t="s">
        <v>339</v>
      </c>
      <c r="O37" s="125">
        <v>45672</v>
      </c>
      <c r="P37" s="30" t="s">
        <v>339</v>
      </c>
      <c r="Q37" s="43" t="s">
        <v>339</v>
      </c>
      <c r="R37" s="43" t="s">
        <v>1849</v>
      </c>
      <c r="S37" s="43" t="s">
        <v>339</v>
      </c>
      <c r="T37" s="43" t="s">
        <v>339</v>
      </c>
      <c r="U37" s="171" t="s">
        <v>339</v>
      </c>
      <c r="V37" s="69" t="s">
        <v>339</v>
      </c>
      <c r="W37" s="157">
        <v>45789</v>
      </c>
      <c r="X37" s="69" t="s">
        <v>1852</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339</v>
      </c>
      <c r="O38" s="125">
        <v>45673</v>
      </c>
      <c r="P38" s="30" t="s">
        <v>339</v>
      </c>
      <c r="Q38" s="43" t="s">
        <v>339</v>
      </c>
      <c r="R38" s="43" t="s">
        <v>1849</v>
      </c>
      <c r="S38" s="43" t="s">
        <v>339</v>
      </c>
      <c r="T38" s="43" t="s">
        <v>339</v>
      </c>
      <c r="U38" s="171" t="s">
        <v>339</v>
      </c>
      <c r="V38" s="69" t="s">
        <v>339</v>
      </c>
      <c r="W38" s="54">
        <v>45789</v>
      </c>
      <c r="X38" s="69" t="s">
        <v>1852</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339</v>
      </c>
      <c r="N39" s="30" t="s">
        <v>339</v>
      </c>
      <c r="O39" s="125">
        <v>45672</v>
      </c>
      <c r="P39" s="30" t="s">
        <v>339</v>
      </c>
      <c r="Q39" s="43" t="s">
        <v>339</v>
      </c>
      <c r="R39" s="43" t="s">
        <v>1849</v>
      </c>
      <c r="S39" s="43" t="s">
        <v>339</v>
      </c>
      <c r="T39" s="43" t="s">
        <v>339</v>
      </c>
      <c r="U39" s="171" t="s">
        <v>339</v>
      </c>
      <c r="V39" s="69" t="s">
        <v>339</v>
      </c>
      <c r="W39" s="54">
        <v>45789</v>
      </c>
      <c r="X39" s="69" t="s">
        <v>1852</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1852</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1852</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1852</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1852</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1852</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1852</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1852</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1852</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1852</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1852</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1852</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1852</v>
      </c>
    </row>
    <row r="54" spans="1:56">
      <c r="A54" s="181" t="s">
        <v>842</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339</v>
      </c>
      <c r="O57" s="125">
        <v>45783</v>
      </c>
      <c r="P57" s="332" t="s">
        <v>339</v>
      </c>
      <c r="Q57" s="43" t="s">
        <v>339</v>
      </c>
      <c r="R57" s="43" t="s">
        <v>1849</v>
      </c>
      <c r="S57" s="43" t="s">
        <v>339</v>
      </c>
      <c r="T57" s="43" t="s">
        <v>339</v>
      </c>
      <c r="U57" s="43" t="s">
        <v>339</v>
      </c>
      <c r="V57" s="69" t="s">
        <v>339</v>
      </c>
      <c r="W57" s="54">
        <v>45813</v>
      </c>
      <c r="X57" s="69" t="s">
        <v>1852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339</v>
      </c>
      <c r="O58" s="54">
        <v>45776</v>
      </c>
      <c r="P58" s="332" t="s">
        <v>339</v>
      </c>
      <c r="Q58" s="43" t="s">
        <v>339</v>
      </c>
      <c r="R58" s="43" t="s">
        <v>1849</v>
      </c>
      <c r="S58" s="43" t="s">
        <v>339</v>
      </c>
      <c r="T58" s="43" t="s">
        <v>339</v>
      </c>
      <c r="U58" s="43" t="s">
        <v>339</v>
      </c>
      <c r="V58" s="345" t="s">
        <v>339</v>
      </c>
      <c r="W58" s="54">
        <v>45796</v>
      </c>
      <c r="X58" s="69" t="s">
        <v>1852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339</v>
      </c>
      <c r="O59" s="30" t="s">
        <v>79</v>
      </c>
      <c r="P59" s="332" t="s">
        <v>339</v>
      </c>
      <c r="Q59" s="43" t="s">
        <v>339</v>
      </c>
      <c r="R59" s="43" t="s">
        <v>1849</v>
      </c>
      <c r="S59" s="43" t="s">
        <v>339</v>
      </c>
      <c r="T59" s="43" t="s">
        <v>339</v>
      </c>
      <c r="U59" s="43" t="s">
        <v>339</v>
      </c>
      <c r="V59" s="345" t="s">
        <v>339</v>
      </c>
      <c r="W59" s="54">
        <v>45796</v>
      </c>
      <c r="X59" s="69" t="s">
        <v>1852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339</v>
      </c>
      <c r="O60" s="54">
        <v>45812</v>
      </c>
      <c r="P60" s="332" t="s">
        <v>339</v>
      </c>
      <c r="Q60" s="43" t="s">
        <v>339</v>
      </c>
      <c r="R60" s="43" t="s">
        <v>1849</v>
      </c>
      <c r="S60" s="43" t="s">
        <v>339</v>
      </c>
      <c r="T60" s="43" t="s">
        <v>339</v>
      </c>
      <c r="U60" s="43" t="s">
        <v>339</v>
      </c>
      <c r="V60" s="345" t="s">
        <v>339</v>
      </c>
      <c r="W60" s="54">
        <v>45824</v>
      </c>
      <c r="X60" s="69" t="s">
        <v>1852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1854</v>
      </c>
      <c r="B81" s="546" t="s">
        <v>114</v>
      </c>
      <c r="C81" s="179">
        <v>45688</v>
      </c>
      <c r="D81" s="636" t="s">
        <v>658</v>
      </c>
      <c r="E81" s="175"/>
      <c r="F81" s="130"/>
      <c r="G81" s="130"/>
      <c r="H81" s="182">
        <v>48</v>
      </c>
      <c r="I81" s="184"/>
      <c r="J81" s="182" t="s">
        <v>57</v>
      </c>
      <c r="K81" s="182" t="s">
        <v>57</v>
      </c>
      <c r="L81" s="182" t="s">
        <v>56</v>
      </c>
      <c r="M81" s="101" t="s">
        <v>339</v>
      </c>
      <c r="N81" s="87" t="s">
        <v>339</v>
      </c>
      <c r="O81" s="125">
        <v>45678</v>
      </c>
      <c r="P81" s="87" t="s">
        <v>339</v>
      </c>
      <c r="Q81" s="43" t="s">
        <v>339</v>
      </c>
      <c r="R81" s="43" t="s">
        <v>1849</v>
      </c>
      <c r="S81" s="43" t="s">
        <v>339</v>
      </c>
      <c r="T81" s="43" t="s">
        <v>339</v>
      </c>
      <c r="U81" s="116" t="s">
        <v>339</v>
      </c>
      <c r="V81" s="69" t="s">
        <v>339</v>
      </c>
      <c r="W81" s="54">
        <v>45789</v>
      </c>
      <c r="X81" s="69" t="s">
        <v>1852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1849</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493</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339</v>
      </c>
      <c r="O84" s="54">
        <v>45728</v>
      </c>
      <c r="P84" s="30" t="s">
        <v>339</v>
      </c>
      <c r="Q84" s="171" t="s">
        <v>339</v>
      </c>
      <c r="R84" s="171" t="s">
        <v>1849</v>
      </c>
      <c r="S84" s="171" t="s">
        <v>339</v>
      </c>
      <c r="T84" s="171" t="s">
        <v>339</v>
      </c>
      <c r="U84" s="92" t="s">
        <v>339</v>
      </c>
      <c r="V84" s="69" t="s">
        <v>339</v>
      </c>
      <c r="W84" s="198">
        <v>45875</v>
      </c>
      <c r="X84" s="69" t="s">
        <v>1852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339</v>
      </c>
      <c r="O85" s="54">
        <v>45719</v>
      </c>
      <c r="P85" s="30" t="s">
        <v>339</v>
      </c>
      <c r="Q85" s="43" t="s">
        <v>339</v>
      </c>
      <c r="R85" s="171" t="s">
        <v>1849</v>
      </c>
      <c r="S85" s="171" t="s">
        <v>339</v>
      </c>
      <c r="T85" s="171" t="s">
        <v>339</v>
      </c>
      <c r="U85" s="92" t="s">
        <v>339</v>
      </c>
      <c r="V85" s="92" t="s">
        <v>339</v>
      </c>
      <c r="W85" s="198">
        <v>45874</v>
      </c>
      <c r="X85" s="69" t="s">
        <v>1852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339</v>
      </c>
      <c r="O86" s="198">
        <v>45728</v>
      </c>
      <c r="P86" s="30" t="s">
        <v>339</v>
      </c>
      <c r="Q86" s="43" t="s">
        <v>339</v>
      </c>
      <c r="R86" s="43" t="s">
        <v>1849</v>
      </c>
      <c r="S86" s="43" t="s">
        <v>339</v>
      </c>
      <c r="T86" s="43" t="s">
        <v>339</v>
      </c>
      <c r="U86" s="69" t="s">
        <v>339</v>
      </c>
      <c r="V86" s="69" t="s">
        <v>339</v>
      </c>
      <c r="W86" s="54">
        <v>45824</v>
      </c>
      <c r="X86" s="69" t="s">
        <v>1852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339</v>
      </c>
      <c r="O87" s="30" t="s">
        <v>339</v>
      </c>
      <c r="P87" s="30" t="s">
        <v>339</v>
      </c>
      <c r="Q87" s="43" t="s">
        <v>339</v>
      </c>
      <c r="R87" s="43" t="s">
        <v>1849</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339</v>
      </c>
      <c r="O88" s="54">
        <v>45728</v>
      </c>
      <c r="P88" s="30" t="s">
        <v>339</v>
      </c>
      <c r="Q88" s="43" t="s">
        <v>339</v>
      </c>
      <c r="R88" s="43" t="s">
        <v>1849</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339</v>
      </c>
      <c r="O89" s="54">
        <v>45722</v>
      </c>
      <c r="P89" s="30" t="s">
        <v>339</v>
      </c>
      <c r="Q89" s="69" t="s">
        <v>339</v>
      </c>
      <c r="R89" s="43" t="s">
        <v>1849</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339</v>
      </c>
      <c r="O90" s="54">
        <v>45727</v>
      </c>
      <c r="P90" s="30" t="s">
        <v>339</v>
      </c>
      <c r="Q90" s="69" t="s">
        <v>339</v>
      </c>
      <c r="R90" s="43" t="s">
        <v>1849</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339</v>
      </c>
      <c r="O91" s="54">
        <v>45723</v>
      </c>
      <c r="P91" s="30" t="s">
        <v>339</v>
      </c>
      <c r="Q91" s="69" t="s">
        <v>339</v>
      </c>
      <c r="R91" s="43" t="s">
        <v>1849</v>
      </c>
      <c r="S91" s="69" t="s">
        <v>339</v>
      </c>
      <c r="T91" s="69" t="s">
        <v>339</v>
      </c>
      <c r="U91" s="69" t="s">
        <v>339</v>
      </c>
      <c r="V91" s="69" t="s">
        <v>339</v>
      </c>
      <c r="W91" s="54">
        <v>45831</v>
      </c>
      <c r="X91" s="69" t="s">
        <v>1852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339</v>
      </c>
      <c r="O92" s="54">
        <v>45726</v>
      </c>
      <c r="P92" s="30" t="s">
        <v>339</v>
      </c>
      <c r="Q92" s="149" t="s">
        <v>339</v>
      </c>
      <c r="R92" s="43" t="s">
        <v>1849</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339</v>
      </c>
      <c r="O93" s="54">
        <v>45727</v>
      </c>
      <c r="P93" s="79" t="s">
        <v>339</v>
      </c>
      <c r="Q93" s="43" t="s">
        <v>339</v>
      </c>
      <c r="R93" s="43" t="s">
        <v>1849</v>
      </c>
      <c r="S93" s="43" t="s">
        <v>339</v>
      </c>
      <c r="T93" s="43" t="s">
        <v>339</v>
      </c>
      <c r="U93" s="345" t="s">
        <v>339</v>
      </c>
      <c r="V93" s="69" t="s">
        <v>339</v>
      </c>
      <c r="W93" s="54">
        <v>45789</v>
      </c>
      <c r="X93" s="69" t="s">
        <v>1852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339</v>
      </c>
      <c r="O94" s="54">
        <v>45693</v>
      </c>
      <c r="P94" s="79" t="s">
        <v>339</v>
      </c>
      <c r="Q94" s="69" t="s">
        <v>339</v>
      </c>
      <c r="R94" s="69" t="s">
        <v>1849</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339</v>
      </c>
      <c r="O95" s="198">
        <v>45694</v>
      </c>
      <c r="P95" s="79" t="s">
        <v>339</v>
      </c>
      <c r="Q95" s="69" t="s">
        <v>339</v>
      </c>
      <c r="R95" s="69" t="s">
        <v>1849</v>
      </c>
      <c r="S95" s="69" t="s">
        <v>339</v>
      </c>
      <c r="T95" s="43" t="s">
        <v>339</v>
      </c>
      <c r="U95" s="69" t="s">
        <v>339</v>
      </c>
      <c r="V95" s="69" t="s">
        <v>339</v>
      </c>
      <c r="W95" s="54">
        <v>45814</v>
      </c>
      <c r="X95" s="69" t="s">
        <v>1852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339</v>
      </c>
      <c r="O96" s="54">
        <v>45694</v>
      </c>
      <c r="P96" s="30" t="s">
        <v>339</v>
      </c>
      <c r="Q96" s="69" t="s">
        <v>339</v>
      </c>
      <c r="R96" s="92" t="s">
        <v>1849</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339</v>
      </c>
      <c r="O97" s="54">
        <v>45688</v>
      </c>
      <c r="P97" s="30" t="s">
        <v>339</v>
      </c>
      <c r="Q97" s="69" t="s">
        <v>339</v>
      </c>
      <c r="R97" s="69" t="s">
        <v>1849</v>
      </c>
      <c r="S97" s="69" t="s">
        <v>339</v>
      </c>
      <c r="T97" s="69" t="s">
        <v>339</v>
      </c>
      <c r="U97" s="69" t="s">
        <v>339</v>
      </c>
      <c r="V97" s="43" t="s">
        <v>339</v>
      </c>
      <c r="W97" s="54">
        <v>45824</v>
      </c>
      <c r="X97" s="69" t="s">
        <v>1852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339</v>
      </c>
      <c r="O98" s="54">
        <v>45692</v>
      </c>
      <c r="P98" s="30" t="s">
        <v>339</v>
      </c>
      <c r="Q98" s="43" t="s">
        <v>339</v>
      </c>
      <c r="R98" s="43" t="s">
        <v>1849</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339</v>
      </c>
      <c r="O99" s="54">
        <v>45692</v>
      </c>
      <c r="P99" s="30" t="s">
        <v>339</v>
      </c>
      <c r="Q99" s="43" t="s">
        <v>339</v>
      </c>
      <c r="R99" s="43" t="s">
        <v>1849</v>
      </c>
      <c r="S99" s="43" t="s">
        <v>339</v>
      </c>
      <c r="T99" s="116" t="s">
        <v>339</v>
      </c>
      <c r="U99" s="149" t="s">
        <v>339</v>
      </c>
      <c r="V99" s="69" t="s">
        <v>339</v>
      </c>
      <c r="W99" s="54">
        <v>45814</v>
      </c>
      <c r="X99" s="69" t="s">
        <v>1852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1849</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339</v>
      </c>
      <c r="O101" s="54">
        <v>45695</v>
      </c>
      <c r="P101" s="30" t="s">
        <v>339</v>
      </c>
      <c r="Q101" s="43" t="s">
        <v>339</v>
      </c>
      <c r="R101" s="43" t="s">
        <v>1849</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339</v>
      </c>
      <c r="N102" s="30" t="s">
        <v>339</v>
      </c>
      <c r="O102" s="54">
        <v>45699</v>
      </c>
      <c r="P102" s="87" t="s">
        <v>339</v>
      </c>
      <c r="Q102" s="88" t="s">
        <v>339</v>
      </c>
      <c r="R102" s="43" t="s">
        <v>1849</v>
      </c>
      <c r="S102" s="43" t="s">
        <v>339</v>
      </c>
      <c r="T102" s="43" t="s">
        <v>339</v>
      </c>
      <c r="U102" s="43" t="s">
        <v>339</v>
      </c>
      <c r="V102" s="166" t="s">
        <v>339</v>
      </c>
      <c r="W102" s="54">
        <v>45835</v>
      </c>
      <c r="X102" s="69" t="s">
        <v>1852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339</v>
      </c>
      <c r="O103" s="54">
        <v>45675</v>
      </c>
      <c r="P103" s="87" t="s">
        <v>339</v>
      </c>
      <c r="Q103" s="43" t="s">
        <v>339</v>
      </c>
      <c r="R103" s="43" t="s">
        <v>1849</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1849</v>
      </c>
      <c r="S104" s="43" t="s">
        <v>339</v>
      </c>
      <c r="T104" s="43" t="s">
        <v>339</v>
      </c>
      <c r="U104" s="43" t="s">
        <v>339</v>
      </c>
      <c r="V104" s="140" t="s">
        <v>339</v>
      </c>
      <c r="W104" s="54">
        <v>45820</v>
      </c>
      <c r="X104" s="69" t="s">
        <v>1852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339</v>
      </c>
      <c r="O105" s="54">
        <v>45743</v>
      </c>
      <c r="P105" s="87" t="s">
        <v>339</v>
      </c>
      <c r="Q105" s="158" t="s">
        <v>339</v>
      </c>
      <c r="R105" s="69" t="s">
        <v>1849</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339</v>
      </c>
      <c r="O106" s="54">
        <v>45679</v>
      </c>
      <c r="P106" s="87" t="s">
        <v>339</v>
      </c>
      <c r="Q106" s="43" t="s">
        <v>339</v>
      </c>
      <c r="R106" s="43" t="s">
        <v>1849</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339</v>
      </c>
      <c r="O107" s="54">
        <v>45749</v>
      </c>
      <c r="P107" s="30" t="s">
        <v>339</v>
      </c>
      <c r="Q107" s="43" t="s">
        <v>339</v>
      </c>
      <c r="R107" s="43" t="s">
        <v>1849</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339</v>
      </c>
      <c r="O108" s="54">
        <v>45749</v>
      </c>
      <c r="P108" s="30" t="s">
        <v>339</v>
      </c>
      <c r="Q108" s="43" t="s">
        <v>339</v>
      </c>
      <c r="R108" s="345" t="s">
        <v>1849</v>
      </c>
      <c r="S108" s="43" t="s">
        <v>339</v>
      </c>
      <c r="T108" s="43" t="s">
        <v>339</v>
      </c>
      <c r="U108" s="88" t="s">
        <v>339</v>
      </c>
      <c r="V108" s="495" t="s">
        <v>339</v>
      </c>
      <c r="W108" s="367">
        <v>45798</v>
      </c>
      <c r="X108" s="69" t="s">
        <v>1852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339</v>
      </c>
      <c r="O109" s="54">
        <v>45744</v>
      </c>
      <c r="P109" s="79" t="s">
        <v>339</v>
      </c>
      <c r="Q109" s="43" t="s">
        <v>339</v>
      </c>
      <c r="R109" s="345" t="s">
        <v>1849</v>
      </c>
      <c r="S109" s="43" t="s">
        <v>339</v>
      </c>
      <c r="T109" s="43" t="s">
        <v>339</v>
      </c>
      <c r="U109" s="43" t="s">
        <v>1855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339</v>
      </c>
      <c r="O110" s="54">
        <v>45691</v>
      </c>
      <c r="P110" s="79" t="s">
        <v>339</v>
      </c>
      <c r="Q110" s="43" t="s">
        <v>339</v>
      </c>
      <c r="R110" s="345" t="s">
        <v>1849</v>
      </c>
      <c r="S110" s="43" t="s">
        <v>339</v>
      </c>
      <c r="T110" s="43" t="s">
        <v>339</v>
      </c>
      <c r="U110" s="88" t="s">
        <v>339</v>
      </c>
      <c r="V110" s="495" t="s">
        <v>339</v>
      </c>
      <c r="W110" s="367">
        <v>45902</v>
      </c>
      <c r="X110" s="69" t="s">
        <v>1852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339</v>
      </c>
      <c r="O111" s="54">
        <v>45708</v>
      </c>
      <c r="P111" s="30" t="s">
        <v>339</v>
      </c>
      <c r="Q111" s="171" t="s">
        <v>339</v>
      </c>
      <c r="R111" s="69" t="s">
        <v>1849</v>
      </c>
      <c r="S111" s="43" t="s">
        <v>339</v>
      </c>
      <c r="T111" s="43" t="s">
        <v>339</v>
      </c>
      <c r="U111" s="43" t="s">
        <v>339</v>
      </c>
      <c r="V111" s="204" t="s">
        <v>339</v>
      </c>
      <c r="W111" s="168">
        <v>45790</v>
      </c>
      <c r="X111" s="69" t="s">
        <v>1852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339</v>
      </c>
      <c r="O112" s="168">
        <v>45744</v>
      </c>
      <c r="P112" s="115" t="s">
        <v>339</v>
      </c>
      <c r="Q112" s="116" t="s">
        <v>339</v>
      </c>
      <c r="R112" s="149" t="s">
        <v>1849</v>
      </c>
      <c r="S112" s="43" t="s">
        <v>339</v>
      </c>
      <c r="T112" s="43" t="s">
        <v>339</v>
      </c>
      <c r="U112" s="43" t="s">
        <v>339</v>
      </c>
      <c r="V112" s="204" t="s">
        <v>339</v>
      </c>
      <c r="W112" s="493">
        <v>45791</v>
      </c>
      <c r="X112" s="69" t="s">
        <v>1852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339</v>
      </c>
      <c r="O113" s="168">
        <v>45755</v>
      </c>
      <c r="P113" s="115" t="s">
        <v>339</v>
      </c>
      <c r="Q113" s="116" t="s">
        <v>339</v>
      </c>
      <c r="R113" s="149" t="s">
        <v>1849</v>
      </c>
      <c r="S113" s="116" t="s">
        <v>339</v>
      </c>
      <c r="T113" s="43" t="s">
        <v>339</v>
      </c>
      <c r="U113" s="43" t="s">
        <v>339</v>
      </c>
      <c r="V113" s="204" t="s">
        <v>339</v>
      </c>
      <c r="W113" s="493">
        <v>45791</v>
      </c>
      <c r="X113" s="149" t="s">
        <v>1852</v>
      </c>
    </row>
    <row r="114" spans="1:25">
      <c r="A114" s="181" t="s">
        <v>710</v>
      </c>
      <c r="B114" s="185" t="s">
        <v>50</v>
      </c>
      <c r="C114" s="318">
        <v>45772</v>
      </c>
      <c r="D114" s="424" t="s">
        <v>711</v>
      </c>
      <c r="H114" s="188">
        <v>75</v>
      </c>
      <c r="I114" s="184"/>
      <c r="J114" s="182" t="s">
        <v>57</v>
      </c>
      <c r="K114" s="434" t="s">
        <v>57</v>
      </c>
      <c r="L114" s="182" t="s">
        <v>63</v>
      </c>
      <c r="M114" s="196">
        <v>45741</v>
      </c>
      <c r="N114" s="115" t="s">
        <v>339</v>
      </c>
      <c r="O114" s="54">
        <v>45747</v>
      </c>
      <c r="P114" s="115" t="s">
        <v>339</v>
      </c>
      <c r="Q114" s="116" t="s">
        <v>339</v>
      </c>
      <c r="R114" s="149" t="s">
        <v>1849</v>
      </c>
      <c r="S114" s="116" t="s">
        <v>339</v>
      </c>
      <c r="T114" s="43" t="s">
        <v>339</v>
      </c>
      <c r="U114" s="158" t="s">
        <v>339</v>
      </c>
      <c r="V114" s="204" t="s">
        <v>339</v>
      </c>
      <c r="W114" s="54">
        <v>45798</v>
      </c>
      <c r="X114" s="69" t="s">
        <v>1852</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339</v>
      </c>
      <c r="O115" s="125">
        <v>45757</v>
      </c>
      <c r="P115" s="30" t="s">
        <v>339</v>
      </c>
      <c r="Q115" s="43" t="s">
        <v>339</v>
      </c>
      <c r="R115" s="69" t="s">
        <v>1849</v>
      </c>
      <c r="S115" s="43" t="s">
        <v>339</v>
      </c>
      <c r="T115" s="43" t="s">
        <v>339</v>
      </c>
      <c r="U115" s="43" t="s">
        <v>339</v>
      </c>
      <c r="V115" s="88" t="s">
        <v>339</v>
      </c>
      <c r="W115" s="54">
        <v>45814</v>
      </c>
      <c r="X115" s="69" t="s">
        <v>1852</v>
      </c>
    </row>
    <row r="116" spans="1:25">
      <c r="A116" s="181" t="s">
        <v>714</v>
      </c>
      <c r="B116" s="185" t="s">
        <v>50</v>
      </c>
      <c r="C116" s="318">
        <v>45772</v>
      </c>
      <c r="D116" s="736" t="s">
        <v>716</v>
      </c>
      <c r="H116" s="182">
        <v>50</v>
      </c>
      <c r="I116" s="184"/>
      <c r="J116" s="182" t="s">
        <v>57</v>
      </c>
      <c r="K116" s="434" t="s">
        <v>57</v>
      </c>
      <c r="L116" s="182" t="s">
        <v>63</v>
      </c>
      <c r="M116" s="196">
        <v>45757</v>
      </c>
      <c r="N116" s="30" t="s">
        <v>339</v>
      </c>
      <c r="O116" s="125">
        <v>45757</v>
      </c>
      <c r="P116" s="30" t="s">
        <v>339</v>
      </c>
      <c r="Q116" s="43" t="s">
        <v>339</v>
      </c>
      <c r="R116" s="69" t="s">
        <v>1849</v>
      </c>
      <c r="S116" s="43" t="s">
        <v>339</v>
      </c>
      <c r="T116" s="43" t="s">
        <v>339</v>
      </c>
      <c r="U116" s="43" t="s">
        <v>339</v>
      </c>
      <c r="V116" s="495" t="s">
        <v>339</v>
      </c>
      <c r="W116" s="54">
        <v>45807</v>
      </c>
      <c r="X116" s="69" t="s">
        <v>1852</v>
      </c>
    </row>
    <row r="117" spans="1:25">
      <c r="A117" s="181" t="s">
        <v>718</v>
      </c>
      <c r="B117" s="185" t="s">
        <v>50</v>
      </c>
      <c r="C117" s="318">
        <v>45772</v>
      </c>
      <c r="D117" s="535" t="s">
        <v>719</v>
      </c>
      <c r="H117" s="182">
        <v>76</v>
      </c>
      <c r="I117" s="184"/>
      <c r="J117" s="182" t="s">
        <v>57</v>
      </c>
      <c r="K117" s="434" t="s">
        <v>57</v>
      </c>
      <c r="L117" s="182" t="s">
        <v>63</v>
      </c>
      <c r="M117" s="196">
        <v>45757</v>
      </c>
      <c r="N117" s="87" t="s">
        <v>339</v>
      </c>
      <c r="O117" s="125">
        <v>45757</v>
      </c>
      <c r="P117" s="30" t="s">
        <v>339</v>
      </c>
      <c r="Q117" s="43" t="s">
        <v>339</v>
      </c>
      <c r="R117" s="69" t="s">
        <v>1849</v>
      </c>
      <c r="S117" s="43" t="s">
        <v>339</v>
      </c>
      <c r="T117" s="43" t="s">
        <v>339</v>
      </c>
      <c r="U117" s="43" t="s">
        <v>339</v>
      </c>
      <c r="V117" s="88" t="s">
        <v>339</v>
      </c>
      <c r="W117" s="54">
        <v>45811</v>
      </c>
      <c r="X117" s="69" t="s">
        <v>1852</v>
      </c>
    </row>
    <row r="118" spans="1:25">
      <c r="A118" s="181" t="s">
        <v>720</v>
      </c>
      <c r="B118" s="185" t="s">
        <v>50</v>
      </c>
      <c r="C118" s="318">
        <v>45772</v>
      </c>
      <c r="D118" s="182" t="s">
        <v>722</v>
      </c>
      <c r="H118" s="188">
        <v>88</v>
      </c>
      <c r="I118" s="184"/>
      <c r="J118" s="182" t="s">
        <v>57</v>
      </c>
      <c r="K118" s="434" t="s">
        <v>57</v>
      </c>
      <c r="L118" s="182" t="s">
        <v>63</v>
      </c>
      <c r="M118" s="196">
        <v>45757</v>
      </c>
      <c r="N118" s="87" t="s">
        <v>339</v>
      </c>
      <c r="O118" s="125">
        <v>45757</v>
      </c>
      <c r="P118" s="87" t="s">
        <v>339</v>
      </c>
      <c r="Q118" s="43" t="s">
        <v>339</v>
      </c>
      <c r="R118" s="43" t="s">
        <v>1849</v>
      </c>
      <c r="S118" s="43" t="s">
        <v>339</v>
      </c>
      <c r="T118" s="43" t="s">
        <v>339</v>
      </c>
      <c r="U118" s="158" t="s">
        <v>339</v>
      </c>
      <c r="V118" s="88" t="s">
        <v>339</v>
      </c>
      <c r="W118" s="54">
        <v>45810</v>
      </c>
      <c r="X118" s="69" t="s">
        <v>1852</v>
      </c>
    </row>
    <row r="119" spans="1:25">
      <c r="A119" s="181" t="s">
        <v>724</v>
      </c>
      <c r="B119" s="185" t="s">
        <v>50</v>
      </c>
      <c r="C119" s="318">
        <v>45772</v>
      </c>
      <c r="D119" s="182" t="s">
        <v>725</v>
      </c>
      <c r="H119" s="188">
        <v>86</v>
      </c>
      <c r="I119" s="184"/>
      <c r="J119" s="182" t="s">
        <v>57</v>
      </c>
      <c r="K119" s="434" t="s">
        <v>57</v>
      </c>
      <c r="L119" s="182" t="s">
        <v>63</v>
      </c>
      <c r="M119" s="198">
        <v>45756</v>
      </c>
      <c r="N119" s="30" t="s">
        <v>339</v>
      </c>
      <c r="O119" s="125">
        <v>45757</v>
      </c>
      <c r="P119" s="30" t="s">
        <v>339</v>
      </c>
      <c r="Q119" s="69" t="s">
        <v>339</v>
      </c>
      <c r="R119" s="69" t="s">
        <v>1849</v>
      </c>
      <c r="S119" s="43" t="s">
        <v>339</v>
      </c>
      <c r="T119" s="43" t="s">
        <v>339</v>
      </c>
      <c r="U119" s="158" t="s">
        <v>339</v>
      </c>
      <c r="V119" s="88" t="s">
        <v>339</v>
      </c>
      <c r="W119" s="54">
        <v>45813</v>
      </c>
      <c r="X119" s="69" t="s">
        <v>1852</v>
      </c>
    </row>
    <row r="120" spans="1:25">
      <c r="A120" s="181" t="s">
        <v>726</v>
      </c>
      <c r="B120" s="185" t="s">
        <v>50</v>
      </c>
      <c r="C120" s="318">
        <v>45772</v>
      </c>
      <c r="D120" s="536" t="s">
        <v>727</v>
      </c>
      <c r="H120" s="188">
        <v>84</v>
      </c>
      <c r="I120" s="184"/>
      <c r="J120" s="182" t="s">
        <v>57</v>
      </c>
      <c r="K120" s="434" t="s">
        <v>57</v>
      </c>
      <c r="L120" s="182" t="s">
        <v>63</v>
      </c>
      <c r="M120" s="198">
        <v>45741</v>
      </c>
      <c r="N120" s="30" t="s">
        <v>339</v>
      </c>
      <c r="O120" s="54">
        <v>45748</v>
      </c>
      <c r="P120" s="30" t="s">
        <v>339</v>
      </c>
      <c r="Q120" s="43" t="s">
        <v>339</v>
      </c>
      <c r="R120" s="69" t="s">
        <v>1849</v>
      </c>
      <c r="S120" s="43" t="s">
        <v>339</v>
      </c>
      <c r="T120" s="43" t="s">
        <v>339</v>
      </c>
      <c r="U120" s="43" t="s">
        <v>339</v>
      </c>
      <c r="V120" s="88" t="s">
        <v>339</v>
      </c>
      <c r="W120" s="54">
        <v>45811</v>
      </c>
      <c r="X120" s="69" t="s">
        <v>1852</v>
      </c>
    </row>
    <row r="121" spans="1:25">
      <c r="A121" s="377" t="s">
        <v>784</v>
      </c>
      <c r="B121" s="708" t="s">
        <v>50</v>
      </c>
      <c r="C121" s="709">
        <v>45772</v>
      </c>
      <c r="D121" s="374" t="s">
        <v>785</v>
      </c>
      <c r="H121" s="352">
        <v>87</v>
      </c>
      <c r="I121" s="350"/>
      <c r="J121" s="374" t="s">
        <v>57</v>
      </c>
      <c r="K121" s="729" t="s">
        <v>57</v>
      </c>
      <c r="L121" s="182" t="s">
        <v>63</v>
      </c>
      <c r="M121" s="196">
        <v>45757</v>
      </c>
      <c r="N121" s="30" t="s">
        <v>339</v>
      </c>
      <c r="O121" s="125">
        <v>45757</v>
      </c>
      <c r="P121" s="30" t="s">
        <v>339</v>
      </c>
      <c r="Q121" s="69" t="s">
        <v>339</v>
      </c>
      <c r="R121" s="69" t="s">
        <v>1849</v>
      </c>
      <c r="S121" s="43" t="s">
        <v>339</v>
      </c>
      <c r="T121" s="43" t="s">
        <v>339</v>
      </c>
      <c r="U121" s="43" t="s">
        <v>339</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339</v>
      </c>
      <c r="O122" s="54">
        <v>45747</v>
      </c>
      <c r="P122" s="30" t="s">
        <v>339</v>
      </c>
      <c r="Q122" s="69" t="s">
        <v>339</v>
      </c>
      <c r="R122" s="69" t="s">
        <v>1849</v>
      </c>
      <c r="S122" s="43" t="s">
        <v>339</v>
      </c>
      <c r="T122" s="43" t="s">
        <v>339</v>
      </c>
      <c r="U122" s="158" t="s">
        <v>339</v>
      </c>
      <c r="V122" s="158" t="s">
        <v>339</v>
      </c>
      <c r="W122" s="54">
        <v>45789</v>
      </c>
      <c r="X122" s="69" t="s">
        <v>1852</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339</v>
      </c>
      <c r="O123" s="54">
        <v>45744</v>
      </c>
      <c r="P123" s="30" t="s">
        <v>339</v>
      </c>
      <c r="Q123" s="43" t="s">
        <v>339</v>
      </c>
      <c r="R123" s="69" t="s">
        <v>1849</v>
      </c>
      <c r="S123" s="43" t="s">
        <v>339</v>
      </c>
      <c r="T123" s="43" t="s">
        <v>339</v>
      </c>
      <c r="U123" s="43" t="s">
        <v>339</v>
      </c>
      <c r="V123" s="69" t="s">
        <v>339</v>
      </c>
      <c r="W123" s="54">
        <v>45811</v>
      </c>
      <c r="X123" s="69" t="s">
        <v>1852</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339</v>
      </c>
      <c r="O124" s="54">
        <v>45744</v>
      </c>
      <c r="P124" s="30" t="s">
        <v>339</v>
      </c>
      <c r="Q124" s="43" t="s">
        <v>339</v>
      </c>
      <c r="R124" s="69" t="s">
        <v>1849</v>
      </c>
      <c r="S124" s="43" t="s">
        <v>339</v>
      </c>
      <c r="T124" s="43" t="s">
        <v>339</v>
      </c>
      <c r="U124" s="43" t="s">
        <v>1855</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339</v>
      </c>
      <c r="N125" s="30" t="s">
        <v>339</v>
      </c>
      <c r="O125" s="54">
        <v>45679</v>
      </c>
      <c r="P125" s="30" t="s">
        <v>339</v>
      </c>
      <c r="Q125" s="69" t="s">
        <v>339</v>
      </c>
      <c r="R125" s="43" t="s">
        <v>1849</v>
      </c>
      <c r="S125" s="43" t="s">
        <v>339</v>
      </c>
      <c r="T125" s="43" t="s">
        <v>339</v>
      </c>
      <c r="U125" s="43" t="s">
        <v>339</v>
      </c>
      <c r="V125" s="43" t="s">
        <v>339</v>
      </c>
      <c r="W125" s="54">
        <v>45814</v>
      </c>
      <c r="X125" s="69" t="s">
        <v>1852</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339</v>
      </c>
      <c r="N126" s="30" t="s">
        <v>339</v>
      </c>
      <c r="O126" s="54">
        <v>45720</v>
      </c>
      <c r="P126" s="30" t="s">
        <v>339</v>
      </c>
      <c r="Q126" s="69" t="s">
        <v>339</v>
      </c>
      <c r="R126" s="43" t="s">
        <v>1849</v>
      </c>
      <c r="S126" s="43" t="s">
        <v>339</v>
      </c>
      <c r="T126" s="43" t="s">
        <v>339</v>
      </c>
      <c r="U126" s="43" t="s">
        <v>339</v>
      </c>
      <c r="V126" s="88" t="s">
        <v>339</v>
      </c>
      <c r="W126" s="54">
        <v>45819</v>
      </c>
      <c r="X126" s="69" t="s">
        <v>1852</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339</v>
      </c>
      <c r="O127" s="54">
        <v>45679</v>
      </c>
      <c r="P127" s="30" t="s">
        <v>339</v>
      </c>
      <c r="Q127" s="43" t="s">
        <v>339</v>
      </c>
      <c r="R127" s="43" t="s">
        <v>1849</v>
      </c>
      <c r="S127" s="43" t="s">
        <v>339</v>
      </c>
      <c r="T127" s="43" t="s">
        <v>339</v>
      </c>
      <c r="U127" s="43" t="s">
        <v>339</v>
      </c>
      <c r="V127" s="88" t="s">
        <v>339</v>
      </c>
      <c r="W127" s="54">
        <v>45812</v>
      </c>
      <c r="X127" s="69" t="s">
        <v>1852</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339</v>
      </c>
      <c r="O128" s="358">
        <v>45694</v>
      </c>
      <c r="P128" s="87" t="s">
        <v>339</v>
      </c>
      <c r="Q128" s="43" t="s">
        <v>339</v>
      </c>
      <c r="R128" s="43" t="s">
        <v>1849</v>
      </c>
      <c r="S128" s="43" t="s">
        <v>339</v>
      </c>
      <c r="T128" s="43" t="s">
        <v>339</v>
      </c>
      <c r="U128" s="43" t="s">
        <v>339</v>
      </c>
      <c r="V128" s="88" t="s">
        <v>339</v>
      </c>
      <c r="W128" s="168">
        <v>45883</v>
      </c>
      <c r="X128" s="69" t="s">
        <v>1852</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1849</v>
      </c>
      <c r="S129" s="43" t="s">
        <v>339</v>
      </c>
      <c r="T129" s="116" t="s">
        <v>339</v>
      </c>
      <c r="U129" s="116" t="s">
        <v>339</v>
      </c>
      <c r="V129" s="88" t="s">
        <v>339</v>
      </c>
      <c r="W129" s="168">
        <v>45814</v>
      </c>
      <c r="X129" s="69" t="s">
        <v>1852</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339</v>
      </c>
      <c r="O130" s="54">
        <v>45698</v>
      </c>
      <c r="P130" s="30" t="s">
        <v>339</v>
      </c>
      <c r="Q130" s="69" t="s">
        <v>339</v>
      </c>
      <c r="R130" s="43" t="s">
        <v>1849</v>
      </c>
      <c r="S130" s="43" t="s">
        <v>339</v>
      </c>
      <c r="T130" s="43" t="s">
        <v>339</v>
      </c>
      <c r="U130" s="43" t="s">
        <v>339</v>
      </c>
      <c r="V130" s="88" t="s">
        <v>339</v>
      </c>
      <c r="W130" s="54">
        <v>45798</v>
      </c>
      <c r="X130" s="69" t="s">
        <v>1852</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339</v>
      </c>
      <c r="N131" s="49" t="s">
        <v>339</v>
      </c>
      <c r="O131" s="30" t="s">
        <v>339</v>
      </c>
      <c r="P131" s="30" t="s">
        <v>339</v>
      </c>
      <c r="Q131" s="43" t="s">
        <v>339</v>
      </c>
      <c r="R131" s="43" t="s">
        <v>1849</v>
      </c>
      <c r="S131" s="43" t="s">
        <v>339</v>
      </c>
      <c r="T131" s="158" t="s">
        <v>339</v>
      </c>
      <c r="U131" s="158" t="s">
        <v>339</v>
      </c>
      <c r="V131" s="88" t="s">
        <v>339</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339</v>
      </c>
      <c r="O132" s="54">
        <v>45691</v>
      </c>
      <c r="P132" s="87" t="s">
        <v>339</v>
      </c>
      <c r="Q132" s="43" t="s">
        <v>339</v>
      </c>
      <c r="R132" s="43" t="s">
        <v>1849</v>
      </c>
      <c r="S132" s="43" t="s">
        <v>339</v>
      </c>
      <c r="T132" s="43" t="s">
        <v>339</v>
      </c>
      <c r="U132" s="43" t="s">
        <v>339</v>
      </c>
      <c r="V132" s="43" t="s">
        <v>339</v>
      </c>
      <c r="W132" s="54">
        <v>45820</v>
      </c>
      <c r="X132" s="69" t="s">
        <v>1852</v>
      </c>
      <c r="Y132" t="e">
        <f>VLOOKUP(A132,#REF!,2,FALSE)</f>
        <v>#REF!</v>
      </c>
    </row>
    <row r="133" spans="1:25" ht="15" customHeight="1">
      <c r="A133" s="369" t="s">
        <v>745</v>
      </c>
      <c r="B133" s="420" t="s">
        <v>50</v>
      </c>
      <c r="C133" s="378">
        <v>45742</v>
      </c>
      <c r="D133" s="433" t="s">
        <v>1856</v>
      </c>
      <c r="E133" s="372"/>
      <c r="F133" s="372"/>
      <c r="G133" s="372"/>
      <c r="H133" s="372">
        <v>38</v>
      </c>
      <c r="I133" s="371"/>
      <c r="J133" s="372" t="s">
        <v>57</v>
      </c>
      <c r="K133" s="372" t="s">
        <v>57</v>
      </c>
      <c r="L133" s="372" t="s">
        <v>63</v>
      </c>
      <c r="M133" s="49" t="s">
        <v>339</v>
      </c>
      <c r="N133" s="49" t="s">
        <v>339</v>
      </c>
      <c r="O133" s="54">
        <v>45701</v>
      </c>
      <c r="P133" s="30" t="s">
        <v>339</v>
      </c>
      <c r="Q133" s="69" t="s">
        <v>339</v>
      </c>
      <c r="R133" s="43" t="s">
        <v>1849</v>
      </c>
      <c r="S133" s="43" t="s">
        <v>339</v>
      </c>
      <c r="T133" s="43" t="s">
        <v>339</v>
      </c>
      <c r="U133" s="43" t="s">
        <v>339</v>
      </c>
      <c r="V133" s="69" t="s">
        <v>339</v>
      </c>
      <c r="W133" s="54">
        <v>45821</v>
      </c>
      <c r="X133" s="69" t="s">
        <v>1852</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339</v>
      </c>
      <c r="O134" s="54">
        <v>45709</v>
      </c>
      <c r="P134" s="30" t="s">
        <v>339</v>
      </c>
      <c r="Q134" s="43" t="s">
        <v>339</v>
      </c>
      <c r="R134" s="43" t="s">
        <v>1849</v>
      </c>
      <c r="S134" s="43" t="s">
        <v>339</v>
      </c>
      <c r="T134" s="43" t="s">
        <v>339</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339</v>
      </c>
      <c r="N135" s="49" t="s">
        <v>339</v>
      </c>
      <c r="O135" s="198">
        <v>45720</v>
      </c>
      <c r="P135" s="49" t="s">
        <v>339</v>
      </c>
      <c r="Q135" s="69" t="s">
        <v>339</v>
      </c>
      <c r="R135" s="43" t="s">
        <v>1849</v>
      </c>
      <c r="S135" s="43" t="s">
        <v>339</v>
      </c>
      <c r="T135" s="43" t="s">
        <v>339</v>
      </c>
      <c r="U135" s="158" t="s">
        <v>339</v>
      </c>
      <c r="V135" s="43" t="s">
        <v>339</v>
      </c>
      <c r="W135" s="54">
        <v>45819</v>
      </c>
      <c r="X135" s="69" t="s">
        <v>1852</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339</v>
      </c>
      <c r="O136" s="54">
        <v>45691</v>
      </c>
      <c r="P136" s="30" t="s">
        <v>339</v>
      </c>
      <c r="Q136" s="43" t="s">
        <v>339</v>
      </c>
      <c r="R136" s="43" t="s">
        <v>1849</v>
      </c>
      <c r="S136" s="43" t="s">
        <v>339</v>
      </c>
      <c r="T136" s="43" t="s">
        <v>339</v>
      </c>
      <c r="U136" s="43" t="s">
        <v>339</v>
      </c>
      <c r="V136" s="43" t="s">
        <v>339</v>
      </c>
      <c r="W136" s="54">
        <v>45791</v>
      </c>
      <c r="X136" s="69" t="s">
        <v>1852</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339</v>
      </c>
      <c r="O137" s="30" t="s">
        <v>339</v>
      </c>
      <c r="P137" s="49" t="s">
        <v>339</v>
      </c>
      <c r="Q137" s="69" t="s">
        <v>339</v>
      </c>
      <c r="R137" s="43" t="s">
        <v>1849</v>
      </c>
      <c r="S137" s="43" t="s">
        <v>339</v>
      </c>
      <c r="T137" s="43" t="s">
        <v>339</v>
      </c>
      <c r="U137" s="158" t="s">
        <v>339</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339</v>
      </c>
      <c r="O138" s="125">
        <v>45707</v>
      </c>
      <c r="P138" s="30" t="s">
        <v>339</v>
      </c>
      <c r="Q138" s="43" t="s">
        <v>339</v>
      </c>
      <c r="R138" s="43" t="s">
        <v>1849</v>
      </c>
      <c r="S138" s="43" t="s">
        <v>339</v>
      </c>
      <c r="T138" s="43" t="s">
        <v>339</v>
      </c>
      <c r="U138" s="43" t="s">
        <v>339</v>
      </c>
      <c r="V138" s="43" t="s">
        <v>339</v>
      </c>
      <c r="W138" s="54">
        <v>45790</v>
      </c>
      <c r="X138" s="69" t="s">
        <v>1852</v>
      </c>
      <c r="Y138" t="e">
        <f>VLOOKUP(A138,#REF!,2,FALSE)</f>
        <v>#REF!</v>
      </c>
    </row>
    <row r="139" spans="1:25" ht="15" customHeight="1">
      <c r="A139" s="369" t="s">
        <v>1857</v>
      </c>
      <c r="B139" s="185" t="s">
        <v>50</v>
      </c>
      <c r="C139" s="422">
        <v>45742</v>
      </c>
      <c r="D139" s="372" t="s">
        <v>1858</v>
      </c>
      <c r="E139" s="538"/>
      <c r="F139" s="372"/>
      <c r="G139" s="372"/>
      <c r="H139" s="372">
        <v>87</v>
      </c>
      <c r="I139" s="371"/>
      <c r="J139" s="372" t="s">
        <v>57</v>
      </c>
      <c r="K139" s="372" t="s">
        <v>57</v>
      </c>
      <c r="L139" s="372" t="s">
        <v>63</v>
      </c>
      <c r="M139" s="49" t="s">
        <v>339</v>
      </c>
      <c r="N139" s="30" t="s">
        <v>339</v>
      </c>
      <c r="O139" s="30" t="s">
        <v>339</v>
      </c>
      <c r="P139" s="30" t="s">
        <v>339</v>
      </c>
      <c r="Q139" s="43" t="s">
        <v>339</v>
      </c>
      <c r="R139" s="43" t="s">
        <v>1849</v>
      </c>
      <c r="S139" s="43" t="s">
        <v>339</v>
      </c>
      <c r="T139" s="43" t="s">
        <v>339</v>
      </c>
      <c r="U139" s="158" t="s">
        <v>339</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339</v>
      </c>
      <c r="O140" s="54">
        <v>45743</v>
      </c>
      <c r="P140" s="87" t="s">
        <v>339</v>
      </c>
      <c r="Q140" s="88" t="s">
        <v>339</v>
      </c>
      <c r="R140" s="43" t="s">
        <v>1849</v>
      </c>
      <c r="S140" s="43" t="s">
        <v>339</v>
      </c>
      <c r="T140" s="43" t="s">
        <v>339</v>
      </c>
      <c r="U140" s="88" t="s">
        <v>339</v>
      </c>
      <c r="V140" s="69" t="s">
        <v>339</v>
      </c>
      <c r="W140" s="54">
        <v>45819</v>
      </c>
      <c r="X140" s="69" t="s">
        <v>1852</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1849</v>
      </c>
      <c r="S141" s="43" t="s">
        <v>339</v>
      </c>
      <c r="T141" s="43" t="s">
        <v>339</v>
      </c>
      <c r="U141" s="88" t="s">
        <v>339</v>
      </c>
      <c r="V141" s="88" t="s">
        <v>339</v>
      </c>
      <c r="W141" s="54">
        <v>45811</v>
      </c>
      <c r="X141" s="69" t="s">
        <v>1852</v>
      </c>
      <c r="Y141" t="e">
        <f>VLOOKUP(A141,#REF!,2,FALSE)</f>
        <v>#REF!</v>
      </c>
    </row>
    <row r="142" spans="1:25" ht="15" customHeight="1">
      <c r="A142" s="369" t="s">
        <v>1859</v>
      </c>
      <c r="B142" s="420" t="s">
        <v>50</v>
      </c>
      <c r="C142" s="422">
        <v>45742</v>
      </c>
      <c r="D142" s="372" t="s">
        <v>1860</v>
      </c>
      <c r="E142" s="538"/>
      <c r="F142" s="372"/>
      <c r="G142" s="372"/>
      <c r="H142" s="372">
        <v>87</v>
      </c>
      <c r="I142" s="371"/>
      <c r="J142" s="372" t="s">
        <v>57</v>
      </c>
      <c r="K142" s="372" t="s">
        <v>57</v>
      </c>
      <c r="L142" s="372" t="s">
        <v>63</v>
      </c>
      <c r="M142" s="49" t="s">
        <v>339</v>
      </c>
      <c r="N142" s="49" t="s">
        <v>339</v>
      </c>
      <c r="O142" s="198">
        <v>45691</v>
      </c>
      <c r="P142" s="30" t="s">
        <v>339</v>
      </c>
      <c r="Q142" s="69" t="s">
        <v>339</v>
      </c>
      <c r="R142" s="43" t="s">
        <v>1849</v>
      </c>
      <c r="S142" s="43" t="s">
        <v>339</v>
      </c>
      <c r="T142" s="43" t="s">
        <v>339</v>
      </c>
      <c r="U142" s="158" t="s">
        <v>339</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339</v>
      </c>
      <c r="N143" s="49" t="s">
        <v>339</v>
      </c>
      <c r="O143" s="198">
        <v>45675</v>
      </c>
      <c r="P143" s="30" t="s">
        <v>339</v>
      </c>
      <c r="Q143" s="69" t="s">
        <v>339</v>
      </c>
      <c r="R143" s="43" t="s">
        <v>1849</v>
      </c>
      <c r="S143" s="43" t="s">
        <v>339</v>
      </c>
      <c r="T143" s="43" t="s">
        <v>339</v>
      </c>
      <c r="U143" s="158" t="s">
        <v>339</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1852</v>
      </c>
    </row>
    <row r="145" spans="1:25" ht="15" customHeight="1">
      <c r="A145" s="369" t="s">
        <v>982</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1832</v>
      </c>
      <c r="B146" s="420" t="s">
        <v>50</v>
      </c>
      <c r="C146" s="370">
        <v>45991</v>
      </c>
      <c r="D146" s="432" t="s">
        <v>1833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474</v>
      </c>
      <c r="B148" s="420" t="s">
        <v>50</v>
      </c>
      <c r="C148" s="414">
        <v>45991</v>
      </c>
      <c r="D148" s="424" t="s">
        <v>476</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1849</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1849</v>
      </c>
      <c r="S150" s="43" t="s">
        <v>339</v>
      </c>
      <c r="T150" s="43" t="s">
        <v>339</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1849</v>
      </c>
      <c r="S151" s="43" t="s">
        <v>339</v>
      </c>
      <c r="T151" s="43" t="s">
        <v>339</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1849</v>
      </c>
      <c r="S153" s="43" t="s">
        <v>339</v>
      </c>
      <c r="T153" s="158" t="s">
        <v>339</v>
      </c>
      <c r="U153" s="158" t="s">
        <v>339</v>
      </c>
      <c r="V153" s="43" t="s">
        <v>339</v>
      </c>
      <c r="W153" s="54">
        <v>45807</v>
      </c>
      <c r="X153" s="69" t="s">
        <v>1852</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339</v>
      </c>
      <c r="O154" s="358">
        <v>45696</v>
      </c>
      <c r="P154" s="30" t="s">
        <v>339</v>
      </c>
      <c r="Q154" s="69" t="s">
        <v>339</v>
      </c>
      <c r="R154" s="43" t="s">
        <v>1849</v>
      </c>
      <c r="S154" s="43" t="s">
        <v>339</v>
      </c>
      <c r="T154" s="158" t="s">
        <v>339</v>
      </c>
      <c r="U154" s="158" t="s">
        <v>339</v>
      </c>
      <c r="V154" s="43" t="s">
        <v>339</v>
      </c>
      <c r="W154" s="168">
        <v>45792</v>
      </c>
      <c r="X154" s="149" t="s">
        <v>1852</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339</v>
      </c>
      <c r="O155" s="54">
        <v>45699</v>
      </c>
      <c r="P155" s="49" t="s">
        <v>339</v>
      </c>
      <c r="Q155" s="69" t="s">
        <v>339</v>
      </c>
      <c r="R155" s="43" t="s">
        <v>1849</v>
      </c>
      <c r="S155" s="43" t="s">
        <v>339</v>
      </c>
      <c r="T155" s="43" t="s">
        <v>339</v>
      </c>
      <c r="U155" s="158" t="s">
        <v>339</v>
      </c>
      <c r="V155" s="43" t="s">
        <v>339</v>
      </c>
      <c r="W155" s="367">
        <v>45821</v>
      </c>
      <c r="X155" s="69" t="s">
        <v>1852</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339</v>
      </c>
      <c r="O156" s="54">
        <v>45699</v>
      </c>
      <c r="P156" s="49" t="s">
        <v>339</v>
      </c>
      <c r="Q156" s="69" t="s">
        <v>339</v>
      </c>
      <c r="R156" s="43" t="s">
        <v>1849</v>
      </c>
      <c r="S156" s="43" t="s">
        <v>339</v>
      </c>
      <c r="T156" s="43" t="s">
        <v>339</v>
      </c>
      <c r="U156" s="69" t="s">
        <v>339</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1849</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339</v>
      </c>
      <c r="O158" s="54">
        <v>45736</v>
      </c>
      <c r="P158" s="49" t="s">
        <v>339</v>
      </c>
      <c r="Q158" s="69" t="s">
        <v>339</v>
      </c>
      <c r="R158" s="43" t="s">
        <v>1849</v>
      </c>
      <c r="S158" s="43" t="s">
        <v>339</v>
      </c>
      <c r="T158" s="43" t="s">
        <v>339</v>
      </c>
      <c r="U158" s="158" t="s">
        <v>339</v>
      </c>
      <c r="V158" s="158" t="s">
        <v>339</v>
      </c>
      <c r="W158" s="367">
        <v>45817</v>
      </c>
      <c r="X158" s="69" t="s">
        <v>1852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1852</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1852</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1852</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1852</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481</v>
      </c>
      <c r="B169" s="420" t="s">
        <v>50</v>
      </c>
      <c r="C169" s="596">
        <v>45991</v>
      </c>
      <c r="D169" s="424" t="s">
        <v>482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1862</v>
      </c>
      <c r="C1" s="1187"/>
      <c r="D1" s="575"/>
      <c r="E1" s="1187" t="s">
        <v>1863</v>
      </c>
      <c r="F1" s="1187"/>
    </row>
    <row r="2" spans="1:25">
      <c r="B2" s="44" t="s">
        <v>1864</v>
      </c>
      <c r="E2" s="44" t="s">
        <v>22</v>
      </c>
      <c r="F2" t="s">
        <v>953</v>
      </c>
      <c r="P2" s="44" t="s">
        <v>27</v>
      </c>
      <c r="Q2" t="s">
        <v>1865</v>
      </c>
    </row>
    <row r="3" spans="1:25">
      <c r="B3" s="44" t="s">
        <v>22</v>
      </c>
      <c r="C3" t="s">
        <v>959</v>
      </c>
      <c r="K3" s="44" t="s">
        <v>1866</v>
      </c>
      <c r="L3" t="s">
        <v>1867</v>
      </c>
      <c r="P3" s="44" t="s">
        <v>1866</v>
      </c>
      <c r="Q3" t="s">
        <v>1867</v>
      </c>
    </row>
    <row r="4" spans="1:25">
      <c r="B4" t="s">
        <v>159</v>
      </c>
      <c r="C4">
        <v>157086</v>
      </c>
      <c r="E4" s="44" t="s">
        <v>1864</v>
      </c>
      <c r="F4" t="s">
        <v>959</v>
      </c>
      <c r="W4" t="s">
        <v>1868</v>
      </c>
      <c r="X4">
        <v>22</v>
      </c>
    </row>
    <row r="5" spans="1:25">
      <c r="B5" t="s">
        <v>71</v>
      </c>
      <c r="C5">
        <v>40602</v>
      </c>
      <c r="E5" t="s">
        <v>959</v>
      </c>
      <c r="F5">
        <v>227730</v>
      </c>
      <c r="K5" s="44" t="s">
        <v>1869</v>
      </c>
      <c r="P5" s="44" t="s">
        <v>1869</v>
      </c>
      <c r="W5" t="s">
        <v>1870</v>
      </c>
      <c r="X5">
        <v>13</v>
      </c>
    </row>
    <row r="6" spans="1:25">
      <c r="B6" t="s">
        <v>99</v>
      </c>
      <c r="C6">
        <v>22387</v>
      </c>
      <c r="K6" s="44" t="s">
        <v>27</v>
      </c>
      <c r="L6" s="44" t="s">
        <v>1871</v>
      </c>
      <c r="M6" t="s">
        <v>959</v>
      </c>
      <c r="P6" s="44" t="s">
        <v>1872</v>
      </c>
      <c r="Q6" s="44" t="s">
        <v>1871</v>
      </c>
      <c r="R6" t="s">
        <v>959</v>
      </c>
    </row>
    <row r="7" spans="1:25">
      <c r="B7" t="s">
        <v>985</v>
      </c>
      <c r="C7">
        <v>234381</v>
      </c>
      <c r="K7" t="s">
        <v>1865</v>
      </c>
      <c r="L7" t="s">
        <v>589</v>
      </c>
      <c r="M7">
        <v>1</v>
      </c>
      <c r="P7" t="s">
        <v>1873</v>
      </c>
      <c r="R7">
        <v>1</v>
      </c>
      <c r="X7" t="s">
        <v>1874</v>
      </c>
      <c r="Y7" t="s">
        <v>1875</v>
      </c>
    </row>
    <row r="8" spans="1:25">
      <c r="B8" t="s">
        <v>51</v>
      </c>
      <c r="C8">
        <v>446</v>
      </c>
      <c r="L8" t="s">
        <v>591</v>
      </c>
      <c r="M8">
        <v>1</v>
      </c>
      <c r="P8" t="s">
        <v>1876</v>
      </c>
      <c r="R8">
        <v>1</v>
      </c>
      <c r="V8" t="s">
        <v>1877</v>
      </c>
      <c r="W8" s="261">
        <v>203521</v>
      </c>
      <c r="X8" s="317">
        <f>X5/X4</f>
        <v>0.59090909090909094</v>
      </c>
      <c r="Y8" s="317">
        <f>W9/W8</f>
        <v>0.31446386367991508</v>
      </c>
    </row>
    <row r="9" spans="1:25">
      <c r="B9" t="s">
        <v>22</v>
      </c>
      <c r="C9">
        <v>0</v>
      </c>
      <c r="L9" t="s">
        <v>1878</v>
      </c>
      <c r="M9">
        <v>1</v>
      </c>
      <c r="P9" t="s">
        <v>1879</v>
      </c>
      <c r="Q9" t="s">
        <v>1878</v>
      </c>
      <c r="R9">
        <v>1</v>
      </c>
      <c r="V9" t="s">
        <v>1880</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1881</v>
      </c>
      <c r="R12">
        <v>1</v>
      </c>
    </row>
    <row r="13" spans="1:25">
      <c r="B13" t="s">
        <v>219</v>
      </c>
      <c r="C13">
        <v>16290</v>
      </c>
      <c r="L13" t="s">
        <v>1882</v>
      </c>
      <c r="M13">
        <v>1</v>
      </c>
      <c r="Q13" t="s">
        <v>909</v>
      </c>
      <c r="R13">
        <v>1</v>
      </c>
    </row>
    <row r="14" spans="1:25">
      <c r="B14" t="s">
        <v>216</v>
      </c>
      <c r="C14">
        <v>8065</v>
      </c>
      <c r="L14" t="s">
        <v>712</v>
      </c>
      <c r="M14">
        <v>1</v>
      </c>
      <c r="P14" t="s">
        <v>1883</v>
      </c>
      <c r="R14">
        <v>5</v>
      </c>
    </row>
    <row r="15" spans="1:25">
      <c r="B15" t="s">
        <v>132</v>
      </c>
      <c r="C15">
        <v>7655</v>
      </c>
      <c r="L15" t="s">
        <v>1881</v>
      </c>
      <c r="M15">
        <v>1</v>
      </c>
      <c r="P15" t="s">
        <v>985</v>
      </c>
      <c r="R15">
        <v>12</v>
      </c>
    </row>
    <row r="16" spans="1:25">
      <c r="B16" t="s">
        <v>187</v>
      </c>
      <c r="C16">
        <v>3</v>
      </c>
      <c r="L16" t="s">
        <v>714</v>
      </c>
      <c r="M16">
        <v>1</v>
      </c>
      <c r="P16" t="s">
        <v>956</v>
      </c>
      <c r="R16">
        <v>19</v>
      </c>
    </row>
    <row r="17" spans="2:13">
      <c r="B17" t="s">
        <v>1884</v>
      </c>
      <c r="C17">
        <v>9978</v>
      </c>
      <c r="L17" t="s">
        <v>718</v>
      </c>
      <c r="M17">
        <v>1</v>
      </c>
    </row>
    <row r="18" spans="2:13">
      <c r="B18" t="s">
        <v>956</v>
      </c>
      <c r="C18">
        <v>550399</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1890</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1891</v>
      </c>
      <c r="S2" s="3" t="s">
        <v>1781</v>
      </c>
      <c r="T2" s="268" t="s">
        <v>1782</v>
      </c>
      <c r="U2" s="268" t="s">
        <v>1782</v>
      </c>
      <c r="V2" s="268" t="s">
        <v>1782</v>
      </c>
      <c r="W2" s="268" t="s">
        <v>1782</v>
      </c>
      <c r="X2" s="268" t="s">
        <v>1783</v>
      </c>
      <c r="Y2" s="268" t="s">
        <v>1892</v>
      </c>
    </row>
    <row r="3" spans="1:26" ht="15.75" thickBot="1">
      <c r="A3" s="267" t="s">
        <v>1871</v>
      </c>
      <c r="B3" s="263" t="s">
        <v>20</v>
      </c>
      <c r="C3" s="263" t="s">
        <v>1893</v>
      </c>
      <c r="D3" s="263" t="s">
        <v>26</v>
      </c>
      <c r="E3" s="263" t="s">
        <v>1866</v>
      </c>
      <c r="F3" s="263" t="s">
        <v>1894</v>
      </c>
      <c r="G3" s="263" t="s">
        <v>27</v>
      </c>
      <c r="H3" s="211" t="s">
        <v>28</v>
      </c>
      <c r="I3" s="211" t="s">
        <v>1895</v>
      </c>
      <c r="J3" s="211" t="s">
        <v>1896</v>
      </c>
      <c r="K3" s="211" t="s">
        <v>1897</v>
      </c>
      <c r="L3" s="211" t="s">
        <v>1852</v>
      </c>
      <c r="M3" s="211" t="s">
        <v>1898</v>
      </c>
      <c r="N3" s="211" t="s">
        <v>1899</v>
      </c>
      <c r="O3" s="210" t="s">
        <v>1786</v>
      </c>
      <c r="P3" s="264" t="s">
        <v>1872</v>
      </c>
      <c r="Q3" s="265" t="s">
        <v>34</v>
      </c>
      <c r="R3" s="265" t="s">
        <v>1895</v>
      </c>
      <c r="S3" s="5" t="s">
        <v>1787</v>
      </c>
      <c r="T3" s="265" t="s">
        <v>1900</v>
      </c>
      <c r="U3" s="265" t="s">
        <v>43</v>
      </c>
      <c r="V3" s="265" t="s">
        <v>1788</v>
      </c>
      <c r="W3" s="265" t="s">
        <v>46</v>
      </c>
      <c r="X3" s="265" t="s">
        <v>580</v>
      </c>
      <c r="Y3" s="265" t="s">
        <v>1901</v>
      </c>
      <c r="Z3" s="316" t="s">
        <v>1902</v>
      </c>
    </row>
    <row r="4" spans="1:26" ht="15.75" thickBot="1">
      <c r="A4" s="122" t="s">
        <v>82</v>
      </c>
      <c r="B4" s="103" t="s">
        <v>50</v>
      </c>
      <c r="C4" s="77">
        <v>45807</v>
      </c>
      <c r="D4" s="272"/>
      <c r="E4" s="273" t="s">
        <v>1903</v>
      </c>
      <c r="F4" s="272"/>
      <c r="G4" s="274" t="s">
        <v>1865</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1832</v>
      </c>
      <c r="B5" s="103" t="s">
        <v>50</v>
      </c>
      <c r="C5" s="219">
        <v>45807</v>
      </c>
      <c r="D5" s="272"/>
      <c r="E5" s="273" t="s">
        <v>1903</v>
      </c>
      <c r="F5" s="272"/>
      <c r="G5" s="274" t="s">
        <v>1865</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1865</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1865</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1865</v>
      </c>
      <c r="H8" s="272"/>
      <c r="I8" s="272"/>
      <c r="J8" s="283"/>
      <c r="K8" s="209"/>
      <c r="L8" s="209"/>
      <c r="M8" s="209"/>
      <c r="N8" s="276"/>
      <c r="O8" s="277"/>
      <c r="P8" s="278" t="s">
        <v>1876</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1865</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1865</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478</v>
      </c>
      <c r="B11" s="103" t="s">
        <v>50</v>
      </c>
      <c r="C11" s="219">
        <v>45807</v>
      </c>
      <c r="D11" s="286"/>
      <c r="E11" s="273" t="s">
        <v>1903</v>
      </c>
      <c r="F11" s="286"/>
      <c r="G11" s="287" t="s">
        <v>1865</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1865</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1865</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474</v>
      </c>
      <c r="B14" s="103" t="s">
        <v>50</v>
      </c>
      <c r="C14" s="219">
        <v>45807</v>
      </c>
      <c r="D14" s="286"/>
      <c r="E14" s="273" t="s">
        <v>1903</v>
      </c>
      <c r="F14" s="286"/>
      <c r="G14" s="287" t="s">
        <v>1865</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1865</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1865</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1867</v>
      </c>
      <c r="F17" s="286"/>
      <c r="G17" s="287" t="s">
        <v>1865</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1867</v>
      </c>
      <c r="F18" s="286"/>
      <c r="G18" s="287" t="s">
        <v>1865</v>
      </c>
      <c r="H18" s="234"/>
      <c r="I18" s="234"/>
      <c r="J18" s="45"/>
      <c r="K18" s="208"/>
      <c r="L18" s="208"/>
      <c r="M18" s="208"/>
      <c r="N18" s="288"/>
      <c r="O18" s="289"/>
      <c r="P18" s="278" t="s">
        <v>1873</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1867</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1867</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1882</v>
      </c>
      <c r="B21" s="103" t="e">
        <v>#N/A</v>
      </c>
      <c r="C21" s="235">
        <v>45807</v>
      </c>
      <c r="D21" s="286"/>
      <c r="E21" s="273" t="s">
        <v>1867</v>
      </c>
      <c r="F21" s="286"/>
      <c r="G21" s="287" t="s">
        <v>1865</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1867</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1867</v>
      </c>
      <c r="F23" s="286"/>
      <c r="G23" s="287" t="s">
        <v>1865</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1878</v>
      </c>
      <c r="B24" s="236" t="e">
        <v>#N/A</v>
      </c>
      <c r="C24" s="235">
        <v>45716</v>
      </c>
      <c r="D24" s="286"/>
      <c r="E24" s="273" t="s">
        <v>1867</v>
      </c>
      <c r="F24" s="286"/>
      <c r="G24" s="287" t="s">
        <v>1865</v>
      </c>
      <c r="H24" s="234"/>
      <c r="I24" s="234"/>
      <c r="J24" s="234"/>
      <c r="K24" s="233"/>
      <c r="L24" s="233"/>
      <c r="M24" s="233"/>
      <c r="N24" s="288"/>
      <c r="O24" s="289"/>
      <c r="P24" s="278" t="s">
        <v>1879</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1867</v>
      </c>
      <c r="F25" s="286"/>
      <c r="G25" s="287" t="s">
        <v>1865</v>
      </c>
      <c r="H25" s="234"/>
      <c r="I25" s="234"/>
      <c r="J25" s="45"/>
      <c r="K25" s="208"/>
      <c r="L25" s="208"/>
      <c r="M25" s="208"/>
      <c r="N25" s="288"/>
      <c r="O25" s="289"/>
      <c r="P25" s="278" t="s">
        <v>1879</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1867</v>
      </c>
      <c r="F26" s="286"/>
      <c r="G26" s="287" t="s">
        <v>1865</v>
      </c>
      <c r="H26" s="234"/>
      <c r="I26" s="234"/>
      <c r="J26" s="45"/>
      <c r="K26" s="208"/>
      <c r="L26" s="208"/>
      <c r="M26" s="208"/>
      <c r="N26" s="288"/>
      <c r="O26" s="289"/>
      <c r="P26" s="278" t="s">
        <v>1879</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1867</v>
      </c>
      <c r="F27" s="286"/>
      <c r="G27" s="287" t="s">
        <v>1865</v>
      </c>
      <c r="H27" s="234"/>
      <c r="I27" s="234"/>
      <c r="J27" s="45"/>
      <c r="K27" s="208"/>
      <c r="L27" s="208"/>
      <c r="M27" s="208"/>
      <c r="N27" s="288"/>
      <c r="O27" s="289"/>
      <c r="P27" s="278" t="s">
        <v>1879</v>
      </c>
      <c r="Q27" s="279" t="s">
        <v>64</v>
      </c>
      <c r="R27" s="132" t="s">
        <v>1905</v>
      </c>
      <c r="S27" s="132"/>
      <c r="T27" s="280"/>
      <c r="U27" s="281"/>
      <c r="V27" s="281"/>
      <c r="W27" s="281"/>
      <c r="X27" s="281"/>
      <c r="Y27" s="281"/>
      <c r="Z27" t="e">
        <f>VLOOKUP(A27,#REF!,9,FALSE)</f>
        <v>#REF!</v>
      </c>
    </row>
    <row r="28" spans="1:26" ht="70.150000000000006" customHeight="1" thickBot="1">
      <c r="A28" s="229" t="s">
        <v>1881</v>
      </c>
      <c r="B28" s="236"/>
      <c r="C28" s="235"/>
      <c r="D28" s="286"/>
      <c r="E28" s="273" t="s">
        <v>1867</v>
      </c>
      <c r="F28" s="286"/>
      <c r="G28" s="287" t="s">
        <v>1865</v>
      </c>
      <c r="H28" s="234"/>
      <c r="I28" s="234"/>
      <c r="J28" s="234"/>
      <c r="K28" s="233"/>
      <c r="L28" s="233"/>
      <c r="M28" s="233"/>
      <c r="N28" s="288"/>
      <c r="O28" s="289"/>
      <c r="P28" s="278" t="s">
        <v>1879</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1867</v>
      </c>
      <c r="F29" s="286"/>
      <c r="G29" s="287" t="s">
        <v>1865</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1867</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1867</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1867</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1867</v>
      </c>
      <c r="F33" s="286"/>
      <c r="G33" s="287" t="s">
        <v>1865</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1867</v>
      </c>
      <c r="F34" s="286"/>
      <c r="G34" s="287" t="s">
        <v>1865</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1867</v>
      </c>
      <c r="F35" s="286"/>
      <c r="G35" s="287" t="s">
        <v>1865</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1867</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1867</v>
      </c>
      <c r="F37" s="286"/>
      <c r="G37" s="287" t="s">
        <v>1865</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1867</v>
      </c>
      <c r="F38" s="286"/>
      <c r="G38" s="287" t="s">
        <v>1865</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1867</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1867</v>
      </c>
      <c r="F40" s="286"/>
      <c r="G40" s="287" t="s">
        <v>1865</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1865</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1865</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481</v>
      </c>
      <c r="B43" s="103" t="s">
        <v>50</v>
      </c>
      <c r="C43" s="219">
        <v>45807</v>
      </c>
      <c r="D43" s="286"/>
      <c r="E43" s="273" t="s">
        <v>1903</v>
      </c>
      <c r="F43" s="286"/>
      <c r="G43" s="287" t="s">
        <v>1865</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1865</v>
      </c>
      <c r="H44" s="234"/>
      <c r="I44" s="234"/>
      <c r="J44" s="45"/>
      <c r="K44" s="208"/>
      <c r="L44" s="208"/>
      <c r="M44" s="208"/>
      <c r="N44" s="288"/>
      <c r="O44" s="289"/>
      <c r="P44" s="278" t="s">
        <v>1873</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1867</v>
      </c>
      <c r="F45" s="286"/>
      <c r="G45" s="287" t="s">
        <v>1865</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1867</v>
      </c>
      <c r="F46" s="286"/>
      <c r="G46" s="294" t="s">
        <v>1865</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1867</v>
      </c>
      <c r="F47" s="286"/>
      <c r="G47" s="287" t="s">
        <v>1865</v>
      </c>
      <c r="H47" s="234"/>
      <c r="I47" s="234"/>
      <c r="J47" s="45"/>
      <c r="K47" s="208"/>
      <c r="L47" s="208"/>
      <c r="M47" s="208"/>
      <c r="N47" s="288"/>
      <c r="O47" s="289"/>
      <c r="P47" s="278" t="s">
        <v>1876</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1867</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1867</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1867</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1867</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1865</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1865</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1865</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1865</v>
      </c>
      <c r="H55" s="234"/>
      <c r="I55" s="234"/>
      <c r="J55" s="45"/>
      <c r="K55" s="208"/>
      <c r="L55" s="208"/>
      <c r="M55" s="208"/>
      <c r="N55" s="288"/>
      <c r="O55" s="289"/>
      <c r="P55" s="278" t="s">
        <v>1876</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1865</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1865</v>
      </c>
      <c r="H57" s="234"/>
      <c r="I57" s="234"/>
      <c r="J57" s="45"/>
      <c r="K57" s="208"/>
      <c r="L57" s="208"/>
      <c r="M57" s="208"/>
      <c r="N57" s="288"/>
      <c r="O57" s="289"/>
      <c r="P57" s="278" t="s">
        <v>1876</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1867</v>
      </c>
      <c r="F58" s="286"/>
      <c r="G58" s="287" t="s">
        <v>1865</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1867</v>
      </c>
      <c r="F59" s="286"/>
      <c r="G59" s="287" t="s">
        <v>1865</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1867</v>
      </c>
      <c r="F60" s="286"/>
      <c r="G60" s="287" t="s">
        <v>1865</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1852</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C882F3-72CF-4BC9-BEAD-A75D000051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2025-12-01T18:59:11Z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