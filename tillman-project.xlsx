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73" documentId="8_{E14B221E-02E2-46A3-8CEC-C736815F2DD5}" xr6:coauthVersionLast="47" xr6:coauthVersionMax="47" xr10:uidLastSave="{B5936BE4-8AD2-4B71-99A1-802D3C0DADE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47" i="31"/>
  <c r="X47" i="31"/>
  <c r="Y46" i="31"/>
  <c r="X46" i="31"/>
  <c r="Y45" i="31"/>
  <c r="X45" i="31"/>
  <c r="Y44" i="31"/>
  <c r="X44" i="31"/>
  <c r="Y43" i="31"/>
  <c r="X43" i="31"/>
  <c r="Y42" i="31"/>
  <c r="X42" i="31"/>
  <c r="Y41" i="31"/>
  <c r="X41" i="31"/>
  <c r="Y40" i="31"/>
  <c r="X40" i="31"/>
  <c r="Y39" i="31"/>
  <c r="X39" i="31"/>
  <c r="Y38" i="31"/>
  <c r="X38" i="31"/>
  <c r="Y37" i="31"/>
  <c r="X37" i="31"/>
  <c r="Y36" i="31"/>
  <c r="X36" i="31"/>
  <c r="Y35" i="31"/>
  <c r="X35" i="31"/>
  <c r="Y17" i="31"/>
  <c r="X17" i="31"/>
  <c r="Y28" i="31"/>
  <c r="X28" i="31"/>
  <c r="Y20" i="31"/>
  <c r="X20" i="31"/>
  <c r="Y19" i="31"/>
  <c r="X19" i="31"/>
  <c r="Y70" i="2"/>
  <c r="X70" i="2"/>
  <c r="Y60" i="2"/>
  <c r="Y59" i="2"/>
  <c r="X59" i="2"/>
  <c r="X60" i="2"/>
  <c r="X17" i="2"/>
  <c r="Y17" i="2"/>
  <c r="X23" i="2"/>
  <c r="Y23" i="2"/>
  <c r="Y10" i="31"/>
  <c r="X10" i="31"/>
  <c r="Y26" i="31"/>
  <c r="X26" i="31"/>
  <c r="Y25" i="31"/>
  <c r="X25" i="31"/>
  <c r="Y23" i="31"/>
  <c r="X23" i="31"/>
  <c r="Y22" i="31"/>
  <c r="X22" i="31"/>
  <c r="X15" i="2"/>
  <c r="Y15" i="2"/>
  <c r="X16" i="2"/>
  <c r="Y16" i="2"/>
  <c r="Y29" i="2"/>
  <c r="X29" i="2"/>
  <c r="T142" i="30"/>
  <c r="X96" i="2"/>
  <c r="Y96" i="2"/>
  <c r="Y32" i="2"/>
  <c r="X32" i="2"/>
  <c r="Y16" i="32"/>
  <c r="X16" i="32"/>
  <c r="Y14" i="31"/>
  <c r="X14" i="31"/>
  <c r="Y17" i="32"/>
  <c r="X17" i="32"/>
  <c r="Y34" i="31"/>
  <c r="X34" i="31"/>
  <c r="Y21" i="31"/>
  <c r="X21" i="31"/>
  <c r="Y30" i="2"/>
  <c r="X30" i="2"/>
  <c r="X133" i="2"/>
  <c r="Y133" i="2"/>
  <c r="Y15" i="31"/>
  <c r="X15" i="31"/>
  <c r="Y12" i="31"/>
  <c r="X12" i="31"/>
  <c r="Y16" i="31"/>
  <c r="X16"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11" i="31"/>
  <c r="X11"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<sst xmlns="http://schemas.openxmlformats.org/spreadsheetml/2006/main" count="14660" uniqueCount="1798">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</sst>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15" fillId="4" borderId="27" xfId="0" applyFont="1" applyFill="1" applyBorder="1" applyAlignment="1">
      <alignment horizontal="center"/>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9" fontId="0" fillId="0" borderId="20" xfId="1" applyNumberFormat="1" applyFont="1" applyBorder="1" applyAlignment="1">
      <alignment horizontal="center"/>
    </xf>
    <xf numFmtId="0" fontId="0" fillId="18" borderId="20" xfId="0" applyFill="1" applyBorder="1" applyAlignment="1">
      <alignment horizontal="center"/>
    </xf>
  </cellXfs>
  <cellStyles count="3">
    <cellStyle name="Currency" xfId="2" builtinId="4"/>
    <cellStyle name="Normal" xfId="0" builtinId="0"/>
    <cellStyle name="Percent" xfId="1" builtinId="5"/>
  </cellStyles>
  <dxfs count="20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solid">
          <fgColor rgb="FFFFFFFF"/>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filterColumn colId="0">
      <colorFilter dxfId="208"/>
    </filterColumn>
    <filterColumn colId="1">
      <filters>
        <filter val="Bradenton"/>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sortState xmlns:xlrd2="http://schemas.microsoft.com/office/spreadsheetml/2017/richdata2" ref="A2:AD33">
    <sortCondition ref="B131:B15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94" activePane="topRight" state="frozen"/>
      <selection pane="topRight" activeCell="W97" sqref="W97:W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8">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5"/>
      <c r="B28" s="479"/>
      <c r="C28" s="481"/>
      <c r="D28" s="481"/>
      <c r="E28" s="481"/>
      <c r="F28" s="479"/>
      <c r="G28" s="482"/>
      <c r="H28" s="1162"/>
      <c r="I28" s="683"/>
      <c r="J28" s="1162"/>
      <c r="K28" s="1162"/>
      <c r="L28" s="481"/>
      <c r="M28" s="1162"/>
      <c r="N28" s="1163"/>
      <c r="O28" s="1162"/>
      <c r="P28" s="1164"/>
      <c r="Q28" s="1165"/>
      <c r="R28" s="1165"/>
      <c r="S28" s="1165"/>
      <c r="T28" s="1165"/>
      <c r="U28" s="1165"/>
      <c r="V28" s="430"/>
      <c r="W28" s="486"/>
      <c r="X28" s="1166">
        <f>SUM(V28-W28)</f>
        <v>0</v>
      </c>
      <c r="Y28" s="684"/>
      <c r="Z28" s="493"/>
      <c r="AA28" s="1167"/>
      <c r="AB28" s="1167"/>
      <c r="AC28" s="1166"/>
      <c r="AD28" s="488"/>
      <c r="AE28" s="344"/>
    </row>
    <row r="29" spans="1:31" s="167" customFormat="1" ht="24.75" customHeight="1">
      <c r="A29" s="906" t="s">
        <v>120</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121</v>
      </c>
      <c r="AE29" s="344"/>
    </row>
    <row r="30" spans="1:31" s="167" customFormat="1" ht="24.75" customHeight="1">
      <c r="A30" s="906" t="s">
        <v>122</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123</v>
      </c>
      <c r="AE30" s="344"/>
    </row>
    <row r="31" spans="1:31" s="167" customFormat="1" ht="24.75" customHeight="1">
      <c r="A31" s="906" t="s">
        <v>124</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125</v>
      </c>
      <c r="AE31" s="344"/>
    </row>
    <row r="32" spans="1:31" s="167" customFormat="1" ht="24.75" customHeight="1">
      <c r="A32" s="906" t="s">
        <v>126</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121</v>
      </c>
      <c r="AE32" s="344"/>
    </row>
    <row r="33" spans="1:31" ht="24.75" customHeight="1">
      <c r="A33" s="905" t="s">
        <v>127</v>
      </c>
      <c r="B33" s="479" t="s">
        <v>116</v>
      </c>
      <c r="C33" s="490">
        <v>45976</v>
      </c>
      <c r="D33" s="481" t="s">
        <v>128</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129</v>
      </c>
      <c r="AE33" s="122"/>
    </row>
    <row r="34" spans="1:31" ht="24.75" customHeight="1">
      <c r="A34" s="905" t="s">
        <v>130</v>
      </c>
      <c r="B34" s="479" t="s">
        <v>116</v>
      </c>
      <c r="C34" s="490">
        <v>45976</v>
      </c>
      <c r="D34" s="481" t="s">
        <v>128</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129</v>
      </c>
      <c r="AE34" s="122"/>
    </row>
    <row r="35" spans="1:31" ht="24.75" customHeight="1">
      <c r="A35" s="905" t="s">
        <v>131</v>
      </c>
      <c r="B35" s="479" t="s">
        <v>116</v>
      </c>
      <c r="C35" s="490">
        <v>45976</v>
      </c>
      <c r="D35" s="481" t="s">
        <v>128</v>
      </c>
      <c r="E35" s="481"/>
      <c r="F35" s="479" t="s">
        <v>117</v>
      </c>
      <c r="G35" s="704"/>
      <c r="H35" s="483">
        <v>28</v>
      </c>
      <c r="I35" s="683" t="s">
        <v>55</v>
      </c>
      <c r="J35" s="483" t="s">
        <v>63</v>
      </c>
      <c r="K35" s="483"/>
      <c r="L35" s="481">
        <v>45972</v>
      </c>
      <c r="M35" s="483" t="s">
        <v>57</v>
      </c>
      <c r="N35" s="560">
        <v>27615.5</v>
      </c>
      <c r="O35" s="483" t="s">
        <v>57</v>
      </c>
      <c r="P35" s="809" t="s">
        <v>58</v>
      </c>
      <c r="Q35" s="125"/>
      <c r="R35" s="1073"/>
      <c r="S35" s="570"/>
      <c r="T35" s="570"/>
      <c r="U35" s="570"/>
      <c r="V35" s="486">
        <v>2027</v>
      </c>
      <c r="W35" s="486"/>
      <c r="X35" s="486">
        <f t="shared" si="3"/>
        <v>2027</v>
      </c>
      <c r="Y35" s="684">
        <f t="shared" si="1"/>
        <v>0</v>
      </c>
      <c r="Z35" s="363"/>
      <c r="AA35" s="366">
        <v>0</v>
      </c>
      <c r="AB35" s="366">
        <v>0</v>
      </c>
      <c r="AC35" s="664">
        <v>0</v>
      </c>
      <c r="AD35" s="488" t="s">
        <v>132</v>
      </c>
      <c r="AE35" s="122"/>
    </row>
    <row r="36" spans="1:31" ht="24.75" customHeight="1">
      <c r="A36" s="906" t="s">
        <v>133</v>
      </c>
      <c r="B36" s="479" t="s">
        <v>116</v>
      </c>
      <c r="C36" s="490">
        <v>45976</v>
      </c>
      <c r="D36" s="481"/>
      <c r="E36" s="481"/>
      <c r="F36" s="479" t="s">
        <v>134</v>
      </c>
      <c r="G36" s="704"/>
      <c r="H36" s="483">
        <v>87</v>
      </c>
      <c r="I36" s="683" t="s">
        <v>55</v>
      </c>
      <c r="J36" s="483" t="s">
        <v>95</v>
      </c>
      <c r="K36" s="483" t="s">
        <v>118</v>
      </c>
      <c r="L36" s="481"/>
      <c r="M36" s="483" t="s">
        <v>57</v>
      </c>
      <c r="N36" s="560">
        <v>74384</v>
      </c>
      <c r="O36" s="483" t="s">
        <v>57</v>
      </c>
      <c r="P36" s="809" t="s">
        <v>58</v>
      </c>
      <c r="Q36" s="125"/>
      <c r="R36" s="1073"/>
      <c r="S36" s="570"/>
      <c r="T36" s="570"/>
      <c r="U36" s="570"/>
      <c r="V36" s="486">
        <v>6130</v>
      </c>
      <c r="W36" s="486"/>
      <c r="X36" s="486">
        <f t="shared" si="3"/>
        <v>6130</v>
      </c>
      <c r="Y36" s="684">
        <f t="shared" si="1"/>
        <v>0</v>
      </c>
      <c r="Z36" s="363"/>
      <c r="AA36" s="366">
        <v>0</v>
      </c>
      <c r="AB36" s="366">
        <v>0</v>
      </c>
      <c r="AC36" s="664">
        <v>0</v>
      </c>
      <c r="AD36" s="488" t="s">
        <v>135</v>
      </c>
      <c r="AE36" s="122"/>
    </row>
    <row r="37" spans="1:31" ht="24.75" customHeight="1">
      <c r="A37" s="906" t="s">
        <v>136</v>
      </c>
      <c r="B37" s="479" t="s">
        <v>116</v>
      </c>
      <c r="C37" s="490">
        <v>45976</v>
      </c>
      <c r="D37" s="481"/>
      <c r="E37" s="481"/>
      <c r="F37" s="479" t="s">
        <v>134</v>
      </c>
      <c r="G37" s="704"/>
      <c r="H37" s="483">
        <v>28</v>
      </c>
      <c r="I37" s="683" t="s">
        <v>55</v>
      </c>
      <c r="J37" s="483" t="s">
        <v>95</v>
      </c>
      <c r="K37" s="483" t="s">
        <v>118</v>
      </c>
      <c r="L37" s="481"/>
      <c r="M37" s="483" t="s">
        <v>57</v>
      </c>
      <c r="N37" s="560">
        <v>29683</v>
      </c>
      <c r="O37" s="483" t="s">
        <v>57</v>
      </c>
      <c r="P37" s="809" t="s">
        <v>58</v>
      </c>
      <c r="Q37" s="1070"/>
      <c r="R37" s="570"/>
      <c r="S37" s="570"/>
      <c r="T37" s="570"/>
      <c r="U37" s="570"/>
      <c r="V37" s="486">
        <v>2414</v>
      </c>
      <c r="W37" s="486"/>
      <c r="X37" s="486">
        <f t="shared" si="3"/>
        <v>2414</v>
      </c>
      <c r="Y37" s="684">
        <f t="shared" si="1"/>
        <v>0</v>
      </c>
      <c r="Z37" s="363"/>
      <c r="AA37" s="366">
        <v>0</v>
      </c>
      <c r="AB37" s="366">
        <v>0</v>
      </c>
      <c r="AC37" s="664">
        <v>0</v>
      </c>
      <c r="AD37" s="488" t="s">
        <v>137</v>
      </c>
      <c r="AE37" s="122"/>
    </row>
    <row r="38" spans="1:31" ht="24.75" customHeight="1">
      <c r="A38" s="906" t="s">
        <v>138</v>
      </c>
      <c r="B38" s="479" t="s">
        <v>116</v>
      </c>
      <c r="C38" s="490">
        <v>45976</v>
      </c>
      <c r="D38" s="481"/>
      <c r="E38" s="481"/>
      <c r="F38" s="479" t="s">
        <v>134</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139</v>
      </c>
      <c r="AE38" s="122"/>
    </row>
    <row r="39" spans="1:31" ht="24.75" customHeight="1">
      <c r="A39" s="906" t="s">
        <v>140</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7" t="s">
        <v>123</v>
      </c>
      <c r="AE39" s="122"/>
    </row>
    <row r="40" spans="1:31" ht="24.75" customHeight="1">
      <c r="A40" s="906" t="s">
        <v>141</v>
      </c>
      <c r="B40" s="479" t="s">
        <v>116</v>
      </c>
      <c r="C40" s="481">
        <v>46006</v>
      </c>
      <c r="D40" s="481"/>
      <c r="E40" s="481"/>
      <c r="F40" s="479" t="s">
        <v>142</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143</v>
      </c>
      <c r="AE40" s="122"/>
    </row>
    <row r="41" spans="1:31" ht="24.75" customHeight="1">
      <c r="A41" s="906" t="s">
        <v>144</v>
      </c>
      <c r="B41" s="479" t="s">
        <v>116</v>
      </c>
      <c r="C41" s="481">
        <v>46006</v>
      </c>
      <c r="D41" s="481"/>
      <c r="E41" s="481"/>
      <c r="F41" s="479" t="s">
        <v>142</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135</v>
      </c>
      <c r="AE41" s="122"/>
    </row>
    <row r="42" spans="1:31" ht="24.75" customHeight="1">
      <c r="A42" s="906" t="s">
        <v>145</v>
      </c>
      <c r="B42" s="479" t="s">
        <v>116</v>
      </c>
      <c r="C42" s="481">
        <v>46006</v>
      </c>
      <c r="D42" s="481"/>
      <c r="E42" s="481"/>
      <c r="F42" s="479" t="s">
        <v>142</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146</v>
      </c>
      <c r="AE42" s="122"/>
    </row>
    <row r="43" spans="1:31" ht="24.75" customHeight="1">
      <c r="A43" s="906" t="s">
        <v>147</v>
      </c>
      <c r="B43" s="479" t="s">
        <v>116</v>
      </c>
      <c r="C43" s="481">
        <v>46006</v>
      </c>
      <c r="D43" s="481"/>
      <c r="E43" s="481"/>
      <c r="F43" s="479" t="s">
        <v>142</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143</v>
      </c>
      <c r="AE43" s="122"/>
    </row>
    <row r="44" spans="1:31" ht="24.75" customHeight="1">
      <c r="A44" s="906" t="s">
        <v>148</v>
      </c>
      <c r="B44" s="479" t="s">
        <v>116</v>
      </c>
      <c r="C44" s="481">
        <v>46006</v>
      </c>
      <c r="D44" s="481"/>
      <c r="E44" s="481"/>
      <c r="F44" s="479" t="s">
        <v>142</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143</v>
      </c>
      <c r="AE44" s="122"/>
    </row>
    <row r="45" spans="1:31" ht="24.75" customHeight="1">
      <c r="A45" s="905" t="s">
        <v>149</v>
      </c>
      <c r="B45" s="479" t="s">
        <v>116</v>
      </c>
      <c r="C45" s="481">
        <v>45991</v>
      </c>
      <c r="D45" s="481" t="s">
        <v>150</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v>3246</v>
      </c>
      <c r="X45" s="486">
        <f t="shared" si="3"/>
        <v>2671</v>
      </c>
      <c r="Y45" s="684">
        <f t="shared" si="4"/>
        <v>0.54858881189792119</v>
      </c>
      <c r="Z45" s="363"/>
      <c r="AA45" s="366">
        <v>0</v>
      </c>
      <c r="AB45" s="366">
        <v>0</v>
      </c>
      <c r="AC45" s="811">
        <v>0</v>
      </c>
      <c r="AD45" s="488" t="s">
        <v>151</v>
      </c>
      <c r="AE45" s="122"/>
    </row>
    <row r="46" spans="1:31" ht="24.75" customHeight="1">
      <c r="A46" s="905" t="s">
        <v>152</v>
      </c>
      <c r="B46" s="479" t="s">
        <v>116</v>
      </c>
      <c r="C46" s="481">
        <v>45991</v>
      </c>
      <c r="D46" s="481" t="s">
        <v>150</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153</v>
      </c>
      <c r="AE46" s="122"/>
    </row>
    <row r="47" spans="1:31" ht="24.75" customHeight="1">
      <c r="A47" s="905" t="s">
        <v>154</v>
      </c>
      <c r="B47" s="479" t="s">
        <v>116</v>
      </c>
      <c r="C47" s="481">
        <v>46001</v>
      </c>
      <c r="D47" s="481" t="s">
        <v>150</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155</v>
      </c>
      <c r="AE47" s="122"/>
    </row>
    <row r="48" spans="1:31" ht="24.75" customHeight="1">
      <c r="A48" s="906" t="s">
        <v>156</v>
      </c>
      <c r="B48" s="479" t="s">
        <v>116</v>
      </c>
      <c r="C48" s="481">
        <v>45991</v>
      </c>
      <c r="D48" s="481" t="s">
        <v>150</v>
      </c>
      <c r="E48" s="481">
        <v>45966</v>
      </c>
      <c r="F48" s="479" t="s">
        <v>157</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158</v>
      </c>
      <c r="AE48" s="122"/>
    </row>
    <row r="49" spans="1:32" ht="24.75" customHeight="1">
      <c r="A49" s="906" t="s">
        <v>159</v>
      </c>
      <c r="B49" s="479" t="s">
        <v>116</v>
      </c>
      <c r="C49" s="481">
        <v>46001</v>
      </c>
      <c r="D49" s="481" t="s">
        <v>150</v>
      </c>
      <c r="E49" s="481">
        <v>45966</v>
      </c>
      <c r="F49" s="479" t="s">
        <v>157</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160</v>
      </c>
      <c r="AE49" s="122"/>
    </row>
    <row r="50" spans="1:32" ht="24.75" customHeight="1">
      <c r="A50" s="906" t="s">
        <v>161</v>
      </c>
      <c r="B50" s="479" t="s">
        <v>116</v>
      </c>
      <c r="C50" s="481">
        <v>46001</v>
      </c>
      <c r="D50" s="481" t="s">
        <v>162</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163</v>
      </c>
      <c r="AE50" s="122"/>
    </row>
    <row r="51" spans="1:32" ht="24.75" customHeight="1">
      <c r="A51" s="906" t="s">
        <v>164</v>
      </c>
      <c r="B51" s="479" t="s">
        <v>116</v>
      </c>
      <c r="C51" s="481">
        <v>46001</v>
      </c>
      <c r="D51" s="481" t="s">
        <v>162</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163</v>
      </c>
      <c r="AE51" s="122"/>
    </row>
    <row r="52" spans="1:32" ht="24.75" customHeight="1">
      <c r="A52" s="906" t="s">
        <v>165</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166</v>
      </c>
      <c r="AE52" s="122"/>
    </row>
    <row r="53" spans="1:32" ht="24.75" customHeight="1">
      <c r="A53" s="905" t="s">
        <v>167</v>
      </c>
      <c r="B53" s="479" t="s">
        <v>116</v>
      </c>
      <c r="C53" s="481">
        <v>45991</v>
      </c>
      <c r="D53" s="481" t="s">
        <v>150</v>
      </c>
      <c r="E53" s="481">
        <v>45936</v>
      </c>
      <c r="F53" s="479" t="s">
        <v>117</v>
      </c>
      <c r="G53" s="704"/>
      <c r="H53" s="483">
        <v>0</v>
      </c>
      <c r="I53" s="683" t="s">
        <v>55</v>
      </c>
      <c r="J53" s="483" t="s">
        <v>63</v>
      </c>
      <c r="K53" s="483" t="s">
        <v>118</v>
      </c>
      <c r="L53" s="481" t="s">
        <v>168</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169</v>
      </c>
      <c r="AE53" s="122"/>
    </row>
    <row r="54" spans="1:32" ht="24.75" customHeight="1">
      <c r="A54" s="906" t="s">
        <v>170</v>
      </c>
      <c r="B54" s="479" t="s">
        <v>116</v>
      </c>
      <c r="C54" s="490">
        <v>46010</v>
      </c>
      <c r="D54" s="481"/>
      <c r="E54" s="481"/>
      <c r="F54" s="661" t="s">
        <v>134</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139</v>
      </c>
    </row>
    <row r="55" spans="1:32" ht="24.75" customHeight="1">
      <c r="A55" s="906" t="s">
        <v>171</v>
      </c>
      <c r="B55" s="479" t="s">
        <v>116</v>
      </c>
      <c r="C55" s="481">
        <v>46021</v>
      </c>
      <c r="D55" s="481"/>
      <c r="E55" s="481"/>
      <c r="F55" s="661" t="s">
        <v>134</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172</v>
      </c>
    </row>
    <row r="56" spans="1:32" ht="24.75" customHeight="1">
      <c r="A56" s="906" t="s">
        <v>173</v>
      </c>
      <c r="B56" s="479" t="s">
        <v>116</v>
      </c>
      <c r="C56" s="481">
        <v>46031</v>
      </c>
      <c r="D56" s="481"/>
      <c r="E56" s="481"/>
      <c r="F56" s="661" t="s">
        <v>134</v>
      </c>
      <c r="G56" s="704" t="s">
        <v>174</v>
      </c>
      <c r="H56" s="483">
        <v>0</v>
      </c>
      <c r="I56" s="483" t="s">
        <v>55</v>
      </c>
      <c r="J56" s="483" t="s">
        <v>95</v>
      </c>
      <c r="K56" s="483" t="s">
        <v>118</v>
      </c>
      <c r="L56" s="479" t="s">
        <v>168</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175</v>
      </c>
    </row>
    <row r="57" spans="1:32" ht="24.75" customHeight="1">
      <c r="A57" s="905" t="s">
        <v>176</v>
      </c>
      <c r="B57" s="479" t="s">
        <v>116</v>
      </c>
      <c r="C57" s="481">
        <v>45975</v>
      </c>
      <c r="D57" s="481" t="s">
        <v>162</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177</v>
      </c>
    </row>
    <row r="58" spans="1:32" ht="24.75" customHeight="1">
      <c r="A58" s="906" t="s">
        <v>178</v>
      </c>
      <c r="B58" s="479" t="s">
        <v>116</v>
      </c>
      <c r="C58" s="481">
        <v>45687</v>
      </c>
      <c r="D58" s="481"/>
      <c r="E58" s="481"/>
      <c r="F58" s="479" t="s">
        <v>142</v>
      </c>
      <c r="G58" s="482"/>
      <c r="H58" s="483">
        <v>0</v>
      </c>
      <c r="I58" s="483" t="s">
        <v>55</v>
      </c>
      <c r="J58" s="483" t="s">
        <v>95</v>
      </c>
      <c r="K58" s="483" t="s">
        <v>118</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179</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180</v>
      </c>
    </row>
    <row r="60" spans="1:32" ht="24.75" customHeight="1">
      <c r="A60" s="905" t="s">
        <v>181</v>
      </c>
      <c r="B60" s="479" t="s">
        <v>116</v>
      </c>
      <c r="C60" s="481"/>
      <c r="D60" s="481" t="s">
        <v>182</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183</v>
      </c>
    </row>
    <row r="61" spans="1:32" ht="24.75" customHeight="1">
      <c r="A61" s="906" t="s">
        <v>184</v>
      </c>
      <c r="B61" s="479" t="s">
        <v>116</v>
      </c>
      <c r="C61" s="490">
        <v>46021</v>
      </c>
      <c r="D61" s="481"/>
      <c r="E61" s="481"/>
      <c r="F61" s="479" t="s">
        <v>117</v>
      </c>
      <c r="G61" s="704" t="s">
        <v>185</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186</v>
      </c>
    </row>
    <row r="62" spans="1:32" ht="24.75" customHeight="1">
      <c r="A62" s="906" t="s">
        <v>187</v>
      </c>
      <c r="B62" s="479" t="s">
        <v>116</v>
      </c>
      <c r="C62" s="490">
        <v>46052</v>
      </c>
      <c r="D62" s="481"/>
      <c r="E62" s="481">
        <v>45866</v>
      </c>
      <c r="F62" s="479" t="s">
        <v>117</v>
      </c>
      <c r="G62" s="704" t="s">
        <v>188</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189</v>
      </c>
    </row>
    <row r="63" spans="1:32" ht="24.75" customHeight="1">
      <c r="A63" s="906" t="s">
        <v>190</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191</v>
      </c>
      <c r="AF63" s="400"/>
    </row>
    <row r="64" spans="1:32" ht="24.75" customHeight="1">
      <c r="A64" s="906" t="s">
        <v>192</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193</v>
      </c>
      <c r="AF64" s="400"/>
    </row>
    <row r="65" spans="1:32" ht="24.75" customHeight="1">
      <c r="A65" s="905" t="s">
        <v>194</v>
      </c>
      <c r="B65" s="479" t="s">
        <v>116</v>
      </c>
      <c r="C65" s="490">
        <v>46012</v>
      </c>
      <c r="D65" s="481"/>
      <c r="E65" s="481"/>
      <c r="F65" s="479" t="s">
        <v>195</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196</v>
      </c>
      <c r="AF65" s="400"/>
    </row>
    <row r="66" spans="1:32" ht="24.75" customHeight="1">
      <c r="A66" s="905" t="s">
        <v>197</v>
      </c>
      <c r="B66" s="479" t="s">
        <v>116</v>
      </c>
      <c r="C66" s="490">
        <v>46052</v>
      </c>
      <c r="D66" s="479" t="s">
        <v>51</v>
      </c>
      <c r="E66" s="481"/>
      <c r="F66" s="479" t="s">
        <v>53</v>
      </c>
      <c r="G66" s="704"/>
      <c r="H66" s="483">
        <v>0</v>
      </c>
      <c r="I66" s="683" t="s">
        <v>55</v>
      </c>
      <c r="J66" s="483" t="s">
        <v>56</v>
      </c>
      <c r="K66" s="483"/>
      <c r="L66" s="481" t="s">
        <v>168</v>
      </c>
      <c r="M66" s="483" t="s">
        <v>57</v>
      </c>
      <c r="N66" s="560">
        <v>388</v>
      </c>
      <c r="O66" s="483" t="s">
        <v>57</v>
      </c>
      <c r="P66" s="809" t="s">
        <v>58</v>
      </c>
      <c r="Q66" s="358" t="s">
        <v>168</v>
      </c>
      <c r="R66" s="674"/>
      <c r="S66" s="485"/>
      <c r="T66" s="485"/>
      <c r="U66" s="485"/>
      <c r="V66" s="430">
        <v>0</v>
      </c>
      <c r="W66" s="430"/>
      <c r="X66" s="486">
        <f t="shared" si="3"/>
        <v>0</v>
      </c>
      <c r="Y66" s="684">
        <f t="shared" si="4"/>
        <v>0</v>
      </c>
      <c r="Z66" s="204"/>
      <c r="AA66" s="366">
        <v>0</v>
      </c>
      <c r="AB66" s="366">
        <v>0</v>
      </c>
      <c r="AC66" s="486">
        <v>0</v>
      </c>
      <c r="AD66" s="173" t="s">
        <v>198</v>
      </c>
      <c r="AF66" s="400"/>
    </row>
    <row r="67" spans="1:32" ht="24.75" customHeight="1">
      <c r="A67" s="906" t="s">
        <v>199</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200</v>
      </c>
      <c r="AE67" s="172"/>
      <c r="AF67" s="400"/>
    </row>
    <row r="68" spans="1:32" ht="24.75" customHeight="1">
      <c r="A68" s="906" t="s">
        <v>201</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202</v>
      </c>
      <c r="AE68" s="172"/>
      <c r="AF68" s="400"/>
    </row>
    <row r="69" spans="1:32" ht="24.75" customHeight="1">
      <c r="A69" s="905" t="s">
        <v>203</v>
      </c>
      <c r="B69" s="703" t="s">
        <v>116</v>
      </c>
      <c r="C69" s="490">
        <v>46004</v>
      </c>
      <c r="D69" s="481" t="s">
        <v>204</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205</v>
      </c>
      <c r="AE69" s="172"/>
      <c r="AF69" s="400"/>
    </row>
    <row r="70" spans="1:32" ht="24.75" customHeight="1">
      <c r="A70" s="906" t="s">
        <v>206</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207</v>
      </c>
      <c r="AE70" s="172"/>
      <c r="AF70" s="400"/>
    </row>
    <row r="71" spans="1:32" ht="24.75" customHeight="1">
      <c r="A71" s="905" t="s">
        <v>208</v>
      </c>
      <c r="B71" s="479" t="s">
        <v>116</v>
      </c>
      <c r="C71" s="481">
        <v>45989</v>
      </c>
      <c r="D71" s="481" t="s">
        <v>209</v>
      </c>
      <c r="E71" s="481">
        <v>45958</v>
      </c>
      <c r="F71" s="479" t="s">
        <v>142</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v>4991</v>
      </c>
      <c r="X71" s="486">
        <f t="shared" si="3"/>
        <v>11299</v>
      </c>
      <c r="Y71" s="684">
        <f t="shared" ref="Y71:Y114" si="5">IFERROR($W71/$V71, 0)</f>
        <v>0.3063842848373235</v>
      </c>
      <c r="Z71" s="363"/>
      <c r="AA71" s="366">
        <v>0</v>
      </c>
      <c r="AB71" s="366">
        <v>0</v>
      </c>
      <c r="AC71" s="486">
        <v>0</v>
      </c>
      <c r="AD71" s="780" t="s">
        <v>210</v>
      </c>
      <c r="AE71" s="172"/>
      <c r="AF71" s="400"/>
    </row>
    <row r="72" spans="1:32" ht="24.75" customHeight="1">
      <c r="A72" s="479"/>
      <c r="B72" s="1040"/>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211</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212</v>
      </c>
      <c r="B75" s="860" t="s">
        <v>213</v>
      </c>
      <c r="C75" s="481">
        <v>45991</v>
      </c>
      <c r="D75" s="481" t="s">
        <v>71</v>
      </c>
      <c r="E75" s="481">
        <v>45966</v>
      </c>
      <c r="F75" s="481" t="s">
        <v>214</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215</v>
      </c>
      <c r="AE75" s="172"/>
      <c r="AF75" s="400"/>
    </row>
    <row r="76" spans="1:32" ht="24.75" customHeight="1">
      <c r="A76" s="905" t="s">
        <v>216</v>
      </c>
      <c r="B76" s="860" t="s">
        <v>213</v>
      </c>
      <c r="C76" s="481">
        <v>45976</v>
      </c>
      <c r="D76" s="481" t="s">
        <v>71</v>
      </c>
      <c r="E76" s="481">
        <v>45966</v>
      </c>
      <c r="F76" s="481" t="s">
        <v>214</v>
      </c>
      <c r="G76" s="704" t="s">
        <v>217</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218</v>
      </c>
      <c r="AE76" s="172"/>
      <c r="AF76" s="400"/>
    </row>
    <row r="77" spans="1:32" ht="24.75" customHeight="1">
      <c r="A77" s="905" t="s">
        <v>219</v>
      </c>
      <c r="B77" s="860" t="s">
        <v>213</v>
      </c>
      <c r="C77" s="481">
        <v>45999</v>
      </c>
      <c r="D77" s="489" t="s">
        <v>71</v>
      </c>
      <c r="E77" s="490">
        <v>45975</v>
      </c>
      <c r="F77" s="489" t="s">
        <v>214</v>
      </c>
      <c r="G77" s="491" t="s">
        <v>220</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221</v>
      </c>
      <c r="AE77" s="172"/>
      <c r="AF77" s="400"/>
    </row>
    <row r="78" spans="1:32" ht="24.75" customHeight="1">
      <c r="A78" s="905" t="s">
        <v>222</v>
      </c>
      <c r="B78" s="860" t="s">
        <v>213</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223</v>
      </c>
      <c r="AE78" s="172"/>
      <c r="AF78" s="400"/>
    </row>
    <row r="79" spans="1:32" ht="24.75" customHeight="1">
      <c r="A79" s="905" t="s">
        <v>224</v>
      </c>
      <c r="B79" s="860" t="s">
        <v>213</v>
      </c>
      <c r="C79" s="481">
        <v>46021</v>
      </c>
      <c r="D79" s="481" t="s">
        <v>225</v>
      </c>
      <c r="E79" s="481">
        <v>45980</v>
      </c>
      <c r="F79" s="481" t="s">
        <v>226</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227</v>
      </c>
      <c r="B80" s="860" t="s">
        <v>213</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228</v>
      </c>
      <c r="AE80" s="172"/>
    </row>
    <row r="81" spans="1:56" ht="24.75" customHeight="1">
      <c r="A81" s="905" t="s">
        <v>229</v>
      </c>
      <c r="B81" s="860" t="s">
        <v>213</v>
      </c>
      <c r="C81" s="481">
        <v>45989</v>
      </c>
      <c r="D81" s="490" t="s">
        <v>71</v>
      </c>
      <c r="E81" s="490">
        <v>45959</v>
      </c>
      <c r="F81" s="489" t="s">
        <v>214</v>
      </c>
      <c r="G81" s="856" t="s">
        <v>230</v>
      </c>
      <c r="H81" s="861">
        <v>69</v>
      </c>
      <c r="I81" s="483" t="s">
        <v>55</v>
      </c>
      <c r="J81" s="483" t="s">
        <v>63</v>
      </c>
      <c r="K81" s="483"/>
      <c r="L81" s="490">
        <v>45925</v>
      </c>
      <c r="M81" s="857" t="s">
        <v>57</v>
      </c>
      <c r="N81" s="862">
        <v>51632</v>
      </c>
      <c r="O81" s="857" t="s">
        <v>57</v>
      </c>
      <c r="P81" s="806" t="s">
        <v>64</v>
      </c>
      <c r="Q81" s="493">
        <v>45932</v>
      </c>
      <c r="R81" s="493"/>
      <c r="S81" s="493"/>
      <c r="T81" s="493"/>
      <c r="U81" s="493"/>
      <c r="V81" s="1046">
        <v>3997</v>
      </c>
      <c r="W81" s="430">
        <v>3317</v>
      </c>
      <c r="X81" s="486">
        <f t="shared" si="6"/>
        <v>680</v>
      </c>
      <c r="Y81" s="684">
        <f t="shared" si="5"/>
        <v>0.8298724043032274</v>
      </c>
      <c r="Z81" s="493">
        <v>45960</v>
      </c>
      <c r="AA81" s="366">
        <v>0</v>
      </c>
      <c r="AB81" s="366">
        <v>0</v>
      </c>
      <c r="AC81" s="664">
        <v>0</v>
      </c>
      <c r="AD81" s="488" t="s">
        <v>231</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232</v>
      </c>
      <c r="B82" s="860" t="s">
        <v>213</v>
      </c>
      <c r="C82" s="481">
        <v>45989</v>
      </c>
      <c r="D82" s="490" t="s">
        <v>225</v>
      </c>
      <c r="E82" s="490">
        <v>45964</v>
      </c>
      <c r="F82" s="489" t="s">
        <v>226</v>
      </c>
      <c r="G82" s="856"/>
      <c r="H82" s="861">
        <v>74</v>
      </c>
      <c r="I82" s="483" t="s">
        <v>55</v>
      </c>
      <c r="J82" s="483" t="s">
        <v>63</v>
      </c>
      <c r="K82" s="483"/>
      <c r="L82" s="490"/>
      <c r="M82" s="857" t="s">
        <v>57</v>
      </c>
      <c r="N82" s="862">
        <v>47064</v>
      </c>
      <c r="O82" s="857" t="s">
        <v>57</v>
      </c>
      <c r="P82" s="806" t="s">
        <v>64</v>
      </c>
      <c r="Q82" s="493">
        <v>45932</v>
      </c>
      <c r="R82" s="493"/>
      <c r="S82" s="493"/>
      <c r="T82" s="493"/>
      <c r="U82" s="493"/>
      <c r="V82" s="1046">
        <v>4366</v>
      </c>
      <c r="W82" s="430">
        <v>3475</v>
      </c>
      <c r="X82" s="486">
        <f t="shared" si="6"/>
        <v>891</v>
      </c>
      <c r="Y82" s="684">
        <f t="shared" si="5"/>
        <v>0.79592304168575356</v>
      </c>
      <c r="Z82" s="493">
        <v>45971</v>
      </c>
      <c r="AA82" s="366">
        <v>0</v>
      </c>
      <c r="AB82" s="366">
        <v>0</v>
      </c>
      <c r="AC82" s="664">
        <v>0</v>
      </c>
      <c r="AD82" s="488" t="s">
        <v>231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233</v>
      </c>
      <c r="B83" s="860" t="s">
        <v>213</v>
      </c>
      <c r="C83" s="481">
        <v>45989</v>
      </c>
      <c r="D83" s="490" t="s">
        <v>234</v>
      </c>
      <c r="E83" s="490">
        <v>45964</v>
      </c>
      <c r="F83" s="489" t="s">
        <v>235</v>
      </c>
      <c r="G83" s="856"/>
      <c r="H83" s="861">
        <v>81</v>
      </c>
      <c r="I83" s="483" t="s">
        <v>55</v>
      </c>
      <c r="J83" s="483" t="s">
        <v>63</v>
      </c>
      <c r="K83" s="483"/>
      <c r="L83" s="490"/>
      <c r="M83" s="857" t="s">
        <v>57</v>
      </c>
      <c r="N83" s="862">
        <v>68962</v>
      </c>
      <c r="O83" s="857" t="s">
        <v>57</v>
      </c>
      <c r="P83" s="806" t="s">
        <v>68</v>
      </c>
      <c r="Q83" s="493">
        <v>45932</v>
      </c>
      <c r="R83" s="493"/>
      <c r="S83" s="493"/>
      <c r="T83" s="493"/>
      <c r="U83" s="493"/>
      <c r="V83" s="1046">
        <v>5333</v>
      </c>
      <c r="W83" s="430"/>
      <c r="X83" s="486">
        <f t="shared" si="6"/>
        <v>5333</v>
      </c>
      <c r="Y83" s="684">
        <f t="shared" si="5"/>
        <v>0</v>
      </c>
      <c r="Z83" s="363"/>
      <c r="AA83" s="366">
        <v>0</v>
      </c>
      <c r="AB83" s="366">
        <v>0</v>
      </c>
      <c r="AC83" s="664">
        <v>0</v>
      </c>
      <c r="AD83" s="488" t="s">
        <v>231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236</v>
      </c>
      <c r="B84" s="860" t="s">
        <v>213</v>
      </c>
      <c r="C84" s="481">
        <v>45989</v>
      </c>
      <c r="D84" s="490" t="s">
        <v>225</v>
      </c>
      <c r="E84" s="490">
        <v>45975</v>
      </c>
      <c r="F84" s="489" t="s">
        <v>226</v>
      </c>
      <c r="G84" s="856"/>
      <c r="H84" s="861">
        <v>48</v>
      </c>
      <c r="I84" s="483" t="s">
        <v>55</v>
      </c>
      <c r="J84" s="483" t="s">
        <v>63</v>
      </c>
      <c r="K84" s="483"/>
      <c r="L84" s="490"/>
      <c r="M84" s="857" t="s">
        <v>57</v>
      </c>
      <c r="N84" s="862">
        <v>39064</v>
      </c>
      <c r="O84" s="857" t="s">
        <v>57</v>
      </c>
      <c r="P84" s="806" t="s">
        <v>68</v>
      </c>
      <c r="Q84" s="493">
        <v>45932</v>
      </c>
      <c r="R84" s="493"/>
      <c r="S84" s="493"/>
      <c r="T84" s="493"/>
      <c r="U84" s="493"/>
      <c r="V84" s="1046">
        <v>2982</v>
      </c>
      <c r="W84" s="430"/>
      <c r="X84" s="486">
        <f t="shared" si="6"/>
        <v>2982</v>
      </c>
      <c r="Y84" s="684">
        <f t="shared" si="5"/>
        <v>0</v>
      </c>
      <c r="Z84" s="363"/>
      <c r="AA84" s="366">
        <v>0</v>
      </c>
      <c r="AB84" s="366">
        <v>0</v>
      </c>
      <c r="AC84" s="664">
        <v>0</v>
      </c>
      <c r="AD84" s="488" t="s">
        <v>237</v>
      </c>
      <c r="AE84" s="101"/>
    </row>
    <row r="85" spans="1:56" ht="24.75" customHeight="1">
      <c r="A85" s="906" t="s">
        <v>238</v>
      </c>
      <c r="B85" s="860" t="s">
        <v>213</v>
      </c>
      <c r="C85" s="481">
        <v>46172</v>
      </c>
      <c r="D85" s="490"/>
      <c r="E85" s="490"/>
      <c r="F85" s="489"/>
      <c r="G85" s="986"/>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239</v>
      </c>
      <c r="AE85" s="101"/>
    </row>
    <row r="86" spans="1:56" ht="24.75" customHeight="1">
      <c r="A86" s="906" t="s">
        <v>240</v>
      </c>
      <c r="B86" s="860" t="s">
        <v>213</v>
      </c>
      <c r="C86" s="481">
        <v>46172</v>
      </c>
      <c r="D86" s="490"/>
      <c r="E86" s="490"/>
      <c r="F86" s="489"/>
      <c r="G86" s="986"/>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241</v>
      </c>
      <c r="AE86" s="101"/>
    </row>
    <row r="87" spans="1:56" ht="24.75" customHeight="1">
      <c r="A87" s="906" t="s">
        <v>242</v>
      </c>
      <c r="B87" s="860" t="s">
        <v>213</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6">
        <v>6762</v>
      </c>
      <c r="W87" s="430"/>
      <c r="X87" s="486">
        <f t="shared" si="6"/>
        <v>6762</v>
      </c>
      <c r="Y87" s="684">
        <f t="shared" si="5"/>
        <v>0</v>
      </c>
      <c r="Z87" s="363"/>
      <c r="AA87" s="366">
        <v>0</v>
      </c>
      <c r="AB87" s="366">
        <v>0</v>
      </c>
      <c r="AC87" s="664">
        <v>0</v>
      </c>
      <c r="AD87" s="488" t="s">
        <v>243</v>
      </c>
      <c r="AE87" s="101"/>
    </row>
    <row r="88" spans="1:56" ht="24.75" customHeight="1">
      <c r="A88" s="906" t="s">
        <v>244</v>
      </c>
      <c r="B88" s="860" t="s">
        <v>213</v>
      </c>
      <c r="C88" s="481">
        <v>46172</v>
      </c>
      <c r="D88" s="490"/>
      <c r="E88" s="490"/>
      <c r="F88" s="489"/>
      <c r="G88" s="986"/>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245</v>
      </c>
      <c r="AE88" s="101"/>
    </row>
    <row r="89" spans="1:56" ht="24.75" customHeight="1">
      <c r="A89" s="906" t="s">
        <v>246</v>
      </c>
      <c r="B89" s="860" t="s">
        <v>213</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6">
        <v>4515</v>
      </c>
      <c r="W89" s="430"/>
      <c r="X89" s="486">
        <f t="shared" si="6"/>
        <v>4515</v>
      </c>
      <c r="Y89" s="684">
        <f t="shared" si="5"/>
        <v>0</v>
      </c>
      <c r="Z89" s="363"/>
      <c r="AA89" s="366">
        <v>0</v>
      </c>
      <c r="AB89" s="366">
        <v>0</v>
      </c>
      <c r="AC89" s="664">
        <v>0</v>
      </c>
      <c r="AD89" s="488" t="s">
        <v>247</v>
      </c>
      <c r="AE89" s="101"/>
    </row>
    <row r="90" spans="1:56" ht="24.75" customHeight="1">
      <c r="A90" s="906" t="s">
        <v>248</v>
      </c>
      <c r="B90" s="860" t="s">
        <v>213</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6">
        <v>5795</v>
      </c>
      <c r="W90" s="430"/>
      <c r="X90" s="486">
        <f t="shared" si="6"/>
        <v>5795</v>
      </c>
      <c r="Y90" s="684">
        <f t="shared" si="5"/>
        <v>0</v>
      </c>
      <c r="Z90" s="363"/>
      <c r="AA90" s="366">
        <v>0</v>
      </c>
      <c r="AB90" s="366">
        <v>0</v>
      </c>
      <c r="AC90" s="664">
        <v>0</v>
      </c>
      <c r="AD90" s="488" t="s">
        <v>247</v>
      </c>
      <c r="AE90" s="101"/>
    </row>
    <row r="91" spans="1:56" ht="24.75" customHeight="1">
      <c r="A91" s="906" t="s">
        <v>249</v>
      </c>
      <c r="B91" s="860" t="s">
        <v>213</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6">
        <v>7140</v>
      </c>
      <c r="W91" s="430"/>
      <c r="X91" s="486">
        <f t="shared" si="6"/>
        <v>7140</v>
      </c>
      <c r="Y91" s="684">
        <f t="shared" si="5"/>
        <v>0</v>
      </c>
      <c r="Z91" s="363"/>
      <c r="AA91" s="366">
        <v>0</v>
      </c>
      <c r="AB91" s="366">
        <v>0</v>
      </c>
      <c r="AC91" s="664">
        <v>0</v>
      </c>
      <c r="AD91" s="488" t="s">
        <v>247</v>
      </c>
      <c r="AE91" s="101"/>
    </row>
    <row r="92" spans="1:56" ht="24.75" customHeight="1">
      <c r="A92" s="906" t="s">
        <v>250</v>
      </c>
      <c r="B92" s="860" t="s">
        <v>213</v>
      </c>
      <c r="C92" s="481">
        <v>46172</v>
      </c>
      <c r="D92" s="490"/>
      <c r="E92" s="490"/>
      <c r="F92" s="489"/>
      <c r="G92" s="986"/>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241</v>
      </c>
      <c r="AE92" s="101"/>
    </row>
    <row r="93" spans="1:56" ht="24.75" customHeight="1">
      <c r="A93" s="906" t="s">
        <v>251</v>
      </c>
      <c r="B93" s="860" t="s">
        <v>213</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7">
        <v>881</v>
      </c>
      <c r="W93" s="486"/>
      <c r="X93" s="486">
        <f t="shared" si="6"/>
        <v>881</v>
      </c>
      <c r="Y93" s="684">
        <f t="shared" si="5"/>
        <v>0</v>
      </c>
      <c r="Z93" s="363"/>
      <c r="AA93" s="366">
        <v>0</v>
      </c>
      <c r="AB93" s="366">
        <v>0</v>
      </c>
      <c r="AC93" s="664">
        <v>0</v>
      </c>
      <c r="AD93" s="488" t="s">
        <v>252</v>
      </c>
      <c r="AE93" s="101"/>
    </row>
    <row r="94" spans="1:56" ht="24.75" customHeight="1">
      <c r="A94" s="905" t="s">
        <v>253</v>
      </c>
      <c r="B94" s="860" t="s">
        <v>213</v>
      </c>
      <c r="C94" s="481">
        <v>46111</v>
      </c>
      <c r="D94" s="490"/>
      <c r="E94" s="490"/>
      <c r="F94" s="489"/>
      <c r="G94" s="986"/>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6" t="s">
        <v>254</v>
      </c>
      <c r="AE94" s="101"/>
    </row>
    <row r="95" spans="1:56" ht="24.75" customHeight="1">
      <c r="A95" s="905" t="s">
        <v>255</v>
      </c>
      <c r="B95" s="860" t="s">
        <v>213</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256</v>
      </c>
      <c r="AE95" s="101"/>
    </row>
    <row r="96" spans="1:56" ht="24.75" customHeight="1">
      <c r="A96" s="905" t="s">
        <v>257</v>
      </c>
      <c r="B96" s="860" t="s">
        <v>213</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258</v>
      </c>
      <c r="AE96" s="101"/>
    </row>
    <row r="97" spans="1:31" ht="24.75" customHeight="1">
      <c r="A97" s="905" t="s">
        <v>259</v>
      </c>
      <c r="B97" s="860" t="s">
        <v>213</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260</v>
      </c>
      <c r="AE97" s="101"/>
    </row>
    <row r="98" spans="1:31" ht="24.75" customHeight="1">
      <c r="A98" s="905" t="s">
        <v>261</v>
      </c>
      <c r="B98" s="860" t="s">
        <v>213</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262</v>
      </c>
      <c r="AE98" s="101"/>
    </row>
    <row r="99" spans="1:31" ht="24.75" customHeight="1">
      <c r="A99" s="905" t="s">
        <v>263</v>
      </c>
      <c r="B99" s="860" t="s">
        <v>213</v>
      </c>
      <c r="C99" s="481">
        <v>45960</v>
      </c>
      <c r="D99" s="489" t="s">
        <v>71</v>
      </c>
      <c r="E99" s="490">
        <v>45867</v>
      </c>
      <c r="F99" s="489" t="s">
        <v>214</v>
      </c>
      <c r="G99" s="852" t="s">
        <v>264</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265</v>
      </c>
      <c r="B100" s="860" t="s">
        <v>213</v>
      </c>
      <c r="C100" s="481">
        <v>45960</v>
      </c>
      <c r="D100" s="489" t="s">
        <v>234</v>
      </c>
      <c r="E100" s="490">
        <v>45923</v>
      </c>
      <c r="F100" s="489" t="s">
        <v>235</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266</v>
      </c>
      <c r="AE100" s="101"/>
    </row>
    <row r="101" spans="1:31" ht="24.75" customHeight="1">
      <c r="A101" s="905" t="s">
        <v>267</v>
      </c>
      <c r="B101" s="860" t="s">
        <v>213</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268</v>
      </c>
      <c r="B102" s="860" t="s">
        <v>213</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239</v>
      </c>
      <c r="AE102" s="101"/>
    </row>
    <row r="103" spans="1:31" ht="24.75" customHeight="1">
      <c r="A103" s="905" t="s">
        <v>269</v>
      </c>
      <c r="B103" s="508" t="s">
        <v>270</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271</v>
      </c>
      <c r="AE103" s="101"/>
    </row>
    <row r="104" spans="1:31" ht="24.75" customHeight="1">
      <c r="A104" s="906" t="s">
        <v>272</v>
      </c>
      <c r="B104" s="508" t="s">
        <v>270</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273</v>
      </c>
      <c r="B105" s="508" t="s">
        <v>270</v>
      </c>
      <c r="C105" s="481">
        <v>46053</v>
      </c>
      <c r="D105" s="489" t="s">
        <v>234</v>
      </c>
      <c r="E105" s="490">
        <v>45975</v>
      </c>
      <c r="F105" s="489" t="s">
        <v>226</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274</v>
      </c>
      <c r="AE105" s="101"/>
    </row>
    <row r="106" spans="1:31" ht="24.75" customHeight="1">
      <c r="A106" s="905" t="s">
        <v>275</v>
      </c>
      <c r="B106" s="508" t="s">
        <v>270</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276</v>
      </c>
      <c r="AE106" s="101"/>
    </row>
    <row r="107" spans="1:31" ht="24.75" customHeight="1">
      <c r="A107" s="905" t="s">
        <v>277</v>
      </c>
      <c r="B107" s="508" t="s">
        <v>270</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278</v>
      </c>
      <c r="AE107" s="101"/>
    </row>
    <row r="108" spans="1:31" ht="24.75" customHeight="1">
      <c r="A108" s="905" t="s">
        <v>279</v>
      </c>
      <c r="B108" s="508" t="s">
        <v>270</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278</v>
      </c>
      <c r="AE108" s="101"/>
    </row>
    <row r="109" spans="1:31" ht="24.75" customHeight="1">
      <c r="A109" s="905" t="s">
        <v>280</v>
      </c>
      <c r="B109" s="508" t="s">
        <v>270</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271</v>
      </c>
      <c r="AE109" s="101"/>
    </row>
    <row r="110" spans="1:31" ht="24.75" customHeight="1">
      <c r="A110" s="906" t="s">
        <v>281</v>
      </c>
      <c r="B110" s="508" t="s">
        <v>270</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282</v>
      </c>
      <c r="B111" s="508" t="s">
        <v>270</v>
      </c>
      <c r="C111" s="481">
        <v>46053</v>
      </c>
      <c r="D111" s="489" t="s">
        <v>234</v>
      </c>
      <c r="E111" s="490">
        <v>45974</v>
      </c>
      <c r="F111" s="489" t="s">
        <v>226</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271</v>
      </c>
      <c r="AE111" s="101"/>
    </row>
    <row r="112" spans="1:31" ht="24.75" customHeight="1">
      <c r="A112" s="905" t="s">
        <v>283</v>
      </c>
      <c r="B112" s="508" t="s">
        <v>270</v>
      </c>
      <c r="C112" s="481">
        <v>46053</v>
      </c>
      <c r="D112" s="489" t="s">
        <v>234</v>
      </c>
      <c r="E112" s="490">
        <v>45980</v>
      </c>
      <c r="F112" s="489" t="s">
        <v>226</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271</v>
      </c>
      <c r="AE112" s="101"/>
    </row>
    <row r="113" spans="1:31" ht="24.75" customHeight="1">
      <c r="A113" s="905" t="s">
        <v>284</v>
      </c>
      <c r="B113" s="508" t="s">
        <v>270</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271</v>
      </c>
      <c r="AE113" s="101"/>
    </row>
    <row r="114" spans="1:31" ht="24.75" customHeight="1">
      <c r="A114" s="1053" t="s">
        <v>285</v>
      </c>
      <c r="B114" s="1048" t="s">
        <v>270</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271</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286</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287</v>
      </c>
      <c r="B118" s="464" t="s">
        <v>288</v>
      </c>
      <c r="C118" s="386">
        <v>46045</v>
      </c>
      <c r="D118" s="1032" t="s">
        <v>150</v>
      </c>
      <c r="E118" s="386">
        <v>45959</v>
      </c>
      <c r="F118" s="385" t="s">
        <v>289</v>
      </c>
      <c r="G118" s="656"/>
      <c r="H118" s="1148"/>
      <c r="I118" s="953"/>
      <c r="J118" s="1079"/>
      <c r="K118" s="1080"/>
      <c r="L118" s="386">
        <v>45964</v>
      </c>
      <c r="M118" s="1079"/>
      <c r="N118" s="1149"/>
      <c r="O118" s="1078"/>
      <c r="P118" s="1151" t="s">
        <v>290</v>
      </c>
      <c r="Q118" s="125">
        <v>45964</v>
      </c>
      <c r="R118" s="672"/>
      <c r="S118" s="672"/>
      <c r="T118" s="672"/>
      <c r="U118" s="672"/>
      <c r="V118" s="1082">
        <v>7522</v>
      </c>
      <c r="W118" s="1083">
        <v>7522</v>
      </c>
      <c r="X118" s="1082">
        <f t="shared" ref="X118:X120" si="7">SUM(V118-W118)</f>
        <v>0</v>
      </c>
      <c r="Y118" s="903">
        <f t="shared" ref="Y118:Y120" si="8">IFERROR($W118/$V118, 0)</f>
        <v>1</v>
      </c>
      <c r="Z118" s="125">
        <v>45964</v>
      </c>
      <c r="AA118" s="619">
        <v>0</v>
      </c>
      <c r="AB118" s="619">
        <v>0</v>
      </c>
      <c r="AC118" s="1038">
        <v>0</v>
      </c>
      <c r="AD118" s="450" t="s">
        <v>291</v>
      </c>
      <c r="AE118" s="400"/>
    </row>
    <row r="119" spans="1:31" ht="24.75" customHeight="1">
      <c r="A119" s="1077" t="s">
        <v>292</v>
      </c>
      <c r="B119" s="464" t="s">
        <v>288</v>
      </c>
      <c r="C119" s="386">
        <v>46045</v>
      </c>
      <c r="D119" s="1032" t="s">
        <v>150</v>
      </c>
      <c r="E119" s="386">
        <v>45959</v>
      </c>
      <c r="F119" s="385" t="s">
        <v>289</v>
      </c>
      <c r="G119" s="656"/>
      <c r="H119" s="1148"/>
      <c r="I119" s="953"/>
      <c r="J119" s="1079"/>
      <c r="K119" s="1080"/>
      <c r="L119" s="386">
        <v>45964</v>
      </c>
      <c r="M119" s="1079"/>
      <c r="N119" s="1149"/>
      <c r="O119" s="1078"/>
      <c r="P119" s="365" t="s">
        <v>64</v>
      </c>
      <c r="Q119" s="125">
        <v>45964</v>
      </c>
      <c r="R119" s="672"/>
      <c r="S119" s="672"/>
      <c r="T119" s="672"/>
      <c r="U119" s="672"/>
      <c r="V119" s="1082">
        <v>8523</v>
      </c>
      <c r="W119" s="107">
        <v>5358</v>
      </c>
      <c r="X119" s="1082">
        <f t="shared" si="7"/>
        <v>3165</v>
      </c>
      <c r="Y119" s="903">
        <f t="shared" si="8"/>
        <v>0.62865188313973952</v>
      </c>
      <c r="Z119" s="125">
        <v>45966</v>
      </c>
      <c r="AA119" s="619">
        <v>0</v>
      </c>
      <c r="AB119" s="619">
        <v>0</v>
      </c>
      <c r="AC119" s="1038">
        <v>0</v>
      </c>
      <c r="AD119" s="450" t="s">
        <v>293</v>
      </c>
      <c r="AE119" s="400"/>
    </row>
    <row r="120" spans="1:31" ht="24.75" customHeight="1">
      <c r="A120" s="1077" t="s">
        <v>294</v>
      </c>
      <c r="B120" s="464" t="s">
        <v>288</v>
      </c>
      <c r="C120" s="386">
        <v>46045</v>
      </c>
      <c r="D120" s="1032" t="s">
        <v>150</v>
      </c>
      <c r="E120" s="386">
        <v>45959</v>
      </c>
      <c r="F120" s="385" t="s">
        <v>289</v>
      </c>
      <c r="G120" s="656"/>
      <c r="H120" s="1148"/>
      <c r="I120" s="953"/>
      <c r="J120" s="1079"/>
      <c r="K120" s="1080"/>
      <c r="L120" s="386"/>
      <c r="M120" s="1079"/>
      <c r="N120" s="1149"/>
      <c r="O120" s="1078"/>
      <c r="P120" s="365" t="s">
        <v>64</v>
      </c>
      <c r="Q120" s="125"/>
      <c r="R120" s="672"/>
      <c r="S120" s="672"/>
      <c r="T120" s="672"/>
      <c r="U120" s="672"/>
      <c r="V120" s="1082">
        <v>5827</v>
      </c>
      <c r="W120" s="107">
        <v>2778</v>
      </c>
      <c r="X120" s="1082">
        <f t="shared" si="7"/>
        <v>3049</v>
      </c>
      <c r="Y120" s="903">
        <f t="shared" si="8"/>
        <v>0.47674618156856013</v>
      </c>
      <c r="Z120" s="125">
        <v>45965</v>
      </c>
      <c r="AA120" s="619">
        <v>0</v>
      </c>
      <c r="AB120" s="619">
        <v>0</v>
      </c>
      <c r="AC120" s="1038">
        <v>0</v>
      </c>
      <c r="AD120" s="450" t="s">
        <v>295</v>
      </c>
      <c r="AE120" s="400"/>
    </row>
    <row r="121" spans="1:31" ht="24.75" customHeight="1">
      <c r="A121" s="1055" t="s">
        <v>296</v>
      </c>
      <c r="B121" s="464" t="s">
        <v>288</v>
      </c>
      <c r="C121" s="386">
        <v>46045</v>
      </c>
      <c r="D121" s="1032" t="s">
        <v>150</v>
      </c>
      <c r="E121" s="386">
        <v>45959</v>
      </c>
      <c r="F121" s="385" t="s">
        <v>134</v>
      </c>
      <c r="G121" s="656"/>
      <c r="H121" s="387">
        <v>59</v>
      </c>
      <c r="I121" s="1036" t="s">
        <v>55</v>
      </c>
      <c r="J121" s="1037" t="s">
        <v>63</v>
      </c>
      <c r="K121" s="669"/>
      <c r="L121" s="51">
        <v>45964</v>
      </c>
      <c r="M121" s="1037" t="s">
        <v>57</v>
      </c>
      <c r="N121" s="868">
        <v>65066.5</v>
      </c>
      <c r="O121" s="52" t="s">
        <v>57</v>
      </c>
      <c r="P121" s="365" t="s">
        <v>58</v>
      </c>
      <c r="Q121" s="54">
        <v>45964</v>
      </c>
      <c r="R121" s="1069"/>
      <c r="S121" s="672"/>
      <c r="T121" s="672"/>
      <c r="U121" s="672"/>
      <c r="V121" s="107">
        <v>5421</v>
      </c>
      <c r="W121" s="107"/>
      <c r="X121" s="486">
        <f t="shared" ref="X121:X134" si="9">SUM(V121-W121)</f>
        <v>5421</v>
      </c>
      <c r="Y121" s="903">
        <f t="shared" ref="Y121:Y134" si="10">IFERROR($W121/$V121, 0)</f>
        <v>0</v>
      </c>
      <c r="Z121" s="55"/>
      <c r="AA121" s="619">
        <v>0</v>
      </c>
      <c r="AB121" s="619">
        <v>0</v>
      </c>
      <c r="AC121" s="1038">
        <v>0</v>
      </c>
      <c r="AD121" s="450" t="s">
        <v>297</v>
      </c>
      <c r="AE121" s="400"/>
    </row>
    <row r="122" spans="1:31" ht="24.75" customHeight="1">
      <c r="A122" s="1055" t="s">
        <v>298</v>
      </c>
      <c r="B122" s="464" t="s">
        <v>288</v>
      </c>
      <c r="C122" s="386">
        <v>46045</v>
      </c>
      <c r="D122" s="1032" t="s">
        <v>150</v>
      </c>
      <c r="E122" s="386">
        <v>45959</v>
      </c>
      <c r="F122" s="385" t="s">
        <v>134</v>
      </c>
      <c r="G122" s="656"/>
      <c r="H122" s="387">
        <v>89</v>
      </c>
      <c r="I122" s="1036" t="s">
        <v>55</v>
      </c>
      <c r="J122" s="1037" t="s">
        <v>63</v>
      </c>
      <c r="K122" s="669"/>
      <c r="L122" s="51">
        <v>45964</v>
      </c>
      <c r="M122" s="1037" t="s">
        <v>57</v>
      </c>
      <c r="N122" s="868">
        <v>81602</v>
      </c>
      <c r="O122" s="52" t="s">
        <v>57</v>
      </c>
      <c r="P122" s="365" t="s">
        <v>58</v>
      </c>
      <c r="Q122" s="54">
        <v>45964</v>
      </c>
      <c r="R122" s="1069"/>
      <c r="S122" s="672"/>
      <c r="T122" s="672"/>
      <c r="U122" s="672"/>
      <c r="V122" s="107">
        <v>6752</v>
      </c>
      <c r="W122" s="107"/>
      <c r="X122" s="486">
        <f t="shared" si="9"/>
        <v>6752</v>
      </c>
      <c r="Y122" s="903">
        <f t="shared" si="10"/>
        <v>0</v>
      </c>
      <c r="Z122" s="55"/>
      <c r="AA122" s="619">
        <v>0</v>
      </c>
      <c r="AB122" s="619">
        <v>0</v>
      </c>
      <c r="AC122" s="1038">
        <v>0</v>
      </c>
      <c r="AD122" s="450" t="s">
        <v>297</v>
      </c>
      <c r="AE122" s="400"/>
    </row>
    <row r="123" spans="1:31" ht="24.75" customHeight="1">
      <c r="A123" s="1055" t="s">
        <v>299</v>
      </c>
      <c r="B123" s="464" t="s">
        <v>288</v>
      </c>
      <c r="C123" s="386">
        <v>46045</v>
      </c>
      <c r="D123" s="1032" t="s">
        <v>150</v>
      </c>
      <c r="E123" s="386">
        <v>45959</v>
      </c>
      <c r="F123" s="385" t="s">
        <v>134</v>
      </c>
      <c r="G123" s="656"/>
      <c r="H123" s="387">
        <v>87</v>
      </c>
      <c r="I123" s="1036" t="s">
        <v>55</v>
      </c>
      <c r="J123" s="1037" t="s">
        <v>63</v>
      </c>
      <c r="K123" s="669"/>
      <c r="L123" s="51">
        <v>45964</v>
      </c>
      <c r="M123" s="1037" t="s">
        <v>57</v>
      </c>
      <c r="N123" s="868">
        <v>93578</v>
      </c>
      <c r="O123" s="52" t="s">
        <v>57</v>
      </c>
      <c r="P123" s="365" t="s">
        <v>58</v>
      </c>
      <c r="Q123" s="54">
        <v>45964</v>
      </c>
      <c r="R123" s="1069"/>
      <c r="S123" s="672"/>
      <c r="T123" s="672"/>
      <c r="U123" s="672"/>
      <c r="V123" s="107">
        <v>7782</v>
      </c>
      <c r="W123" s="107">
        <v>5466</v>
      </c>
      <c r="X123" s="486">
        <f t="shared" si="9"/>
        <v>2316</v>
      </c>
      <c r="Y123" s="903">
        <f t="shared" si="10"/>
        <v>0.70239013107170389</v>
      </c>
      <c r="Z123" s="125">
        <v>45975</v>
      </c>
      <c r="AA123" s="619">
        <v>0</v>
      </c>
      <c r="AB123" s="619">
        <v>0</v>
      </c>
      <c r="AC123" s="1038">
        <v>0</v>
      </c>
      <c r="AD123" s="450" t="s">
        <v>300</v>
      </c>
      <c r="AE123" s="400"/>
    </row>
    <row r="124" spans="1:31" ht="24.75" customHeight="1">
      <c r="A124" s="1055" t="s">
        <v>301</v>
      </c>
      <c r="B124" s="464" t="s">
        <v>288</v>
      </c>
      <c r="C124" s="386">
        <v>46045</v>
      </c>
      <c r="D124" s="1032" t="s">
        <v>150</v>
      </c>
      <c r="E124" s="386">
        <v>45959</v>
      </c>
      <c r="F124" s="385" t="s">
        <v>134</v>
      </c>
      <c r="G124" s="656"/>
      <c r="H124" s="387">
        <v>90</v>
      </c>
      <c r="I124" s="1036" t="s">
        <v>55</v>
      </c>
      <c r="J124" s="1037" t="s">
        <v>63</v>
      </c>
      <c r="K124" s="669"/>
      <c r="L124" s="51">
        <v>45961</v>
      </c>
      <c r="M124" s="1037" t="s">
        <v>57</v>
      </c>
      <c r="N124" s="868">
        <v>91897</v>
      </c>
      <c r="O124" s="52" t="s">
        <v>57</v>
      </c>
      <c r="P124" s="365" t="s">
        <v>64</v>
      </c>
      <c r="Q124" s="54">
        <v>45961</v>
      </c>
      <c r="R124" s="1069"/>
      <c r="S124" s="672"/>
      <c r="T124" s="672"/>
      <c r="U124" s="672"/>
      <c r="V124" s="107">
        <v>7457</v>
      </c>
      <c r="W124" s="107">
        <v>5809</v>
      </c>
      <c r="X124" s="486">
        <f t="shared" si="9"/>
        <v>1648</v>
      </c>
      <c r="Y124" s="903">
        <f t="shared" si="10"/>
        <v>0.7789995976934424</v>
      </c>
      <c r="Z124" s="125">
        <v>45974</v>
      </c>
      <c r="AA124" s="619">
        <v>0</v>
      </c>
      <c r="AB124" s="619">
        <v>0</v>
      </c>
      <c r="AC124" s="1038">
        <v>0</v>
      </c>
      <c r="AD124" s="450" t="s">
        <v>302</v>
      </c>
      <c r="AE124" s="400"/>
    </row>
    <row r="125" spans="1:31" ht="24.75" customHeight="1">
      <c r="A125" s="1055" t="s">
        <v>303</v>
      </c>
      <c r="B125" s="464" t="s">
        <v>288</v>
      </c>
      <c r="C125" s="386">
        <v>46045</v>
      </c>
      <c r="D125" s="1032" t="s">
        <v>150</v>
      </c>
      <c r="E125" s="386">
        <v>45959</v>
      </c>
      <c r="F125" s="385" t="s">
        <v>134</v>
      </c>
      <c r="G125" s="656"/>
      <c r="H125" s="387">
        <v>90</v>
      </c>
      <c r="I125" s="1036" t="s">
        <v>55</v>
      </c>
      <c r="J125" s="1037" t="s">
        <v>63</v>
      </c>
      <c r="K125" s="669"/>
      <c r="L125" s="51">
        <v>45964</v>
      </c>
      <c r="M125" s="1037" t="s">
        <v>57</v>
      </c>
      <c r="N125" s="868">
        <v>96685</v>
      </c>
      <c r="O125" s="52" t="s">
        <v>57</v>
      </c>
      <c r="P125" s="365" t="s">
        <v>58</v>
      </c>
      <c r="Q125" s="54">
        <v>45964</v>
      </c>
      <c r="R125" s="1069"/>
      <c r="S125" s="672"/>
      <c r="T125" s="672"/>
      <c r="U125" s="672"/>
      <c r="V125" s="107">
        <v>8042</v>
      </c>
      <c r="W125" s="107"/>
      <c r="X125" s="486">
        <f t="shared" si="9"/>
        <v>8042</v>
      </c>
      <c r="Y125" s="903">
        <f t="shared" si="10"/>
        <v>0</v>
      </c>
      <c r="Z125" s="55"/>
      <c r="AA125" s="619">
        <v>0</v>
      </c>
      <c r="AB125" s="619">
        <v>0</v>
      </c>
      <c r="AC125" s="1038">
        <v>0</v>
      </c>
      <c r="AD125" s="450" t="s">
        <v>304</v>
      </c>
      <c r="AE125" s="400"/>
    </row>
    <row r="126" spans="1:31" ht="24.75" customHeight="1">
      <c r="A126" s="1055" t="s">
        <v>305</v>
      </c>
      <c r="B126" s="464" t="s">
        <v>288</v>
      </c>
      <c r="C126" s="386">
        <v>46045</v>
      </c>
      <c r="D126" s="1032" t="s">
        <v>150</v>
      </c>
      <c r="E126" s="386">
        <v>45959</v>
      </c>
      <c r="F126" s="385" t="s">
        <v>134</v>
      </c>
      <c r="G126" s="656"/>
      <c r="H126" s="387">
        <v>90</v>
      </c>
      <c r="I126" s="1036" t="s">
        <v>55</v>
      </c>
      <c r="J126" s="1037" t="s">
        <v>63</v>
      </c>
      <c r="K126" s="669"/>
      <c r="L126" s="51">
        <v>45964</v>
      </c>
      <c r="M126" s="1037" t="s">
        <v>57</v>
      </c>
      <c r="N126" s="868">
        <v>85815</v>
      </c>
      <c r="O126" s="52" t="s">
        <v>57</v>
      </c>
      <c r="P126" s="365" t="s">
        <v>58</v>
      </c>
      <c r="Q126" s="54">
        <v>45964</v>
      </c>
      <c r="R126" s="1069"/>
      <c r="S126" s="672"/>
      <c r="T126" s="672"/>
      <c r="U126" s="672"/>
      <c r="V126" s="107">
        <v>6981</v>
      </c>
      <c r="W126" s="107"/>
      <c r="X126" s="486">
        <f t="shared" si="9"/>
        <v>6981</v>
      </c>
      <c r="Y126" s="903">
        <f t="shared" si="10"/>
        <v>0</v>
      </c>
      <c r="Z126" s="55"/>
      <c r="AA126" s="619">
        <v>0</v>
      </c>
      <c r="AB126" s="619">
        <v>0</v>
      </c>
      <c r="AC126" s="1038">
        <v>0</v>
      </c>
      <c r="AD126" s="450" t="s">
        <v>304</v>
      </c>
      <c r="AE126" s="400"/>
    </row>
    <row r="127" spans="1:31" ht="24.75" customHeight="1">
      <c r="A127" s="1055" t="s">
        <v>306</v>
      </c>
      <c r="B127" s="464" t="s">
        <v>288</v>
      </c>
      <c r="C127" s="386">
        <v>46045</v>
      </c>
      <c r="D127" s="1032" t="s">
        <v>150</v>
      </c>
      <c r="E127" s="386">
        <v>45959</v>
      </c>
      <c r="F127" s="385" t="s">
        <v>134</v>
      </c>
      <c r="G127" s="656"/>
      <c r="H127" s="387">
        <v>89</v>
      </c>
      <c r="I127" s="1036" t="s">
        <v>55</v>
      </c>
      <c r="J127" s="1037" t="s">
        <v>63</v>
      </c>
      <c r="K127" s="669"/>
      <c r="L127" s="51">
        <v>45961</v>
      </c>
      <c r="M127" s="1037" t="s">
        <v>57</v>
      </c>
      <c r="N127" s="868">
        <v>83615</v>
      </c>
      <c r="O127" s="52" t="s">
        <v>57</v>
      </c>
      <c r="P127" s="365" t="s">
        <v>58</v>
      </c>
      <c r="Q127" s="54">
        <v>45961</v>
      </c>
      <c r="R127" s="1069"/>
      <c r="S127" s="672"/>
      <c r="T127" s="672"/>
      <c r="U127" s="672"/>
      <c r="V127" s="107">
        <v>7010</v>
      </c>
      <c r="W127" s="107"/>
      <c r="X127" s="486">
        <f t="shared" si="9"/>
        <v>7010</v>
      </c>
      <c r="Y127" s="903">
        <f t="shared" si="10"/>
        <v>0</v>
      </c>
      <c r="Z127" s="55"/>
      <c r="AA127" s="619">
        <v>0</v>
      </c>
      <c r="AB127" s="619">
        <v>0</v>
      </c>
      <c r="AC127" s="1038">
        <v>0</v>
      </c>
      <c r="AD127" s="450" t="s">
        <v>304</v>
      </c>
      <c r="AE127" s="400"/>
    </row>
    <row r="128" spans="1:31" ht="24.75" customHeight="1">
      <c r="A128" s="1055" t="s">
        <v>307</v>
      </c>
      <c r="B128" s="464" t="s">
        <v>288</v>
      </c>
      <c r="C128" s="386">
        <v>46045</v>
      </c>
      <c r="D128" s="1032" t="s">
        <v>150</v>
      </c>
      <c r="E128" s="386">
        <v>45959</v>
      </c>
      <c r="F128" s="385" t="s">
        <v>134</v>
      </c>
      <c r="G128" s="656"/>
      <c r="H128" s="387">
        <v>88</v>
      </c>
      <c r="I128" s="1036" t="s">
        <v>55</v>
      </c>
      <c r="J128" s="1037" t="s">
        <v>63</v>
      </c>
      <c r="K128" s="669"/>
      <c r="L128" s="51">
        <v>45964</v>
      </c>
      <c r="M128" s="1037" t="s">
        <v>57</v>
      </c>
      <c r="N128" s="868">
        <v>78736.5</v>
      </c>
      <c r="O128" s="52" t="s">
        <v>57</v>
      </c>
      <c r="P128" s="365" t="s">
        <v>58</v>
      </c>
      <c r="Q128" s="54">
        <v>45964</v>
      </c>
      <c r="R128" s="1069"/>
      <c r="S128" s="672"/>
      <c r="T128" s="672"/>
      <c r="U128" s="672"/>
      <c r="V128" s="107">
        <v>6403</v>
      </c>
      <c r="W128" s="107"/>
      <c r="X128" s="486">
        <f t="shared" si="9"/>
        <v>6403</v>
      </c>
      <c r="Y128" s="903">
        <f t="shared" si="10"/>
        <v>0</v>
      </c>
      <c r="Z128" s="55"/>
      <c r="AA128" s="619">
        <v>0</v>
      </c>
      <c r="AB128" s="619">
        <v>0</v>
      </c>
      <c r="AC128" s="1038">
        <v>0</v>
      </c>
      <c r="AD128" s="450" t="s">
        <v>304</v>
      </c>
      <c r="AE128" s="400"/>
    </row>
    <row r="129" spans="1:31" ht="24.75" customHeight="1">
      <c r="A129" s="1055" t="s">
        <v>308</v>
      </c>
      <c r="B129" s="464" t="s">
        <v>288</v>
      </c>
      <c r="C129" s="386">
        <v>46045</v>
      </c>
      <c r="D129" s="1032" t="s">
        <v>150</v>
      </c>
      <c r="E129" s="386">
        <v>45959</v>
      </c>
      <c r="F129" s="385" t="s">
        <v>134</v>
      </c>
      <c r="G129" s="656"/>
      <c r="H129" s="387">
        <v>86</v>
      </c>
      <c r="I129" s="1036" t="s">
        <v>55</v>
      </c>
      <c r="J129" s="1037" t="s">
        <v>63</v>
      </c>
      <c r="K129" s="669"/>
      <c r="L129" s="51">
        <v>45964</v>
      </c>
      <c r="M129" s="1037" t="s">
        <v>57</v>
      </c>
      <c r="N129" s="868">
        <v>80698</v>
      </c>
      <c r="O129" s="52" t="s">
        <v>57</v>
      </c>
      <c r="P129" s="365" t="s">
        <v>58</v>
      </c>
      <c r="Q129" s="54">
        <v>45964</v>
      </c>
      <c r="R129" s="1069"/>
      <c r="S129" s="672"/>
      <c r="T129" s="672"/>
      <c r="U129" s="672"/>
      <c r="V129" s="107">
        <v>6739</v>
      </c>
      <c r="W129" s="107"/>
      <c r="X129" s="486">
        <f t="shared" si="9"/>
        <v>6739</v>
      </c>
      <c r="Y129" s="903">
        <f t="shared" si="10"/>
        <v>0</v>
      </c>
      <c r="Z129" s="55"/>
      <c r="AA129" s="619">
        <v>0</v>
      </c>
      <c r="AB129" s="619">
        <v>0</v>
      </c>
      <c r="AC129" s="1038">
        <v>0</v>
      </c>
      <c r="AD129" s="450" t="s">
        <v>304</v>
      </c>
      <c r="AE129" s="400"/>
    </row>
    <row r="130" spans="1:31" ht="24.75" customHeight="1">
      <c r="A130" s="1055" t="s">
        <v>309</v>
      </c>
      <c r="B130" s="464" t="s">
        <v>288</v>
      </c>
      <c r="C130" s="386">
        <v>46045</v>
      </c>
      <c r="D130" s="1032" t="s">
        <v>150</v>
      </c>
      <c r="E130" s="386">
        <v>45959</v>
      </c>
      <c r="F130" s="385" t="s">
        <v>134</v>
      </c>
      <c r="G130" s="656"/>
      <c r="H130" s="387">
        <v>87</v>
      </c>
      <c r="I130" s="1036" t="s">
        <v>55</v>
      </c>
      <c r="J130" s="1037" t="s">
        <v>63</v>
      </c>
      <c r="K130" s="669"/>
      <c r="L130" s="51">
        <v>45964</v>
      </c>
      <c r="M130" s="1037" t="s">
        <v>57</v>
      </c>
      <c r="N130" s="868">
        <v>79552</v>
      </c>
      <c r="O130" s="52" t="s">
        <v>57</v>
      </c>
      <c r="P130" s="365" t="s">
        <v>58</v>
      </c>
      <c r="Q130" s="54">
        <v>45964</v>
      </c>
      <c r="R130" s="1069"/>
      <c r="S130" s="672"/>
      <c r="T130" s="672"/>
      <c r="U130" s="672"/>
      <c r="V130" s="107">
        <v>6577</v>
      </c>
      <c r="W130" s="107"/>
      <c r="X130" s="486">
        <f t="shared" si="9"/>
        <v>6577</v>
      </c>
      <c r="Y130" s="903">
        <f t="shared" si="10"/>
        <v>0</v>
      </c>
      <c r="Z130" s="55"/>
      <c r="AA130" s="619">
        <v>0</v>
      </c>
      <c r="AB130" s="619">
        <v>0</v>
      </c>
      <c r="AC130" s="1038">
        <v>0</v>
      </c>
      <c r="AD130" s="450" t="s">
        <v>310</v>
      </c>
      <c r="AE130" s="400"/>
    </row>
    <row r="131" spans="1:31" ht="24.75" customHeight="1">
      <c r="A131" s="1055" t="s">
        <v>311</v>
      </c>
      <c r="B131" s="464" t="s">
        <v>288</v>
      </c>
      <c r="C131" s="386">
        <v>46045</v>
      </c>
      <c r="D131" s="1032" t="s">
        <v>150</v>
      </c>
      <c r="E131" s="386">
        <v>45959</v>
      </c>
      <c r="F131" s="385" t="s">
        <v>134</v>
      </c>
      <c r="G131" s="656"/>
      <c r="H131" s="387">
        <v>85</v>
      </c>
      <c r="I131" s="1036" t="s">
        <v>55</v>
      </c>
      <c r="J131" s="1037" t="s">
        <v>63</v>
      </c>
      <c r="K131" s="669"/>
      <c r="L131" s="51">
        <v>45964</v>
      </c>
      <c r="M131" s="1037" t="s">
        <v>57</v>
      </c>
      <c r="N131" s="868">
        <v>84770</v>
      </c>
      <c r="O131" s="52" t="s">
        <v>57</v>
      </c>
      <c r="P131" s="365" t="s">
        <v>58</v>
      </c>
      <c r="Q131" s="54">
        <v>45964</v>
      </c>
      <c r="R131" s="1069"/>
      <c r="S131" s="672"/>
      <c r="T131" s="672"/>
      <c r="U131" s="672"/>
      <c r="V131" s="107">
        <v>6965</v>
      </c>
      <c r="W131" s="107"/>
      <c r="X131" s="486">
        <f t="shared" si="9"/>
        <v>6965</v>
      </c>
      <c r="Y131" s="903">
        <f t="shared" si="10"/>
        <v>0</v>
      </c>
      <c r="Z131" s="55"/>
      <c r="AA131" s="619">
        <v>0</v>
      </c>
      <c r="AB131" s="619">
        <v>0</v>
      </c>
      <c r="AC131" s="1038">
        <v>0</v>
      </c>
      <c r="AD131" s="450" t="s">
        <v>304</v>
      </c>
      <c r="AE131" s="400"/>
    </row>
    <row r="132" spans="1:31" ht="24.75" customHeight="1">
      <c r="A132" s="1055" t="s">
        <v>312</v>
      </c>
      <c r="B132" s="464" t="s">
        <v>288</v>
      </c>
      <c r="C132" s="386">
        <v>46045</v>
      </c>
      <c r="D132" s="1032" t="s">
        <v>150</v>
      </c>
      <c r="E132" s="386">
        <v>45959</v>
      </c>
      <c r="F132" s="385" t="s">
        <v>134</v>
      </c>
      <c r="G132" s="656"/>
      <c r="H132" s="387">
        <v>87</v>
      </c>
      <c r="I132" s="1036" t="s">
        <v>55</v>
      </c>
      <c r="J132" s="1037" t="s">
        <v>63</v>
      </c>
      <c r="K132" s="669"/>
      <c r="L132" s="51">
        <v>45964</v>
      </c>
      <c r="M132" s="1037" t="s">
        <v>57</v>
      </c>
      <c r="N132" s="868">
        <v>87875</v>
      </c>
      <c r="O132" s="52" t="s">
        <v>57</v>
      </c>
      <c r="P132" s="365" t="s">
        <v>58</v>
      </c>
      <c r="Q132" s="54">
        <v>45964</v>
      </c>
      <c r="R132" s="1069"/>
      <c r="S132" s="672"/>
      <c r="T132" s="672"/>
      <c r="U132" s="672"/>
      <c r="V132" s="107">
        <v>7319</v>
      </c>
      <c r="W132" s="107"/>
      <c r="X132" s="486">
        <f t="shared" si="9"/>
        <v>7319</v>
      </c>
      <c r="Y132" s="903">
        <f t="shared" si="10"/>
        <v>0</v>
      </c>
      <c r="Z132" s="55"/>
      <c r="AA132" s="619">
        <v>0</v>
      </c>
      <c r="AB132" s="619">
        <v>0</v>
      </c>
      <c r="AC132" s="1038">
        <v>0</v>
      </c>
      <c r="AD132" s="450" t="s">
        <v>313</v>
      </c>
      <c r="AE132" s="400"/>
    </row>
    <row r="133" spans="1:31" ht="24.75" customHeight="1">
      <c r="A133" s="1056" t="s">
        <v>314</v>
      </c>
      <c r="B133" s="464" t="s">
        <v>288</v>
      </c>
      <c r="C133" s="386">
        <v>45991</v>
      </c>
      <c r="D133" s="1032"/>
      <c r="E133" s="386"/>
      <c r="F133" s="385"/>
      <c r="G133" s="656"/>
      <c r="H133" s="387">
        <v>0</v>
      </c>
      <c r="I133" s="1036" t="s">
        <v>55</v>
      </c>
      <c r="J133" s="1037" t="s">
        <v>63</v>
      </c>
      <c r="K133" s="669"/>
      <c r="L133" s="51"/>
      <c r="M133" s="1037"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8">
        <v>0</v>
      </c>
      <c r="AD133" s="450" t="s">
        <v>315</v>
      </c>
      <c r="AE133" s="400"/>
    </row>
    <row r="134" spans="1:31" ht="24.75" customHeight="1">
      <c r="A134" s="1056" t="s">
        <v>316</v>
      </c>
      <c r="B134" s="464" t="s">
        <v>288</v>
      </c>
      <c r="C134" s="386">
        <v>46045</v>
      </c>
      <c r="D134" s="1032" t="s">
        <v>150</v>
      </c>
      <c r="E134" s="386">
        <v>45959</v>
      </c>
      <c r="F134" s="385" t="s">
        <v>134</v>
      </c>
      <c r="G134" s="656"/>
      <c r="H134" s="387">
        <v>0</v>
      </c>
      <c r="I134" s="1036" t="s">
        <v>55</v>
      </c>
      <c r="J134" s="1037" t="s">
        <v>63</v>
      </c>
      <c r="K134" s="669"/>
      <c r="L134" s="51">
        <v>45961</v>
      </c>
      <c r="M134" s="1037" t="s">
        <v>57</v>
      </c>
      <c r="N134" s="868">
        <v>54043.5</v>
      </c>
      <c r="O134" s="52" t="s">
        <v>57</v>
      </c>
      <c r="P134" s="365" t="s">
        <v>64</v>
      </c>
      <c r="Q134" s="54">
        <v>45961</v>
      </c>
      <c r="R134" s="1069"/>
      <c r="S134" s="672"/>
      <c r="T134" s="672"/>
      <c r="U134" s="672"/>
      <c r="V134" s="107">
        <v>4140</v>
      </c>
      <c r="W134" s="107">
        <v>424</v>
      </c>
      <c r="X134" s="486">
        <f t="shared" si="9"/>
        <v>3716</v>
      </c>
      <c r="Y134" s="903">
        <f t="shared" si="10"/>
        <v>0.10241545893719807</v>
      </c>
      <c r="Z134" s="125">
        <v>45974</v>
      </c>
      <c r="AA134" s="619">
        <v>0</v>
      </c>
      <c r="AB134" s="619">
        <v>0</v>
      </c>
      <c r="AC134" s="1038">
        <v>0</v>
      </c>
      <c r="AD134" s="450" t="s">
        <v>304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27:K73 K84:K116 K121:K1048576"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318</v>
      </c>
      <c r="B2" s="860" t="s">
        <v>213</v>
      </c>
      <c r="C2" s="481">
        <v>45960</v>
      </c>
      <c r="D2" s="481" t="s">
        <v>319</v>
      </c>
      <c r="E2" s="481">
        <v>45909</v>
      </c>
      <c r="F2" s="481" t="s">
        <v>214</v>
      </c>
      <c r="G2" s="704"/>
      <c r="H2" s="483">
        <v>0</v>
      </c>
      <c r="I2" s="483" t="s">
        <v>320</v>
      </c>
      <c r="J2" s="483" t="s">
        <v>63</v>
      </c>
      <c r="K2" s="483"/>
      <c r="L2" s="481">
        <v>45905</v>
      </c>
      <c r="M2" s="483" t="s">
        <v>57</v>
      </c>
      <c r="N2" s="560">
        <v>98170.1</v>
      </c>
      <c r="O2" s="483" t="s">
        <v>57</v>
      </c>
      <c r="P2" s="644" t="s">
        <v>290</v>
      </c>
      <c r="Q2" s="485">
        <v>45908</v>
      </c>
      <c r="R2" s="485"/>
      <c r="S2" s="485"/>
      <c r="T2" s="485"/>
      <c r="U2" s="485"/>
      <c r="V2" s="430">
        <v>9086</v>
      </c>
      <c r="W2" s="599">
        <v>8945</v>
      </c>
      <c r="X2" s="107">
        <f t="shared" ref="X2:X20" si="0">SUM(V2-W2)</f>
        <v>141</v>
      </c>
      <c r="Y2" s="679">
        <f t="shared" ref="Y2:Y20" si="1">IFERROR($W2/$V2, 0)</f>
        <v>0.98448162007484041</v>
      </c>
      <c r="Z2" s="700">
        <v>45922</v>
      </c>
      <c r="AA2" s="366">
        <v>0</v>
      </c>
      <c r="AB2" s="366">
        <v>0</v>
      </c>
      <c r="AC2" s="41">
        <v>0</v>
      </c>
      <c r="AD2" s="488" t="s">
        <v>321</v>
      </c>
    </row>
    <row r="3" spans="1:30" ht="39.75" customHeight="1">
      <c r="A3" s="969" t="s">
        <v>322</v>
      </c>
      <c r="B3" s="860" t="s">
        <v>213</v>
      </c>
      <c r="C3" s="481">
        <v>45960</v>
      </c>
      <c r="D3" s="481" t="s">
        <v>323</v>
      </c>
      <c r="E3" s="481">
        <v>45897</v>
      </c>
      <c r="F3" s="479" t="s">
        <v>235</v>
      </c>
      <c r="G3" s="704"/>
      <c r="H3" s="483">
        <v>0</v>
      </c>
      <c r="I3" s="683" t="s">
        <v>320</v>
      </c>
      <c r="J3" s="483" t="s">
        <v>63</v>
      </c>
      <c r="K3" s="483"/>
      <c r="L3" s="481">
        <v>45891</v>
      </c>
      <c r="M3" s="483" t="s">
        <v>57</v>
      </c>
      <c r="N3" s="560">
        <v>184994.5</v>
      </c>
      <c r="O3" s="483" t="s">
        <v>57</v>
      </c>
      <c r="P3" s="644" t="s">
        <v>290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324</v>
      </c>
    </row>
    <row r="4" spans="1:30" ht="39.75" customHeight="1">
      <c r="A4" s="969" t="s">
        <v>325</v>
      </c>
      <c r="B4" s="860" t="s">
        <v>213</v>
      </c>
      <c r="C4" s="481">
        <v>45960</v>
      </c>
      <c r="D4" s="481" t="s">
        <v>225</v>
      </c>
      <c r="E4" s="481">
        <v>45852</v>
      </c>
      <c r="F4" s="661" t="s">
        <v>226</v>
      </c>
      <c r="G4" s="704" t="s">
        <v>326</v>
      </c>
      <c r="H4" s="483">
        <v>0</v>
      </c>
      <c r="I4" s="483" t="s">
        <v>320</v>
      </c>
      <c r="J4" s="483" t="s">
        <v>63</v>
      </c>
      <c r="K4" s="483"/>
      <c r="L4" s="481">
        <v>45852</v>
      </c>
      <c r="M4" s="483" t="s">
        <v>57</v>
      </c>
      <c r="N4" s="560">
        <v>42837.2</v>
      </c>
      <c r="O4" s="483" t="s">
        <v>57</v>
      </c>
      <c r="P4" s="644" t="s">
        <v>290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327</v>
      </c>
      <c r="B5" s="860" t="s">
        <v>213</v>
      </c>
      <c r="C5" s="481">
        <v>45960</v>
      </c>
      <c r="D5" s="481" t="s">
        <v>71</v>
      </c>
      <c r="E5" s="481">
        <v>45905</v>
      </c>
      <c r="F5" s="481" t="s">
        <v>214</v>
      </c>
      <c r="G5" s="704"/>
      <c r="H5" s="483">
        <v>0</v>
      </c>
      <c r="I5" s="683" t="s">
        <v>320</v>
      </c>
      <c r="J5" s="483" t="s">
        <v>63</v>
      </c>
      <c r="K5" s="492"/>
      <c r="L5" s="481">
        <v>45943</v>
      </c>
      <c r="M5" s="483" t="s">
        <v>57</v>
      </c>
      <c r="N5" s="560">
        <v>2167.3000000000002</v>
      </c>
      <c r="O5" s="483" t="s">
        <v>57</v>
      </c>
      <c r="P5" s="644" t="s">
        <v>290</v>
      </c>
      <c r="Q5" s="485">
        <v>45908</v>
      </c>
      <c r="R5" s="485"/>
      <c r="S5" s="485"/>
      <c r="T5" s="485"/>
      <c r="U5" s="485"/>
      <c r="V5" s="430">
        <v>158</v>
      </c>
      <c r="W5" s="599">
        <v>429</v>
      </c>
      <c r="X5" s="107">
        <f t="shared" si="0"/>
        <v>-271</v>
      </c>
      <c r="Y5" s="679">
        <f t="shared" si="1"/>
        <v>2.7151898734177213</v>
      </c>
      <c r="Z5" s="72" t="s">
        <v>328</v>
      </c>
      <c r="AA5" s="366">
        <v>0</v>
      </c>
      <c r="AB5" s="366">
        <v>0</v>
      </c>
      <c r="AC5" s="41">
        <v>0</v>
      </c>
      <c r="AD5" s="173" t="s">
        <v>329</v>
      </c>
    </row>
    <row r="6" spans="1:30" ht="39.75" customHeight="1">
      <c r="A6" s="871" t="s">
        <v>330</v>
      </c>
      <c r="B6" s="508" t="s">
        <v>213</v>
      </c>
      <c r="C6" s="481">
        <v>45991</v>
      </c>
      <c r="D6" s="489" t="s">
        <v>331</v>
      </c>
      <c r="E6" s="490">
        <v>45716</v>
      </c>
      <c r="F6" s="489" t="s">
        <v>214</v>
      </c>
      <c r="G6" s="491" t="s">
        <v>332</v>
      </c>
      <c r="H6" s="492">
        <v>31</v>
      </c>
      <c r="I6" s="498" t="s">
        <v>320</v>
      </c>
      <c r="J6" s="492" t="s">
        <v>63</v>
      </c>
      <c r="K6" s="504"/>
      <c r="L6" s="481">
        <v>45716</v>
      </c>
      <c r="M6" s="492" t="s">
        <v>57</v>
      </c>
      <c r="N6" s="561">
        <v>28777</v>
      </c>
      <c r="O6" s="492" t="s">
        <v>57</v>
      </c>
      <c r="P6" s="644" t="s">
        <v>290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333</v>
      </c>
      <c r="B7" s="508" t="s">
        <v>213</v>
      </c>
      <c r="C7" s="481">
        <v>45991</v>
      </c>
      <c r="D7" s="489" t="s">
        <v>334</v>
      </c>
      <c r="E7" s="490">
        <v>45716</v>
      </c>
      <c r="F7" s="489" t="s">
        <v>226</v>
      </c>
      <c r="G7" s="491" t="s">
        <v>335</v>
      </c>
      <c r="H7" s="492">
        <v>44</v>
      </c>
      <c r="I7" s="498" t="s">
        <v>320</v>
      </c>
      <c r="J7" s="492" t="s">
        <v>63</v>
      </c>
      <c r="K7" s="492"/>
      <c r="L7" s="490">
        <v>45716</v>
      </c>
      <c r="M7" s="492" t="s">
        <v>57</v>
      </c>
      <c r="N7" s="561">
        <v>57973.5</v>
      </c>
      <c r="O7" s="492" t="s">
        <v>57</v>
      </c>
      <c r="P7" s="644" t="s">
        <v>290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336</v>
      </c>
      <c r="B8" s="860" t="s">
        <v>213</v>
      </c>
      <c r="C8" s="481">
        <v>45991</v>
      </c>
      <c r="D8" s="489" t="s">
        <v>225</v>
      </c>
      <c r="E8" s="490">
        <v>45880</v>
      </c>
      <c r="F8" s="489" t="s">
        <v>226</v>
      </c>
      <c r="G8" s="852" t="s">
        <v>337</v>
      </c>
      <c r="H8" s="492">
        <v>57</v>
      </c>
      <c r="I8" s="857" t="s">
        <v>320</v>
      </c>
      <c r="J8" s="492" t="s">
        <v>63</v>
      </c>
      <c r="K8" s="504"/>
      <c r="L8" s="490">
        <v>45863</v>
      </c>
      <c r="M8" s="492" t="s">
        <v>57</v>
      </c>
      <c r="N8" s="561">
        <v>49223.7</v>
      </c>
      <c r="O8" s="492" t="s">
        <v>57</v>
      </c>
      <c r="P8" s="644" t="s">
        <v>290</v>
      </c>
      <c r="Q8" s="493">
        <v>45863</v>
      </c>
      <c r="R8" s="493"/>
      <c r="S8" s="493"/>
      <c r="T8" s="493"/>
      <c r="U8" s="493"/>
      <c r="V8" s="486">
        <v>3394</v>
      </c>
      <c r="W8" s="526">
        <v>3394</v>
      </c>
      <c r="X8" s="107">
        <f t="shared" si="0"/>
        <v>0</v>
      </c>
      <c r="Y8" s="679">
        <f t="shared" si="1"/>
        <v>1</v>
      </c>
      <c r="Z8" s="700">
        <v>45916</v>
      </c>
      <c r="AA8" s="366">
        <v>1</v>
      </c>
      <c r="AB8" s="366">
        <v>1</v>
      </c>
      <c r="AC8" s="41">
        <v>0</v>
      </c>
      <c r="AD8" s="173" t="s">
        <v>338</v>
      </c>
    </row>
    <row r="9" spans="1:30" ht="39.75" customHeight="1">
      <c r="A9" s="969" t="s">
        <v>339</v>
      </c>
      <c r="B9" s="860" t="s">
        <v>213</v>
      </c>
      <c r="C9" s="481">
        <v>45991</v>
      </c>
      <c r="D9" s="489" t="s">
        <v>225</v>
      </c>
      <c r="E9" s="490">
        <v>45880</v>
      </c>
      <c r="F9" s="489" t="s">
        <v>226</v>
      </c>
      <c r="G9" s="852" t="s">
        <v>340</v>
      </c>
      <c r="H9" s="492">
        <v>75</v>
      </c>
      <c r="I9" s="857" t="s">
        <v>320</v>
      </c>
      <c r="J9" s="492" t="s">
        <v>63</v>
      </c>
      <c r="K9" s="504"/>
      <c r="L9" s="490">
        <v>45879</v>
      </c>
      <c r="M9" s="492" t="s">
        <v>57</v>
      </c>
      <c r="N9" s="561">
        <v>68151.75</v>
      </c>
      <c r="O9" s="492" t="s">
        <v>57</v>
      </c>
      <c r="P9" s="644" t="s">
        <v>290</v>
      </c>
      <c r="Q9" s="493">
        <v>45881</v>
      </c>
      <c r="R9" s="493"/>
      <c r="S9" s="493"/>
      <c r="T9" s="493"/>
      <c r="U9" s="493"/>
      <c r="V9" s="41">
        <v>5362</v>
      </c>
      <c r="W9" s="645">
        <v>5149</v>
      </c>
      <c r="X9" s="107">
        <f t="shared" si="0"/>
        <v>213</v>
      </c>
      <c r="Y9" s="679">
        <f t="shared" si="1"/>
        <v>0.96027601641178661</v>
      </c>
      <c r="Z9" s="700">
        <v>45926</v>
      </c>
      <c r="AA9" s="366">
        <v>1</v>
      </c>
      <c r="AB9" s="366">
        <v>1</v>
      </c>
      <c r="AC9" s="41">
        <v>0</v>
      </c>
      <c r="AD9" s="173"/>
    </row>
    <row r="10" spans="1:30" ht="39.75" customHeight="1">
      <c r="A10" s="969" t="s">
        <v>341</v>
      </c>
      <c r="B10" s="860" t="s">
        <v>213</v>
      </c>
      <c r="C10" s="481">
        <v>45991</v>
      </c>
      <c r="D10" s="490" t="s">
        <v>225</v>
      </c>
      <c r="E10" s="490">
        <v>45950</v>
      </c>
      <c r="F10" s="489" t="s">
        <v>226</v>
      </c>
      <c r="G10" s="856"/>
      <c r="H10" s="861">
        <v>82</v>
      </c>
      <c r="I10" s="857" t="s">
        <v>320</v>
      </c>
      <c r="J10" s="861" t="s">
        <v>63</v>
      </c>
      <c r="K10" s="504"/>
      <c r="L10" s="490">
        <v>45902</v>
      </c>
      <c r="M10" s="857" t="s">
        <v>57</v>
      </c>
      <c r="N10" s="862">
        <v>87830</v>
      </c>
      <c r="O10" s="857" t="s">
        <v>57</v>
      </c>
      <c r="P10" s="644" t="s">
        <v>290</v>
      </c>
      <c r="Q10" s="493">
        <v>45898</v>
      </c>
      <c r="R10" s="493"/>
      <c r="S10" s="493"/>
      <c r="T10" s="493"/>
      <c r="U10" s="493"/>
      <c r="V10" s="1046">
        <v>7022</v>
      </c>
      <c r="W10" s="1086">
        <v>6905</v>
      </c>
      <c r="X10" s="486">
        <f t="shared" si="0"/>
        <v>117</v>
      </c>
      <c r="Y10" s="684">
        <f t="shared" si="1"/>
        <v>0.98333808031899739</v>
      </c>
      <c r="Z10" s="493">
        <v>45958</v>
      </c>
      <c r="AA10" s="366">
        <v>0</v>
      </c>
      <c r="AB10" s="366">
        <v>0</v>
      </c>
      <c r="AC10" s="41">
        <v>0</v>
      </c>
      <c r="AD10" s="780" t="s">
        <v>342</v>
      </c>
    </row>
    <row r="11" spans="1:30" ht="39.75" customHeight="1">
      <c r="A11" s="969" t="s">
        <v>343</v>
      </c>
      <c r="B11" s="860" t="s">
        <v>213</v>
      </c>
      <c r="C11" s="481">
        <v>45960</v>
      </c>
      <c r="D11" s="490" t="s">
        <v>225</v>
      </c>
      <c r="E11" s="490">
        <v>45930</v>
      </c>
      <c r="F11" s="489" t="s">
        <v>226</v>
      </c>
      <c r="G11" s="856"/>
      <c r="H11" s="861">
        <v>80</v>
      </c>
      <c r="I11" s="857" t="s">
        <v>320</v>
      </c>
      <c r="J11" s="861" t="s">
        <v>63</v>
      </c>
      <c r="K11" s="857"/>
      <c r="L11" s="490">
        <v>45902</v>
      </c>
      <c r="M11" s="857" t="s">
        <v>57</v>
      </c>
      <c r="N11" s="862">
        <v>90173</v>
      </c>
      <c r="O11" s="857" t="s">
        <v>57</v>
      </c>
      <c r="P11" s="644" t="s">
        <v>290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342</v>
      </c>
    </row>
    <row r="12" spans="1:30" ht="39.75" customHeight="1">
      <c r="A12" s="969" t="s">
        <v>344</v>
      </c>
      <c r="B12" s="860" t="s">
        <v>213</v>
      </c>
      <c r="C12" s="481">
        <v>45960</v>
      </c>
      <c r="D12" s="490" t="s">
        <v>234</v>
      </c>
      <c r="E12" s="490">
        <v>45950</v>
      </c>
      <c r="F12" s="489" t="s">
        <v>235</v>
      </c>
      <c r="G12" s="856"/>
      <c r="H12" s="861">
        <v>80</v>
      </c>
      <c r="I12" s="857" t="s">
        <v>320</v>
      </c>
      <c r="J12" s="861" t="s">
        <v>63</v>
      </c>
      <c r="K12" s="857"/>
      <c r="L12" s="490">
        <v>45905</v>
      </c>
      <c r="M12" s="857" t="s">
        <v>57</v>
      </c>
      <c r="N12" s="862">
        <v>66674.3</v>
      </c>
      <c r="O12" s="857" t="s">
        <v>57</v>
      </c>
      <c r="P12" s="644" t="s">
        <v>290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345</v>
      </c>
    </row>
    <row r="13" spans="1:30" ht="39.75" customHeight="1">
      <c r="A13" s="969" t="s">
        <v>346</v>
      </c>
      <c r="B13" s="860" t="s">
        <v>213</v>
      </c>
      <c r="C13" s="481">
        <v>45960</v>
      </c>
      <c r="D13" s="490" t="s">
        <v>234</v>
      </c>
      <c r="E13" s="490">
        <v>45937</v>
      </c>
      <c r="F13" s="489" t="s">
        <v>235</v>
      </c>
      <c r="G13" s="856"/>
      <c r="H13" s="861">
        <v>82</v>
      </c>
      <c r="I13" s="857" t="s">
        <v>320</v>
      </c>
      <c r="J13" s="861" t="s">
        <v>63</v>
      </c>
      <c r="K13" s="483"/>
      <c r="L13" s="490">
        <v>45903</v>
      </c>
      <c r="M13" s="857" t="s">
        <v>57</v>
      </c>
      <c r="N13" s="862">
        <v>93666.75</v>
      </c>
      <c r="O13" s="857" t="s">
        <v>57</v>
      </c>
      <c r="P13" s="644" t="s">
        <v>290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342</v>
      </c>
    </row>
    <row r="14" spans="1:30" ht="39.75" customHeight="1">
      <c r="A14" s="969" t="s">
        <v>347</v>
      </c>
      <c r="B14" s="860" t="s">
        <v>213</v>
      </c>
      <c r="C14" s="481">
        <v>45960</v>
      </c>
      <c r="D14" s="489" t="s">
        <v>234</v>
      </c>
      <c r="E14" s="490">
        <v>45966</v>
      </c>
      <c r="F14" s="489" t="s">
        <v>235</v>
      </c>
      <c r="G14" s="852"/>
      <c r="H14" s="492">
        <v>0</v>
      </c>
      <c r="I14" s="857" t="s">
        <v>320</v>
      </c>
      <c r="J14" s="492" t="s">
        <v>63</v>
      </c>
      <c r="K14" s="504"/>
      <c r="L14" s="490" t="s">
        <v>52</v>
      </c>
      <c r="M14" s="492" t="s">
        <v>57</v>
      </c>
      <c r="N14" s="561">
        <v>29960</v>
      </c>
      <c r="O14" s="492" t="s">
        <v>57</v>
      </c>
      <c r="P14" s="644" t="s">
        <v>290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266</v>
      </c>
    </row>
    <row r="15" spans="1:30" ht="39.75" customHeight="1">
      <c r="A15" s="969" t="s">
        <v>348</v>
      </c>
      <c r="B15" s="860" t="s">
        <v>213</v>
      </c>
      <c r="C15" s="481">
        <v>45960</v>
      </c>
      <c r="D15" s="489" t="s">
        <v>234</v>
      </c>
      <c r="E15" s="490">
        <v>45944</v>
      </c>
      <c r="F15" s="489" t="s">
        <v>235</v>
      </c>
      <c r="G15" s="852"/>
      <c r="H15" s="492">
        <v>0</v>
      </c>
      <c r="I15" s="857" t="s">
        <v>320</v>
      </c>
      <c r="J15" s="492" t="s">
        <v>63</v>
      </c>
      <c r="K15" s="504"/>
      <c r="L15" s="490" t="s">
        <v>52</v>
      </c>
      <c r="M15" s="492" t="s">
        <v>57</v>
      </c>
      <c r="N15" s="561">
        <v>50539.6</v>
      </c>
      <c r="O15" s="492" t="s">
        <v>57</v>
      </c>
      <c r="P15" s="644" t="s">
        <v>290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349</v>
      </c>
    </row>
    <row r="16" spans="1:30" ht="39.75" customHeight="1">
      <c r="A16" s="969" t="s">
        <v>350</v>
      </c>
      <c r="B16" s="860" t="s">
        <v>213</v>
      </c>
      <c r="C16" s="481" t="s">
        <v>351</v>
      </c>
      <c r="D16" s="489" t="s">
        <v>71</v>
      </c>
      <c r="E16" s="490">
        <v>45964</v>
      </c>
      <c r="F16" s="489" t="s">
        <v>352</v>
      </c>
      <c r="G16" s="852"/>
      <c r="H16" s="492">
        <v>0</v>
      </c>
      <c r="I16" s="483" t="s">
        <v>320</v>
      </c>
      <c r="J16" s="492" t="s">
        <v>63</v>
      </c>
      <c r="K16" s="483"/>
      <c r="L16" s="490" t="s">
        <v>52</v>
      </c>
      <c r="M16" s="492" t="s">
        <v>57</v>
      </c>
      <c r="N16" s="561">
        <v>2670.65</v>
      </c>
      <c r="O16" s="492" t="s">
        <v>57</v>
      </c>
      <c r="P16" s="644" t="s">
        <v>290</v>
      </c>
      <c r="Q16" s="493">
        <v>45937</v>
      </c>
      <c r="R16" s="493"/>
      <c r="S16" s="493"/>
      <c r="T16" s="493"/>
      <c r="U16" s="493"/>
      <c r="V16" s="1047">
        <v>209</v>
      </c>
      <c r="W16" s="645">
        <v>207</v>
      </c>
      <c r="X16" s="486">
        <f t="shared" ref="X16:X17" si="5">SUM(V16-W16)</f>
        <v>2</v>
      </c>
      <c r="Y16" s="684">
        <f t="shared" si="1"/>
        <v>0.99043062200956933</v>
      </c>
      <c r="Z16" s="493">
        <v>45964</v>
      </c>
      <c r="AA16" s="366">
        <v>0</v>
      </c>
      <c r="AB16" s="366">
        <v>0</v>
      </c>
      <c r="AC16" s="664">
        <v>0</v>
      </c>
      <c r="AD16" s="488" t="s">
        <v>215</v>
      </c>
    </row>
    <row r="17" spans="1:30" ht="39.75" customHeight="1">
      <c r="A17" s="969" t="s">
        <v>353</v>
      </c>
      <c r="B17" s="508" t="s">
        <v>270</v>
      </c>
      <c r="C17" s="481">
        <v>46053</v>
      </c>
      <c r="D17" s="489" t="s">
        <v>234</v>
      </c>
      <c r="E17" s="490">
        <v>45964</v>
      </c>
      <c r="F17" s="489" t="s">
        <v>226</v>
      </c>
      <c r="G17" s="491"/>
      <c r="H17" s="492">
        <v>82</v>
      </c>
      <c r="I17" s="857" t="s">
        <v>320</v>
      </c>
      <c r="J17" s="492" t="s">
        <v>63</v>
      </c>
      <c r="K17" s="483"/>
      <c r="L17" s="490" t="s">
        <v>52</v>
      </c>
      <c r="M17" s="492" t="s">
        <v>57</v>
      </c>
      <c r="N17" s="561">
        <v>101871</v>
      </c>
      <c r="O17" s="492" t="s">
        <v>57</v>
      </c>
      <c r="P17" s="644" t="s">
        <v>290</v>
      </c>
      <c r="Q17" s="493">
        <v>45965</v>
      </c>
      <c r="R17" s="493"/>
      <c r="S17" s="493"/>
      <c r="T17" s="493"/>
      <c r="U17" s="493"/>
      <c r="V17" s="41">
        <v>8100</v>
      </c>
      <c r="W17" s="645">
        <v>7972</v>
      </c>
      <c r="X17" s="486">
        <f t="shared" si="5"/>
        <v>128</v>
      </c>
      <c r="Y17" s="684">
        <f t="shared" si="1"/>
        <v>0.98419753086419748</v>
      </c>
      <c r="Z17" s="493">
        <v>45973</v>
      </c>
      <c r="AA17" s="366">
        <v>0</v>
      </c>
      <c r="AB17" s="366">
        <v>0</v>
      </c>
      <c r="AC17" s="41">
        <v>0</v>
      </c>
      <c r="AD17" s="780" t="s">
        <v>271</v>
      </c>
    </row>
    <row r="18" spans="1:30" ht="39.75" customHeight="1">
      <c r="A18" s="513" t="s">
        <v>354</v>
      </c>
      <c r="B18" s="479" t="s">
        <v>116</v>
      </c>
      <c r="C18" s="481">
        <v>45868</v>
      </c>
      <c r="D18" s="481" t="s">
        <v>71</v>
      </c>
      <c r="E18" s="481">
        <v>45793</v>
      </c>
      <c r="F18" s="505" t="s">
        <v>117</v>
      </c>
      <c r="G18" s="1066" t="s">
        <v>355</v>
      </c>
      <c r="H18" s="483">
        <v>0</v>
      </c>
      <c r="I18" s="483" t="s">
        <v>320</v>
      </c>
      <c r="J18" s="483" t="s">
        <v>63</v>
      </c>
      <c r="K18" s="983"/>
      <c r="L18" s="481">
        <v>45793</v>
      </c>
      <c r="M18" s="483" t="s">
        <v>57</v>
      </c>
      <c r="N18" s="560">
        <v>53589.8</v>
      </c>
      <c r="O18" s="483" t="s">
        <v>57</v>
      </c>
      <c r="P18" s="644" t="s">
        <v>290</v>
      </c>
      <c r="Q18" s="485">
        <v>45793</v>
      </c>
      <c r="R18" s="485" t="s">
        <v>356</v>
      </c>
      <c r="S18" s="485"/>
      <c r="T18" s="485"/>
      <c r="U18" s="485">
        <v>45917</v>
      </c>
      <c r="V18" s="486">
        <v>8305</v>
      </c>
      <c r="W18" s="645">
        <v>8818</v>
      </c>
      <c r="X18" s="107">
        <f t="shared" si="0"/>
        <v>-513</v>
      </c>
      <c r="Y18" s="22">
        <f t="shared" si="1"/>
        <v>1.0617700180614087</v>
      </c>
      <c r="Z18" s="674">
        <v>45810</v>
      </c>
      <c r="AA18" s="366">
        <v>1</v>
      </c>
      <c r="AB18" s="366">
        <v>1</v>
      </c>
      <c r="AC18" s="664">
        <v>0</v>
      </c>
      <c r="AD18" s="427" t="s">
        <v>357</v>
      </c>
    </row>
    <row r="19" spans="1:30" ht="39.75" customHeight="1">
      <c r="A19" s="969" t="s">
        <v>358</v>
      </c>
      <c r="B19" s="479" t="s">
        <v>116</v>
      </c>
      <c r="C19" s="490">
        <v>45976</v>
      </c>
      <c r="D19" s="481" t="s">
        <v>150</v>
      </c>
      <c r="E19" s="481">
        <v>45959</v>
      </c>
      <c r="F19" s="479" t="s">
        <v>142</v>
      </c>
      <c r="G19" s="704"/>
      <c r="H19" s="483">
        <v>61</v>
      </c>
      <c r="I19" s="683" t="s">
        <v>320</v>
      </c>
      <c r="J19" s="483" t="s">
        <v>63</v>
      </c>
      <c r="K19" s="483"/>
      <c r="L19" s="481">
        <v>45962</v>
      </c>
      <c r="M19" s="483" t="s">
        <v>57</v>
      </c>
      <c r="N19" s="560">
        <v>35050</v>
      </c>
      <c r="O19" s="483" t="s">
        <v>57</v>
      </c>
      <c r="P19" s="644" t="s">
        <v>290</v>
      </c>
      <c r="Q19" s="485">
        <v>45961</v>
      </c>
      <c r="R19" s="570"/>
      <c r="S19" s="570"/>
      <c r="T19" s="570"/>
      <c r="U19" s="570"/>
      <c r="V19" s="486">
        <v>2527</v>
      </c>
      <c r="W19" s="645">
        <v>2647</v>
      </c>
      <c r="X19" s="486">
        <f t="shared" si="0"/>
        <v>-120</v>
      </c>
      <c r="Y19" s="684">
        <f t="shared" si="1"/>
        <v>1.0474871388998812</v>
      </c>
      <c r="Z19" s="493">
        <v>45973</v>
      </c>
      <c r="AA19" s="366">
        <v>0</v>
      </c>
      <c r="AB19" s="366">
        <v>0</v>
      </c>
      <c r="AC19" s="811">
        <v>0</v>
      </c>
      <c r="AD19" s="450" t="s">
        <v>359</v>
      </c>
    </row>
    <row r="20" spans="1:30" ht="39.75" customHeight="1">
      <c r="A20" s="969" t="s">
        <v>360</v>
      </c>
      <c r="B20" s="479" t="s">
        <v>116</v>
      </c>
      <c r="C20" s="490">
        <v>45976</v>
      </c>
      <c r="D20" s="481" t="s">
        <v>150</v>
      </c>
      <c r="E20" s="481">
        <v>45959</v>
      </c>
      <c r="F20" s="479" t="s">
        <v>142</v>
      </c>
      <c r="G20" s="704"/>
      <c r="H20" s="483">
        <v>69</v>
      </c>
      <c r="I20" s="683" t="s">
        <v>320</v>
      </c>
      <c r="J20" s="483" t="s">
        <v>63</v>
      </c>
      <c r="K20" s="483"/>
      <c r="L20" s="481">
        <v>45962</v>
      </c>
      <c r="M20" s="483" t="s">
        <v>57</v>
      </c>
      <c r="N20" s="560">
        <v>37418</v>
      </c>
      <c r="O20" s="483" t="s">
        <v>57</v>
      </c>
      <c r="P20" s="644" t="s">
        <v>290</v>
      </c>
      <c r="Q20" s="485">
        <v>45961</v>
      </c>
      <c r="R20" s="570"/>
      <c r="S20" s="570"/>
      <c r="T20" s="570"/>
      <c r="U20" s="570"/>
      <c r="V20" s="486">
        <v>2851</v>
      </c>
      <c r="W20" s="645">
        <v>2838</v>
      </c>
      <c r="X20" s="486">
        <f t="shared" si="0"/>
        <v>13</v>
      </c>
      <c r="Y20" s="684">
        <f t="shared" si="1"/>
        <v>0.99544019642230797</v>
      </c>
      <c r="Z20" s="493">
        <v>45973</v>
      </c>
      <c r="AA20" s="366">
        <v>0</v>
      </c>
      <c r="AB20" s="366">
        <v>0</v>
      </c>
      <c r="AC20" s="811">
        <v>0</v>
      </c>
      <c r="AD20" s="43" t="s">
        <v>361</v>
      </c>
    </row>
    <row r="21" spans="1:30" ht="39.75" customHeight="1">
      <c r="A21" s="969" t="s">
        <v>362</v>
      </c>
      <c r="B21" s="479" t="s">
        <v>116</v>
      </c>
      <c r="C21" s="490">
        <v>45976</v>
      </c>
      <c r="D21" s="481" t="s">
        <v>150</v>
      </c>
      <c r="E21" s="481">
        <v>45958</v>
      </c>
      <c r="F21" s="479" t="s">
        <v>142</v>
      </c>
      <c r="G21" s="704"/>
      <c r="H21" s="483">
        <v>48</v>
      </c>
      <c r="I21" s="683" t="s">
        <v>320</v>
      </c>
      <c r="J21" s="483" t="s">
        <v>63</v>
      </c>
      <c r="K21" s="483"/>
      <c r="L21" s="481">
        <v>45954</v>
      </c>
      <c r="M21" s="483" t="s">
        <v>57</v>
      </c>
      <c r="N21" s="560">
        <v>54228.7</v>
      </c>
      <c r="O21" s="483" t="s">
        <v>57</v>
      </c>
      <c r="P21" s="644" t="s">
        <v>290</v>
      </c>
      <c r="Q21" s="485">
        <v>45953</v>
      </c>
      <c r="R21" s="570"/>
      <c r="S21" s="570"/>
      <c r="T21" s="570"/>
      <c r="U21" s="570"/>
      <c r="V21" s="486">
        <v>4141</v>
      </c>
      <c r="W21" s="645">
        <v>4141</v>
      </c>
      <c r="X21" s="486">
        <f t="shared" ref="X21:X23" si="6">SUM(V21-W21)</f>
        <v>0</v>
      </c>
      <c r="Y21" s="684">
        <f t="shared" ref="Y21:Y23" si="7">IFERROR($W21/$V21, 0)</f>
        <v>1</v>
      </c>
      <c r="Z21" s="493">
        <v>45964</v>
      </c>
      <c r="AA21" s="366">
        <v>1</v>
      </c>
      <c r="AB21" s="366">
        <v>1</v>
      </c>
      <c r="AC21" s="811">
        <v>0</v>
      </c>
      <c r="AD21" s="450" t="s">
        <v>363</v>
      </c>
    </row>
    <row r="22" spans="1:30" ht="39.75" customHeight="1">
      <c r="A22" s="969" t="s">
        <v>364</v>
      </c>
      <c r="B22" s="479" t="s">
        <v>116</v>
      </c>
      <c r="C22" s="490">
        <v>45991</v>
      </c>
      <c r="D22" s="481" t="s">
        <v>204</v>
      </c>
      <c r="E22" s="481">
        <v>45936</v>
      </c>
      <c r="F22" s="479" t="s">
        <v>142</v>
      </c>
      <c r="G22" s="704"/>
      <c r="H22" s="483">
        <v>83</v>
      </c>
      <c r="I22" s="683" t="s">
        <v>320</v>
      </c>
      <c r="J22" s="483" t="s">
        <v>63</v>
      </c>
      <c r="K22" s="483"/>
      <c r="L22" s="481">
        <v>45936</v>
      </c>
      <c r="M22" s="483" t="s">
        <v>57</v>
      </c>
      <c r="N22" s="560">
        <v>96748</v>
      </c>
      <c r="O22" s="483" t="s">
        <v>57</v>
      </c>
      <c r="P22" s="644" t="s">
        <v>290</v>
      </c>
      <c r="Q22" s="485">
        <v>45936</v>
      </c>
      <c r="R22" s="570"/>
      <c r="S22" s="570"/>
      <c r="T22" s="570"/>
      <c r="U22" s="570"/>
      <c r="V22" s="486">
        <v>6240</v>
      </c>
      <c r="W22" s="645">
        <v>6203</v>
      </c>
      <c r="X22" s="486">
        <f t="shared" si="6"/>
        <v>37</v>
      </c>
      <c r="Y22" s="684">
        <f t="shared" si="7"/>
        <v>0.99407051282051284</v>
      </c>
      <c r="Z22" s="493">
        <v>45951</v>
      </c>
      <c r="AA22" s="366">
        <v>1</v>
      </c>
      <c r="AB22" s="366">
        <v>0</v>
      </c>
      <c r="AC22" s="664">
        <v>0</v>
      </c>
      <c r="AD22" s="1150" t="s">
        <v>365</v>
      </c>
    </row>
    <row r="23" spans="1:30" ht="39.75" customHeight="1">
      <c r="A23" s="969" t="s">
        <v>366</v>
      </c>
      <c r="B23" s="479" t="s">
        <v>116</v>
      </c>
      <c r="C23" s="490">
        <v>45991</v>
      </c>
      <c r="D23" s="481" t="s">
        <v>204</v>
      </c>
      <c r="E23" s="481">
        <v>45953</v>
      </c>
      <c r="F23" s="479" t="s">
        <v>142</v>
      </c>
      <c r="G23" s="704" t="s">
        <v>367</v>
      </c>
      <c r="H23" s="483">
        <v>0</v>
      </c>
      <c r="I23" s="483" t="s">
        <v>320</v>
      </c>
      <c r="J23" s="483" t="s">
        <v>63</v>
      </c>
      <c r="K23" s="483"/>
      <c r="L23" s="481" t="s">
        <v>168</v>
      </c>
      <c r="M23" s="483" t="s">
        <v>57</v>
      </c>
      <c r="N23" s="560">
        <v>51970</v>
      </c>
      <c r="O23" s="483" t="s">
        <v>57</v>
      </c>
      <c r="P23" s="644" t="s">
        <v>290</v>
      </c>
      <c r="Q23" s="485">
        <v>45953</v>
      </c>
      <c r="R23" s="485"/>
      <c r="S23" s="485"/>
      <c r="T23" s="485"/>
      <c r="U23" s="485"/>
      <c r="V23" s="507">
        <v>4544</v>
      </c>
      <c r="W23" s="526">
        <v>4569</v>
      </c>
      <c r="X23" s="486">
        <f t="shared" si="6"/>
        <v>-25</v>
      </c>
      <c r="Y23" s="684">
        <f t="shared" si="7"/>
        <v>1.0055017605633803</v>
      </c>
      <c r="Z23" s="493">
        <v>45960</v>
      </c>
      <c r="AA23" s="366">
        <v>0</v>
      </c>
      <c r="AB23" s="366">
        <v>0</v>
      </c>
      <c r="AC23" s="486">
        <v>0</v>
      </c>
      <c r="AD23" s="407" t="s">
        <v>368</v>
      </c>
    </row>
    <row r="24" spans="1:30" ht="39.75" customHeight="1">
      <c r="A24" s="969" t="s">
        <v>369</v>
      </c>
      <c r="B24" s="479" t="s">
        <v>116</v>
      </c>
      <c r="C24" s="505">
        <v>45838</v>
      </c>
      <c r="D24" s="505" t="s">
        <v>150</v>
      </c>
      <c r="E24" s="490">
        <v>45786</v>
      </c>
      <c r="F24" s="505" t="s">
        <v>134</v>
      </c>
      <c r="G24" s="981" t="s">
        <v>370</v>
      </c>
      <c r="H24" s="483">
        <v>0</v>
      </c>
      <c r="I24" s="484" t="s">
        <v>320</v>
      </c>
      <c r="J24" s="483" t="s">
        <v>63</v>
      </c>
      <c r="K24" s="483"/>
      <c r="L24" s="481">
        <v>45790</v>
      </c>
      <c r="M24" s="483" t="s">
        <v>57</v>
      </c>
      <c r="N24" s="560">
        <v>63283</v>
      </c>
      <c r="O24" s="483" t="s">
        <v>57</v>
      </c>
      <c r="P24" s="644" t="s">
        <v>290</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371</v>
      </c>
    </row>
    <row r="25" spans="1:30" ht="39.75" customHeight="1">
      <c r="A25" s="969" t="s">
        <v>372</v>
      </c>
      <c r="B25" s="703" t="s">
        <v>116</v>
      </c>
      <c r="C25" s="490">
        <v>45991</v>
      </c>
      <c r="D25" s="479" t="s">
        <v>373</v>
      </c>
      <c r="E25" s="481">
        <v>45936</v>
      </c>
      <c r="F25" s="479" t="s">
        <v>117</v>
      </c>
      <c r="G25" s="704"/>
      <c r="H25" s="483">
        <v>0</v>
      </c>
      <c r="I25" s="483" t="s">
        <v>320</v>
      </c>
      <c r="J25" s="483" t="s">
        <v>63</v>
      </c>
      <c r="K25" s="483"/>
      <c r="L25" s="481" t="s">
        <v>168</v>
      </c>
      <c r="M25" s="483" t="s">
        <v>57</v>
      </c>
      <c r="N25" s="560">
        <v>74164.05</v>
      </c>
      <c r="O25" s="483" t="s">
        <v>57</v>
      </c>
      <c r="P25" s="1143" t="s">
        <v>290</v>
      </c>
      <c r="Q25" s="125">
        <v>45939</v>
      </c>
      <c r="R25" s="674"/>
      <c r="S25" s="485"/>
      <c r="T25" s="485"/>
      <c r="U25" s="485"/>
      <c r="V25" s="430">
        <v>5613</v>
      </c>
      <c r="W25" s="599">
        <v>5774</v>
      </c>
      <c r="X25" s="486">
        <f t="shared" ref="X25:X26" si="8">SUM(V25-W25)</f>
        <v>-161</v>
      </c>
      <c r="Y25" s="684">
        <f t="shared" ref="Y25:Y26" si="9">IFERROR($W25/$V25, 0)</f>
        <v>1.0286834135043648</v>
      </c>
      <c r="Z25" s="493">
        <v>45960</v>
      </c>
      <c r="AA25" s="366">
        <v>1</v>
      </c>
      <c r="AB25" s="366">
        <v>1</v>
      </c>
      <c r="AC25" s="486">
        <v>0</v>
      </c>
      <c r="AD25" s="173" t="s">
        <v>374</v>
      </c>
    </row>
    <row r="26" spans="1:30" ht="39.75" customHeight="1">
      <c r="A26" s="969" t="s">
        <v>375</v>
      </c>
      <c r="B26" s="703" t="s">
        <v>116</v>
      </c>
      <c r="C26" s="490">
        <v>45991</v>
      </c>
      <c r="D26" s="481" t="s">
        <v>204</v>
      </c>
      <c r="E26" s="481">
        <v>45961</v>
      </c>
      <c r="F26" s="479" t="s">
        <v>117</v>
      </c>
      <c r="G26" s="704"/>
      <c r="H26" s="483">
        <v>0</v>
      </c>
      <c r="I26" s="483" t="s">
        <v>320</v>
      </c>
      <c r="J26" s="483" t="s">
        <v>63</v>
      </c>
      <c r="K26" s="483"/>
      <c r="L26" s="481" t="s">
        <v>168</v>
      </c>
      <c r="M26" s="483" t="s">
        <v>57</v>
      </c>
      <c r="N26" s="560">
        <v>39221.800000000003</v>
      </c>
      <c r="O26" s="483" t="s">
        <v>57</v>
      </c>
      <c r="P26" s="1142" t="s">
        <v>290</v>
      </c>
      <c r="Q26" s="1070">
        <v>45950</v>
      </c>
      <c r="R26" s="485"/>
      <c r="S26" s="485"/>
      <c r="T26" s="485"/>
      <c r="U26" s="485"/>
      <c r="V26" s="430">
        <v>3078</v>
      </c>
      <c r="W26" s="599">
        <v>3272</v>
      </c>
      <c r="X26" s="486">
        <f t="shared" si="8"/>
        <v>-194</v>
      </c>
      <c r="Y26" s="684">
        <f t="shared" si="9"/>
        <v>1.0630279402209226</v>
      </c>
      <c r="Z26" s="493">
        <v>45966</v>
      </c>
      <c r="AA26" s="366">
        <v>1</v>
      </c>
      <c r="AB26" s="366">
        <v>1</v>
      </c>
      <c r="AC26" s="486">
        <v>0</v>
      </c>
      <c r="AD26" s="173" t="s">
        <v>376</v>
      </c>
    </row>
    <row r="27" spans="1:30" ht="39.75" customHeight="1">
      <c r="A27" s="969" t="s">
        <v>377</v>
      </c>
      <c r="B27" s="479" t="s">
        <v>116</v>
      </c>
      <c r="C27" s="490">
        <v>45960</v>
      </c>
      <c r="D27" s="481" t="s">
        <v>209</v>
      </c>
      <c r="E27" s="481">
        <v>45939</v>
      </c>
      <c r="F27" s="479" t="s">
        <v>134</v>
      </c>
      <c r="G27" s="704"/>
      <c r="H27" s="483">
        <v>385</v>
      </c>
      <c r="I27" s="683" t="s">
        <v>320</v>
      </c>
      <c r="J27" s="483" t="s">
        <v>56</v>
      </c>
      <c r="K27" s="483"/>
      <c r="L27" s="481">
        <v>45937</v>
      </c>
      <c r="M27" s="483" t="s">
        <v>57</v>
      </c>
      <c r="N27" s="560">
        <v>210533.1</v>
      </c>
      <c r="O27" s="483" t="s">
        <v>57</v>
      </c>
      <c r="P27" s="644" t="s">
        <v>290</v>
      </c>
      <c r="Q27" s="485">
        <v>45936</v>
      </c>
      <c r="R27" s="485"/>
      <c r="S27" s="485"/>
      <c r="T27" s="485"/>
      <c r="U27" s="485"/>
      <c r="V27" s="430">
        <v>18693</v>
      </c>
      <c r="W27" s="599">
        <v>18693</v>
      </c>
      <c r="X27" s="486">
        <f>SUM(V27-W27)</f>
        <v>0</v>
      </c>
      <c r="Y27" s="684">
        <f t="shared" ref="Y27:Y28" si="10">IFERROR($W27/$V27, 0)</f>
        <v>1</v>
      </c>
      <c r="Z27" s="493">
        <v>45944</v>
      </c>
      <c r="AA27" s="366">
        <v>1</v>
      </c>
      <c r="AB27" s="366">
        <v>1</v>
      </c>
      <c r="AC27" s="486">
        <v>0</v>
      </c>
      <c r="AD27" s="173" t="s">
        <v>378</v>
      </c>
    </row>
    <row r="28" spans="1:30" ht="39.75" customHeight="1">
      <c r="A28" s="969" t="s">
        <v>379</v>
      </c>
      <c r="B28" s="479" t="s">
        <v>116</v>
      </c>
      <c r="C28" s="481">
        <v>46017</v>
      </c>
      <c r="D28" s="481" t="s">
        <v>380</v>
      </c>
      <c r="E28" s="481">
        <v>45936</v>
      </c>
      <c r="F28" s="479" t="s">
        <v>117</v>
      </c>
      <c r="G28" s="482"/>
      <c r="H28" s="483">
        <v>157</v>
      </c>
      <c r="I28" s="683" t="s">
        <v>320</v>
      </c>
      <c r="J28" s="483" t="s">
        <v>56</v>
      </c>
      <c r="K28" s="483"/>
      <c r="L28" s="481">
        <v>45943</v>
      </c>
      <c r="M28" s="483" t="s">
        <v>57</v>
      </c>
      <c r="N28" s="560">
        <v>64059.5</v>
      </c>
      <c r="O28" s="483" t="s">
        <v>57</v>
      </c>
      <c r="P28" s="644" t="s">
        <v>290</v>
      </c>
      <c r="Q28" s="485">
        <v>45943</v>
      </c>
      <c r="R28" s="485"/>
      <c r="S28" s="485"/>
      <c r="T28" s="485"/>
      <c r="U28" s="485"/>
      <c r="V28" s="486">
        <v>4725</v>
      </c>
      <c r="W28" s="645">
        <v>4725</v>
      </c>
      <c r="X28" s="486">
        <f t="shared" ref="X28" si="11">SUM(V28-W28)</f>
        <v>0</v>
      </c>
      <c r="Y28" s="684">
        <f t="shared" si="10"/>
        <v>1</v>
      </c>
      <c r="Z28" s="493">
        <v>45971</v>
      </c>
      <c r="AA28" s="366">
        <v>0</v>
      </c>
      <c r="AB28" s="366">
        <v>0</v>
      </c>
      <c r="AC28" s="486">
        <v>0</v>
      </c>
      <c r="AD28" s="780" t="s">
        <v>381</v>
      </c>
    </row>
    <row r="29" spans="1:30" ht="39.75" customHeight="1">
      <c r="A29" s="646" t="s">
        <v>382</v>
      </c>
      <c r="B29" s="480" t="s">
        <v>50</v>
      </c>
      <c r="C29" s="490">
        <v>45742</v>
      </c>
      <c r="D29" s="490" t="s">
        <v>383</v>
      </c>
      <c r="E29" s="442">
        <v>45680</v>
      </c>
      <c r="F29" s="489" t="s">
        <v>61</v>
      </c>
      <c r="G29" s="509" t="s">
        <v>384</v>
      </c>
      <c r="H29" s="492">
        <v>79</v>
      </c>
      <c r="I29" s="498" t="s">
        <v>385</v>
      </c>
      <c r="J29" s="492" t="s">
        <v>63</v>
      </c>
      <c r="K29" s="492"/>
      <c r="L29" s="479" t="s">
        <v>290</v>
      </c>
      <c r="M29" s="498" t="s">
        <v>57</v>
      </c>
      <c r="N29" s="561">
        <v>64790.5</v>
      </c>
      <c r="O29" s="498" t="s">
        <v>57</v>
      </c>
      <c r="P29" s="644" t="s">
        <v>290</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386</v>
      </c>
    </row>
    <row r="30" spans="1:30" ht="39.75" customHeight="1">
      <c r="A30" s="969" t="s">
        <v>387</v>
      </c>
      <c r="B30" s="851" t="s">
        <v>50</v>
      </c>
      <c r="C30" s="481">
        <v>45991</v>
      </c>
      <c r="D30" s="481" t="s">
        <v>71</v>
      </c>
      <c r="E30" s="490">
        <v>45743</v>
      </c>
      <c r="F30" s="489" t="s">
        <v>61</v>
      </c>
      <c r="G30" s="852" t="s">
        <v>388</v>
      </c>
      <c r="H30" s="492">
        <v>69</v>
      </c>
      <c r="I30" s="683" t="s">
        <v>320</v>
      </c>
      <c r="J30" s="483" t="s">
        <v>63</v>
      </c>
      <c r="K30" s="853"/>
      <c r="L30" s="490">
        <v>45741</v>
      </c>
      <c r="M30" s="483" t="s">
        <v>57</v>
      </c>
      <c r="N30" s="560">
        <v>67734.5</v>
      </c>
      <c r="O30" s="483" t="s">
        <v>57</v>
      </c>
      <c r="P30" s="644" t="s">
        <v>290</v>
      </c>
      <c r="Q30" s="493">
        <v>45744</v>
      </c>
      <c r="R30" s="493"/>
      <c r="S30" s="493"/>
      <c r="T30" s="493"/>
      <c r="U30" s="493"/>
      <c r="V30" s="41">
        <v>4822</v>
      </c>
      <c r="W30" s="645">
        <v>4816</v>
      </c>
      <c r="X30" s="107">
        <f>SUM(V30-W30)</f>
        <v>6</v>
      </c>
      <c r="Y30" s="679">
        <f t="shared" ref="Y30" si="12">IFERROR($W30/$V30, 0)</f>
        <v>0.99875570302778927</v>
      </c>
      <c r="Z30" s="700">
        <v>45784</v>
      </c>
      <c r="AA30" s="366">
        <v>0</v>
      </c>
      <c r="AB30" s="366">
        <v>0</v>
      </c>
      <c r="AC30" s="664">
        <v>0</v>
      </c>
      <c r="AD30" s="1039"/>
    </row>
    <row r="31" spans="1:30" ht="39.75" customHeight="1">
      <c r="A31" s="871" t="s">
        <v>389</v>
      </c>
      <c r="B31" s="480" t="s">
        <v>50</v>
      </c>
      <c r="C31" s="481">
        <v>45991</v>
      </c>
      <c r="D31" s="489" t="s">
        <v>390</v>
      </c>
      <c r="E31" s="442">
        <v>45735</v>
      </c>
      <c r="F31" s="489" t="s">
        <v>61</v>
      </c>
      <c r="G31" s="491" t="s">
        <v>391</v>
      </c>
      <c r="H31" s="492">
        <v>70</v>
      </c>
      <c r="I31" s="484" t="s">
        <v>320</v>
      </c>
      <c r="J31" s="492" t="s">
        <v>63</v>
      </c>
      <c r="K31" s="492"/>
      <c r="L31" s="481">
        <v>45716</v>
      </c>
      <c r="M31" s="492" t="s">
        <v>57</v>
      </c>
      <c r="N31" s="561">
        <v>56262.5</v>
      </c>
      <c r="O31" s="492" t="s">
        <v>57</v>
      </c>
      <c r="P31" s="734" t="s">
        <v>290</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392</v>
      </c>
    </row>
    <row r="32" spans="1:30" ht="39.75" customHeight="1">
      <c r="A32" s="969" t="s">
        <v>393</v>
      </c>
      <c r="B32" s="851" t="s">
        <v>50</v>
      </c>
      <c r="C32" s="481">
        <v>45991</v>
      </c>
      <c r="D32" s="481" t="s">
        <v>71</v>
      </c>
      <c r="E32" s="490">
        <v>45779</v>
      </c>
      <c r="F32" s="489" t="s">
        <v>61</v>
      </c>
      <c r="G32" s="852" t="s">
        <v>394</v>
      </c>
      <c r="H32" s="492">
        <v>0</v>
      </c>
      <c r="I32" s="492" t="s">
        <v>320</v>
      </c>
      <c r="J32" s="483" t="s">
        <v>63</v>
      </c>
      <c r="K32" s="853"/>
      <c r="L32" s="490">
        <v>45742</v>
      </c>
      <c r="M32" s="483" t="s">
        <v>57</v>
      </c>
      <c r="N32" s="561">
        <v>23800.25</v>
      </c>
      <c r="O32" s="483" t="s">
        <v>57</v>
      </c>
      <c r="P32" s="1023" t="s">
        <v>290</v>
      </c>
      <c r="Q32" s="493">
        <v>45743</v>
      </c>
      <c r="R32" s="493"/>
      <c r="S32" s="493"/>
      <c r="T32" s="493"/>
      <c r="U32" s="493"/>
      <c r="V32" s="41">
        <v>1697</v>
      </c>
      <c r="W32" s="645">
        <v>1815</v>
      </c>
      <c r="X32" s="107">
        <f t="shared" ref="X32" si="13">SUM(V32-W32)</f>
        <v>-118</v>
      </c>
      <c r="Y32" s="679">
        <f t="shared" ref="Y32:Y47" si="14">IFERROR($W32/$V32, 0)</f>
        <v>1.0695344725987035</v>
      </c>
      <c r="Z32" s="700">
        <v>45791</v>
      </c>
      <c r="AA32" s="366">
        <v>1</v>
      </c>
      <c r="AB32" s="366">
        <v>0</v>
      </c>
      <c r="AC32" s="664">
        <v>0</v>
      </c>
      <c r="AD32" s="503" t="s">
        <v>395</v>
      </c>
    </row>
    <row r="33" spans="1:30" ht="39.75" customHeight="1">
      <c r="A33" s="969" t="s">
        <v>396</v>
      </c>
      <c r="B33" s="851" t="s">
        <v>50</v>
      </c>
      <c r="C33" s="481">
        <v>46008</v>
      </c>
      <c r="D33" s="481" t="s">
        <v>397</v>
      </c>
      <c r="E33" s="490">
        <v>45952</v>
      </c>
      <c r="F33" s="489" t="s">
        <v>103</v>
      </c>
      <c r="G33" s="852"/>
      <c r="H33" s="492">
        <v>139</v>
      </c>
      <c r="I33" s="683" t="s">
        <v>320</v>
      </c>
      <c r="J33" s="483" t="s">
        <v>56</v>
      </c>
      <c r="K33" s="492"/>
      <c r="L33" s="490" t="s">
        <v>52</v>
      </c>
      <c r="M33" s="492" t="s">
        <v>57</v>
      </c>
      <c r="N33" s="561">
        <v>42766.5</v>
      </c>
      <c r="O33" s="492" t="s">
        <v>57</v>
      </c>
      <c r="P33" s="644" t="s">
        <v>290</v>
      </c>
      <c r="Q33" s="493">
        <v>45939</v>
      </c>
      <c r="R33" s="493"/>
      <c r="S33" s="493"/>
      <c r="T33" s="493"/>
      <c r="U33" s="493"/>
      <c r="V33" s="41">
        <v>6699</v>
      </c>
      <c r="W33" s="645">
        <v>7067</v>
      </c>
      <c r="X33" s="486">
        <f>SUM(V33-W33)</f>
        <v>-368</v>
      </c>
      <c r="Y33" s="684">
        <f t="shared" si="14"/>
        <v>1.0549335721749515</v>
      </c>
      <c r="Z33" s="493">
        <v>45954</v>
      </c>
      <c r="AA33" s="366">
        <v>1</v>
      </c>
      <c r="AB33" s="366">
        <v>1</v>
      </c>
      <c r="AC33" s="664">
        <v>0</v>
      </c>
      <c r="AD33" s="427"/>
    </row>
    <row r="34" spans="1:30" ht="39.75" customHeight="1">
      <c r="A34" s="969" t="s">
        <v>398</v>
      </c>
      <c r="B34" s="851" t="s">
        <v>50</v>
      </c>
      <c r="C34" s="481">
        <v>46008</v>
      </c>
      <c r="D34" s="481" t="s">
        <v>399</v>
      </c>
      <c r="E34" s="490">
        <v>45938</v>
      </c>
      <c r="F34" s="489" t="s">
        <v>103</v>
      </c>
      <c r="G34" s="852"/>
      <c r="H34" s="492">
        <v>193</v>
      </c>
      <c r="I34" s="683" t="s">
        <v>320</v>
      </c>
      <c r="J34" s="483" t="s">
        <v>56</v>
      </c>
      <c r="K34" s="504"/>
      <c r="L34" s="490" t="s">
        <v>52</v>
      </c>
      <c r="M34" s="492" t="s">
        <v>57</v>
      </c>
      <c r="N34" s="561">
        <v>86136</v>
      </c>
      <c r="O34" s="492" t="s">
        <v>57</v>
      </c>
      <c r="P34" s="644" t="s">
        <v>290</v>
      </c>
      <c r="Q34" s="493">
        <v>45938</v>
      </c>
      <c r="R34" s="493"/>
      <c r="S34" s="493"/>
      <c r="T34" s="493"/>
      <c r="U34" s="493"/>
      <c r="V34" s="41">
        <v>7655</v>
      </c>
      <c r="W34" s="645">
        <v>8289</v>
      </c>
      <c r="X34" s="486">
        <f t="shared" ref="X34:X47" si="15">SUM(V34-W34)</f>
        <v>-634</v>
      </c>
      <c r="Y34" s="684">
        <f t="shared" si="14"/>
        <v>1.0828216851730894</v>
      </c>
      <c r="Z34" s="493">
        <v>45943</v>
      </c>
      <c r="AA34" s="366">
        <v>1</v>
      </c>
      <c r="AB34" s="366">
        <v>1</v>
      </c>
      <c r="AC34" s="664">
        <v>0</v>
      </c>
      <c r="AD34" s="173"/>
    </row>
    <row r="35" spans="1:30" ht="39.75" customHeight="1">
      <c r="A35" s="1154" t="s">
        <v>400</v>
      </c>
      <c r="B35" s="464" t="s">
        <v>288</v>
      </c>
      <c r="C35" s="386">
        <v>46045</v>
      </c>
      <c r="D35" s="1032" t="s">
        <v>150</v>
      </c>
      <c r="E35" s="386"/>
      <c r="F35" s="385" t="s">
        <v>289</v>
      </c>
      <c r="G35" s="656"/>
      <c r="H35" s="1148">
        <v>80</v>
      </c>
      <c r="I35" s="1036" t="s">
        <v>320</v>
      </c>
      <c r="J35" s="1037" t="s">
        <v>63</v>
      </c>
      <c r="K35" s="1080"/>
      <c r="L35" s="386"/>
      <c r="M35" s="1037" t="s">
        <v>57</v>
      </c>
      <c r="N35" s="1149">
        <v>170</v>
      </c>
      <c r="O35" s="52" t="s">
        <v>57</v>
      </c>
      <c r="P35" s="1151" t="s">
        <v>290</v>
      </c>
      <c r="Q35" s="125"/>
      <c r="R35" s="672"/>
      <c r="S35" s="672"/>
      <c r="T35" s="672"/>
      <c r="U35" s="672"/>
      <c r="V35" s="1082">
        <v>7137</v>
      </c>
      <c r="W35" s="1083">
        <v>7141</v>
      </c>
      <c r="X35" s="1082">
        <f t="shared" si="15"/>
        <v>-4</v>
      </c>
      <c r="Y35" s="903">
        <f t="shared" si="14"/>
        <v>1.0005604595768529</v>
      </c>
      <c r="Z35" s="125">
        <v>45964</v>
      </c>
      <c r="AA35" s="366">
        <v>0</v>
      </c>
      <c r="AB35" s="366">
        <v>0</v>
      </c>
      <c r="AC35" s="41">
        <v>0</v>
      </c>
      <c r="AD35" s="450" t="s">
        <v>401</v>
      </c>
    </row>
    <row r="36" spans="1:30" ht="39.75" customHeight="1">
      <c r="A36" s="1154" t="s">
        <v>402</v>
      </c>
      <c r="B36" s="464" t="s">
        <v>288</v>
      </c>
      <c r="C36" s="386">
        <v>46045</v>
      </c>
      <c r="D36" s="1032" t="s">
        <v>150</v>
      </c>
      <c r="E36" s="386"/>
      <c r="F36" s="385" t="s">
        <v>289</v>
      </c>
      <c r="G36" s="656"/>
      <c r="H36" s="1148">
        <v>89</v>
      </c>
      <c r="I36" s="1036" t="s">
        <v>320</v>
      </c>
      <c r="J36" s="1037" t="s">
        <v>63</v>
      </c>
      <c r="K36" s="1080"/>
      <c r="L36" s="386"/>
      <c r="M36" s="1037" t="s">
        <v>57</v>
      </c>
      <c r="N36" s="1149">
        <v>26696</v>
      </c>
      <c r="O36" s="52" t="s">
        <v>57</v>
      </c>
      <c r="P36" s="1151" t="s">
        <v>290</v>
      </c>
      <c r="Q36" s="125"/>
      <c r="R36" s="672"/>
      <c r="S36" s="672"/>
      <c r="T36" s="672"/>
      <c r="U36" s="672"/>
      <c r="V36" s="1082">
        <v>8153</v>
      </c>
      <c r="W36" s="1083">
        <v>8114</v>
      </c>
      <c r="X36" s="1082">
        <f t="shared" si="15"/>
        <v>39</v>
      </c>
      <c r="Y36" s="903">
        <f t="shared" si="14"/>
        <v>0.99521648472954738</v>
      </c>
      <c r="Z36" s="125">
        <v>45964</v>
      </c>
      <c r="AA36" s="366">
        <v>0</v>
      </c>
      <c r="AB36" s="366">
        <v>0</v>
      </c>
      <c r="AC36" s="41">
        <v>0</v>
      </c>
      <c r="AD36" s="450" t="s">
        <v>403</v>
      </c>
    </row>
    <row r="37" spans="1:30" ht="39.75" customHeight="1">
      <c r="A37" s="1154" t="s">
        <v>404</v>
      </c>
      <c r="B37" s="464" t="s">
        <v>288</v>
      </c>
      <c r="C37" s="386">
        <v>46045</v>
      </c>
      <c r="D37" s="1032" t="s">
        <v>150</v>
      </c>
      <c r="E37" s="386"/>
      <c r="F37" s="385"/>
      <c r="G37" s="656"/>
      <c r="H37" s="1148">
        <v>77</v>
      </c>
      <c r="I37" s="1036" t="s">
        <v>320</v>
      </c>
      <c r="J37" s="1037" t="s">
        <v>63</v>
      </c>
      <c r="K37" s="1080"/>
      <c r="L37" s="386"/>
      <c r="M37" s="1037" t="s">
        <v>57</v>
      </c>
      <c r="N37" s="1149">
        <v>4046.5</v>
      </c>
      <c r="O37" s="52" t="s">
        <v>57</v>
      </c>
      <c r="P37" s="1151" t="s">
        <v>290</v>
      </c>
      <c r="Q37" s="125"/>
      <c r="R37" s="672"/>
      <c r="S37" s="672"/>
      <c r="T37" s="672"/>
      <c r="U37" s="672"/>
      <c r="V37" s="1082">
        <v>5136</v>
      </c>
      <c r="W37" s="1083">
        <v>5136</v>
      </c>
      <c r="X37" s="1082">
        <f t="shared" si="15"/>
        <v>0</v>
      </c>
      <c r="Y37" s="903">
        <f t="shared" si="14"/>
        <v>1</v>
      </c>
      <c r="Z37" s="125">
        <v>45964</v>
      </c>
      <c r="AA37" s="366">
        <v>0</v>
      </c>
      <c r="AB37" s="366">
        <v>0</v>
      </c>
      <c r="AC37" s="41">
        <v>0</v>
      </c>
      <c r="AD37" s="450" t="s">
        <v>401</v>
      </c>
    </row>
    <row r="38" spans="1:30" ht="39.75" customHeight="1">
      <c r="A38" s="1154" t="s">
        <v>405</v>
      </c>
      <c r="B38" s="464" t="s">
        <v>288</v>
      </c>
      <c r="C38" s="386">
        <v>46045</v>
      </c>
      <c r="D38" s="1032" t="s">
        <v>150</v>
      </c>
      <c r="E38" s="386"/>
      <c r="F38" s="385"/>
      <c r="G38" s="656"/>
      <c r="H38" s="1148">
        <v>85</v>
      </c>
      <c r="I38" s="1036" t="s">
        <v>320</v>
      </c>
      <c r="J38" s="1037" t="s">
        <v>63</v>
      </c>
      <c r="K38" s="1080"/>
      <c r="L38" s="386"/>
      <c r="M38" s="1037" t="s">
        <v>57</v>
      </c>
      <c r="N38" s="1149">
        <v>29180.45</v>
      </c>
      <c r="O38" s="52" t="s">
        <v>57</v>
      </c>
      <c r="P38" s="1151" t="s">
        <v>290</v>
      </c>
      <c r="Q38" s="125"/>
      <c r="R38" s="672"/>
      <c r="S38" s="672"/>
      <c r="T38" s="672"/>
      <c r="U38" s="672"/>
      <c r="V38" s="1082">
        <v>6249</v>
      </c>
      <c r="W38" s="1083">
        <v>6183</v>
      </c>
      <c r="X38" s="1082">
        <f t="shared" si="15"/>
        <v>66</v>
      </c>
      <c r="Y38" s="903">
        <f t="shared" si="14"/>
        <v>0.98943831012962069</v>
      </c>
      <c r="Z38" s="125">
        <v>45964</v>
      </c>
      <c r="AA38" s="366">
        <v>0</v>
      </c>
      <c r="AB38" s="366">
        <v>0</v>
      </c>
      <c r="AC38" s="41">
        <v>0</v>
      </c>
      <c r="AD38" s="450" t="s">
        <v>406</v>
      </c>
    </row>
    <row r="39" spans="1:30" ht="39.75" customHeight="1">
      <c r="A39" s="1154" t="s">
        <v>407</v>
      </c>
      <c r="B39" s="464" t="s">
        <v>288</v>
      </c>
      <c r="C39" s="386">
        <v>46045</v>
      </c>
      <c r="D39" s="1032" t="s">
        <v>150</v>
      </c>
      <c r="E39" s="386"/>
      <c r="F39" s="385"/>
      <c r="G39" s="656"/>
      <c r="H39" s="1148">
        <v>62</v>
      </c>
      <c r="I39" s="1036" t="s">
        <v>320</v>
      </c>
      <c r="J39" s="1037" t="s">
        <v>63</v>
      </c>
      <c r="K39" s="1080"/>
      <c r="L39" s="386"/>
      <c r="M39" s="52" t="s">
        <v>57</v>
      </c>
      <c r="N39" s="1149">
        <v>170</v>
      </c>
      <c r="O39" s="52" t="s">
        <v>57</v>
      </c>
      <c r="P39" s="1151" t="s">
        <v>290</v>
      </c>
      <c r="Q39" s="125"/>
      <c r="R39" s="672"/>
      <c r="S39" s="672"/>
      <c r="T39" s="672"/>
      <c r="U39" s="672"/>
      <c r="V39" s="1082">
        <v>4095</v>
      </c>
      <c r="W39" s="1083">
        <v>4088</v>
      </c>
      <c r="X39" s="1082">
        <f t="shared" si="15"/>
        <v>7</v>
      </c>
      <c r="Y39" s="903">
        <f t="shared" si="14"/>
        <v>0.9982905982905983</v>
      </c>
      <c r="Z39" s="125">
        <v>45964</v>
      </c>
      <c r="AA39" s="366">
        <v>0</v>
      </c>
      <c r="AB39" s="366">
        <v>0</v>
      </c>
      <c r="AC39" s="41">
        <v>0</v>
      </c>
      <c r="AD39" s="450" t="s">
        <v>401</v>
      </c>
    </row>
    <row r="40" spans="1:30" ht="39.75" customHeight="1">
      <c r="A40" s="1154" t="s">
        <v>408</v>
      </c>
      <c r="B40" s="464" t="s">
        <v>288</v>
      </c>
      <c r="C40" s="386">
        <v>46045</v>
      </c>
      <c r="D40" s="1032" t="s">
        <v>150</v>
      </c>
      <c r="E40" s="386"/>
      <c r="F40" s="385"/>
      <c r="G40" s="656"/>
      <c r="H40" s="1148">
        <v>80</v>
      </c>
      <c r="I40" s="1036" t="s">
        <v>320</v>
      </c>
      <c r="J40" s="1037" t="s">
        <v>63</v>
      </c>
      <c r="K40" s="1080"/>
      <c r="L40" s="386"/>
      <c r="M40" s="52" t="s">
        <v>57</v>
      </c>
      <c r="N40" s="1149">
        <v>25891</v>
      </c>
      <c r="O40" s="52" t="s">
        <v>57</v>
      </c>
      <c r="P40" s="1151" t="s">
        <v>290</v>
      </c>
      <c r="Q40" s="125"/>
      <c r="R40" s="672"/>
      <c r="S40" s="672"/>
      <c r="T40" s="672"/>
      <c r="U40" s="672"/>
      <c r="V40" s="1082">
        <v>5254</v>
      </c>
      <c r="W40" s="1083">
        <v>5254</v>
      </c>
      <c r="X40" s="1082">
        <f t="shared" si="15"/>
        <v>0</v>
      </c>
      <c r="Y40" s="903">
        <f t="shared" si="14"/>
        <v>1</v>
      </c>
      <c r="Z40" s="125">
        <v>45964</v>
      </c>
      <c r="AA40" s="366">
        <v>0</v>
      </c>
      <c r="AB40" s="366">
        <v>0</v>
      </c>
      <c r="AC40" s="41">
        <v>0</v>
      </c>
      <c r="AD40" s="450" t="s">
        <v>401</v>
      </c>
    </row>
    <row r="41" spans="1:30" ht="39.75" customHeight="1">
      <c r="A41" s="1154" t="s">
        <v>409</v>
      </c>
      <c r="B41" s="464" t="s">
        <v>288</v>
      </c>
      <c r="C41" s="386">
        <v>46045</v>
      </c>
      <c r="D41" s="1032" t="s">
        <v>150</v>
      </c>
      <c r="E41" s="386"/>
      <c r="F41" s="385"/>
      <c r="G41" s="656"/>
      <c r="H41" s="1148">
        <v>83</v>
      </c>
      <c r="I41" s="1036" t="s">
        <v>320</v>
      </c>
      <c r="J41" s="1037" t="s">
        <v>63</v>
      </c>
      <c r="K41" s="1080"/>
      <c r="L41" s="386"/>
      <c r="M41" s="52" t="s">
        <v>57</v>
      </c>
      <c r="N41" s="1149">
        <v>170</v>
      </c>
      <c r="O41" s="52" t="s">
        <v>57</v>
      </c>
      <c r="P41" s="1151" t="s">
        <v>290</v>
      </c>
      <c r="Q41" s="125"/>
      <c r="R41" s="672"/>
      <c r="S41" s="672"/>
      <c r="T41" s="672"/>
      <c r="U41" s="672"/>
      <c r="V41" s="1082">
        <v>5947</v>
      </c>
      <c r="W41" s="1083">
        <v>5947</v>
      </c>
      <c r="X41" s="1082">
        <f t="shared" si="15"/>
        <v>0</v>
      </c>
      <c r="Y41" s="903">
        <f t="shared" si="14"/>
        <v>1</v>
      </c>
      <c r="Z41" s="125">
        <v>45964</v>
      </c>
      <c r="AA41" s="366">
        <v>0</v>
      </c>
      <c r="AB41" s="366">
        <v>0</v>
      </c>
      <c r="AC41" s="41">
        <v>0</v>
      </c>
      <c r="AD41" s="450" t="s">
        <v>401</v>
      </c>
    </row>
    <row r="42" spans="1:30" ht="39.75" customHeight="1">
      <c r="A42" s="1154" t="s">
        <v>410</v>
      </c>
      <c r="B42" s="464" t="s">
        <v>288</v>
      </c>
      <c r="C42" s="386">
        <v>46045</v>
      </c>
      <c r="D42" s="1032" t="s">
        <v>150</v>
      </c>
      <c r="E42" s="386"/>
      <c r="F42" s="385"/>
      <c r="G42" s="656"/>
      <c r="H42" s="1148">
        <v>85</v>
      </c>
      <c r="I42" s="1036" t="s">
        <v>320</v>
      </c>
      <c r="J42" s="1037" t="s">
        <v>63</v>
      </c>
      <c r="K42" s="1080"/>
      <c r="L42" s="386"/>
      <c r="M42" s="52" t="s">
        <v>57</v>
      </c>
      <c r="N42" s="1149">
        <v>30788</v>
      </c>
      <c r="O42" s="52" t="s">
        <v>57</v>
      </c>
      <c r="P42" s="1151" t="s">
        <v>290</v>
      </c>
      <c r="Q42" s="125"/>
      <c r="R42" s="672"/>
      <c r="S42" s="672"/>
      <c r="T42" s="672"/>
      <c r="U42" s="672"/>
      <c r="V42" s="1082">
        <v>5599</v>
      </c>
      <c r="W42" s="1083">
        <v>5599</v>
      </c>
      <c r="X42" s="1082">
        <f t="shared" si="15"/>
        <v>0</v>
      </c>
      <c r="Y42" s="903">
        <f t="shared" si="14"/>
        <v>1</v>
      </c>
      <c r="Z42" s="125">
        <v>45964</v>
      </c>
      <c r="AA42" s="366">
        <v>0</v>
      </c>
      <c r="AB42" s="366">
        <v>0</v>
      </c>
      <c r="AC42" s="41">
        <v>0</v>
      </c>
      <c r="AD42" s="450" t="s">
        <v>401</v>
      </c>
    </row>
    <row r="43" spans="1:30" ht="39.75" customHeight="1">
      <c r="A43" s="1155" t="s">
        <v>411</v>
      </c>
      <c r="B43" s="1034" t="s">
        <v>288</v>
      </c>
      <c r="C43" s="930">
        <v>46045</v>
      </c>
      <c r="D43" s="1152" t="s">
        <v>150</v>
      </c>
      <c r="E43" s="930"/>
      <c r="F43" s="936"/>
      <c r="G43" s="1099"/>
      <c r="H43" s="1153">
        <v>88</v>
      </c>
      <c r="I43" s="857" t="s">
        <v>320</v>
      </c>
      <c r="J43" s="492" t="s">
        <v>63</v>
      </c>
      <c r="K43" s="1080"/>
      <c r="L43" s="386"/>
      <c r="M43" s="52" t="s">
        <v>57</v>
      </c>
      <c r="N43" s="1149">
        <v>5668</v>
      </c>
      <c r="O43" s="52" t="s">
        <v>57</v>
      </c>
      <c r="P43" s="1151" t="s">
        <v>290</v>
      </c>
      <c r="Q43" s="125"/>
      <c r="R43" s="672"/>
      <c r="S43" s="672"/>
      <c r="T43" s="672"/>
      <c r="U43" s="672"/>
      <c r="V43" s="1082">
        <v>6646</v>
      </c>
      <c r="W43" s="1083">
        <v>6623</v>
      </c>
      <c r="X43" s="1082">
        <f t="shared" si="15"/>
        <v>23</v>
      </c>
      <c r="Y43" s="903">
        <f t="shared" si="14"/>
        <v>0.99653927174240142</v>
      </c>
      <c r="Z43" s="125">
        <v>45964</v>
      </c>
      <c r="AA43" s="366">
        <v>0</v>
      </c>
      <c r="AB43" s="366">
        <v>0</v>
      </c>
      <c r="AC43" s="41">
        <v>0</v>
      </c>
      <c r="AD43" s="450" t="s">
        <v>401</v>
      </c>
    </row>
    <row r="44" spans="1:30" ht="39.75" customHeight="1">
      <c r="A44" s="1155" t="s">
        <v>412</v>
      </c>
      <c r="B44" s="1034" t="s">
        <v>288</v>
      </c>
      <c r="C44" s="930">
        <v>46045</v>
      </c>
      <c r="D44" s="1152" t="s">
        <v>150</v>
      </c>
      <c r="E44" s="930"/>
      <c r="F44" s="936"/>
      <c r="G44" s="1099"/>
      <c r="H44" s="1153">
        <v>30</v>
      </c>
      <c r="I44" s="857" t="s">
        <v>320</v>
      </c>
      <c r="J44" s="492" t="s">
        <v>63</v>
      </c>
      <c r="K44" s="1080"/>
      <c r="L44" s="386"/>
      <c r="M44" s="52" t="s">
        <v>57</v>
      </c>
      <c r="N44" s="1149">
        <v>170</v>
      </c>
      <c r="O44" s="52" t="s">
        <v>57</v>
      </c>
      <c r="P44" s="1151" t="s">
        <v>290</v>
      </c>
      <c r="Q44" s="125"/>
      <c r="R44" s="672"/>
      <c r="S44" s="672"/>
      <c r="T44" s="672"/>
      <c r="U44" s="672"/>
      <c r="V44" s="1082">
        <v>2136</v>
      </c>
      <c r="W44" s="1083">
        <v>2136</v>
      </c>
      <c r="X44" s="1082">
        <f t="shared" si="15"/>
        <v>0</v>
      </c>
      <c r="Y44" s="903">
        <f t="shared" si="14"/>
        <v>1</v>
      </c>
      <c r="Z44" s="125">
        <v>45964</v>
      </c>
      <c r="AA44" s="366">
        <v>0</v>
      </c>
      <c r="AB44" s="366">
        <v>0</v>
      </c>
      <c r="AC44" s="41">
        <v>0</v>
      </c>
      <c r="AD44" s="450" t="s">
        <v>401</v>
      </c>
    </row>
    <row r="45" spans="1:30" ht="39.75" customHeight="1">
      <c r="A45" s="1155" t="s">
        <v>413</v>
      </c>
      <c r="B45" s="1034" t="s">
        <v>288</v>
      </c>
      <c r="C45" s="930">
        <v>46045</v>
      </c>
      <c r="D45" s="1152" t="s">
        <v>150</v>
      </c>
      <c r="E45" s="930">
        <v>45959</v>
      </c>
      <c r="F45" s="936" t="s">
        <v>134</v>
      </c>
      <c r="G45" s="1099"/>
      <c r="H45" s="815">
        <v>89</v>
      </c>
      <c r="I45" s="857" t="s">
        <v>320</v>
      </c>
      <c r="J45" s="492" t="s">
        <v>63</v>
      </c>
      <c r="K45" s="669"/>
      <c r="L45" s="51">
        <v>45964</v>
      </c>
      <c r="M45" s="1037" t="s">
        <v>57</v>
      </c>
      <c r="N45" s="868">
        <v>84750.5</v>
      </c>
      <c r="O45" s="52" t="s">
        <v>57</v>
      </c>
      <c r="P45" s="1151" t="s">
        <v>290</v>
      </c>
      <c r="Q45" s="54">
        <v>45964</v>
      </c>
      <c r="R45" s="1069"/>
      <c r="S45" s="672"/>
      <c r="T45" s="672"/>
      <c r="U45" s="672"/>
      <c r="V45" s="107">
        <v>6935</v>
      </c>
      <c r="W45" s="1083">
        <v>6891</v>
      </c>
      <c r="X45" s="486">
        <f t="shared" si="15"/>
        <v>44</v>
      </c>
      <c r="Y45" s="893">
        <f t="shared" si="14"/>
        <v>0.99365537130497472</v>
      </c>
      <c r="Z45" s="125">
        <v>45973</v>
      </c>
      <c r="AA45" s="619">
        <v>0</v>
      </c>
      <c r="AB45" s="619">
        <v>0</v>
      </c>
      <c r="AC45" s="1038">
        <v>0</v>
      </c>
      <c r="AD45" s="450" t="s">
        <v>414</v>
      </c>
    </row>
    <row r="46" spans="1:30" ht="39.75" customHeight="1">
      <c r="A46" s="1155" t="s">
        <v>415</v>
      </c>
      <c r="B46" s="1034" t="s">
        <v>288</v>
      </c>
      <c r="C46" s="930">
        <v>46045</v>
      </c>
      <c r="D46" s="1152" t="s">
        <v>150</v>
      </c>
      <c r="E46" s="930">
        <v>45959</v>
      </c>
      <c r="F46" s="936" t="s">
        <v>134</v>
      </c>
      <c r="G46" s="1099"/>
      <c r="H46" s="815">
        <v>88</v>
      </c>
      <c r="I46" s="857" t="s">
        <v>320</v>
      </c>
      <c r="J46" s="492" t="s">
        <v>63</v>
      </c>
      <c r="K46" s="669"/>
      <c r="L46" s="51">
        <v>45961</v>
      </c>
      <c r="M46" s="1037" t="s">
        <v>57</v>
      </c>
      <c r="N46" s="868">
        <v>88231.9</v>
      </c>
      <c r="O46" s="52" t="s">
        <v>57</v>
      </c>
      <c r="P46" s="1151" t="s">
        <v>290</v>
      </c>
      <c r="Q46" s="54">
        <v>45961</v>
      </c>
      <c r="R46" s="1069"/>
      <c r="S46" s="672"/>
      <c r="T46" s="672"/>
      <c r="U46" s="672"/>
      <c r="V46" s="107">
        <v>7274</v>
      </c>
      <c r="W46" s="1083">
        <v>7274</v>
      </c>
      <c r="X46" s="486">
        <f t="shared" si="15"/>
        <v>0</v>
      </c>
      <c r="Y46" s="903">
        <f t="shared" si="14"/>
        <v>1</v>
      </c>
      <c r="Z46" s="125">
        <v>45968</v>
      </c>
      <c r="AA46" s="619">
        <v>0</v>
      </c>
      <c r="AB46" s="619">
        <v>0</v>
      </c>
      <c r="AC46" s="1038">
        <v>0</v>
      </c>
      <c r="AD46" s="450" t="s">
        <v>416</v>
      </c>
    </row>
    <row r="47" spans="1:30" ht="39.75" customHeight="1">
      <c r="A47" s="1155" t="s">
        <v>417</v>
      </c>
      <c r="B47" s="1034" t="s">
        <v>288</v>
      </c>
      <c r="C47" s="930">
        <v>46045</v>
      </c>
      <c r="D47" s="1152" t="s">
        <v>150</v>
      </c>
      <c r="E47" s="930">
        <v>45959</v>
      </c>
      <c r="F47" s="936" t="s">
        <v>134</v>
      </c>
      <c r="G47" s="1099"/>
      <c r="H47" s="815">
        <v>90</v>
      </c>
      <c r="I47" s="857" t="s">
        <v>320</v>
      </c>
      <c r="J47" s="492" t="s">
        <v>63</v>
      </c>
      <c r="K47" s="669"/>
      <c r="L47" s="51">
        <v>45964</v>
      </c>
      <c r="M47" s="1037" t="s">
        <v>57</v>
      </c>
      <c r="N47" s="868">
        <v>84896</v>
      </c>
      <c r="O47" s="52" t="s">
        <v>57</v>
      </c>
      <c r="P47" s="1151" t="s">
        <v>290</v>
      </c>
      <c r="Q47" s="54">
        <v>45964</v>
      </c>
      <c r="R47" s="1069"/>
      <c r="S47" s="672"/>
      <c r="T47" s="672"/>
      <c r="U47" s="672"/>
      <c r="V47" s="107">
        <v>7060</v>
      </c>
      <c r="W47" s="1083">
        <v>7060</v>
      </c>
      <c r="X47" s="486">
        <f t="shared" si="15"/>
        <v>0</v>
      </c>
      <c r="Y47" s="903">
        <f t="shared" si="14"/>
        <v>1</v>
      </c>
      <c r="Z47" s="125">
        <v>45973</v>
      </c>
      <c r="AA47" s="619">
        <v>0</v>
      </c>
      <c r="AB47" s="619">
        <v>0</v>
      </c>
      <c r="AC47" s="1038">
        <v>0</v>
      </c>
      <c r="AD47" s="450" t="s">
        <v>418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213</v>
      </c>
      <c r="C2" s="481">
        <v>45868</v>
      </c>
      <c r="D2" s="489" t="s">
        <v>420</v>
      </c>
      <c r="E2" s="490">
        <v>45716</v>
      </c>
      <c r="F2" s="489" t="s">
        <v>226</v>
      </c>
      <c r="G2" s="615" t="s">
        <v>421</v>
      </c>
      <c r="H2" s="492">
        <v>0</v>
      </c>
      <c r="I2" s="498" t="s">
        <v>320</v>
      </c>
      <c r="J2" s="492" t="s">
        <v>63</v>
      </c>
      <c r="K2" s="504"/>
      <c r="L2" s="481">
        <v>45716</v>
      </c>
      <c r="M2" s="492" t="s">
        <v>57</v>
      </c>
      <c r="N2" s="561">
        <v>64932.55</v>
      </c>
      <c r="O2" s="492" t="s">
        <v>57</v>
      </c>
      <c r="P2" s="830" t="s">
        <v>290</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213</v>
      </c>
      <c r="C3" s="481">
        <v>45991</v>
      </c>
      <c r="D3" s="490" t="s">
        <v>334</v>
      </c>
      <c r="E3" s="442">
        <v>45707</v>
      </c>
      <c r="F3" s="489" t="s">
        <v>226</v>
      </c>
      <c r="G3" s="509" t="s">
        <v>424</v>
      </c>
      <c r="H3" s="498">
        <v>0</v>
      </c>
      <c r="I3" s="498" t="s">
        <v>320</v>
      </c>
      <c r="J3" s="498" t="s">
        <v>63</v>
      </c>
      <c r="K3" s="498"/>
      <c r="L3" s="490">
        <v>45708</v>
      </c>
      <c r="M3" s="498" t="s">
        <v>57</v>
      </c>
      <c r="N3" s="562">
        <v>87944.4</v>
      </c>
      <c r="O3" s="498" t="s">
        <v>57</v>
      </c>
      <c r="P3" s="830" t="s">
        <v>290</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213</v>
      </c>
      <c r="C4" s="490">
        <v>45807</v>
      </c>
      <c r="D4" s="479" t="s">
        <v>420</v>
      </c>
      <c r="E4" s="489" t="s">
        <v>52</v>
      </c>
      <c r="F4" s="479" t="s">
        <v>226</v>
      </c>
      <c r="G4" s="852" t="s">
        <v>427</v>
      </c>
      <c r="H4" s="483">
        <v>84</v>
      </c>
      <c r="I4" s="857" t="s">
        <v>320</v>
      </c>
      <c r="J4" s="492" t="s">
        <v>63</v>
      </c>
      <c r="K4" s="873"/>
      <c r="L4" s="481">
        <v>45716</v>
      </c>
      <c r="M4" s="492" t="s">
        <v>57</v>
      </c>
      <c r="N4" s="560">
        <v>2812.95</v>
      </c>
      <c r="O4" s="492" t="s">
        <v>57</v>
      </c>
      <c r="P4" s="830" t="s">
        <v>290</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213</v>
      </c>
      <c r="C5" s="481">
        <v>45991</v>
      </c>
      <c r="D5" s="489" t="s">
        <v>334</v>
      </c>
      <c r="E5" s="490">
        <v>45866</v>
      </c>
      <c r="F5" s="489" t="s">
        <v>226</v>
      </c>
      <c r="G5" s="491" t="s">
        <v>429</v>
      </c>
      <c r="H5" s="492">
        <v>0</v>
      </c>
      <c r="I5" s="498" t="s">
        <v>320</v>
      </c>
      <c r="J5" s="492" t="s">
        <v>63</v>
      </c>
      <c r="K5" s="504"/>
      <c r="L5" s="490">
        <v>45863</v>
      </c>
      <c r="M5" s="492" t="s">
        <v>57</v>
      </c>
      <c r="N5" s="561">
        <v>143407.25</v>
      </c>
      <c r="O5" s="492" t="s">
        <v>57</v>
      </c>
      <c r="P5" s="830" t="s">
        <v>290</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213</v>
      </c>
      <c r="C6" s="481">
        <v>45991</v>
      </c>
      <c r="D6" s="489" t="s">
        <v>71</v>
      </c>
      <c r="E6" s="490">
        <v>45880</v>
      </c>
      <c r="F6" s="489" t="s">
        <v>214</v>
      </c>
      <c r="G6" s="491" t="s">
        <v>431</v>
      </c>
      <c r="H6" s="492">
        <v>0</v>
      </c>
      <c r="I6" s="498" t="s">
        <v>320</v>
      </c>
      <c r="J6" s="492" t="s">
        <v>63</v>
      </c>
      <c r="K6" s="504"/>
      <c r="L6" s="490">
        <v>45881</v>
      </c>
      <c r="M6" s="492" t="s">
        <v>57</v>
      </c>
      <c r="N6" s="561">
        <v>4815.6499999999996</v>
      </c>
      <c r="O6" s="492" t="s">
        <v>57</v>
      </c>
      <c r="P6" s="830" t="s">
        <v>290</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213</v>
      </c>
      <c r="C7" s="864">
        <v>45955</v>
      </c>
      <c r="D7" s="865" t="s">
        <v>150</v>
      </c>
      <c r="E7" s="865">
        <v>45919</v>
      </c>
      <c r="F7" s="865" t="s">
        <v>235</v>
      </c>
      <c r="G7" s="866" t="s">
        <v>433</v>
      </c>
      <c r="H7" s="405">
        <v>0</v>
      </c>
      <c r="I7" s="867" t="s">
        <v>320</v>
      </c>
      <c r="J7" s="405" t="s">
        <v>63</v>
      </c>
      <c r="K7" s="405"/>
      <c r="L7" s="865" t="s">
        <v>52</v>
      </c>
      <c r="M7" s="405" t="s">
        <v>57</v>
      </c>
      <c r="N7" s="868">
        <v>4646.75</v>
      </c>
      <c r="O7" s="405" t="s">
        <v>96</v>
      </c>
      <c r="P7" s="956" t="s">
        <v>290</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320</v>
      </c>
      <c r="J8" s="483" t="s">
        <v>63</v>
      </c>
      <c r="K8" s="483"/>
      <c r="L8" s="490">
        <v>45918</v>
      </c>
      <c r="M8" s="492" t="s">
        <v>57</v>
      </c>
      <c r="N8" s="561">
        <v>9611.9500000000007</v>
      </c>
      <c r="O8" s="492" t="s">
        <v>57</v>
      </c>
      <c r="P8" s="830" t="s">
        <v>290</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320</v>
      </c>
      <c r="J9" s="492" t="s">
        <v>63</v>
      </c>
      <c r="K9" s="504"/>
      <c r="L9" s="490">
        <v>45888</v>
      </c>
      <c r="M9" s="492" t="s">
        <v>57</v>
      </c>
      <c r="N9" s="561">
        <v>53902</v>
      </c>
      <c r="O9" s="492" t="s">
        <v>57</v>
      </c>
      <c r="P9" s="830" t="s">
        <v>290</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150</v>
      </c>
      <c r="E10" s="481">
        <v>45896</v>
      </c>
      <c r="F10" s="479" t="s">
        <v>134</v>
      </c>
      <c r="G10" s="479" t="s">
        <v>440</v>
      </c>
      <c r="H10" s="483">
        <v>66</v>
      </c>
      <c r="I10" s="483" t="s">
        <v>320</v>
      </c>
      <c r="J10" s="483" t="s">
        <v>63</v>
      </c>
      <c r="K10" s="483"/>
      <c r="L10" s="481">
        <v>45897</v>
      </c>
      <c r="M10" s="483" t="s">
        <v>57</v>
      </c>
      <c r="N10" s="560">
        <v>44896.1</v>
      </c>
      <c r="O10" s="483" t="s">
        <v>57</v>
      </c>
      <c r="P10" s="830" t="s">
        <v>290</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150</v>
      </c>
      <c r="E11" s="661">
        <v>45910</v>
      </c>
      <c r="F11" s="479" t="s">
        <v>117</v>
      </c>
      <c r="G11" s="479" t="s">
        <v>443</v>
      </c>
      <c r="H11" s="483">
        <v>80</v>
      </c>
      <c r="I11" s="483" t="s">
        <v>320</v>
      </c>
      <c r="J11" s="483" t="s">
        <v>63</v>
      </c>
      <c r="K11" s="483"/>
      <c r="L11" s="481">
        <v>45903</v>
      </c>
      <c r="M11" s="483" t="s">
        <v>57</v>
      </c>
      <c r="N11" s="560">
        <v>59116.7</v>
      </c>
      <c r="O11" s="483" t="s">
        <v>57</v>
      </c>
      <c r="P11" s="830" t="s">
        <v>290</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150</v>
      </c>
      <c r="E12" s="661">
        <v>45910</v>
      </c>
      <c r="F12" s="661" t="s">
        <v>134</v>
      </c>
      <c r="G12" s="704" t="s">
        <v>446</v>
      </c>
      <c r="H12" s="483">
        <v>67</v>
      </c>
      <c r="I12" s="683" t="s">
        <v>320</v>
      </c>
      <c r="J12" s="483" t="s">
        <v>63</v>
      </c>
      <c r="K12" s="483"/>
      <c r="L12" s="481">
        <v>45903</v>
      </c>
      <c r="M12" s="483" t="s">
        <v>57</v>
      </c>
      <c r="N12" s="560">
        <v>40406</v>
      </c>
      <c r="O12" s="483" t="s">
        <v>57</v>
      </c>
      <c r="P12" s="830" t="s">
        <v>290</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150</v>
      </c>
      <c r="E13" s="481">
        <v>45936</v>
      </c>
      <c r="F13" s="479" t="s">
        <v>142</v>
      </c>
      <c r="G13" s="704"/>
      <c r="H13" s="483">
        <v>35</v>
      </c>
      <c r="I13" s="683" t="s">
        <v>320</v>
      </c>
      <c r="J13" s="483" t="s">
        <v>63</v>
      </c>
      <c r="K13" s="483"/>
      <c r="L13" s="481">
        <v>45933</v>
      </c>
      <c r="M13" s="483" t="s">
        <v>57</v>
      </c>
      <c r="N13" s="560">
        <v>26026</v>
      </c>
      <c r="O13" s="483" t="s">
        <v>57</v>
      </c>
      <c r="P13" s="830" t="s">
        <v>290</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150</v>
      </c>
      <c r="E14" s="481">
        <v>45915</v>
      </c>
      <c r="F14" s="661" t="s">
        <v>134</v>
      </c>
      <c r="G14" s="704"/>
      <c r="H14" s="483">
        <v>82</v>
      </c>
      <c r="I14" s="683" t="s">
        <v>320</v>
      </c>
      <c r="J14" s="483" t="s">
        <v>63</v>
      </c>
      <c r="K14" s="483"/>
      <c r="L14" s="481">
        <v>45912</v>
      </c>
      <c r="M14" s="483" t="s">
        <v>57</v>
      </c>
      <c r="N14" s="560">
        <v>82621.149999999994</v>
      </c>
      <c r="O14" s="483" t="s">
        <v>57</v>
      </c>
      <c r="P14" s="830" t="s">
        <v>290</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150</v>
      </c>
      <c r="E15" s="481">
        <v>45932</v>
      </c>
      <c r="F15" s="479" t="s">
        <v>134</v>
      </c>
      <c r="G15" s="704"/>
      <c r="H15" s="483">
        <v>34</v>
      </c>
      <c r="I15" s="683" t="s">
        <v>320</v>
      </c>
      <c r="J15" s="483" t="s">
        <v>63</v>
      </c>
      <c r="K15" s="483"/>
      <c r="L15" s="481">
        <v>45933</v>
      </c>
      <c r="M15" s="483" t="s">
        <v>57</v>
      </c>
      <c r="N15" s="560">
        <v>29646</v>
      </c>
      <c r="O15" s="483" t="s">
        <v>57</v>
      </c>
      <c r="P15" s="830" t="s">
        <v>290</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204</v>
      </c>
      <c r="E16" s="481">
        <v>45932</v>
      </c>
      <c r="F16" s="479" t="s">
        <v>117</v>
      </c>
      <c r="G16" s="704"/>
      <c r="H16" s="483">
        <v>79</v>
      </c>
      <c r="I16" s="683" t="s">
        <v>320</v>
      </c>
      <c r="J16" s="483" t="s">
        <v>63</v>
      </c>
      <c r="K16" s="483"/>
      <c r="L16" s="481">
        <v>45933</v>
      </c>
      <c r="M16" s="483" t="s">
        <v>57</v>
      </c>
      <c r="N16" s="560">
        <v>45014</v>
      </c>
      <c r="O16" s="483" t="s">
        <v>57</v>
      </c>
      <c r="P16" s="830" t="s">
        <v>290</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150</v>
      </c>
      <c r="E17" s="481">
        <v>45936</v>
      </c>
      <c r="F17" s="479" t="s">
        <v>117</v>
      </c>
      <c r="G17" s="704"/>
      <c r="H17" s="483">
        <v>75</v>
      </c>
      <c r="I17" s="683" t="s">
        <v>320</v>
      </c>
      <c r="J17" s="483" t="s">
        <v>63</v>
      </c>
      <c r="K17" s="483"/>
      <c r="L17" s="481">
        <v>45936</v>
      </c>
      <c r="M17" s="483" t="s">
        <v>57</v>
      </c>
      <c r="N17" s="560">
        <v>38796</v>
      </c>
      <c r="O17" s="483" t="s">
        <v>57</v>
      </c>
      <c r="P17" s="830" t="s">
        <v>290</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320</v>
      </c>
      <c r="J18" s="483" t="s">
        <v>63</v>
      </c>
      <c r="K18" s="483"/>
      <c r="L18" s="490">
        <v>45902</v>
      </c>
      <c r="M18" s="483" t="s">
        <v>57</v>
      </c>
      <c r="N18" s="560">
        <v>5604.6</v>
      </c>
      <c r="O18" s="483" t="s">
        <v>57</v>
      </c>
      <c r="P18" s="830" t="s">
        <v>290</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320</v>
      </c>
      <c r="J19" s="483" t="s">
        <v>56</v>
      </c>
      <c r="K19" s="483"/>
      <c r="L19" s="481">
        <v>45905</v>
      </c>
      <c r="M19" s="483" t="s">
        <v>57</v>
      </c>
      <c r="N19" s="560">
        <v>145985.5</v>
      </c>
      <c r="O19" s="483" t="s">
        <v>57</v>
      </c>
      <c r="P19" s="830" t="s">
        <v>290</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320</v>
      </c>
      <c r="J20" s="483" t="s">
        <v>56</v>
      </c>
      <c r="K20" s="483"/>
      <c r="L20" s="479" t="s">
        <v>290</v>
      </c>
      <c r="M20" s="483" t="s">
        <v>57</v>
      </c>
      <c r="N20" s="560">
        <v>30892</v>
      </c>
      <c r="O20" s="483" t="s">
        <v>57</v>
      </c>
      <c r="P20" s="830" t="s">
        <v>290</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320</v>
      </c>
      <c r="J21" s="492" t="s">
        <v>63</v>
      </c>
      <c r="K21" s="504"/>
      <c r="L21" s="490">
        <v>45728</v>
      </c>
      <c r="M21" s="492" t="s">
        <v>57</v>
      </c>
      <c r="N21" s="561">
        <v>60843.5</v>
      </c>
      <c r="O21" s="492" t="s">
        <v>57</v>
      </c>
      <c r="P21" s="830" t="s">
        <v>290</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320</v>
      </c>
      <c r="J22" s="522" t="s">
        <v>63</v>
      </c>
      <c r="K22" s="522"/>
      <c r="L22" s="529">
        <v>45714</v>
      </c>
      <c r="M22" s="522" t="s">
        <v>57</v>
      </c>
      <c r="N22" s="563">
        <v>94170.5</v>
      </c>
      <c r="O22" s="522" t="s">
        <v>57</v>
      </c>
      <c r="P22" s="971" t="s">
        <v>290</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320</v>
      </c>
      <c r="J23" s="522" t="s">
        <v>63</v>
      </c>
      <c r="K23" s="522"/>
      <c r="L23" s="529">
        <v>45695</v>
      </c>
      <c r="M23" s="522" t="s">
        <v>57</v>
      </c>
      <c r="N23" s="564">
        <v>89698.5</v>
      </c>
      <c r="O23" s="522" t="s">
        <v>57</v>
      </c>
      <c r="P23" s="971" t="s">
        <v>290</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320</v>
      </c>
      <c r="J24" s="857" t="s">
        <v>63</v>
      </c>
      <c r="K24" s="857"/>
      <c r="L24" s="854">
        <v>45686</v>
      </c>
      <c r="M24" s="857" t="s">
        <v>57</v>
      </c>
      <c r="N24" s="880">
        <v>61924</v>
      </c>
      <c r="O24" s="857" t="s">
        <v>57</v>
      </c>
      <c r="P24" s="830" t="s">
        <v>290</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320</v>
      </c>
      <c r="J25" s="857" t="s">
        <v>63</v>
      </c>
      <c r="K25" s="857"/>
      <c r="L25" s="854">
        <v>45698</v>
      </c>
      <c r="M25" s="857" t="s">
        <v>57</v>
      </c>
      <c r="N25" s="880">
        <v>63402.5</v>
      </c>
      <c r="O25" s="857" t="s">
        <v>57</v>
      </c>
      <c r="P25" s="830" t="s">
        <v>290</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385</v>
      </c>
      <c r="J26" s="483" t="s">
        <v>63</v>
      </c>
      <c r="K26" s="857"/>
      <c r="L26" s="479" t="s">
        <v>290</v>
      </c>
      <c r="M26" s="683" t="s">
        <v>57</v>
      </c>
      <c r="N26" s="560">
        <v>43130</v>
      </c>
      <c r="O26" s="683" t="s">
        <v>57</v>
      </c>
      <c r="P26" s="830" t="s">
        <v>290</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385</v>
      </c>
      <c r="J27" s="492" t="s">
        <v>63</v>
      </c>
      <c r="K27" s="492"/>
      <c r="L27" s="858">
        <v>45706</v>
      </c>
      <c r="M27" s="857" t="s">
        <v>57</v>
      </c>
      <c r="N27" s="561">
        <v>69212.5</v>
      </c>
      <c r="O27" s="857" t="s">
        <v>57</v>
      </c>
      <c r="P27" s="830" t="s">
        <v>290</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320</v>
      </c>
      <c r="J28" s="483" t="s">
        <v>63</v>
      </c>
      <c r="K28" s="853"/>
      <c r="L28" s="490">
        <v>45741</v>
      </c>
      <c r="M28" s="483" t="s">
        <v>57</v>
      </c>
      <c r="N28" s="561">
        <v>49071</v>
      </c>
      <c r="O28" s="483" t="s">
        <v>57</v>
      </c>
      <c r="P28" s="830" t="s">
        <v>290</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234</v>
      </c>
      <c r="E29" s="481">
        <v>45927</v>
      </c>
      <c r="F29" s="479" t="s">
        <v>103</v>
      </c>
      <c r="G29" s="704" t="s">
        <v>495</v>
      </c>
      <c r="H29" s="483">
        <v>86</v>
      </c>
      <c r="I29" s="683" t="s">
        <v>320</v>
      </c>
      <c r="J29" s="483" t="s">
        <v>63</v>
      </c>
      <c r="K29" s="492"/>
      <c r="L29" s="481">
        <v>45917</v>
      </c>
      <c r="M29" s="483" t="s">
        <v>57</v>
      </c>
      <c r="N29" s="560">
        <v>45500</v>
      </c>
      <c r="O29" s="483" t="s">
        <v>57</v>
      </c>
      <c r="P29" s="830" t="s">
        <v>290</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320</v>
      </c>
      <c r="J30" s="483" t="s">
        <v>63</v>
      </c>
      <c r="K30" s="853"/>
      <c r="L30" s="490">
        <v>45741</v>
      </c>
      <c r="M30" s="483" t="s">
        <v>57</v>
      </c>
      <c r="N30" s="561">
        <v>67735.5</v>
      </c>
      <c r="O30" s="483" t="s">
        <v>57</v>
      </c>
      <c r="P30" s="830" t="s">
        <v>290</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290</v>
      </c>
      <c r="J31" s="857" t="s">
        <v>63</v>
      </c>
      <c r="K31" s="857"/>
      <c r="L31" s="854">
        <v>45705</v>
      </c>
      <c r="M31" s="857" t="s">
        <v>57</v>
      </c>
      <c r="N31" s="880">
        <v>1295</v>
      </c>
      <c r="O31" s="857" t="s">
        <v>57</v>
      </c>
      <c r="P31" s="830" t="s">
        <v>290</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317</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213</v>
      </c>
      <c r="C2" s="51">
        <v>45807</v>
      </c>
      <c r="D2" s="51" t="s">
        <v>505</v>
      </c>
      <c r="E2" s="51">
        <v>45706</v>
      </c>
      <c r="F2" s="50" t="s">
        <v>226</v>
      </c>
      <c r="G2" s="393" t="s">
        <v>506</v>
      </c>
      <c r="H2" s="52">
        <v>56</v>
      </c>
      <c r="I2" s="391" t="s">
        <v>320</v>
      </c>
      <c r="J2" s="52" t="s">
        <v>63</v>
      </c>
      <c r="K2" s="51">
        <v>45701</v>
      </c>
      <c r="L2" s="391" t="s">
        <v>57</v>
      </c>
      <c r="M2" s="440">
        <v>55089</v>
      </c>
      <c r="N2" s="572">
        <v>57509</v>
      </c>
      <c r="O2" s="792" t="s">
        <v>57</v>
      </c>
      <c r="P2" s="387" t="s">
        <v>290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320</v>
      </c>
      <c r="J3" s="52" t="s">
        <v>63</v>
      </c>
      <c r="K3" s="51">
        <v>45708</v>
      </c>
      <c r="L3" s="52" t="s">
        <v>57</v>
      </c>
      <c r="M3" s="440">
        <v>62460.45</v>
      </c>
      <c r="N3" s="572">
        <v>61491.05</v>
      </c>
      <c r="O3" s="52" t="s">
        <v>57</v>
      </c>
      <c r="P3" s="52" t="s">
        <v>290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320</v>
      </c>
      <c r="J4" s="387" t="s">
        <v>63</v>
      </c>
      <c r="K4" s="386">
        <v>45735</v>
      </c>
      <c r="L4" s="387" t="s">
        <v>57</v>
      </c>
      <c r="M4" s="443">
        <v>15690.1</v>
      </c>
      <c r="N4" s="572">
        <v>16153.75</v>
      </c>
      <c r="O4" s="387" t="s">
        <v>57</v>
      </c>
      <c r="P4" s="387" t="s">
        <v>290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150</v>
      </c>
      <c r="E5" s="386">
        <v>45778</v>
      </c>
      <c r="F5" s="385" t="s">
        <v>117</v>
      </c>
      <c r="G5" s="693" t="s">
        <v>515</v>
      </c>
      <c r="H5" s="387">
        <v>0</v>
      </c>
      <c r="I5" s="387" t="s">
        <v>320</v>
      </c>
      <c r="J5" s="387" t="s">
        <v>63</v>
      </c>
      <c r="K5" s="386">
        <v>45782</v>
      </c>
      <c r="L5" s="387" t="s">
        <v>57</v>
      </c>
      <c r="M5" s="443">
        <v>119135.3</v>
      </c>
      <c r="N5" s="440">
        <v>121256.65</v>
      </c>
      <c r="O5" s="387" t="s">
        <v>57</v>
      </c>
      <c r="P5" s="387" t="s">
        <v>290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9" t="s">
        <v>516</v>
      </c>
    </row>
    <row r="6" spans="1:27" ht="39.75" customHeight="1">
      <c r="A6" s="384" t="s">
        <v>517</v>
      </c>
      <c r="B6" s="50" t="s">
        <v>116</v>
      </c>
      <c r="C6" s="51">
        <v>45787</v>
      </c>
      <c r="D6" s="680" t="s">
        <v>150</v>
      </c>
      <c r="E6" s="51">
        <v>45715</v>
      </c>
      <c r="F6" s="50" t="s">
        <v>117</v>
      </c>
      <c r="G6" s="692" t="s">
        <v>518</v>
      </c>
      <c r="H6" s="52">
        <v>0</v>
      </c>
      <c r="I6" s="682" t="s">
        <v>320</v>
      </c>
      <c r="J6" s="52" t="s">
        <v>63</v>
      </c>
      <c r="K6" s="50" t="s">
        <v>290</v>
      </c>
      <c r="L6" s="52" t="s">
        <v>57</v>
      </c>
      <c r="M6" s="440">
        <v>12601.45</v>
      </c>
      <c r="N6" s="572">
        <v>13008.1</v>
      </c>
      <c r="O6" s="52" t="s">
        <v>57</v>
      </c>
      <c r="P6" s="52" t="s">
        <v>290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385</v>
      </c>
      <c r="J7" s="387" t="s">
        <v>63</v>
      </c>
      <c r="K7" s="385" t="s">
        <v>290</v>
      </c>
      <c r="L7" s="689" t="s">
        <v>57</v>
      </c>
      <c r="M7" s="443">
        <v>47461.5</v>
      </c>
      <c r="N7" s="587">
        <v>45340</v>
      </c>
      <c r="O7" s="689" t="s">
        <v>57</v>
      </c>
      <c r="P7" s="387" t="s">
        <v>290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150</v>
      </c>
      <c r="E8" s="51">
        <v>45712</v>
      </c>
      <c r="F8" s="680" t="s">
        <v>117</v>
      </c>
      <c r="G8" s="688" t="s">
        <v>522</v>
      </c>
      <c r="H8" s="52">
        <v>49</v>
      </c>
      <c r="I8" s="52" t="s">
        <v>385</v>
      </c>
      <c r="J8" s="52" t="s">
        <v>63</v>
      </c>
      <c r="K8" s="51">
        <v>45713</v>
      </c>
      <c r="L8" s="682" t="s">
        <v>57</v>
      </c>
      <c r="M8" s="440">
        <v>43064</v>
      </c>
      <c r="N8" s="588">
        <v>44346</v>
      </c>
      <c r="O8" s="682" t="s">
        <v>57</v>
      </c>
      <c r="P8" s="387" t="s">
        <v>290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150</v>
      </c>
      <c r="E9" s="51">
        <v>45706</v>
      </c>
      <c r="F9" s="680" t="s">
        <v>134</v>
      </c>
      <c r="G9" s="692" t="s">
        <v>524</v>
      </c>
      <c r="H9" s="52">
        <v>56</v>
      </c>
      <c r="I9" s="682" t="s">
        <v>385</v>
      </c>
      <c r="J9" s="52" t="s">
        <v>63</v>
      </c>
      <c r="K9" s="687">
        <v>45707</v>
      </c>
      <c r="L9" s="52" t="s">
        <v>57</v>
      </c>
      <c r="M9" s="440">
        <v>62522.54</v>
      </c>
      <c r="N9" s="572">
        <v>56001</v>
      </c>
      <c r="O9" s="52" t="s">
        <v>57</v>
      </c>
      <c r="P9" s="52" t="s">
        <v>290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150</v>
      </c>
      <c r="E10" s="51">
        <v>45755</v>
      </c>
      <c r="F10" s="680" t="s">
        <v>134</v>
      </c>
      <c r="G10" s="591" t="s">
        <v>526</v>
      </c>
      <c r="H10" s="52">
        <v>82</v>
      </c>
      <c r="I10" s="682" t="s">
        <v>320</v>
      </c>
      <c r="J10" s="52" t="s">
        <v>63</v>
      </c>
      <c r="K10" s="687">
        <v>45756</v>
      </c>
      <c r="L10" s="52" t="s">
        <v>57</v>
      </c>
      <c r="M10" s="440">
        <v>67171.5</v>
      </c>
      <c r="N10" s="572">
        <v>64739</v>
      </c>
      <c r="O10" s="52" t="s">
        <v>57</v>
      </c>
      <c r="P10" s="52" t="s">
        <v>290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320</v>
      </c>
      <c r="J11" s="52" t="s">
        <v>63</v>
      </c>
      <c r="K11" s="51">
        <v>45749</v>
      </c>
      <c r="L11" s="52" t="s">
        <v>57</v>
      </c>
      <c r="M11" s="440">
        <v>72492</v>
      </c>
      <c r="N11" s="572">
        <v>73087.5</v>
      </c>
      <c r="O11" s="52" t="s">
        <v>57</v>
      </c>
      <c r="P11" s="52" t="s">
        <v>290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150</v>
      </c>
      <c r="E12" s="51">
        <v>45749</v>
      </c>
      <c r="F12" s="680" t="s">
        <v>117</v>
      </c>
      <c r="G12" s="692" t="s">
        <v>530</v>
      </c>
      <c r="H12" s="52">
        <v>59</v>
      </c>
      <c r="I12" s="682" t="s">
        <v>320</v>
      </c>
      <c r="J12" s="52" t="s">
        <v>63</v>
      </c>
      <c r="K12" s="51">
        <v>45750</v>
      </c>
      <c r="L12" s="52" t="s">
        <v>57</v>
      </c>
      <c r="M12" s="440">
        <v>51295</v>
      </c>
      <c r="N12" s="572">
        <v>51485.5</v>
      </c>
      <c r="O12" s="52" t="s">
        <v>57</v>
      </c>
      <c r="P12" s="52" t="s">
        <v>290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320</v>
      </c>
      <c r="J13" s="52" t="s">
        <v>63</v>
      </c>
      <c r="K13" s="50" t="s">
        <v>290</v>
      </c>
      <c r="L13" s="682" t="s">
        <v>57</v>
      </c>
      <c r="M13" s="440">
        <v>26617</v>
      </c>
      <c r="N13" s="588">
        <v>25405</v>
      </c>
      <c r="O13" s="682" t="s">
        <v>57</v>
      </c>
      <c r="P13" s="52" t="s">
        <v>290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385</v>
      </c>
      <c r="J14" s="52" t="s">
        <v>63</v>
      </c>
      <c r="K14" s="50" t="s">
        <v>290</v>
      </c>
      <c r="L14" s="682" t="s">
        <v>57</v>
      </c>
      <c r="M14" s="440">
        <v>72118</v>
      </c>
      <c r="N14" s="695">
        <v>70778</v>
      </c>
      <c r="O14" s="682" t="s">
        <v>57</v>
      </c>
      <c r="P14" s="52" t="s">
        <v>290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150</v>
      </c>
      <c r="E15" s="51">
        <v>45685</v>
      </c>
      <c r="F15" s="680" t="s">
        <v>117</v>
      </c>
      <c r="G15" s="688" t="s">
        <v>537</v>
      </c>
      <c r="H15" s="52">
        <v>75</v>
      </c>
      <c r="I15" s="682" t="s">
        <v>385</v>
      </c>
      <c r="J15" s="52" t="s">
        <v>63</v>
      </c>
      <c r="K15" s="50" t="s">
        <v>290</v>
      </c>
      <c r="L15" s="682" t="s">
        <v>57</v>
      </c>
      <c r="M15" s="440">
        <v>69288</v>
      </c>
      <c r="N15" s="588">
        <v>70664</v>
      </c>
      <c r="O15" s="682" t="s">
        <v>57</v>
      </c>
      <c r="P15" s="52" t="s">
        <v>290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385</v>
      </c>
      <c r="J16" s="52" t="s">
        <v>63</v>
      </c>
      <c r="K16" s="51">
        <v>45673</v>
      </c>
      <c r="L16" s="682" t="s">
        <v>57</v>
      </c>
      <c r="M16" s="440">
        <v>69555</v>
      </c>
      <c r="N16" s="695">
        <v>70432</v>
      </c>
      <c r="O16" s="682" t="s">
        <v>57</v>
      </c>
      <c r="P16" s="52" t="s">
        <v>290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150</v>
      </c>
      <c r="E17" s="51">
        <v>45685</v>
      </c>
      <c r="F17" s="680" t="s">
        <v>117</v>
      </c>
      <c r="G17" s="688" t="s">
        <v>542</v>
      </c>
      <c r="H17" s="52">
        <v>81</v>
      </c>
      <c r="I17" s="682" t="s">
        <v>385</v>
      </c>
      <c r="J17" s="52" t="s">
        <v>63</v>
      </c>
      <c r="K17" s="50" t="s">
        <v>290</v>
      </c>
      <c r="L17" s="682" t="s">
        <v>57</v>
      </c>
      <c r="M17" s="440">
        <v>83754</v>
      </c>
      <c r="N17" s="588">
        <v>80572.5</v>
      </c>
      <c r="O17" s="682" t="s">
        <v>57</v>
      </c>
      <c r="P17" s="52" t="s">
        <v>290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150</v>
      </c>
      <c r="E18" s="51">
        <v>45708</v>
      </c>
      <c r="F18" s="680" t="s">
        <v>134</v>
      </c>
      <c r="G18" s="692" t="s">
        <v>544</v>
      </c>
      <c r="H18" s="52">
        <v>50</v>
      </c>
      <c r="I18" s="52" t="s">
        <v>385</v>
      </c>
      <c r="J18" s="52" t="s">
        <v>63</v>
      </c>
      <c r="K18" s="51">
        <v>45705</v>
      </c>
      <c r="L18" s="52" t="s">
        <v>57</v>
      </c>
      <c r="M18" s="440">
        <v>43895.5</v>
      </c>
      <c r="N18" s="588">
        <v>44479.5</v>
      </c>
      <c r="O18" s="52" t="s">
        <v>57</v>
      </c>
      <c r="P18" s="52" t="s">
        <v>290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150</v>
      </c>
      <c r="E19" s="51">
        <v>45729</v>
      </c>
      <c r="F19" s="50" t="s">
        <v>134</v>
      </c>
      <c r="G19" s="692" t="s">
        <v>546</v>
      </c>
      <c r="H19" s="52">
        <v>52</v>
      </c>
      <c r="I19" s="52" t="s">
        <v>320</v>
      </c>
      <c r="J19" s="52" t="s">
        <v>63</v>
      </c>
      <c r="K19" s="51">
        <v>45733</v>
      </c>
      <c r="L19" s="52" t="s">
        <v>57</v>
      </c>
      <c r="M19" s="440">
        <v>50824.5</v>
      </c>
      <c r="N19" s="588">
        <v>50928.5</v>
      </c>
      <c r="O19" s="52" t="s">
        <v>57</v>
      </c>
      <c r="P19" s="52" t="s">
        <v>290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150</v>
      </c>
      <c r="E20" s="51">
        <v>45735</v>
      </c>
      <c r="F20" s="680" t="s">
        <v>117</v>
      </c>
      <c r="G20" s="692" t="s">
        <v>548</v>
      </c>
      <c r="H20" s="52">
        <v>86</v>
      </c>
      <c r="I20" s="52" t="s">
        <v>320</v>
      </c>
      <c r="J20" s="52" t="s">
        <v>63</v>
      </c>
      <c r="K20" s="51">
        <v>45737</v>
      </c>
      <c r="L20" s="52" t="s">
        <v>57</v>
      </c>
      <c r="M20" s="440">
        <v>83462</v>
      </c>
      <c r="N20" s="588">
        <v>83033</v>
      </c>
      <c r="O20" s="52" t="s">
        <v>57</v>
      </c>
      <c r="P20" s="52" t="s">
        <v>290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150</v>
      </c>
      <c r="E21" s="51">
        <v>45712</v>
      </c>
      <c r="F21" s="680" t="s">
        <v>134</v>
      </c>
      <c r="G21" s="692" t="s">
        <v>550</v>
      </c>
      <c r="H21" s="52">
        <v>51</v>
      </c>
      <c r="I21" s="682" t="s">
        <v>385</v>
      </c>
      <c r="J21" s="52" t="s">
        <v>63</v>
      </c>
      <c r="K21" s="50" t="s">
        <v>290</v>
      </c>
      <c r="L21" s="52" t="s">
        <v>57</v>
      </c>
      <c r="M21" s="440">
        <v>47414</v>
      </c>
      <c r="N21" s="588">
        <v>45744</v>
      </c>
      <c r="O21" s="52" t="s">
        <v>57</v>
      </c>
      <c r="P21" s="52" t="s">
        <v>290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150</v>
      </c>
      <c r="E22" s="51">
        <v>45735</v>
      </c>
      <c r="F22" s="680" t="s">
        <v>134</v>
      </c>
      <c r="G22" s="692" t="s">
        <v>552</v>
      </c>
      <c r="H22" s="52">
        <v>59</v>
      </c>
      <c r="I22" s="682" t="s">
        <v>320</v>
      </c>
      <c r="J22" s="52" t="s">
        <v>63</v>
      </c>
      <c r="K22" s="51">
        <v>45736</v>
      </c>
      <c r="L22" s="52" t="s">
        <v>57</v>
      </c>
      <c r="M22" s="440">
        <v>59562.5</v>
      </c>
      <c r="N22" s="588">
        <v>52525.5</v>
      </c>
      <c r="O22" s="52" t="s">
        <v>57</v>
      </c>
      <c r="P22" s="52" t="s">
        <v>290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150</v>
      </c>
      <c r="E23" s="51">
        <v>45735</v>
      </c>
      <c r="F23" s="680" t="s">
        <v>117</v>
      </c>
      <c r="G23" s="692" t="s">
        <v>554</v>
      </c>
      <c r="H23" s="52">
        <v>35</v>
      </c>
      <c r="I23" s="52" t="s">
        <v>320</v>
      </c>
      <c r="J23" s="52" t="s">
        <v>63</v>
      </c>
      <c r="K23" s="51">
        <v>45735</v>
      </c>
      <c r="L23" s="52" t="s">
        <v>57</v>
      </c>
      <c r="M23" s="440">
        <v>41187</v>
      </c>
      <c r="N23" s="588">
        <v>39597.5</v>
      </c>
      <c r="O23" s="52" t="s">
        <v>57</v>
      </c>
      <c r="P23" s="52" t="s">
        <v>290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150</v>
      </c>
      <c r="E24" s="392">
        <v>45695</v>
      </c>
      <c r="F24" s="392" t="s">
        <v>134</v>
      </c>
      <c r="G24" s="590" t="s">
        <v>556</v>
      </c>
      <c r="H24" s="52">
        <v>22</v>
      </c>
      <c r="I24" s="52" t="s">
        <v>320</v>
      </c>
      <c r="J24" s="52" t="s">
        <v>63</v>
      </c>
      <c r="K24" s="50" t="s">
        <v>290</v>
      </c>
      <c r="L24" s="52" t="s">
        <v>57</v>
      </c>
      <c r="M24" s="440">
        <v>14497.5</v>
      </c>
      <c r="N24" s="588">
        <v>14042</v>
      </c>
      <c r="O24" s="52" t="s">
        <v>57</v>
      </c>
      <c r="P24" s="52" t="s">
        <v>290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150</v>
      </c>
      <c r="E25" s="51">
        <v>45758</v>
      </c>
      <c r="F25" s="680" t="s">
        <v>117</v>
      </c>
      <c r="G25" s="591" t="s">
        <v>558</v>
      </c>
      <c r="H25" s="52">
        <v>62</v>
      </c>
      <c r="I25" s="52" t="s">
        <v>320</v>
      </c>
      <c r="J25" s="52" t="s">
        <v>63</v>
      </c>
      <c r="K25" s="51">
        <v>45762</v>
      </c>
      <c r="L25" s="52" t="s">
        <v>57</v>
      </c>
      <c r="M25" s="440">
        <v>62502</v>
      </c>
      <c r="N25" s="572">
        <v>59129.5</v>
      </c>
      <c r="O25" s="52" t="s">
        <v>57</v>
      </c>
      <c r="P25" s="52" t="s">
        <v>290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150</v>
      </c>
      <c r="E26" s="51">
        <v>45758</v>
      </c>
      <c r="F26" s="392" t="s">
        <v>117</v>
      </c>
      <c r="G26" s="591" t="s">
        <v>560</v>
      </c>
      <c r="H26" s="52">
        <v>89</v>
      </c>
      <c r="I26" s="52" t="s">
        <v>320</v>
      </c>
      <c r="J26" s="52" t="s">
        <v>63</v>
      </c>
      <c r="K26" s="51">
        <v>45762</v>
      </c>
      <c r="L26" s="52" t="s">
        <v>57</v>
      </c>
      <c r="M26" s="440">
        <v>70705.5</v>
      </c>
      <c r="N26" s="572">
        <v>67666</v>
      </c>
      <c r="O26" s="52" t="s">
        <v>57</v>
      </c>
      <c r="P26" s="52" t="s">
        <v>290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150</v>
      </c>
      <c r="E27" s="51">
        <v>45758</v>
      </c>
      <c r="F27" s="392" t="s">
        <v>117</v>
      </c>
      <c r="G27" s="591" t="s">
        <v>562</v>
      </c>
      <c r="H27" s="52">
        <v>87</v>
      </c>
      <c r="I27" s="52" t="s">
        <v>320</v>
      </c>
      <c r="J27" s="52" t="s">
        <v>63</v>
      </c>
      <c r="K27" s="51">
        <v>45762</v>
      </c>
      <c r="L27" s="52" t="s">
        <v>57</v>
      </c>
      <c r="M27" s="440">
        <v>66004.5</v>
      </c>
      <c r="N27" s="572">
        <v>64943.5</v>
      </c>
      <c r="O27" s="52" t="s">
        <v>57</v>
      </c>
      <c r="P27" s="52" t="s">
        <v>290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150</v>
      </c>
      <c r="E28" s="51">
        <v>45786</v>
      </c>
      <c r="F28" s="607" t="s">
        <v>117</v>
      </c>
      <c r="G28" s="656" t="s">
        <v>564</v>
      </c>
      <c r="H28" s="387">
        <v>60</v>
      </c>
      <c r="I28" s="387" t="s">
        <v>320</v>
      </c>
      <c r="J28" s="387" t="s">
        <v>63</v>
      </c>
      <c r="K28" s="386">
        <v>45790</v>
      </c>
      <c r="L28" s="387" t="s">
        <v>57</v>
      </c>
      <c r="M28" s="443">
        <v>57237</v>
      </c>
      <c r="N28" s="586">
        <v>55777</v>
      </c>
      <c r="O28" s="52" t="s">
        <v>57</v>
      </c>
      <c r="P28" s="387" t="s">
        <v>290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290</v>
      </c>
      <c r="J29" s="117" t="s">
        <v>63</v>
      </c>
      <c r="K29" s="527">
        <v>45673</v>
      </c>
      <c r="L29" s="522" t="s">
        <v>57</v>
      </c>
      <c r="M29" s="799">
        <v>24886.5</v>
      </c>
      <c r="N29" s="831">
        <v>7262</v>
      </c>
      <c r="O29" s="522" t="s">
        <v>57</v>
      </c>
      <c r="P29" s="837" t="s">
        <v>290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150</v>
      </c>
      <c r="E30" s="668">
        <v>45695</v>
      </c>
      <c r="F30" s="668" t="s">
        <v>134</v>
      </c>
      <c r="G30" s="796" t="s">
        <v>570</v>
      </c>
      <c r="H30" s="387">
        <v>0</v>
      </c>
      <c r="I30" s="689" t="s">
        <v>320</v>
      </c>
      <c r="J30" s="387" t="s">
        <v>63</v>
      </c>
      <c r="K30" s="386">
        <v>45705</v>
      </c>
      <c r="L30" s="387" t="s">
        <v>57</v>
      </c>
      <c r="M30" s="443">
        <v>88491.8</v>
      </c>
      <c r="N30" s="440">
        <v>85791.25</v>
      </c>
      <c r="O30" s="387" t="s">
        <v>57</v>
      </c>
      <c r="P30" s="387" t="s">
        <v>290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150</v>
      </c>
      <c r="E31" s="392">
        <v>45695</v>
      </c>
      <c r="F31" s="392" t="s">
        <v>117</v>
      </c>
      <c r="G31" s="393" t="s">
        <v>573</v>
      </c>
      <c r="H31" s="52">
        <v>0</v>
      </c>
      <c r="I31" s="391" t="s">
        <v>290</v>
      </c>
      <c r="J31" s="52" t="s">
        <v>63</v>
      </c>
      <c r="K31" s="50" t="s">
        <v>290</v>
      </c>
      <c r="L31" s="52" t="s">
        <v>57</v>
      </c>
      <c r="M31" s="440">
        <v>3425.55</v>
      </c>
      <c r="N31" s="572">
        <v>7741.4</v>
      </c>
      <c r="O31" s="52" t="s">
        <v>57</v>
      </c>
      <c r="P31" s="52" t="s">
        <v>290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150</v>
      </c>
      <c r="E32" s="51">
        <v>45763</v>
      </c>
      <c r="F32" s="668" t="s">
        <v>134</v>
      </c>
      <c r="G32" s="591" t="s">
        <v>575</v>
      </c>
      <c r="H32" s="387">
        <v>0</v>
      </c>
      <c r="I32" s="689" t="s">
        <v>320</v>
      </c>
      <c r="J32" s="387" t="s">
        <v>63</v>
      </c>
      <c r="K32" s="385" t="s">
        <v>290</v>
      </c>
      <c r="L32" s="387" t="s">
        <v>57</v>
      </c>
      <c r="M32" s="443">
        <v>3707.3</v>
      </c>
      <c r="N32" s="440">
        <v>8209.69</v>
      </c>
      <c r="O32" s="387" t="s">
        <v>57</v>
      </c>
      <c r="P32" s="387" t="s">
        <v>290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385</v>
      </c>
      <c r="J33" s="52" t="s">
        <v>56</v>
      </c>
      <c r="K33" s="50" t="s">
        <v>290</v>
      </c>
      <c r="L33" s="52" t="s">
        <v>57</v>
      </c>
      <c r="M33" s="440">
        <v>21648.75</v>
      </c>
      <c r="N33" s="572">
        <v>35235</v>
      </c>
      <c r="O33" s="52" t="s">
        <v>57</v>
      </c>
      <c r="P33" s="52" t="s">
        <v>290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320</v>
      </c>
      <c r="J34" s="52" t="s">
        <v>63</v>
      </c>
      <c r="K34" s="51">
        <v>45716</v>
      </c>
      <c r="L34" s="52" t="s">
        <v>57</v>
      </c>
      <c r="M34" s="440">
        <v>64727</v>
      </c>
      <c r="N34" s="572">
        <v>68203</v>
      </c>
      <c r="O34" s="52" t="s">
        <v>57</v>
      </c>
      <c r="P34" s="387" t="s">
        <v>290</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290</v>
      </c>
      <c r="J35" s="52" t="s">
        <v>63</v>
      </c>
      <c r="K35" s="51">
        <v>45728</v>
      </c>
      <c r="L35" s="52" t="s">
        <v>57</v>
      </c>
      <c r="M35" s="440">
        <v>88033.5</v>
      </c>
      <c r="N35" s="572">
        <v>88045.5</v>
      </c>
      <c r="O35" s="52" t="s">
        <v>57</v>
      </c>
      <c r="P35" s="52" t="s">
        <v>290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150</v>
      </c>
      <c r="E36" s="51">
        <v>45727</v>
      </c>
      <c r="F36" s="50" t="s">
        <v>61</v>
      </c>
      <c r="G36" s="606" t="s">
        <v>586</v>
      </c>
      <c r="H36" s="52">
        <v>90</v>
      </c>
      <c r="I36" s="52" t="s">
        <v>290</v>
      </c>
      <c r="J36" s="52" t="s">
        <v>63</v>
      </c>
      <c r="K36" s="51">
        <v>45728</v>
      </c>
      <c r="L36" s="52" t="s">
        <v>57</v>
      </c>
      <c r="M36" s="440">
        <v>82979.5</v>
      </c>
      <c r="N36" s="572">
        <v>78032</v>
      </c>
      <c r="O36" s="52" t="s">
        <v>57</v>
      </c>
      <c r="P36" s="387" t="s">
        <v>290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0" t="s">
        <v>587</v>
      </c>
    </row>
    <row r="37" spans="1:27" ht="39.75" customHeight="1">
      <c r="A37" s="384" t="s">
        <v>588</v>
      </c>
      <c r="B37" s="691" t="s">
        <v>50</v>
      </c>
      <c r="C37" s="51">
        <v>45742</v>
      </c>
      <c r="D37" s="50" t="s">
        <v>468</v>
      </c>
      <c r="E37" s="51">
        <v>45716</v>
      </c>
      <c r="F37" s="50" t="s">
        <v>589</v>
      </c>
      <c r="G37" s="690" t="s">
        <v>590</v>
      </c>
      <c r="H37" s="52">
        <v>87</v>
      </c>
      <c r="I37" s="52" t="s">
        <v>290</v>
      </c>
      <c r="J37" s="52" t="s">
        <v>63</v>
      </c>
      <c r="K37" s="51">
        <v>45716</v>
      </c>
      <c r="L37" s="52" t="s">
        <v>57</v>
      </c>
      <c r="M37" s="440">
        <v>74446</v>
      </c>
      <c r="N37" s="586">
        <v>73894</v>
      </c>
      <c r="O37" s="52" t="s">
        <v>57</v>
      </c>
      <c r="P37" s="387" t="s">
        <v>290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150</v>
      </c>
      <c r="E38" s="51">
        <v>45716</v>
      </c>
      <c r="F38" s="50" t="s">
        <v>61</v>
      </c>
      <c r="G38" s="390" t="s">
        <v>592</v>
      </c>
      <c r="H38" s="52">
        <v>83</v>
      </c>
      <c r="I38" s="391" t="s">
        <v>290</v>
      </c>
      <c r="J38" s="52" t="s">
        <v>63</v>
      </c>
      <c r="K38" s="630">
        <v>45716</v>
      </c>
      <c r="L38" s="52" t="s">
        <v>57</v>
      </c>
      <c r="M38" s="696">
        <v>84935.5</v>
      </c>
      <c r="N38" s="587">
        <v>81445</v>
      </c>
      <c r="O38" s="52" t="s">
        <v>57</v>
      </c>
      <c r="P38" s="387" t="s">
        <v>290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150</v>
      </c>
      <c r="E39" s="680">
        <v>45685</v>
      </c>
      <c r="F39" s="680" t="s">
        <v>61</v>
      </c>
      <c r="G39" s="681" t="s">
        <v>594</v>
      </c>
      <c r="H39" s="682">
        <v>76</v>
      </c>
      <c r="I39" s="689" t="s">
        <v>320</v>
      </c>
      <c r="J39" s="682" t="s">
        <v>63</v>
      </c>
      <c r="K39" s="680">
        <v>45692</v>
      </c>
      <c r="L39" s="682" t="s">
        <v>57</v>
      </c>
      <c r="M39" s="685">
        <v>90302</v>
      </c>
      <c r="N39" s="440">
        <v>98764.5</v>
      </c>
      <c r="O39" s="682" t="s">
        <v>57</v>
      </c>
      <c r="P39" s="387" t="s">
        <v>290</v>
      </c>
      <c r="Q39" s="199">
        <v>45694</v>
      </c>
      <c r="R39" s="932">
        <v>8420</v>
      </c>
      <c r="S39" s="1133">
        <v>8553</v>
      </c>
      <c r="T39" s="30">
        <v>0</v>
      </c>
      <c r="U39" s="684">
        <f>IFERROR(Table4[[#This Row],[Actual Redline Completed Footage UG]]/Table4[[#This Row],[Footage UG]], 0)</f>
        <v>1.0157957244655582</v>
      </c>
      <c r="V39" s="54">
        <v>45709</v>
      </c>
      <c r="W39" s="679">
        <v>1</v>
      </c>
      <c r="X39" s="679">
        <v>1</v>
      </c>
      <c r="Y39" s="679">
        <v>1</v>
      </c>
      <c r="Z39" s="54">
        <v>45867</v>
      </c>
      <c r="AA39" s="1139" t="s">
        <v>595</v>
      </c>
    </row>
    <row r="40" spans="1:27" ht="39.75" customHeight="1">
      <c r="A40" s="698" t="s">
        <v>596</v>
      </c>
      <c r="B40" s="389" t="s">
        <v>50</v>
      </c>
      <c r="C40" s="51">
        <v>45772</v>
      </c>
      <c r="D40" s="51" t="s">
        <v>468</v>
      </c>
      <c r="E40" s="680">
        <v>45695</v>
      </c>
      <c r="F40" s="50" t="s">
        <v>589</v>
      </c>
      <c r="G40" s="590" t="s">
        <v>476</v>
      </c>
      <c r="H40" s="391">
        <v>86</v>
      </c>
      <c r="I40" s="391" t="s">
        <v>320</v>
      </c>
      <c r="J40" s="391" t="s">
        <v>63</v>
      </c>
      <c r="K40" s="392">
        <v>45698</v>
      </c>
      <c r="L40" s="391" t="s">
        <v>57</v>
      </c>
      <c r="M40" s="659">
        <v>71361</v>
      </c>
      <c r="N40" s="572">
        <v>72125</v>
      </c>
      <c r="O40" s="391" t="s">
        <v>57</v>
      </c>
      <c r="P40" s="52" t="s">
        <v>290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320</v>
      </c>
      <c r="J41" s="391" t="s">
        <v>63</v>
      </c>
      <c r="K41" s="392">
        <v>45700</v>
      </c>
      <c r="L41" s="391" t="s">
        <v>57</v>
      </c>
      <c r="M41" s="659">
        <v>76139.5</v>
      </c>
      <c r="N41" s="586">
        <v>79581.5</v>
      </c>
      <c r="O41" s="391" t="s">
        <v>57</v>
      </c>
      <c r="P41" s="387" t="s">
        <v>290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150</v>
      </c>
      <c r="E42" s="392">
        <v>45685</v>
      </c>
      <c r="F42" s="50" t="s">
        <v>61</v>
      </c>
      <c r="G42" s="590" t="s">
        <v>601</v>
      </c>
      <c r="H42" s="391">
        <v>81</v>
      </c>
      <c r="I42" s="388" t="s">
        <v>320</v>
      </c>
      <c r="J42" s="391" t="s">
        <v>63</v>
      </c>
      <c r="K42" s="392">
        <v>45699</v>
      </c>
      <c r="L42" s="391" t="s">
        <v>57</v>
      </c>
      <c r="M42" s="659">
        <v>73583.5</v>
      </c>
      <c r="N42" s="572">
        <v>84066</v>
      </c>
      <c r="O42" s="792" t="s">
        <v>57</v>
      </c>
      <c r="P42" s="387" t="s">
        <v>290</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385</v>
      </c>
      <c r="J43" s="391" t="s">
        <v>63</v>
      </c>
      <c r="K43" s="50" t="s">
        <v>290</v>
      </c>
      <c r="L43" s="391" t="s">
        <v>57</v>
      </c>
      <c r="M43" s="659">
        <v>51958</v>
      </c>
      <c r="N43" s="572">
        <v>20330.259999999998</v>
      </c>
      <c r="O43" s="391" t="s">
        <v>57</v>
      </c>
      <c r="P43" s="52" t="s">
        <v>290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383</v>
      </c>
      <c r="E44" s="680">
        <v>45692</v>
      </c>
      <c r="F44" s="680" t="s">
        <v>214</v>
      </c>
      <c r="G44" s="681" t="s">
        <v>607</v>
      </c>
      <c r="H44" s="52">
        <v>86</v>
      </c>
      <c r="I44" s="682" t="s">
        <v>385</v>
      </c>
      <c r="J44" s="52" t="s">
        <v>63</v>
      </c>
      <c r="K44" s="385" t="s">
        <v>290</v>
      </c>
      <c r="L44" s="682" t="s">
        <v>57</v>
      </c>
      <c r="M44" s="440">
        <v>82480.5</v>
      </c>
      <c r="N44" s="440">
        <v>77870.5</v>
      </c>
      <c r="O44" s="682" t="s">
        <v>57</v>
      </c>
      <c r="P44" s="387" t="s">
        <v>290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320</v>
      </c>
      <c r="J45" s="387" t="s">
        <v>63</v>
      </c>
      <c r="K45" s="51">
        <v>45741</v>
      </c>
      <c r="L45" s="387" t="s">
        <v>57</v>
      </c>
      <c r="M45" s="440">
        <v>74508.5</v>
      </c>
      <c r="N45" s="572">
        <v>75008.5</v>
      </c>
      <c r="O45" s="387" t="s">
        <v>57</v>
      </c>
      <c r="P45" s="387" t="s">
        <v>290</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214</v>
      </c>
      <c r="G46" s="390" t="s">
        <v>615</v>
      </c>
      <c r="H46" s="52">
        <v>88</v>
      </c>
      <c r="I46" s="391" t="s">
        <v>320</v>
      </c>
      <c r="J46" s="52" t="s">
        <v>63</v>
      </c>
      <c r="K46" s="51">
        <v>45741</v>
      </c>
      <c r="L46" s="52" t="s">
        <v>57</v>
      </c>
      <c r="M46" s="440">
        <v>73070.5</v>
      </c>
      <c r="N46" s="572">
        <v>72678</v>
      </c>
      <c r="O46" s="52" t="s">
        <v>57</v>
      </c>
      <c r="P46" s="52" t="s">
        <v>290</v>
      </c>
      <c r="Q46" s="198">
        <v>45749</v>
      </c>
      <c r="R46" s="31">
        <v>6028</v>
      </c>
      <c r="S46" s="1117">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383</v>
      </c>
      <c r="E47" s="680">
        <v>45691</v>
      </c>
      <c r="F47" s="680" t="s">
        <v>214</v>
      </c>
      <c r="G47" s="681" t="s">
        <v>617</v>
      </c>
      <c r="H47" s="52">
        <v>73</v>
      </c>
      <c r="I47" s="689" t="s">
        <v>385</v>
      </c>
      <c r="J47" s="52" t="s">
        <v>63</v>
      </c>
      <c r="K47" s="51">
        <v>45698</v>
      </c>
      <c r="L47" s="682" t="s">
        <v>57</v>
      </c>
      <c r="M47" s="440">
        <v>60575.5</v>
      </c>
      <c r="N47" s="572">
        <v>59352</v>
      </c>
      <c r="O47" s="682" t="s">
        <v>57</v>
      </c>
      <c r="P47" s="387" t="s">
        <v>290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214</v>
      </c>
      <c r="G48" s="590" t="s">
        <v>620</v>
      </c>
      <c r="H48" s="52">
        <v>65</v>
      </c>
      <c r="I48" s="391" t="s">
        <v>385</v>
      </c>
      <c r="J48" s="52" t="s">
        <v>63</v>
      </c>
      <c r="K48" s="51">
        <v>45698</v>
      </c>
      <c r="L48" s="391" t="s">
        <v>57</v>
      </c>
      <c r="M48" s="440">
        <v>65001</v>
      </c>
      <c r="N48" s="587">
        <v>68269</v>
      </c>
      <c r="O48" s="391" t="s">
        <v>57</v>
      </c>
      <c r="P48" s="387" t="s">
        <v>290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320</v>
      </c>
      <c r="J49" s="387" t="s">
        <v>63</v>
      </c>
      <c r="K49" s="51">
        <v>45741</v>
      </c>
      <c r="L49" s="387" t="s">
        <v>57</v>
      </c>
      <c r="M49" s="440">
        <v>62104</v>
      </c>
      <c r="N49" s="587">
        <v>64186</v>
      </c>
      <c r="O49" s="387" t="s">
        <v>57</v>
      </c>
      <c r="P49" s="387" t="s">
        <v>290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320</v>
      </c>
      <c r="J50" s="387" t="s">
        <v>63</v>
      </c>
      <c r="K50" s="51">
        <v>45741</v>
      </c>
      <c r="L50" s="387" t="s">
        <v>57</v>
      </c>
      <c r="M50" s="440">
        <v>63756.5</v>
      </c>
      <c r="N50" s="587">
        <v>64902.5</v>
      </c>
      <c r="O50" s="387" t="s">
        <v>57</v>
      </c>
      <c r="P50" s="387" t="s">
        <v>290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150</v>
      </c>
      <c r="E51" s="51">
        <v>45743</v>
      </c>
      <c r="F51" s="50" t="s">
        <v>61</v>
      </c>
      <c r="G51" s="390" t="s">
        <v>626</v>
      </c>
      <c r="H51" s="52">
        <v>75</v>
      </c>
      <c r="I51" s="391" t="s">
        <v>320</v>
      </c>
      <c r="J51" s="52" t="s">
        <v>63</v>
      </c>
      <c r="K51" s="51">
        <v>45741</v>
      </c>
      <c r="L51" s="52" t="s">
        <v>57</v>
      </c>
      <c r="M51" s="440">
        <v>67840.5</v>
      </c>
      <c r="N51" s="572">
        <v>66607.5</v>
      </c>
      <c r="O51" s="52" t="s">
        <v>57</v>
      </c>
      <c r="P51" s="52" t="s">
        <v>290</v>
      </c>
      <c r="Q51" s="198">
        <v>45747</v>
      </c>
      <c r="R51" s="31">
        <v>5601</v>
      </c>
      <c r="S51" s="75">
        <v>5628</v>
      </c>
      <c r="T51" s="83">
        <v>0</v>
      </c>
      <c r="U51" s="684">
        <f>IFERROR(Table4[[#This Row],[Actual Redline Completed Footage UG]]/Table4[[#This Row],[Footage UG]], 0)</f>
        <v>1.004820567755758</v>
      </c>
      <c r="V51" s="441">
        <v>45761</v>
      </c>
      <c r="W51" s="1127">
        <v>1</v>
      </c>
      <c r="X51" s="1127">
        <v>1</v>
      </c>
      <c r="Y51" s="1127">
        <v>1</v>
      </c>
      <c r="Z51" s="367">
        <v>45831</v>
      </c>
      <c r="AA51" s="43"/>
    </row>
    <row r="52" spans="1:27" ht="39.75" customHeight="1">
      <c r="A52" s="384" t="s">
        <v>627</v>
      </c>
      <c r="B52" s="389" t="s">
        <v>50</v>
      </c>
      <c r="C52" s="51">
        <v>45831</v>
      </c>
      <c r="D52" s="50" t="s">
        <v>614</v>
      </c>
      <c r="E52" s="51">
        <v>45761</v>
      </c>
      <c r="F52" s="50" t="s">
        <v>214</v>
      </c>
      <c r="G52" s="390" t="s">
        <v>628</v>
      </c>
      <c r="H52" s="52">
        <v>69</v>
      </c>
      <c r="I52" s="52" t="s">
        <v>320</v>
      </c>
      <c r="J52" s="52" t="s">
        <v>63</v>
      </c>
      <c r="K52" s="51">
        <v>45757</v>
      </c>
      <c r="L52" s="52" t="s">
        <v>57</v>
      </c>
      <c r="M52" s="440">
        <v>53906.75</v>
      </c>
      <c r="N52" s="572">
        <v>54578.5</v>
      </c>
      <c r="O52" s="52" t="s">
        <v>57</v>
      </c>
      <c r="P52" s="52" t="s">
        <v>290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320</v>
      </c>
      <c r="J53" s="387" t="s">
        <v>63</v>
      </c>
      <c r="K53" s="386">
        <v>45757</v>
      </c>
      <c r="L53" s="387" t="s">
        <v>57</v>
      </c>
      <c r="M53" s="443">
        <v>47432.5</v>
      </c>
      <c r="N53" s="572">
        <v>54385.09</v>
      </c>
      <c r="O53" s="387" t="s">
        <v>57</v>
      </c>
      <c r="P53" s="387" t="s">
        <v>290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290</v>
      </c>
      <c r="J54" s="52" t="s">
        <v>63</v>
      </c>
      <c r="K54" s="51">
        <v>45757</v>
      </c>
      <c r="L54" s="52" t="s">
        <v>57</v>
      </c>
      <c r="M54" s="440">
        <v>62383</v>
      </c>
      <c r="N54" s="572">
        <v>61939</v>
      </c>
      <c r="O54" s="52" t="s">
        <v>57</v>
      </c>
      <c r="P54" s="52" t="s">
        <v>290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290</v>
      </c>
      <c r="J55" s="387" t="s">
        <v>63</v>
      </c>
      <c r="K55" s="386">
        <v>45757</v>
      </c>
      <c r="L55" s="387" t="s">
        <v>57</v>
      </c>
      <c r="M55" s="443">
        <v>80443.5</v>
      </c>
      <c r="N55" s="572">
        <v>81941</v>
      </c>
      <c r="O55" s="387" t="s">
        <v>57</v>
      </c>
      <c r="P55" s="387" t="s">
        <v>290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320</v>
      </c>
      <c r="J56" s="387" t="s">
        <v>63</v>
      </c>
      <c r="K56" s="386">
        <v>45757</v>
      </c>
      <c r="L56" s="387" t="s">
        <v>57</v>
      </c>
      <c r="M56" s="443">
        <v>68736.5</v>
      </c>
      <c r="N56" s="572">
        <v>68249</v>
      </c>
      <c r="O56" s="387" t="s">
        <v>57</v>
      </c>
      <c r="P56" s="387" t="s">
        <v>290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320</v>
      </c>
      <c r="J57" s="387" t="s">
        <v>63</v>
      </c>
      <c r="K57" s="51">
        <v>45741</v>
      </c>
      <c r="L57" s="387" t="s">
        <v>57</v>
      </c>
      <c r="M57" s="440">
        <v>73491.5</v>
      </c>
      <c r="N57" s="586">
        <v>202651</v>
      </c>
      <c r="O57" s="387" t="s">
        <v>57</v>
      </c>
      <c r="P57" s="387" t="s">
        <v>290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150</v>
      </c>
      <c r="E58" s="51">
        <v>45743</v>
      </c>
      <c r="F58" s="50" t="s">
        <v>61</v>
      </c>
      <c r="G58" s="692" t="s">
        <v>644</v>
      </c>
      <c r="H58" s="52">
        <v>81</v>
      </c>
      <c r="I58" s="682" t="s">
        <v>320</v>
      </c>
      <c r="J58" s="387" t="s">
        <v>63</v>
      </c>
      <c r="K58" s="51">
        <v>45741</v>
      </c>
      <c r="L58" s="387" t="s">
        <v>57</v>
      </c>
      <c r="M58" s="440">
        <v>74961</v>
      </c>
      <c r="N58" s="440">
        <v>77123</v>
      </c>
      <c r="O58" s="387" t="s">
        <v>57</v>
      </c>
      <c r="P58" s="387" t="s">
        <v>290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320</v>
      </c>
      <c r="J59" s="387" t="s">
        <v>63</v>
      </c>
      <c r="K59" s="51">
        <v>45741</v>
      </c>
      <c r="L59" s="387" t="s">
        <v>57</v>
      </c>
      <c r="M59" s="440">
        <v>70235</v>
      </c>
      <c r="N59" s="586">
        <v>134171.5</v>
      </c>
      <c r="O59" s="387" t="s">
        <v>57</v>
      </c>
      <c r="P59" s="387" t="s">
        <v>290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385</v>
      </c>
      <c r="J60" s="52" t="s">
        <v>63</v>
      </c>
      <c r="K60" s="50" t="s">
        <v>290</v>
      </c>
      <c r="L60" s="682" t="s">
        <v>57</v>
      </c>
      <c r="M60" s="440">
        <v>60625.5</v>
      </c>
      <c r="N60" s="572">
        <v>59084</v>
      </c>
      <c r="O60" s="682" t="s">
        <v>57</v>
      </c>
      <c r="P60" s="52" t="s">
        <v>290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320</v>
      </c>
      <c r="J61" s="52" t="s">
        <v>63</v>
      </c>
      <c r="K61" s="51">
        <v>45721</v>
      </c>
      <c r="L61" s="52" t="s">
        <v>57</v>
      </c>
      <c r="M61" s="609">
        <v>79507</v>
      </c>
      <c r="N61" s="572">
        <v>86709.5</v>
      </c>
      <c r="O61" s="52" t="s">
        <v>57</v>
      </c>
      <c r="P61" s="52" t="s">
        <v>290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385</v>
      </c>
      <c r="J62" s="52" t="s">
        <v>63</v>
      </c>
      <c r="K62" s="51">
        <v>45700</v>
      </c>
      <c r="L62" s="682" t="s">
        <v>57</v>
      </c>
      <c r="M62" s="440">
        <v>77320</v>
      </c>
      <c r="N62" s="440">
        <v>75804</v>
      </c>
      <c r="O62" s="682" t="s">
        <v>57</v>
      </c>
      <c r="P62" s="387" t="s">
        <v>290</v>
      </c>
      <c r="Q62" s="819">
        <v>45706</v>
      </c>
      <c r="R62" s="31">
        <v>6041</v>
      </c>
      <c r="S62" s="1135">
        <v>6024</v>
      </c>
      <c r="T62" s="30">
        <v>0</v>
      </c>
      <c r="U62" s="684">
        <f>IFERROR(Table4[[#This Row],[Actual Redline Completed Footage UG]]/Table4[[#This Row],[Footage UG]], 0)</f>
        <v>0.9971858963747724</v>
      </c>
      <c r="V62" s="573">
        <v>45714</v>
      </c>
      <c r="W62" s="679">
        <v>1</v>
      </c>
      <c r="X62" s="34">
        <v>1</v>
      </c>
      <c r="Y62" s="34">
        <v>1</v>
      </c>
      <c r="Z62" s="842">
        <v>45894</v>
      </c>
      <c r="AA62" s="1141" t="s">
        <v>653</v>
      </c>
    </row>
    <row r="63" spans="1:27" ht="39.75" customHeight="1">
      <c r="A63" s="384" t="s">
        <v>654</v>
      </c>
      <c r="B63" s="389" t="s">
        <v>50</v>
      </c>
      <c r="C63" s="51">
        <v>45772</v>
      </c>
      <c r="D63" s="50" t="s">
        <v>128</v>
      </c>
      <c r="E63" s="51">
        <v>45716</v>
      </c>
      <c r="F63" s="50" t="s">
        <v>580</v>
      </c>
      <c r="G63" s="390" t="s">
        <v>655</v>
      </c>
      <c r="H63" s="52">
        <v>82</v>
      </c>
      <c r="I63" s="391" t="s">
        <v>320</v>
      </c>
      <c r="J63" s="52" t="s">
        <v>63</v>
      </c>
      <c r="K63" s="51">
        <v>45716</v>
      </c>
      <c r="L63" s="52" t="s">
        <v>57</v>
      </c>
      <c r="M63" s="440">
        <v>64609</v>
      </c>
      <c r="N63" s="586">
        <v>76965</v>
      </c>
      <c r="O63" s="52" t="s">
        <v>57</v>
      </c>
      <c r="P63" s="387" t="s">
        <v>290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214</v>
      </c>
      <c r="G64" s="393" t="s">
        <v>658</v>
      </c>
      <c r="H64" s="52">
        <v>64</v>
      </c>
      <c r="I64" s="391" t="s">
        <v>320</v>
      </c>
      <c r="J64" s="52" t="s">
        <v>63</v>
      </c>
      <c r="K64" s="51">
        <v>45701</v>
      </c>
      <c r="L64" s="391" t="s">
        <v>57</v>
      </c>
      <c r="M64" s="440">
        <v>48609</v>
      </c>
      <c r="N64" s="572">
        <v>48682.5</v>
      </c>
      <c r="O64" s="792" t="s">
        <v>57</v>
      </c>
      <c r="P64" s="387" t="s">
        <v>290</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320</v>
      </c>
      <c r="J65" s="52" t="s">
        <v>63</v>
      </c>
      <c r="K65" s="51">
        <v>45698</v>
      </c>
      <c r="L65" s="682" t="s">
        <v>57</v>
      </c>
      <c r="M65" s="440">
        <v>52222</v>
      </c>
      <c r="N65" s="572">
        <v>51838</v>
      </c>
      <c r="O65" s="682" t="s">
        <v>57</v>
      </c>
      <c r="P65" s="52" t="s">
        <v>290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290</v>
      </c>
      <c r="J66" s="52" t="s">
        <v>63</v>
      </c>
      <c r="K66" s="51">
        <v>45716</v>
      </c>
      <c r="L66" s="52" t="s">
        <v>57</v>
      </c>
      <c r="M66" s="609">
        <v>67463</v>
      </c>
      <c r="N66" s="572">
        <v>69992</v>
      </c>
      <c r="O66" s="52" t="s">
        <v>57</v>
      </c>
      <c r="P66" s="52" t="s">
        <v>290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385</v>
      </c>
      <c r="J67" s="52" t="s">
        <v>63</v>
      </c>
      <c r="K67" s="51">
        <v>45698</v>
      </c>
      <c r="L67" s="682" t="s">
        <v>57</v>
      </c>
      <c r="M67" s="440">
        <v>66638</v>
      </c>
      <c r="N67" s="587">
        <v>65072</v>
      </c>
      <c r="O67" s="682" t="s">
        <v>57</v>
      </c>
      <c r="P67" s="387" t="s">
        <v>290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214</v>
      </c>
      <c r="G68" s="818" t="s">
        <v>669</v>
      </c>
      <c r="H68" s="798">
        <v>85</v>
      </c>
      <c r="I68" s="804" t="s">
        <v>320</v>
      </c>
      <c r="J68" s="798" t="s">
        <v>63</v>
      </c>
      <c r="K68" s="57">
        <v>45707</v>
      </c>
      <c r="L68" s="798" t="s">
        <v>57</v>
      </c>
      <c r="M68" s="440" t="s">
        <v>670</v>
      </c>
      <c r="N68" s="587">
        <v>67080</v>
      </c>
      <c r="O68" s="52" t="s">
        <v>57</v>
      </c>
      <c r="P68" s="1131" t="s">
        <v>290</v>
      </c>
      <c r="Q68" s="1132">
        <v>45707</v>
      </c>
      <c r="R68" s="107">
        <v>5564</v>
      </c>
      <c r="S68" s="1134">
        <v>5576</v>
      </c>
      <c r="T68" s="621">
        <v>0</v>
      </c>
      <c r="U68" s="684">
        <f>IFERROR(Table4[[#This Row],[Actual Redline Completed Footage UG]]/Table4[[#This Row],[Footage UG]], 0)</f>
        <v>1.0021567217828899</v>
      </c>
      <c r="V68" s="54">
        <v>45727</v>
      </c>
      <c r="W68" s="1128">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320</v>
      </c>
      <c r="J69" s="815" t="s">
        <v>63</v>
      </c>
      <c r="K69" s="57">
        <v>45741</v>
      </c>
      <c r="L69" s="815" t="s">
        <v>57</v>
      </c>
      <c r="M69" s="440">
        <v>79069.5</v>
      </c>
      <c r="N69" s="586">
        <v>73300</v>
      </c>
      <c r="O69" s="387" t="s">
        <v>57</v>
      </c>
      <c r="P69" s="451" t="s">
        <v>290</v>
      </c>
      <c r="Q69" s="54">
        <v>45744</v>
      </c>
      <c r="R69" s="31">
        <v>6330</v>
      </c>
      <c r="S69" s="665">
        <v>6180</v>
      </c>
      <c r="T69" s="1136">
        <v>0</v>
      </c>
      <c r="U69" s="684">
        <f>IFERROR(Table4[[#This Row],[Actual Redline Completed Footage UG]]/Table4[[#This Row],[Footage UG]], 0)</f>
        <v>0.976303317535545</v>
      </c>
      <c r="V69" s="54">
        <v>45751</v>
      </c>
      <c r="W69" s="1137">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320</v>
      </c>
      <c r="J70" s="815" t="s">
        <v>63</v>
      </c>
      <c r="K70" s="57">
        <v>45741</v>
      </c>
      <c r="L70" s="815" t="s">
        <v>57</v>
      </c>
      <c r="M70" s="440">
        <v>16398</v>
      </c>
      <c r="N70" s="572">
        <v>15664</v>
      </c>
      <c r="O70" s="387" t="s">
        <v>57</v>
      </c>
      <c r="P70" s="1123" t="s">
        <v>290</v>
      </c>
      <c r="Q70" s="493">
        <v>45744</v>
      </c>
      <c r="R70" s="41">
        <v>1265</v>
      </c>
      <c r="S70" s="486">
        <v>1257</v>
      </c>
      <c r="T70" s="1136">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214</v>
      </c>
      <c r="G71" s="818" t="s">
        <v>677</v>
      </c>
      <c r="H71" s="798">
        <v>78</v>
      </c>
      <c r="I71" s="814" t="s">
        <v>290</v>
      </c>
      <c r="J71" s="798" t="s">
        <v>63</v>
      </c>
      <c r="K71" s="57">
        <v>45708</v>
      </c>
      <c r="L71" s="798" t="s">
        <v>57</v>
      </c>
      <c r="M71" s="658">
        <v>56854</v>
      </c>
      <c r="N71" s="831">
        <v>62254</v>
      </c>
      <c r="O71" s="798" t="s">
        <v>57</v>
      </c>
      <c r="P71" s="798" t="s">
        <v>290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0" t="s">
        <v>214</v>
      </c>
      <c r="G72" s="1121" t="s">
        <v>679</v>
      </c>
      <c r="H72" s="76">
        <v>87</v>
      </c>
      <c r="I72" s="104" t="s">
        <v>290</v>
      </c>
      <c r="J72" s="76" t="s">
        <v>63</v>
      </c>
      <c r="K72" s="77">
        <v>45708</v>
      </c>
      <c r="L72" s="104" t="s">
        <v>57</v>
      </c>
      <c r="M72" s="835">
        <v>73639</v>
      </c>
      <c r="N72" s="1130">
        <v>73025</v>
      </c>
      <c r="O72" s="104" t="s">
        <v>57</v>
      </c>
      <c r="P72" s="106" t="s">
        <v>290</v>
      </c>
      <c r="Q72" s="1126">
        <v>45696</v>
      </c>
      <c r="R72" s="940">
        <v>5868</v>
      </c>
      <c r="S72" s="665">
        <v>5979</v>
      </c>
      <c r="T72" s="1062">
        <v>0</v>
      </c>
      <c r="U72" s="684">
        <f>IFERROR(Table4[[#This Row],[Actual Redline Completed Footage UG]]/Table4[[#This Row],[Footage UG]], 0)</f>
        <v>1.018916155419223</v>
      </c>
      <c r="V72" s="168">
        <v>45714</v>
      </c>
      <c r="W72" s="1138">
        <v>1</v>
      </c>
      <c r="X72" s="1138">
        <v>1</v>
      </c>
      <c r="Y72" s="1138">
        <v>1</v>
      </c>
      <c r="Z72" s="493">
        <v>45758</v>
      </c>
      <c r="AA72" s="116"/>
    </row>
    <row r="73" spans="1:30" ht="39.75" customHeight="1">
      <c r="A73" s="845" t="s">
        <v>680</v>
      </c>
      <c r="B73" s="103" t="s">
        <v>50</v>
      </c>
      <c r="C73" s="77">
        <v>45747</v>
      </c>
      <c r="D73" s="1120" t="s">
        <v>472</v>
      </c>
      <c r="E73" s="77">
        <v>45700</v>
      </c>
      <c r="F73" s="77" t="s">
        <v>583</v>
      </c>
      <c r="G73" s="1121" t="s">
        <v>681</v>
      </c>
      <c r="H73" s="76">
        <v>60</v>
      </c>
      <c r="I73" s="841" t="s">
        <v>290</v>
      </c>
      <c r="J73" s="76" t="s">
        <v>63</v>
      </c>
      <c r="K73" s="77">
        <v>45698</v>
      </c>
      <c r="L73" s="104" t="s">
        <v>57</v>
      </c>
      <c r="M73" s="835">
        <v>54861</v>
      </c>
      <c r="N73" s="836">
        <v>55197</v>
      </c>
      <c r="O73" s="104" t="s">
        <v>57</v>
      </c>
      <c r="P73" s="76" t="s">
        <v>290</v>
      </c>
      <c r="Q73" s="1124">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320</v>
      </c>
      <c r="J74" s="798" t="s">
        <v>63</v>
      </c>
      <c r="K74" s="57">
        <v>45735</v>
      </c>
      <c r="L74" s="798" t="s">
        <v>57</v>
      </c>
      <c r="M74" s="658">
        <v>41285</v>
      </c>
      <c r="N74" s="831">
        <v>40484</v>
      </c>
      <c r="O74" s="798" t="s">
        <v>57</v>
      </c>
      <c r="P74" s="815" t="s">
        <v>290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385</v>
      </c>
      <c r="J75" s="798" t="s">
        <v>63</v>
      </c>
      <c r="K75" s="1122">
        <v>45716</v>
      </c>
      <c r="L75" s="798" t="s">
        <v>57</v>
      </c>
      <c r="M75" s="658">
        <v>21944.6</v>
      </c>
      <c r="N75" s="831">
        <v>26564</v>
      </c>
      <c r="O75" s="798" t="s">
        <v>57</v>
      </c>
      <c r="P75" s="815" t="s">
        <v>290</v>
      </c>
      <c r="Q75" s="1125">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385</v>
      </c>
      <c r="J76" s="798" t="s">
        <v>63</v>
      </c>
      <c r="K76" s="57">
        <v>45695</v>
      </c>
      <c r="L76" s="814" t="s">
        <v>57</v>
      </c>
      <c r="M76" s="658">
        <v>20939.75</v>
      </c>
      <c r="N76" s="831">
        <v>13575.75</v>
      </c>
      <c r="O76" s="814" t="s">
        <v>57</v>
      </c>
      <c r="P76" s="815" t="s">
        <v>290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320</v>
      </c>
      <c r="J77" s="804" t="s">
        <v>63</v>
      </c>
      <c r="K77" s="936" t="s">
        <v>290</v>
      </c>
      <c r="L77" s="804" t="s">
        <v>57</v>
      </c>
      <c r="M77" s="934">
        <v>289634.75</v>
      </c>
      <c r="N77" s="831">
        <v>296306.83</v>
      </c>
      <c r="O77" s="935" t="s">
        <v>57</v>
      </c>
      <c r="P77" s="815" t="s">
        <v>290</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320</v>
      </c>
      <c r="J78" s="798" t="s">
        <v>63</v>
      </c>
      <c r="K78" s="490">
        <v>45741</v>
      </c>
      <c r="L78" s="483" t="s">
        <v>57</v>
      </c>
      <c r="M78" s="800">
        <v>47849</v>
      </c>
      <c r="N78" s="658">
        <v>51778</v>
      </c>
      <c r="O78" s="483" t="s">
        <v>57</v>
      </c>
      <c r="P78" s="809" t="s">
        <v>290</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214</v>
      </c>
      <c r="G79" s="986" t="s">
        <v>698</v>
      </c>
      <c r="H79" s="492">
        <v>90</v>
      </c>
      <c r="I79" s="484" t="s">
        <v>320</v>
      </c>
      <c r="J79" s="492" t="s">
        <v>63</v>
      </c>
      <c r="K79" s="490">
        <v>45698</v>
      </c>
      <c r="L79" s="498" t="s">
        <v>57</v>
      </c>
      <c r="M79" s="800">
        <v>68216.5</v>
      </c>
      <c r="N79" s="658">
        <v>65624.5</v>
      </c>
      <c r="O79" s="498" t="s">
        <v>57</v>
      </c>
      <c r="P79" s="1115" t="s">
        <v>290</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320</v>
      </c>
      <c r="J80" s="387" t="s">
        <v>63</v>
      </c>
      <c r="K80" s="386">
        <v>45757</v>
      </c>
      <c r="L80" s="405" t="s">
        <v>57</v>
      </c>
      <c r="M80" s="443">
        <v>78331</v>
      </c>
      <c r="N80" s="440">
        <v>82072.25</v>
      </c>
      <c r="O80" s="387" t="s">
        <v>57</v>
      </c>
      <c r="P80" s="451" t="s">
        <v>290</v>
      </c>
      <c r="Q80" s="485">
        <v>45757</v>
      </c>
      <c r="R80" s="486">
        <v>6334</v>
      </c>
      <c r="S80" s="486">
        <v>6228</v>
      </c>
      <c r="T80" s="574">
        <v>0</v>
      </c>
      <c r="U80" s="926">
        <v>0.98</v>
      </c>
      <c r="V80" s="700">
        <v>45769</v>
      </c>
      <c r="W80" s="366">
        <v>1</v>
      </c>
      <c r="X80" s="366">
        <v>1</v>
      </c>
      <c r="Y80" s="366">
        <v>1</v>
      </c>
      <c r="Z80" s="493">
        <v>45917</v>
      </c>
      <c r="AA80" s="1116" t="s">
        <v>507</v>
      </c>
    </row>
    <row r="81" spans="1:27" ht="39.75" customHeight="1">
      <c r="A81" s="384" t="s">
        <v>702</v>
      </c>
      <c r="B81" s="389" t="s">
        <v>50</v>
      </c>
      <c r="C81" s="51">
        <v>45772</v>
      </c>
      <c r="D81" s="51" t="s">
        <v>468</v>
      </c>
      <c r="E81" s="392">
        <v>45686</v>
      </c>
      <c r="F81" s="50" t="s">
        <v>589</v>
      </c>
      <c r="G81" s="590" t="s">
        <v>703</v>
      </c>
      <c r="H81" s="52">
        <v>85</v>
      </c>
      <c r="I81" s="388" t="s">
        <v>320</v>
      </c>
      <c r="J81" s="52" t="s">
        <v>63</v>
      </c>
      <c r="K81" s="51">
        <v>45698</v>
      </c>
      <c r="L81" s="1119" t="s">
        <v>57</v>
      </c>
      <c r="M81" s="440">
        <v>67892.5</v>
      </c>
      <c r="N81" s="440">
        <v>65771.429999999993</v>
      </c>
      <c r="O81" s="391" t="s">
        <v>57</v>
      </c>
      <c r="P81" s="365" t="s">
        <v>290</v>
      </c>
      <c r="Q81" s="54">
        <v>45709</v>
      </c>
      <c r="R81" s="31">
        <v>5494</v>
      </c>
      <c r="S81" s="107">
        <v>5431</v>
      </c>
      <c r="T81" s="1117">
        <v>0</v>
      </c>
      <c r="U81" s="917">
        <v>0.99</v>
      </c>
      <c r="V81" s="54">
        <v>45722</v>
      </c>
      <c r="W81" s="22">
        <v>1</v>
      </c>
      <c r="X81" s="22">
        <v>1</v>
      </c>
      <c r="Y81" s="22">
        <v>1</v>
      </c>
      <c r="Z81" s="54">
        <v>45917</v>
      </c>
      <c r="AA81" s="69" t="s">
        <v>704</v>
      </c>
    </row>
    <row r="82" spans="1:27" ht="39.75" customHeight="1">
      <c r="A82" s="111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317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213</v>
      </c>
      <c r="C88" s="51">
        <v>45711</v>
      </c>
      <c r="D88" s="50" t="s">
        <v>150</v>
      </c>
      <c r="E88" s="51">
        <v>45707</v>
      </c>
      <c r="F88" s="50" t="s">
        <v>709</v>
      </c>
      <c r="G88" s="390" t="s">
        <v>710</v>
      </c>
      <c r="H88" s="52">
        <v>0</v>
      </c>
      <c r="I88" s="391" t="s">
        <v>320</v>
      </c>
      <c r="J88" s="52" t="s">
        <v>63</v>
      </c>
      <c r="K88" s="51">
        <v>45701</v>
      </c>
      <c r="L88" s="52" t="s">
        <v>57</v>
      </c>
      <c r="M88" s="440">
        <v>111163</v>
      </c>
      <c r="N88" s="758"/>
      <c r="O88" s="52" t="s">
        <v>57</v>
      </c>
      <c r="P88" s="604" t="s">
        <v>290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213</v>
      </c>
      <c r="C89" s="386">
        <v>45991</v>
      </c>
      <c r="D89" s="50" t="s">
        <v>712</v>
      </c>
      <c r="E89" s="51">
        <v>45735</v>
      </c>
      <c r="F89" s="50" t="s">
        <v>226</v>
      </c>
      <c r="G89" s="390" t="s">
        <v>713</v>
      </c>
      <c r="H89" s="52">
        <v>0</v>
      </c>
      <c r="I89" s="52" t="s">
        <v>320</v>
      </c>
      <c r="J89" s="52" t="s">
        <v>63</v>
      </c>
      <c r="K89" s="630">
        <v>45718</v>
      </c>
      <c r="L89" s="52" t="s">
        <v>57</v>
      </c>
      <c r="M89" s="440">
        <v>200394.1</v>
      </c>
      <c r="N89" s="97"/>
      <c r="O89" s="52" t="s">
        <v>57</v>
      </c>
      <c r="P89" s="605" t="s">
        <v>290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150</v>
      </c>
      <c r="E90" s="386">
        <v>45873</v>
      </c>
      <c r="F90" s="607" t="s">
        <v>134</v>
      </c>
      <c r="G90" s="656"/>
      <c r="H90" s="387">
        <v>50</v>
      </c>
      <c r="I90" s="388" t="s">
        <v>320</v>
      </c>
      <c r="J90" s="387" t="s">
        <v>56</v>
      </c>
      <c r="K90" s="386">
        <v>45874</v>
      </c>
      <c r="L90" s="387" t="s">
        <v>57</v>
      </c>
      <c r="M90" s="443">
        <v>11894.25</v>
      </c>
      <c r="N90" s="97"/>
      <c r="O90" s="387" t="s">
        <v>57</v>
      </c>
      <c r="P90" s="605" t="s">
        <v>290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150</v>
      </c>
      <c r="E91" s="386">
        <v>45813</v>
      </c>
      <c r="F91" s="607" t="s">
        <v>134</v>
      </c>
      <c r="G91" s="591" t="s">
        <v>716</v>
      </c>
      <c r="H91" s="387">
        <v>0</v>
      </c>
      <c r="I91" s="388" t="s">
        <v>320</v>
      </c>
      <c r="J91" s="387" t="s">
        <v>63</v>
      </c>
      <c r="K91" s="386">
        <v>45793</v>
      </c>
      <c r="L91" s="387" t="s">
        <v>57</v>
      </c>
      <c r="M91" s="443">
        <v>104070.8</v>
      </c>
      <c r="N91" s="758"/>
      <c r="O91" s="387" t="s">
        <v>57</v>
      </c>
      <c r="P91" s="605" t="s">
        <v>290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150</v>
      </c>
      <c r="E92" s="481">
        <v>45786</v>
      </c>
      <c r="F92" s="505" t="s">
        <v>117</v>
      </c>
      <c r="G92" s="479" t="s">
        <v>719</v>
      </c>
      <c r="H92" s="483">
        <v>0</v>
      </c>
      <c r="I92" s="483" t="s">
        <v>320</v>
      </c>
      <c r="J92" s="483" t="s">
        <v>63</v>
      </c>
      <c r="K92" s="481">
        <v>45786</v>
      </c>
      <c r="L92" s="483" t="s">
        <v>57</v>
      </c>
      <c r="M92" s="1068">
        <v>133172.15</v>
      </c>
      <c r="N92" s="758"/>
      <c r="O92" s="483" t="s">
        <v>57</v>
      </c>
      <c r="P92" s="772" t="s">
        <v>290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150</v>
      </c>
      <c r="E93" s="51">
        <v>45828</v>
      </c>
      <c r="F93" s="392" t="s">
        <v>134</v>
      </c>
      <c r="G93" s="390" t="s">
        <v>722</v>
      </c>
      <c r="H93" s="52">
        <v>0</v>
      </c>
      <c r="I93" s="391" t="s">
        <v>320</v>
      </c>
      <c r="J93" s="52" t="s">
        <v>63</v>
      </c>
      <c r="K93" s="386">
        <v>45826</v>
      </c>
      <c r="L93" s="387" t="s">
        <v>57</v>
      </c>
      <c r="M93" s="443">
        <v>144886</v>
      </c>
      <c r="N93" s="97"/>
      <c r="O93" s="387" t="s">
        <v>57</v>
      </c>
      <c r="P93" s="605" t="s">
        <v>290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320</v>
      </c>
      <c r="J94" s="52" t="s">
        <v>63</v>
      </c>
      <c r="K94" s="51">
        <v>45918</v>
      </c>
      <c r="L94" s="387" t="s">
        <v>57</v>
      </c>
      <c r="M94" s="443">
        <v>10840.25</v>
      </c>
      <c r="N94" s="758"/>
      <c r="O94" s="387" t="s">
        <v>57</v>
      </c>
      <c r="P94" s="762" t="s">
        <v>290</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150</v>
      </c>
      <c r="E95" s="51">
        <v>45853</v>
      </c>
      <c r="F95" s="50" t="s">
        <v>117</v>
      </c>
      <c r="G95" s="50" t="s">
        <v>727</v>
      </c>
      <c r="H95" s="52">
        <v>0</v>
      </c>
      <c r="I95" s="52" t="s">
        <v>320</v>
      </c>
      <c r="J95" s="52" t="s">
        <v>63</v>
      </c>
      <c r="K95" s="386">
        <v>45853</v>
      </c>
      <c r="L95" s="391" t="s">
        <v>57</v>
      </c>
      <c r="M95" s="443">
        <v>60849.9</v>
      </c>
      <c r="N95" s="97"/>
      <c r="O95" s="391" t="s">
        <v>57</v>
      </c>
      <c r="P95" s="762" t="s">
        <v>290</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150</v>
      </c>
      <c r="E96" s="51">
        <v>45884</v>
      </c>
      <c r="F96" s="50" t="s">
        <v>134</v>
      </c>
      <c r="G96" s="390"/>
      <c r="H96" s="52">
        <v>69</v>
      </c>
      <c r="I96" s="391" t="s">
        <v>320</v>
      </c>
      <c r="J96" s="52" t="s">
        <v>63</v>
      </c>
      <c r="K96" s="386">
        <v>45884</v>
      </c>
      <c r="L96" s="387" t="s">
        <v>57</v>
      </c>
      <c r="M96" s="443">
        <v>67441</v>
      </c>
      <c r="N96" s="97"/>
      <c r="O96" s="387" t="s">
        <v>57</v>
      </c>
      <c r="P96" s="762" t="s">
        <v>290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150</v>
      </c>
      <c r="E97" s="386">
        <v>45796</v>
      </c>
      <c r="F97" s="607" t="s">
        <v>134</v>
      </c>
      <c r="G97" s="385" t="s">
        <v>732</v>
      </c>
      <c r="H97" s="387">
        <v>58</v>
      </c>
      <c r="I97" s="387" t="s">
        <v>320</v>
      </c>
      <c r="J97" s="387" t="s">
        <v>63</v>
      </c>
      <c r="K97" s="386">
        <v>45797</v>
      </c>
      <c r="L97" s="387" t="s">
        <v>57</v>
      </c>
      <c r="M97" s="443">
        <v>43097.65</v>
      </c>
      <c r="N97" s="758"/>
      <c r="O97" s="387" t="s">
        <v>57</v>
      </c>
      <c r="P97" s="762" t="s">
        <v>290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150</v>
      </c>
      <c r="E98" s="854">
        <v>45880</v>
      </c>
      <c r="F98" s="442" t="s">
        <v>134</v>
      </c>
      <c r="G98" s="489" t="s">
        <v>735</v>
      </c>
      <c r="H98" s="492">
        <v>62</v>
      </c>
      <c r="I98" s="492" t="s">
        <v>320</v>
      </c>
      <c r="J98" s="492" t="s">
        <v>63</v>
      </c>
      <c r="K98" s="481">
        <v>45880</v>
      </c>
      <c r="L98" s="483" t="s">
        <v>57</v>
      </c>
      <c r="M98" s="1068">
        <v>56807.95</v>
      </c>
      <c r="N98" s="758"/>
      <c r="O98" s="483" t="s">
        <v>57</v>
      </c>
      <c r="P98" s="772" t="s">
        <v>290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150</v>
      </c>
      <c r="E99" s="668">
        <v>45882</v>
      </c>
      <c r="F99" s="668" t="s">
        <v>134</v>
      </c>
      <c r="G99" s="385" t="s">
        <v>738</v>
      </c>
      <c r="H99" s="387">
        <v>85</v>
      </c>
      <c r="I99" s="387" t="s">
        <v>320</v>
      </c>
      <c r="J99" s="387" t="s">
        <v>63</v>
      </c>
      <c r="K99" s="386">
        <v>45882</v>
      </c>
      <c r="L99" s="387" t="s">
        <v>57</v>
      </c>
      <c r="M99" s="443">
        <v>59869.5</v>
      </c>
      <c r="N99" s="758"/>
      <c r="O99" s="387" t="s">
        <v>57</v>
      </c>
      <c r="P99" s="605" t="s">
        <v>290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150</v>
      </c>
      <c r="E100" s="386">
        <v>45896</v>
      </c>
      <c r="F100" s="607" t="s">
        <v>134</v>
      </c>
      <c r="G100" s="385" t="s">
        <v>741</v>
      </c>
      <c r="H100" s="387">
        <v>72</v>
      </c>
      <c r="I100" s="387" t="s">
        <v>320</v>
      </c>
      <c r="J100" s="387" t="s">
        <v>63</v>
      </c>
      <c r="K100" s="386">
        <v>45897</v>
      </c>
      <c r="L100" s="387" t="s">
        <v>57</v>
      </c>
      <c r="M100" s="443">
        <v>50874.95</v>
      </c>
      <c r="N100" s="758"/>
      <c r="O100" s="387" t="s">
        <v>57</v>
      </c>
      <c r="P100" s="613" t="s">
        <v>290</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150</v>
      </c>
      <c r="E101" s="607">
        <v>45839</v>
      </c>
      <c r="F101" s="385" t="s">
        <v>117</v>
      </c>
      <c r="G101" s="385" t="s">
        <v>744</v>
      </c>
      <c r="H101" s="387">
        <v>77</v>
      </c>
      <c r="I101" s="387" t="s">
        <v>320</v>
      </c>
      <c r="J101" s="387" t="s">
        <v>63</v>
      </c>
      <c r="K101" s="386">
        <v>45840</v>
      </c>
      <c r="L101" s="387" t="s">
        <v>57</v>
      </c>
      <c r="M101" s="443">
        <v>10430.549999999999</v>
      </c>
      <c r="N101" s="758"/>
      <c r="O101" s="387" t="s">
        <v>57</v>
      </c>
      <c r="P101" s="763" t="s">
        <v>290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175</v>
      </c>
    </row>
    <row r="102" spans="1:27" ht="39.75" customHeight="1" thickBot="1">
      <c r="A102" s="384" t="s">
        <v>745</v>
      </c>
      <c r="B102" s="385" t="s">
        <v>116</v>
      </c>
      <c r="C102" s="51">
        <v>45930</v>
      </c>
      <c r="D102" s="386" t="s">
        <v>150</v>
      </c>
      <c r="E102" s="668">
        <v>45910</v>
      </c>
      <c r="F102" s="668" t="s">
        <v>134</v>
      </c>
      <c r="G102" s="385" t="s">
        <v>746</v>
      </c>
      <c r="H102" s="387">
        <v>87</v>
      </c>
      <c r="I102" s="387" t="s">
        <v>320</v>
      </c>
      <c r="J102" s="387" t="s">
        <v>63</v>
      </c>
      <c r="K102" s="386">
        <v>45912</v>
      </c>
      <c r="L102" s="387" t="s">
        <v>57</v>
      </c>
      <c r="M102" s="443">
        <v>60115.95</v>
      </c>
      <c r="N102" s="758"/>
      <c r="O102" s="387" t="s">
        <v>57</v>
      </c>
      <c r="P102" s="762" t="s">
        <v>290</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150</v>
      </c>
      <c r="E103" s="607">
        <v>45840</v>
      </c>
      <c r="F103" s="386" t="s">
        <v>117</v>
      </c>
      <c r="G103" s="385" t="s">
        <v>741</v>
      </c>
      <c r="H103" s="387">
        <v>81</v>
      </c>
      <c r="I103" s="387" t="s">
        <v>320</v>
      </c>
      <c r="J103" s="387" t="s">
        <v>63</v>
      </c>
      <c r="K103" s="386">
        <v>45847</v>
      </c>
      <c r="L103" s="387" t="s">
        <v>57</v>
      </c>
      <c r="M103" s="443">
        <v>71310.899999999994</v>
      </c>
      <c r="N103" s="758"/>
      <c r="O103" s="387" t="s">
        <v>57</v>
      </c>
      <c r="P103" s="605" t="s">
        <v>290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150</v>
      </c>
      <c r="E104" s="607">
        <v>45839</v>
      </c>
      <c r="F104" s="385" t="s">
        <v>117</v>
      </c>
      <c r="G104" s="385" t="s">
        <v>751</v>
      </c>
      <c r="H104" s="387">
        <v>86</v>
      </c>
      <c r="I104" s="387" t="s">
        <v>320</v>
      </c>
      <c r="J104" s="387" t="s">
        <v>63</v>
      </c>
      <c r="K104" s="386">
        <v>45840</v>
      </c>
      <c r="L104" s="387" t="s">
        <v>57</v>
      </c>
      <c r="M104" s="443">
        <v>53605.2</v>
      </c>
      <c r="N104" s="758"/>
      <c r="O104" s="387" t="s">
        <v>57</v>
      </c>
      <c r="P104" s="605" t="s">
        <v>290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150</v>
      </c>
      <c r="E105" s="607">
        <v>45833</v>
      </c>
      <c r="F105" s="385" t="s">
        <v>134</v>
      </c>
      <c r="G105" s="385" t="s">
        <v>754</v>
      </c>
      <c r="H105" s="387">
        <v>66</v>
      </c>
      <c r="I105" s="387" t="s">
        <v>320</v>
      </c>
      <c r="J105" s="387" t="s">
        <v>63</v>
      </c>
      <c r="K105" s="386">
        <v>45833</v>
      </c>
      <c r="L105" s="387" t="s">
        <v>57</v>
      </c>
      <c r="M105" s="443">
        <v>32940.449999999997</v>
      </c>
      <c r="N105" s="758"/>
      <c r="O105" s="387" t="s">
        <v>57</v>
      </c>
      <c r="P105" s="604" t="s">
        <v>290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150</v>
      </c>
      <c r="E106" s="607">
        <v>45839</v>
      </c>
      <c r="F106" s="386" t="s">
        <v>117</v>
      </c>
      <c r="G106" s="385" t="s">
        <v>757</v>
      </c>
      <c r="H106" s="387">
        <v>43</v>
      </c>
      <c r="I106" s="387" t="s">
        <v>320</v>
      </c>
      <c r="J106" s="387" t="s">
        <v>63</v>
      </c>
      <c r="K106" s="386">
        <v>45840</v>
      </c>
      <c r="L106" s="387" t="s">
        <v>57</v>
      </c>
      <c r="M106" s="443">
        <v>23404.75</v>
      </c>
      <c r="N106" s="758"/>
      <c r="O106" s="387" t="s">
        <v>57</v>
      </c>
      <c r="P106" s="762" t="s">
        <v>290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150</v>
      </c>
      <c r="E107" s="668">
        <v>45910</v>
      </c>
      <c r="F107" s="385" t="s">
        <v>117</v>
      </c>
      <c r="G107" s="693"/>
      <c r="H107" s="387">
        <v>54</v>
      </c>
      <c r="I107" s="689" t="s">
        <v>320</v>
      </c>
      <c r="J107" s="387" t="s">
        <v>63</v>
      </c>
      <c r="K107" s="386">
        <v>45903</v>
      </c>
      <c r="L107" s="387" t="s">
        <v>57</v>
      </c>
      <c r="M107" s="443">
        <v>27186</v>
      </c>
      <c r="N107" s="758"/>
      <c r="O107" s="387" t="s">
        <v>57</v>
      </c>
      <c r="P107" s="762" t="s">
        <v>290</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150</v>
      </c>
      <c r="E108" s="386">
        <v>45887</v>
      </c>
      <c r="F108" s="607" t="s">
        <v>134</v>
      </c>
      <c r="G108" s="656" t="s">
        <v>762</v>
      </c>
      <c r="H108" s="387">
        <v>73</v>
      </c>
      <c r="I108" s="388" t="s">
        <v>320</v>
      </c>
      <c r="J108" s="387" t="s">
        <v>63</v>
      </c>
      <c r="K108" s="386">
        <v>45887</v>
      </c>
      <c r="L108" s="387" t="s">
        <v>57</v>
      </c>
      <c r="M108" s="443">
        <v>37930</v>
      </c>
      <c r="N108" s="97"/>
      <c r="O108" s="387" t="s">
        <v>57</v>
      </c>
      <c r="P108" s="604" t="s">
        <v>290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320</v>
      </c>
      <c r="J109" s="52" t="s">
        <v>63</v>
      </c>
      <c r="K109" s="386">
        <v>45887</v>
      </c>
      <c r="L109" s="387" t="s">
        <v>57</v>
      </c>
      <c r="M109" s="443">
        <v>69889</v>
      </c>
      <c r="N109" s="97"/>
      <c r="O109" s="387" t="s">
        <v>57</v>
      </c>
      <c r="P109" s="605" t="s">
        <v>290</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150</v>
      </c>
      <c r="E110" s="51">
        <v>45887</v>
      </c>
      <c r="F110" s="50" t="s">
        <v>117</v>
      </c>
      <c r="G110" s="390" t="s">
        <v>768</v>
      </c>
      <c r="H110" s="52">
        <v>84</v>
      </c>
      <c r="I110" s="391" t="s">
        <v>320</v>
      </c>
      <c r="J110" s="52" t="s">
        <v>63</v>
      </c>
      <c r="K110" s="386">
        <v>45887</v>
      </c>
      <c r="L110" s="387" t="s">
        <v>57</v>
      </c>
      <c r="M110" s="443">
        <v>52110</v>
      </c>
      <c r="N110" s="758"/>
      <c r="O110" s="387" t="s">
        <v>57</v>
      </c>
      <c r="P110" s="605" t="s">
        <v>290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150</v>
      </c>
      <c r="E111" s="51">
        <v>45896</v>
      </c>
      <c r="F111" s="392" t="s">
        <v>134</v>
      </c>
      <c r="G111" s="390"/>
      <c r="H111" s="52">
        <v>87</v>
      </c>
      <c r="I111" s="391" t="s">
        <v>320</v>
      </c>
      <c r="J111" s="52" t="s">
        <v>63</v>
      </c>
      <c r="K111" s="386">
        <v>45897</v>
      </c>
      <c r="L111" s="387" t="s">
        <v>57</v>
      </c>
      <c r="M111" s="443">
        <v>52204</v>
      </c>
      <c r="N111" s="758"/>
      <c r="O111" s="387" t="s">
        <v>57</v>
      </c>
      <c r="P111" s="762" t="s">
        <v>290</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150</v>
      </c>
      <c r="E112" s="51">
        <v>45915</v>
      </c>
      <c r="F112" s="680" t="s">
        <v>134</v>
      </c>
      <c r="G112" s="692"/>
      <c r="H112" s="52">
        <v>53</v>
      </c>
      <c r="I112" s="682" t="s">
        <v>320</v>
      </c>
      <c r="J112" s="52" t="s">
        <v>63</v>
      </c>
      <c r="K112" s="386">
        <v>45912</v>
      </c>
      <c r="L112" s="387" t="s">
        <v>57</v>
      </c>
      <c r="M112" s="443">
        <v>47676</v>
      </c>
      <c r="N112" s="758"/>
      <c r="O112" s="387" t="s">
        <v>57</v>
      </c>
      <c r="P112" s="762" t="s">
        <v>290</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150</v>
      </c>
      <c r="E113" s="51">
        <v>45945</v>
      </c>
      <c r="F113" s="50" t="s">
        <v>142</v>
      </c>
      <c r="G113" s="692"/>
      <c r="H113" s="52">
        <v>59</v>
      </c>
      <c r="I113" s="682" t="s">
        <v>320</v>
      </c>
      <c r="J113" s="52" t="s">
        <v>63</v>
      </c>
      <c r="K113" s="386">
        <v>45933</v>
      </c>
      <c r="L113" s="387" t="s">
        <v>57</v>
      </c>
      <c r="M113" s="443">
        <v>44697.599999999999</v>
      </c>
      <c r="N113" s="758"/>
      <c r="O113" s="387" t="s">
        <v>57</v>
      </c>
      <c r="P113" s="762" t="s">
        <v>290</v>
      </c>
      <c r="Q113" s="125">
        <v>45933</v>
      </c>
      <c r="R113" s="107">
        <v>3495</v>
      </c>
      <c r="S113" s="649">
        <v>3448</v>
      </c>
      <c r="T113" s="107">
        <v>0</v>
      </c>
      <c r="U113" s="679">
        <v>0.99</v>
      </c>
      <c r="V113" s="919">
        <v>45945</v>
      </c>
      <c r="W113" s="619">
        <v>1</v>
      </c>
      <c r="X113" s="619">
        <v>1</v>
      </c>
      <c r="Y113" s="622">
        <v>1</v>
      </c>
      <c r="Z113" s="54">
        <v>45972</v>
      </c>
      <c r="AA113" s="1114" t="s">
        <v>775</v>
      </c>
    </row>
    <row r="114" spans="1:27" ht="39.75" customHeight="1" thickBot="1">
      <c r="A114" s="384" t="s">
        <v>776</v>
      </c>
      <c r="B114" s="50" t="s">
        <v>116</v>
      </c>
      <c r="C114" s="51">
        <v>45960</v>
      </c>
      <c r="D114" s="51" t="s">
        <v>204</v>
      </c>
      <c r="E114" s="51">
        <v>45950</v>
      </c>
      <c r="F114" s="50" t="s">
        <v>142</v>
      </c>
      <c r="G114" s="692"/>
      <c r="H114" s="52">
        <v>82</v>
      </c>
      <c r="I114" s="682" t="s">
        <v>320</v>
      </c>
      <c r="J114" s="52" t="s">
        <v>63</v>
      </c>
      <c r="K114" s="386">
        <v>45933</v>
      </c>
      <c r="L114" s="387" t="s">
        <v>57</v>
      </c>
      <c r="M114" s="443">
        <v>58864</v>
      </c>
      <c r="N114" s="758"/>
      <c r="O114" s="387" t="s">
        <v>57</v>
      </c>
      <c r="P114" s="762" t="s">
        <v>290</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320</v>
      </c>
      <c r="J115" s="52" t="s">
        <v>63</v>
      </c>
      <c r="K115" s="386">
        <v>45902</v>
      </c>
      <c r="L115" s="387" t="s">
        <v>57</v>
      </c>
      <c r="M115" s="443">
        <v>12695</v>
      </c>
      <c r="N115" s="758"/>
      <c r="O115" s="387" t="s">
        <v>57</v>
      </c>
      <c r="P115" s="762" t="s">
        <v>290</v>
      </c>
      <c r="Q115" s="125">
        <v>45902</v>
      </c>
      <c r="R115" s="1112">
        <v>1010</v>
      </c>
      <c r="S115" s="1113">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320</v>
      </c>
      <c r="J116" s="483" t="s">
        <v>63</v>
      </c>
      <c r="K116" s="386">
        <v>45848</v>
      </c>
      <c r="L116" s="387" t="s">
        <v>57</v>
      </c>
      <c r="M116" s="443">
        <v>1206</v>
      </c>
      <c r="N116" s="758"/>
      <c r="O116" s="387" t="s">
        <v>57</v>
      </c>
      <c r="P116" s="605" t="s">
        <v>290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4" t="s">
        <v>150</v>
      </c>
      <c r="E117" s="521">
        <v>45817</v>
      </c>
      <c r="F117" s="1104" t="s">
        <v>117</v>
      </c>
      <c r="G117" s="1110" t="s">
        <v>783</v>
      </c>
      <c r="H117" s="520">
        <v>0</v>
      </c>
      <c r="I117" s="524" t="s">
        <v>320</v>
      </c>
      <c r="J117" s="520" t="s">
        <v>63</v>
      </c>
      <c r="K117" s="1100">
        <v>45821</v>
      </c>
      <c r="L117" s="524" t="s">
        <v>57</v>
      </c>
      <c r="M117" s="938">
        <v>23436.55</v>
      </c>
      <c r="N117" s="758"/>
      <c r="O117" s="524" t="s">
        <v>57</v>
      </c>
      <c r="P117" s="789" t="s">
        <v>290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09" t="s">
        <v>786</v>
      </c>
      <c r="H118" s="483">
        <v>0</v>
      </c>
      <c r="I118" s="484" t="s">
        <v>320</v>
      </c>
      <c r="J118" s="483" t="s">
        <v>63</v>
      </c>
      <c r="K118" s="481" t="s">
        <v>52</v>
      </c>
      <c r="L118" s="483" t="s">
        <v>57</v>
      </c>
      <c r="M118" s="1068">
        <v>18903.7</v>
      </c>
      <c r="N118" s="97"/>
      <c r="O118" s="483" t="s">
        <v>57</v>
      </c>
      <c r="P118" s="772" t="s">
        <v>290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7" t="s">
        <v>789</v>
      </c>
      <c r="H119" s="520">
        <v>0</v>
      </c>
      <c r="I119" s="982" t="s">
        <v>320</v>
      </c>
      <c r="J119" s="520" t="s">
        <v>63</v>
      </c>
      <c r="K119" s="521" t="s">
        <v>790</v>
      </c>
      <c r="L119" s="520" t="s">
        <v>57</v>
      </c>
      <c r="M119" s="938">
        <v>21888.65</v>
      </c>
      <c r="N119" s="97"/>
      <c r="O119" s="520" t="s">
        <v>57</v>
      </c>
      <c r="P119" s="789" t="s">
        <v>290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3" t="s">
        <v>116</v>
      </c>
      <c r="C120" s="1018">
        <v>45899</v>
      </c>
      <c r="D120" s="987" t="s">
        <v>71</v>
      </c>
      <c r="E120" s="987">
        <v>45876</v>
      </c>
      <c r="F120" s="987" t="s">
        <v>117</v>
      </c>
      <c r="G120" s="1108"/>
      <c r="H120" s="1005">
        <v>0</v>
      </c>
      <c r="I120" s="1111" t="s">
        <v>320</v>
      </c>
      <c r="J120" s="1005" t="s">
        <v>63</v>
      </c>
      <c r="K120" s="987">
        <v>45876</v>
      </c>
      <c r="L120" s="1005" t="s">
        <v>57</v>
      </c>
      <c r="M120" s="1007">
        <v>1462.85</v>
      </c>
      <c r="N120" s="97"/>
      <c r="O120" s="1005" t="s">
        <v>57</v>
      </c>
      <c r="P120" s="790" t="s">
        <v>290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099"/>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150</v>
      </c>
      <c r="E122" s="521">
        <v>45870</v>
      </c>
      <c r="F122" s="1104" t="s">
        <v>134</v>
      </c>
      <c r="G122" s="1105" t="s">
        <v>798</v>
      </c>
      <c r="H122" s="520">
        <v>0</v>
      </c>
      <c r="I122" s="520" t="s">
        <v>320</v>
      </c>
      <c r="J122" s="520" t="s">
        <v>63</v>
      </c>
      <c r="K122" s="521">
        <v>45870</v>
      </c>
      <c r="L122" s="520" t="s">
        <v>57</v>
      </c>
      <c r="M122" s="938">
        <v>49307.5</v>
      </c>
      <c r="N122" s="97"/>
      <c r="O122" s="520" t="s">
        <v>57</v>
      </c>
      <c r="P122" s="807" t="s">
        <v>290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2" t="s">
        <v>799</v>
      </c>
    </row>
    <row r="123" spans="1:27" ht="39.75" customHeight="1" thickBot="1">
      <c r="A123" s="791" t="s">
        <v>800</v>
      </c>
      <c r="B123" s="506" t="s">
        <v>116</v>
      </c>
      <c r="C123" s="514">
        <v>45899</v>
      </c>
      <c r="D123" s="521" t="s">
        <v>150</v>
      </c>
      <c r="E123" s="521">
        <v>45870</v>
      </c>
      <c r="F123" s="1104" t="s">
        <v>134</v>
      </c>
      <c r="G123" s="1105" t="s">
        <v>801</v>
      </c>
      <c r="H123" s="520">
        <v>0</v>
      </c>
      <c r="I123" s="520" t="s">
        <v>320</v>
      </c>
      <c r="J123" s="520" t="s">
        <v>63</v>
      </c>
      <c r="K123" s="521">
        <v>45870</v>
      </c>
      <c r="L123" s="520" t="s">
        <v>57</v>
      </c>
      <c r="M123" s="938">
        <v>12886.4</v>
      </c>
      <c r="N123" s="808"/>
      <c r="O123" s="520" t="s">
        <v>57</v>
      </c>
      <c r="P123" s="789" t="s">
        <v>290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2" t="s">
        <v>802</v>
      </c>
    </row>
    <row r="124" spans="1:27" ht="39.75" customHeight="1" thickBot="1">
      <c r="A124" s="791" t="s">
        <v>803</v>
      </c>
      <c r="B124" s="936" t="s">
        <v>116</v>
      </c>
      <c r="C124" s="57">
        <v>45899</v>
      </c>
      <c r="D124" s="930" t="s">
        <v>150</v>
      </c>
      <c r="E124" s="930">
        <v>45882</v>
      </c>
      <c r="F124" s="1092" t="s">
        <v>134</v>
      </c>
      <c r="G124" s="1099"/>
      <c r="H124" s="815">
        <v>0</v>
      </c>
      <c r="I124" s="827" t="s">
        <v>320</v>
      </c>
      <c r="J124" s="815" t="s">
        <v>63</v>
      </c>
      <c r="K124" s="386">
        <v>45882</v>
      </c>
      <c r="L124" s="387" t="s">
        <v>57</v>
      </c>
      <c r="M124" s="443">
        <v>13056.5</v>
      </c>
      <c r="N124" s="808"/>
      <c r="O124" s="387" t="s">
        <v>57</v>
      </c>
      <c r="P124" s="605" t="s">
        <v>290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099" t="s">
        <v>806</v>
      </c>
      <c r="H125" s="815">
        <v>0</v>
      </c>
      <c r="I125" s="815" t="s">
        <v>320</v>
      </c>
      <c r="J125" s="815" t="s">
        <v>63</v>
      </c>
      <c r="K125" s="521">
        <v>45868</v>
      </c>
      <c r="L125" s="520" t="s">
        <v>57</v>
      </c>
      <c r="M125" s="938">
        <v>14179.65</v>
      </c>
      <c r="N125" s="808"/>
      <c r="O125" s="520" t="s">
        <v>57</v>
      </c>
      <c r="P125" s="807" t="s">
        <v>290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2" t="s">
        <v>807</v>
      </c>
    </row>
    <row r="126" spans="1:27" ht="39.75" customHeight="1" thickBot="1">
      <c r="A126" s="791" t="s">
        <v>808</v>
      </c>
      <c r="B126" s="936" t="s">
        <v>116</v>
      </c>
      <c r="C126" s="57">
        <v>45868</v>
      </c>
      <c r="D126" s="794" t="s">
        <v>71</v>
      </c>
      <c r="E126" s="930">
        <v>45853</v>
      </c>
      <c r="F126" s="1091" t="s">
        <v>117</v>
      </c>
      <c r="G126" s="1106" t="s">
        <v>809</v>
      </c>
      <c r="H126" s="815">
        <v>0</v>
      </c>
      <c r="I126" s="815" t="s">
        <v>320</v>
      </c>
      <c r="J126" s="815" t="s">
        <v>63</v>
      </c>
      <c r="K126" s="481">
        <v>45853</v>
      </c>
      <c r="L126" s="483" t="s">
        <v>57</v>
      </c>
      <c r="M126" s="1068">
        <v>68216.5</v>
      </c>
      <c r="N126" s="801"/>
      <c r="O126" s="483" t="s">
        <v>57</v>
      </c>
      <c r="P126" s="772" t="s">
        <v>290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320</v>
      </c>
      <c r="J127" s="492" t="s">
        <v>63</v>
      </c>
      <c r="K127" s="527">
        <v>45838</v>
      </c>
      <c r="L127" s="1101" t="s">
        <v>57</v>
      </c>
      <c r="M127" s="800">
        <v>72566</v>
      </c>
      <c r="N127" s="758"/>
      <c r="O127" s="492" t="s">
        <v>57</v>
      </c>
      <c r="P127" s="772" t="s">
        <v>290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89" t="s">
        <v>116</v>
      </c>
      <c r="C128" s="51">
        <v>45960</v>
      </c>
      <c r="D128" s="51" t="s">
        <v>71</v>
      </c>
      <c r="E128" s="51">
        <v>45945</v>
      </c>
      <c r="F128" s="50" t="s">
        <v>117</v>
      </c>
      <c r="G128" s="692"/>
      <c r="H128" s="52">
        <v>0</v>
      </c>
      <c r="I128" s="52" t="s">
        <v>320</v>
      </c>
      <c r="J128" s="52" t="s">
        <v>63</v>
      </c>
      <c r="K128" s="386">
        <v>45936</v>
      </c>
      <c r="L128" s="387" t="s">
        <v>57</v>
      </c>
      <c r="M128" s="443">
        <v>4235.8</v>
      </c>
      <c r="N128" s="758"/>
      <c r="O128" s="387" t="s">
        <v>57</v>
      </c>
      <c r="P128" s="605" t="s">
        <v>290</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320</v>
      </c>
      <c r="J129" s="798" t="s">
        <v>63</v>
      </c>
      <c r="K129" s="481">
        <v>45902</v>
      </c>
      <c r="L129" s="483" t="s">
        <v>57</v>
      </c>
      <c r="M129" s="1068">
        <v>3067.9</v>
      </c>
      <c r="N129" s="808"/>
      <c r="O129" s="483" t="s">
        <v>57</v>
      </c>
      <c r="P129" s="772" t="s">
        <v>290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150</v>
      </c>
      <c r="E130" s="57">
        <v>45874</v>
      </c>
      <c r="F130" s="795" t="s">
        <v>134</v>
      </c>
      <c r="G130" s="797"/>
      <c r="H130" s="798">
        <v>208</v>
      </c>
      <c r="I130" s="804" t="s">
        <v>320</v>
      </c>
      <c r="J130" s="798" t="s">
        <v>56</v>
      </c>
      <c r="K130" s="481">
        <v>45876</v>
      </c>
      <c r="L130" s="483" t="s">
        <v>57</v>
      </c>
      <c r="M130" s="1068">
        <v>124980</v>
      </c>
      <c r="N130" s="808"/>
      <c r="O130" s="483" t="s">
        <v>57</v>
      </c>
      <c r="P130" s="772" t="s">
        <v>290</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320</v>
      </c>
      <c r="J131" s="815" t="s">
        <v>63</v>
      </c>
      <c r="K131" s="521">
        <v>45817</v>
      </c>
      <c r="L131" s="520" t="s">
        <v>57</v>
      </c>
      <c r="M131" s="938">
        <v>75953</v>
      </c>
      <c r="N131" s="1017"/>
      <c r="O131" s="520" t="s">
        <v>57</v>
      </c>
      <c r="P131" s="807" t="s">
        <v>290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320</v>
      </c>
      <c r="J132" s="798" t="s">
        <v>63</v>
      </c>
      <c r="K132" s="521">
        <v>45716</v>
      </c>
      <c r="L132" s="117" t="s">
        <v>57</v>
      </c>
      <c r="M132" s="799">
        <v>45321.5</v>
      </c>
      <c r="N132" s="808"/>
      <c r="O132" s="117" t="s">
        <v>57</v>
      </c>
      <c r="P132" s="789" t="s">
        <v>290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3" t="s">
        <v>826</v>
      </c>
      <c r="H133" s="798">
        <v>86</v>
      </c>
      <c r="I133" s="814" t="s">
        <v>385</v>
      </c>
      <c r="J133" s="798" t="s">
        <v>63</v>
      </c>
      <c r="K133" s="514">
        <v>45677</v>
      </c>
      <c r="L133" s="1006" t="s">
        <v>57</v>
      </c>
      <c r="M133" s="799">
        <v>78075.5</v>
      </c>
      <c r="N133" s="808"/>
      <c r="O133" s="1006" t="s">
        <v>57</v>
      </c>
      <c r="P133" s="789" t="s">
        <v>290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320</v>
      </c>
      <c r="J134" s="815" t="s">
        <v>63</v>
      </c>
      <c r="K134" s="1094">
        <v>45741</v>
      </c>
      <c r="L134" s="890" t="s">
        <v>57</v>
      </c>
      <c r="M134" s="1095">
        <v>41813</v>
      </c>
      <c r="N134" s="808"/>
      <c r="O134" s="890" t="s">
        <v>57</v>
      </c>
      <c r="P134" s="1087" t="s">
        <v>290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8" t="s">
        <v>829</v>
      </c>
    </row>
    <row r="135" spans="1:30" ht="39.75" customHeight="1">
      <c r="A135" s="791" t="s">
        <v>830</v>
      </c>
      <c r="B135" s="793" t="s">
        <v>50</v>
      </c>
      <c r="C135" s="57">
        <v>45772</v>
      </c>
      <c r="D135" s="795" t="s">
        <v>128</v>
      </c>
      <c r="E135" s="57">
        <v>45708</v>
      </c>
      <c r="F135" s="795" t="s">
        <v>580</v>
      </c>
      <c r="G135" s="802" t="s">
        <v>831</v>
      </c>
      <c r="H135" s="798">
        <v>82</v>
      </c>
      <c r="I135" s="804" t="s">
        <v>320</v>
      </c>
      <c r="J135" s="798" t="s">
        <v>63</v>
      </c>
      <c r="K135" s="514">
        <v>45698</v>
      </c>
      <c r="L135" s="522" t="s">
        <v>57</v>
      </c>
      <c r="M135" s="799">
        <v>71979</v>
      </c>
      <c r="N135" s="801"/>
      <c r="O135" s="522" t="s">
        <v>57</v>
      </c>
      <c r="P135" s="807" t="s">
        <v>290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320</v>
      </c>
      <c r="J136" s="815" t="s">
        <v>63</v>
      </c>
      <c r="K136" s="514">
        <v>45741</v>
      </c>
      <c r="L136" s="520" t="s">
        <v>57</v>
      </c>
      <c r="M136" s="799">
        <v>75396.5</v>
      </c>
      <c r="N136" s="801"/>
      <c r="O136" s="520" t="s">
        <v>57</v>
      </c>
      <c r="P136" s="807" t="s">
        <v>290</v>
      </c>
      <c r="Q136" s="493">
        <v>45749</v>
      </c>
      <c r="R136" s="41">
        <v>6061</v>
      </c>
      <c r="S136" s="515">
        <v>6217</v>
      </c>
      <c r="T136" s="1096">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0" t="s">
        <v>834</v>
      </c>
      <c r="B137" s="480" t="s">
        <v>50</v>
      </c>
      <c r="C137" s="490">
        <v>45747</v>
      </c>
      <c r="D137" s="490" t="s">
        <v>150</v>
      </c>
      <c r="E137" s="442">
        <v>45698</v>
      </c>
      <c r="F137" s="442" t="s">
        <v>61</v>
      </c>
      <c r="G137" s="986" t="s">
        <v>835</v>
      </c>
      <c r="H137" s="492">
        <v>87</v>
      </c>
      <c r="I137" s="498" t="s">
        <v>290</v>
      </c>
      <c r="J137" s="492" t="s">
        <v>63</v>
      </c>
      <c r="K137" s="490">
        <v>45699</v>
      </c>
      <c r="L137" s="498" t="s">
        <v>57</v>
      </c>
      <c r="M137" s="800">
        <v>72566</v>
      </c>
      <c r="N137" s="97"/>
      <c r="O137" s="498" t="s">
        <v>57</v>
      </c>
      <c r="P137" s="772" t="s">
        <v>290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290</v>
      </c>
      <c r="J138" s="492" t="s">
        <v>63</v>
      </c>
      <c r="K138" s="490">
        <v>45712</v>
      </c>
      <c r="L138" s="492" t="s">
        <v>57</v>
      </c>
      <c r="M138" s="800">
        <v>14262</v>
      </c>
      <c r="N138" s="758"/>
      <c r="O138" s="492" t="s">
        <v>57</v>
      </c>
      <c r="P138" s="772" t="s">
        <v>290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385</v>
      </c>
      <c r="J139" s="798" t="s">
        <v>63</v>
      </c>
      <c r="K139" s="490">
        <v>45686</v>
      </c>
      <c r="L139" s="857" t="s">
        <v>57</v>
      </c>
      <c r="M139" s="800">
        <v>22755.7</v>
      </c>
      <c r="N139" s="808"/>
      <c r="O139" s="857" t="s">
        <v>57</v>
      </c>
      <c r="P139" s="772" t="s">
        <v>290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320</v>
      </c>
      <c r="J140" s="52" t="s">
        <v>63</v>
      </c>
      <c r="K140" s="490" t="s">
        <v>52</v>
      </c>
      <c r="L140" s="498" t="s">
        <v>57</v>
      </c>
      <c r="M140" s="800">
        <v>1594</v>
      </c>
      <c r="N140" s="758"/>
      <c r="O140" s="498" t="s">
        <v>57</v>
      </c>
      <c r="P140" s="772" t="s">
        <v>290</v>
      </c>
      <c r="Q140" s="493">
        <v>45818</v>
      </c>
      <c r="R140" s="41">
        <v>65</v>
      </c>
      <c r="S140" s="515">
        <v>65</v>
      </c>
      <c r="T140" s="1096">
        <v>0</v>
      </c>
      <c r="U140" s="917">
        <f>IFERROR(Table5[[#This Row],[Actual Redline Completed Footage UG]]/Table5[[#This Row],[Footage UG]], 0)</f>
        <v>1</v>
      </c>
      <c r="V140" s="700">
        <v>45831</v>
      </c>
      <c r="W140" s="366">
        <v>1</v>
      </c>
      <c r="X140" s="366">
        <v>1</v>
      </c>
      <c r="Y140" s="366">
        <v>1</v>
      </c>
      <c r="Z140" s="493">
        <v>45859</v>
      </c>
      <c r="AA140" s="1097" t="s">
        <v>844</v>
      </c>
    </row>
    <row r="141" spans="1:30" ht="39.75" customHeight="1">
      <c r="A141" s="791" t="s">
        <v>845</v>
      </c>
      <c r="B141" s="793" t="s">
        <v>50</v>
      </c>
      <c r="C141" s="57">
        <v>45742</v>
      </c>
      <c r="D141" s="794" t="s">
        <v>657</v>
      </c>
      <c r="E141" s="57">
        <v>45708</v>
      </c>
      <c r="F141" s="795" t="s">
        <v>214</v>
      </c>
      <c r="G141" s="797" t="s">
        <v>846</v>
      </c>
      <c r="H141" s="798">
        <v>0</v>
      </c>
      <c r="I141" s="798" t="s">
        <v>320</v>
      </c>
      <c r="J141" s="798" t="s">
        <v>63</v>
      </c>
      <c r="K141" s="490">
        <v>45714</v>
      </c>
      <c r="L141" s="492" t="s">
        <v>57</v>
      </c>
      <c r="M141" s="800">
        <v>93462.85</v>
      </c>
      <c r="N141" s="801"/>
      <c r="O141" s="492" t="s">
        <v>57</v>
      </c>
      <c r="P141" s="772" t="s">
        <v>290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150</v>
      </c>
      <c r="E142" s="57">
        <v>45772</v>
      </c>
      <c r="F142" s="794" t="s">
        <v>61</v>
      </c>
      <c r="G142" s="794" t="s">
        <v>848</v>
      </c>
      <c r="H142" s="798">
        <v>0</v>
      </c>
      <c r="I142" s="798" t="s">
        <v>320</v>
      </c>
      <c r="J142" s="798" t="s">
        <v>63</v>
      </c>
      <c r="K142" s="489" t="s">
        <v>52</v>
      </c>
      <c r="L142" s="483" t="s">
        <v>57</v>
      </c>
      <c r="M142" s="1068">
        <v>4397.6499999999996</v>
      </c>
      <c r="N142" s="801"/>
      <c r="O142" s="483" t="s">
        <v>57</v>
      </c>
      <c r="P142" s="772" t="s">
        <v>290</v>
      </c>
      <c r="Q142" s="485">
        <v>45852</v>
      </c>
      <c r="R142" s="486">
        <v>129</v>
      </c>
      <c r="S142" s="1088">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213</v>
      </c>
      <c r="C147" s="490">
        <v>45807</v>
      </c>
      <c r="D147" s="479" t="s">
        <v>51</v>
      </c>
      <c r="E147" s="489" t="s">
        <v>52</v>
      </c>
      <c r="F147" s="479" t="s">
        <v>666</v>
      </c>
      <c r="G147" s="704" t="s">
        <v>332</v>
      </c>
      <c r="H147" s="483">
        <v>60</v>
      </c>
      <c r="I147" s="857" t="s">
        <v>320</v>
      </c>
      <c r="J147" s="492" t="s">
        <v>56</v>
      </c>
      <c r="K147" s="873"/>
      <c r="L147" s="481">
        <v>45716</v>
      </c>
      <c r="M147" s="492" t="s">
        <v>57</v>
      </c>
      <c r="N147" s="560">
        <v>2075.6999999999998</v>
      </c>
      <c r="O147" s="492" t="s">
        <v>57</v>
      </c>
      <c r="P147" s="962" t="s">
        <v>290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213</v>
      </c>
      <c r="C148" s="490">
        <v>45807</v>
      </c>
      <c r="D148" s="489" t="s">
        <v>51</v>
      </c>
      <c r="E148" s="489" t="s">
        <v>52</v>
      </c>
      <c r="F148" s="489" t="s">
        <v>666</v>
      </c>
      <c r="G148" s="852" t="s">
        <v>854</v>
      </c>
      <c r="H148" s="492">
        <v>79</v>
      </c>
      <c r="I148" s="857" t="s">
        <v>320</v>
      </c>
      <c r="J148" s="492" t="s">
        <v>56</v>
      </c>
      <c r="K148" s="504"/>
      <c r="L148" s="481">
        <v>45716</v>
      </c>
      <c r="M148" s="492" t="s">
        <v>57</v>
      </c>
      <c r="N148" s="561">
        <v>2947.5</v>
      </c>
      <c r="O148" s="492" t="s">
        <v>57</v>
      </c>
      <c r="P148" s="963" t="s">
        <v>290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213</v>
      </c>
      <c r="C149" s="490">
        <v>45807</v>
      </c>
      <c r="D149" s="489" t="s">
        <v>51</v>
      </c>
      <c r="E149" s="489" t="s">
        <v>52</v>
      </c>
      <c r="F149" s="489" t="s">
        <v>666</v>
      </c>
      <c r="G149" s="852" t="s">
        <v>856</v>
      </c>
      <c r="H149" s="492">
        <v>83</v>
      </c>
      <c r="I149" s="857" t="s">
        <v>320</v>
      </c>
      <c r="J149" s="492" t="s">
        <v>56</v>
      </c>
      <c r="K149" s="504"/>
      <c r="L149" s="481">
        <v>45716</v>
      </c>
      <c r="M149" s="492" t="s">
        <v>57</v>
      </c>
      <c r="N149" s="561">
        <v>2908.95</v>
      </c>
      <c r="O149" s="492" t="s">
        <v>57</v>
      </c>
      <c r="P149" s="963" t="s">
        <v>290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290</v>
      </c>
      <c r="J150" s="492" t="s">
        <v>56</v>
      </c>
      <c r="K150" s="492"/>
      <c r="L150" s="858">
        <v>45716</v>
      </c>
      <c r="M150" s="492" t="s">
        <v>57</v>
      </c>
      <c r="N150" s="561">
        <v>1134</v>
      </c>
      <c r="O150" s="492" t="s">
        <v>57</v>
      </c>
      <c r="P150" s="964" t="s">
        <v>290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290</v>
      </c>
      <c r="J151" s="492" t="s">
        <v>56</v>
      </c>
      <c r="K151" s="504"/>
      <c r="L151" s="481">
        <v>45716</v>
      </c>
      <c r="M151" s="492" t="s">
        <v>57</v>
      </c>
      <c r="N151" s="561">
        <v>870</v>
      </c>
      <c r="O151" s="492" t="s">
        <v>57</v>
      </c>
      <c r="P151" s="964" t="s">
        <v>290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320</v>
      </c>
      <c r="J152" s="492" t="s">
        <v>63</v>
      </c>
      <c r="K152" s="492"/>
      <c r="L152" s="858">
        <v>45716</v>
      </c>
      <c r="M152" s="857" t="s">
        <v>57</v>
      </c>
      <c r="N152" s="561">
        <v>2025.6</v>
      </c>
      <c r="O152" s="857" t="s">
        <v>57</v>
      </c>
      <c r="P152" s="964" t="s">
        <v>290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290</v>
      </c>
      <c r="J153" s="492" t="s">
        <v>56</v>
      </c>
      <c r="K153" s="492"/>
      <c r="L153" s="490">
        <v>45715</v>
      </c>
      <c r="M153" s="492" t="s">
        <v>57</v>
      </c>
      <c r="N153" s="561">
        <v>3801.75</v>
      </c>
      <c r="O153" s="492" t="s">
        <v>57</v>
      </c>
      <c r="P153" s="964" t="s">
        <v>290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290</v>
      </c>
      <c r="J156" s="952" t="s">
        <v>56</v>
      </c>
      <c r="K156" s="949"/>
      <c r="L156" s="954" t="s">
        <v>56</v>
      </c>
      <c r="M156" s="952" t="s">
        <v>96</v>
      </c>
      <c r="N156" s="955">
        <v>0</v>
      </c>
      <c r="O156" s="952" t="s">
        <v>96</v>
      </c>
      <c r="P156" s="956" t="s">
        <v>290</v>
      </c>
      <c r="Q156" s="957" t="s">
        <v>56</v>
      </c>
      <c r="R156" s="958" t="s">
        <v>168</v>
      </c>
      <c r="S156" s="958" t="s">
        <v>168</v>
      </c>
      <c r="T156" s="958" t="s">
        <v>168</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290</v>
      </c>
      <c r="J157" s="890" t="s">
        <v>56</v>
      </c>
      <c r="K157" s="895"/>
      <c r="L157" s="897" t="s">
        <v>56</v>
      </c>
      <c r="M157" s="890" t="s">
        <v>96</v>
      </c>
      <c r="N157" s="891">
        <v>0</v>
      </c>
      <c r="O157" s="890" t="s">
        <v>96</v>
      </c>
      <c r="P157" s="892" t="s">
        <v>290</v>
      </c>
      <c r="Q157" s="79" t="s">
        <v>56</v>
      </c>
      <c r="R157" s="332" t="s">
        <v>168</v>
      </c>
      <c r="S157" s="332" t="s">
        <v>168</v>
      </c>
      <c r="T157" s="332" t="s">
        <v>168</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150</v>
      </c>
      <c r="K6">
        <v>22274</v>
      </c>
      <c r="N6" t="s">
        <v>150</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382</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382</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382</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382</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382</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333</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333</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330</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330</v>
      </c>
    </row>
    <row r="315" spans="1:7">
      <c r="A315" t="s">
        <v>671</v>
      </c>
      <c r="B315">
        <v>990</v>
      </c>
      <c r="C315">
        <v>1871</v>
      </c>
      <c r="D315">
        <v>1307</v>
      </c>
      <c r="G315">
        <v>4168</v>
      </c>
    </row>
    <row r="316" spans="1:7">
      <c r="A316" t="s">
        <v>389</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389</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393</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369</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369</v>
      </c>
      <c r="B485">
        <v>948</v>
      </c>
      <c r="D485">
        <v>736</v>
      </c>
      <c r="F485">
        <v>1684</v>
      </c>
    </row>
    <row r="486" spans="1:7">
      <c r="A486" t="s">
        <v>354</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389</v>
      </c>
      <c r="E501">
        <v>341</v>
      </c>
      <c r="G501">
        <v>341</v>
      </c>
    </row>
    <row r="502" spans="1:7">
      <c r="A502" t="s">
        <v>907</v>
      </c>
    </row>
    <row r="503" spans="1:7">
      <c r="A503" t="s">
        <v>369</v>
      </c>
      <c r="B503">
        <v>1957</v>
      </c>
      <c r="G503">
        <v>1957</v>
      </c>
    </row>
    <row r="504" spans="1:7">
      <c r="A504" t="s">
        <v>354</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354</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369</v>
      </c>
    </row>
    <row r="538" spans="1:7">
      <c r="A538" t="s">
        <v>354</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389</v>
      </c>
      <c r="D550">
        <v>649</v>
      </c>
      <c r="G550">
        <v>649</v>
      </c>
    </row>
    <row r="551" spans="1:7">
      <c r="A551" t="s">
        <v>906</v>
      </c>
      <c r="B551">
        <v>237</v>
      </c>
      <c r="C551">
        <v>322</v>
      </c>
      <c r="D551">
        <v>245</v>
      </c>
      <c r="E551">
        <v>1091</v>
      </c>
      <c r="F551">
        <v>303</v>
      </c>
      <c r="G551">
        <v>2198</v>
      </c>
    </row>
    <row r="552" spans="1:7">
      <c r="A552" t="s">
        <v>354</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369</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330</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333</v>
      </c>
      <c r="C590">
        <v>403</v>
      </c>
      <c r="D590">
        <v>39</v>
      </c>
      <c r="G590">
        <v>442</v>
      </c>
    </row>
    <row r="591" spans="1:7">
      <c r="A591" t="s">
        <v>423</v>
      </c>
      <c r="B591">
        <v>862</v>
      </c>
      <c r="G591">
        <v>862</v>
      </c>
    </row>
    <row r="592" spans="1:7">
      <c r="A592" t="s">
        <v>901</v>
      </c>
      <c r="C592">
        <v>203</v>
      </c>
      <c r="D592">
        <v>170</v>
      </c>
      <c r="E592">
        <v>106</v>
      </c>
      <c r="G592">
        <v>479</v>
      </c>
    </row>
    <row r="593" spans="1:7">
      <c r="A593" t="s">
        <v>354</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333</v>
      </c>
      <c r="C604">
        <v>318</v>
      </c>
      <c r="G604">
        <v>318</v>
      </c>
    </row>
    <row r="605" spans="1:7">
      <c r="A605" t="s">
        <v>423</v>
      </c>
      <c r="D605">
        <v>461</v>
      </c>
      <c r="E605">
        <v>880</v>
      </c>
      <c r="F605">
        <v>585</v>
      </c>
      <c r="G605">
        <v>1926</v>
      </c>
    </row>
    <row r="606" spans="1:7">
      <c r="A606" t="s">
        <v>330</v>
      </c>
      <c r="E606">
        <v>868</v>
      </c>
      <c r="G606">
        <v>868</v>
      </c>
    </row>
    <row r="607" spans="1:7">
      <c r="A607" t="s">
        <v>901</v>
      </c>
      <c r="D607">
        <v>272</v>
      </c>
      <c r="E607">
        <v>79</v>
      </c>
      <c r="G607">
        <v>351</v>
      </c>
    </row>
    <row r="608" spans="1:7">
      <c r="A608" t="s">
        <v>354</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354</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325</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325</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333</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263</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330</v>
      </c>
      <c r="D665">
        <v>499</v>
      </c>
      <c r="E665">
        <v>231</v>
      </c>
      <c r="F665">
        <v>316</v>
      </c>
      <c r="G665">
        <v>1046</v>
      </c>
    </row>
    <row r="666" spans="1:7">
      <c r="A666" t="s">
        <v>389</v>
      </c>
    </row>
    <row r="667" spans="1:7">
      <c r="A667" t="s">
        <v>901</v>
      </c>
      <c r="B667">
        <v>141</v>
      </c>
      <c r="D667">
        <v>181</v>
      </c>
      <c r="E667">
        <v>82</v>
      </c>
      <c r="F667">
        <v>96</v>
      </c>
      <c r="G667">
        <v>500</v>
      </c>
    </row>
    <row r="668" spans="1:7">
      <c r="A668" t="s">
        <v>788</v>
      </c>
      <c r="B668">
        <v>343</v>
      </c>
      <c r="C668">
        <v>416</v>
      </c>
      <c r="D668">
        <v>216</v>
      </c>
      <c r="G668">
        <v>975</v>
      </c>
    </row>
    <row r="669" spans="1:7">
      <c r="A669" t="s">
        <v>325</v>
      </c>
      <c r="C669">
        <v>430</v>
      </c>
      <c r="G669">
        <v>430</v>
      </c>
    </row>
    <row r="670" spans="1:7">
      <c r="A670" t="s">
        <v>428</v>
      </c>
      <c r="B670">
        <v>377</v>
      </c>
      <c r="C670">
        <v>408</v>
      </c>
      <c r="D670">
        <v>607</v>
      </c>
      <c r="E670">
        <v>1022</v>
      </c>
      <c r="G670">
        <v>2414</v>
      </c>
    </row>
    <row r="671" spans="1:7">
      <c r="A671" t="s">
        <v>797</v>
      </c>
    </row>
    <row r="672" spans="1:7">
      <c r="A672" t="s">
        <v>800</v>
      </c>
    </row>
    <row r="673" spans="1:7">
      <c r="A673" t="s">
        <v>263</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333</v>
      </c>
      <c r="D684">
        <v>358</v>
      </c>
      <c r="G684">
        <v>358</v>
      </c>
    </row>
    <row r="685" spans="1:7">
      <c r="A685" t="s">
        <v>423</v>
      </c>
      <c r="D685">
        <v>1241</v>
      </c>
      <c r="G685">
        <v>1241</v>
      </c>
    </row>
    <row r="686" spans="1:7">
      <c r="A686" t="s">
        <v>330</v>
      </c>
      <c r="B686">
        <v>503</v>
      </c>
      <c r="C686">
        <v>295</v>
      </c>
      <c r="F686">
        <v>6</v>
      </c>
      <c r="G686">
        <v>804</v>
      </c>
    </row>
    <row r="687" spans="1:7">
      <c r="A687" t="s">
        <v>389</v>
      </c>
      <c r="C687">
        <v>1009</v>
      </c>
      <c r="G687">
        <v>1009</v>
      </c>
    </row>
    <row r="688" spans="1:7">
      <c r="A688" t="s">
        <v>901</v>
      </c>
      <c r="B688">
        <v>20</v>
      </c>
      <c r="E688">
        <v>250</v>
      </c>
      <c r="F688">
        <v>177</v>
      </c>
      <c r="G688">
        <v>447</v>
      </c>
    </row>
    <row r="689" spans="1:7">
      <c r="A689" t="s">
        <v>428</v>
      </c>
      <c r="B689">
        <v>639</v>
      </c>
      <c r="G689">
        <v>639</v>
      </c>
    </row>
    <row r="690" spans="1:7">
      <c r="A690" t="s">
        <v>263</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333</v>
      </c>
      <c r="E706">
        <v>99</v>
      </c>
      <c r="G706">
        <v>99</v>
      </c>
    </row>
    <row r="707" spans="1:7">
      <c r="A707" t="s">
        <v>423</v>
      </c>
    </row>
    <row r="708" spans="1:7">
      <c r="A708" t="s">
        <v>674</v>
      </c>
    </row>
    <row r="709" spans="1:7">
      <c r="A709" t="s">
        <v>330</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389</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322</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333</v>
      </c>
    </row>
    <row r="743" spans="1:7">
      <c r="A743" t="s">
        <v>423</v>
      </c>
      <c r="D743">
        <v>139</v>
      </c>
      <c r="G743">
        <v>139</v>
      </c>
    </row>
    <row r="744" spans="1:7">
      <c r="A744" t="s">
        <v>330</v>
      </c>
    </row>
    <row r="745" spans="1:7">
      <c r="A745" t="s">
        <v>393</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336</v>
      </c>
      <c r="C753">
        <v>251</v>
      </c>
      <c r="D753">
        <v>253</v>
      </c>
      <c r="E753">
        <v>1076</v>
      </c>
      <c r="G753">
        <v>1580</v>
      </c>
    </row>
    <row r="754" spans="1:7">
      <c r="A754" t="s">
        <v>322</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333</v>
      </c>
    </row>
    <row r="763" spans="1:7">
      <c r="A763" t="s">
        <v>423</v>
      </c>
      <c r="B763">
        <v>60</v>
      </c>
      <c r="G763">
        <v>60</v>
      </c>
    </row>
    <row r="764" spans="1:7">
      <c r="A764" t="s">
        <v>84</v>
      </c>
      <c r="E764">
        <v>175</v>
      </c>
      <c r="G764">
        <v>175</v>
      </c>
    </row>
    <row r="765" spans="1:7">
      <c r="A765" t="s">
        <v>906</v>
      </c>
      <c r="C765">
        <v>224</v>
      </c>
      <c r="G765">
        <v>224</v>
      </c>
    </row>
    <row r="766" spans="1:7">
      <c r="A766" t="s">
        <v>325</v>
      </c>
      <c r="D766">
        <v>406</v>
      </c>
      <c r="G766">
        <v>406</v>
      </c>
    </row>
    <row r="767" spans="1:7">
      <c r="A767" t="s">
        <v>263</v>
      </c>
      <c r="D767">
        <v>362</v>
      </c>
      <c r="E767">
        <v>399</v>
      </c>
      <c r="G767">
        <v>761</v>
      </c>
    </row>
    <row r="768" spans="1:7">
      <c r="A768" t="s">
        <v>770</v>
      </c>
    </row>
    <row r="769" spans="1:7">
      <c r="A769" t="s">
        <v>740</v>
      </c>
    </row>
    <row r="770" spans="1:7">
      <c r="A770" t="s">
        <v>336</v>
      </c>
      <c r="C770">
        <v>120</v>
      </c>
      <c r="D770">
        <v>190</v>
      </c>
      <c r="G770">
        <v>310</v>
      </c>
    </row>
    <row r="771" spans="1:7">
      <c r="A771" t="s">
        <v>322</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339</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333</v>
      </c>
    </row>
    <row r="790" spans="1:7">
      <c r="A790" t="s">
        <v>84</v>
      </c>
      <c r="B790">
        <v>229</v>
      </c>
      <c r="G790">
        <v>229</v>
      </c>
    </row>
    <row r="791" spans="1:7">
      <c r="A791" t="s">
        <v>393</v>
      </c>
      <c r="C791">
        <v>134</v>
      </c>
      <c r="E791">
        <v>450</v>
      </c>
      <c r="F791">
        <v>352</v>
      </c>
      <c r="G791">
        <v>936</v>
      </c>
    </row>
    <row r="792" spans="1:7">
      <c r="A792" t="s">
        <v>906</v>
      </c>
      <c r="D792">
        <v>201</v>
      </c>
      <c r="F792">
        <v>352</v>
      </c>
      <c r="G792">
        <v>553</v>
      </c>
    </row>
    <row r="793" spans="1:7">
      <c r="A793" t="s">
        <v>325</v>
      </c>
      <c r="C793">
        <v>665</v>
      </c>
      <c r="D793">
        <v>753</v>
      </c>
      <c r="E793">
        <v>305</v>
      </c>
      <c r="G793">
        <v>1723</v>
      </c>
    </row>
    <row r="794" spans="1:7">
      <c r="A794" t="s">
        <v>336</v>
      </c>
      <c r="B794">
        <v>479</v>
      </c>
      <c r="E794">
        <v>170</v>
      </c>
      <c r="G794">
        <v>649</v>
      </c>
    </row>
    <row r="795" spans="1:7">
      <c r="A795" t="s">
        <v>322</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339</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393</v>
      </c>
      <c r="B815">
        <v>175</v>
      </c>
      <c r="C815">
        <v>270</v>
      </c>
      <c r="G815">
        <v>445</v>
      </c>
    </row>
    <row r="816" spans="1:7">
      <c r="A816" t="s">
        <v>906</v>
      </c>
      <c r="B816">
        <v>65</v>
      </c>
      <c r="C816">
        <v>55</v>
      </c>
      <c r="G816">
        <v>120</v>
      </c>
    </row>
    <row r="817" spans="1:7">
      <c r="A817" t="s">
        <v>325</v>
      </c>
    </row>
    <row r="818" spans="1:7">
      <c r="A818" t="s">
        <v>336</v>
      </c>
      <c r="E818">
        <v>725</v>
      </c>
      <c r="G818">
        <v>725</v>
      </c>
    </row>
    <row r="819" spans="1:7">
      <c r="A819" t="s">
        <v>322</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339</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167</v>
      </c>
      <c r="D829">
        <v>1282</v>
      </c>
      <c r="E829">
        <v>980</v>
      </c>
      <c r="G829">
        <v>2262</v>
      </c>
    </row>
    <row r="830" spans="1:7">
      <c r="A830" t="s">
        <v>318</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263</v>
      </c>
      <c r="E838">
        <v>170</v>
      </c>
      <c r="G838">
        <v>170</v>
      </c>
    </row>
    <row r="839" spans="1:7">
      <c r="A839" t="s">
        <v>322</v>
      </c>
      <c r="D839">
        <v>986</v>
      </c>
      <c r="G839">
        <v>986</v>
      </c>
    </row>
    <row r="840" spans="1:7">
      <c r="A840" t="s">
        <v>931</v>
      </c>
      <c r="B840">
        <v>916</v>
      </c>
      <c r="C840">
        <v>144</v>
      </c>
      <c r="G840">
        <v>1060</v>
      </c>
    </row>
    <row r="841" spans="1:7">
      <c r="A841" t="s">
        <v>450</v>
      </c>
    </row>
    <row r="842" spans="1:7">
      <c r="A842" t="s">
        <v>772</v>
      </c>
    </row>
    <row r="843" spans="1:7">
      <c r="A843" t="s">
        <v>167</v>
      </c>
      <c r="B843">
        <v>828</v>
      </c>
      <c r="C843">
        <v>150</v>
      </c>
      <c r="E843">
        <v>688</v>
      </c>
      <c r="G843">
        <v>1666</v>
      </c>
    </row>
    <row r="844" spans="1:7">
      <c r="A844" t="s">
        <v>935</v>
      </c>
      <c r="B844">
        <v>233</v>
      </c>
      <c r="G844">
        <v>233</v>
      </c>
    </row>
    <row r="845" spans="1:7">
      <c r="A845" t="s">
        <v>452</v>
      </c>
      <c r="B845">
        <v>1768</v>
      </c>
      <c r="C845">
        <v>510</v>
      </c>
      <c r="G845">
        <v>2278</v>
      </c>
    </row>
    <row r="846" spans="1:7">
      <c r="A846" t="s">
        <v>398</v>
      </c>
      <c r="B846">
        <v>220</v>
      </c>
      <c r="C846">
        <v>435</v>
      </c>
      <c r="D846">
        <v>227</v>
      </c>
      <c r="E846">
        <v>487</v>
      </c>
      <c r="F846">
        <v>123</v>
      </c>
      <c r="G846">
        <v>1492</v>
      </c>
    </row>
    <row r="847" spans="1:7">
      <c r="A847" t="s">
        <v>327</v>
      </c>
      <c r="B847">
        <v>60</v>
      </c>
      <c r="C847">
        <v>219</v>
      </c>
      <c r="G847">
        <v>279</v>
      </c>
    </row>
    <row r="848" spans="1:7">
      <c r="A848" t="s">
        <v>814</v>
      </c>
      <c r="D848">
        <v>240</v>
      </c>
      <c r="G848">
        <v>240</v>
      </c>
    </row>
    <row r="849" spans="1:7">
      <c r="A849" t="s">
        <v>936</v>
      </c>
      <c r="C849">
        <v>1603</v>
      </c>
      <c r="D849">
        <v>791</v>
      </c>
      <c r="E849">
        <v>2803</v>
      </c>
      <c r="G849">
        <v>5197</v>
      </c>
    </row>
    <row r="850" spans="1:7">
      <c r="A850" t="s">
        <v>343</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346</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393</v>
      </c>
      <c r="B860">
        <v>153</v>
      </c>
      <c r="C860">
        <v>244</v>
      </c>
      <c r="E860">
        <v>237</v>
      </c>
      <c r="G860">
        <v>634</v>
      </c>
    </row>
    <row r="861" spans="1:7">
      <c r="A861" t="s">
        <v>906</v>
      </c>
      <c r="B861">
        <v>455</v>
      </c>
      <c r="G861">
        <v>455</v>
      </c>
    </row>
    <row r="862" spans="1:7">
      <c r="A862" t="s">
        <v>325</v>
      </c>
      <c r="B862">
        <v>151</v>
      </c>
      <c r="C862">
        <v>149</v>
      </c>
      <c r="G862">
        <v>300</v>
      </c>
    </row>
    <row r="863" spans="1:7">
      <c r="A863" t="s">
        <v>81</v>
      </c>
      <c r="D863">
        <v>168</v>
      </c>
      <c r="F863">
        <v>34</v>
      </c>
      <c r="G863">
        <v>202</v>
      </c>
    </row>
    <row r="864" spans="1:7">
      <c r="A864" t="s">
        <v>434</v>
      </c>
    </row>
    <row r="865" spans="1:7">
      <c r="A865" t="s">
        <v>398</v>
      </c>
      <c r="C865">
        <v>413</v>
      </c>
      <c r="D865">
        <v>190</v>
      </c>
      <c r="E865">
        <v>1194</v>
      </c>
      <c r="F865">
        <v>306</v>
      </c>
      <c r="G865">
        <v>2103</v>
      </c>
    </row>
    <row r="866" spans="1:7">
      <c r="A866" t="s">
        <v>936</v>
      </c>
      <c r="B866">
        <v>3343</v>
      </c>
      <c r="C866">
        <v>714</v>
      </c>
      <c r="D866">
        <v>2013</v>
      </c>
      <c r="E866">
        <v>1500</v>
      </c>
      <c r="F866">
        <v>1933</v>
      </c>
      <c r="G866">
        <v>9503</v>
      </c>
    </row>
    <row r="867" spans="1:7">
      <c r="A867" t="s">
        <v>343</v>
      </c>
      <c r="B867">
        <v>1100</v>
      </c>
      <c r="C867">
        <v>527</v>
      </c>
      <c r="D867">
        <v>553</v>
      </c>
      <c r="G867">
        <v>2180</v>
      </c>
    </row>
    <row r="868" spans="1:7">
      <c r="A868" t="s">
        <v>456</v>
      </c>
      <c r="C868">
        <v>230</v>
      </c>
      <c r="G868">
        <v>230</v>
      </c>
    </row>
    <row r="869" spans="1:7">
      <c r="A869" t="s">
        <v>774</v>
      </c>
      <c r="B869">
        <v>853</v>
      </c>
      <c r="G869">
        <v>853</v>
      </c>
    </row>
    <row r="870" spans="1:7">
      <c r="A870" t="s">
        <v>346</v>
      </c>
      <c r="B870">
        <v>1186</v>
      </c>
      <c r="C870">
        <v>1564</v>
      </c>
      <c r="D870">
        <v>1012</v>
      </c>
      <c r="E870">
        <v>588</v>
      </c>
      <c r="G870">
        <v>4350</v>
      </c>
    </row>
    <row r="871" spans="1:7">
      <c r="A871" t="s">
        <v>776</v>
      </c>
      <c r="C871">
        <v>1007</v>
      </c>
      <c r="D871">
        <v>1672</v>
      </c>
      <c r="E871">
        <v>1544</v>
      </c>
      <c r="G871">
        <v>4223</v>
      </c>
    </row>
    <row r="872" spans="1:7">
      <c r="A872" t="s">
        <v>364</v>
      </c>
      <c r="C872">
        <v>1182</v>
      </c>
      <c r="D872">
        <v>1604</v>
      </c>
      <c r="E872">
        <v>1268</v>
      </c>
      <c r="G872">
        <v>4054</v>
      </c>
    </row>
    <row r="873" spans="1:7">
      <c r="A873" t="s">
        <v>348</v>
      </c>
      <c r="D873">
        <v>1624</v>
      </c>
      <c r="E873">
        <v>551</v>
      </c>
      <c r="G873">
        <v>2175</v>
      </c>
    </row>
    <row r="874" spans="1:7">
      <c r="A874" t="s">
        <v>344</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325</v>
      </c>
    </row>
    <row r="883" spans="1:7">
      <c r="A883" t="s">
        <v>428</v>
      </c>
      <c r="F883">
        <v>60</v>
      </c>
      <c r="G883">
        <v>60</v>
      </c>
    </row>
    <row r="884" spans="1:7">
      <c r="A884" t="s">
        <v>263</v>
      </c>
    </row>
    <row r="885" spans="1:7">
      <c r="A885" t="s">
        <v>322</v>
      </c>
    </row>
    <row r="886" spans="1:7">
      <c r="A886" t="s">
        <v>81</v>
      </c>
      <c r="B886">
        <v>188</v>
      </c>
      <c r="C886">
        <v>140</v>
      </c>
      <c r="G886">
        <v>328</v>
      </c>
    </row>
    <row r="887" spans="1:7">
      <c r="A887" t="s">
        <v>434</v>
      </c>
      <c r="B887">
        <v>270</v>
      </c>
      <c r="C887">
        <v>60</v>
      </c>
      <c r="G887">
        <v>330</v>
      </c>
    </row>
    <row r="888" spans="1:7">
      <c r="A888" t="s">
        <v>452</v>
      </c>
    </row>
    <row r="889" spans="1:7">
      <c r="A889" t="s">
        <v>398</v>
      </c>
      <c r="B889">
        <v>203</v>
      </c>
      <c r="C889">
        <v>996</v>
      </c>
      <c r="D889">
        <v>1147</v>
      </c>
      <c r="E889">
        <v>1053</v>
      </c>
      <c r="F889">
        <v>955</v>
      </c>
      <c r="G889">
        <v>4354</v>
      </c>
    </row>
    <row r="890" spans="1:7">
      <c r="A890" t="s">
        <v>936</v>
      </c>
      <c r="B890">
        <v>820</v>
      </c>
      <c r="C890">
        <v>2077</v>
      </c>
      <c r="D890">
        <v>1096</v>
      </c>
      <c r="G890">
        <v>3993</v>
      </c>
    </row>
    <row r="891" spans="1:7">
      <c r="A891" t="s">
        <v>343</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364</v>
      </c>
      <c r="B894">
        <v>1310</v>
      </c>
      <c r="G894">
        <v>1310</v>
      </c>
    </row>
    <row r="895" spans="1:7">
      <c r="A895" t="s">
        <v>348</v>
      </c>
      <c r="F895">
        <v>168</v>
      </c>
      <c r="G895">
        <v>168</v>
      </c>
    </row>
    <row r="896" spans="1:7">
      <c r="A896" t="s">
        <v>344</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341</v>
      </c>
      <c r="D899">
        <v>3179</v>
      </c>
      <c r="G899">
        <v>3179</v>
      </c>
    </row>
    <row r="900" spans="1:7">
      <c r="A900" t="s">
        <v>366</v>
      </c>
      <c r="E900">
        <v>978</v>
      </c>
      <c r="G900">
        <v>978</v>
      </c>
    </row>
    <row r="901" spans="1:7">
      <c r="A901" t="s">
        <v>372</v>
      </c>
      <c r="E901">
        <v>502</v>
      </c>
      <c r="G901">
        <v>502</v>
      </c>
    </row>
    <row r="902" spans="1:7">
      <c r="A902" t="s">
        <v>229</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322</v>
      </c>
    </row>
    <row r="911" spans="1:7">
      <c r="A911" t="s">
        <v>339</v>
      </c>
      <c r="F911">
        <v>569</v>
      </c>
      <c r="G911">
        <v>569</v>
      </c>
    </row>
    <row r="912" spans="1:7">
      <c r="A912" t="s">
        <v>398</v>
      </c>
    </row>
    <row r="913" spans="1:7">
      <c r="A913" t="s">
        <v>327</v>
      </c>
      <c r="D913">
        <v>150</v>
      </c>
      <c r="G913">
        <v>150</v>
      </c>
    </row>
    <row r="914" spans="1:7">
      <c r="A914" t="s">
        <v>346</v>
      </c>
    </row>
    <row r="915" spans="1:7">
      <c r="A915" t="s">
        <v>364</v>
      </c>
      <c r="B915">
        <v>701</v>
      </c>
      <c r="G915">
        <v>701</v>
      </c>
    </row>
    <row r="916" spans="1:7">
      <c r="A916" t="s">
        <v>348</v>
      </c>
      <c r="B916">
        <v>463</v>
      </c>
      <c r="C916">
        <v>633</v>
      </c>
      <c r="D916">
        <v>625</v>
      </c>
      <c r="G916">
        <v>1721</v>
      </c>
    </row>
    <row r="917" spans="1:7">
      <c r="A917" t="s">
        <v>344</v>
      </c>
    </row>
    <row r="918" spans="1:7">
      <c r="A918" t="s">
        <v>341</v>
      </c>
      <c r="B918">
        <v>882</v>
      </c>
      <c r="C918">
        <v>1072</v>
      </c>
      <c r="D918">
        <v>1034</v>
      </c>
      <c r="E918">
        <v>209</v>
      </c>
      <c r="G918">
        <v>3197</v>
      </c>
    </row>
    <row r="919" spans="1:7">
      <c r="A919" t="s">
        <v>366</v>
      </c>
      <c r="B919">
        <v>1420</v>
      </c>
      <c r="C919">
        <v>990</v>
      </c>
      <c r="D919">
        <v>549</v>
      </c>
      <c r="G919">
        <v>2959</v>
      </c>
    </row>
    <row r="920" spans="1:7">
      <c r="A920" t="s">
        <v>372</v>
      </c>
      <c r="B920">
        <v>259</v>
      </c>
      <c r="C920">
        <v>1087</v>
      </c>
      <c r="D920">
        <v>2206</v>
      </c>
      <c r="E920">
        <v>453</v>
      </c>
      <c r="G920">
        <v>4005</v>
      </c>
    </row>
    <row r="921" spans="1:7">
      <c r="A921" t="s">
        <v>229</v>
      </c>
      <c r="C921">
        <v>379</v>
      </c>
      <c r="D921">
        <v>208</v>
      </c>
      <c r="G921">
        <v>587</v>
      </c>
    </row>
    <row r="922" spans="1:7">
      <c r="A922" t="s">
        <v>362</v>
      </c>
      <c r="B922">
        <v>579</v>
      </c>
      <c r="C922">
        <v>1120</v>
      </c>
      <c r="D922">
        <v>1488</v>
      </c>
      <c r="E922">
        <v>954</v>
      </c>
      <c r="G922">
        <v>4141</v>
      </c>
    </row>
    <row r="923" spans="1:7">
      <c r="A923" t="s">
        <v>938</v>
      </c>
      <c r="B923">
        <v>365</v>
      </c>
      <c r="G923">
        <v>365</v>
      </c>
    </row>
    <row r="924" spans="1:7">
      <c r="A924" t="s">
        <v>350</v>
      </c>
      <c r="B924">
        <v>207</v>
      </c>
      <c r="G924">
        <v>207</v>
      </c>
    </row>
    <row r="925" spans="1:7">
      <c r="A925" t="s">
        <v>101</v>
      </c>
      <c r="C925">
        <v>1691</v>
      </c>
      <c r="D925">
        <v>1998</v>
      </c>
      <c r="E925">
        <v>760</v>
      </c>
      <c r="F925">
        <v>3975</v>
      </c>
      <c r="G925">
        <v>8424</v>
      </c>
    </row>
    <row r="926" spans="1:7">
      <c r="A926" t="s">
        <v>375</v>
      </c>
      <c r="D926">
        <v>1031</v>
      </c>
      <c r="G926">
        <v>1031</v>
      </c>
    </row>
    <row r="927" spans="1:7">
      <c r="A927" t="s">
        <v>347</v>
      </c>
      <c r="E927">
        <v>1063</v>
      </c>
      <c r="F927">
        <v>1263</v>
      </c>
      <c r="G927">
        <v>2326</v>
      </c>
    </row>
    <row r="928" spans="1:7">
      <c r="A928" t="s">
        <v>396</v>
      </c>
      <c r="F928">
        <v>451</v>
      </c>
      <c r="G928">
        <v>451</v>
      </c>
    </row>
    <row r="929" spans="1:7">
      <c r="A929" t="s">
        <v>287</v>
      </c>
      <c r="B929">
        <v>3266</v>
      </c>
      <c r="C929">
        <v>3910</v>
      </c>
      <c r="D929">
        <v>346</v>
      </c>
      <c r="G929">
        <v>7522</v>
      </c>
    </row>
    <row r="930" spans="1:7">
      <c r="A930" t="s">
        <v>294</v>
      </c>
      <c r="C930">
        <v>372</v>
      </c>
      <c r="D930">
        <v>656</v>
      </c>
      <c r="G930">
        <v>1028</v>
      </c>
    </row>
    <row r="931" spans="1:7">
      <c r="A931" t="s">
        <v>292</v>
      </c>
      <c r="D931">
        <v>2985</v>
      </c>
      <c r="E931">
        <v>2373</v>
      </c>
      <c r="G931">
        <v>5358</v>
      </c>
    </row>
    <row r="932" spans="1:7">
      <c r="A932" t="s">
        <v>415</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318</v>
      </c>
    </row>
    <row r="940" spans="1:7">
      <c r="A940" t="s">
        <v>398</v>
      </c>
      <c r="B940">
        <v>560</v>
      </c>
      <c r="G940">
        <v>560</v>
      </c>
    </row>
    <row r="941" spans="1:7">
      <c r="A941" t="s">
        <v>346</v>
      </c>
    </row>
    <row r="942" spans="1:7">
      <c r="A942" t="s">
        <v>364</v>
      </c>
      <c r="B942">
        <v>138</v>
      </c>
      <c r="G942">
        <v>138</v>
      </c>
    </row>
    <row r="943" spans="1:7">
      <c r="A943" t="s">
        <v>344</v>
      </c>
    </row>
    <row r="944" spans="1:7">
      <c r="A944" t="s">
        <v>341</v>
      </c>
      <c r="B944">
        <v>96</v>
      </c>
      <c r="G944">
        <v>96</v>
      </c>
    </row>
    <row r="945" spans="1:7">
      <c r="A945" t="s">
        <v>366</v>
      </c>
      <c r="B945">
        <v>632</v>
      </c>
      <c r="G945">
        <v>632</v>
      </c>
    </row>
    <row r="946" spans="1:7">
      <c r="A946" t="s">
        <v>372</v>
      </c>
      <c r="B946">
        <v>558</v>
      </c>
      <c r="G946">
        <v>558</v>
      </c>
    </row>
    <row r="947" spans="1:7">
      <c r="A947" t="s">
        <v>229</v>
      </c>
      <c r="B947">
        <v>562</v>
      </c>
      <c r="D947">
        <v>474</v>
      </c>
      <c r="E947">
        <v>606</v>
      </c>
      <c r="F947">
        <v>322</v>
      </c>
      <c r="G947">
        <v>1964</v>
      </c>
    </row>
    <row r="948" spans="1:7">
      <c r="A948" t="s">
        <v>375</v>
      </c>
      <c r="B948">
        <v>1351</v>
      </c>
      <c r="D948">
        <v>890</v>
      </c>
      <c r="G948">
        <v>2241</v>
      </c>
    </row>
    <row r="949" spans="1:7">
      <c r="A949" t="s">
        <v>415</v>
      </c>
      <c r="B949">
        <v>4084</v>
      </c>
      <c r="D949">
        <v>242</v>
      </c>
      <c r="G949">
        <v>4326</v>
      </c>
    </row>
    <row r="950" spans="1:7">
      <c r="A950" t="s">
        <v>939</v>
      </c>
      <c r="B950">
        <v>748</v>
      </c>
      <c r="C950">
        <v>1062</v>
      </c>
      <c r="G950">
        <v>1810</v>
      </c>
    </row>
    <row r="951" spans="1:7">
      <c r="A951" t="s">
        <v>232</v>
      </c>
      <c r="B951">
        <v>435</v>
      </c>
      <c r="E951">
        <v>1123</v>
      </c>
      <c r="G951">
        <v>1558</v>
      </c>
    </row>
    <row r="952" spans="1:7">
      <c r="A952" t="s">
        <v>360</v>
      </c>
      <c r="D952">
        <v>1580</v>
      </c>
      <c r="E952">
        <v>1258</v>
      </c>
      <c r="G952">
        <v>2838</v>
      </c>
    </row>
    <row r="953" spans="1:7">
      <c r="A953" t="s">
        <v>358</v>
      </c>
      <c r="D953">
        <v>877</v>
      </c>
      <c r="E953">
        <v>814</v>
      </c>
      <c r="G953">
        <v>1691</v>
      </c>
    </row>
    <row r="954" spans="1:7">
      <c r="A954" t="s">
        <v>216</v>
      </c>
      <c r="D954">
        <v>711</v>
      </c>
      <c r="E954">
        <v>325</v>
      </c>
      <c r="F954">
        <v>430</v>
      </c>
      <c r="G954">
        <v>1466</v>
      </c>
    </row>
    <row r="955" spans="1:7">
      <c r="A955" t="s">
        <v>353</v>
      </c>
      <c r="D955">
        <v>1486</v>
      </c>
      <c r="E955">
        <v>2912</v>
      </c>
      <c r="F955">
        <v>2125</v>
      </c>
      <c r="G955">
        <v>6523</v>
      </c>
    </row>
    <row r="956" spans="1:7">
      <c r="A956" t="s">
        <v>413</v>
      </c>
      <c r="D956">
        <v>1264</v>
      </c>
      <c r="E956">
        <v>1281</v>
      </c>
      <c r="G956">
        <v>2545</v>
      </c>
    </row>
    <row r="957" spans="1:7">
      <c r="A957" t="s">
        <v>940</v>
      </c>
    </row>
    <row r="958" spans="1:7">
      <c r="A958" t="s">
        <v>417</v>
      </c>
      <c r="D958">
        <v>3678</v>
      </c>
      <c r="E958">
        <v>3382</v>
      </c>
      <c r="G958">
        <v>7060</v>
      </c>
    </row>
    <row r="959" spans="1:7">
      <c r="A959" t="s">
        <v>941</v>
      </c>
      <c r="F959">
        <v>1505</v>
      </c>
      <c r="G959">
        <v>1505</v>
      </c>
    </row>
    <row r="960" spans="1:7">
      <c r="A960" t="s">
        <v>316</v>
      </c>
      <c r="E960">
        <v>424</v>
      </c>
      <c r="G960">
        <v>424</v>
      </c>
    </row>
    <row r="961" spans="1:7">
      <c r="A961" t="s">
        <v>301</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s="112">
        <v>45981</v>
      </c>
      <c r="F967" t="s">
        <v>874</v>
      </c>
    </row>
    <row r="968" spans="1:7">
      <c r="A968" t="s">
        <v>90</v>
      </c>
    </row>
    <row r="969" spans="1:7">
      <c r="A969" t="s">
        <v>263</v>
      </c>
      <c r="B969">
        <v>446</v>
      </c>
      <c r="C969">
        <v>120</v>
      </c>
      <c r="D969">
        <v>550</v>
      </c>
      <c r="F969">
        <v>1116</v>
      </c>
    </row>
    <row r="970" spans="1:7">
      <c r="A970" t="s">
        <v>398</v>
      </c>
      <c r="C970">
        <v>17</v>
      </c>
      <c r="F970">
        <v>17</v>
      </c>
    </row>
    <row r="971" spans="1:7">
      <c r="A971" t="s">
        <v>364</v>
      </c>
    </row>
    <row r="972" spans="1:7">
      <c r="A972" t="s">
        <v>372</v>
      </c>
      <c r="B972">
        <v>127</v>
      </c>
      <c r="F972">
        <v>127</v>
      </c>
    </row>
    <row r="973" spans="1:7">
      <c r="A973" t="s">
        <v>229</v>
      </c>
      <c r="B973">
        <v>420</v>
      </c>
      <c r="F973">
        <v>420</v>
      </c>
    </row>
    <row r="974" spans="1:7">
      <c r="A974" t="s">
        <v>375</v>
      </c>
    </row>
    <row r="975" spans="1:7">
      <c r="A975" t="s">
        <v>232</v>
      </c>
      <c r="C975">
        <v>1917</v>
      </c>
      <c r="F975">
        <v>1917</v>
      </c>
    </row>
    <row r="976" spans="1:7">
      <c r="A976" t="s">
        <v>358</v>
      </c>
      <c r="B976">
        <v>956</v>
      </c>
      <c r="F976">
        <v>956</v>
      </c>
    </row>
    <row r="977" spans="1:6">
      <c r="A977" t="s">
        <v>353</v>
      </c>
      <c r="B977">
        <v>1449</v>
      </c>
      <c r="F977">
        <v>1449</v>
      </c>
    </row>
    <row r="978" spans="1:6">
      <c r="A978" t="s">
        <v>413</v>
      </c>
      <c r="B978">
        <v>1662</v>
      </c>
      <c r="C978">
        <v>2684</v>
      </c>
      <c r="F978">
        <v>4346</v>
      </c>
    </row>
    <row r="979" spans="1:6">
      <c r="A979" t="s">
        <v>299</v>
      </c>
      <c r="B979">
        <v>5466</v>
      </c>
      <c r="F979">
        <v>5466</v>
      </c>
    </row>
    <row r="980" spans="1:6">
      <c r="A980" t="s">
        <v>417</v>
      </c>
    </row>
    <row r="981" spans="1:6">
      <c r="A981" t="s">
        <v>941</v>
      </c>
      <c r="B981">
        <v>907</v>
      </c>
      <c r="F981">
        <v>907</v>
      </c>
    </row>
    <row r="982" spans="1:6">
      <c r="A982" t="s">
        <v>301</v>
      </c>
      <c r="B982">
        <v>1498</v>
      </c>
      <c r="C982">
        <v>3613</v>
      </c>
      <c r="F982">
        <v>5111</v>
      </c>
    </row>
    <row r="983" spans="1:6">
      <c r="A983" t="s">
        <v>942</v>
      </c>
      <c r="B983">
        <v>1505</v>
      </c>
      <c r="C983">
        <v>1518</v>
      </c>
      <c r="D983">
        <v>1968</v>
      </c>
      <c r="F983">
        <v>4991</v>
      </c>
    </row>
    <row r="984" spans="1:6">
      <c r="A984" t="s">
        <v>154</v>
      </c>
      <c r="B984">
        <v>1471</v>
      </c>
      <c r="F984">
        <v>1471</v>
      </c>
    </row>
    <row r="985" spans="1:6">
      <c r="A985" t="s">
        <v>149</v>
      </c>
      <c r="B985">
        <v>762</v>
      </c>
      <c r="C985">
        <v>1530</v>
      </c>
      <c r="D985">
        <v>954</v>
      </c>
      <c r="F985">
        <v>3246</v>
      </c>
    </row>
    <row r="986" spans="1:6">
      <c r="A986" t="s">
        <v>152</v>
      </c>
      <c r="C986">
        <v>1679</v>
      </c>
      <c r="D986">
        <v>1429</v>
      </c>
      <c r="F986">
        <v>3108</v>
      </c>
    </row>
    <row r="987" spans="1:6">
      <c r="A987" t="s">
        <v>943</v>
      </c>
    </row>
    <row r="988" spans="1:6">
      <c r="A988" t="s">
        <v>282</v>
      </c>
      <c r="C988">
        <v>2351</v>
      </c>
      <c r="D988">
        <v>1835</v>
      </c>
      <c r="F988">
        <v>4186</v>
      </c>
    </row>
    <row r="989" spans="1:6">
      <c r="A989" t="s">
        <v>944</v>
      </c>
      <c r="C989">
        <v>12</v>
      </c>
      <c r="F989">
        <v>12</v>
      </c>
    </row>
    <row r="990" spans="1:6">
      <c r="A990" t="s">
        <v>945</v>
      </c>
      <c r="D990">
        <v>480</v>
      </c>
      <c r="F990">
        <v>480</v>
      </c>
    </row>
    <row r="991" spans="1:6">
      <c r="A991" t="s">
        <v>219</v>
      </c>
      <c r="C991">
        <v>136</v>
      </c>
      <c r="D991">
        <v>170</v>
      </c>
      <c r="F991">
        <v>306</v>
      </c>
    </row>
    <row r="992" spans="1:6">
      <c r="A992" t="s">
        <v>303</v>
      </c>
    </row>
    <row r="993" spans="1:6">
      <c r="A993" t="s">
        <v>874</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8" activePane="bottomLeft" state="frozen"/>
      <selection pane="bottomLeft" activeCell="A2091" sqref="A209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383</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150</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150</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150</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383</v>
      </c>
      <c r="C25" s="154">
        <v>45706</v>
      </c>
      <c r="D25" s="118">
        <v>1240</v>
      </c>
      <c r="E25" s="118"/>
      <c r="F25" s="119"/>
      <c r="G25" t="str">
        <f t="shared" si="0"/>
        <v>February</v>
      </c>
    </row>
    <row r="26" spans="1:7" ht="15.75">
      <c r="A26" s="118" t="s">
        <v>555</v>
      </c>
      <c r="B26" s="246" t="s">
        <v>150</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383</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383</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383</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382</v>
      </c>
      <c r="B45" s="247" t="s">
        <v>383</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150</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150</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383</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150</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150</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150</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383</v>
      </c>
      <c r="C74" s="154">
        <v>45713</v>
      </c>
      <c r="D74" s="118"/>
      <c r="E74" s="118"/>
      <c r="F74" s="119"/>
      <c r="G74" t="str">
        <f t="shared" si="1"/>
        <v>February</v>
      </c>
    </row>
    <row r="75" spans="1:7" ht="15.75">
      <c r="A75" s="118" t="s">
        <v>555</v>
      </c>
      <c r="B75" s="246" t="s">
        <v>150</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150</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383</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150</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150</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150</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383</v>
      </c>
      <c r="C99" s="154">
        <v>45714</v>
      </c>
      <c r="D99" s="118"/>
      <c r="E99" s="118"/>
      <c r="F99" s="119"/>
      <c r="G99" t="str">
        <f t="shared" si="1"/>
        <v>February</v>
      </c>
    </row>
    <row r="100" spans="1:7" ht="15.75">
      <c r="A100" s="118" t="s">
        <v>555</v>
      </c>
      <c r="B100" s="246" t="s">
        <v>150</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150</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383</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382</v>
      </c>
      <c r="B118" s="248" t="s">
        <v>383</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150</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150</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150</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383</v>
      </c>
      <c r="C130" s="123">
        <v>45715</v>
      </c>
      <c r="D130" s="119"/>
      <c r="E130" s="119"/>
      <c r="F130" s="135" t="s">
        <v>976</v>
      </c>
      <c r="G130" t="str">
        <f t="shared" si="1"/>
        <v>February</v>
      </c>
    </row>
    <row r="131" spans="1:7" ht="15.75">
      <c r="A131" s="118" t="s">
        <v>555</v>
      </c>
      <c r="B131" s="246" t="s">
        <v>150</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150</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383</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382</v>
      </c>
      <c r="B149" s="248" t="s">
        <v>383</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150</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150</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150</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383</v>
      </c>
      <c r="C161" s="123">
        <v>45716</v>
      </c>
      <c r="D161" s="124">
        <v>54</v>
      </c>
      <c r="E161" s="124"/>
      <c r="F161" s="110" t="s">
        <v>979</v>
      </c>
      <c r="G161" t="str">
        <f t="shared" si="2"/>
        <v>February</v>
      </c>
    </row>
    <row r="162" spans="1:7" ht="15.75">
      <c r="A162" s="118" t="s">
        <v>555</v>
      </c>
      <c r="B162" s="246" t="s">
        <v>150</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150</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383</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382</v>
      </c>
      <c r="B180" s="248" t="s">
        <v>383</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150</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150</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150</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383</v>
      </c>
      <c r="C192" s="123">
        <v>45719</v>
      </c>
      <c r="D192" s="124" t="s">
        <v>976</v>
      </c>
      <c r="E192" s="124"/>
      <c r="F192" s="119"/>
      <c r="G192" t="str">
        <f t="shared" si="2"/>
        <v>March</v>
      </c>
    </row>
    <row r="193" spans="1:7" ht="15.75">
      <c r="A193" s="118" t="s">
        <v>555</v>
      </c>
      <c r="B193" s="246" t="s">
        <v>150</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150</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150</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150</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150</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383</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150</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150</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150</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383</v>
      </c>
      <c r="C241" s="123">
        <v>45721</v>
      </c>
      <c r="D241" s="124">
        <v>0</v>
      </c>
      <c r="E241" s="124"/>
      <c r="F241" s="119"/>
      <c r="G241" t="str">
        <f t="shared" si="3"/>
        <v>March</v>
      </c>
    </row>
    <row r="242" spans="1:7" ht="15.75">
      <c r="A242" s="118" t="s">
        <v>555</v>
      </c>
      <c r="B242" s="246" t="s">
        <v>150</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150</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150</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150</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383</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150</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150</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150</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383</v>
      </c>
      <c r="C278" s="123">
        <v>45722</v>
      </c>
      <c r="D278" s="135">
        <v>0</v>
      </c>
      <c r="E278" s="135"/>
      <c r="F278" s="119"/>
      <c r="G278" t="str">
        <f t="shared" si="4"/>
        <v>March</v>
      </c>
    </row>
    <row r="279" spans="1:7" ht="15.75">
      <c r="A279" s="118" t="s">
        <v>555</v>
      </c>
      <c r="B279" s="246" t="s">
        <v>150</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150</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150</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150</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150</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383</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150</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150</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150</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383</v>
      </c>
      <c r="C318" s="56">
        <v>45723</v>
      </c>
      <c r="D318" s="135">
        <v>0</v>
      </c>
      <c r="E318" s="135"/>
      <c r="G318" t="str">
        <f t="shared" si="4"/>
        <v>March</v>
      </c>
    </row>
    <row r="319" spans="1:7" ht="15.75">
      <c r="A319" s="118" t="s">
        <v>555</v>
      </c>
      <c r="B319" s="246" t="s">
        <v>150</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150</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150</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150</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150</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383</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150</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150</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150</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383</v>
      </c>
      <c r="C359" s="56">
        <v>45726</v>
      </c>
      <c r="D359" s="135">
        <v>0</v>
      </c>
      <c r="E359" s="135"/>
      <c r="G359" t="str">
        <f t="shared" si="5"/>
        <v>March</v>
      </c>
    </row>
    <row r="360" spans="1:7" ht="15.75">
      <c r="A360" s="118" t="s">
        <v>555</v>
      </c>
      <c r="B360" s="246" t="s">
        <v>150</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150</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150</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150</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150</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383</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150</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150</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150</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383</v>
      </c>
      <c r="C400" s="56">
        <v>45727</v>
      </c>
      <c r="D400" s="124">
        <v>0</v>
      </c>
      <c r="E400" s="124"/>
      <c r="G400" t="str">
        <f t="shared" si="6"/>
        <v>March</v>
      </c>
    </row>
    <row r="401" spans="1:7" ht="15.75">
      <c r="A401" s="118" t="s">
        <v>555</v>
      </c>
      <c r="B401" s="246" t="s">
        <v>150</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150</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150</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150</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150</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150</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383</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382</v>
      </c>
      <c r="B434" s="248" t="s">
        <v>383</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150</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150</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150</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383</v>
      </c>
      <c r="C446" s="56">
        <v>45728</v>
      </c>
      <c r="D446" s="124" t="s">
        <v>976</v>
      </c>
      <c r="E446" s="124"/>
      <c r="G446" t="str">
        <f t="shared" si="6"/>
        <v>March</v>
      </c>
    </row>
    <row r="447" spans="1:7" ht="15.75">
      <c r="A447" s="118" t="s">
        <v>555</v>
      </c>
      <c r="B447" s="246" t="s">
        <v>150</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150</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150</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150</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150</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150</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150</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383</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150</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150</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150</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383</v>
      </c>
      <c r="C496" s="56">
        <v>45729</v>
      </c>
      <c r="D496" s="124" t="s">
        <v>976</v>
      </c>
      <c r="E496" s="124"/>
      <c r="G496" t="str">
        <f t="shared" si="7"/>
        <v>March</v>
      </c>
    </row>
    <row r="497" spans="1:7" ht="15.75">
      <c r="A497" s="118" t="s">
        <v>555</v>
      </c>
      <c r="B497" s="246" t="s">
        <v>150</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150</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150</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150</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150</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150</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150</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383</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382</v>
      </c>
      <c r="B535" s="248" t="s">
        <v>383</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150</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150</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150</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383</v>
      </c>
      <c r="C547" s="56">
        <v>45730</v>
      </c>
      <c r="D547" s="124"/>
      <c r="E547" s="124"/>
      <c r="F547" s="124" t="s">
        <v>976</v>
      </c>
      <c r="G547" t="str">
        <f t="shared" si="8"/>
        <v>March</v>
      </c>
    </row>
    <row r="548" spans="1:7" ht="15.75">
      <c r="A548" s="118" t="s">
        <v>555</v>
      </c>
      <c r="B548" s="246" t="s">
        <v>150</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150</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150</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150</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150</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150</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150</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382</v>
      </c>
      <c r="B584" s="248" t="s">
        <v>383</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150</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383</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150</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150</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150</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150</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150</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150</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383</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150</v>
      </c>
      <c r="C621" s="56">
        <v>45734</v>
      </c>
      <c r="E621" s="43"/>
      <c r="F621" s="135" t="s">
        <v>1034</v>
      </c>
      <c r="G621" t="str">
        <f t="shared" si="9"/>
        <v>March</v>
      </c>
    </row>
    <row r="622" spans="1:7" ht="15.75">
      <c r="A622" s="119" t="s">
        <v>834</v>
      </c>
      <c r="B622" s="246" t="s">
        <v>150</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150</v>
      </c>
      <c r="C677" s="56">
        <v>45740</v>
      </c>
      <c r="D677" s="143">
        <v>1430</v>
      </c>
      <c r="E677" s="110" t="s">
        <v>955</v>
      </c>
      <c r="F677" s="110" t="s">
        <v>1064</v>
      </c>
      <c r="G677" t="str">
        <f t="shared" si="10"/>
        <v>March</v>
      </c>
    </row>
    <row r="678" spans="1:7" ht="15.75">
      <c r="A678" s="142" t="s">
        <v>591</v>
      </c>
      <c r="B678" s="246" t="s">
        <v>150</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150</v>
      </c>
      <c r="C690" s="56">
        <v>45741</v>
      </c>
      <c r="D690" s="143">
        <v>1383</v>
      </c>
      <c r="E690" s="110" t="s">
        <v>1072</v>
      </c>
      <c r="F690" s="110" t="s">
        <v>1073</v>
      </c>
      <c r="G690" t="str">
        <f t="shared" si="10"/>
        <v>March</v>
      </c>
    </row>
    <row r="691" spans="1:7" ht="15.75">
      <c r="A691" s="142" t="s">
        <v>591</v>
      </c>
      <c r="B691" s="246" t="s">
        <v>150</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150</v>
      </c>
      <c r="C706" s="56">
        <v>45741</v>
      </c>
      <c r="D706" s="156">
        <v>1740</v>
      </c>
      <c r="E706" s="43"/>
      <c r="G706" t="str">
        <f t="shared" si="10"/>
        <v>March</v>
      </c>
    </row>
    <row r="707" spans="1:7">
      <c r="A707" s="135" t="s">
        <v>333</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150</v>
      </c>
      <c r="C713" s="56">
        <v>45742</v>
      </c>
      <c r="D713" s="213">
        <v>1334</v>
      </c>
      <c r="E713" s="110" t="s">
        <v>994</v>
      </c>
      <c r="F713" s="110" t="s">
        <v>955</v>
      </c>
      <c r="G713" t="str">
        <f t="shared" si="11"/>
        <v>March</v>
      </c>
    </row>
    <row r="714" spans="1:7" ht="15.75">
      <c r="A714" s="142" t="s">
        <v>591</v>
      </c>
      <c r="B714" s="246" t="s">
        <v>150</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150</v>
      </c>
      <c r="C725" s="56">
        <v>45742</v>
      </c>
      <c r="D725" s="213">
        <v>2934</v>
      </c>
      <c r="E725" s="43"/>
      <c r="F725" s="110" t="s">
        <v>1087</v>
      </c>
      <c r="G725" t="str">
        <f t="shared" si="11"/>
        <v>March</v>
      </c>
    </row>
    <row r="726" spans="1:7">
      <c r="A726" s="135" t="s">
        <v>333</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150</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150</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150</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150</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150</v>
      </c>
      <c r="C758" s="56">
        <v>45744</v>
      </c>
      <c r="D758" s="214"/>
      <c r="E758" s="43"/>
      <c r="F758" s="214" t="s">
        <v>1097</v>
      </c>
      <c r="G758" t="str">
        <f t="shared" si="11"/>
        <v>March</v>
      </c>
    </row>
    <row r="759" spans="1:13">
      <c r="A759" s="135" t="s">
        <v>333</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150</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150</v>
      </c>
      <c r="C775" s="56">
        <v>45747</v>
      </c>
      <c r="D775" s="142">
        <v>418</v>
      </c>
      <c r="E775" s="43"/>
      <c r="G775" t="str">
        <f t="shared" si="12"/>
        <v>March</v>
      </c>
      <c r="H775" s="258"/>
      <c r="I775" s="258"/>
      <c r="J775" s="258"/>
      <c r="K775" s="165"/>
    </row>
    <row r="776" spans="1:11">
      <c r="A776" s="135" t="s">
        <v>333</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150</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150</v>
      </c>
      <c r="C789" s="56">
        <v>45748</v>
      </c>
      <c r="D789" s="142" t="s">
        <v>1114</v>
      </c>
      <c r="E789" s="43"/>
      <c r="G789" t="str">
        <f t="shared" si="12"/>
        <v>April</v>
      </c>
      <c r="H789" s="165"/>
      <c r="I789" s="165"/>
      <c r="J789" s="165"/>
      <c r="K789" s="165"/>
    </row>
    <row r="790" spans="1:11" ht="15.75">
      <c r="A790" s="142" t="s">
        <v>711</v>
      </c>
      <c r="B790" s="246" t="s">
        <v>150</v>
      </c>
      <c r="C790" s="56">
        <v>45748</v>
      </c>
      <c r="D790" s="142"/>
      <c r="E790" s="43"/>
      <c r="F790" s="142" t="s">
        <v>1115</v>
      </c>
      <c r="G790" t="str">
        <f t="shared" si="12"/>
        <v>April</v>
      </c>
      <c r="H790" s="165"/>
      <c r="I790" s="165"/>
      <c r="J790" s="165"/>
      <c r="K790" s="165"/>
    </row>
    <row r="791" spans="1:11">
      <c r="A791" s="135" t="s">
        <v>333</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150</v>
      </c>
      <c r="C803" s="56">
        <v>45749</v>
      </c>
      <c r="D803" s="143">
        <v>1394</v>
      </c>
      <c r="E803" s="43"/>
      <c r="F803" s="43" t="s">
        <v>954</v>
      </c>
      <c r="G803" t="str">
        <f t="shared" si="12"/>
        <v>April</v>
      </c>
    </row>
    <row r="804" spans="1:11" ht="15.75">
      <c r="A804" s="142" t="s">
        <v>711</v>
      </c>
      <c r="B804" s="246" t="s">
        <v>150</v>
      </c>
      <c r="C804" s="56">
        <v>45749</v>
      </c>
      <c r="D804" s="142">
        <v>0</v>
      </c>
      <c r="E804" s="43"/>
      <c r="F804" s="142" t="s">
        <v>1115</v>
      </c>
      <c r="G804" t="str">
        <f t="shared" si="12"/>
        <v>April</v>
      </c>
    </row>
    <row r="805" spans="1:11">
      <c r="A805" s="135" t="s">
        <v>333</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150</v>
      </c>
      <c r="C816" s="56">
        <v>45750</v>
      </c>
      <c r="D816" s="156">
        <v>1334</v>
      </c>
      <c r="E816" s="43"/>
      <c r="F816" s="43" t="s">
        <v>1123</v>
      </c>
      <c r="G816" t="str">
        <f t="shared" si="12"/>
        <v>April</v>
      </c>
    </row>
    <row r="817" spans="1:7" ht="15.75">
      <c r="A817" s="142" t="s">
        <v>545</v>
      </c>
      <c r="B817" s="246" t="s">
        <v>150</v>
      </c>
      <c r="C817" s="56">
        <v>45750</v>
      </c>
      <c r="D817" s="156">
        <v>1970</v>
      </c>
      <c r="E817" s="43"/>
      <c r="F817" s="43" t="s">
        <v>1124</v>
      </c>
      <c r="G817" t="str">
        <f t="shared" si="12"/>
        <v>April</v>
      </c>
    </row>
    <row r="818" spans="1:7" ht="15.75">
      <c r="A818" s="142" t="s">
        <v>711</v>
      </c>
      <c r="B818" s="246" t="s">
        <v>150</v>
      </c>
      <c r="C818" s="56">
        <v>45750</v>
      </c>
      <c r="E818" s="43"/>
      <c r="F818" s="142" t="s">
        <v>1125</v>
      </c>
      <c r="G818" t="str">
        <f t="shared" si="12"/>
        <v>April</v>
      </c>
    </row>
    <row r="819" spans="1:7">
      <c r="A819" s="135" t="s">
        <v>330</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150</v>
      </c>
      <c r="C831" s="56">
        <v>45751</v>
      </c>
      <c r="E831" s="43"/>
      <c r="F831" s="142" t="s">
        <v>1125</v>
      </c>
      <c r="G831" t="str">
        <f t="shared" si="12"/>
        <v>April</v>
      </c>
    </row>
    <row r="832" spans="1:7">
      <c r="A832" s="135" t="s">
        <v>330</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150</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389</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150</v>
      </c>
      <c r="C845" s="56">
        <v>45754</v>
      </c>
      <c r="D845" s="43">
        <v>618</v>
      </c>
      <c r="E845" s="43"/>
      <c r="F845" s="43" t="s">
        <v>1135</v>
      </c>
      <c r="G845" t="str">
        <f t="shared" si="13"/>
        <v>April</v>
      </c>
    </row>
    <row r="846" spans="1:7" ht="15.75">
      <c r="A846" s="142" t="s">
        <v>547</v>
      </c>
      <c r="B846" s="246" t="s">
        <v>150</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389</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150</v>
      </c>
      <c r="C851" s="56">
        <v>45755</v>
      </c>
      <c r="D851" s="43">
        <v>700</v>
      </c>
      <c r="E851" s="43"/>
      <c r="F851" s="43" t="s">
        <v>959</v>
      </c>
      <c r="G851" t="str">
        <f t="shared" si="13"/>
        <v>April</v>
      </c>
    </row>
    <row r="852" spans="1:7" ht="15.75">
      <c r="A852" s="142" t="s">
        <v>547</v>
      </c>
      <c r="B852" s="246" t="s">
        <v>150</v>
      </c>
      <c r="C852" s="56">
        <v>45755</v>
      </c>
      <c r="D852" s="156">
        <v>1520</v>
      </c>
      <c r="E852" s="43"/>
      <c r="F852" s="43" t="s">
        <v>1040</v>
      </c>
      <c r="G852" t="str">
        <f t="shared" si="13"/>
        <v>April</v>
      </c>
    </row>
    <row r="853" spans="1:7" ht="15.75">
      <c r="A853" s="142" t="s">
        <v>569</v>
      </c>
      <c r="B853" s="246" t="s">
        <v>150</v>
      </c>
      <c r="C853" s="56">
        <v>45755</v>
      </c>
      <c r="D853" s="43">
        <v>150</v>
      </c>
      <c r="E853" s="43"/>
      <c r="G853" t="str">
        <f t="shared" si="13"/>
        <v>April</v>
      </c>
    </row>
    <row r="854" spans="1:7" ht="15.75">
      <c r="A854" s="142" t="s">
        <v>711</v>
      </c>
      <c r="B854" s="246" t="s">
        <v>150</v>
      </c>
      <c r="C854" s="56">
        <v>45755</v>
      </c>
      <c r="E854" s="43"/>
      <c r="F854" s="142" t="s">
        <v>1125</v>
      </c>
      <c r="G854" t="str">
        <f t="shared" si="13"/>
        <v>April</v>
      </c>
    </row>
    <row r="855" spans="1:7">
      <c r="A855" s="135" t="s">
        <v>330</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150</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150</v>
      </c>
      <c r="C865" s="56">
        <v>45756</v>
      </c>
      <c r="E865" s="43"/>
      <c r="F865" s="142" t="s">
        <v>1125</v>
      </c>
      <c r="G865" t="str">
        <f t="shared" si="13"/>
        <v>April</v>
      </c>
    </row>
    <row r="866" spans="1:7">
      <c r="A866" s="135" t="s">
        <v>330</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150</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150</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150</v>
      </c>
      <c r="C890" s="56">
        <v>45761</v>
      </c>
      <c r="D890" s="156">
        <v>1335</v>
      </c>
      <c r="E890" s="43"/>
      <c r="F890" s="43" t="s">
        <v>954</v>
      </c>
      <c r="G890" t="str">
        <f t="shared" si="13"/>
        <v>April</v>
      </c>
    </row>
    <row r="891" spans="1:7" ht="15.75">
      <c r="A891" s="142" t="s">
        <v>643</v>
      </c>
      <c r="B891" s="246" t="s">
        <v>150</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150</v>
      </c>
      <c r="C900" s="56">
        <v>45762</v>
      </c>
      <c r="D900" s="156">
        <v>1133</v>
      </c>
      <c r="E900" s="43"/>
      <c r="F900" s="43" t="s">
        <v>1155</v>
      </c>
      <c r="G900" t="str">
        <f t="shared" si="14"/>
        <v>April</v>
      </c>
    </row>
    <row r="901" spans="1:7" ht="15.75">
      <c r="A901" s="142" t="s">
        <v>643</v>
      </c>
      <c r="B901" s="246" t="s">
        <v>150</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150</v>
      </c>
      <c r="C914" s="56">
        <v>45763</v>
      </c>
      <c r="D914" s="156">
        <v>1624</v>
      </c>
      <c r="E914" s="43"/>
      <c r="F914" s="43" t="s">
        <v>1163</v>
      </c>
      <c r="G914" t="str">
        <f t="shared" si="14"/>
        <v>April</v>
      </c>
    </row>
    <row r="915" spans="1:7" ht="15.75">
      <c r="A915" s="142" t="s">
        <v>643</v>
      </c>
      <c r="B915" s="246" t="s">
        <v>150</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150</v>
      </c>
      <c r="C928" s="56">
        <v>45764</v>
      </c>
      <c r="E928" s="43"/>
      <c r="F928" s="142" t="s">
        <v>1170</v>
      </c>
      <c r="G928" t="str">
        <f t="shared" si="14"/>
        <v>April</v>
      </c>
    </row>
    <row r="929" spans="1:7">
      <c r="A929" s="142" t="s">
        <v>643</v>
      </c>
      <c r="B929" s="142" t="s">
        <v>150</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150</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150</v>
      </c>
      <c r="C940" s="56">
        <v>45765</v>
      </c>
      <c r="D940" s="43">
        <v>350</v>
      </c>
      <c r="E940" s="43"/>
      <c r="F940" s="43" t="s">
        <v>956</v>
      </c>
      <c r="G940" t="str">
        <f t="shared" si="14"/>
        <v>April</v>
      </c>
    </row>
    <row r="941" spans="1:7">
      <c r="A941" s="142" t="s">
        <v>643</v>
      </c>
      <c r="B941" s="142" t="s">
        <v>150</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150</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150</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150</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150</v>
      </c>
      <c r="C973" s="323">
        <v>45769</v>
      </c>
      <c r="D973" s="43">
        <v>932</v>
      </c>
      <c r="F973" s="43" t="s">
        <v>957</v>
      </c>
      <c r="G973" t="str">
        <f t="shared" si="15"/>
        <v>April</v>
      </c>
    </row>
    <row r="974" spans="1:7">
      <c r="A974" s="155" t="s">
        <v>574</v>
      </c>
      <c r="B974" s="142" t="s">
        <v>150</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150</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150</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150</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150</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150</v>
      </c>
      <c r="C1029" s="56">
        <v>45776</v>
      </c>
      <c r="D1029" s="156">
        <v>1520</v>
      </c>
      <c r="F1029" s="43" t="s">
        <v>954</v>
      </c>
      <c r="G1029" t="str">
        <f t="shared" si="16"/>
        <v>April</v>
      </c>
    </row>
    <row r="1030" spans="1:7">
      <c r="A1030" s="315" t="s">
        <v>529</v>
      </c>
      <c r="B1030" s="315" t="s">
        <v>150</v>
      </c>
      <c r="C1030" s="56">
        <v>45776</v>
      </c>
      <c r="D1030" s="43">
        <v>470</v>
      </c>
      <c r="F1030" s="43" t="s">
        <v>949</v>
      </c>
      <c r="G1030" t="str">
        <f t="shared" si="16"/>
        <v>April</v>
      </c>
    </row>
    <row r="1031" spans="1:7">
      <c r="A1031" s="251" t="s">
        <v>559</v>
      </c>
      <c r="B1031" s="315" t="s">
        <v>150</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150</v>
      </c>
      <c r="C1040" s="56">
        <v>45777</v>
      </c>
      <c r="D1040" s="156">
        <v>1216</v>
      </c>
      <c r="E1040" s="43"/>
      <c r="F1040" s="43" t="s">
        <v>970</v>
      </c>
      <c r="G1040" t="str">
        <f t="shared" si="16"/>
        <v>April</v>
      </c>
    </row>
    <row r="1041" spans="1:7">
      <c r="A1041" s="142" t="s">
        <v>559</v>
      </c>
      <c r="B1041" s="142" t="s">
        <v>150</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150</v>
      </c>
      <c r="C1051" s="56">
        <v>45778</v>
      </c>
      <c r="D1051" s="156">
        <v>1098</v>
      </c>
      <c r="E1051" s="43"/>
      <c r="F1051" s="43" t="s">
        <v>1248</v>
      </c>
      <c r="G1051" t="str">
        <f t="shared" si="16"/>
        <v>May</v>
      </c>
    </row>
    <row r="1052" spans="1:7">
      <c r="A1052" s="155" t="s">
        <v>559</v>
      </c>
      <c r="B1052" s="142" t="s">
        <v>150</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150</v>
      </c>
      <c r="C1067" s="56">
        <v>45782</v>
      </c>
      <c r="D1067" s="156">
        <v>1053</v>
      </c>
      <c r="F1067" s="43" t="s">
        <v>1258</v>
      </c>
      <c r="G1067" t="str">
        <f t="shared" si="17"/>
        <v>May</v>
      </c>
    </row>
    <row r="1068" spans="1:7">
      <c r="A1068" s="155" t="s">
        <v>561</v>
      </c>
      <c r="B1068" s="322" t="s">
        <v>150</v>
      </c>
      <c r="C1068" s="56">
        <v>45782</v>
      </c>
      <c r="D1068" s="43">
        <v>575</v>
      </c>
      <c r="F1068" s="43" t="s">
        <v>1259</v>
      </c>
      <c r="G1068" t="str">
        <f t="shared" si="17"/>
        <v>May</v>
      </c>
    </row>
    <row r="1069" spans="1:7">
      <c r="A1069" s="356" t="s">
        <v>529</v>
      </c>
      <c r="B1069" s="360" t="s">
        <v>150</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150</v>
      </c>
      <c r="C1078" s="56">
        <v>45783</v>
      </c>
      <c r="D1078" s="43">
        <v>812</v>
      </c>
      <c r="F1078" s="43" t="s">
        <v>1265</v>
      </c>
      <c r="G1078" t="str">
        <f t="shared" si="18"/>
        <v>May</v>
      </c>
    </row>
    <row r="1079" spans="1:7">
      <c r="A1079" s="155" t="s">
        <v>561</v>
      </c>
      <c r="B1079" s="322" t="s">
        <v>150</v>
      </c>
      <c r="C1079" s="56">
        <v>45783</v>
      </c>
      <c r="D1079" s="156">
        <v>1847</v>
      </c>
      <c r="F1079" s="43" t="s">
        <v>1266</v>
      </c>
      <c r="G1079" t="str">
        <f t="shared" si="18"/>
        <v>May</v>
      </c>
    </row>
    <row r="1080" spans="1:7">
      <c r="A1080" s="356" t="s">
        <v>557</v>
      </c>
      <c r="B1080" s="360" t="s">
        <v>150</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150</v>
      </c>
      <c r="C1089" s="56">
        <v>45784</v>
      </c>
      <c r="D1089" s="156">
        <v>1052</v>
      </c>
      <c r="F1089" s="43" t="s">
        <v>1270</v>
      </c>
      <c r="G1089" t="str">
        <f>TEXT(C1089,"mmmm")</f>
        <v>May</v>
      </c>
    </row>
    <row r="1090" spans="1:7">
      <c r="A1090" s="356" t="s">
        <v>557</v>
      </c>
      <c r="B1090" s="360" t="s">
        <v>150</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389</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150</v>
      </c>
      <c r="C1100" s="56">
        <v>45785</v>
      </c>
      <c r="D1100" s="156">
        <v>1483</v>
      </c>
      <c r="F1100" s="43" t="s">
        <v>1276</v>
      </c>
      <c r="G1100" t="str">
        <f t="shared" si="19"/>
        <v>May</v>
      </c>
    </row>
    <row r="1101" spans="1:7">
      <c r="A1101" s="356" t="s">
        <v>561</v>
      </c>
      <c r="B1101" s="308" t="s">
        <v>150</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389</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150</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150</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393</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150</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150</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150</v>
      </c>
      <c r="C1148" s="56">
        <v>45796</v>
      </c>
      <c r="D1148" s="43">
        <v>270</v>
      </c>
      <c r="F1148" s="43" t="s">
        <v>1015</v>
      </c>
      <c r="G1148" t="str">
        <f t="shared" si="21"/>
        <v>May</v>
      </c>
    </row>
    <row r="1149" spans="1:7">
      <c r="A1149" s="356" t="s">
        <v>369</v>
      </c>
      <c r="B1149" s="308" t="s">
        <v>150</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369</v>
      </c>
      <c r="B1158" s="308" t="s">
        <v>150</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150</v>
      </c>
      <c r="C1164" s="56">
        <v>45798</v>
      </c>
      <c r="D1164" s="43">
        <v>678</v>
      </c>
      <c r="E1164" s="325">
        <v>2850</v>
      </c>
      <c r="F1164" s="43" t="s">
        <v>1307</v>
      </c>
      <c r="G1164" t="str">
        <f t="shared" si="21"/>
        <v>May</v>
      </c>
    </row>
    <row r="1165" spans="1:7">
      <c r="A1165" s="356" t="s">
        <v>369</v>
      </c>
      <c r="B1165" s="308" t="s">
        <v>150</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150</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369</v>
      </c>
      <c r="B1183" s="308" t="s">
        <v>150</v>
      </c>
      <c r="C1183" s="56">
        <v>45804</v>
      </c>
      <c r="D1183" s="43">
        <v>948</v>
      </c>
      <c r="F1183" s="43" t="s">
        <v>1316</v>
      </c>
      <c r="G1183" t="str">
        <f t="shared" si="21"/>
        <v>May</v>
      </c>
    </row>
    <row r="1184" spans="1:7">
      <c r="A1184" s="308" t="s">
        <v>514</v>
      </c>
      <c r="B1184" s="308" t="s">
        <v>150</v>
      </c>
      <c r="C1184" s="56">
        <v>45804</v>
      </c>
      <c r="D1184" s="43">
        <v>954</v>
      </c>
      <c r="F1184" s="43" t="s">
        <v>1317</v>
      </c>
      <c r="G1184" t="str">
        <f t="shared" ref="G1184:G1202" si="22">TEXT(C1184,"mmmm")</f>
        <v>May</v>
      </c>
    </row>
    <row r="1185" spans="1:7">
      <c r="A1185" s="356" t="s">
        <v>354</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150</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150</v>
      </c>
      <c r="C1195" s="56">
        <v>45806</v>
      </c>
      <c r="D1195" s="156">
        <v>2248</v>
      </c>
      <c r="F1195" s="43" t="s">
        <v>1321</v>
      </c>
      <c r="G1195" t="str">
        <f t="shared" si="22"/>
        <v>May</v>
      </c>
    </row>
    <row r="1196" spans="1:7">
      <c r="A1196" s="322" t="s">
        <v>369</v>
      </c>
      <c r="B1196" s="311" t="s">
        <v>150</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150</v>
      </c>
      <c r="C1203" s="56">
        <v>45810</v>
      </c>
      <c r="D1203" s="43">
        <v>800</v>
      </c>
      <c r="G1203" t="s">
        <v>1324</v>
      </c>
    </row>
    <row r="1204" spans="1:7">
      <c r="A1204" s="360" t="s">
        <v>354</v>
      </c>
      <c r="B1204" s="311" t="s">
        <v>883</v>
      </c>
      <c r="C1204" s="56">
        <v>45810</v>
      </c>
      <c r="D1204" s="43">
        <v>275</v>
      </c>
      <c r="G1204" t="s">
        <v>1324</v>
      </c>
    </row>
    <row r="1205" spans="1:7">
      <c r="A1205" s="360" t="s">
        <v>369</v>
      </c>
      <c r="B1205" s="142" t="s">
        <v>150</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150</v>
      </c>
      <c r="C1212" s="56">
        <v>45811</v>
      </c>
      <c r="D1212" s="43">
        <v>631</v>
      </c>
      <c r="F1212" s="43" t="s">
        <v>1322</v>
      </c>
      <c r="G1212" t="s">
        <v>1324</v>
      </c>
    </row>
    <row r="1213" spans="1:7">
      <c r="A1213" s="360" t="s">
        <v>354</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389</v>
      </c>
      <c r="B1217" s="308" t="s">
        <v>128</v>
      </c>
      <c r="C1217" s="56">
        <v>45812</v>
      </c>
      <c r="F1217" s="142" t="s">
        <v>1329</v>
      </c>
      <c r="G1217" t="s">
        <v>1324</v>
      </c>
    </row>
    <row r="1218" spans="1:7">
      <c r="A1218" s="142" t="s">
        <v>718</v>
      </c>
      <c r="B1218" s="142" t="s">
        <v>150</v>
      </c>
      <c r="C1218" s="56">
        <v>45812</v>
      </c>
      <c r="D1218" s="156">
        <v>1401</v>
      </c>
      <c r="G1218" t="s">
        <v>1324</v>
      </c>
    </row>
    <row r="1219" spans="1:7">
      <c r="A1219" s="360" t="s">
        <v>354</v>
      </c>
      <c r="B1219" s="308" t="s">
        <v>883</v>
      </c>
      <c r="C1219" s="56">
        <v>45812</v>
      </c>
      <c r="D1219" s="43">
        <v>310</v>
      </c>
      <c r="G1219" t="s">
        <v>1324</v>
      </c>
    </row>
    <row r="1220" spans="1:7">
      <c r="A1220" s="360" t="s">
        <v>563</v>
      </c>
      <c r="B1220" s="311" t="s">
        <v>150</v>
      </c>
      <c r="C1220" s="56">
        <v>45812</v>
      </c>
      <c r="D1220" s="43">
        <v>610</v>
      </c>
      <c r="F1220" s="43" t="s">
        <v>1330</v>
      </c>
      <c r="G1220" t="s">
        <v>1324</v>
      </c>
    </row>
    <row r="1221" spans="1:7">
      <c r="A1221" s="356" t="s">
        <v>369</v>
      </c>
      <c r="B1221" s="308" t="s">
        <v>150</v>
      </c>
      <c r="C1221" s="56">
        <v>45812</v>
      </c>
      <c r="E1221" s="325">
        <v>8415</v>
      </c>
      <c r="F1221" s="43" t="s">
        <v>1331</v>
      </c>
      <c r="G1221" t="s">
        <v>1324</v>
      </c>
    </row>
    <row r="1222" spans="1:7">
      <c r="A1222" s="142" t="s">
        <v>711</v>
      </c>
      <c r="B1222" s="142" t="s">
        <v>472</v>
      </c>
      <c r="C1222" s="56">
        <v>45812</v>
      </c>
      <c r="F1222" s="142" t="s">
        <v>1329</v>
      </c>
      <c r="G1222" t="s">
        <v>1324</v>
      </c>
    </row>
    <row r="1223" spans="1:7">
      <c r="A1223" s="142" t="s">
        <v>389</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354</v>
      </c>
      <c r="B1225" s="142" t="s">
        <v>883</v>
      </c>
      <c r="C1225" s="56">
        <v>45813</v>
      </c>
      <c r="F1225" s="324" t="s">
        <v>1153</v>
      </c>
      <c r="G1225" t="s">
        <v>1324</v>
      </c>
    </row>
    <row r="1226" spans="1:7">
      <c r="A1226" s="359" t="s">
        <v>563</v>
      </c>
      <c r="B1226" s="368" t="s">
        <v>150</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150</v>
      </c>
      <c r="C1230" s="56">
        <v>45817</v>
      </c>
      <c r="D1230" s="156">
        <v>1100</v>
      </c>
      <c r="G1230" t="s">
        <v>1324</v>
      </c>
    </row>
    <row r="1231" spans="1:7">
      <c r="A1231" s="308" t="s">
        <v>574</v>
      </c>
      <c r="B1231" s="308" t="s">
        <v>150</v>
      </c>
      <c r="C1231" s="56">
        <v>45817</v>
      </c>
      <c r="D1231" s="43">
        <v>115</v>
      </c>
      <c r="G1231" t="s">
        <v>1324</v>
      </c>
    </row>
    <row r="1232" spans="1:7">
      <c r="A1232" s="308" t="s">
        <v>919</v>
      </c>
      <c r="B1232" s="308" t="s">
        <v>883</v>
      </c>
      <c r="C1232" s="56">
        <v>45817</v>
      </c>
      <c r="D1232" s="43">
        <v>155</v>
      </c>
      <c r="G1232" t="s">
        <v>1324</v>
      </c>
    </row>
    <row r="1233" spans="1:7">
      <c r="A1233" s="356" t="s">
        <v>354</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150</v>
      </c>
      <c r="C1235" s="56">
        <v>45818</v>
      </c>
      <c r="D1235" s="156">
        <v>1293</v>
      </c>
      <c r="F1235" s="43" t="s">
        <v>1335</v>
      </c>
      <c r="G1235" t="s">
        <v>1324</v>
      </c>
    </row>
    <row r="1236" spans="1:7">
      <c r="A1236" s="356" t="s">
        <v>354</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150</v>
      </c>
      <c r="C1238" s="56">
        <v>45819</v>
      </c>
      <c r="D1238" s="156">
        <v>1975</v>
      </c>
      <c r="F1238" s="43" t="s">
        <v>1322</v>
      </c>
      <c r="G1238" t="s">
        <v>1324</v>
      </c>
    </row>
    <row r="1239" spans="1:7">
      <c r="A1239" s="375" t="s">
        <v>514</v>
      </c>
      <c r="B1239" s="309" t="s">
        <v>150</v>
      </c>
      <c r="C1239" s="56">
        <v>45819</v>
      </c>
      <c r="D1239" s="43">
        <v>370</v>
      </c>
      <c r="F1239" s="43" t="s">
        <v>1322</v>
      </c>
      <c r="G1239" t="s">
        <v>1324</v>
      </c>
    </row>
    <row r="1240" spans="1:7">
      <c r="A1240" s="315" t="s">
        <v>354</v>
      </c>
      <c r="B1240" s="315" t="s">
        <v>883</v>
      </c>
      <c r="C1240" s="56">
        <v>45819</v>
      </c>
      <c r="F1240" s="43" t="s">
        <v>1242</v>
      </c>
      <c r="G1240" t="s">
        <v>1324</v>
      </c>
    </row>
    <row r="1241" spans="1:7">
      <c r="A1241" s="383" t="s">
        <v>718</v>
      </c>
      <c r="B1241" s="251" t="s">
        <v>150</v>
      </c>
      <c r="C1241" s="56">
        <v>45820</v>
      </c>
      <c r="D1241" s="156">
        <v>1395</v>
      </c>
      <c r="F1241" s="43" t="s">
        <v>1322</v>
      </c>
      <c r="G1241" t="s">
        <v>1324</v>
      </c>
    </row>
    <row r="1242" spans="1:7">
      <c r="A1242" s="383" t="s">
        <v>569</v>
      </c>
      <c r="B1242" s="251" t="s">
        <v>150</v>
      </c>
      <c r="C1242" s="56">
        <v>45820</v>
      </c>
      <c r="F1242" s="43" t="s">
        <v>1020</v>
      </c>
      <c r="G1242" t="s">
        <v>1324</v>
      </c>
    </row>
    <row r="1243" spans="1:7">
      <c r="A1243" s="149" t="s">
        <v>354</v>
      </c>
      <c r="B1243" s="382" t="s">
        <v>883</v>
      </c>
      <c r="C1243" s="56">
        <v>45820</v>
      </c>
      <c r="D1243" s="43">
        <v>395</v>
      </c>
      <c r="G1243" t="s">
        <v>1324</v>
      </c>
    </row>
    <row r="1244" spans="1:7">
      <c r="A1244" s="320" t="s">
        <v>569</v>
      </c>
      <c r="B1244" s="310" t="s">
        <v>150</v>
      </c>
      <c r="C1244" s="56">
        <v>45821</v>
      </c>
      <c r="F1244" s="310" t="s">
        <v>1020</v>
      </c>
      <c r="G1244" t="s">
        <v>1324</v>
      </c>
    </row>
    <row r="1245" spans="1:7">
      <c r="A1245" s="310" t="s">
        <v>920</v>
      </c>
      <c r="B1245" s="310" t="s">
        <v>883</v>
      </c>
      <c r="C1245" s="56">
        <v>45821</v>
      </c>
      <c r="F1245" s="310" t="s">
        <v>1336</v>
      </c>
      <c r="G1245" t="s">
        <v>1324</v>
      </c>
    </row>
    <row r="1246" spans="1:7">
      <c r="A1246" s="315" t="s">
        <v>354</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150</v>
      </c>
      <c r="C1249" s="56">
        <v>45824</v>
      </c>
      <c r="D1249" s="43">
        <v>450</v>
      </c>
      <c r="F1249" s="43" t="s">
        <v>1339</v>
      </c>
      <c r="G1249" t="s">
        <v>1324</v>
      </c>
    </row>
    <row r="1250" spans="1:7">
      <c r="A1250" s="319" t="s">
        <v>354</v>
      </c>
      <c r="B1250" s="319" t="s">
        <v>883</v>
      </c>
      <c r="C1250" s="56">
        <v>45824</v>
      </c>
      <c r="D1250" s="43">
        <v>280</v>
      </c>
      <c r="G1250" t="s">
        <v>1324</v>
      </c>
    </row>
    <row r="1251" spans="1:7">
      <c r="A1251" s="308" t="s">
        <v>514</v>
      </c>
      <c r="B1251" s="308" t="s">
        <v>150</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150</v>
      </c>
      <c r="C1254" s="56">
        <v>45825</v>
      </c>
      <c r="D1254" s="156">
        <v>1246</v>
      </c>
      <c r="F1254" s="43" t="s">
        <v>1321</v>
      </c>
      <c r="G1254" t="s">
        <v>1324</v>
      </c>
    </row>
    <row r="1255" spans="1:7">
      <c r="A1255" s="319" t="s">
        <v>354</v>
      </c>
      <c r="B1255" s="319" t="s">
        <v>883</v>
      </c>
      <c r="C1255" s="56">
        <v>45825</v>
      </c>
      <c r="D1255" s="43">
        <v>70</v>
      </c>
      <c r="G1255" t="s">
        <v>1324</v>
      </c>
    </row>
    <row r="1256" spans="1:7">
      <c r="A1256" s="309" t="s">
        <v>715</v>
      </c>
      <c r="B1256" s="309" t="s">
        <v>150</v>
      </c>
      <c r="C1256" s="56">
        <v>45825</v>
      </c>
      <c r="D1256" s="156">
        <v>1465</v>
      </c>
      <c r="F1256" s="43" t="s">
        <v>1341</v>
      </c>
      <c r="G1256" t="s">
        <v>1324</v>
      </c>
    </row>
    <row r="1257" spans="1:7">
      <c r="A1257" s="315" t="s">
        <v>514</v>
      </c>
      <c r="B1257" s="315" t="s">
        <v>150</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150</v>
      </c>
      <c r="C1263" s="56">
        <v>45826</v>
      </c>
      <c r="D1263" s="156">
        <v>1380</v>
      </c>
      <c r="F1263" s="43" t="s">
        <v>1341</v>
      </c>
      <c r="G1263" t="s">
        <v>1324</v>
      </c>
    </row>
    <row r="1264" spans="1:7">
      <c r="A1264" s="319" t="s">
        <v>354</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354</v>
      </c>
      <c r="B1269" s="315" t="s">
        <v>883</v>
      </c>
      <c r="C1269" s="56">
        <v>45828</v>
      </c>
      <c r="D1269" s="43">
        <v>52</v>
      </c>
      <c r="F1269" s="43" t="s">
        <v>1003</v>
      </c>
      <c r="G1269" t="s">
        <v>1324</v>
      </c>
    </row>
    <row r="1270" spans="1:7">
      <c r="A1270" s="319" t="s">
        <v>369</v>
      </c>
      <c r="B1270" s="319" t="s">
        <v>150</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150</v>
      </c>
      <c r="C1274" s="56">
        <v>45831</v>
      </c>
      <c r="D1274" s="43">
        <v>924</v>
      </c>
      <c r="F1274" s="43" t="s">
        <v>1003</v>
      </c>
      <c r="G1274" t="s">
        <v>1324</v>
      </c>
    </row>
    <row r="1275" spans="1:7">
      <c r="A1275" s="319" t="s">
        <v>354</v>
      </c>
      <c r="B1275" s="319" t="s">
        <v>883</v>
      </c>
      <c r="C1275" s="56">
        <v>45831</v>
      </c>
      <c r="D1275" s="43">
        <v>68</v>
      </c>
      <c r="F1275" s="43" t="s">
        <v>1317</v>
      </c>
      <c r="G1275" t="s">
        <v>1324</v>
      </c>
    </row>
    <row r="1276" spans="1:7">
      <c r="A1276" s="308" t="s">
        <v>715</v>
      </c>
      <c r="B1276" s="308" t="s">
        <v>150</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150</v>
      </c>
      <c r="C1279" s="56">
        <v>45832</v>
      </c>
      <c r="D1279" s="156">
        <v>1044</v>
      </c>
      <c r="F1279" s="43" t="s">
        <v>1345</v>
      </c>
      <c r="G1279" t="s">
        <v>1324</v>
      </c>
    </row>
    <row r="1280" spans="1:7">
      <c r="A1280" s="319" t="s">
        <v>354</v>
      </c>
      <c r="B1280" s="319" t="s">
        <v>883</v>
      </c>
      <c r="C1280" s="56">
        <v>45832</v>
      </c>
      <c r="D1280" s="43">
        <v>50</v>
      </c>
      <c r="F1280" s="43" t="s">
        <v>1346</v>
      </c>
      <c r="G1280" t="s">
        <v>1324</v>
      </c>
    </row>
    <row r="1281" spans="1:7">
      <c r="A1281" s="308" t="s">
        <v>715</v>
      </c>
      <c r="B1281" s="308" t="s">
        <v>150</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389</v>
      </c>
      <c r="B1284" s="311" t="s">
        <v>128</v>
      </c>
      <c r="C1284" s="56">
        <v>45833</v>
      </c>
      <c r="D1284" s="43">
        <v>649</v>
      </c>
      <c r="F1284" s="43" t="s">
        <v>1348</v>
      </c>
      <c r="G1284" t="s">
        <v>1324</v>
      </c>
    </row>
    <row r="1285" spans="1:7">
      <c r="A1285" s="142" t="s">
        <v>731</v>
      </c>
      <c r="B1285" s="315" t="s">
        <v>150</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150</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150</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150</v>
      </c>
      <c r="C1293" s="56">
        <v>45834</v>
      </c>
      <c r="D1293" s="156">
        <v>1296</v>
      </c>
      <c r="F1293" s="43" t="s">
        <v>1341</v>
      </c>
      <c r="G1293" t="s">
        <v>1324</v>
      </c>
    </row>
    <row r="1294" spans="1:7">
      <c r="A1294" s="308" t="s">
        <v>921</v>
      </c>
      <c r="B1294" s="308" t="s">
        <v>150</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334</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150</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369</v>
      </c>
      <c r="B1306" s="319" t="s">
        <v>150</v>
      </c>
      <c r="C1306" s="56">
        <v>45839</v>
      </c>
      <c r="E1306" s="140">
        <v>53</v>
      </c>
      <c r="F1306" s="43" t="s">
        <v>1358</v>
      </c>
      <c r="G1306" t="s">
        <v>1357</v>
      </c>
    </row>
    <row r="1307" spans="1:7">
      <c r="A1307" s="357" t="s">
        <v>715</v>
      </c>
      <c r="B1307" s="319" t="s">
        <v>150</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150</v>
      </c>
      <c r="C1312" s="56">
        <v>45840</v>
      </c>
      <c r="D1312" s="43">
        <v>355</v>
      </c>
      <c r="F1312" s="43" t="s">
        <v>957</v>
      </c>
      <c r="G1312" t="s">
        <v>1357</v>
      </c>
    </row>
    <row r="1313" spans="1:7">
      <c r="A1313" s="308" t="s">
        <v>715</v>
      </c>
      <c r="B1313" s="308" t="s">
        <v>150</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334</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150</v>
      </c>
      <c r="C1320" s="56">
        <v>45845</v>
      </c>
      <c r="D1320" s="43">
        <v>846</v>
      </c>
      <c r="G1320" t="s">
        <v>1357</v>
      </c>
    </row>
    <row r="1321" spans="1:7">
      <c r="A1321" s="308" t="s">
        <v>721</v>
      </c>
      <c r="B1321" s="308" t="s">
        <v>150</v>
      </c>
      <c r="C1321" s="56">
        <v>45845</v>
      </c>
      <c r="D1321" s="156">
        <v>1644</v>
      </c>
      <c r="E1321" s="204"/>
      <c r="G1321" t="s">
        <v>1357</v>
      </c>
    </row>
    <row r="1322" spans="1:7">
      <c r="A1322" s="142" t="s">
        <v>419</v>
      </c>
      <c r="B1322" s="158" t="s">
        <v>334</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150</v>
      </c>
      <c r="C1324" s="56">
        <v>45846</v>
      </c>
      <c r="D1324" s="43">
        <v>827</v>
      </c>
      <c r="F1324" s="43" t="s">
        <v>1364</v>
      </c>
      <c r="G1324" t="s">
        <v>1357</v>
      </c>
    </row>
    <row r="1325" spans="1:7">
      <c r="A1325" s="411" t="s">
        <v>721</v>
      </c>
      <c r="B1325" s="413" t="s">
        <v>150</v>
      </c>
      <c r="C1325" s="56">
        <v>45846</v>
      </c>
      <c r="D1325" s="43">
        <v>60</v>
      </c>
      <c r="F1325" s="43" t="s">
        <v>1317</v>
      </c>
      <c r="G1325" t="s">
        <v>1357</v>
      </c>
    </row>
    <row r="1326" spans="1:7">
      <c r="A1326" s="409" t="s">
        <v>811</v>
      </c>
      <c r="B1326" s="412" t="s">
        <v>883</v>
      </c>
      <c r="C1326" s="56">
        <v>45847</v>
      </c>
      <c r="D1326" s="43">
        <v>321</v>
      </c>
      <c r="G1326" t="s">
        <v>1357</v>
      </c>
    </row>
    <row r="1327" spans="1:7">
      <c r="A1327" s="251" t="s">
        <v>330</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334</v>
      </c>
      <c r="C1331" s="56">
        <v>45849</v>
      </c>
      <c r="D1331" s="43">
        <v>198</v>
      </c>
      <c r="G1331" t="s">
        <v>1357</v>
      </c>
    </row>
    <row r="1332" spans="1:7">
      <c r="A1332" s="251" t="s">
        <v>811</v>
      </c>
      <c r="B1332" s="412" t="s">
        <v>883</v>
      </c>
      <c r="C1332" s="56">
        <v>45852</v>
      </c>
      <c r="F1332" s="43" t="s">
        <v>1020</v>
      </c>
      <c r="G1332" t="s">
        <v>1357</v>
      </c>
    </row>
    <row r="1333" spans="1:7">
      <c r="A1333" s="635" t="s">
        <v>423</v>
      </c>
      <c r="B1333" s="158" t="s">
        <v>334</v>
      </c>
      <c r="C1333" s="56">
        <v>45852</v>
      </c>
      <c r="D1333" s="43">
        <v>862</v>
      </c>
      <c r="G1333" t="s">
        <v>1357</v>
      </c>
    </row>
    <row r="1334" spans="1:7">
      <c r="A1334" s="322" t="s">
        <v>901</v>
      </c>
      <c r="B1334" s="412" t="s">
        <v>883</v>
      </c>
      <c r="C1334" s="56">
        <v>45853</v>
      </c>
      <c r="D1334" s="43">
        <v>203</v>
      </c>
      <c r="G1334" t="s">
        <v>1357</v>
      </c>
    </row>
    <row r="1335" spans="1:7">
      <c r="A1335" s="142" t="s">
        <v>354</v>
      </c>
      <c r="B1335" s="412" t="s">
        <v>883</v>
      </c>
      <c r="C1335" s="56">
        <v>45853</v>
      </c>
      <c r="F1335" s="348" t="s">
        <v>1366</v>
      </c>
      <c r="G1335" t="s">
        <v>1357</v>
      </c>
    </row>
    <row r="1336" spans="1:7">
      <c r="A1336" s="308" t="s">
        <v>756</v>
      </c>
      <c r="B1336" s="158" t="s">
        <v>150</v>
      </c>
      <c r="C1336" s="56">
        <v>45853</v>
      </c>
      <c r="D1336" s="156">
        <v>1210</v>
      </c>
      <c r="F1336" s="43" t="s">
        <v>1367</v>
      </c>
      <c r="G1336" t="s">
        <v>1357</v>
      </c>
    </row>
    <row r="1337" spans="1:7">
      <c r="A1337" s="135" t="s">
        <v>333</v>
      </c>
      <c r="B1337" s="158" t="s">
        <v>334</v>
      </c>
      <c r="C1337" s="56">
        <v>45853</v>
      </c>
      <c r="D1337" s="43">
        <v>403</v>
      </c>
      <c r="G1337" t="s">
        <v>1357</v>
      </c>
    </row>
    <row r="1338" spans="1:7">
      <c r="A1338" s="322" t="s">
        <v>901</v>
      </c>
      <c r="B1338" s="315" t="s">
        <v>883</v>
      </c>
      <c r="C1338" s="56">
        <v>45854</v>
      </c>
      <c r="D1338" s="43">
        <v>170</v>
      </c>
      <c r="G1338" t="s">
        <v>1357</v>
      </c>
    </row>
    <row r="1339" spans="1:7">
      <c r="A1339" s="142" t="s">
        <v>354</v>
      </c>
      <c r="B1339" s="315" t="s">
        <v>883</v>
      </c>
      <c r="C1339" s="56">
        <v>45854</v>
      </c>
      <c r="D1339" s="43">
        <v>280</v>
      </c>
      <c r="G1339" t="s">
        <v>1357</v>
      </c>
    </row>
    <row r="1340" spans="1:7">
      <c r="A1340" s="309" t="s">
        <v>756</v>
      </c>
      <c r="B1340" s="308" t="s">
        <v>150</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150</v>
      </c>
      <c r="C1342" s="56">
        <v>45854</v>
      </c>
      <c r="D1342" s="43">
        <v>426</v>
      </c>
      <c r="F1342" s="43" t="s">
        <v>956</v>
      </c>
      <c r="G1342" t="s">
        <v>1357</v>
      </c>
    </row>
    <row r="1343" spans="1:7">
      <c r="A1343" s="135" t="s">
        <v>333</v>
      </c>
      <c r="B1343" s="322" t="s">
        <v>334</v>
      </c>
      <c r="C1343" s="56">
        <v>45854</v>
      </c>
      <c r="D1343" s="43">
        <v>39</v>
      </c>
      <c r="G1343" t="s">
        <v>1357</v>
      </c>
    </row>
    <row r="1344" spans="1:7">
      <c r="A1344" s="142" t="s">
        <v>354</v>
      </c>
      <c r="B1344" s="315" t="s">
        <v>883</v>
      </c>
      <c r="C1344" s="56">
        <v>45855</v>
      </c>
      <c r="D1344" s="156">
        <v>1972</v>
      </c>
      <c r="G1344" t="s">
        <v>1357</v>
      </c>
    </row>
    <row r="1345" spans="1:7">
      <c r="A1345" s="357" t="s">
        <v>748</v>
      </c>
      <c r="B1345" s="308" t="s">
        <v>150</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354</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354</v>
      </c>
      <c r="B1350" s="412" t="s">
        <v>883</v>
      </c>
      <c r="C1350" s="56">
        <v>45859</v>
      </c>
      <c r="D1350" s="43">
        <v>551</v>
      </c>
      <c r="G1350" t="s">
        <v>1357</v>
      </c>
    </row>
    <row r="1351" spans="1:7">
      <c r="A1351" s="409" t="s">
        <v>354</v>
      </c>
      <c r="B1351" s="412" t="s">
        <v>128</v>
      </c>
      <c r="C1351" s="56">
        <v>45859</v>
      </c>
      <c r="D1351" s="43">
        <v>385</v>
      </c>
      <c r="G1351" t="s">
        <v>1357</v>
      </c>
    </row>
    <row r="1352" spans="1:7">
      <c r="A1352" s="411" t="s">
        <v>743</v>
      </c>
      <c r="B1352" s="413" t="s">
        <v>150</v>
      </c>
      <c r="C1352" s="56">
        <v>45859</v>
      </c>
      <c r="D1352" s="156">
        <v>1070</v>
      </c>
      <c r="F1352" s="43" t="s">
        <v>955</v>
      </c>
      <c r="G1352" t="s">
        <v>1357</v>
      </c>
    </row>
    <row r="1353" spans="1:7">
      <c r="A1353" s="428" t="s">
        <v>748</v>
      </c>
      <c r="B1353" s="429" t="s">
        <v>150</v>
      </c>
      <c r="C1353" s="56">
        <v>45859</v>
      </c>
      <c r="D1353" s="156">
        <v>1843</v>
      </c>
      <c r="F1353" s="43" t="s">
        <v>1371</v>
      </c>
      <c r="G1353" t="s">
        <v>1357</v>
      </c>
    </row>
    <row r="1354" spans="1:7">
      <c r="A1354" s="135" t="s">
        <v>333</v>
      </c>
      <c r="B1354" s="158" t="s">
        <v>334</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150</v>
      </c>
      <c r="C1356" s="56">
        <v>45860</v>
      </c>
      <c r="D1356" s="156">
        <v>1224</v>
      </c>
      <c r="F1356" s="43" t="s">
        <v>1373</v>
      </c>
      <c r="G1356" t="s">
        <v>1357</v>
      </c>
    </row>
    <row r="1357" spans="1:7">
      <c r="A1357" s="309" t="s">
        <v>748</v>
      </c>
      <c r="B1357" s="308" t="s">
        <v>150</v>
      </c>
      <c r="C1357" s="56">
        <v>45860</v>
      </c>
      <c r="D1357" s="156">
        <v>1714</v>
      </c>
      <c r="F1357" s="43" t="s">
        <v>966</v>
      </c>
      <c r="G1357" t="s">
        <v>1357</v>
      </c>
    </row>
    <row r="1358" spans="1:7">
      <c r="A1358" s="142" t="s">
        <v>354</v>
      </c>
      <c r="B1358" s="412" t="s">
        <v>128</v>
      </c>
      <c r="C1358" s="56">
        <v>45860</v>
      </c>
      <c r="D1358" s="43">
        <v>300</v>
      </c>
      <c r="G1358" t="s">
        <v>1357</v>
      </c>
    </row>
    <row r="1359" spans="1:7">
      <c r="A1359" s="308" t="s">
        <v>354</v>
      </c>
      <c r="B1359" s="308" t="s">
        <v>636</v>
      </c>
      <c r="C1359" s="56">
        <v>45860</v>
      </c>
      <c r="D1359" s="156">
        <v>1107</v>
      </c>
      <c r="G1359" t="s">
        <v>1357</v>
      </c>
    </row>
    <row r="1360" spans="1:7">
      <c r="A1360" s="308" t="s">
        <v>354</v>
      </c>
      <c r="B1360" s="319" t="s">
        <v>883</v>
      </c>
      <c r="C1360" s="56">
        <v>45860</v>
      </c>
      <c r="D1360" s="43">
        <v>316</v>
      </c>
      <c r="G1360" t="s">
        <v>1357</v>
      </c>
    </row>
    <row r="1361" spans="1:7">
      <c r="A1361" s="135" t="s">
        <v>333</v>
      </c>
      <c r="B1361" s="158" t="s">
        <v>334</v>
      </c>
      <c r="C1361" s="56">
        <v>45860</v>
      </c>
      <c r="D1361" s="43">
        <v>318</v>
      </c>
      <c r="G1361" t="s">
        <v>1357</v>
      </c>
    </row>
    <row r="1362" spans="1:7">
      <c r="A1362" s="251" t="s">
        <v>922</v>
      </c>
      <c r="B1362" s="158" t="s">
        <v>334</v>
      </c>
      <c r="C1362" s="56">
        <v>45860</v>
      </c>
      <c r="D1362" s="43">
        <v>605</v>
      </c>
      <c r="G1362" t="s">
        <v>1357</v>
      </c>
    </row>
    <row r="1363" spans="1:7">
      <c r="A1363" s="322" t="s">
        <v>901</v>
      </c>
      <c r="B1363" s="315" t="s">
        <v>883</v>
      </c>
      <c r="C1363" s="56">
        <v>45861</v>
      </c>
      <c r="D1363" s="43">
        <v>272</v>
      </c>
      <c r="F1363" s="43" t="s">
        <v>1374</v>
      </c>
      <c r="G1363" t="s">
        <v>1357</v>
      </c>
    </row>
    <row r="1364" spans="1:7">
      <c r="A1364" s="142" t="s">
        <v>354</v>
      </c>
      <c r="B1364" s="315" t="s">
        <v>883</v>
      </c>
      <c r="C1364" s="56">
        <v>45861</v>
      </c>
      <c r="D1364" s="43">
        <v>130</v>
      </c>
      <c r="F1364" s="43" t="s">
        <v>1015</v>
      </c>
      <c r="G1364" t="s">
        <v>1357</v>
      </c>
    </row>
    <row r="1365" spans="1:7">
      <c r="A1365" s="308" t="s">
        <v>743</v>
      </c>
      <c r="B1365" s="308" t="s">
        <v>150</v>
      </c>
      <c r="C1365" s="56">
        <v>45861</v>
      </c>
      <c r="D1365" s="43">
        <v>235</v>
      </c>
      <c r="F1365" s="43" t="s">
        <v>1375</v>
      </c>
      <c r="G1365" t="s">
        <v>1357</v>
      </c>
    </row>
    <row r="1366" spans="1:7">
      <c r="A1366" s="309" t="s">
        <v>748</v>
      </c>
      <c r="B1366" s="308" t="s">
        <v>150</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150</v>
      </c>
      <c r="C1368" s="56">
        <v>45861</v>
      </c>
      <c r="D1368" s="43">
        <v>363</v>
      </c>
      <c r="F1368" s="43" t="s">
        <v>1377</v>
      </c>
      <c r="G1368" t="s">
        <v>1357</v>
      </c>
    </row>
    <row r="1369" spans="1:7">
      <c r="A1369" s="142" t="s">
        <v>718</v>
      </c>
      <c r="B1369" s="142" t="s">
        <v>150</v>
      </c>
      <c r="C1369" s="56">
        <v>45861</v>
      </c>
      <c r="D1369" s="43">
        <v>853</v>
      </c>
      <c r="F1369" s="43" t="s">
        <v>1003</v>
      </c>
      <c r="G1369" t="s">
        <v>1357</v>
      </c>
    </row>
    <row r="1370" spans="1:7">
      <c r="A1370" s="124" t="s">
        <v>423</v>
      </c>
      <c r="B1370" s="158" t="s">
        <v>334</v>
      </c>
      <c r="C1370" s="56">
        <v>45861</v>
      </c>
      <c r="D1370" s="43">
        <v>461</v>
      </c>
      <c r="G1370" t="s">
        <v>1357</v>
      </c>
    </row>
    <row r="1371" spans="1:7">
      <c r="A1371" s="322" t="s">
        <v>901</v>
      </c>
      <c r="B1371" s="315" t="s">
        <v>883</v>
      </c>
      <c r="C1371" s="56">
        <v>45862</v>
      </c>
      <c r="D1371" s="43">
        <v>79</v>
      </c>
      <c r="F1371" s="43" t="s">
        <v>1378</v>
      </c>
      <c r="G1371" t="s">
        <v>1357</v>
      </c>
    </row>
    <row r="1372" spans="1:7">
      <c r="A1372" s="142" t="s">
        <v>354</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150</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354</v>
      </c>
      <c r="B1376" s="309" t="s">
        <v>636</v>
      </c>
      <c r="C1376" s="56">
        <v>45862</v>
      </c>
      <c r="F1376" s="43" t="s">
        <v>1383</v>
      </c>
      <c r="G1376" t="s">
        <v>1357</v>
      </c>
    </row>
    <row r="1377" spans="1:7">
      <c r="A1377" s="142" t="s">
        <v>718</v>
      </c>
      <c r="B1377" s="142" t="s">
        <v>150</v>
      </c>
      <c r="C1377" s="56">
        <v>45862</v>
      </c>
      <c r="D1377" s="156">
        <v>1279</v>
      </c>
      <c r="F1377" s="43" t="s">
        <v>1003</v>
      </c>
      <c r="G1377" t="s">
        <v>1357</v>
      </c>
    </row>
    <row r="1378" spans="1:7">
      <c r="A1378" s="124" t="s">
        <v>423</v>
      </c>
      <c r="B1378" s="322" t="s">
        <v>334</v>
      </c>
      <c r="C1378" s="56">
        <v>45862</v>
      </c>
      <c r="D1378" s="43">
        <v>880</v>
      </c>
      <c r="G1378" t="s">
        <v>1357</v>
      </c>
    </row>
    <row r="1379" spans="1:7">
      <c r="A1379" s="328" t="s">
        <v>330</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354</v>
      </c>
      <c r="B1381" s="315" t="s">
        <v>883</v>
      </c>
      <c r="C1381" s="56">
        <v>45863</v>
      </c>
      <c r="F1381" s="142" t="s">
        <v>1385</v>
      </c>
      <c r="G1381" t="s">
        <v>1357</v>
      </c>
    </row>
    <row r="1382" spans="1:7">
      <c r="A1382" s="309" t="s">
        <v>748</v>
      </c>
      <c r="B1382" s="308" t="s">
        <v>150</v>
      </c>
      <c r="C1382" s="56">
        <v>45863</v>
      </c>
      <c r="F1382" s="308" t="s">
        <v>1386</v>
      </c>
      <c r="G1382" t="s">
        <v>1357</v>
      </c>
    </row>
    <row r="1383" spans="1:7">
      <c r="A1383" s="142" t="s">
        <v>743</v>
      </c>
      <c r="B1383" s="308" t="s">
        <v>150</v>
      </c>
      <c r="C1383" s="56">
        <v>45863</v>
      </c>
      <c r="F1383" s="311" t="s">
        <v>1386</v>
      </c>
      <c r="G1383" t="s">
        <v>1357</v>
      </c>
    </row>
    <row r="1384" spans="1:7">
      <c r="A1384" s="309" t="s">
        <v>756</v>
      </c>
      <c r="B1384" s="309" t="s">
        <v>150</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334</v>
      </c>
      <c r="C1386" s="56">
        <v>45863</v>
      </c>
      <c r="D1386" s="43">
        <v>585</v>
      </c>
      <c r="F1386" s="43" t="s">
        <v>1015</v>
      </c>
      <c r="G1386" t="s">
        <v>1357</v>
      </c>
    </row>
    <row r="1387" spans="1:7">
      <c r="A1387" s="142" t="s">
        <v>354</v>
      </c>
      <c r="B1387" s="315" t="s">
        <v>883</v>
      </c>
      <c r="C1387" s="56">
        <v>45866</v>
      </c>
      <c r="D1387" s="43">
        <v>420</v>
      </c>
      <c r="F1387" s="43" t="s">
        <v>1003</v>
      </c>
      <c r="G1387" t="s">
        <v>1357</v>
      </c>
    </row>
    <row r="1388" spans="1:7">
      <c r="A1388" s="309" t="s">
        <v>718</v>
      </c>
      <c r="B1388" s="308" t="s">
        <v>150</v>
      </c>
      <c r="C1388" s="56">
        <v>45866</v>
      </c>
      <c r="D1388" s="43">
        <v>817</v>
      </c>
      <c r="G1388" t="s">
        <v>1357</v>
      </c>
    </row>
    <row r="1389" spans="1:7">
      <c r="A1389" s="142" t="s">
        <v>750</v>
      </c>
      <c r="B1389" s="308" t="s">
        <v>150</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334</v>
      </c>
      <c r="C1392" s="56">
        <v>45866</v>
      </c>
      <c r="D1392" s="43">
        <v>345</v>
      </c>
      <c r="G1392" t="s">
        <v>1357</v>
      </c>
    </row>
    <row r="1393" spans="1:7">
      <c r="A1393" s="636" t="s">
        <v>721</v>
      </c>
      <c r="B1393" s="69" t="s">
        <v>128</v>
      </c>
      <c r="C1393" s="56">
        <v>45867</v>
      </c>
      <c r="D1393" s="156">
        <v>1933</v>
      </c>
      <c r="G1393" t="s">
        <v>1357</v>
      </c>
    </row>
    <row r="1394" spans="1:7">
      <c r="A1394" s="444" t="s">
        <v>718</v>
      </c>
      <c r="B1394" s="251" t="s">
        <v>150</v>
      </c>
      <c r="C1394" s="56">
        <v>45867</v>
      </c>
      <c r="E1394" s="325">
        <v>5590</v>
      </c>
      <c r="F1394" s="43" t="s">
        <v>1389</v>
      </c>
      <c r="G1394" t="s">
        <v>1357</v>
      </c>
    </row>
    <row r="1395" spans="1:7">
      <c r="A1395" s="445" t="s">
        <v>750</v>
      </c>
      <c r="B1395" s="447" t="s">
        <v>150</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150</v>
      </c>
      <c r="C1398" s="56">
        <v>45868</v>
      </c>
      <c r="D1398" s="43">
        <v>902</v>
      </c>
      <c r="G1398" t="s">
        <v>1357</v>
      </c>
    </row>
    <row r="1399" spans="1:7">
      <c r="A1399" s="308" t="s">
        <v>718</v>
      </c>
      <c r="B1399" s="308" t="s">
        <v>150</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354</v>
      </c>
      <c r="B1401" s="308" t="s">
        <v>1393</v>
      </c>
      <c r="C1401" s="56">
        <v>45868</v>
      </c>
      <c r="E1401" s="325">
        <v>6067</v>
      </c>
      <c r="G1401" t="s">
        <v>1357</v>
      </c>
    </row>
    <row r="1402" spans="1:7">
      <c r="A1402" s="135" t="s">
        <v>325</v>
      </c>
      <c r="B1402" s="322" t="s">
        <v>334</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150</v>
      </c>
      <c r="C1405" s="56">
        <v>45869</v>
      </c>
      <c r="D1405" s="43">
        <v>862</v>
      </c>
      <c r="G1405" t="s">
        <v>1357</v>
      </c>
    </row>
    <row r="1406" spans="1:7">
      <c r="A1406" s="315" t="s">
        <v>354</v>
      </c>
      <c r="B1406" s="315" t="s">
        <v>1393</v>
      </c>
      <c r="C1406" s="56">
        <v>45869</v>
      </c>
      <c r="E1406" s="325">
        <v>2691</v>
      </c>
      <c r="G1406" t="s">
        <v>1357</v>
      </c>
    </row>
    <row r="1407" spans="1:7">
      <c r="A1407" s="357" t="s">
        <v>428</v>
      </c>
      <c r="B1407" s="158" t="s">
        <v>334</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334</v>
      </c>
      <c r="C1411" s="56">
        <v>45870</v>
      </c>
      <c r="D1411" s="156">
        <v>1377</v>
      </c>
      <c r="G1411" t="s">
        <v>1396</v>
      </c>
    </row>
    <row r="1412" spans="1:7">
      <c r="A1412" s="636" t="s">
        <v>721</v>
      </c>
      <c r="B1412" s="69" t="s">
        <v>1393</v>
      </c>
      <c r="C1412" s="56">
        <v>45873</v>
      </c>
      <c r="E1412" s="325">
        <v>13125</v>
      </c>
      <c r="G1412" t="s">
        <v>1396</v>
      </c>
    </row>
    <row r="1413" spans="1:7">
      <c r="A1413" s="446" t="s">
        <v>797</v>
      </c>
      <c r="B1413" s="452" t="s">
        <v>150</v>
      </c>
      <c r="C1413" s="56">
        <v>45873</v>
      </c>
      <c r="D1413" s="43">
        <v>918</v>
      </c>
      <c r="G1413" t="s">
        <v>1396</v>
      </c>
    </row>
    <row r="1414" spans="1:7">
      <c r="A1414" s="315" t="s">
        <v>726</v>
      </c>
      <c r="B1414" s="315" t="s">
        <v>150</v>
      </c>
      <c r="C1414" s="56">
        <v>45874</v>
      </c>
      <c r="D1414" s="156">
        <v>2675</v>
      </c>
      <c r="G1414" t="s">
        <v>1396</v>
      </c>
    </row>
    <row r="1415" spans="1:7">
      <c r="A1415" s="315" t="s">
        <v>428</v>
      </c>
      <c r="B1415" s="315" t="s">
        <v>334</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150</v>
      </c>
      <c r="C1417" s="56">
        <v>45875</v>
      </c>
      <c r="D1417" s="156">
        <v>1964</v>
      </c>
      <c r="G1417" t="s">
        <v>1396</v>
      </c>
    </row>
    <row r="1418" spans="1:7">
      <c r="A1418" s="567" t="s">
        <v>428</v>
      </c>
      <c r="B1418" s="315" t="s">
        <v>334</v>
      </c>
      <c r="C1418" s="56">
        <v>45875</v>
      </c>
      <c r="D1418" s="43">
        <v>840</v>
      </c>
      <c r="G1418" t="s">
        <v>1396</v>
      </c>
    </row>
    <row r="1419" spans="1:7">
      <c r="A1419" s="142" t="s">
        <v>325</v>
      </c>
      <c r="B1419" s="568" t="s">
        <v>334</v>
      </c>
      <c r="C1419" s="56">
        <v>45875</v>
      </c>
      <c r="F1419" s="43" t="s">
        <v>1399</v>
      </c>
      <c r="G1419" t="s">
        <v>1396</v>
      </c>
    </row>
    <row r="1420" spans="1:7">
      <c r="A1420" s="398" t="s">
        <v>726</v>
      </c>
      <c r="B1420" s="429" t="s">
        <v>150</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150</v>
      </c>
      <c r="C1422" s="56">
        <v>45876</v>
      </c>
      <c r="D1422" s="43">
        <v>674</v>
      </c>
      <c r="G1422" t="s">
        <v>1396</v>
      </c>
    </row>
    <row r="1423" spans="1:7">
      <c r="A1423" s="543" t="s">
        <v>428</v>
      </c>
      <c r="B1423" s="543" t="s">
        <v>334</v>
      </c>
      <c r="C1423" s="56">
        <v>45876</v>
      </c>
      <c r="D1423" s="43">
        <v>531</v>
      </c>
      <c r="G1423" t="s">
        <v>1396</v>
      </c>
    </row>
    <row r="1424" spans="1:7">
      <c r="A1424" s="251" t="s">
        <v>901</v>
      </c>
      <c r="B1424" s="158" t="s">
        <v>883</v>
      </c>
      <c r="C1424" s="56">
        <v>45877</v>
      </c>
      <c r="F1424" s="43" t="s">
        <v>1370</v>
      </c>
      <c r="G1424" t="s">
        <v>1396</v>
      </c>
    </row>
    <row r="1425" spans="1:7">
      <c r="A1425" s="315" t="s">
        <v>726</v>
      </c>
      <c r="B1425" s="315" t="s">
        <v>150</v>
      </c>
      <c r="C1425" s="56">
        <v>45877</v>
      </c>
      <c r="F1425" s="315" t="s">
        <v>1020</v>
      </c>
      <c r="G1425" t="s">
        <v>1396</v>
      </c>
    </row>
    <row r="1426" spans="1:7">
      <c r="A1426" s="569" t="s">
        <v>428</v>
      </c>
      <c r="B1426" s="315" t="s">
        <v>334</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150</v>
      </c>
      <c r="C1428" s="56">
        <v>45880</v>
      </c>
      <c r="D1428" s="156">
        <v>1175</v>
      </c>
      <c r="G1428" t="s">
        <v>1396</v>
      </c>
    </row>
    <row r="1429" spans="1:7">
      <c r="A1429" s="308" t="s">
        <v>805</v>
      </c>
      <c r="B1429" s="308" t="s">
        <v>883</v>
      </c>
      <c r="C1429" s="56">
        <v>45880</v>
      </c>
      <c r="D1429" s="43">
        <v>288</v>
      </c>
      <c r="G1429" t="s">
        <v>1396</v>
      </c>
    </row>
    <row r="1430" spans="1:7">
      <c r="A1430" s="569" t="s">
        <v>428</v>
      </c>
      <c r="B1430" s="315" t="s">
        <v>334</v>
      </c>
      <c r="C1430" s="56">
        <v>45880</v>
      </c>
      <c r="D1430" s="43">
        <v>571</v>
      </c>
      <c r="G1430" t="s">
        <v>1396</v>
      </c>
    </row>
    <row r="1431" spans="1:7">
      <c r="A1431" s="88" t="s">
        <v>901</v>
      </c>
      <c r="B1431" s="412" t="s">
        <v>883</v>
      </c>
      <c r="C1431" s="56">
        <v>45881</v>
      </c>
      <c r="D1431" s="43">
        <v>35</v>
      </c>
      <c r="G1431" t="s">
        <v>1396</v>
      </c>
    </row>
    <row r="1432" spans="1:7">
      <c r="A1432" s="410" t="s">
        <v>797</v>
      </c>
      <c r="B1432" s="232" t="s">
        <v>150</v>
      </c>
      <c r="C1432" s="56">
        <v>45881</v>
      </c>
      <c r="D1432" s="156">
        <v>1154</v>
      </c>
      <c r="G1432" t="s">
        <v>1396</v>
      </c>
    </row>
    <row r="1433" spans="1:7">
      <c r="A1433" s="242" t="s">
        <v>805</v>
      </c>
      <c r="B1433" s="132" t="s">
        <v>883</v>
      </c>
      <c r="C1433" s="56">
        <v>45881</v>
      </c>
      <c r="D1433" s="43">
        <v>380</v>
      </c>
      <c r="G1433" t="s">
        <v>1396</v>
      </c>
    </row>
    <row r="1434" spans="1:7">
      <c r="A1434" s="92" t="s">
        <v>800</v>
      </c>
      <c r="B1434" s="171" t="s">
        <v>150</v>
      </c>
      <c r="C1434" s="56">
        <v>45881</v>
      </c>
      <c r="D1434" s="43">
        <v>111</v>
      </c>
      <c r="F1434" s="43" t="s">
        <v>1346</v>
      </c>
      <c r="G1434" t="s">
        <v>1396</v>
      </c>
    </row>
    <row r="1435" spans="1:7">
      <c r="A1435" s="251" t="s">
        <v>333</v>
      </c>
      <c r="B1435" s="315" t="s">
        <v>334</v>
      </c>
      <c r="C1435" s="56">
        <v>45881</v>
      </c>
      <c r="D1435" s="43">
        <v>319</v>
      </c>
      <c r="G1435" t="s">
        <v>1396</v>
      </c>
    </row>
    <row r="1436" spans="1:7">
      <c r="A1436" s="569" t="s">
        <v>428</v>
      </c>
      <c r="B1436" s="315" t="s">
        <v>334</v>
      </c>
      <c r="C1436" s="56">
        <v>45881</v>
      </c>
      <c r="D1436" s="156">
        <v>1293</v>
      </c>
      <c r="G1436" t="s">
        <v>1396</v>
      </c>
    </row>
    <row r="1437" spans="1:7">
      <c r="A1437" s="251" t="s">
        <v>714</v>
      </c>
      <c r="B1437" s="158" t="s">
        <v>150</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150</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150</v>
      </c>
      <c r="C1441" s="56">
        <v>45882</v>
      </c>
      <c r="D1441" s="156">
        <v>1031</v>
      </c>
      <c r="F1441" s="43" t="s">
        <v>1403</v>
      </c>
      <c r="G1441" t="s">
        <v>1396</v>
      </c>
    </row>
    <row r="1442" spans="1:7">
      <c r="A1442" s="309" t="s">
        <v>800</v>
      </c>
      <c r="B1442" s="309" t="s">
        <v>150</v>
      </c>
      <c r="C1442" s="56">
        <v>45882</v>
      </c>
      <c r="D1442" s="43">
        <v>12</v>
      </c>
      <c r="F1442" s="309" t="s">
        <v>1317</v>
      </c>
      <c r="G1442" t="s">
        <v>1396</v>
      </c>
    </row>
    <row r="1443" spans="1:7">
      <c r="A1443" s="251" t="s">
        <v>428</v>
      </c>
      <c r="B1443" s="315" t="s">
        <v>334</v>
      </c>
      <c r="C1443" s="56">
        <v>45882</v>
      </c>
      <c r="D1443" s="43">
        <v>540</v>
      </c>
      <c r="G1443" t="s">
        <v>1396</v>
      </c>
    </row>
    <row r="1444" spans="1:7">
      <c r="A1444" s="88" t="s">
        <v>901</v>
      </c>
      <c r="B1444" s="412" t="s">
        <v>883</v>
      </c>
      <c r="C1444" s="56">
        <v>45883</v>
      </c>
      <c r="D1444" s="43">
        <v>144</v>
      </c>
      <c r="G1444" t="s">
        <v>1396</v>
      </c>
    </row>
    <row r="1445" spans="1:7">
      <c r="A1445" s="410" t="s">
        <v>923</v>
      </c>
      <c r="B1445" s="232" t="s">
        <v>150</v>
      </c>
      <c r="C1445" s="56">
        <v>45883</v>
      </c>
      <c r="F1445" s="43" t="s">
        <v>1242</v>
      </c>
      <c r="G1445" t="s">
        <v>1396</v>
      </c>
    </row>
    <row r="1446" spans="1:7">
      <c r="A1446" s="242" t="s">
        <v>805</v>
      </c>
      <c r="B1446" s="132" t="s">
        <v>883</v>
      </c>
      <c r="C1446" s="56">
        <v>45883</v>
      </c>
      <c r="D1446" s="43">
        <v>163</v>
      </c>
      <c r="G1446" t="s">
        <v>1396</v>
      </c>
    </row>
    <row r="1447" spans="1:7">
      <c r="A1447" s="569" t="s">
        <v>428</v>
      </c>
      <c r="B1447" s="315" t="s">
        <v>334</v>
      </c>
      <c r="C1447" s="56">
        <v>45883</v>
      </c>
      <c r="D1447" s="43">
        <v>554</v>
      </c>
      <c r="G1447" t="s">
        <v>1396</v>
      </c>
    </row>
    <row r="1448" spans="1:7">
      <c r="A1448" s="43" t="s">
        <v>263</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334</v>
      </c>
      <c r="C1453" s="56">
        <v>45884</v>
      </c>
      <c r="D1453" s="43">
        <v>89</v>
      </c>
      <c r="G1453" t="s">
        <v>1396</v>
      </c>
    </row>
    <row r="1454" spans="1:7">
      <c r="A1454" s="308" t="s">
        <v>263</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150</v>
      </c>
      <c r="C1459" s="56">
        <v>45887</v>
      </c>
      <c r="D1459" s="156">
        <v>1109</v>
      </c>
      <c r="F1459" s="43" t="s">
        <v>1409</v>
      </c>
      <c r="G1459" t="s">
        <v>1396</v>
      </c>
    </row>
    <row r="1460" spans="1:7">
      <c r="A1460" s="569" t="s">
        <v>428</v>
      </c>
      <c r="B1460" s="315" t="s">
        <v>334</v>
      </c>
      <c r="C1460" s="56">
        <v>45887</v>
      </c>
      <c r="D1460" s="43">
        <v>377</v>
      </c>
      <c r="G1460" t="s">
        <v>1396</v>
      </c>
    </row>
    <row r="1461" spans="1:7">
      <c r="A1461" s="308" t="s">
        <v>263</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150</v>
      </c>
      <c r="C1463" s="56">
        <v>45888</v>
      </c>
      <c r="D1463" s="156">
        <v>1456</v>
      </c>
      <c r="G1463" t="s">
        <v>1396</v>
      </c>
    </row>
    <row r="1464" spans="1:7">
      <c r="A1464" s="319" t="s">
        <v>788</v>
      </c>
      <c r="B1464" s="319" t="s">
        <v>883</v>
      </c>
      <c r="C1464" s="56">
        <v>45888</v>
      </c>
      <c r="D1464" s="43">
        <v>416</v>
      </c>
      <c r="G1464" t="s">
        <v>1396</v>
      </c>
    </row>
    <row r="1465" spans="1:7">
      <c r="A1465" s="543" t="s">
        <v>734</v>
      </c>
      <c r="B1465" s="315" t="s">
        <v>150</v>
      </c>
      <c r="C1465" s="56">
        <v>45888</v>
      </c>
      <c r="D1465" s="156">
        <v>1460</v>
      </c>
      <c r="F1465" s="43" t="s">
        <v>1410</v>
      </c>
      <c r="G1465" t="s">
        <v>1396</v>
      </c>
    </row>
    <row r="1466" spans="1:7">
      <c r="A1466" s="569" t="s">
        <v>428</v>
      </c>
      <c r="B1466" s="315" t="s">
        <v>334</v>
      </c>
      <c r="C1466" s="56">
        <v>45888</v>
      </c>
      <c r="D1466" s="43">
        <v>408</v>
      </c>
      <c r="F1466" s="116"/>
      <c r="G1466" t="s">
        <v>1396</v>
      </c>
    </row>
    <row r="1467" spans="1:7">
      <c r="A1467" s="601" t="s">
        <v>330</v>
      </c>
      <c r="B1467" s="322" t="s">
        <v>883</v>
      </c>
      <c r="C1467" s="56">
        <v>45888</v>
      </c>
      <c r="F1467" s="142" t="s">
        <v>1411</v>
      </c>
      <c r="G1467" t="s">
        <v>1396</v>
      </c>
    </row>
    <row r="1468" spans="1:7">
      <c r="A1468" s="251" t="s">
        <v>325</v>
      </c>
      <c r="B1468" s="315" t="s">
        <v>334</v>
      </c>
      <c r="C1468" s="56">
        <v>45888</v>
      </c>
      <c r="D1468" s="43">
        <v>430</v>
      </c>
      <c r="F1468" s="171"/>
      <c r="G1468" t="s">
        <v>1396</v>
      </c>
    </row>
    <row r="1469" spans="1:7">
      <c r="A1469" s="88" t="s">
        <v>901</v>
      </c>
      <c r="B1469" s="412" t="s">
        <v>883</v>
      </c>
      <c r="C1469" s="56">
        <v>45889</v>
      </c>
      <c r="D1469" s="43">
        <v>181</v>
      </c>
      <c r="G1469" t="s">
        <v>1396</v>
      </c>
    </row>
    <row r="1470" spans="1:7">
      <c r="A1470" s="88" t="s">
        <v>389</v>
      </c>
      <c r="B1470" s="412" t="s">
        <v>128</v>
      </c>
      <c r="C1470" s="56">
        <v>45889</v>
      </c>
      <c r="F1470" s="324" t="s">
        <v>1370</v>
      </c>
      <c r="G1470" t="s">
        <v>1396</v>
      </c>
    </row>
    <row r="1471" spans="1:7">
      <c r="A1471" s="410" t="s">
        <v>925</v>
      </c>
      <c r="B1471" s="232" t="s">
        <v>150</v>
      </c>
      <c r="C1471" s="56">
        <v>45889</v>
      </c>
      <c r="D1471" s="156">
        <v>1420</v>
      </c>
      <c r="G1471" t="s">
        <v>1396</v>
      </c>
    </row>
    <row r="1472" spans="1:7">
      <c r="A1472" s="242" t="s">
        <v>788</v>
      </c>
      <c r="B1472" s="132" t="s">
        <v>883</v>
      </c>
      <c r="C1472" s="56">
        <v>45889</v>
      </c>
      <c r="D1472" s="43">
        <v>216</v>
      </c>
      <c r="G1472" t="s">
        <v>1396</v>
      </c>
    </row>
    <row r="1473" spans="1:7">
      <c r="A1473" s="598" t="s">
        <v>734</v>
      </c>
      <c r="B1473" s="326" t="s">
        <v>150</v>
      </c>
      <c r="C1473" s="56">
        <v>45889</v>
      </c>
      <c r="D1473" s="156">
        <v>1428</v>
      </c>
      <c r="F1473" s="43" t="s">
        <v>1317</v>
      </c>
      <c r="G1473" t="s">
        <v>1396</v>
      </c>
    </row>
    <row r="1474" spans="1:7">
      <c r="A1474" s="569" t="s">
        <v>428</v>
      </c>
      <c r="B1474" s="315" t="s">
        <v>334</v>
      </c>
      <c r="C1474" s="56">
        <v>45889</v>
      </c>
      <c r="D1474" s="43">
        <v>607</v>
      </c>
      <c r="F1474" s="43" t="s">
        <v>1412</v>
      </c>
      <c r="G1474" t="s">
        <v>1396</v>
      </c>
    </row>
    <row r="1475" spans="1:7">
      <c r="A1475" s="601" t="s">
        <v>330</v>
      </c>
      <c r="B1475" s="322" t="s">
        <v>883</v>
      </c>
      <c r="C1475" s="56">
        <v>45889</v>
      </c>
      <c r="D1475" s="43">
        <v>499</v>
      </c>
      <c r="G1475" t="s">
        <v>1396</v>
      </c>
    </row>
    <row r="1476" spans="1:7">
      <c r="A1476" s="88" t="s">
        <v>901</v>
      </c>
      <c r="B1476" s="412" t="s">
        <v>883</v>
      </c>
      <c r="C1476" s="56">
        <v>45890</v>
      </c>
      <c r="D1476" s="43">
        <v>82</v>
      </c>
      <c r="G1476" t="s">
        <v>1396</v>
      </c>
    </row>
    <row r="1477" spans="1:7">
      <c r="A1477" s="88" t="s">
        <v>389</v>
      </c>
      <c r="B1477" s="412" t="s">
        <v>128</v>
      </c>
      <c r="C1477" s="56">
        <v>45890</v>
      </c>
      <c r="F1477" s="43" t="s">
        <v>1153</v>
      </c>
      <c r="G1477" t="s">
        <v>1396</v>
      </c>
    </row>
    <row r="1478" spans="1:7">
      <c r="A1478" s="410" t="s">
        <v>925</v>
      </c>
      <c r="B1478" s="232" t="s">
        <v>150</v>
      </c>
      <c r="C1478" s="56">
        <v>45890</v>
      </c>
      <c r="D1478" s="156">
        <v>1170</v>
      </c>
      <c r="G1478" t="s">
        <v>1396</v>
      </c>
    </row>
    <row r="1479" spans="1:7">
      <c r="A1479" s="242" t="s">
        <v>788</v>
      </c>
      <c r="B1479" s="132" t="s">
        <v>883</v>
      </c>
      <c r="C1479" s="56">
        <v>45890</v>
      </c>
      <c r="F1479" s="43" t="s">
        <v>1153</v>
      </c>
      <c r="G1479" t="s">
        <v>1396</v>
      </c>
    </row>
    <row r="1480" spans="1:7">
      <c r="A1480" s="598" t="s">
        <v>734</v>
      </c>
      <c r="B1480" s="326" t="s">
        <v>150</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334</v>
      </c>
      <c r="C1482" s="56">
        <v>45890</v>
      </c>
      <c r="D1482" s="156">
        <v>1022</v>
      </c>
      <c r="G1482" t="s">
        <v>1396</v>
      </c>
    </row>
    <row r="1483" spans="1:7">
      <c r="A1483" s="601" t="s">
        <v>330</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150</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334</v>
      </c>
      <c r="C1488" s="56">
        <v>45891</v>
      </c>
      <c r="E1488" s="325">
        <v>6090</v>
      </c>
      <c r="F1488" s="43" t="s">
        <v>1416</v>
      </c>
      <c r="G1488" t="s">
        <v>1396</v>
      </c>
    </row>
    <row r="1489" spans="1:7">
      <c r="A1489" s="601" t="s">
        <v>330</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150</v>
      </c>
      <c r="C1492" s="56">
        <v>45894</v>
      </c>
      <c r="D1492" s="43">
        <v>809</v>
      </c>
      <c r="G1492" t="s">
        <v>1396</v>
      </c>
    </row>
    <row r="1493" spans="1:7">
      <c r="A1493" s="242" t="s">
        <v>785</v>
      </c>
      <c r="B1493" s="132" t="s">
        <v>883</v>
      </c>
      <c r="C1493" s="56">
        <v>45894</v>
      </c>
      <c r="F1493" s="315" t="s">
        <v>1417</v>
      </c>
      <c r="G1493" t="s">
        <v>1396</v>
      </c>
    </row>
    <row r="1494" spans="1:7">
      <c r="A1494" s="598" t="s">
        <v>737</v>
      </c>
      <c r="B1494" s="326" t="s">
        <v>150</v>
      </c>
      <c r="C1494" s="56">
        <v>45894</v>
      </c>
      <c r="D1494" s="43">
        <v>735</v>
      </c>
      <c r="F1494" s="43" t="s">
        <v>1418</v>
      </c>
      <c r="G1494" t="s">
        <v>1396</v>
      </c>
    </row>
    <row r="1495" spans="1:7">
      <c r="A1495" s="569" t="s">
        <v>428</v>
      </c>
      <c r="B1495" s="315" t="s">
        <v>334</v>
      </c>
      <c r="C1495" s="56">
        <v>45894</v>
      </c>
      <c r="D1495" s="43">
        <v>639</v>
      </c>
      <c r="G1495" t="s">
        <v>1396</v>
      </c>
    </row>
    <row r="1496" spans="1:7">
      <c r="A1496" s="601" t="s">
        <v>330</v>
      </c>
      <c r="B1496" s="322" t="s">
        <v>883</v>
      </c>
      <c r="C1496" s="56">
        <v>45894</v>
      </c>
      <c r="D1496" s="43">
        <v>503</v>
      </c>
      <c r="G1496" t="s">
        <v>1396</v>
      </c>
    </row>
    <row r="1497" spans="1:7">
      <c r="A1497" s="88" t="s">
        <v>901</v>
      </c>
      <c r="B1497" s="412" t="s">
        <v>883</v>
      </c>
      <c r="C1497" s="56">
        <v>45895</v>
      </c>
      <c r="F1497" s="43" t="s">
        <v>1153</v>
      </c>
      <c r="G1497" t="s">
        <v>1396</v>
      </c>
    </row>
    <row r="1498" spans="1:7">
      <c r="A1498" s="88" t="s">
        <v>389</v>
      </c>
      <c r="B1498" s="412" t="s">
        <v>128</v>
      </c>
      <c r="C1498" s="56">
        <v>45895</v>
      </c>
      <c r="D1498" s="156">
        <v>1009</v>
      </c>
      <c r="F1498" s="43" t="s">
        <v>1419</v>
      </c>
      <c r="G1498" t="s">
        <v>1396</v>
      </c>
    </row>
    <row r="1499" spans="1:7">
      <c r="A1499" s="410" t="s">
        <v>925</v>
      </c>
      <c r="B1499" s="232" t="s">
        <v>150</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150</v>
      </c>
      <c r="C1502" s="56">
        <v>45895</v>
      </c>
      <c r="D1502" s="43">
        <v>558</v>
      </c>
      <c r="F1502" s="348" t="s">
        <v>953</v>
      </c>
      <c r="G1502" t="s">
        <v>1396</v>
      </c>
    </row>
    <row r="1503" spans="1:7">
      <c r="A1503" s="636" t="s">
        <v>761</v>
      </c>
      <c r="B1503" s="43" t="s">
        <v>150</v>
      </c>
      <c r="C1503" s="56">
        <v>45895</v>
      </c>
      <c r="D1503" s="156">
        <v>1224</v>
      </c>
      <c r="F1503" s="43" t="s">
        <v>1420</v>
      </c>
      <c r="G1503" t="s">
        <v>1396</v>
      </c>
    </row>
    <row r="1504" spans="1:7">
      <c r="A1504" s="601" t="s">
        <v>330</v>
      </c>
      <c r="B1504" s="650" t="s">
        <v>883</v>
      </c>
      <c r="C1504" s="56">
        <v>45895</v>
      </c>
      <c r="D1504" s="43">
        <v>295</v>
      </c>
      <c r="G1504" t="s">
        <v>1396</v>
      </c>
    </row>
    <row r="1505" spans="1:7">
      <c r="A1505" s="647" t="s">
        <v>423</v>
      </c>
      <c r="B1505" s="360" t="s">
        <v>334</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150</v>
      </c>
      <c r="C1509" s="56">
        <v>45896</v>
      </c>
      <c r="D1509" s="156">
        <v>1248</v>
      </c>
      <c r="F1509" s="43" t="s">
        <v>1423</v>
      </c>
      <c r="G1509" t="s">
        <v>1396</v>
      </c>
    </row>
    <row r="1510" spans="1:7">
      <c r="A1510" s="636" t="s">
        <v>761</v>
      </c>
      <c r="B1510" s="43" t="s">
        <v>150</v>
      </c>
      <c r="C1510" s="56">
        <v>45896</v>
      </c>
      <c r="D1510" s="43">
        <v>967</v>
      </c>
      <c r="F1510" s="43" t="s">
        <v>1424</v>
      </c>
      <c r="G1510" t="s">
        <v>1396</v>
      </c>
    </row>
    <row r="1511" spans="1:7">
      <c r="A1511" s="601" t="s">
        <v>263</v>
      </c>
      <c r="B1511" s="650" t="s">
        <v>883</v>
      </c>
      <c r="C1511" s="56">
        <v>45896</v>
      </c>
      <c r="D1511" s="43">
        <v>400</v>
      </c>
      <c r="G1511" t="s">
        <v>1396</v>
      </c>
    </row>
    <row r="1512" spans="1:7">
      <c r="A1512" s="647" t="s">
        <v>333</v>
      </c>
      <c r="B1512" s="359" t="s">
        <v>334</v>
      </c>
      <c r="C1512" s="56">
        <v>45896</v>
      </c>
      <c r="D1512" s="43">
        <v>358</v>
      </c>
      <c r="F1512" s="43" t="s">
        <v>1425</v>
      </c>
      <c r="G1512" t="s">
        <v>1396</v>
      </c>
    </row>
    <row r="1513" spans="1:7">
      <c r="A1513" s="662" t="s">
        <v>423</v>
      </c>
      <c r="B1513" s="142" t="s">
        <v>334</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150</v>
      </c>
      <c r="C1516" s="56">
        <v>45897</v>
      </c>
      <c r="D1516" s="156">
        <v>1453</v>
      </c>
      <c r="F1516" s="43" t="s">
        <v>1427</v>
      </c>
      <c r="G1516" t="s">
        <v>1396</v>
      </c>
    </row>
    <row r="1517" spans="1:7">
      <c r="A1517" s="69" t="s">
        <v>767</v>
      </c>
      <c r="B1517" s="43" t="s">
        <v>150</v>
      </c>
      <c r="C1517" s="56">
        <v>45897</v>
      </c>
      <c r="D1517" s="156">
        <v>1260</v>
      </c>
      <c r="F1517" s="43" t="s">
        <v>1428</v>
      </c>
      <c r="G1517" t="s">
        <v>1396</v>
      </c>
    </row>
    <row r="1518" spans="1:7">
      <c r="A1518" s="569" t="s">
        <v>428</v>
      </c>
      <c r="B1518" s="315" t="s">
        <v>334</v>
      </c>
      <c r="C1518" s="56">
        <v>45897</v>
      </c>
      <c r="F1518" s="43" t="s">
        <v>1015</v>
      </c>
      <c r="G1518" t="s">
        <v>1396</v>
      </c>
    </row>
    <row r="1519" spans="1:7">
      <c r="A1519" s="601" t="s">
        <v>263</v>
      </c>
      <c r="B1519" s="650" t="s">
        <v>883</v>
      </c>
      <c r="C1519" s="56">
        <v>45897</v>
      </c>
      <c r="D1519" s="43">
        <v>320</v>
      </c>
      <c r="G1519" t="s">
        <v>1396</v>
      </c>
    </row>
    <row r="1520" spans="1:7">
      <c r="A1520" s="647" t="s">
        <v>333</v>
      </c>
      <c r="B1520" s="360" t="s">
        <v>334</v>
      </c>
      <c r="C1520" s="56">
        <v>45897</v>
      </c>
      <c r="F1520" s="315" t="s">
        <v>1153</v>
      </c>
      <c r="G1520" t="s">
        <v>1396</v>
      </c>
    </row>
    <row r="1521" spans="1:7">
      <c r="A1521" s="124" t="s">
        <v>423</v>
      </c>
      <c r="B1521" s="359" t="s">
        <v>334</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334</v>
      </c>
      <c r="C1524" s="56">
        <v>45898</v>
      </c>
      <c r="F1524" s="142" t="s">
        <v>1003</v>
      </c>
      <c r="G1524" t="s">
        <v>1396</v>
      </c>
    </row>
    <row r="1525" spans="1:7">
      <c r="A1525" s="330" t="s">
        <v>330</v>
      </c>
      <c r="B1525" s="319" t="s">
        <v>883</v>
      </c>
      <c r="C1525" s="56">
        <v>45898</v>
      </c>
      <c r="D1525" s="43">
        <v>6</v>
      </c>
      <c r="F1525" s="43" t="s">
        <v>1431</v>
      </c>
      <c r="G1525" t="s">
        <v>1396</v>
      </c>
    </row>
    <row r="1526" spans="1:7">
      <c r="A1526" s="348" t="s">
        <v>428</v>
      </c>
      <c r="B1526" s="315" t="s">
        <v>334</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150</v>
      </c>
      <c r="C1530" s="56">
        <v>45902</v>
      </c>
      <c r="D1530" s="43">
        <v>977</v>
      </c>
      <c r="F1530" s="43" t="s">
        <v>1436</v>
      </c>
      <c r="G1530" t="s">
        <v>1434</v>
      </c>
    </row>
    <row r="1531" spans="1:7">
      <c r="A1531" s="251" t="s">
        <v>330</v>
      </c>
      <c r="B1531" s="319" t="s">
        <v>883</v>
      </c>
      <c r="C1531" s="56">
        <v>45902</v>
      </c>
      <c r="D1531" s="43">
        <v>15</v>
      </c>
      <c r="F1531" s="43" t="s">
        <v>1437</v>
      </c>
      <c r="G1531" t="s">
        <v>1434</v>
      </c>
    </row>
    <row r="1532" spans="1:7">
      <c r="A1532" s="251" t="s">
        <v>423</v>
      </c>
      <c r="B1532" s="315" t="s">
        <v>334</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150</v>
      </c>
      <c r="C1535" s="56">
        <v>45903</v>
      </c>
      <c r="D1535" s="156">
        <v>1491</v>
      </c>
      <c r="F1535" s="43" t="s">
        <v>1440</v>
      </c>
      <c r="G1535" t="s">
        <v>1434</v>
      </c>
    </row>
    <row r="1536" spans="1:7">
      <c r="A1536" s="319" t="s">
        <v>737</v>
      </c>
      <c r="B1536" s="319" t="s">
        <v>150</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330</v>
      </c>
      <c r="B1539" s="322" t="s">
        <v>883</v>
      </c>
      <c r="C1539" s="56">
        <v>45903</v>
      </c>
      <c r="D1539" s="43">
        <v>65</v>
      </c>
      <c r="F1539" s="142" t="s">
        <v>1444</v>
      </c>
      <c r="G1539" t="s">
        <v>1434</v>
      </c>
    </row>
    <row r="1540" spans="1:7">
      <c r="A1540" s="667" t="s">
        <v>423</v>
      </c>
      <c r="B1540" s="359" t="s">
        <v>334</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150</v>
      </c>
      <c r="C1543" s="56">
        <v>45904</v>
      </c>
      <c r="D1543" s="156">
        <v>1549</v>
      </c>
      <c r="F1543" s="43" t="s">
        <v>1446</v>
      </c>
      <c r="G1543" t="s">
        <v>1434</v>
      </c>
    </row>
    <row r="1544" spans="1:7">
      <c r="A1544" s="636" t="s">
        <v>437</v>
      </c>
      <c r="B1544" s="43" t="s">
        <v>150</v>
      </c>
      <c r="C1544" s="56">
        <v>45904</v>
      </c>
      <c r="D1544" s="43">
        <v>903</v>
      </c>
      <c r="F1544" s="43" t="s">
        <v>1447</v>
      </c>
      <c r="G1544" t="s">
        <v>1434</v>
      </c>
    </row>
    <row r="1545" spans="1:7">
      <c r="A1545" s="675" t="s">
        <v>743</v>
      </c>
      <c r="B1545" s="319" t="s">
        <v>883</v>
      </c>
      <c r="C1545" s="56">
        <v>45904</v>
      </c>
      <c r="E1545" s="140">
        <v>800</v>
      </c>
      <c r="G1545" t="s">
        <v>1434</v>
      </c>
    </row>
    <row r="1546" spans="1:7">
      <c r="A1546" s="251" t="s">
        <v>333</v>
      </c>
      <c r="B1546" s="315" t="s">
        <v>883</v>
      </c>
      <c r="C1546" s="56">
        <v>45904</v>
      </c>
      <c r="D1546" s="43">
        <v>99</v>
      </c>
      <c r="F1546" s="43" t="s">
        <v>1448</v>
      </c>
      <c r="G1546" t="s">
        <v>1434</v>
      </c>
    </row>
    <row r="1547" spans="1:7">
      <c r="A1547" s="601" t="s">
        <v>330</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150</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150</v>
      </c>
      <c r="C1553" s="56">
        <v>45908</v>
      </c>
      <c r="D1553" s="156">
        <v>2498</v>
      </c>
      <c r="G1553" t="s">
        <v>1434</v>
      </c>
    </row>
    <row r="1554" spans="1:7">
      <c r="A1554" s="69" t="s">
        <v>729</v>
      </c>
      <c r="B1554" s="706" t="s">
        <v>150</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150</v>
      </c>
      <c r="C1556" s="56">
        <v>45909</v>
      </c>
      <c r="D1556" s="156">
        <v>1192</v>
      </c>
      <c r="F1556" s="43" t="s">
        <v>1454</v>
      </c>
      <c r="G1556" t="s">
        <v>1434</v>
      </c>
    </row>
    <row r="1557" spans="1:7">
      <c r="A1557" s="69" t="s">
        <v>816</v>
      </c>
      <c r="B1557" s="706" t="s">
        <v>150</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150</v>
      </c>
      <c r="C1560" s="56">
        <v>45910</v>
      </c>
      <c r="D1560" s="156">
        <v>1925</v>
      </c>
      <c r="G1560" t="s">
        <v>1434</v>
      </c>
    </row>
    <row r="1561" spans="1:7">
      <c r="A1561" s="69" t="s">
        <v>816</v>
      </c>
      <c r="B1561" s="706" t="s">
        <v>1315</v>
      </c>
      <c r="C1561" s="56">
        <v>45910</v>
      </c>
      <c r="D1561" s="43">
        <v>333</v>
      </c>
      <c r="G1561" t="s">
        <v>1434</v>
      </c>
    </row>
    <row r="1562" spans="1:7">
      <c r="A1562" s="735" t="s">
        <v>770</v>
      </c>
      <c r="B1562" s="132" t="s">
        <v>150</v>
      </c>
      <c r="C1562" s="56">
        <v>45910</v>
      </c>
      <c r="D1562" s="43">
        <v>740</v>
      </c>
      <c r="F1562" s="43" t="s">
        <v>1456</v>
      </c>
      <c r="G1562" t="s">
        <v>1434</v>
      </c>
    </row>
    <row r="1563" spans="1:7">
      <c r="A1563" s="647" t="s">
        <v>322</v>
      </c>
      <c r="B1563" s="650" t="s">
        <v>323</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389</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322</v>
      </c>
      <c r="B1570" s="251" t="s">
        <v>323</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322</v>
      </c>
      <c r="B1574" s="251" t="s">
        <v>323</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150</v>
      </c>
      <c r="C1577" s="56">
        <v>45915</v>
      </c>
      <c r="D1577" s="156">
        <v>1238</v>
      </c>
      <c r="F1577" s="69"/>
      <c r="G1577" t="s">
        <v>1434</v>
      </c>
    </row>
    <row r="1578" spans="1:7">
      <c r="A1578" s="705" t="s">
        <v>778</v>
      </c>
      <c r="B1578" s="132" t="s">
        <v>883</v>
      </c>
      <c r="C1578" s="56">
        <v>45915</v>
      </c>
      <c r="D1578" s="43">
        <v>711</v>
      </c>
      <c r="F1578" s="69"/>
      <c r="G1578" t="s">
        <v>1434</v>
      </c>
    </row>
    <row r="1579" spans="1:7">
      <c r="A1579" s="135" t="s">
        <v>322</v>
      </c>
      <c r="B1579" s="251" t="s">
        <v>323</v>
      </c>
      <c r="C1579" s="56">
        <v>45915</v>
      </c>
      <c r="D1579" s="43">
        <v>829</v>
      </c>
      <c r="F1579" s="69" t="s">
        <v>1317</v>
      </c>
      <c r="G1579" t="s">
        <v>1434</v>
      </c>
    </row>
    <row r="1580" spans="1:7">
      <c r="A1580" s="116" t="s">
        <v>330</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150</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150</v>
      </c>
      <c r="C1584" s="56">
        <v>45916</v>
      </c>
      <c r="D1584" s="156">
        <v>1808</v>
      </c>
      <c r="F1584" s="756"/>
      <c r="G1584" t="s">
        <v>1434</v>
      </c>
    </row>
    <row r="1585" spans="1:7">
      <c r="A1585" s="135" t="s">
        <v>322</v>
      </c>
      <c r="B1585" s="251" t="s">
        <v>323</v>
      </c>
      <c r="C1585" s="56">
        <v>45916</v>
      </c>
      <c r="F1585" s="756" t="s">
        <v>1003</v>
      </c>
      <c r="G1585" t="s">
        <v>1434</v>
      </c>
    </row>
    <row r="1586" spans="1:7">
      <c r="A1586" s="158" t="s">
        <v>333</v>
      </c>
      <c r="B1586" s="251" t="s">
        <v>883</v>
      </c>
      <c r="C1586" s="56">
        <v>45916</v>
      </c>
      <c r="F1586" s="757" t="s">
        <v>1461</v>
      </c>
      <c r="G1586" t="s">
        <v>1434</v>
      </c>
    </row>
    <row r="1587" spans="1:7">
      <c r="A1587" s="116" t="s">
        <v>330</v>
      </c>
      <c r="B1587" s="382" t="s">
        <v>883</v>
      </c>
      <c r="C1587" s="56">
        <v>45916</v>
      </c>
      <c r="F1587" s="755" t="s">
        <v>1461</v>
      </c>
      <c r="G1587" t="s">
        <v>1434</v>
      </c>
    </row>
    <row r="1588" spans="1:7">
      <c r="A1588" s="667" t="s">
        <v>336</v>
      </c>
      <c r="B1588" s="142" t="s">
        <v>225</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150</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150</v>
      </c>
      <c r="C1592" s="56">
        <v>45917</v>
      </c>
      <c r="F1592" s="756" t="s">
        <v>1464</v>
      </c>
      <c r="G1592" t="s">
        <v>1434</v>
      </c>
    </row>
    <row r="1593" spans="1:7">
      <c r="A1593" s="135" t="s">
        <v>322</v>
      </c>
      <c r="B1593" s="142" t="s">
        <v>323</v>
      </c>
      <c r="C1593" s="56">
        <v>45917</v>
      </c>
      <c r="D1593" s="43">
        <v>863</v>
      </c>
      <c r="F1593" s="756"/>
      <c r="G1593" t="s">
        <v>1434</v>
      </c>
    </row>
    <row r="1594" spans="1:7">
      <c r="A1594" s="760" t="s">
        <v>336</v>
      </c>
      <c r="B1594" s="309" t="s">
        <v>225</v>
      </c>
      <c r="C1594" s="56">
        <v>45917</v>
      </c>
      <c r="D1594" s="43">
        <v>253</v>
      </c>
      <c r="F1594" s="756"/>
      <c r="G1594" t="s">
        <v>1434</v>
      </c>
    </row>
    <row r="1595" spans="1:7">
      <c r="A1595" s="330" t="s">
        <v>333</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393</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150</v>
      </c>
      <c r="C1599" s="56">
        <v>45918</v>
      </c>
      <c r="D1599" s="43">
        <v>361</v>
      </c>
      <c r="F1599" s="756" t="s">
        <v>1467</v>
      </c>
      <c r="G1599" t="s">
        <v>1434</v>
      </c>
    </row>
    <row r="1600" spans="1:7">
      <c r="A1600" s="69" t="s">
        <v>740</v>
      </c>
      <c r="B1600" s="706" t="s">
        <v>150</v>
      </c>
      <c r="C1600" s="56">
        <v>45918</v>
      </c>
      <c r="D1600" s="156">
        <v>1204</v>
      </c>
      <c r="F1600" s="756" t="s">
        <v>1468</v>
      </c>
      <c r="G1600" t="s">
        <v>1434</v>
      </c>
    </row>
    <row r="1601" spans="1:7">
      <c r="A1601" s="69" t="s">
        <v>439</v>
      </c>
      <c r="B1601" s="706" t="s">
        <v>150</v>
      </c>
      <c r="C1601" s="56">
        <v>45918</v>
      </c>
      <c r="D1601" s="156">
        <v>562</v>
      </c>
      <c r="F1601" s="756"/>
      <c r="G1601" t="s">
        <v>1434</v>
      </c>
    </row>
    <row r="1602" spans="1:7">
      <c r="A1602" s="69" t="s">
        <v>759</v>
      </c>
      <c r="B1602" s="706" t="s">
        <v>150</v>
      </c>
      <c r="C1602" s="56">
        <v>45918</v>
      </c>
      <c r="D1602" s="156">
        <v>754</v>
      </c>
      <c r="F1602" s="756" t="s">
        <v>1469</v>
      </c>
      <c r="G1602" t="s">
        <v>1434</v>
      </c>
    </row>
    <row r="1603" spans="1:7">
      <c r="A1603" s="135" t="s">
        <v>322</v>
      </c>
      <c r="B1603" s="251" t="s">
        <v>323</v>
      </c>
      <c r="C1603" s="56">
        <v>45918</v>
      </c>
      <c r="D1603" s="43">
        <v>499</v>
      </c>
      <c r="F1603" s="756"/>
      <c r="G1603" t="s">
        <v>1434</v>
      </c>
    </row>
    <row r="1604" spans="1:7">
      <c r="A1604" s="667" t="s">
        <v>336</v>
      </c>
      <c r="B1604" s="142" t="s">
        <v>225</v>
      </c>
      <c r="C1604" s="56">
        <v>45918</v>
      </c>
      <c r="D1604" s="156">
        <v>1076</v>
      </c>
      <c r="F1604" s="756"/>
      <c r="G1604" t="s">
        <v>1434</v>
      </c>
    </row>
    <row r="1605" spans="1:7">
      <c r="A1605" s="158" t="s">
        <v>333</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322</v>
      </c>
      <c r="B1608" s="251" t="s">
        <v>323</v>
      </c>
      <c r="C1608" s="56">
        <v>45919</v>
      </c>
      <c r="D1608" s="43">
        <v>475</v>
      </c>
      <c r="F1608" s="756"/>
      <c r="G1608" t="s">
        <v>1434</v>
      </c>
    </row>
    <row r="1609" spans="1:7">
      <c r="A1609" s="667" t="s">
        <v>336</v>
      </c>
      <c r="B1609" s="142" t="s">
        <v>225</v>
      </c>
      <c r="C1609" s="56">
        <v>45919</v>
      </c>
      <c r="F1609" s="348" t="s">
        <v>1153</v>
      </c>
      <c r="G1609" t="s">
        <v>1434</v>
      </c>
    </row>
    <row r="1610" spans="1:7">
      <c r="A1610" s="705" t="s">
        <v>925</v>
      </c>
      <c r="B1610" s="132" t="s">
        <v>150</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380</v>
      </c>
      <c r="C1612" s="56">
        <v>45922</v>
      </c>
      <c r="D1612" s="43">
        <v>329</v>
      </c>
      <c r="F1612" s="756"/>
      <c r="G1612" t="s">
        <v>1434</v>
      </c>
    </row>
    <row r="1613" spans="1:7">
      <c r="A1613" s="308" t="s">
        <v>439</v>
      </c>
      <c r="B1613" s="761" t="s">
        <v>150</v>
      </c>
      <c r="C1613" s="56">
        <v>45922</v>
      </c>
      <c r="D1613" s="43">
        <v>978</v>
      </c>
      <c r="F1613" s="756" t="s">
        <v>1472</v>
      </c>
      <c r="G1613" t="s">
        <v>1434</v>
      </c>
    </row>
    <row r="1614" spans="1:7">
      <c r="A1614" s="309" t="s">
        <v>759</v>
      </c>
      <c r="B1614" s="768" t="s">
        <v>150</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322</v>
      </c>
      <c r="B1616" s="142" t="s">
        <v>323</v>
      </c>
      <c r="C1616" s="56">
        <v>45922</v>
      </c>
      <c r="D1616" s="43">
        <v>839</v>
      </c>
      <c r="F1616" s="756"/>
      <c r="G1616" t="s">
        <v>1434</v>
      </c>
    </row>
    <row r="1617" spans="1:7">
      <c r="A1617" s="769" t="s">
        <v>336</v>
      </c>
      <c r="B1617" s="308" t="s">
        <v>225</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380</v>
      </c>
      <c r="C1621" s="56">
        <v>45923</v>
      </c>
      <c r="D1621" s="43">
        <v>427</v>
      </c>
      <c r="F1621" s="69"/>
      <c r="G1621" t="s">
        <v>1434</v>
      </c>
    </row>
    <row r="1622" spans="1:7">
      <c r="A1622" s="69" t="s">
        <v>439</v>
      </c>
      <c r="B1622" s="774" t="s">
        <v>150</v>
      </c>
      <c r="C1622" s="56">
        <v>45923</v>
      </c>
      <c r="D1622" s="43">
        <v>675</v>
      </c>
      <c r="F1622" s="69"/>
      <c r="G1622" t="s">
        <v>1434</v>
      </c>
    </row>
    <row r="1623" spans="1:7">
      <c r="A1623" s="69" t="s">
        <v>442</v>
      </c>
      <c r="B1623" s="775" t="s">
        <v>150</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322</v>
      </c>
      <c r="B1625" s="251" t="s">
        <v>323</v>
      </c>
      <c r="C1625" s="56">
        <v>45923</v>
      </c>
      <c r="F1625" s="782" t="s">
        <v>1479</v>
      </c>
      <c r="G1625" t="s">
        <v>1434</v>
      </c>
    </row>
    <row r="1626" spans="1:7">
      <c r="A1626" s="667" t="s">
        <v>336</v>
      </c>
      <c r="B1626" s="779" t="s">
        <v>225</v>
      </c>
      <c r="C1626" s="56">
        <v>45923</v>
      </c>
      <c r="D1626" s="43">
        <v>120</v>
      </c>
      <c r="F1626" s="69"/>
      <c r="G1626" t="s">
        <v>1434</v>
      </c>
    </row>
    <row r="1627" spans="1:7">
      <c r="A1627" s="158" t="s">
        <v>333</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380</v>
      </c>
      <c r="C1630" s="56">
        <v>45924</v>
      </c>
      <c r="D1630" s="43">
        <v>537</v>
      </c>
      <c r="F1630" s="69"/>
      <c r="G1630" t="s">
        <v>1434</v>
      </c>
    </row>
    <row r="1631" spans="1:7">
      <c r="A1631" s="149" t="s">
        <v>445</v>
      </c>
      <c r="B1631" s="784" t="s">
        <v>150</v>
      </c>
      <c r="C1631" s="347">
        <v>45924</v>
      </c>
      <c r="D1631" s="156">
        <v>1205</v>
      </c>
      <c r="F1631" s="69" t="s">
        <v>1480</v>
      </c>
      <c r="G1631" t="s">
        <v>1434</v>
      </c>
    </row>
    <row r="1632" spans="1:7">
      <c r="A1632" s="69" t="s">
        <v>442</v>
      </c>
      <c r="B1632" s="409" t="s">
        <v>150</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150</v>
      </c>
      <c r="C1634" s="56">
        <v>45924</v>
      </c>
      <c r="D1634" s="162"/>
      <c r="F1634" s="348" t="s">
        <v>1482</v>
      </c>
      <c r="G1634" t="s">
        <v>1434</v>
      </c>
    </row>
    <row r="1635" spans="1:7">
      <c r="A1635" s="69" t="s">
        <v>439</v>
      </c>
      <c r="B1635" s="774" t="s">
        <v>150</v>
      </c>
      <c r="C1635" s="56">
        <v>45924</v>
      </c>
      <c r="D1635" s="162">
        <v>170</v>
      </c>
      <c r="F1635" s="142" t="s">
        <v>1483</v>
      </c>
      <c r="G1635" t="s">
        <v>1434</v>
      </c>
    </row>
    <row r="1636" spans="1:7">
      <c r="A1636" s="785" t="s">
        <v>322</v>
      </c>
      <c r="B1636" s="413" t="s">
        <v>323</v>
      </c>
      <c r="C1636" s="355">
        <v>45924</v>
      </c>
      <c r="D1636" s="43">
        <v>616</v>
      </c>
      <c r="F1636" s="92"/>
      <c r="G1636" t="s">
        <v>1434</v>
      </c>
    </row>
    <row r="1637" spans="1:7">
      <c r="A1637" s="667" t="s">
        <v>336</v>
      </c>
      <c r="B1637" s="779" t="s">
        <v>225</v>
      </c>
      <c r="C1637" s="56">
        <v>45924</v>
      </c>
      <c r="D1637" s="43">
        <v>190</v>
      </c>
      <c r="F1637" s="69"/>
      <c r="G1637" t="s">
        <v>1434</v>
      </c>
    </row>
    <row r="1638" spans="1:7">
      <c r="A1638" s="158" t="s">
        <v>263</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325</v>
      </c>
      <c r="B1640" s="132" t="s">
        <v>225</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380</v>
      </c>
      <c r="C1646" s="56">
        <v>45925</v>
      </c>
      <c r="D1646" s="43">
        <v>646</v>
      </c>
      <c r="F1646" s="69" t="s">
        <v>1106</v>
      </c>
      <c r="G1646" t="s">
        <v>1434</v>
      </c>
    </row>
    <row r="1647" spans="1:7">
      <c r="A1647" s="69" t="s">
        <v>445</v>
      </c>
      <c r="B1647" s="774" t="s">
        <v>150</v>
      </c>
      <c r="C1647" s="56">
        <v>45925</v>
      </c>
      <c r="D1647" s="156">
        <v>1000</v>
      </c>
      <c r="F1647" s="30"/>
      <c r="G1647" t="s">
        <v>1434</v>
      </c>
    </row>
    <row r="1648" spans="1:7">
      <c r="A1648" s="69" t="s">
        <v>442</v>
      </c>
      <c r="B1648" s="775" t="s">
        <v>150</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322</v>
      </c>
      <c r="B1651" s="251" t="s">
        <v>323</v>
      </c>
      <c r="C1651" s="56">
        <v>45925</v>
      </c>
      <c r="D1651" s="43">
        <v>969</v>
      </c>
      <c r="G1651" t="s">
        <v>1434</v>
      </c>
    </row>
    <row r="1652" spans="1:7">
      <c r="A1652" s="667" t="s">
        <v>336</v>
      </c>
      <c r="B1652" s="779" t="s">
        <v>225</v>
      </c>
      <c r="C1652" s="56">
        <v>45925</v>
      </c>
      <c r="F1652" s="142" t="s">
        <v>1020</v>
      </c>
      <c r="G1652" t="s">
        <v>1434</v>
      </c>
    </row>
    <row r="1653" spans="1:7">
      <c r="A1653" s="158" t="s">
        <v>263</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380</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323</v>
      </c>
      <c r="C1657" s="56">
        <v>45926</v>
      </c>
      <c r="D1657" s="43">
        <v>300</v>
      </c>
      <c r="G1657" t="s">
        <v>1434</v>
      </c>
    </row>
    <row r="1658" spans="1:7">
      <c r="A1658" s="308" t="s">
        <v>932</v>
      </c>
      <c r="B1658" s="761" t="s">
        <v>1491</v>
      </c>
      <c r="C1658" s="56">
        <v>45926</v>
      </c>
      <c r="D1658" s="43">
        <v>364</v>
      </c>
      <c r="G1658" t="s">
        <v>1434</v>
      </c>
    </row>
    <row r="1659" spans="1:7">
      <c r="A1659" s="135" t="s">
        <v>322</v>
      </c>
      <c r="B1659" s="142" t="s">
        <v>323</v>
      </c>
      <c r="C1659" s="56">
        <v>45926</v>
      </c>
      <c r="D1659" s="43">
        <v>552</v>
      </c>
      <c r="G1659" t="s">
        <v>1434</v>
      </c>
    </row>
    <row r="1660" spans="1:7">
      <c r="A1660" s="769" t="s">
        <v>339</v>
      </c>
      <c r="B1660" s="308" t="s">
        <v>225</v>
      </c>
      <c r="C1660" s="56">
        <v>45926</v>
      </c>
      <c r="D1660" s="43">
        <v>551</v>
      </c>
      <c r="G1660" t="s">
        <v>1434</v>
      </c>
    </row>
    <row r="1661" spans="1:7">
      <c r="A1661" s="329" t="s">
        <v>263</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150</v>
      </c>
      <c r="C1667" s="56">
        <v>45929</v>
      </c>
      <c r="D1667" s="43">
        <v>600</v>
      </c>
      <c r="F1667" s="43" t="s">
        <v>1494</v>
      </c>
      <c r="G1667" t="s">
        <v>1434</v>
      </c>
    </row>
    <row r="1668" spans="1:7">
      <c r="A1668" s="315" t="s">
        <v>445</v>
      </c>
      <c r="B1668" s="315" t="s">
        <v>150</v>
      </c>
      <c r="C1668" s="56">
        <v>45929</v>
      </c>
      <c r="D1668" s="156">
        <v>1002</v>
      </c>
      <c r="F1668" s="43" t="s">
        <v>1495</v>
      </c>
      <c r="G1668" t="s">
        <v>1434</v>
      </c>
    </row>
    <row r="1669" spans="1:7">
      <c r="A1669" s="135" t="s">
        <v>322</v>
      </c>
      <c r="B1669" s="142" t="s">
        <v>323</v>
      </c>
      <c r="C1669" s="56">
        <v>45929</v>
      </c>
      <c r="D1669" s="156">
        <v>1375</v>
      </c>
      <c r="G1669" t="s">
        <v>1434</v>
      </c>
    </row>
    <row r="1670" spans="1:7">
      <c r="A1670" s="769" t="s">
        <v>333</v>
      </c>
      <c r="B1670" s="308" t="s">
        <v>225</v>
      </c>
      <c r="C1670" s="56">
        <v>45929</v>
      </c>
      <c r="F1670" s="142" t="s">
        <v>1350</v>
      </c>
      <c r="G1670" t="s">
        <v>1434</v>
      </c>
    </row>
    <row r="1671" spans="1:7">
      <c r="A1671" s="309" t="s">
        <v>931</v>
      </c>
      <c r="B1671" s="309" t="s">
        <v>883</v>
      </c>
      <c r="C1671" s="56">
        <v>45929</v>
      </c>
      <c r="D1671" s="156">
        <v>1418</v>
      </c>
      <c r="G1671" t="s">
        <v>1434</v>
      </c>
    </row>
    <row r="1672" spans="1:7">
      <c r="A1672" s="43" t="s">
        <v>336</v>
      </c>
      <c r="B1672" s="322" t="s">
        <v>225</v>
      </c>
      <c r="C1672" s="56">
        <v>45929</v>
      </c>
      <c r="D1672" s="43">
        <v>479</v>
      </c>
      <c r="G1672" t="s">
        <v>1434</v>
      </c>
    </row>
    <row r="1673" spans="1:7">
      <c r="A1673" s="43" t="s">
        <v>339</v>
      </c>
      <c r="B1673" s="322" t="s">
        <v>225</v>
      </c>
      <c r="C1673" s="56">
        <v>45929</v>
      </c>
      <c r="D1673" s="43">
        <v>454</v>
      </c>
      <c r="G1673" t="s">
        <v>1434</v>
      </c>
    </row>
    <row r="1674" spans="1:7">
      <c r="A1674" s="315" t="s">
        <v>445</v>
      </c>
      <c r="B1674" s="315" t="s">
        <v>150</v>
      </c>
      <c r="C1674" s="56">
        <v>45930</v>
      </c>
      <c r="D1674" s="43">
        <v>268</v>
      </c>
      <c r="E1674" s="140">
        <v>413</v>
      </c>
      <c r="F1674" s="43" t="s">
        <v>1496</v>
      </c>
      <c r="G1674" t="s">
        <v>1434</v>
      </c>
    </row>
    <row r="1675" spans="1:7">
      <c r="A1675" s="88" t="s">
        <v>393</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150</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322</v>
      </c>
      <c r="B1682" s="308" t="s">
        <v>323</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339</v>
      </c>
      <c r="B1685" s="322" t="s">
        <v>225</v>
      </c>
      <c r="C1685" s="56">
        <v>45930</v>
      </c>
      <c r="D1685" s="43">
        <v>251</v>
      </c>
      <c r="G1685" t="s">
        <v>1434</v>
      </c>
    </row>
    <row r="1686" spans="1:7">
      <c r="A1686" s="543" t="s">
        <v>325</v>
      </c>
      <c r="B1686" s="360" t="s">
        <v>225</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150</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150</v>
      </c>
      <c r="C1692" s="56">
        <v>45931</v>
      </c>
      <c r="D1692" s="156">
        <v>1118</v>
      </c>
      <c r="G1692" t="s">
        <v>1500</v>
      </c>
    </row>
    <row r="1693" spans="1:7">
      <c r="A1693" s="135" t="s">
        <v>322</v>
      </c>
      <c r="B1693" s="142" t="s">
        <v>323</v>
      </c>
      <c r="C1693" s="56">
        <v>45931</v>
      </c>
      <c r="D1693" s="43">
        <v>312</v>
      </c>
      <c r="G1693" t="s">
        <v>1500</v>
      </c>
    </row>
    <row r="1694" spans="1:7">
      <c r="A1694" s="569" t="s">
        <v>325</v>
      </c>
      <c r="B1694" s="142" t="s">
        <v>225</v>
      </c>
      <c r="C1694" s="56">
        <v>45931</v>
      </c>
      <c r="D1694" s="43">
        <v>753</v>
      </c>
      <c r="G1694" t="s">
        <v>1500</v>
      </c>
    </row>
    <row r="1695" spans="1:7">
      <c r="A1695" s="309" t="s">
        <v>339</v>
      </c>
      <c r="B1695" s="359" t="s">
        <v>225</v>
      </c>
      <c r="C1695" s="56">
        <v>45931</v>
      </c>
      <c r="D1695" s="43">
        <v>224</v>
      </c>
      <c r="G1695" t="s">
        <v>1500</v>
      </c>
    </row>
    <row r="1696" spans="1:7">
      <c r="A1696" s="135" t="s">
        <v>393</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150</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150</v>
      </c>
      <c r="C1701" s="56">
        <v>45932</v>
      </c>
      <c r="D1701" s="156">
        <v>1472</v>
      </c>
      <c r="F1701" s="43" t="s">
        <v>1455</v>
      </c>
      <c r="G1701" t="s">
        <v>1500</v>
      </c>
    </row>
    <row r="1702" spans="1:7">
      <c r="A1702" s="826" t="s">
        <v>745</v>
      </c>
      <c r="B1702" s="142" t="s">
        <v>150</v>
      </c>
      <c r="C1702" s="56">
        <v>45932</v>
      </c>
      <c r="D1702" s="156">
        <v>1479</v>
      </c>
      <c r="F1702" s="43" t="s">
        <v>1505</v>
      </c>
      <c r="G1702" t="s">
        <v>1500</v>
      </c>
    </row>
    <row r="1703" spans="1:7">
      <c r="A1703" s="135" t="s">
        <v>322</v>
      </c>
      <c r="B1703" s="142" t="s">
        <v>323</v>
      </c>
      <c r="C1703" s="56">
        <v>45932</v>
      </c>
      <c r="D1703" s="156">
        <v>1304</v>
      </c>
      <c r="G1703" t="s">
        <v>1500</v>
      </c>
    </row>
    <row r="1704" spans="1:7">
      <c r="A1704" s="309" t="s">
        <v>931</v>
      </c>
      <c r="B1704" s="309" t="s">
        <v>883</v>
      </c>
      <c r="C1704" s="56">
        <v>45932</v>
      </c>
      <c r="D1704" s="43">
        <v>614</v>
      </c>
      <c r="G1704" t="s">
        <v>1500</v>
      </c>
    </row>
    <row r="1705" spans="1:7">
      <c r="A1705" s="569" t="s">
        <v>325</v>
      </c>
      <c r="B1705" s="142" t="s">
        <v>225</v>
      </c>
      <c r="C1705" s="56">
        <v>45932</v>
      </c>
      <c r="D1705" s="43">
        <v>305</v>
      </c>
      <c r="G1705" t="s">
        <v>1500</v>
      </c>
    </row>
    <row r="1706" spans="1:7">
      <c r="A1706" s="309" t="s">
        <v>339</v>
      </c>
      <c r="B1706" s="359" t="s">
        <v>225</v>
      </c>
      <c r="C1706" s="56">
        <v>45932</v>
      </c>
      <c r="D1706" s="43">
        <v>789</v>
      </c>
      <c r="F1706" s="43" t="s">
        <v>1506</v>
      </c>
      <c r="G1706" t="s">
        <v>1500</v>
      </c>
    </row>
    <row r="1707" spans="1:7">
      <c r="A1707" s="142" t="s">
        <v>336</v>
      </c>
      <c r="B1707" s="142" t="s">
        <v>225</v>
      </c>
      <c r="C1707" s="56">
        <v>45932</v>
      </c>
      <c r="D1707" s="43">
        <v>170</v>
      </c>
      <c r="G1707" t="s">
        <v>1500</v>
      </c>
    </row>
    <row r="1708" spans="1:7">
      <c r="A1708" s="135" t="s">
        <v>393</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322</v>
      </c>
      <c r="B1713" s="142" t="s">
        <v>323</v>
      </c>
      <c r="C1713" s="56">
        <v>45933</v>
      </c>
      <c r="D1713" s="43">
        <v>617</v>
      </c>
      <c r="G1713" t="s">
        <v>1500</v>
      </c>
    </row>
    <row r="1714" spans="1:7">
      <c r="A1714" s="309" t="s">
        <v>931</v>
      </c>
      <c r="B1714" s="309" t="s">
        <v>883</v>
      </c>
      <c r="C1714" s="56">
        <v>45933</v>
      </c>
      <c r="D1714" s="43">
        <v>486</v>
      </c>
      <c r="G1714" t="s">
        <v>1500</v>
      </c>
    </row>
    <row r="1715" spans="1:7">
      <c r="A1715" s="310" t="s">
        <v>339</v>
      </c>
      <c r="B1715" s="142" t="s">
        <v>225</v>
      </c>
      <c r="C1715" s="56">
        <v>45933</v>
      </c>
      <c r="F1715" s="43" t="s">
        <v>1509</v>
      </c>
      <c r="G1715" t="s">
        <v>1500</v>
      </c>
    </row>
    <row r="1716" spans="1:7">
      <c r="A1716" s="310" t="s">
        <v>336</v>
      </c>
      <c r="B1716" s="142" t="s">
        <v>225</v>
      </c>
      <c r="C1716" s="56">
        <v>45933</v>
      </c>
      <c r="F1716" s="43" t="s">
        <v>1509</v>
      </c>
      <c r="G1716" t="s">
        <v>1500</v>
      </c>
    </row>
    <row r="1717" spans="1:7">
      <c r="A1717" s="135" t="s">
        <v>906</v>
      </c>
      <c r="B1717" s="315" t="s">
        <v>883</v>
      </c>
      <c r="C1717" s="56">
        <v>45936</v>
      </c>
      <c r="D1717" s="43">
        <v>65</v>
      </c>
      <c r="G1717" t="s">
        <v>1500</v>
      </c>
    </row>
    <row r="1718" spans="1:7">
      <c r="A1718" s="601" t="s">
        <v>393</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150</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150</v>
      </c>
      <c r="C1723" s="56">
        <v>45936</v>
      </c>
      <c r="D1723" s="156">
        <v>1174</v>
      </c>
      <c r="G1723" t="s">
        <v>1500</v>
      </c>
    </row>
    <row r="1724" spans="1:7">
      <c r="A1724" s="135" t="s">
        <v>322</v>
      </c>
      <c r="B1724" s="142" t="s">
        <v>323</v>
      </c>
      <c r="C1724" s="56">
        <v>45936</v>
      </c>
      <c r="D1724" s="43">
        <v>768</v>
      </c>
      <c r="G1724" t="s">
        <v>1500</v>
      </c>
    </row>
    <row r="1725" spans="1:7">
      <c r="A1725" s="309" t="s">
        <v>931</v>
      </c>
      <c r="B1725" s="309" t="s">
        <v>636</v>
      </c>
      <c r="C1725" s="56">
        <v>45936</v>
      </c>
      <c r="D1725" s="43">
        <v>225</v>
      </c>
      <c r="G1725" t="s">
        <v>1500</v>
      </c>
    </row>
    <row r="1726" spans="1:7">
      <c r="A1726" s="567" t="s">
        <v>325</v>
      </c>
      <c r="B1726" s="310" t="s">
        <v>225</v>
      </c>
      <c r="C1726" s="56">
        <v>45936</v>
      </c>
      <c r="F1726" s="348" t="s">
        <v>1153</v>
      </c>
      <c r="G1726" t="s">
        <v>1500</v>
      </c>
    </row>
    <row r="1727" spans="1:7">
      <c r="A1727" s="315" t="s">
        <v>339</v>
      </c>
      <c r="B1727" s="315" t="s">
        <v>225</v>
      </c>
      <c r="C1727" s="56">
        <v>45936</v>
      </c>
      <c r="D1727" s="156">
        <v>1088</v>
      </c>
      <c r="F1727" s="43" t="s">
        <v>1504</v>
      </c>
      <c r="G1727" t="s">
        <v>1500</v>
      </c>
    </row>
    <row r="1728" spans="1:7">
      <c r="A1728" s="135" t="s">
        <v>393</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150</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150</v>
      </c>
      <c r="C1733" s="314">
        <v>45937</v>
      </c>
      <c r="D1733" s="156">
        <v>1597</v>
      </c>
      <c r="F1733" s="43" t="s">
        <v>1513</v>
      </c>
      <c r="G1733" t="s">
        <v>1500</v>
      </c>
    </row>
    <row r="1734" spans="1:7">
      <c r="A1734" s="135" t="s">
        <v>322</v>
      </c>
      <c r="B1734" s="142" t="s">
        <v>323</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339</v>
      </c>
      <c r="B1737" s="142" t="s">
        <v>225</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167</v>
      </c>
      <c r="B1741" s="348" t="s">
        <v>150</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150</v>
      </c>
      <c r="C1743" s="56">
        <v>45938</v>
      </c>
      <c r="D1743" s="43">
        <v>308</v>
      </c>
      <c r="F1743" s="43" t="s">
        <v>1516</v>
      </c>
      <c r="G1743" t="s">
        <v>1500</v>
      </c>
    </row>
    <row r="1744" spans="1:7">
      <c r="A1744" s="666" t="s">
        <v>445</v>
      </c>
      <c r="B1744" s="142" t="s">
        <v>150</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339</v>
      </c>
      <c r="B1748" s="321" t="s">
        <v>225</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167</v>
      </c>
      <c r="B1751" s="705" t="s">
        <v>150</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150</v>
      </c>
      <c r="C1753" s="56">
        <v>45939</v>
      </c>
      <c r="F1753" s="636" t="s">
        <v>1020</v>
      </c>
      <c r="G1753" t="s">
        <v>1500</v>
      </c>
    </row>
    <row r="1754" spans="1:7">
      <c r="A1754" s="149" t="s">
        <v>434</v>
      </c>
      <c r="B1754" s="116" t="s">
        <v>1315</v>
      </c>
      <c r="C1754" s="56">
        <v>45939</v>
      </c>
      <c r="F1754" s="43" t="s">
        <v>1372</v>
      </c>
      <c r="G1754" t="s">
        <v>1500</v>
      </c>
    </row>
    <row r="1755" spans="1:7">
      <c r="A1755" s="135" t="s">
        <v>322</v>
      </c>
      <c r="B1755" s="251" t="s">
        <v>323</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339</v>
      </c>
      <c r="B1758" s="321" t="s">
        <v>225</v>
      </c>
      <c r="C1758" s="56">
        <v>45939</v>
      </c>
      <c r="D1758" s="43">
        <v>369</v>
      </c>
      <c r="G1758" t="s">
        <v>1500</v>
      </c>
    </row>
    <row r="1759" spans="1:7">
      <c r="A1759" s="116" t="s">
        <v>336</v>
      </c>
      <c r="B1759" s="321" t="s">
        <v>225</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318</v>
      </c>
      <c r="B1766" s="348" t="s">
        <v>883</v>
      </c>
      <c r="C1766" s="56">
        <v>45940</v>
      </c>
      <c r="F1766" s="315" t="s">
        <v>1339</v>
      </c>
      <c r="G1766" t="s">
        <v>1500</v>
      </c>
    </row>
    <row r="1767" spans="1:7">
      <c r="A1767" s="319" t="s">
        <v>325</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398</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167</v>
      </c>
      <c r="B1772" s="142" t="s">
        <v>150</v>
      </c>
      <c r="C1772" s="56">
        <v>45943</v>
      </c>
      <c r="D1772" s="43">
        <v>828</v>
      </c>
      <c r="G1772" t="s">
        <v>1500</v>
      </c>
    </row>
    <row r="1773" spans="1:7">
      <c r="A1773" s="810" t="s">
        <v>452</v>
      </c>
      <c r="B1773" s="309" t="s">
        <v>150</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327</v>
      </c>
      <c r="B1776" s="543" t="s">
        <v>883</v>
      </c>
      <c r="C1776" s="56">
        <v>45943</v>
      </c>
      <c r="D1776" s="43">
        <v>60</v>
      </c>
      <c r="G1776" t="s">
        <v>1500</v>
      </c>
    </row>
    <row r="1777" spans="1:7">
      <c r="A1777" s="124" t="s">
        <v>900</v>
      </c>
      <c r="B1777" s="315" t="s">
        <v>883</v>
      </c>
      <c r="C1777" s="56">
        <v>45944</v>
      </c>
      <c r="D1777" s="43">
        <v>163</v>
      </c>
      <c r="G1777" t="s">
        <v>1500</v>
      </c>
    </row>
    <row r="1778" spans="1:7">
      <c r="A1778" s="634" t="s">
        <v>398</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167</v>
      </c>
      <c r="B1781" s="310" t="s">
        <v>150</v>
      </c>
      <c r="C1781" s="56">
        <v>45944</v>
      </c>
      <c r="D1781" s="43">
        <v>150</v>
      </c>
      <c r="G1781" t="s">
        <v>1500</v>
      </c>
    </row>
    <row r="1782" spans="1:7">
      <c r="A1782" s="829" t="s">
        <v>452</v>
      </c>
      <c r="B1782" s="142" t="s">
        <v>150</v>
      </c>
      <c r="C1782" s="314">
        <v>45944</v>
      </c>
      <c r="D1782" s="43">
        <v>510</v>
      </c>
      <c r="F1782" s="43" t="s">
        <v>1527</v>
      </c>
      <c r="G1782" t="s">
        <v>1500</v>
      </c>
    </row>
    <row r="1783" spans="1:7">
      <c r="A1783" s="829" t="s">
        <v>456</v>
      </c>
      <c r="B1783" s="142" t="s">
        <v>150</v>
      </c>
      <c r="C1783" s="314">
        <v>45944</v>
      </c>
      <c r="D1783" s="43">
        <v>974</v>
      </c>
      <c r="F1783" s="43" t="s">
        <v>1528</v>
      </c>
      <c r="G1783" t="s">
        <v>1500</v>
      </c>
    </row>
    <row r="1784" spans="1:7">
      <c r="A1784" s="319" t="s">
        <v>936</v>
      </c>
      <c r="B1784" s="319" t="s">
        <v>209</v>
      </c>
      <c r="C1784" s="56">
        <v>45944</v>
      </c>
      <c r="D1784" s="156">
        <v>1603</v>
      </c>
      <c r="F1784" s="43" t="s">
        <v>1529</v>
      </c>
      <c r="G1784" t="s">
        <v>1500</v>
      </c>
    </row>
    <row r="1785" spans="1:7">
      <c r="A1785" s="315" t="s">
        <v>931</v>
      </c>
      <c r="B1785" s="315" t="s">
        <v>883</v>
      </c>
      <c r="C1785" s="56">
        <v>45944</v>
      </c>
      <c r="D1785" s="43">
        <v>144</v>
      </c>
      <c r="G1785" t="s">
        <v>1500</v>
      </c>
    </row>
    <row r="1786" spans="1:7">
      <c r="A1786" s="319" t="s">
        <v>343</v>
      </c>
      <c r="B1786" s="319" t="s">
        <v>225</v>
      </c>
      <c r="C1786" s="56">
        <v>45944</v>
      </c>
      <c r="D1786" s="43">
        <v>927</v>
      </c>
      <c r="F1786" s="43" t="s">
        <v>1507</v>
      </c>
      <c r="G1786" t="s">
        <v>1500</v>
      </c>
    </row>
    <row r="1787" spans="1:7">
      <c r="A1787" s="251" t="s">
        <v>327</v>
      </c>
      <c r="B1787" s="315" t="s">
        <v>883</v>
      </c>
      <c r="C1787" s="56">
        <v>45944</v>
      </c>
      <c r="D1787" s="43">
        <v>219</v>
      </c>
      <c r="G1787" t="s">
        <v>1500</v>
      </c>
    </row>
    <row r="1788" spans="1:7">
      <c r="A1788" s="124" t="s">
        <v>900</v>
      </c>
      <c r="B1788" s="315" t="s">
        <v>883</v>
      </c>
      <c r="C1788" s="56">
        <v>45945</v>
      </c>
      <c r="D1788" s="43">
        <v>535</v>
      </c>
      <c r="G1788" t="s">
        <v>1500</v>
      </c>
    </row>
    <row r="1789" spans="1:7">
      <c r="A1789" s="634" t="s">
        <v>398</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150</v>
      </c>
      <c r="C1791" s="56">
        <v>45945</v>
      </c>
      <c r="D1791" s="156">
        <v>1312</v>
      </c>
      <c r="F1791" s="43" t="s">
        <v>1532</v>
      </c>
      <c r="G1791" t="s">
        <v>1500</v>
      </c>
    </row>
    <row r="1792" spans="1:7">
      <c r="A1792" s="973" t="s">
        <v>774</v>
      </c>
      <c r="B1792" s="319" t="s">
        <v>150</v>
      </c>
      <c r="C1792" s="56">
        <v>45945</v>
      </c>
      <c r="D1792" s="156">
        <v>1239</v>
      </c>
      <c r="F1792" s="43" t="s">
        <v>1533</v>
      </c>
      <c r="G1792" t="s">
        <v>1500</v>
      </c>
    </row>
    <row r="1793" spans="1:7">
      <c r="A1793" s="319" t="s">
        <v>936</v>
      </c>
      <c r="B1793" s="319" t="s">
        <v>209</v>
      </c>
      <c r="C1793" s="56">
        <v>45945</v>
      </c>
      <c r="D1793" s="43">
        <v>791</v>
      </c>
      <c r="F1793" s="43" t="s">
        <v>1534</v>
      </c>
      <c r="G1793" t="s">
        <v>1500</v>
      </c>
    </row>
    <row r="1794" spans="1:7">
      <c r="A1794" s="310" t="s">
        <v>322</v>
      </c>
      <c r="B1794" s="315" t="s">
        <v>883</v>
      </c>
      <c r="C1794" s="56">
        <v>45945</v>
      </c>
      <c r="D1794" s="43">
        <v>986</v>
      </c>
      <c r="G1794" t="s">
        <v>1500</v>
      </c>
    </row>
    <row r="1795" spans="1:7">
      <c r="A1795" s="310" t="s">
        <v>346</v>
      </c>
      <c r="B1795" s="359" t="s">
        <v>1535</v>
      </c>
      <c r="C1795" s="56">
        <v>45945</v>
      </c>
      <c r="D1795" s="156">
        <v>1457</v>
      </c>
      <c r="F1795" s="43" t="s">
        <v>1536</v>
      </c>
      <c r="G1795" t="s">
        <v>1500</v>
      </c>
    </row>
    <row r="1796" spans="1:7">
      <c r="A1796" s="315" t="s">
        <v>343</v>
      </c>
      <c r="B1796" s="348" t="s">
        <v>225</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398</v>
      </c>
      <c r="B1799" s="142" t="s">
        <v>1491</v>
      </c>
      <c r="C1799" s="314">
        <v>45946</v>
      </c>
      <c r="D1799" s="43">
        <v>487</v>
      </c>
      <c r="F1799" s="43" t="s">
        <v>1538</v>
      </c>
      <c r="G1799" t="s">
        <v>1500</v>
      </c>
    </row>
    <row r="1800" spans="1:7">
      <c r="A1800" s="977" t="s">
        <v>456</v>
      </c>
      <c r="B1800" s="142" t="s">
        <v>150</v>
      </c>
      <c r="C1800" s="314">
        <v>45946</v>
      </c>
      <c r="D1800" s="43">
        <v>359</v>
      </c>
      <c r="F1800" s="43" t="s">
        <v>1539</v>
      </c>
      <c r="G1800" t="s">
        <v>1500</v>
      </c>
    </row>
    <row r="1801" spans="1:7">
      <c r="A1801" s="978" t="s">
        <v>774</v>
      </c>
      <c r="B1801" s="142" t="s">
        <v>150</v>
      </c>
      <c r="C1801" s="314">
        <v>45946</v>
      </c>
      <c r="D1801" s="156">
        <v>1220</v>
      </c>
      <c r="F1801" s="43" t="s">
        <v>1540</v>
      </c>
      <c r="G1801" t="s">
        <v>1500</v>
      </c>
    </row>
    <row r="1802" spans="1:7">
      <c r="A1802" s="309" t="s">
        <v>936</v>
      </c>
      <c r="B1802" s="309" t="s">
        <v>209</v>
      </c>
      <c r="C1802" s="314">
        <v>45946</v>
      </c>
      <c r="D1802" s="156">
        <v>2803</v>
      </c>
      <c r="G1802" t="s">
        <v>1500</v>
      </c>
    </row>
    <row r="1803" spans="1:7">
      <c r="A1803" s="142" t="s">
        <v>167</v>
      </c>
      <c r="B1803" s="142" t="s">
        <v>150</v>
      </c>
      <c r="C1803" s="314">
        <v>45946</v>
      </c>
      <c r="D1803" s="43">
        <v>688</v>
      </c>
      <c r="F1803" s="43" t="s">
        <v>1341</v>
      </c>
      <c r="G1803" t="s">
        <v>1500</v>
      </c>
    </row>
    <row r="1804" spans="1:7">
      <c r="A1804" s="974" t="s">
        <v>263</v>
      </c>
      <c r="B1804" s="310" t="s">
        <v>883</v>
      </c>
      <c r="C1804" s="314">
        <v>45946</v>
      </c>
      <c r="D1804" s="43">
        <v>170</v>
      </c>
      <c r="G1804" t="s">
        <v>1500</v>
      </c>
    </row>
    <row r="1805" spans="1:7">
      <c r="A1805" s="142" t="s">
        <v>346</v>
      </c>
      <c r="B1805" s="142" t="s">
        <v>1535</v>
      </c>
      <c r="C1805" s="314">
        <v>45946</v>
      </c>
      <c r="D1805" s="156">
        <v>1142</v>
      </c>
      <c r="F1805" s="43" t="s">
        <v>1541</v>
      </c>
      <c r="G1805" t="s">
        <v>1500</v>
      </c>
    </row>
    <row r="1806" spans="1:7">
      <c r="A1806" s="308" t="s">
        <v>343</v>
      </c>
      <c r="B1806" s="308" t="s">
        <v>225</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398</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209</v>
      </c>
      <c r="C1811" s="56">
        <v>45947</v>
      </c>
      <c r="F1811" s="43" t="s">
        <v>1545</v>
      </c>
      <c r="G1811" t="s">
        <v>1500</v>
      </c>
    </row>
    <row r="1812" spans="1:7">
      <c r="A1812" s="636" t="s">
        <v>346</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393</v>
      </c>
      <c r="B1814" s="782" t="s">
        <v>883</v>
      </c>
      <c r="C1814" s="56">
        <v>45950</v>
      </c>
      <c r="D1814" s="43">
        <v>153</v>
      </c>
      <c r="F1814" s="994"/>
      <c r="G1814" t="s">
        <v>1500</v>
      </c>
    </row>
    <row r="1815" spans="1:7">
      <c r="A1815" s="992" t="s">
        <v>398</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150</v>
      </c>
      <c r="C1817" s="56">
        <v>45950</v>
      </c>
      <c r="D1817" s="43">
        <v>853</v>
      </c>
      <c r="F1817" s="43" t="s">
        <v>1548</v>
      </c>
      <c r="G1817" t="s">
        <v>1500</v>
      </c>
    </row>
    <row r="1818" spans="1:7">
      <c r="A1818" s="993" t="s">
        <v>936</v>
      </c>
      <c r="B1818" s="993" t="s">
        <v>209</v>
      </c>
      <c r="C1818" s="56">
        <v>45950</v>
      </c>
      <c r="D1818" s="156">
        <v>3343</v>
      </c>
      <c r="F1818" s="43" t="s">
        <v>1549</v>
      </c>
      <c r="G1818" t="s">
        <v>1500</v>
      </c>
    </row>
    <row r="1819" spans="1:7">
      <c r="A1819" s="995" t="s">
        <v>325</v>
      </c>
      <c r="B1819" s="996" t="s">
        <v>883</v>
      </c>
      <c r="C1819" s="56">
        <v>45950</v>
      </c>
      <c r="D1819" s="43">
        <v>151</v>
      </c>
      <c r="G1819" t="s">
        <v>1500</v>
      </c>
    </row>
    <row r="1820" spans="1:7">
      <c r="A1820" s="782" t="s">
        <v>346</v>
      </c>
      <c r="B1820" s="782" t="s">
        <v>1535</v>
      </c>
      <c r="C1820" s="56">
        <v>45950</v>
      </c>
      <c r="D1820" s="156">
        <v>1186</v>
      </c>
      <c r="F1820" s="43" t="s">
        <v>1375</v>
      </c>
      <c r="G1820" t="s">
        <v>1500</v>
      </c>
    </row>
    <row r="1821" spans="1:7">
      <c r="A1821" s="993" t="s">
        <v>343</v>
      </c>
      <c r="B1821" s="993" t="s">
        <v>225</v>
      </c>
      <c r="C1821" s="56">
        <v>45950</v>
      </c>
      <c r="D1821" s="156">
        <v>1100</v>
      </c>
      <c r="G1821" t="s">
        <v>1500</v>
      </c>
    </row>
    <row r="1822" spans="1:7">
      <c r="A1822" s="1013" t="s">
        <v>393</v>
      </c>
      <c r="B1822" s="1004" t="s">
        <v>883</v>
      </c>
      <c r="C1822" s="56">
        <v>45951</v>
      </c>
      <c r="D1822" s="156">
        <v>244</v>
      </c>
      <c r="G1822" t="s">
        <v>1500</v>
      </c>
    </row>
    <row r="1823" spans="1:7">
      <c r="A1823" s="88" t="s">
        <v>398</v>
      </c>
      <c r="B1823" s="999" t="s">
        <v>1491</v>
      </c>
      <c r="C1823" s="56">
        <v>45951</v>
      </c>
      <c r="D1823" s="43">
        <v>413</v>
      </c>
      <c r="F1823" s="43" t="s">
        <v>969</v>
      </c>
      <c r="G1823" t="s">
        <v>1500</v>
      </c>
    </row>
    <row r="1824" spans="1:7">
      <c r="A1824" s="1000" t="s">
        <v>456</v>
      </c>
      <c r="B1824" s="705" t="s">
        <v>150</v>
      </c>
      <c r="C1824" s="56">
        <v>45951</v>
      </c>
      <c r="D1824" s="43">
        <v>230</v>
      </c>
      <c r="F1824" s="43" t="s">
        <v>1550</v>
      </c>
      <c r="G1824" t="s">
        <v>1500</v>
      </c>
    </row>
    <row r="1825" spans="1:7">
      <c r="A1825" s="116" t="s">
        <v>936</v>
      </c>
      <c r="B1825" s="116" t="s">
        <v>209</v>
      </c>
      <c r="C1825" s="56">
        <v>45951</v>
      </c>
      <c r="D1825" s="43">
        <v>714</v>
      </c>
      <c r="F1825" s="43" t="s">
        <v>1377</v>
      </c>
      <c r="G1825" t="s">
        <v>1500</v>
      </c>
    </row>
    <row r="1826" spans="1:7">
      <c r="A1826" s="1002" t="s">
        <v>776</v>
      </c>
      <c r="B1826" s="1003" t="s">
        <v>150</v>
      </c>
      <c r="C1826" s="56">
        <v>45951</v>
      </c>
      <c r="D1826" s="156">
        <v>1007</v>
      </c>
      <c r="F1826" s="43" t="s">
        <v>1551</v>
      </c>
      <c r="G1826" t="s">
        <v>1500</v>
      </c>
    </row>
    <row r="1827" spans="1:7">
      <c r="A1827" s="171" t="s">
        <v>364</v>
      </c>
      <c r="B1827" s="43" t="s">
        <v>150</v>
      </c>
      <c r="C1827" s="56">
        <v>45951</v>
      </c>
      <c r="D1827" s="156">
        <v>1182</v>
      </c>
      <c r="F1827" s="43" t="s">
        <v>1552</v>
      </c>
      <c r="G1827" t="s">
        <v>1500</v>
      </c>
    </row>
    <row r="1828" spans="1:7">
      <c r="A1828" s="326" t="s">
        <v>325</v>
      </c>
      <c r="B1828" s="1004" t="s">
        <v>883</v>
      </c>
      <c r="C1828" s="56">
        <v>45951</v>
      </c>
      <c r="D1828" s="43">
        <v>149</v>
      </c>
      <c r="G1828" t="s">
        <v>1500</v>
      </c>
    </row>
    <row r="1829" spans="1:7">
      <c r="A1829" s="755" t="s">
        <v>346</v>
      </c>
      <c r="B1829" s="116" t="s">
        <v>1535</v>
      </c>
      <c r="C1829" s="56">
        <v>45951</v>
      </c>
      <c r="D1829" s="156">
        <v>1564</v>
      </c>
      <c r="F1829" s="43" t="s">
        <v>1553</v>
      </c>
      <c r="G1829" t="s">
        <v>1500</v>
      </c>
    </row>
    <row r="1830" spans="1:7">
      <c r="A1830" s="43" t="s">
        <v>343</v>
      </c>
      <c r="B1830" s="142" t="s">
        <v>225</v>
      </c>
      <c r="C1830" s="56">
        <v>45951</v>
      </c>
      <c r="D1830" s="43">
        <v>527</v>
      </c>
      <c r="F1830" s="43" t="s">
        <v>1542</v>
      </c>
      <c r="G1830" t="s">
        <v>1500</v>
      </c>
    </row>
    <row r="1831" spans="1:7">
      <c r="A1831" s="92" t="s">
        <v>348</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398</v>
      </c>
      <c r="B1833" s="999" t="s">
        <v>1491</v>
      </c>
      <c r="C1833" s="56">
        <v>45952</v>
      </c>
      <c r="D1833" s="43">
        <v>190</v>
      </c>
      <c r="G1833" t="s">
        <v>1500</v>
      </c>
    </row>
    <row r="1834" spans="1:7">
      <c r="A1834" s="829" t="s">
        <v>936</v>
      </c>
      <c r="B1834" s="829" t="s">
        <v>209</v>
      </c>
      <c r="C1834" s="56">
        <v>45952</v>
      </c>
      <c r="D1834" s="156">
        <v>2013</v>
      </c>
      <c r="F1834" s="324" t="s">
        <v>1555</v>
      </c>
      <c r="G1834" t="s">
        <v>1500</v>
      </c>
    </row>
    <row r="1835" spans="1:7">
      <c r="A1835" s="829" t="s">
        <v>364</v>
      </c>
      <c r="B1835" s="829" t="s">
        <v>150</v>
      </c>
      <c r="C1835" s="56">
        <v>45952</v>
      </c>
      <c r="D1835" s="156">
        <v>1604</v>
      </c>
      <c r="F1835" s="43" t="s">
        <v>1556</v>
      </c>
      <c r="G1835" t="s">
        <v>1500</v>
      </c>
    </row>
    <row r="1836" spans="1:7">
      <c r="A1836" s="1002" t="s">
        <v>776</v>
      </c>
      <c r="B1836" s="409" t="s">
        <v>150</v>
      </c>
      <c r="C1836" s="56">
        <v>45952</v>
      </c>
      <c r="D1836" s="156">
        <v>1672</v>
      </c>
      <c r="F1836" s="43" t="s">
        <v>1557</v>
      </c>
      <c r="G1836" t="s">
        <v>1500</v>
      </c>
    </row>
    <row r="1837" spans="1:7">
      <c r="A1837" s="974" t="s">
        <v>325</v>
      </c>
      <c r="B1837" s="1014" t="s">
        <v>883</v>
      </c>
      <c r="C1837" s="56">
        <v>45952</v>
      </c>
      <c r="F1837" s="310" t="s">
        <v>1558</v>
      </c>
      <c r="G1837" t="s">
        <v>1500</v>
      </c>
    </row>
    <row r="1838" spans="1:7">
      <c r="A1838" s="636" t="s">
        <v>346</v>
      </c>
      <c r="B1838" s="162" t="s">
        <v>1535</v>
      </c>
      <c r="C1838" s="56">
        <v>45952</v>
      </c>
      <c r="D1838" s="156">
        <v>1012</v>
      </c>
      <c r="F1838" s="43" t="s">
        <v>1559</v>
      </c>
      <c r="G1838" t="s">
        <v>1500</v>
      </c>
    </row>
    <row r="1839" spans="1:7">
      <c r="A1839" s="43" t="s">
        <v>343</v>
      </c>
      <c r="B1839" s="322" t="s">
        <v>225</v>
      </c>
      <c r="C1839" s="56">
        <v>45952</v>
      </c>
      <c r="D1839" s="43">
        <v>553</v>
      </c>
      <c r="G1839" t="s">
        <v>1500</v>
      </c>
    </row>
    <row r="1840" spans="1:7">
      <c r="A1840" s="69" t="s">
        <v>348</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393</v>
      </c>
      <c r="B1842" s="1022" t="s">
        <v>883</v>
      </c>
      <c r="C1842" s="56">
        <v>45953</v>
      </c>
      <c r="D1842" s="43">
        <v>237</v>
      </c>
      <c r="G1842" t="s">
        <v>1500</v>
      </c>
    </row>
    <row r="1843" spans="1:7">
      <c r="A1843" s="335" t="s">
        <v>398</v>
      </c>
      <c r="B1843" s="251" t="s">
        <v>1491</v>
      </c>
      <c r="C1843" s="314">
        <v>45953</v>
      </c>
      <c r="D1843" s="43">
        <v>844</v>
      </c>
      <c r="F1843" s="43" t="s">
        <v>1561</v>
      </c>
      <c r="G1843" t="s">
        <v>1500</v>
      </c>
    </row>
    <row r="1844" spans="1:7">
      <c r="A1844" s="335" t="s">
        <v>398</v>
      </c>
      <c r="B1844" s="251" t="s">
        <v>1562</v>
      </c>
      <c r="C1844" s="314">
        <v>45953</v>
      </c>
      <c r="D1844" s="43">
        <v>350</v>
      </c>
      <c r="G1844" t="s">
        <v>1500</v>
      </c>
    </row>
    <row r="1845" spans="1:7">
      <c r="A1845" s="142" t="s">
        <v>936</v>
      </c>
      <c r="B1845" s="308" t="s">
        <v>209</v>
      </c>
      <c r="C1845" s="56">
        <v>45953</v>
      </c>
      <c r="D1845" s="156">
        <v>1500</v>
      </c>
      <c r="F1845" s="43" t="s">
        <v>1563</v>
      </c>
      <c r="G1845" t="s">
        <v>1500</v>
      </c>
    </row>
    <row r="1846" spans="1:7">
      <c r="A1846" s="142" t="s">
        <v>364</v>
      </c>
      <c r="B1846" s="142" t="s">
        <v>150</v>
      </c>
      <c r="C1846" s="56">
        <v>45953</v>
      </c>
      <c r="D1846" s="156">
        <v>1268</v>
      </c>
      <c r="F1846" s="43" t="s">
        <v>1564</v>
      </c>
      <c r="G1846" t="s">
        <v>1500</v>
      </c>
    </row>
    <row r="1847" spans="1:7">
      <c r="A1847" s="1015" t="s">
        <v>776</v>
      </c>
      <c r="B1847" s="409" t="s">
        <v>150</v>
      </c>
      <c r="C1847" s="56">
        <v>45953</v>
      </c>
      <c r="D1847" s="156">
        <v>1544</v>
      </c>
      <c r="F1847" s="43" t="s">
        <v>1565</v>
      </c>
      <c r="G1847" t="s">
        <v>1500</v>
      </c>
    </row>
    <row r="1848" spans="1:7">
      <c r="A1848" s="171" t="s">
        <v>434</v>
      </c>
      <c r="B1848" s="412" t="s">
        <v>883</v>
      </c>
      <c r="C1848" s="56">
        <v>45953</v>
      </c>
      <c r="F1848" s="315" t="s">
        <v>1372</v>
      </c>
      <c r="G1848" t="s">
        <v>1500</v>
      </c>
    </row>
    <row r="1849" spans="1:7">
      <c r="A1849" s="974" t="s">
        <v>325</v>
      </c>
      <c r="B1849" s="1014" t="s">
        <v>883</v>
      </c>
      <c r="C1849" s="56">
        <v>45953</v>
      </c>
      <c r="F1849" s="310" t="s">
        <v>1153</v>
      </c>
      <c r="G1849" t="s">
        <v>1500</v>
      </c>
    </row>
    <row r="1850" spans="1:7">
      <c r="A1850" s="636" t="s">
        <v>346</v>
      </c>
      <c r="B1850" s="162" t="s">
        <v>1535</v>
      </c>
      <c r="C1850" s="56">
        <v>45953</v>
      </c>
      <c r="D1850" s="43">
        <v>588</v>
      </c>
      <c r="F1850" s="43" t="s">
        <v>1566</v>
      </c>
      <c r="G1850" t="s">
        <v>1500</v>
      </c>
    </row>
    <row r="1851" spans="1:7">
      <c r="A1851" s="69" t="s">
        <v>348</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398</v>
      </c>
      <c r="B1854" s="251" t="s">
        <v>1491</v>
      </c>
      <c r="C1854" s="56">
        <v>45954</v>
      </c>
      <c r="D1854" s="43">
        <v>142</v>
      </c>
      <c r="F1854" s="43" t="s">
        <v>1568</v>
      </c>
      <c r="G1854" t="s">
        <v>1500</v>
      </c>
    </row>
    <row r="1855" spans="1:7">
      <c r="A1855" s="88" t="s">
        <v>398</v>
      </c>
      <c r="B1855" s="251" t="s">
        <v>1562</v>
      </c>
      <c r="C1855" s="56">
        <v>45954</v>
      </c>
      <c r="D1855" s="43">
        <v>164</v>
      </c>
      <c r="F1855" s="43" t="s">
        <v>1569</v>
      </c>
      <c r="G1855" t="s">
        <v>1500</v>
      </c>
    </row>
    <row r="1856" spans="1:7">
      <c r="A1856" s="142" t="s">
        <v>936</v>
      </c>
      <c r="B1856" s="308" t="s">
        <v>209</v>
      </c>
      <c r="C1856" s="56">
        <v>45954</v>
      </c>
      <c r="D1856" s="156">
        <v>1933</v>
      </c>
      <c r="G1856" t="s">
        <v>1500</v>
      </c>
    </row>
    <row r="1857" spans="1:7">
      <c r="A1857" s="974" t="s">
        <v>325</v>
      </c>
      <c r="B1857" s="1014" t="s">
        <v>883</v>
      </c>
      <c r="C1857" s="56">
        <v>45954</v>
      </c>
      <c r="F1857" s="43" t="s">
        <v>1570</v>
      </c>
      <c r="G1857" t="s">
        <v>1500</v>
      </c>
    </row>
    <row r="1858" spans="1:7">
      <c r="A1858" s="636" t="s">
        <v>344</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398</v>
      </c>
      <c r="B1861" s="251" t="s">
        <v>1491</v>
      </c>
      <c r="C1861" s="56">
        <v>45957</v>
      </c>
      <c r="F1861" s="43" t="s">
        <v>969</v>
      </c>
      <c r="G1861" t="s">
        <v>1500</v>
      </c>
    </row>
    <row r="1862" spans="1:7">
      <c r="A1862" s="88" t="s">
        <v>398</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209</v>
      </c>
      <c r="C1865" s="56">
        <v>45957</v>
      </c>
      <c r="D1865" s="43">
        <v>820</v>
      </c>
      <c r="F1865" s="43" t="s">
        <v>1575</v>
      </c>
      <c r="G1865" t="s">
        <v>1500</v>
      </c>
    </row>
    <row r="1866" spans="1:7">
      <c r="A1866" s="142" t="s">
        <v>776</v>
      </c>
      <c r="B1866" s="142" t="s">
        <v>150</v>
      </c>
      <c r="C1866" s="56">
        <v>45957</v>
      </c>
      <c r="D1866" s="43">
        <v>587</v>
      </c>
      <c r="F1866" s="43" t="s">
        <v>1576</v>
      </c>
      <c r="G1866" t="s">
        <v>1500</v>
      </c>
    </row>
    <row r="1867" spans="1:7">
      <c r="A1867" s="1015" t="s">
        <v>364</v>
      </c>
      <c r="B1867" s="409" t="s">
        <v>150</v>
      </c>
      <c r="C1867" s="56">
        <v>45957</v>
      </c>
      <c r="D1867" s="156">
        <v>1310</v>
      </c>
      <c r="F1867" s="43" t="s">
        <v>1577</v>
      </c>
      <c r="G1867" t="s">
        <v>1500</v>
      </c>
    </row>
    <row r="1868" spans="1:7">
      <c r="A1868" s="171" t="s">
        <v>434</v>
      </c>
      <c r="B1868" s="171" t="s">
        <v>150</v>
      </c>
      <c r="C1868" s="56">
        <v>45957</v>
      </c>
      <c r="D1868" s="43">
        <v>270</v>
      </c>
      <c r="G1868" t="s">
        <v>1500</v>
      </c>
    </row>
    <row r="1869" spans="1:7">
      <c r="A1869" s="974" t="s">
        <v>263</v>
      </c>
      <c r="B1869" s="1014" t="s">
        <v>883</v>
      </c>
      <c r="C1869" s="56">
        <v>45957</v>
      </c>
      <c r="F1869" s="324" t="s">
        <v>1399</v>
      </c>
      <c r="G1869" t="s">
        <v>1500</v>
      </c>
    </row>
    <row r="1870" spans="1:7">
      <c r="A1870" s="636" t="s">
        <v>344</v>
      </c>
      <c r="B1870" s="162" t="s">
        <v>1535</v>
      </c>
      <c r="C1870" s="56">
        <v>45957</v>
      </c>
      <c r="D1870" s="156">
        <v>1323</v>
      </c>
      <c r="F1870" s="43" t="s">
        <v>1578</v>
      </c>
      <c r="G1870" t="s">
        <v>1500</v>
      </c>
    </row>
    <row r="1871" spans="1:7">
      <c r="A1871" s="43" t="s">
        <v>343</v>
      </c>
      <c r="B1871" s="322" t="s">
        <v>225</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398</v>
      </c>
      <c r="B1874" s="251" t="s">
        <v>1491</v>
      </c>
      <c r="C1874" s="56">
        <v>45958</v>
      </c>
      <c r="F1874" s="324" t="s">
        <v>1153</v>
      </c>
      <c r="G1874" t="s">
        <v>1500</v>
      </c>
    </row>
    <row r="1875" spans="1:7">
      <c r="A1875" s="88" t="s">
        <v>398</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209</v>
      </c>
      <c r="C1878" s="56">
        <v>45958</v>
      </c>
      <c r="D1878" s="156">
        <v>2077</v>
      </c>
      <c r="G1878" t="s">
        <v>1500</v>
      </c>
    </row>
    <row r="1879" spans="1:7">
      <c r="A1879" s="142" t="s">
        <v>454</v>
      </c>
      <c r="B1879" s="142" t="s">
        <v>150</v>
      </c>
      <c r="C1879" s="56">
        <v>45958</v>
      </c>
      <c r="D1879" s="156">
        <v>1509</v>
      </c>
      <c r="F1879" s="43" t="s">
        <v>1582</v>
      </c>
      <c r="G1879" t="s">
        <v>1500</v>
      </c>
    </row>
    <row r="1880" spans="1:7">
      <c r="A1880" s="1015" t="s">
        <v>448</v>
      </c>
      <c r="B1880" s="409" t="s">
        <v>150</v>
      </c>
      <c r="C1880" s="56">
        <v>45958</v>
      </c>
      <c r="D1880" s="156">
        <v>1678</v>
      </c>
      <c r="F1880" s="43" t="s">
        <v>1583</v>
      </c>
      <c r="G1880" t="s">
        <v>1500</v>
      </c>
    </row>
    <row r="1881" spans="1:7">
      <c r="A1881" s="1015" t="s">
        <v>776</v>
      </c>
      <c r="B1881" s="409" t="s">
        <v>150</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344</v>
      </c>
      <c r="B1883" s="162" t="s">
        <v>1535</v>
      </c>
      <c r="C1883" s="56">
        <v>45958</v>
      </c>
      <c r="D1883" s="156">
        <v>1516</v>
      </c>
      <c r="F1883" s="43" t="s">
        <v>1585</v>
      </c>
      <c r="G1883" t="s">
        <v>1500</v>
      </c>
    </row>
    <row r="1884" spans="1:7">
      <c r="A1884" s="43" t="s">
        <v>343</v>
      </c>
      <c r="B1884" s="322" t="s">
        <v>225</v>
      </c>
      <c r="C1884" s="56">
        <v>45958</v>
      </c>
      <c r="D1884" s="156">
        <v>1224</v>
      </c>
      <c r="G1884" t="s">
        <v>1500</v>
      </c>
    </row>
    <row r="1885" spans="1:7">
      <c r="A1885" s="43" t="s">
        <v>343</v>
      </c>
      <c r="B1885" s="677" t="s">
        <v>225</v>
      </c>
      <c r="C1885" s="56">
        <v>45958</v>
      </c>
      <c r="D1885" s="156">
        <v>423</v>
      </c>
      <c r="G1885" t="s">
        <v>1500</v>
      </c>
    </row>
    <row r="1886" spans="1:7">
      <c r="A1886" s="88" t="s">
        <v>84</v>
      </c>
      <c r="B1886" s="412" t="s">
        <v>883</v>
      </c>
      <c r="C1886" s="56">
        <v>45959</v>
      </c>
      <c r="D1886" s="43">
        <v>171</v>
      </c>
      <c r="G1886" t="s">
        <v>1500</v>
      </c>
    </row>
    <row r="1887" spans="1:7">
      <c r="A1887" s="88" t="s">
        <v>398</v>
      </c>
      <c r="B1887" s="251" t="s">
        <v>1491</v>
      </c>
      <c r="C1887" s="56">
        <v>45959</v>
      </c>
      <c r="F1887" s="43" t="s">
        <v>1586</v>
      </c>
      <c r="G1887" t="s">
        <v>1500</v>
      </c>
    </row>
    <row r="1888" spans="1:7">
      <c r="A1888" s="88" t="s">
        <v>398</v>
      </c>
      <c r="B1888" s="251" t="s">
        <v>1587</v>
      </c>
      <c r="C1888" s="56">
        <v>45959</v>
      </c>
      <c r="D1888" s="156">
        <v>1147</v>
      </c>
      <c r="F1888" s="43" t="s">
        <v>1588</v>
      </c>
      <c r="G1888" t="s">
        <v>1500</v>
      </c>
    </row>
    <row r="1889" spans="1:7">
      <c r="A1889" s="88" t="s">
        <v>398</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209</v>
      </c>
      <c r="C1892" s="56">
        <v>45959</v>
      </c>
      <c r="D1892" s="156">
        <v>1096</v>
      </c>
      <c r="F1892" s="43" t="s">
        <v>1590</v>
      </c>
      <c r="G1892" t="s">
        <v>1500</v>
      </c>
    </row>
    <row r="1893" spans="1:7">
      <c r="A1893" s="779" t="s">
        <v>454</v>
      </c>
      <c r="B1893" s="677" t="s">
        <v>150</v>
      </c>
      <c r="C1893" s="56">
        <v>45959</v>
      </c>
      <c r="D1893" s="156">
        <v>1087</v>
      </c>
      <c r="F1893" s="43" t="s">
        <v>1591</v>
      </c>
      <c r="G1893" t="s">
        <v>1500</v>
      </c>
    </row>
    <row r="1894" spans="1:7">
      <c r="A1894" s="1041" t="s">
        <v>344</v>
      </c>
      <c r="B1894" s="162" t="s">
        <v>1535</v>
      </c>
      <c r="C1894" s="56">
        <v>45959</v>
      </c>
      <c r="D1894" s="43">
        <v>790</v>
      </c>
      <c r="F1894" s="43" t="s">
        <v>1592</v>
      </c>
      <c r="G1894" t="s">
        <v>1500</v>
      </c>
    </row>
    <row r="1895" spans="1:7">
      <c r="A1895" s="43" t="s">
        <v>343</v>
      </c>
      <c r="B1895" s="677" t="s">
        <v>225</v>
      </c>
      <c r="C1895" s="56">
        <v>45959</v>
      </c>
      <c r="D1895" s="43">
        <v>343</v>
      </c>
      <c r="G1895" t="s">
        <v>1500</v>
      </c>
    </row>
    <row r="1896" spans="1:7">
      <c r="A1896" s="69" t="s">
        <v>341</v>
      </c>
      <c r="B1896" s="43" t="s">
        <v>225</v>
      </c>
      <c r="C1896" s="56">
        <v>45959</v>
      </c>
      <c r="D1896" s="156">
        <v>3179</v>
      </c>
      <c r="G1896" t="s">
        <v>1500</v>
      </c>
    </row>
    <row r="1897" spans="1:7">
      <c r="A1897" s="315" t="s">
        <v>322</v>
      </c>
      <c r="B1897" s="315" t="s">
        <v>883</v>
      </c>
      <c r="C1897" s="56">
        <v>45959</v>
      </c>
      <c r="F1897" s="43" t="s">
        <v>1593</v>
      </c>
      <c r="G1897" t="s">
        <v>1500</v>
      </c>
    </row>
    <row r="1898" spans="1:7">
      <c r="A1898" s="319" t="s">
        <v>325</v>
      </c>
      <c r="B1898" s="319" t="s">
        <v>883</v>
      </c>
      <c r="C1898" s="56">
        <v>45959</v>
      </c>
      <c r="E1898" s="325">
        <v>5475</v>
      </c>
      <c r="F1898" s="43" t="s">
        <v>1594</v>
      </c>
      <c r="G1898" t="s">
        <v>1500</v>
      </c>
    </row>
    <row r="1899" spans="1:7">
      <c r="A1899" s="88" t="s">
        <v>398</v>
      </c>
      <c r="B1899" s="251" t="s">
        <v>1491</v>
      </c>
      <c r="C1899" s="56">
        <v>45960</v>
      </c>
      <c r="F1899" s="324" t="s">
        <v>1595</v>
      </c>
      <c r="G1899" t="s">
        <v>1500</v>
      </c>
    </row>
    <row r="1900" spans="1:7">
      <c r="A1900" s="88" t="s">
        <v>398</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209</v>
      </c>
      <c r="C1903" s="56">
        <v>45960</v>
      </c>
      <c r="F1903" s="142" t="s">
        <v>1599</v>
      </c>
      <c r="G1903" t="s">
        <v>1500</v>
      </c>
    </row>
    <row r="1904" spans="1:7">
      <c r="A1904" s="310" t="s">
        <v>454</v>
      </c>
      <c r="B1904" s="322" t="s">
        <v>150</v>
      </c>
      <c r="C1904" s="56">
        <v>45960</v>
      </c>
      <c r="D1904" s="43">
        <v>777</v>
      </c>
      <c r="F1904" s="43" t="s">
        <v>1600</v>
      </c>
      <c r="G1904" t="s">
        <v>1500</v>
      </c>
    </row>
    <row r="1905" spans="1:7">
      <c r="A1905" s="43" t="s">
        <v>448</v>
      </c>
      <c r="B1905" s="1063" t="s">
        <v>150</v>
      </c>
      <c r="C1905" s="56">
        <v>45960</v>
      </c>
      <c r="D1905" s="43">
        <v>394</v>
      </c>
      <c r="E1905" s="325">
        <v>1275</v>
      </c>
      <c r="F1905" s="43" t="s">
        <v>1601</v>
      </c>
      <c r="G1905" t="s">
        <v>1500</v>
      </c>
    </row>
    <row r="1906" spans="1:7">
      <c r="A1906" s="1064" t="s">
        <v>366</v>
      </c>
      <c r="B1906" s="171" t="s">
        <v>150</v>
      </c>
      <c r="C1906" s="56">
        <v>45960</v>
      </c>
      <c r="D1906" s="43">
        <v>978</v>
      </c>
      <c r="G1906" t="s">
        <v>1500</v>
      </c>
    </row>
    <row r="1907" spans="1:7">
      <c r="A1907" s="171" t="s">
        <v>372</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150</v>
      </c>
      <c r="C1909" s="56">
        <v>45960</v>
      </c>
      <c r="D1909" s="140"/>
      <c r="E1909" s="43"/>
      <c r="F1909" s="155" t="s">
        <v>1602</v>
      </c>
      <c r="G1909" t="s">
        <v>1500</v>
      </c>
    </row>
    <row r="1910" spans="1:7">
      <c r="A1910" s="43" t="s">
        <v>343</v>
      </c>
      <c r="B1910" s="322" t="s">
        <v>225</v>
      </c>
      <c r="C1910" s="56">
        <v>45960</v>
      </c>
      <c r="E1910" s="257"/>
      <c r="F1910" s="633" t="s">
        <v>1190</v>
      </c>
      <c r="G1910" t="s">
        <v>1500</v>
      </c>
    </row>
    <row r="1911" spans="1:7">
      <c r="A1911" s="636" t="s">
        <v>344</v>
      </c>
      <c r="B1911" s="162" t="s">
        <v>1535</v>
      </c>
      <c r="C1911" s="56">
        <v>45960</v>
      </c>
      <c r="D1911" s="43">
        <v>930</v>
      </c>
      <c r="F1911" s="43" t="s">
        <v>1504</v>
      </c>
      <c r="G1911" t="s">
        <v>1500</v>
      </c>
    </row>
    <row r="1912" spans="1:7">
      <c r="A1912" s="251" t="s">
        <v>229</v>
      </c>
      <c r="B1912" s="158" t="s">
        <v>1603</v>
      </c>
      <c r="C1912" s="56">
        <v>45960</v>
      </c>
      <c r="D1912" s="43">
        <v>346</v>
      </c>
      <c r="G1912" t="s">
        <v>1500</v>
      </c>
    </row>
    <row r="1913" spans="1:7">
      <c r="A1913" s="251" t="s">
        <v>322</v>
      </c>
      <c r="B1913" s="171" t="s">
        <v>883</v>
      </c>
      <c r="C1913" s="56">
        <v>45960</v>
      </c>
      <c r="F1913" s="116" t="s">
        <v>1604</v>
      </c>
      <c r="G1913" t="s">
        <v>1500</v>
      </c>
    </row>
    <row r="1914" spans="1:7">
      <c r="A1914" s="88" t="s">
        <v>900</v>
      </c>
      <c r="B1914" s="171" t="s">
        <v>883</v>
      </c>
      <c r="C1914" s="56">
        <v>45961</v>
      </c>
      <c r="F1914" s="968" t="s">
        <v>1605</v>
      </c>
      <c r="G1914" t="s">
        <v>1500</v>
      </c>
    </row>
    <row r="1915" spans="1:7">
      <c r="A1915" s="88" t="s">
        <v>398</v>
      </c>
      <c r="B1915" s="251" t="s">
        <v>1491</v>
      </c>
      <c r="C1915" s="56">
        <v>45961</v>
      </c>
      <c r="F1915" s="324" t="s">
        <v>1176</v>
      </c>
      <c r="G1915" t="s">
        <v>1500</v>
      </c>
    </row>
    <row r="1916" spans="1:7">
      <c r="A1916" s="88" t="s">
        <v>398</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209</v>
      </c>
      <c r="C1919" s="56">
        <v>45961</v>
      </c>
      <c r="E1919" s="325">
        <v>1428</v>
      </c>
      <c r="F1919" s="69"/>
      <c r="G1919" t="s">
        <v>1500</v>
      </c>
    </row>
    <row r="1920" spans="1:7">
      <c r="A1920" s="142" t="s">
        <v>454</v>
      </c>
      <c r="B1920" s="142" t="s">
        <v>150</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344</v>
      </c>
      <c r="B1923" s="162" t="s">
        <v>1535</v>
      </c>
      <c r="C1923" s="56">
        <v>45961</v>
      </c>
      <c r="D1923" s="43">
        <v>408</v>
      </c>
      <c r="F1923" s="43" t="s">
        <v>1608</v>
      </c>
      <c r="G1923" t="s">
        <v>1500</v>
      </c>
    </row>
    <row r="1924" spans="1:7">
      <c r="A1924" s="43" t="s">
        <v>229</v>
      </c>
      <c r="B1924" s="322" t="s">
        <v>1609</v>
      </c>
      <c r="C1924" s="56">
        <v>45961</v>
      </c>
      <c r="F1924" s="324" t="s">
        <v>1153</v>
      </c>
      <c r="G1924" t="s">
        <v>1500</v>
      </c>
    </row>
    <row r="1925" spans="1:7">
      <c r="A1925" s="251" t="s">
        <v>348</v>
      </c>
      <c r="B1925" s="162" t="s">
        <v>1535</v>
      </c>
      <c r="C1925" s="56">
        <v>45961</v>
      </c>
      <c r="D1925" s="43">
        <v>168</v>
      </c>
      <c r="G1925" t="s">
        <v>1500</v>
      </c>
    </row>
    <row r="1926" spans="1:7">
      <c r="A1926" s="124" t="s">
        <v>900</v>
      </c>
      <c r="B1926" s="315" t="s">
        <v>883</v>
      </c>
      <c r="C1926" s="56">
        <v>45964</v>
      </c>
      <c r="F1926" s="320" t="s">
        <v>1605</v>
      </c>
      <c r="G1926" t="s">
        <v>1610</v>
      </c>
    </row>
    <row r="1927" spans="1:7">
      <c r="A1927" s="634" t="s">
        <v>398</v>
      </c>
      <c r="B1927" s="319" t="s">
        <v>1587</v>
      </c>
      <c r="C1927" s="56">
        <v>45964</v>
      </c>
      <c r="F1927" s="324" t="s">
        <v>1260</v>
      </c>
      <c r="G1927" t="s">
        <v>1610</v>
      </c>
    </row>
    <row r="1928" spans="1:7">
      <c r="A1928" s="308" t="s">
        <v>366</v>
      </c>
      <c r="B1928" s="360" t="s">
        <v>150</v>
      </c>
      <c r="C1928" s="56">
        <v>45964</v>
      </c>
      <c r="D1928" s="156">
        <v>1420</v>
      </c>
      <c r="F1928" s="43" t="s">
        <v>1322</v>
      </c>
      <c r="G1928" t="s">
        <v>1610</v>
      </c>
    </row>
    <row r="1929" spans="1:7">
      <c r="A1929" s="357" t="s">
        <v>364</v>
      </c>
      <c r="B1929" s="360" t="s">
        <v>150</v>
      </c>
      <c r="C1929" s="56">
        <v>45964</v>
      </c>
      <c r="D1929" s="43">
        <v>701</v>
      </c>
      <c r="F1929" s="43" t="s">
        <v>1443</v>
      </c>
      <c r="G1929" t="s">
        <v>1610</v>
      </c>
    </row>
    <row r="1930" spans="1:7">
      <c r="A1930" s="142" t="s">
        <v>362</v>
      </c>
      <c r="B1930" s="308" t="s">
        <v>150</v>
      </c>
      <c r="C1930" s="56">
        <v>45964</v>
      </c>
      <c r="D1930" s="43">
        <v>579</v>
      </c>
      <c r="F1930" s="43" t="s">
        <v>1611</v>
      </c>
      <c r="G1930" t="s">
        <v>1610</v>
      </c>
    </row>
    <row r="1931" spans="1:7">
      <c r="A1931" s="308" t="s">
        <v>938</v>
      </c>
      <c r="B1931" s="308" t="s">
        <v>1612</v>
      </c>
      <c r="C1931" s="56">
        <v>45964</v>
      </c>
      <c r="D1931" s="43">
        <v>365</v>
      </c>
      <c r="G1931" t="s">
        <v>1610</v>
      </c>
    </row>
    <row r="1932" spans="1:7">
      <c r="A1932" s="308" t="s">
        <v>372</v>
      </c>
      <c r="B1932" s="308" t="s">
        <v>883</v>
      </c>
      <c r="C1932" s="56">
        <v>45964</v>
      </c>
      <c r="D1932" s="43">
        <v>259</v>
      </c>
      <c r="G1932" t="s">
        <v>1610</v>
      </c>
    </row>
    <row r="1933" spans="1:7">
      <c r="A1933" s="142" t="s">
        <v>348</v>
      </c>
      <c r="B1933" s="322" t="s">
        <v>1535</v>
      </c>
      <c r="C1933" s="56">
        <v>45964</v>
      </c>
      <c r="D1933" s="43">
        <v>463</v>
      </c>
      <c r="G1933" t="s">
        <v>1610</v>
      </c>
    </row>
    <row r="1934" spans="1:7">
      <c r="A1934" s="309" t="s">
        <v>341</v>
      </c>
      <c r="B1934" s="308" t="s">
        <v>225</v>
      </c>
      <c r="C1934" s="56">
        <v>45964</v>
      </c>
      <c r="D1934" s="43">
        <v>882</v>
      </c>
      <c r="F1934" s="43" t="s">
        <v>1613</v>
      </c>
      <c r="G1934" t="s">
        <v>1610</v>
      </c>
    </row>
    <row r="1935" spans="1:7">
      <c r="A1935" s="142" t="s">
        <v>322</v>
      </c>
      <c r="B1935" s="360" t="s">
        <v>883</v>
      </c>
      <c r="C1935" s="56">
        <v>45964</v>
      </c>
      <c r="F1935" s="43" t="s">
        <v>1346</v>
      </c>
      <c r="G1935" t="s">
        <v>1610</v>
      </c>
    </row>
    <row r="1936" spans="1:7">
      <c r="A1936" s="142" t="s">
        <v>322</v>
      </c>
      <c r="B1936" s="360" t="s">
        <v>1614</v>
      </c>
      <c r="C1936" s="56">
        <v>45964</v>
      </c>
      <c r="E1936" s="325">
        <v>3846</v>
      </c>
      <c r="F1936" s="43" t="s">
        <v>1615</v>
      </c>
      <c r="G1936" t="s">
        <v>1610</v>
      </c>
    </row>
    <row r="1937" spans="1:7">
      <c r="A1937" s="142" t="s">
        <v>322</v>
      </c>
      <c r="B1937" s="360" t="s">
        <v>323</v>
      </c>
      <c r="C1937" s="56">
        <v>45964</v>
      </c>
      <c r="F1937" s="966" t="s">
        <v>1616</v>
      </c>
      <c r="G1937" t="s">
        <v>1610</v>
      </c>
    </row>
    <row r="1938" spans="1:7">
      <c r="A1938" s="142" t="s">
        <v>350</v>
      </c>
      <c r="B1938" s="1072" t="s">
        <v>883</v>
      </c>
      <c r="C1938" s="56">
        <v>45964</v>
      </c>
      <c r="D1938" s="43">
        <v>207</v>
      </c>
      <c r="G1938" t="s">
        <v>1610</v>
      </c>
    </row>
    <row r="1939" spans="1:7">
      <c r="A1939" s="142" t="s">
        <v>287</v>
      </c>
      <c r="B1939" s="308" t="s">
        <v>150</v>
      </c>
      <c r="C1939" s="56">
        <v>45964</v>
      </c>
      <c r="D1939" s="156">
        <v>3266</v>
      </c>
      <c r="F1939" s="116" t="s">
        <v>1617</v>
      </c>
      <c r="G1939" t="s">
        <v>1610</v>
      </c>
    </row>
    <row r="1940" spans="1:7">
      <c r="A1940" s="88" t="s">
        <v>900</v>
      </c>
      <c r="B1940" s="412" t="s">
        <v>883</v>
      </c>
      <c r="C1940" s="56">
        <v>45965</v>
      </c>
      <c r="F1940" s="968" t="s">
        <v>1605</v>
      </c>
      <c r="G1940" t="s">
        <v>1610</v>
      </c>
    </row>
    <row r="1941" spans="1:7">
      <c r="A1941" s="88" t="s">
        <v>398</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234</v>
      </c>
      <c r="C1943" s="56">
        <v>45965</v>
      </c>
      <c r="D1943" s="43">
        <v>778</v>
      </c>
      <c r="G1943" t="s">
        <v>1610</v>
      </c>
    </row>
    <row r="1944" spans="1:7">
      <c r="A1944" s="149" t="s">
        <v>101</v>
      </c>
      <c r="B1944" s="43" t="s">
        <v>1491</v>
      </c>
      <c r="C1944" s="56">
        <v>45965</v>
      </c>
      <c r="D1944" s="43">
        <v>550</v>
      </c>
      <c r="G1944" t="s">
        <v>1610</v>
      </c>
    </row>
    <row r="1945" spans="1:7">
      <c r="A1945" s="1015" t="s">
        <v>362</v>
      </c>
      <c r="B1945" s="43" t="s">
        <v>150</v>
      </c>
      <c r="C1945" s="56">
        <v>45965</v>
      </c>
      <c r="D1945" s="156">
        <v>1120</v>
      </c>
      <c r="F1945" s="43" t="s">
        <v>1618</v>
      </c>
      <c r="G1945" t="s">
        <v>1610</v>
      </c>
    </row>
    <row r="1946" spans="1:7">
      <c r="A1946" s="142" t="s">
        <v>366</v>
      </c>
      <c r="B1946" s="142" t="s">
        <v>150</v>
      </c>
      <c r="C1946" s="56">
        <v>45965</v>
      </c>
      <c r="D1946" s="43">
        <v>990</v>
      </c>
      <c r="F1946" s="43" t="s">
        <v>1015</v>
      </c>
      <c r="G1946" t="s">
        <v>1610</v>
      </c>
    </row>
    <row r="1947" spans="1:7">
      <c r="A1947" s="43" t="s">
        <v>372</v>
      </c>
      <c r="B1947" s="43" t="s">
        <v>1619</v>
      </c>
      <c r="C1947" s="56">
        <v>45965</v>
      </c>
      <c r="D1947" s="43">
        <v>817</v>
      </c>
      <c r="G1947" t="s">
        <v>1610</v>
      </c>
    </row>
    <row r="1948" spans="1:7">
      <c r="A1948" s="43" t="s">
        <v>372</v>
      </c>
      <c r="B1948" s="43" t="s">
        <v>883</v>
      </c>
      <c r="C1948" s="56">
        <v>45965</v>
      </c>
      <c r="D1948" s="43">
        <v>270</v>
      </c>
      <c r="G1948" t="s">
        <v>1610</v>
      </c>
    </row>
    <row r="1949" spans="1:7">
      <c r="A1949" s="636" t="s">
        <v>348</v>
      </c>
      <c r="B1949" s="43" t="s">
        <v>1535</v>
      </c>
      <c r="C1949" s="56">
        <v>45965</v>
      </c>
      <c r="D1949" s="43">
        <v>633</v>
      </c>
      <c r="G1949" t="s">
        <v>1610</v>
      </c>
    </row>
    <row r="1950" spans="1:7">
      <c r="A1950" s="43" t="s">
        <v>229</v>
      </c>
      <c r="B1950" s="142" t="s">
        <v>1609</v>
      </c>
      <c r="C1950" s="56">
        <v>45965</v>
      </c>
      <c r="D1950" s="43">
        <v>379</v>
      </c>
      <c r="F1950" s="43" t="s">
        <v>1620</v>
      </c>
      <c r="G1950" t="s">
        <v>1610</v>
      </c>
    </row>
    <row r="1951" spans="1:7">
      <c r="A1951" s="149" t="s">
        <v>341</v>
      </c>
      <c r="B1951" s="43" t="s">
        <v>225</v>
      </c>
      <c r="C1951" s="56">
        <v>45965</v>
      </c>
      <c r="D1951" s="156">
        <v>1072</v>
      </c>
      <c r="F1951" s="43" t="s">
        <v>1621</v>
      </c>
      <c r="G1951" t="s">
        <v>1610</v>
      </c>
    </row>
    <row r="1952" spans="1:7">
      <c r="A1952" s="1074" t="s">
        <v>346</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287</v>
      </c>
      <c r="B1954" s="43" t="s">
        <v>150</v>
      </c>
      <c r="C1954" s="56">
        <v>45965</v>
      </c>
      <c r="D1954" s="325">
        <v>3910</v>
      </c>
      <c r="E1954" s="43"/>
      <c r="F1954" s="155" t="s">
        <v>1622</v>
      </c>
      <c r="G1954" t="s">
        <v>1610</v>
      </c>
    </row>
    <row r="1955" spans="1:7">
      <c r="A1955" s="251" t="s">
        <v>294</v>
      </c>
      <c r="B1955" s="43" t="s">
        <v>150</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234</v>
      </c>
      <c r="C1957" s="56">
        <v>45966</v>
      </c>
      <c r="D1957" s="43">
        <v>885</v>
      </c>
      <c r="G1957" t="s">
        <v>1610</v>
      </c>
    </row>
    <row r="1958" spans="1:7">
      <c r="A1958" s="142" t="s">
        <v>362</v>
      </c>
      <c r="B1958" s="142" t="s">
        <v>150</v>
      </c>
      <c r="C1958" s="56">
        <v>45966</v>
      </c>
      <c r="D1958" s="156">
        <v>1488</v>
      </c>
      <c r="F1958" s="43" t="s">
        <v>1623</v>
      </c>
      <c r="G1958" t="s">
        <v>1610</v>
      </c>
    </row>
    <row r="1959" spans="1:7">
      <c r="A1959" s="308" t="s">
        <v>366</v>
      </c>
      <c r="B1959" s="308" t="s">
        <v>150</v>
      </c>
      <c r="C1959" s="56">
        <v>45966</v>
      </c>
      <c r="D1959" s="43">
        <v>549</v>
      </c>
      <c r="F1959" s="43" t="s">
        <v>1037</v>
      </c>
      <c r="G1959" t="s">
        <v>1610</v>
      </c>
    </row>
    <row r="1960" spans="1:7">
      <c r="A1960" s="308" t="s">
        <v>372</v>
      </c>
      <c r="B1960" s="308" t="s">
        <v>1619</v>
      </c>
      <c r="C1960" s="56">
        <v>45966</v>
      </c>
      <c r="D1960" s="156">
        <v>1377</v>
      </c>
      <c r="G1960" t="s">
        <v>1610</v>
      </c>
    </row>
    <row r="1961" spans="1:7">
      <c r="A1961" s="308" t="s">
        <v>372</v>
      </c>
      <c r="B1961" s="308" t="s">
        <v>883</v>
      </c>
      <c r="C1961" s="56">
        <v>45966</v>
      </c>
      <c r="D1961" s="43">
        <v>829</v>
      </c>
      <c r="G1961" t="s">
        <v>1610</v>
      </c>
    </row>
    <row r="1962" spans="1:7">
      <c r="A1962" s="308" t="s">
        <v>375</v>
      </c>
      <c r="B1962" s="308" t="s">
        <v>150</v>
      </c>
      <c r="C1962" s="56">
        <v>45966</v>
      </c>
      <c r="D1962" s="156">
        <v>1031</v>
      </c>
      <c r="G1962" t="s">
        <v>1610</v>
      </c>
    </row>
    <row r="1963" spans="1:7">
      <c r="A1963" s="142" t="s">
        <v>348</v>
      </c>
      <c r="B1963" s="142" t="s">
        <v>1535</v>
      </c>
      <c r="C1963" s="56">
        <v>45966</v>
      </c>
      <c r="D1963" s="43">
        <v>625</v>
      </c>
      <c r="G1963" t="s">
        <v>1610</v>
      </c>
    </row>
    <row r="1964" spans="1:7">
      <c r="A1964" s="308" t="s">
        <v>229</v>
      </c>
      <c r="B1964" s="308" t="s">
        <v>1609</v>
      </c>
      <c r="C1964" s="56">
        <v>45966</v>
      </c>
      <c r="D1964" s="43">
        <v>208</v>
      </c>
      <c r="F1964" s="43" t="s">
        <v>956</v>
      </c>
      <c r="G1964" t="s">
        <v>1610</v>
      </c>
    </row>
    <row r="1965" spans="1:7">
      <c r="A1965" s="309" t="s">
        <v>341</v>
      </c>
      <c r="B1965" s="308" t="s">
        <v>225</v>
      </c>
      <c r="C1965" s="56">
        <v>45966</v>
      </c>
      <c r="D1965" s="156">
        <v>1034</v>
      </c>
      <c r="G1965" t="s">
        <v>1610</v>
      </c>
    </row>
    <row r="1966" spans="1:7">
      <c r="A1966" s="315" t="s">
        <v>327</v>
      </c>
      <c r="B1966" s="1075" t="s">
        <v>1315</v>
      </c>
      <c r="C1966" s="56">
        <v>45966</v>
      </c>
      <c r="D1966" s="43">
        <v>150</v>
      </c>
      <c r="G1966" t="s">
        <v>1610</v>
      </c>
    </row>
    <row r="1967" spans="1:7">
      <c r="A1967" s="251" t="s">
        <v>322</v>
      </c>
      <c r="B1967" s="158" t="s">
        <v>1614</v>
      </c>
      <c r="C1967" s="56">
        <v>45966</v>
      </c>
      <c r="E1967" s="1084">
        <v>13112</v>
      </c>
      <c r="F1967" s="116" t="s">
        <v>1624</v>
      </c>
      <c r="G1967" t="s">
        <v>1610</v>
      </c>
    </row>
    <row r="1968" spans="1:7">
      <c r="A1968" s="251" t="s">
        <v>287</v>
      </c>
      <c r="B1968" s="308" t="s">
        <v>150</v>
      </c>
      <c r="C1968" s="56">
        <v>45966</v>
      </c>
      <c r="D1968" s="140">
        <v>346</v>
      </c>
      <c r="E1968" s="156"/>
      <c r="F1968" s="43" t="s">
        <v>1317</v>
      </c>
      <c r="G1968" t="s">
        <v>1610</v>
      </c>
    </row>
    <row r="1969" spans="1:7">
      <c r="A1969" s="382" t="s">
        <v>294</v>
      </c>
      <c r="B1969" s="308" t="s">
        <v>150</v>
      </c>
      <c r="C1969" s="56">
        <v>45966</v>
      </c>
      <c r="D1969" s="140">
        <v>656</v>
      </c>
      <c r="E1969" s="156"/>
      <c r="G1969" t="s">
        <v>1610</v>
      </c>
    </row>
    <row r="1970" spans="1:7">
      <c r="A1970" s="382" t="s">
        <v>292</v>
      </c>
      <c r="B1970" s="308" t="s">
        <v>150</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362</v>
      </c>
      <c r="B1973" s="43" t="s">
        <v>150</v>
      </c>
      <c r="C1973" s="56">
        <v>45967</v>
      </c>
      <c r="D1973" s="43">
        <v>954</v>
      </c>
      <c r="F1973" s="43" t="s">
        <v>1628</v>
      </c>
      <c r="G1973" t="s">
        <v>1610</v>
      </c>
    </row>
    <row r="1974" spans="1:7">
      <c r="A1974" s="43" t="s">
        <v>372</v>
      </c>
      <c r="B1974" s="43" t="s">
        <v>1619</v>
      </c>
      <c r="C1974" s="56">
        <v>45967</v>
      </c>
      <c r="D1974" s="43">
        <v>183</v>
      </c>
      <c r="G1974" t="s">
        <v>1610</v>
      </c>
    </row>
    <row r="1975" spans="1:7">
      <c r="A1975" s="43" t="s">
        <v>372</v>
      </c>
      <c r="B1975" s="43" t="s">
        <v>883</v>
      </c>
      <c r="C1975" s="56">
        <v>45967</v>
      </c>
      <c r="D1975" s="43">
        <v>270</v>
      </c>
      <c r="G1975" t="s">
        <v>1610</v>
      </c>
    </row>
    <row r="1976" spans="1:7">
      <c r="A1976" s="636" t="s">
        <v>348</v>
      </c>
      <c r="B1976" s="43" t="s">
        <v>1614</v>
      </c>
      <c r="C1976" s="56">
        <v>45967</v>
      </c>
      <c r="E1976" s="325">
        <v>5200</v>
      </c>
      <c r="F1976" s="43" t="s">
        <v>1629</v>
      </c>
      <c r="G1976" t="s">
        <v>1610</v>
      </c>
    </row>
    <row r="1977" spans="1:7">
      <c r="A1977" s="43" t="s">
        <v>229</v>
      </c>
      <c r="B1977" s="142" t="s">
        <v>1609</v>
      </c>
      <c r="C1977" s="56">
        <v>45967</v>
      </c>
      <c r="F1977" s="398" t="s">
        <v>1630</v>
      </c>
      <c r="G1977" t="s">
        <v>1610</v>
      </c>
    </row>
    <row r="1978" spans="1:7">
      <c r="A1978" s="149" t="s">
        <v>341</v>
      </c>
      <c r="B1978" s="43" t="s">
        <v>225</v>
      </c>
      <c r="C1978" s="56">
        <v>45967</v>
      </c>
      <c r="D1978" s="43">
        <v>209</v>
      </c>
      <c r="G1978" t="s">
        <v>1610</v>
      </c>
    </row>
    <row r="1979" spans="1:7">
      <c r="A1979" s="636" t="s">
        <v>347</v>
      </c>
      <c r="B1979" s="779" t="s">
        <v>1535</v>
      </c>
      <c r="C1979" s="56">
        <v>45967</v>
      </c>
      <c r="D1979" s="156">
        <v>1063</v>
      </c>
      <c r="G1979" t="s">
        <v>1610</v>
      </c>
    </row>
    <row r="1980" spans="1:7">
      <c r="A1980" s="755" t="s">
        <v>292</v>
      </c>
      <c r="B1980" s="43" t="s">
        <v>150</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396</v>
      </c>
      <c r="B1983" s="357" t="s">
        <v>1562</v>
      </c>
      <c r="C1983" s="56">
        <v>45968</v>
      </c>
      <c r="D1983" s="43">
        <v>451</v>
      </c>
      <c r="G1983" t="s">
        <v>1610</v>
      </c>
    </row>
    <row r="1984" spans="1:7">
      <c r="A1984" s="308" t="s">
        <v>372</v>
      </c>
      <c r="B1984" s="142" t="s">
        <v>1619</v>
      </c>
      <c r="C1984" s="56">
        <v>45968</v>
      </c>
      <c r="G1984" t="s">
        <v>1610</v>
      </c>
    </row>
    <row r="1985" spans="1:7">
      <c r="A1985" s="142" t="s">
        <v>347</v>
      </c>
      <c r="B1985" s="308" t="s">
        <v>883</v>
      </c>
      <c r="C1985" s="56">
        <v>45968</v>
      </c>
      <c r="D1985" s="43">
        <v>350</v>
      </c>
      <c r="G1985" t="s">
        <v>1610</v>
      </c>
    </row>
    <row r="1986" spans="1:7">
      <c r="A1986" s="142" t="s">
        <v>347</v>
      </c>
      <c r="B1986" s="779" t="s">
        <v>1535</v>
      </c>
      <c r="C1986" s="56">
        <v>45968</v>
      </c>
      <c r="D1986" s="43">
        <v>913</v>
      </c>
      <c r="F1986" s="43" t="s">
        <v>1037</v>
      </c>
      <c r="G1986" t="s">
        <v>1610</v>
      </c>
    </row>
    <row r="1987" spans="1:7">
      <c r="A1987" s="43" t="s">
        <v>229</v>
      </c>
      <c r="B1987" s="142" t="s">
        <v>1609</v>
      </c>
      <c r="C1987" s="56">
        <v>45968</v>
      </c>
      <c r="F1987" s="398" t="s">
        <v>1630</v>
      </c>
      <c r="G1987" t="s">
        <v>1610</v>
      </c>
    </row>
    <row r="1988" spans="1:7">
      <c r="A1988" s="251" t="s">
        <v>344</v>
      </c>
      <c r="B1988" s="779" t="s">
        <v>1535</v>
      </c>
      <c r="C1988" s="56">
        <v>45968</v>
      </c>
      <c r="F1988" s="315" t="s">
        <v>1260</v>
      </c>
      <c r="G1988" t="s">
        <v>1610</v>
      </c>
    </row>
    <row r="1989" spans="1:7">
      <c r="A1989" s="251" t="s">
        <v>339</v>
      </c>
      <c r="B1989" s="43" t="s">
        <v>225</v>
      </c>
      <c r="C1989" s="56">
        <v>45968</v>
      </c>
      <c r="D1989" s="43">
        <v>569</v>
      </c>
      <c r="G1989" t="s">
        <v>1610</v>
      </c>
    </row>
    <row r="1990" spans="1:7">
      <c r="A1990" s="251" t="s">
        <v>415</v>
      </c>
      <c r="B1990" s="43" t="s">
        <v>150</v>
      </c>
      <c r="C1990" s="56">
        <v>45968</v>
      </c>
      <c r="D1990" s="156">
        <v>2948</v>
      </c>
      <c r="G1990" t="s">
        <v>1610</v>
      </c>
    </row>
    <row r="1991" spans="1:7">
      <c r="A1991" s="999" t="s">
        <v>398</v>
      </c>
      <c r="B1991" s="357" t="s">
        <v>1562</v>
      </c>
      <c r="C1991" s="56">
        <v>45971</v>
      </c>
      <c r="D1991" s="156">
        <v>560</v>
      </c>
      <c r="G1991" t="s">
        <v>1610</v>
      </c>
    </row>
    <row r="1992" spans="1:7">
      <c r="A1992" s="315" t="s">
        <v>372</v>
      </c>
      <c r="B1992" s="315" t="s">
        <v>883</v>
      </c>
      <c r="C1992" s="56">
        <v>45971</v>
      </c>
      <c r="D1992" s="43">
        <v>558</v>
      </c>
      <c r="G1992" t="s">
        <v>1610</v>
      </c>
    </row>
    <row r="1993" spans="1:7">
      <c r="A1993" s="315" t="s">
        <v>372</v>
      </c>
      <c r="B1993" s="315" t="s">
        <v>209</v>
      </c>
      <c r="C1993" s="56">
        <v>45971</v>
      </c>
      <c r="F1993" s="43" t="s">
        <v>1325</v>
      </c>
      <c r="G1993" t="s">
        <v>1610</v>
      </c>
    </row>
    <row r="1994" spans="1:7">
      <c r="A1994" s="319" t="s">
        <v>375</v>
      </c>
      <c r="B1994" s="319" t="s">
        <v>150</v>
      </c>
      <c r="C1994" s="56">
        <v>45971</v>
      </c>
      <c r="D1994" s="156">
        <v>1351</v>
      </c>
      <c r="G1994" t="s">
        <v>1610</v>
      </c>
    </row>
    <row r="1995" spans="1:7">
      <c r="A1995" s="319" t="s">
        <v>364</v>
      </c>
      <c r="B1995" s="319" t="s">
        <v>150</v>
      </c>
      <c r="C1995" s="56">
        <v>45971</v>
      </c>
      <c r="D1995" s="43">
        <v>138</v>
      </c>
      <c r="F1995" s="43" t="s">
        <v>1632</v>
      </c>
      <c r="G1995" t="s">
        <v>1610</v>
      </c>
    </row>
    <row r="1996" spans="1:7">
      <c r="A1996" s="319" t="s">
        <v>366</v>
      </c>
      <c r="B1996" s="319" t="s">
        <v>150</v>
      </c>
      <c r="C1996" s="56">
        <v>45971</v>
      </c>
      <c r="D1996" s="43">
        <v>632</v>
      </c>
      <c r="F1996" s="43" t="s">
        <v>1346</v>
      </c>
      <c r="G1996" t="s">
        <v>1610</v>
      </c>
    </row>
    <row r="1997" spans="1:7">
      <c r="A1997" s="319" t="s">
        <v>939</v>
      </c>
      <c r="B1997" s="319" t="s">
        <v>1633</v>
      </c>
      <c r="C1997" s="56">
        <v>45971</v>
      </c>
      <c r="D1997" s="43">
        <v>748</v>
      </c>
      <c r="G1997" t="s">
        <v>1610</v>
      </c>
    </row>
    <row r="1998" spans="1:7">
      <c r="A1998" s="142" t="s">
        <v>341</v>
      </c>
      <c r="B1998" s="826" t="s">
        <v>225</v>
      </c>
      <c r="C1998" s="56">
        <v>45971</v>
      </c>
      <c r="D1998" s="43">
        <v>96</v>
      </c>
      <c r="G1998" t="s">
        <v>1610</v>
      </c>
    </row>
    <row r="1999" spans="1:7">
      <c r="A1999" s="308" t="s">
        <v>229</v>
      </c>
      <c r="B1999" s="360" t="s">
        <v>1609</v>
      </c>
      <c r="C1999" s="56">
        <v>45971</v>
      </c>
      <c r="D1999" s="43">
        <v>562</v>
      </c>
      <c r="G1999" t="s">
        <v>1610</v>
      </c>
    </row>
    <row r="2000" spans="1:7">
      <c r="A2000" s="142" t="s">
        <v>232</v>
      </c>
      <c r="B2000" s="826" t="s">
        <v>225</v>
      </c>
      <c r="C2000" s="56">
        <v>45971</v>
      </c>
      <c r="D2000" s="43">
        <v>435</v>
      </c>
      <c r="F2000" s="43" t="s">
        <v>1634</v>
      </c>
      <c r="G2000" t="s">
        <v>1610</v>
      </c>
    </row>
    <row r="2001" spans="1:7">
      <c r="A2001" s="1085" t="s">
        <v>415</v>
      </c>
      <c r="B2001" s="315" t="s">
        <v>150</v>
      </c>
      <c r="C2001" s="56">
        <v>45971</v>
      </c>
      <c r="D2001" s="156">
        <v>4084</v>
      </c>
      <c r="G2001" t="s">
        <v>1610</v>
      </c>
    </row>
    <row r="2002" spans="1:7">
      <c r="A2002" s="142" t="s">
        <v>366</v>
      </c>
      <c r="B2002" s="310" t="s">
        <v>1315</v>
      </c>
      <c r="C2002" s="56">
        <v>45972</v>
      </c>
      <c r="E2002" s="325">
        <v>5569</v>
      </c>
      <c r="F2002" s="43" t="s">
        <v>1635</v>
      </c>
      <c r="G2002" t="s">
        <v>1610</v>
      </c>
    </row>
    <row r="2003" spans="1:7">
      <c r="A2003" s="308" t="s">
        <v>939</v>
      </c>
      <c r="B2003" s="315" t="s">
        <v>380</v>
      </c>
      <c r="C2003" s="56">
        <v>45972</v>
      </c>
      <c r="D2003" s="156">
        <v>1062</v>
      </c>
      <c r="F2003" s="43" t="s">
        <v>1636</v>
      </c>
      <c r="G2003" t="s">
        <v>1610</v>
      </c>
    </row>
    <row r="2004" spans="1:7">
      <c r="A2004" s="142" t="s">
        <v>346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372</v>
      </c>
      <c r="B2007" s="43" t="s">
        <v>1315</v>
      </c>
      <c r="C2007" s="56">
        <v>45973</v>
      </c>
      <c r="F2007" s="315" t="s">
        <v>1322</v>
      </c>
      <c r="G2007" t="s">
        <v>1610</v>
      </c>
    </row>
    <row r="2008" spans="1:7">
      <c r="A2008" s="43" t="s">
        <v>360</v>
      </c>
      <c r="B2008" s="43" t="s">
        <v>150</v>
      </c>
      <c r="C2008" s="56">
        <v>45973</v>
      </c>
      <c r="D2008" s="156">
        <v>1580</v>
      </c>
      <c r="F2008" s="43" t="s">
        <v>1455</v>
      </c>
      <c r="G2008" t="s">
        <v>1610</v>
      </c>
    </row>
    <row r="2009" spans="1:7">
      <c r="A2009" s="43" t="s">
        <v>375</v>
      </c>
      <c r="B2009" s="116" t="s">
        <v>150</v>
      </c>
      <c r="C2009" s="56">
        <v>45973</v>
      </c>
      <c r="D2009" s="43">
        <v>890</v>
      </c>
      <c r="G2009" t="s">
        <v>1610</v>
      </c>
    </row>
    <row r="2010" spans="1:7">
      <c r="A2010" s="43" t="s">
        <v>375</v>
      </c>
      <c r="B2010" s="116" t="s">
        <v>209</v>
      </c>
      <c r="C2010" s="56">
        <v>45973</v>
      </c>
      <c r="F2010" s="43" t="s">
        <v>1317</v>
      </c>
      <c r="G2010" t="s">
        <v>1610</v>
      </c>
    </row>
    <row r="2011" spans="1:7">
      <c r="A2011" s="43" t="s">
        <v>358</v>
      </c>
      <c r="B2011" s="43" t="s">
        <v>150</v>
      </c>
      <c r="C2011" s="56">
        <v>45973</v>
      </c>
      <c r="D2011" s="43">
        <v>877</v>
      </c>
      <c r="F2011" s="43" t="s">
        <v>1640</v>
      </c>
      <c r="G2011" t="s">
        <v>1610</v>
      </c>
    </row>
    <row r="2012" spans="1:7">
      <c r="A2012" s="43" t="s">
        <v>940</v>
      </c>
      <c r="B2012" s="43" t="s">
        <v>1315</v>
      </c>
      <c r="C2012" s="56">
        <v>45973</v>
      </c>
      <c r="E2012" s="325">
        <v>6640</v>
      </c>
      <c r="G2012" t="s">
        <v>1610</v>
      </c>
    </row>
    <row r="2013" spans="1:7">
      <c r="A2013" s="636" t="s">
        <v>216</v>
      </c>
      <c r="B2013" s="43" t="s">
        <v>1315</v>
      </c>
      <c r="C2013" s="56">
        <v>45973</v>
      </c>
      <c r="D2013" s="43">
        <v>711</v>
      </c>
      <c r="F2013" s="43" t="s">
        <v>1003</v>
      </c>
      <c r="G2013" t="s">
        <v>1610</v>
      </c>
    </row>
    <row r="2014" spans="1:7">
      <c r="A2014" s="149" t="s">
        <v>344</v>
      </c>
      <c r="B2014" s="43" t="s">
        <v>1535</v>
      </c>
      <c r="C2014" s="56">
        <v>45973</v>
      </c>
      <c r="F2014" s="315" t="s">
        <v>1641</v>
      </c>
      <c r="G2014" t="s">
        <v>1610</v>
      </c>
    </row>
    <row r="2015" spans="1:7">
      <c r="A2015" s="636" t="s">
        <v>353</v>
      </c>
      <c r="B2015" s="43" t="s">
        <v>1535</v>
      </c>
      <c r="C2015" s="56">
        <v>45973</v>
      </c>
      <c r="D2015" s="156">
        <v>1486</v>
      </c>
      <c r="F2015" s="43" t="s">
        <v>1642</v>
      </c>
      <c r="G2015" t="s">
        <v>1610</v>
      </c>
    </row>
    <row r="2016" spans="1:7">
      <c r="A2016" s="636" t="s">
        <v>229</v>
      </c>
      <c r="B2016" s="43" t="s">
        <v>1603</v>
      </c>
      <c r="C2016" s="56">
        <v>45973</v>
      </c>
      <c r="D2016" s="43">
        <v>474</v>
      </c>
      <c r="G2016" t="s">
        <v>1610</v>
      </c>
    </row>
    <row r="2017" spans="1:7">
      <c r="A2017" s="43" t="s">
        <v>415</v>
      </c>
      <c r="B2017" s="43" t="s">
        <v>150</v>
      </c>
      <c r="C2017" s="56">
        <v>45973</v>
      </c>
      <c r="D2017" s="43">
        <v>242</v>
      </c>
      <c r="G2017" t="s">
        <v>1610</v>
      </c>
    </row>
    <row r="2018" spans="1:7">
      <c r="A2018" s="43" t="s">
        <v>413</v>
      </c>
      <c r="B2018" s="43" t="s">
        <v>150</v>
      </c>
      <c r="C2018" s="56">
        <v>45973</v>
      </c>
      <c r="D2018" s="156">
        <v>1264</v>
      </c>
      <c r="G2018" t="s">
        <v>1610</v>
      </c>
    </row>
    <row r="2019" spans="1:7">
      <c r="A2019" s="43" t="s">
        <v>417</v>
      </c>
      <c r="B2019" s="43" t="s">
        <v>150</v>
      </c>
      <c r="C2019" s="56">
        <v>45973</v>
      </c>
      <c r="D2019" s="156">
        <v>3678</v>
      </c>
      <c r="G2019" t="s">
        <v>1610</v>
      </c>
    </row>
    <row r="2020" spans="1:7">
      <c r="A2020" s="43" t="s">
        <v>372</v>
      </c>
      <c r="B2020" s="43" t="s">
        <v>1315</v>
      </c>
      <c r="C2020" s="56">
        <v>45974</v>
      </c>
      <c r="F2020" s="43" t="s">
        <v>1383</v>
      </c>
      <c r="G2020" t="s">
        <v>1610</v>
      </c>
    </row>
    <row r="2021" spans="1:7">
      <c r="A2021" s="43" t="s">
        <v>360</v>
      </c>
      <c r="B2021" s="43" t="s">
        <v>150</v>
      </c>
      <c r="C2021" s="56">
        <v>45974</v>
      </c>
      <c r="D2021" s="156">
        <v>1258</v>
      </c>
      <c r="F2021" s="43" t="s">
        <v>1643</v>
      </c>
      <c r="G2021" t="s">
        <v>1610</v>
      </c>
    </row>
    <row r="2022" spans="1:7">
      <c r="A2022" s="43" t="s">
        <v>358</v>
      </c>
      <c r="B2022" s="43" t="s">
        <v>150</v>
      </c>
      <c r="C2022" s="56">
        <v>45974</v>
      </c>
      <c r="D2022" s="43">
        <v>814</v>
      </c>
      <c r="F2022" s="43" t="s">
        <v>1644</v>
      </c>
      <c r="G2022" t="s">
        <v>1610</v>
      </c>
    </row>
    <row r="2023" spans="1:7">
      <c r="A2023" s="636" t="s">
        <v>216</v>
      </c>
      <c r="B2023" s="43" t="s">
        <v>1315</v>
      </c>
      <c r="C2023" s="56">
        <v>45974</v>
      </c>
      <c r="D2023" s="43">
        <v>325</v>
      </c>
      <c r="G2023" t="s">
        <v>1610</v>
      </c>
    </row>
    <row r="2024" spans="1:7">
      <c r="A2024" s="43" t="s">
        <v>216</v>
      </c>
      <c r="B2024" s="43" t="s">
        <v>1315</v>
      </c>
      <c r="C2024" s="56">
        <v>45974</v>
      </c>
      <c r="F2024" s="43" t="s">
        <v>1037</v>
      </c>
      <c r="G2024" t="s">
        <v>1610</v>
      </c>
    </row>
    <row r="2025" spans="1:7">
      <c r="A2025" s="149" t="s">
        <v>229</v>
      </c>
      <c r="B2025" s="43" t="s">
        <v>1645</v>
      </c>
      <c r="C2025" s="56">
        <v>45974</v>
      </c>
      <c r="D2025" s="43">
        <v>606</v>
      </c>
      <c r="G2025" t="s">
        <v>1610</v>
      </c>
    </row>
    <row r="2026" spans="1:7">
      <c r="A2026" s="1144" t="s">
        <v>232</v>
      </c>
      <c r="B2026" s="1145" t="s">
        <v>225</v>
      </c>
      <c r="C2026" s="56">
        <v>45974</v>
      </c>
      <c r="D2026" s="156">
        <v>1123</v>
      </c>
      <c r="F2026" s="43" t="s">
        <v>1646</v>
      </c>
      <c r="G2026" t="s">
        <v>1610</v>
      </c>
    </row>
    <row r="2027" spans="1:7">
      <c r="A2027" s="636" t="s">
        <v>353</v>
      </c>
      <c r="B2027" s="43" t="s">
        <v>1535</v>
      </c>
      <c r="C2027" s="56">
        <v>45974</v>
      </c>
      <c r="D2027" s="156">
        <v>2912</v>
      </c>
      <c r="G2027" t="s">
        <v>1610</v>
      </c>
    </row>
    <row r="2028" spans="1:7">
      <c r="A2028" s="636" t="s">
        <v>318</v>
      </c>
      <c r="B2028" s="43" t="s">
        <v>1315</v>
      </c>
      <c r="C2028" s="56">
        <v>45974</v>
      </c>
      <c r="F2028" s="43" t="s">
        <v>1037</v>
      </c>
      <c r="G2028" t="s">
        <v>1610</v>
      </c>
    </row>
    <row r="2029" spans="1:7">
      <c r="A2029" s="43" t="s">
        <v>417</v>
      </c>
      <c r="B2029" s="43" t="s">
        <v>150</v>
      </c>
      <c r="C2029" s="56">
        <v>45974</v>
      </c>
      <c r="D2029" s="156">
        <v>3382</v>
      </c>
      <c r="G2029" t="s">
        <v>1610</v>
      </c>
    </row>
    <row r="2030" spans="1:7">
      <c r="A2030" s="43" t="s">
        <v>413</v>
      </c>
      <c r="B2030" s="43" t="s">
        <v>150</v>
      </c>
      <c r="C2030" s="56">
        <v>45974</v>
      </c>
      <c r="D2030" s="156">
        <v>1281</v>
      </c>
      <c r="G2030" t="s">
        <v>1610</v>
      </c>
    </row>
    <row r="2031" spans="1:7">
      <c r="A2031" s="251" t="s">
        <v>316</v>
      </c>
      <c r="B2031" s="43" t="s">
        <v>150</v>
      </c>
      <c r="C2031" s="56">
        <v>45974</v>
      </c>
      <c r="D2031" s="43">
        <v>424</v>
      </c>
      <c r="G2031" t="s">
        <v>1610</v>
      </c>
    </row>
    <row r="2032" spans="1:7">
      <c r="A2032" s="251" t="s">
        <v>301</v>
      </c>
      <c r="B2032" s="43" t="s">
        <v>150</v>
      </c>
      <c r="C2032" s="56">
        <v>45974</v>
      </c>
      <c r="D2032" s="43">
        <v>598</v>
      </c>
      <c r="G2032" t="s">
        <v>1610</v>
      </c>
    </row>
    <row r="2033" spans="1:7">
      <c r="A2033" s="142" t="s">
        <v>372</v>
      </c>
      <c r="B2033" s="142" t="s">
        <v>1315</v>
      </c>
      <c r="C2033" s="56">
        <v>45975</v>
      </c>
      <c r="E2033" s="1084">
        <v>5647</v>
      </c>
      <c r="F2033" s="310" t="s">
        <v>1647</v>
      </c>
      <c r="G2033" t="s">
        <v>1610</v>
      </c>
    </row>
    <row r="2034" spans="1:7">
      <c r="A2034" s="308" t="s">
        <v>364</v>
      </c>
      <c r="B2034" s="308" t="s">
        <v>1315</v>
      </c>
      <c r="C2034" s="56">
        <v>45975</v>
      </c>
      <c r="D2034" s="140"/>
      <c r="E2034" s="43">
        <v>565</v>
      </c>
      <c r="F2034" s="142"/>
      <c r="G2034" t="s">
        <v>1610</v>
      </c>
    </row>
    <row r="2035" spans="1:7">
      <c r="A2035" s="308" t="s">
        <v>941</v>
      </c>
      <c r="B2035" s="308" t="s">
        <v>380</v>
      </c>
      <c r="C2035" s="56">
        <v>45975</v>
      </c>
      <c r="D2035" s="43">
        <v>1505</v>
      </c>
      <c r="E2035" s="257"/>
      <c r="F2035" s="171" t="s">
        <v>1648</v>
      </c>
      <c r="G2035" t="s">
        <v>1610</v>
      </c>
    </row>
    <row r="2036" spans="1:7">
      <c r="A2036" s="142" t="s">
        <v>216</v>
      </c>
      <c r="B2036" s="142" t="s">
        <v>1315</v>
      </c>
      <c r="C2036" s="56">
        <v>45975</v>
      </c>
      <c r="D2036" s="43">
        <v>430</v>
      </c>
      <c r="G2036" t="s">
        <v>1610</v>
      </c>
    </row>
    <row r="2037" spans="1:7">
      <c r="A2037" s="309" t="s">
        <v>229</v>
      </c>
      <c r="B2037" s="308" t="s">
        <v>1645</v>
      </c>
      <c r="C2037" s="56">
        <v>45975</v>
      </c>
      <c r="D2037" s="43">
        <v>322</v>
      </c>
      <c r="G2037" t="s">
        <v>1610</v>
      </c>
    </row>
    <row r="2038" spans="1:7">
      <c r="A2038" s="315" t="s">
        <v>353</v>
      </c>
      <c r="B2038" s="319" t="s">
        <v>1535</v>
      </c>
      <c r="C2038" s="56">
        <v>45975</v>
      </c>
      <c r="D2038" s="156">
        <v>2125</v>
      </c>
      <c r="G2038" t="s">
        <v>1610</v>
      </c>
    </row>
    <row r="2039" spans="1:7">
      <c r="A2039" s="142" t="s">
        <v>372</v>
      </c>
      <c r="B2039" s="142" t="s">
        <v>1315</v>
      </c>
      <c r="C2039" s="56">
        <v>45978</v>
      </c>
      <c r="D2039" s="43">
        <v>127</v>
      </c>
      <c r="G2039" t="s">
        <v>1610</v>
      </c>
    </row>
    <row r="2040" spans="1:7">
      <c r="A2040" s="142" t="s">
        <v>372</v>
      </c>
      <c r="B2040" s="142" t="s">
        <v>1315</v>
      </c>
      <c r="C2040" s="56">
        <v>45978</v>
      </c>
      <c r="E2040" s="140">
        <v>300</v>
      </c>
      <c r="F2040" s="43" t="s">
        <v>1649</v>
      </c>
      <c r="G2040" t="s">
        <v>1610</v>
      </c>
    </row>
    <row r="2041" spans="1:7">
      <c r="A2041" s="308" t="s">
        <v>942</v>
      </c>
      <c r="B2041" s="308" t="s">
        <v>209</v>
      </c>
      <c r="C2041" s="56">
        <v>45978</v>
      </c>
      <c r="D2041" s="156">
        <v>1505</v>
      </c>
      <c r="G2041" t="s">
        <v>1610</v>
      </c>
    </row>
    <row r="2042" spans="1:7">
      <c r="A2042" s="308" t="s">
        <v>154</v>
      </c>
      <c r="B2042" s="308" t="s">
        <v>150</v>
      </c>
      <c r="C2042" s="56">
        <v>45978</v>
      </c>
      <c r="D2042" s="156">
        <v>1471</v>
      </c>
      <c r="F2042" s="43" t="s">
        <v>959</v>
      </c>
      <c r="G2042" t="s">
        <v>1610</v>
      </c>
    </row>
    <row r="2043" spans="1:7">
      <c r="A2043" s="309" t="s">
        <v>941</v>
      </c>
      <c r="B2043" s="308" t="s">
        <v>380</v>
      </c>
      <c r="C2043" s="56">
        <v>45978</v>
      </c>
      <c r="D2043" s="43">
        <v>907</v>
      </c>
      <c r="F2043" s="43" t="s">
        <v>1003</v>
      </c>
      <c r="G2043" t="s">
        <v>1610</v>
      </c>
    </row>
    <row r="2044" spans="1:7">
      <c r="A2044" s="142" t="s">
        <v>149</v>
      </c>
      <c r="B2044" s="360" t="s">
        <v>150</v>
      </c>
      <c r="C2044" s="56">
        <v>45978</v>
      </c>
      <c r="D2044" s="43">
        <v>762</v>
      </c>
      <c r="G2044" t="s">
        <v>1610</v>
      </c>
    </row>
    <row r="2045" spans="1:7">
      <c r="A2045" s="142" t="s">
        <v>358</v>
      </c>
      <c r="B2045" s="360" t="s">
        <v>150</v>
      </c>
      <c r="C2045" s="56">
        <v>45978</v>
      </c>
      <c r="D2045" s="43">
        <v>956</v>
      </c>
      <c r="F2045" s="43" t="s">
        <v>1650</v>
      </c>
      <c r="G2045" t="s">
        <v>1610</v>
      </c>
    </row>
    <row r="2046" spans="1:7">
      <c r="A2046" s="309" t="s">
        <v>263</v>
      </c>
      <c r="B2046" s="322" t="s">
        <v>883</v>
      </c>
      <c r="C2046" s="56">
        <v>45978</v>
      </c>
      <c r="D2046" s="43">
        <v>176</v>
      </c>
      <c r="G2046" t="s">
        <v>1610</v>
      </c>
    </row>
    <row r="2047" spans="1:7">
      <c r="A2047" s="142" t="s">
        <v>263</v>
      </c>
      <c r="B2047" s="360" t="s">
        <v>883</v>
      </c>
      <c r="C2047" s="56">
        <v>45978</v>
      </c>
      <c r="D2047" s="43">
        <v>270</v>
      </c>
      <c r="G2047" t="s">
        <v>1610</v>
      </c>
    </row>
    <row r="2048" spans="1:7">
      <c r="A2048" s="142" t="s">
        <v>229</v>
      </c>
      <c r="B2048" s="360" t="s">
        <v>1645</v>
      </c>
      <c r="C2048" s="56">
        <v>45978</v>
      </c>
      <c r="D2048" s="43">
        <v>420</v>
      </c>
      <c r="G2048" t="s">
        <v>1610</v>
      </c>
    </row>
    <row r="2049" spans="1:7">
      <c r="A2049" s="308" t="s">
        <v>353</v>
      </c>
      <c r="B2049" s="308" t="s">
        <v>1535</v>
      </c>
      <c r="C2049" s="56">
        <v>45978</v>
      </c>
      <c r="D2049" s="156">
        <v>1449</v>
      </c>
      <c r="G2049" t="s">
        <v>1610</v>
      </c>
    </row>
    <row r="2050" spans="1:7">
      <c r="A2050" s="142" t="s">
        <v>299</v>
      </c>
      <c r="B2050" s="142" t="s">
        <v>150</v>
      </c>
      <c r="C2050" s="56">
        <v>45978</v>
      </c>
      <c r="D2050" s="156">
        <v>5466</v>
      </c>
      <c r="G2050" t="s">
        <v>1610</v>
      </c>
    </row>
    <row r="2051" spans="1:7">
      <c r="A2051" s="308" t="s">
        <v>413</v>
      </c>
      <c r="B2051" s="308" t="s">
        <v>150</v>
      </c>
      <c r="C2051" s="56">
        <v>45978</v>
      </c>
      <c r="D2051" s="156">
        <v>1662</v>
      </c>
      <c r="G2051" t="s">
        <v>1610</v>
      </c>
    </row>
    <row r="2052" spans="1:7">
      <c r="A2052" s="308" t="s">
        <v>301</v>
      </c>
      <c r="B2052" s="308" t="s">
        <v>150</v>
      </c>
      <c r="C2052" s="56">
        <v>45978</v>
      </c>
      <c r="D2052" s="156">
        <v>1498</v>
      </c>
      <c r="G2052" t="s">
        <v>1610</v>
      </c>
    </row>
    <row r="2053" spans="1:7">
      <c r="A2053" s="308" t="s">
        <v>398</v>
      </c>
      <c r="B2053" s="308" t="s">
        <v>1562</v>
      </c>
      <c r="C2053" s="56">
        <v>45979</v>
      </c>
      <c r="D2053" s="156">
        <v>17</v>
      </c>
      <c r="G2053" t="s">
        <v>1610</v>
      </c>
    </row>
    <row r="2054" spans="1:7">
      <c r="A2054" s="308" t="s">
        <v>944</v>
      </c>
      <c r="B2054" s="308" t="s">
        <v>1562</v>
      </c>
      <c r="C2054" s="56">
        <v>45979</v>
      </c>
      <c r="D2054" s="156">
        <v>12</v>
      </c>
      <c r="G2054" t="s">
        <v>1610</v>
      </c>
    </row>
    <row r="2055" spans="1:7">
      <c r="A2055" s="43" t="s">
        <v>375</v>
      </c>
      <c r="B2055" s="43" t="s">
        <v>1315</v>
      </c>
      <c r="C2055" s="56">
        <v>45979</v>
      </c>
      <c r="E2055" s="325">
        <v>3272</v>
      </c>
      <c r="F2055" s="43" t="s">
        <v>1651</v>
      </c>
      <c r="G2055" t="s">
        <v>1610</v>
      </c>
    </row>
    <row r="2056" spans="1:7">
      <c r="A2056" s="43" t="s">
        <v>942</v>
      </c>
      <c r="B2056" s="43" t="s">
        <v>209</v>
      </c>
      <c r="C2056" s="56">
        <v>45979</v>
      </c>
      <c r="D2056" s="156">
        <v>1518</v>
      </c>
      <c r="G2056" t="s">
        <v>1610</v>
      </c>
    </row>
    <row r="2057" spans="1:7">
      <c r="A2057" s="43" t="s">
        <v>152</v>
      </c>
      <c r="B2057" s="43" t="s">
        <v>150</v>
      </c>
      <c r="C2057" s="56">
        <v>45979</v>
      </c>
      <c r="D2057" s="156">
        <v>1679</v>
      </c>
      <c r="F2057" s="43" t="s">
        <v>1652</v>
      </c>
      <c r="G2057" t="s">
        <v>1610</v>
      </c>
    </row>
    <row r="2058" spans="1:7">
      <c r="A2058" s="43" t="s">
        <v>941</v>
      </c>
      <c r="B2058" s="43" t="s">
        <v>380</v>
      </c>
      <c r="C2058" s="56">
        <v>45979</v>
      </c>
      <c r="F2058" s="43" t="s">
        <v>1653</v>
      </c>
      <c r="G2058" t="s">
        <v>1610</v>
      </c>
    </row>
    <row r="2059" spans="1:7">
      <c r="A2059" t="s">
        <v>149</v>
      </c>
      <c r="B2059" s="43" t="s">
        <v>150</v>
      </c>
      <c r="C2059" s="56">
        <v>45979</v>
      </c>
      <c r="D2059" s="156">
        <v>1530</v>
      </c>
      <c r="F2059" s="43" t="s">
        <v>1654</v>
      </c>
      <c r="G2059" t="s">
        <v>1610</v>
      </c>
    </row>
    <row r="2060" spans="1:7">
      <c r="A2060" s="755" t="s">
        <v>219</v>
      </c>
      <c r="B2060" s="322" t="s">
        <v>883</v>
      </c>
      <c r="C2060" s="56">
        <v>45979</v>
      </c>
      <c r="D2060" s="43">
        <v>136</v>
      </c>
      <c r="F2060" s="69"/>
      <c r="G2060" t="s">
        <v>1610</v>
      </c>
    </row>
    <row r="2061" spans="1:7">
      <c r="A2061" s="69" t="s">
        <v>263</v>
      </c>
      <c r="B2061" s="43" t="s">
        <v>1315</v>
      </c>
      <c r="C2061" s="56">
        <v>45979</v>
      </c>
      <c r="D2061" s="43">
        <v>120</v>
      </c>
      <c r="F2061" s="69"/>
      <c r="G2061" t="s">
        <v>1610</v>
      </c>
    </row>
    <row r="2062" spans="1:7">
      <c r="A2062" s="636" t="s">
        <v>232</v>
      </c>
      <c r="B2062" s="677" t="s">
        <v>225</v>
      </c>
      <c r="C2062" s="56">
        <v>45979</v>
      </c>
      <c r="D2062" s="156">
        <v>1917</v>
      </c>
      <c r="F2062" s="69"/>
      <c r="G2062" t="s">
        <v>1610</v>
      </c>
    </row>
    <row r="2063" spans="1:7">
      <c r="A2063" s="43" t="s">
        <v>282</v>
      </c>
      <c r="B2063" s="43" t="s">
        <v>1535</v>
      </c>
      <c r="C2063" s="56">
        <v>45979</v>
      </c>
      <c r="D2063" s="156">
        <v>2351</v>
      </c>
      <c r="F2063" s="69"/>
      <c r="G2063" t="s">
        <v>1610</v>
      </c>
    </row>
    <row r="2064" spans="1:7">
      <c r="A2064" s="69" t="s">
        <v>413</v>
      </c>
      <c r="B2064" s="43" t="s">
        <v>150</v>
      </c>
      <c r="C2064" s="56">
        <v>45979</v>
      </c>
      <c r="D2064" s="156">
        <v>2684</v>
      </c>
      <c r="F2064" s="69"/>
      <c r="G2064" t="s">
        <v>1610</v>
      </c>
    </row>
    <row r="2065" spans="1:7">
      <c r="A2065" s="149" t="s">
        <v>301</v>
      </c>
      <c r="B2065" s="116" t="s">
        <v>150</v>
      </c>
      <c r="C2065" s="56">
        <v>45979</v>
      </c>
      <c r="D2065" s="156">
        <v>3613</v>
      </c>
      <c r="F2065" s="69"/>
      <c r="G2065" t="s">
        <v>1610</v>
      </c>
    </row>
    <row r="2066" spans="1:7">
      <c r="A2066" s="315" t="s">
        <v>945</v>
      </c>
      <c r="B2066" s="315" t="s">
        <v>1401</v>
      </c>
      <c r="C2066" s="56">
        <v>45980</v>
      </c>
      <c r="D2066" s="43">
        <v>480</v>
      </c>
      <c r="F2066" s="69" t="s">
        <v>1655</v>
      </c>
      <c r="G2066" t="s">
        <v>1610</v>
      </c>
    </row>
    <row r="2067" spans="1:7">
      <c r="A2067" s="142" t="s">
        <v>364</v>
      </c>
      <c r="B2067" s="142" t="s">
        <v>1315</v>
      </c>
      <c r="C2067" s="56">
        <v>45980</v>
      </c>
      <c r="E2067" s="325">
        <v>2996</v>
      </c>
      <c r="F2067" s="69" t="s">
        <v>1656</v>
      </c>
      <c r="G2067" t="s">
        <v>1610</v>
      </c>
    </row>
    <row r="2068" spans="1:7">
      <c r="A2068" s="308" t="s">
        <v>942</v>
      </c>
      <c r="B2068" s="308" t="s">
        <v>209</v>
      </c>
      <c r="C2068" s="56">
        <v>45980</v>
      </c>
      <c r="D2068" s="156">
        <v>1968</v>
      </c>
      <c r="E2068" s="204"/>
      <c r="F2068" s="149" t="s">
        <v>1657</v>
      </c>
      <c r="G2068" t="s">
        <v>1610</v>
      </c>
    </row>
    <row r="2069" spans="1:7">
      <c r="A2069" s="308" t="s">
        <v>152</v>
      </c>
      <c r="B2069" s="308" t="s">
        <v>150</v>
      </c>
      <c r="C2069" s="56">
        <v>45980</v>
      </c>
      <c r="D2069" s="325">
        <v>1429</v>
      </c>
      <c r="E2069" s="43"/>
      <c r="F2069" s="69" t="s">
        <v>1658</v>
      </c>
      <c r="G2069" t="s">
        <v>1610</v>
      </c>
    </row>
    <row r="2070" spans="1:7">
      <c r="A2070" s="309" t="s">
        <v>941</v>
      </c>
      <c r="B2070" s="308" t="s">
        <v>380</v>
      </c>
      <c r="C2070" s="56">
        <v>45980</v>
      </c>
      <c r="D2070" s="140"/>
      <c r="E2070" s="43"/>
      <c r="F2070" s="69" t="s">
        <v>1607</v>
      </c>
      <c r="G2070" t="s">
        <v>1610</v>
      </c>
    </row>
    <row r="2071" spans="1:7">
      <c r="A2071" s="315" t="s">
        <v>149</v>
      </c>
      <c r="B2071" s="311" t="s">
        <v>150</v>
      </c>
      <c r="C2071" s="56">
        <v>45980</v>
      </c>
      <c r="D2071" s="43">
        <v>954</v>
      </c>
      <c r="E2071" s="257"/>
      <c r="F2071" s="92" t="s">
        <v>1659</v>
      </c>
      <c r="G2071" t="s">
        <v>1610</v>
      </c>
    </row>
    <row r="2072" spans="1:7">
      <c r="A2072" s="755" t="s">
        <v>219</v>
      </c>
      <c r="B2072" s="322" t="s">
        <v>883</v>
      </c>
      <c r="C2072" s="56">
        <v>45980</v>
      </c>
      <c r="D2072" s="43">
        <v>170</v>
      </c>
      <c r="F2072" s="69"/>
      <c r="G2072" t="s">
        <v>1610</v>
      </c>
    </row>
    <row r="2073" spans="1:7">
      <c r="A2073" s="142" t="s">
        <v>263</v>
      </c>
      <c r="B2073" s="308" t="s">
        <v>1315</v>
      </c>
      <c r="C2073" s="56">
        <v>45980</v>
      </c>
      <c r="D2073" s="43">
        <v>550</v>
      </c>
      <c r="F2073" s="69"/>
      <c r="G2073" t="s">
        <v>1610</v>
      </c>
    </row>
    <row r="2074" spans="1:7">
      <c r="A2074" s="308" t="s">
        <v>282</v>
      </c>
      <c r="B2074" s="308" t="s">
        <v>1535</v>
      </c>
      <c r="C2074" s="56">
        <v>45980</v>
      </c>
      <c r="D2074" s="156">
        <v>1835</v>
      </c>
      <c r="F2074" s="69"/>
      <c r="G2074" t="s">
        <v>1610</v>
      </c>
    </row>
    <row r="2075" spans="1:7">
      <c r="A2075" s="142" t="s">
        <v>90</v>
      </c>
      <c r="B2075" s="142" t="s">
        <v>1315</v>
      </c>
      <c r="C2075" s="56">
        <v>45981</v>
      </c>
      <c r="F2075" s="69"/>
      <c r="G2075" t="s">
        <v>1610</v>
      </c>
    </row>
    <row r="2076" spans="1:7">
      <c r="A2076" s="309" t="s">
        <v>945</v>
      </c>
      <c r="B2076" s="309" t="s">
        <v>1660</v>
      </c>
      <c r="C2076" s="56">
        <v>45981</v>
      </c>
      <c r="F2076" s="69"/>
      <c r="G2076" t="s">
        <v>1610</v>
      </c>
    </row>
    <row r="2077" spans="1:7">
      <c r="A2077" s="315" t="s">
        <v>945</v>
      </c>
      <c r="B2077" s="315" t="s">
        <v>1401</v>
      </c>
      <c r="C2077" s="56">
        <v>45981</v>
      </c>
      <c r="F2077" s="69"/>
      <c r="G2077" t="s">
        <v>1610</v>
      </c>
    </row>
    <row r="2078" spans="1:7">
      <c r="A2078" s="315" t="s">
        <v>149</v>
      </c>
      <c r="B2078" s="142" t="s">
        <v>150</v>
      </c>
      <c r="C2078" s="56">
        <v>45981</v>
      </c>
      <c r="F2078" s="69"/>
      <c r="G2078" t="s">
        <v>1610</v>
      </c>
    </row>
    <row r="2079" spans="1:7">
      <c r="A2079" s="308" t="s">
        <v>942</v>
      </c>
      <c r="B2079" s="308" t="s">
        <v>209</v>
      </c>
      <c r="C2079" s="56">
        <v>45981</v>
      </c>
      <c r="F2079" s="69"/>
      <c r="G2079" t="s">
        <v>1610</v>
      </c>
    </row>
    <row r="2080" spans="1:7">
      <c r="A2080" s="308" t="s">
        <v>152</v>
      </c>
      <c r="B2080" s="308" t="s">
        <v>150</v>
      </c>
      <c r="C2080" s="56">
        <v>45981</v>
      </c>
      <c r="F2080" s="69"/>
      <c r="G2080" t="s">
        <v>1610</v>
      </c>
    </row>
    <row r="2081" spans="1:7">
      <c r="A2081" s="309" t="s">
        <v>364</v>
      </c>
      <c r="B2081" s="142" t="s">
        <v>1315</v>
      </c>
      <c r="C2081" s="56">
        <v>45981</v>
      </c>
      <c r="E2081" s="140">
        <v>728</v>
      </c>
      <c r="F2081" s="69"/>
      <c r="G2081" t="s">
        <v>1610</v>
      </c>
    </row>
    <row r="2082" spans="1:7">
      <c r="A2082" s="310" t="s">
        <v>943</v>
      </c>
      <c r="B2082" s="322" t="s">
        <v>883</v>
      </c>
      <c r="C2082" s="56">
        <v>45981</v>
      </c>
      <c r="F2082" s="69"/>
      <c r="G2082" t="s">
        <v>1610</v>
      </c>
    </row>
    <row r="2083" spans="1:7">
      <c r="A2083" s="142" t="s">
        <v>263</v>
      </c>
      <c r="B2083" s="308" t="s">
        <v>1315</v>
      </c>
      <c r="C2083" s="56">
        <v>45981</v>
      </c>
      <c r="F2083" s="69"/>
      <c r="G2083" t="s">
        <v>1610</v>
      </c>
    </row>
    <row r="2084" spans="1:7">
      <c r="A2084" s="308" t="s">
        <v>232</v>
      </c>
      <c r="B2084" s="1072" t="s">
        <v>225</v>
      </c>
      <c r="C2084" s="56">
        <v>45981</v>
      </c>
      <c r="F2084" s="69"/>
      <c r="G2084" t="s">
        <v>1610</v>
      </c>
    </row>
    <row r="2085" spans="1:7">
      <c r="A2085" s="308" t="s">
        <v>282</v>
      </c>
      <c r="B2085" s="308" t="s">
        <v>1535</v>
      </c>
      <c r="C2085" s="56">
        <v>45981</v>
      </c>
      <c r="F2085" s="69"/>
      <c r="G2085" t="s">
        <v>1610</v>
      </c>
    </row>
    <row r="2086" spans="1:7">
      <c r="A2086" s="322" t="s">
        <v>413</v>
      </c>
      <c r="B2086" s="398" t="s">
        <v>150</v>
      </c>
      <c r="C2086" s="56">
        <v>45981</v>
      </c>
      <c r="F2086" s="69"/>
      <c r="G2086" t="s">
        <v>1610</v>
      </c>
    </row>
    <row r="2087" spans="1:7">
      <c r="A2087" s="359" t="s">
        <v>301</v>
      </c>
      <c r="B2087" s="368" t="s">
        <v>150</v>
      </c>
      <c r="C2087" s="56">
        <v>45981</v>
      </c>
      <c r="F2087" s="69"/>
      <c r="G2087" t="s">
        <v>1610</v>
      </c>
    </row>
    <row r="2088" spans="1:7">
      <c r="A2088" s="322" t="s">
        <v>417</v>
      </c>
      <c r="B2088" s="398" t="s">
        <v>150</v>
      </c>
      <c r="C2088" s="56">
        <v>45981</v>
      </c>
      <c r="F2088" s="69"/>
      <c r="G2088" t="s">
        <v>1610</v>
      </c>
    </row>
    <row r="2089" spans="1:7">
      <c r="A2089" s="360" t="s">
        <v>303</v>
      </c>
      <c r="B2089" s="311" t="s">
        <v>150</v>
      </c>
      <c r="C2089" s="56">
        <v>45981</v>
      </c>
      <c r="G2089"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1661</v>
      </c>
      <c r="Q1" s="160" t="s">
        <v>1662</v>
      </c>
      <c r="R1" s="128" t="s">
        <v>1663</v>
      </c>
      <c r="S1" s="128" t="s">
        <v>1664</v>
      </c>
      <c r="T1" s="160" t="s">
        <v>1665</v>
      </c>
      <c r="U1" s="128" t="s">
        <v>1020</v>
      </c>
      <c r="V1" s="161" t="s">
        <v>1666</v>
      </c>
      <c r="W1" s="161" t="s">
        <v>1667</v>
      </c>
      <c r="X1" s="164" t="s">
        <v>1668</v>
      </c>
      <c r="Y1" s="262" t="e" cm="1">
        <f t="array" ref="Y1">VLOOKUP(#REF!,#REF!, FALSE)</f>
        <v>#REF!</v>
      </c>
    </row>
    <row r="2" spans="1:25">
      <c r="A2" s="181" t="s">
        <v>325</v>
      </c>
      <c r="B2" s="183" t="s">
        <v>213</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213</v>
      </c>
      <c r="C3" s="711">
        <v>45742</v>
      </c>
      <c r="D3" s="712" t="s">
        <v>421</v>
      </c>
      <c r="E3" s="194"/>
      <c r="F3" s="139"/>
      <c r="G3" s="139"/>
      <c r="H3" s="188">
        <v>0</v>
      </c>
      <c r="I3" s="184"/>
      <c r="J3" s="188" t="s">
        <v>57</v>
      </c>
      <c r="K3" s="188" t="s">
        <v>57</v>
      </c>
      <c r="L3" s="188" t="s">
        <v>63</v>
      </c>
      <c r="M3" s="196">
        <v>45716</v>
      </c>
      <c r="N3" s="87" t="s">
        <v>290</v>
      </c>
      <c r="O3" s="54">
        <v>45721</v>
      </c>
      <c r="P3" s="87" t="s">
        <v>290</v>
      </c>
      <c r="Q3" s="69" t="s">
        <v>290</v>
      </c>
      <c r="R3" s="69" t="s">
        <v>290</v>
      </c>
      <c r="S3" s="69" t="s">
        <v>56</v>
      </c>
      <c r="T3" s="69" t="s">
        <v>290</v>
      </c>
      <c r="U3" s="69" t="s">
        <v>290</v>
      </c>
      <c r="V3" s="69" t="s">
        <v>95</v>
      </c>
      <c r="W3" s="79"/>
      <c r="X3" s="69" t="s">
        <v>95</v>
      </c>
      <c r="Y3" t="e">
        <f>VLOOKUP(A3,#REF!,2,FALSE)</f>
        <v>#REF!</v>
      </c>
    </row>
    <row r="4" spans="1:25">
      <c r="A4" s="376" t="s">
        <v>943</v>
      </c>
      <c r="B4" s="421" t="s">
        <v>213</v>
      </c>
      <c r="C4" s="422">
        <v>45742</v>
      </c>
      <c r="D4" s="718" t="s">
        <v>1669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213</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213</v>
      </c>
      <c r="C6" s="422">
        <v>45747</v>
      </c>
      <c r="D6" s="715" t="s">
        <v>506</v>
      </c>
      <c r="E6" s="193"/>
      <c r="F6" s="138"/>
      <c r="G6" s="138"/>
      <c r="H6" s="188">
        <v>56</v>
      </c>
      <c r="I6" s="184"/>
      <c r="J6" s="191" t="s">
        <v>57</v>
      </c>
      <c r="K6" s="191" t="s">
        <v>57</v>
      </c>
      <c r="L6" s="188" t="s">
        <v>63</v>
      </c>
      <c r="M6" s="198">
        <v>45701</v>
      </c>
      <c r="N6" s="30" t="s">
        <v>290</v>
      </c>
      <c r="O6" s="367">
        <v>45718</v>
      </c>
      <c r="P6" s="30" t="s">
        <v>290</v>
      </c>
      <c r="Q6" s="345" t="s">
        <v>290</v>
      </c>
      <c r="R6" s="43" t="s">
        <v>1670</v>
      </c>
      <c r="S6" s="43" t="s">
        <v>290</v>
      </c>
      <c r="T6" s="43" t="s">
        <v>290</v>
      </c>
      <c r="U6" s="158" t="s">
        <v>290</v>
      </c>
      <c r="V6" s="69" t="s">
        <v>95</v>
      </c>
      <c r="W6" s="79"/>
      <c r="X6" s="69" t="s">
        <v>95</v>
      </c>
      <c r="Y6" t="e">
        <f>VLOOKUP(A6,#REF!,2,FALSE)</f>
        <v>#REF!</v>
      </c>
    </row>
    <row r="7" spans="1:25">
      <c r="A7" s="396" t="s">
        <v>851</v>
      </c>
      <c r="B7" s="708" t="s">
        <v>213</v>
      </c>
      <c r="C7" s="397">
        <v>45742</v>
      </c>
      <c r="D7" s="425" t="s">
        <v>332</v>
      </c>
      <c r="E7" s="540"/>
      <c r="F7" s="541"/>
      <c r="G7" s="541"/>
      <c r="H7" s="182">
        <v>60</v>
      </c>
      <c r="I7" s="184"/>
      <c r="J7" s="188" t="s">
        <v>57</v>
      </c>
      <c r="K7" s="188" t="s">
        <v>57</v>
      </c>
      <c r="L7" s="188" t="s">
        <v>63</v>
      </c>
      <c r="M7" s="196">
        <v>45716</v>
      </c>
      <c r="N7" s="30" t="s">
        <v>290</v>
      </c>
      <c r="O7" s="79" t="s">
        <v>290</v>
      </c>
      <c r="P7" s="30" t="s">
        <v>290</v>
      </c>
      <c r="Q7" s="345" t="s">
        <v>290</v>
      </c>
      <c r="R7" s="43" t="s">
        <v>1670</v>
      </c>
      <c r="S7" s="43" t="s">
        <v>290</v>
      </c>
      <c r="T7" s="43" t="s">
        <v>290</v>
      </c>
      <c r="U7" s="43" t="s">
        <v>290</v>
      </c>
      <c r="V7" s="69" t="s">
        <v>95</v>
      </c>
      <c r="W7" s="30"/>
      <c r="X7" s="69" t="s">
        <v>95</v>
      </c>
      <c r="Y7" t="e">
        <f>VLOOKUP(A7,#REF!,2,FALSE)</f>
        <v>#REF!</v>
      </c>
    </row>
    <row r="8" spans="1:25">
      <c r="A8" s="178" t="s">
        <v>426</v>
      </c>
      <c r="B8" s="183" t="s">
        <v>213</v>
      </c>
      <c r="C8" s="179">
        <v>45742</v>
      </c>
      <c r="D8" s="188" t="s">
        <v>1671</v>
      </c>
      <c r="E8" s="121"/>
      <c r="F8" s="109"/>
      <c r="G8" s="109"/>
      <c r="H8" s="182">
        <v>84</v>
      </c>
      <c r="I8" s="184"/>
      <c r="J8" s="188" t="s">
        <v>57</v>
      </c>
      <c r="K8" s="188" t="s">
        <v>57</v>
      </c>
      <c r="L8" s="188" t="s">
        <v>63</v>
      </c>
      <c r="M8" s="196">
        <v>45716</v>
      </c>
      <c r="N8" s="30" t="s">
        <v>290</v>
      </c>
      <c r="O8" s="30" t="s">
        <v>290</v>
      </c>
      <c r="P8" s="733" t="s">
        <v>290</v>
      </c>
      <c r="Q8" s="69" t="s">
        <v>290</v>
      </c>
      <c r="R8" s="43" t="s">
        <v>1670</v>
      </c>
      <c r="S8" s="43" t="s">
        <v>290</v>
      </c>
      <c r="T8" s="43" t="s">
        <v>290</v>
      </c>
      <c r="U8" s="43" t="s">
        <v>290</v>
      </c>
      <c r="V8" s="69" t="s">
        <v>95</v>
      </c>
      <c r="W8" s="30"/>
      <c r="X8" s="69" t="s">
        <v>95</v>
      </c>
      <c r="Y8" t="e">
        <f>VLOOKUP(A8,#REF!,2,FALSE)</f>
        <v>#REF!</v>
      </c>
    </row>
    <row r="9" spans="1:25">
      <c r="A9" s="178" t="s">
        <v>853</v>
      </c>
      <c r="B9" s="183" t="s">
        <v>213</v>
      </c>
      <c r="C9" s="179">
        <v>45742</v>
      </c>
      <c r="D9" s="537" t="s">
        <v>427</v>
      </c>
      <c r="E9" s="194"/>
      <c r="F9" s="139"/>
      <c r="G9" s="139"/>
      <c r="H9" s="188">
        <v>79</v>
      </c>
      <c r="I9" s="184"/>
      <c r="J9" s="188" t="s">
        <v>57</v>
      </c>
      <c r="K9" s="188" t="s">
        <v>57</v>
      </c>
      <c r="L9" s="188" t="s">
        <v>63</v>
      </c>
      <c r="M9" s="196">
        <v>45716</v>
      </c>
      <c r="N9" s="120" t="s">
        <v>290</v>
      </c>
      <c r="O9" s="54">
        <v>45718</v>
      </c>
      <c r="P9" s="120" t="s">
        <v>290</v>
      </c>
      <c r="Q9" s="69" t="s">
        <v>290</v>
      </c>
      <c r="R9" s="43" t="s">
        <v>1670</v>
      </c>
      <c r="S9" s="43" t="s">
        <v>290</v>
      </c>
      <c r="T9" s="43" t="s">
        <v>290</v>
      </c>
      <c r="U9" s="43" t="s">
        <v>290</v>
      </c>
      <c r="V9" s="69" t="s">
        <v>95</v>
      </c>
      <c r="W9" s="30"/>
      <c r="X9" s="69" t="s">
        <v>95</v>
      </c>
      <c r="Y9" t="e">
        <f>VLOOKUP(A9,#REF!,2,FALSE)</f>
        <v>#REF!</v>
      </c>
    </row>
    <row r="10" spans="1:25">
      <c r="A10" s="178" t="s">
        <v>855</v>
      </c>
      <c r="B10" s="183" t="s">
        <v>213</v>
      </c>
      <c r="C10" s="318">
        <v>45742</v>
      </c>
      <c r="D10" s="424" t="s">
        <v>854</v>
      </c>
      <c r="E10" s="194"/>
      <c r="F10" s="139"/>
      <c r="G10" s="139"/>
      <c r="H10" s="188">
        <v>83</v>
      </c>
      <c r="I10" s="184"/>
      <c r="J10" s="188" t="s">
        <v>57</v>
      </c>
      <c r="K10" s="188" t="s">
        <v>57</v>
      </c>
      <c r="L10" s="188" t="s">
        <v>63</v>
      </c>
      <c r="M10" s="196">
        <v>45716</v>
      </c>
      <c r="N10" s="30" t="s">
        <v>290</v>
      </c>
      <c r="O10" s="30" t="s">
        <v>290</v>
      </c>
      <c r="P10" s="30" t="s">
        <v>290</v>
      </c>
      <c r="Q10" s="43" t="s">
        <v>290</v>
      </c>
      <c r="R10" s="43" t="s">
        <v>1670</v>
      </c>
      <c r="S10" s="43" t="s">
        <v>290</v>
      </c>
      <c r="T10" s="43" t="s">
        <v>290</v>
      </c>
      <c r="U10" s="162" t="s">
        <v>290</v>
      </c>
      <c r="V10" s="345" t="s">
        <v>95</v>
      </c>
      <c r="W10" s="30"/>
      <c r="X10" s="69" t="s">
        <v>95</v>
      </c>
      <c r="Y10" t="e">
        <f>VLOOKUP(A10,#REF!,2,FALSE)</f>
        <v>#REF!</v>
      </c>
    </row>
    <row r="11" spans="1:25">
      <c r="A11" s="184" t="s">
        <v>330</v>
      </c>
      <c r="B11" s="436" t="s">
        <v>213</v>
      </c>
      <c r="C11" s="179">
        <v>45991</v>
      </c>
      <c r="D11" s="552" t="s">
        <v>332</v>
      </c>
      <c r="E11" s="121">
        <v>31</v>
      </c>
      <c r="F11" s="109"/>
      <c r="G11" s="109"/>
      <c r="H11" s="188">
        <v>31</v>
      </c>
      <c r="I11" s="184"/>
      <c r="J11" s="188" t="s">
        <v>57</v>
      </c>
      <c r="K11" s="188" t="s">
        <v>57</v>
      </c>
      <c r="L11" s="188" t="s">
        <v>63</v>
      </c>
      <c r="M11" s="198">
        <v>45716</v>
      </c>
      <c r="N11" s="30" t="s">
        <v>64</v>
      </c>
      <c r="O11" s="54">
        <v>45716</v>
      </c>
      <c r="P11" s="87" t="s">
        <v>290</v>
      </c>
      <c r="Q11" s="69" t="s">
        <v>290</v>
      </c>
      <c r="R11" s="43" t="s">
        <v>1670</v>
      </c>
      <c r="S11" s="43" t="s">
        <v>290</v>
      </c>
      <c r="T11" s="43" t="s">
        <v>290</v>
      </c>
      <c r="U11" s="345" t="s">
        <v>95</v>
      </c>
      <c r="V11" s="69" t="s">
        <v>95</v>
      </c>
      <c r="W11" s="30"/>
      <c r="X11" s="43"/>
    </row>
    <row r="12" spans="1:25">
      <c r="A12" s="178" t="s">
        <v>333</v>
      </c>
      <c r="B12" s="183" t="s">
        <v>213</v>
      </c>
      <c r="C12" s="179">
        <v>45772</v>
      </c>
      <c r="D12" s="202" t="s">
        <v>332</v>
      </c>
      <c r="E12" s="194"/>
      <c r="F12" s="139"/>
      <c r="G12" s="139"/>
      <c r="H12" s="188">
        <v>31</v>
      </c>
      <c r="I12" s="184"/>
      <c r="J12" s="188" t="s">
        <v>57</v>
      </c>
      <c r="K12" s="188" t="s">
        <v>57</v>
      </c>
      <c r="L12" s="188" t="s">
        <v>63</v>
      </c>
      <c r="M12" s="196">
        <v>45716</v>
      </c>
      <c r="N12" s="30" t="s">
        <v>64</v>
      </c>
      <c r="O12" s="54">
        <v>45716</v>
      </c>
      <c r="P12" s="87" t="s">
        <v>290</v>
      </c>
      <c r="Q12" s="69" t="s">
        <v>290</v>
      </c>
      <c r="R12" s="43" t="s">
        <v>1670</v>
      </c>
      <c r="S12" s="43" t="s">
        <v>290</v>
      </c>
      <c r="T12" s="43" t="s">
        <v>290</v>
      </c>
      <c r="U12" s="69" t="s">
        <v>95</v>
      </c>
      <c r="V12" s="69" t="s">
        <v>95</v>
      </c>
      <c r="W12" s="30"/>
      <c r="X12" s="69" t="s">
        <v>95</v>
      </c>
      <c r="Y12" t="e">
        <f>VLOOKUP(A12,#REF!,2,FALSE)</f>
        <v>#REF!</v>
      </c>
    </row>
    <row r="13" spans="1:25">
      <c r="A13" s="181" t="s">
        <v>263</v>
      </c>
      <c r="B13" s="183" t="s">
        <v>213</v>
      </c>
      <c r="C13" s="423">
        <v>45960</v>
      </c>
      <c r="D13" s="432" t="s">
        <v>264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336</v>
      </c>
      <c r="B14" s="183" t="s">
        <v>213</v>
      </c>
      <c r="C14" s="180">
        <v>45991</v>
      </c>
      <c r="D14" s="424" t="s">
        <v>337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213</v>
      </c>
      <c r="C15" s="318">
        <v>45711</v>
      </c>
      <c r="D15" s="654" t="s">
        <v>710</v>
      </c>
      <c r="E15" s="121"/>
      <c r="F15" s="109"/>
      <c r="G15" s="109"/>
      <c r="H15" s="188">
        <v>0</v>
      </c>
      <c r="I15" s="184"/>
      <c r="J15" s="188" t="s">
        <v>57</v>
      </c>
      <c r="K15" s="188" t="s">
        <v>57</v>
      </c>
      <c r="L15" s="188" t="s">
        <v>63</v>
      </c>
      <c r="M15" s="198">
        <v>45701</v>
      </c>
      <c r="N15" s="30" t="s">
        <v>290</v>
      </c>
      <c r="O15" s="54">
        <v>45718</v>
      </c>
      <c r="P15" s="30" t="s">
        <v>290</v>
      </c>
      <c r="Q15" s="43" t="s">
        <v>290</v>
      </c>
      <c r="R15" s="43" t="s">
        <v>290</v>
      </c>
      <c r="S15" s="43" t="s">
        <v>56</v>
      </c>
      <c r="T15" s="43" t="s">
        <v>290</v>
      </c>
      <c r="U15" s="43" t="s">
        <v>290</v>
      </c>
      <c r="V15" s="43" t="s">
        <v>290</v>
      </c>
      <c r="W15" s="54">
        <v>45856</v>
      </c>
      <c r="X15" s="69" t="s">
        <v>1672</v>
      </c>
      <c r="Y15" t="e">
        <f>VLOOKUP(A15,#REF!,2,FALSE)</f>
        <v>#REF!</v>
      </c>
    </row>
    <row r="16" spans="1:25">
      <c r="A16" s="178" t="s">
        <v>711</v>
      </c>
      <c r="B16" s="183" t="s">
        <v>213</v>
      </c>
      <c r="C16" s="318">
        <v>45742</v>
      </c>
      <c r="D16" s="721" t="s">
        <v>713</v>
      </c>
      <c r="E16" s="194"/>
      <c r="F16" s="139"/>
      <c r="G16" s="139"/>
      <c r="H16" s="188">
        <v>0</v>
      </c>
      <c r="I16" s="184"/>
      <c r="J16" s="188" t="s">
        <v>57</v>
      </c>
      <c r="K16" s="188" t="s">
        <v>57</v>
      </c>
      <c r="L16" s="188" t="s">
        <v>63</v>
      </c>
      <c r="M16" s="198" t="s">
        <v>1673</v>
      </c>
      <c r="N16" s="30" t="s">
        <v>290</v>
      </c>
      <c r="O16" s="54" t="s">
        <v>1673</v>
      </c>
      <c r="P16" s="30" t="s">
        <v>290</v>
      </c>
      <c r="Q16" s="69" t="s">
        <v>290</v>
      </c>
      <c r="R16" s="43" t="s">
        <v>290</v>
      </c>
      <c r="S16" s="43" t="s">
        <v>56</v>
      </c>
      <c r="T16" s="43" t="s">
        <v>290</v>
      </c>
      <c r="U16" s="69" t="s">
        <v>95</v>
      </c>
      <c r="V16" s="69" t="s">
        <v>95</v>
      </c>
      <c r="W16" s="30"/>
      <c r="X16" s="69" t="s">
        <v>95</v>
      </c>
      <c r="Y16" t="e">
        <f>VLOOKUP(A16,#REF!,2,FALSE)</f>
        <v>#REF!</v>
      </c>
    </row>
    <row r="17" spans="1:25">
      <c r="A17" s="181" t="s">
        <v>428</v>
      </c>
      <c r="B17" s="183" t="s">
        <v>213</v>
      </c>
      <c r="C17" s="180">
        <v>45991</v>
      </c>
      <c r="D17" s="736" t="s">
        <v>429</v>
      </c>
      <c r="E17" s="194"/>
      <c r="F17" s="139"/>
      <c r="G17" s="139"/>
      <c r="H17" s="188">
        <v>0</v>
      </c>
      <c r="I17" s="184"/>
      <c r="J17" s="188" t="s">
        <v>57</v>
      </c>
      <c r="K17" s="188" t="s">
        <v>57</v>
      </c>
      <c r="L17" s="188" t="s">
        <v>63</v>
      </c>
      <c r="M17" s="198">
        <v>45863</v>
      </c>
      <c r="N17" s="30" t="s">
        <v>290</v>
      </c>
      <c r="O17" s="54">
        <v>45863</v>
      </c>
      <c r="P17" s="30" t="s">
        <v>290</v>
      </c>
      <c r="Q17" s="69" t="s">
        <v>290</v>
      </c>
      <c r="R17" s="43" t="s">
        <v>290</v>
      </c>
      <c r="S17" s="43" t="s">
        <v>56</v>
      </c>
      <c r="T17" s="43" t="s">
        <v>290</v>
      </c>
      <c r="U17" s="69" t="s">
        <v>95</v>
      </c>
      <c r="V17" s="69" t="s">
        <v>95</v>
      </c>
      <c r="W17" s="30"/>
      <c r="X17" s="43"/>
    </row>
    <row r="18" spans="1:25">
      <c r="A18" s="181" t="s">
        <v>430</v>
      </c>
      <c r="B18" s="183" t="s">
        <v>213</v>
      </c>
      <c r="C18" s="423">
        <v>45991</v>
      </c>
      <c r="D18" s="424" t="s">
        <v>431</v>
      </c>
      <c r="E18" s="194"/>
      <c r="F18" s="139"/>
      <c r="G18" s="139"/>
      <c r="H18" s="188">
        <v>0</v>
      </c>
      <c r="I18" s="184"/>
      <c r="J18" s="188" t="s">
        <v>57</v>
      </c>
      <c r="K18" s="188" t="s">
        <v>57</v>
      </c>
      <c r="L18" s="188" t="s">
        <v>63</v>
      </c>
      <c r="M18" s="198">
        <v>45881</v>
      </c>
      <c r="N18" s="30" t="s">
        <v>290</v>
      </c>
      <c r="O18" s="198">
        <v>45881</v>
      </c>
      <c r="P18" s="30" t="s">
        <v>290</v>
      </c>
      <c r="Q18" s="69" t="s">
        <v>290</v>
      </c>
      <c r="R18" s="43" t="s">
        <v>290</v>
      </c>
      <c r="S18" s="43" t="s">
        <v>56</v>
      </c>
      <c r="T18" s="43" t="s">
        <v>290</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290</v>
      </c>
      <c r="O19" s="54">
        <v>45873</v>
      </c>
      <c r="P19" s="87" t="s">
        <v>290</v>
      </c>
      <c r="Q19" s="69" t="s">
        <v>290</v>
      </c>
      <c r="R19" s="69" t="s">
        <v>290</v>
      </c>
      <c r="S19" s="69" t="s">
        <v>56</v>
      </c>
      <c r="T19" s="69" t="s">
        <v>290</v>
      </c>
      <c r="U19" s="69" t="s">
        <v>290</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290</v>
      </c>
      <c r="O20" s="125">
        <v>45709</v>
      </c>
      <c r="P20" s="87" t="s">
        <v>290</v>
      </c>
      <c r="Q20" s="69" t="s">
        <v>290</v>
      </c>
      <c r="R20" s="69" t="s">
        <v>290</v>
      </c>
      <c r="S20" s="69" t="s">
        <v>56</v>
      </c>
      <c r="T20" s="69" t="s">
        <v>290</v>
      </c>
      <c r="U20" s="69" t="s">
        <v>290</v>
      </c>
      <c r="V20" s="69" t="s">
        <v>290</v>
      </c>
      <c r="W20" s="54">
        <v>45811</v>
      </c>
      <c r="X20" s="69" t="s">
        <v>1672</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290</v>
      </c>
      <c r="O21" s="54">
        <v>45737</v>
      </c>
      <c r="P21" s="87" t="s">
        <v>290</v>
      </c>
      <c r="Q21" s="69" t="s">
        <v>290</v>
      </c>
      <c r="R21" s="69" t="s">
        <v>290</v>
      </c>
      <c r="S21" s="69" t="s">
        <v>56</v>
      </c>
      <c r="T21" s="69" t="s">
        <v>290</v>
      </c>
      <c r="U21" s="69" t="s">
        <v>290</v>
      </c>
      <c r="V21" s="69" t="s">
        <v>290</v>
      </c>
      <c r="W21" s="54">
        <v>45779</v>
      </c>
      <c r="X21" s="69" t="s">
        <v>1672</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290</v>
      </c>
      <c r="O22" s="54">
        <v>45814</v>
      </c>
      <c r="P22" s="87" t="s">
        <v>290</v>
      </c>
      <c r="Q22" s="69" t="s">
        <v>290</v>
      </c>
      <c r="R22" s="69" t="s">
        <v>290</v>
      </c>
      <c r="S22" s="69" t="s">
        <v>56</v>
      </c>
      <c r="T22" s="69" t="s">
        <v>290</v>
      </c>
      <c r="U22" s="69" t="s">
        <v>290</v>
      </c>
      <c r="V22" s="69" t="s">
        <v>290</v>
      </c>
      <c r="W22" s="54">
        <v>45848</v>
      </c>
      <c r="X22" s="69" t="s">
        <v>1672</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290</v>
      </c>
      <c r="O23" s="54">
        <v>45789</v>
      </c>
      <c r="P23" s="87" t="s">
        <v>290</v>
      </c>
      <c r="Q23" s="69" t="s">
        <v>290</v>
      </c>
      <c r="R23" s="69" t="s">
        <v>290</v>
      </c>
      <c r="S23" s="69" t="s">
        <v>56</v>
      </c>
      <c r="T23" s="69" t="s">
        <v>290</v>
      </c>
      <c r="U23" s="69" t="s">
        <v>290</v>
      </c>
      <c r="V23" s="69" t="s">
        <v>290</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290</v>
      </c>
      <c r="O24" s="54">
        <v>45782</v>
      </c>
      <c r="P24" s="87" t="s">
        <v>290</v>
      </c>
      <c r="Q24" s="69" t="s">
        <v>290</v>
      </c>
      <c r="R24" s="69" t="s">
        <v>290</v>
      </c>
      <c r="S24" s="69" t="s">
        <v>56</v>
      </c>
      <c r="T24" s="69" t="s">
        <v>290</v>
      </c>
      <c r="U24" s="69" t="s">
        <v>290</v>
      </c>
      <c r="V24" s="69" t="s">
        <v>290</v>
      </c>
      <c r="W24" s="54">
        <v>45826</v>
      </c>
      <c r="X24" s="69" t="s">
        <v>1672</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290</v>
      </c>
      <c r="O25" s="125">
        <v>45716</v>
      </c>
      <c r="P25" s="87" t="s">
        <v>290</v>
      </c>
      <c r="Q25" s="69" t="s">
        <v>290</v>
      </c>
      <c r="R25" s="69" t="s">
        <v>290</v>
      </c>
      <c r="S25" s="69" t="s">
        <v>56</v>
      </c>
      <c r="T25" s="69" t="s">
        <v>290</v>
      </c>
      <c r="U25" s="69" t="s">
        <v>290</v>
      </c>
      <c r="V25" s="69" t="s">
        <v>290</v>
      </c>
      <c r="W25" s="54">
        <v>45793</v>
      </c>
      <c r="X25" s="69" t="s">
        <v>1672</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290</v>
      </c>
      <c r="O26" s="54">
        <v>45840</v>
      </c>
      <c r="P26" s="87" t="s">
        <v>290</v>
      </c>
      <c r="Q26" s="69" t="s">
        <v>290</v>
      </c>
      <c r="R26" s="69" t="s">
        <v>290</v>
      </c>
      <c r="S26" s="69" t="s">
        <v>56</v>
      </c>
      <c r="T26" s="69" t="s">
        <v>290</v>
      </c>
      <c r="U26" s="69" t="s">
        <v>290</v>
      </c>
      <c r="V26" s="69" t="s">
        <v>290</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290</v>
      </c>
      <c r="O27" s="54">
        <v>45853</v>
      </c>
      <c r="P27" s="87" t="s">
        <v>290</v>
      </c>
      <c r="Q27" s="69" t="s">
        <v>290</v>
      </c>
      <c r="R27" s="69" t="s">
        <v>290</v>
      </c>
      <c r="S27" s="69" t="s">
        <v>56</v>
      </c>
      <c r="T27" s="69" t="s">
        <v>290</v>
      </c>
      <c r="U27" s="69" t="s">
        <v>290</v>
      </c>
      <c r="V27" s="69" t="s">
        <v>290</v>
      </c>
      <c r="W27" s="30"/>
      <c r="X27" s="69"/>
    </row>
    <row r="28" spans="1:25">
      <c r="A28" s="183" t="s">
        <v>354</v>
      </c>
      <c r="B28" s="178" t="s">
        <v>116</v>
      </c>
      <c r="C28" s="186">
        <v>45868</v>
      </c>
      <c r="D28" s="182" t="s">
        <v>355</v>
      </c>
      <c r="E28" s="195"/>
      <c r="F28" s="137"/>
      <c r="G28" s="137"/>
      <c r="H28" s="191">
        <v>0</v>
      </c>
      <c r="I28" s="184"/>
      <c r="J28" s="191" t="s">
        <v>57</v>
      </c>
      <c r="K28" s="191" t="s">
        <v>57</v>
      </c>
      <c r="L28" s="191" t="s">
        <v>63</v>
      </c>
      <c r="M28" s="198">
        <v>45793</v>
      </c>
      <c r="N28" s="87" t="s">
        <v>290</v>
      </c>
      <c r="O28" s="54">
        <v>45793</v>
      </c>
      <c r="P28" s="87" t="s">
        <v>290</v>
      </c>
      <c r="Q28" s="69" t="s">
        <v>290</v>
      </c>
      <c r="R28" s="69" t="s">
        <v>290</v>
      </c>
      <c r="S28" s="69" t="s">
        <v>56</v>
      </c>
      <c r="T28" s="69" t="s">
        <v>290</v>
      </c>
      <c r="U28" s="69" t="s">
        <v>290</v>
      </c>
      <c r="V28" s="69" t="s">
        <v>290</v>
      </c>
      <c r="W28" s="30"/>
      <c r="X28" s="69"/>
    </row>
    <row r="29" spans="1:25">
      <c r="A29" s="181" t="s">
        <v>519</v>
      </c>
      <c r="B29" s="178" t="s">
        <v>116</v>
      </c>
      <c r="C29" s="179">
        <v>45711</v>
      </c>
      <c r="D29" s="202" t="s">
        <v>335</v>
      </c>
      <c r="E29" s="723"/>
      <c r="F29" s="727"/>
      <c r="G29" s="727"/>
      <c r="H29" s="182">
        <v>54</v>
      </c>
      <c r="I29" s="184"/>
      <c r="J29" s="192" t="s">
        <v>57</v>
      </c>
      <c r="K29" s="192" t="s">
        <v>57</v>
      </c>
      <c r="L29" s="182" t="s">
        <v>63</v>
      </c>
      <c r="M29" s="198">
        <v>45659</v>
      </c>
      <c r="N29" s="30" t="s">
        <v>290</v>
      </c>
      <c r="O29" s="125">
        <v>45692</v>
      </c>
      <c r="P29" s="30" t="s">
        <v>290</v>
      </c>
      <c r="Q29" s="43" t="s">
        <v>290</v>
      </c>
      <c r="R29" s="43" t="s">
        <v>290</v>
      </c>
      <c r="S29" s="43" t="s">
        <v>290</v>
      </c>
      <c r="T29" s="43" t="s">
        <v>290</v>
      </c>
      <c r="U29" s="43" t="s">
        <v>290</v>
      </c>
      <c r="V29" s="69" t="s">
        <v>290</v>
      </c>
      <c r="W29" s="54">
        <v>45789</v>
      </c>
      <c r="X29" s="69" t="s">
        <v>1672</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290</v>
      </c>
      <c r="O30" s="125">
        <v>45692</v>
      </c>
      <c r="P30" s="30" t="s">
        <v>290</v>
      </c>
      <c r="Q30" s="43" t="s">
        <v>290</v>
      </c>
      <c r="R30" s="43" t="s">
        <v>290</v>
      </c>
      <c r="S30" s="43" t="s">
        <v>290</v>
      </c>
      <c r="T30" s="43" t="s">
        <v>290</v>
      </c>
      <c r="U30" s="116" t="s">
        <v>290</v>
      </c>
      <c r="V30" s="69" t="s">
        <v>290</v>
      </c>
      <c r="W30" s="54">
        <v>45789</v>
      </c>
      <c r="X30" s="69" t="s">
        <v>1672</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290</v>
      </c>
      <c r="O31" s="54">
        <v>45707</v>
      </c>
      <c r="P31" s="87" t="s">
        <v>290</v>
      </c>
      <c r="Q31" s="43" t="s">
        <v>290</v>
      </c>
      <c r="R31" s="43" t="s">
        <v>1670</v>
      </c>
      <c r="S31" s="43" t="s">
        <v>290</v>
      </c>
      <c r="T31" s="140" t="s">
        <v>290</v>
      </c>
      <c r="U31" s="116" t="s">
        <v>290</v>
      </c>
      <c r="V31" s="69" t="s">
        <v>290</v>
      </c>
      <c r="W31" s="54">
        <v>45779</v>
      </c>
      <c r="X31" s="69" t="s">
        <v>1672</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290</v>
      </c>
      <c r="O32" s="54">
        <v>45756</v>
      </c>
      <c r="P32" s="30" t="s">
        <v>290</v>
      </c>
      <c r="Q32" s="69" t="s">
        <v>290</v>
      </c>
      <c r="R32" s="69" t="s">
        <v>1670</v>
      </c>
      <c r="S32" s="43" t="s">
        <v>290</v>
      </c>
      <c r="T32" s="140" t="s">
        <v>290</v>
      </c>
      <c r="U32" s="43" t="s">
        <v>290</v>
      </c>
      <c r="V32" s="69" t="s">
        <v>290</v>
      </c>
      <c r="W32" s="54">
        <v>45792</v>
      </c>
      <c r="X32" s="69" t="s">
        <v>1672</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290</v>
      </c>
      <c r="O33" s="125">
        <v>45749</v>
      </c>
      <c r="P33" s="30" t="s">
        <v>290</v>
      </c>
      <c r="Q33" s="69" t="s">
        <v>290</v>
      </c>
      <c r="R33" s="69" t="s">
        <v>1670</v>
      </c>
      <c r="S33" s="43" t="s">
        <v>290</v>
      </c>
      <c r="T33" s="140" t="s">
        <v>290</v>
      </c>
      <c r="U33" s="43" t="s">
        <v>290</v>
      </c>
      <c r="V33" s="345" t="s">
        <v>290</v>
      </c>
      <c r="W33" s="54">
        <v>45812</v>
      </c>
      <c r="X33" s="69" t="s">
        <v>1672</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290</v>
      </c>
      <c r="O34" s="125">
        <v>45750</v>
      </c>
      <c r="P34" s="30" t="s">
        <v>290</v>
      </c>
      <c r="Q34" s="69" t="s">
        <v>290</v>
      </c>
      <c r="R34" s="69" t="s">
        <v>1670</v>
      </c>
      <c r="S34" s="43" t="s">
        <v>290</v>
      </c>
      <c r="T34" s="140" t="s">
        <v>290</v>
      </c>
      <c r="U34" s="43" t="s">
        <v>290</v>
      </c>
      <c r="V34" s="418" t="s">
        <v>290</v>
      </c>
      <c r="W34" s="168">
        <v>45797</v>
      </c>
      <c r="X34" s="69" t="s">
        <v>1672</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290</v>
      </c>
      <c r="O35" s="125">
        <v>45659</v>
      </c>
      <c r="P35" s="87" t="s">
        <v>290</v>
      </c>
      <c r="Q35" s="43" t="s">
        <v>290</v>
      </c>
      <c r="R35" s="43" t="s">
        <v>1670</v>
      </c>
      <c r="S35" s="43" t="s">
        <v>290</v>
      </c>
      <c r="T35" s="140" t="s">
        <v>290</v>
      </c>
      <c r="U35" s="171" t="s">
        <v>290</v>
      </c>
      <c r="V35" s="69" t="s">
        <v>290</v>
      </c>
      <c r="W35" s="54">
        <v>45789</v>
      </c>
      <c r="X35" s="345" t="s">
        <v>1672</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290</v>
      </c>
      <c r="O36" s="125">
        <v>45659</v>
      </c>
      <c r="P36" s="87" t="s">
        <v>290</v>
      </c>
      <c r="Q36" s="43" t="s">
        <v>290</v>
      </c>
      <c r="R36" s="43" t="s">
        <v>1670</v>
      </c>
      <c r="S36" s="43" t="s">
        <v>290</v>
      </c>
      <c r="T36" s="140" t="s">
        <v>290</v>
      </c>
      <c r="U36" s="43" t="s">
        <v>290</v>
      </c>
      <c r="V36" s="69" t="s">
        <v>290</v>
      </c>
      <c r="W36" s="54">
        <v>45824</v>
      </c>
      <c r="X36" s="345" t="s">
        <v>1672</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290</v>
      </c>
      <c r="N37" s="30" t="s">
        <v>290</v>
      </c>
      <c r="O37" s="125">
        <v>45672</v>
      </c>
      <c r="P37" s="30" t="s">
        <v>290</v>
      </c>
      <c r="Q37" s="43" t="s">
        <v>290</v>
      </c>
      <c r="R37" s="43" t="s">
        <v>1670</v>
      </c>
      <c r="S37" s="43" t="s">
        <v>290</v>
      </c>
      <c r="T37" s="43" t="s">
        <v>290</v>
      </c>
      <c r="U37" s="171" t="s">
        <v>290</v>
      </c>
      <c r="V37" s="69" t="s">
        <v>290</v>
      </c>
      <c r="W37" s="157">
        <v>45789</v>
      </c>
      <c r="X37" s="69" t="s">
        <v>1672</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290</v>
      </c>
      <c r="O38" s="125">
        <v>45673</v>
      </c>
      <c r="P38" s="30" t="s">
        <v>290</v>
      </c>
      <c r="Q38" s="43" t="s">
        <v>290</v>
      </c>
      <c r="R38" s="43" t="s">
        <v>1670</v>
      </c>
      <c r="S38" s="43" t="s">
        <v>290</v>
      </c>
      <c r="T38" s="43" t="s">
        <v>290</v>
      </c>
      <c r="U38" s="171" t="s">
        <v>290</v>
      </c>
      <c r="V38" s="69" t="s">
        <v>290</v>
      </c>
      <c r="W38" s="54">
        <v>45789</v>
      </c>
      <c r="X38" s="69" t="s">
        <v>1672</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290</v>
      </c>
      <c r="N39" s="30" t="s">
        <v>290</v>
      </c>
      <c r="O39" s="125">
        <v>45672</v>
      </c>
      <c r="P39" s="30" t="s">
        <v>290</v>
      </c>
      <c r="Q39" s="43" t="s">
        <v>290</v>
      </c>
      <c r="R39" s="43" t="s">
        <v>1670</v>
      </c>
      <c r="S39" s="43" t="s">
        <v>290</v>
      </c>
      <c r="T39" s="43" t="s">
        <v>290</v>
      </c>
      <c r="U39" s="171" t="s">
        <v>290</v>
      </c>
      <c r="V39" s="69" t="s">
        <v>290</v>
      </c>
      <c r="W39" s="54">
        <v>45789</v>
      </c>
      <c r="X39" s="69" t="s">
        <v>1672</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290</v>
      </c>
      <c r="O40" s="125">
        <v>45715</v>
      </c>
      <c r="P40" s="30" t="s">
        <v>290</v>
      </c>
      <c r="Q40" s="43" t="s">
        <v>290</v>
      </c>
      <c r="R40" s="43" t="s">
        <v>290</v>
      </c>
      <c r="S40" s="43" t="s">
        <v>290</v>
      </c>
      <c r="T40" s="43" t="s">
        <v>290</v>
      </c>
      <c r="U40" s="43" t="s">
        <v>290</v>
      </c>
      <c r="V40" s="69" t="s">
        <v>290</v>
      </c>
      <c r="W40" s="54">
        <v>45789</v>
      </c>
      <c r="X40" s="69" t="s">
        <v>1672</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290</v>
      </c>
      <c r="O41" s="54">
        <v>45729</v>
      </c>
      <c r="P41" s="87" t="s">
        <v>290</v>
      </c>
      <c r="Q41" s="43" t="s">
        <v>290</v>
      </c>
      <c r="R41" s="43" t="s">
        <v>290</v>
      </c>
      <c r="S41" s="43" t="s">
        <v>290</v>
      </c>
      <c r="T41" s="43" t="s">
        <v>290</v>
      </c>
      <c r="U41" s="171" t="s">
        <v>290</v>
      </c>
      <c r="V41" s="69" t="s">
        <v>290</v>
      </c>
      <c r="W41" s="54">
        <v>45789</v>
      </c>
      <c r="X41" s="69" t="s">
        <v>1672</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290</v>
      </c>
      <c r="O42" s="54">
        <v>45737</v>
      </c>
      <c r="P42" s="87" t="s">
        <v>290</v>
      </c>
      <c r="Q42" s="43" t="s">
        <v>290</v>
      </c>
      <c r="R42" s="43" t="s">
        <v>290</v>
      </c>
      <c r="S42" s="43" t="s">
        <v>290</v>
      </c>
      <c r="T42" s="43" t="s">
        <v>290</v>
      </c>
      <c r="U42" s="43" t="s">
        <v>290</v>
      </c>
      <c r="V42" s="69" t="s">
        <v>290</v>
      </c>
      <c r="W42" s="54">
        <v>45789</v>
      </c>
      <c r="X42" s="69" t="s">
        <v>1672</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290</v>
      </c>
      <c r="N43" s="30" t="s">
        <v>290</v>
      </c>
      <c r="O43" s="125">
        <v>45726</v>
      </c>
      <c r="P43" s="30" t="s">
        <v>290</v>
      </c>
      <c r="Q43" s="43" t="s">
        <v>290</v>
      </c>
      <c r="R43" s="43" t="s">
        <v>290</v>
      </c>
      <c r="S43" s="43" t="s">
        <v>290</v>
      </c>
      <c r="T43" s="43" t="s">
        <v>290</v>
      </c>
      <c r="U43" s="43" t="s">
        <v>290</v>
      </c>
      <c r="V43" s="69" t="s">
        <v>290</v>
      </c>
      <c r="W43" s="54">
        <v>45786</v>
      </c>
      <c r="X43" s="69" t="s">
        <v>1672</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290</v>
      </c>
      <c r="O44" s="54">
        <v>45741</v>
      </c>
      <c r="P44" s="30" t="s">
        <v>290</v>
      </c>
      <c r="Q44" s="43" t="s">
        <v>290</v>
      </c>
      <c r="R44" s="43" t="s">
        <v>290</v>
      </c>
      <c r="S44" s="43" t="s">
        <v>290</v>
      </c>
      <c r="T44" s="43" t="s">
        <v>290</v>
      </c>
      <c r="U44" s="43" t="s">
        <v>290</v>
      </c>
      <c r="V44" s="69" t="s">
        <v>290</v>
      </c>
      <c r="W44" s="54">
        <v>45789</v>
      </c>
      <c r="X44" s="69" t="s">
        <v>1672</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290</v>
      </c>
      <c r="N45" s="30" t="s">
        <v>290</v>
      </c>
      <c r="O45" s="125">
        <v>45695</v>
      </c>
      <c r="P45" s="30" t="s">
        <v>290</v>
      </c>
      <c r="Q45" s="43" t="s">
        <v>290</v>
      </c>
      <c r="R45" s="43" t="s">
        <v>290</v>
      </c>
      <c r="S45" s="43" t="s">
        <v>290</v>
      </c>
      <c r="T45" s="43" t="s">
        <v>290</v>
      </c>
      <c r="U45" s="43" t="s">
        <v>290</v>
      </c>
      <c r="V45" s="69" t="s">
        <v>290</v>
      </c>
      <c r="W45" s="54">
        <v>45789</v>
      </c>
      <c r="X45" s="69" t="s">
        <v>1672</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290</v>
      </c>
      <c r="O46" s="125">
        <v>45810</v>
      </c>
      <c r="P46" s="30" t="s">
        <v>290</v>
      </c>
      <c r="Q46" s="43" t="s">
        <v>290</v>
      </c>
      <c r="R46" s="43" t="s">
        <v>290</v>
      </c>
      <c r="S46" s="43" t="s">
        <v>290</v>
      </c>
      <c r="T46" s="43" t="s">
        <v>290</v>
      </c>
      <c r="U46" s="43" t="s">
        <v>290</v>
      </c>
      <c r="V46" s="69" t="s">
        <v>290</v>
      </c>
      <c r="W46" s="54">
        <v>45847</v>
      </c>
      <c r="X46" s="69" t="s">
        <v>1672</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290</v>
      </c>
      <c r="O47" s="54">
        <v>45880</v>
      </c>
      <c r="P47" s="87" t="s">
        <v>290</v>
      </c>
      <c r="Q47" s="43" t="s">
        <v>290</v>
      </c>
      <c r="R47" s="43" t="s">
        <v>290</v>
      </c>
      <c r="S47" s="43" t="s">
        <v>56</v>
      </c>
      <c r="T47" s="43" t="s">
        <v>290</v>
      </c>
      <c r="U47" s="43" t="s">
        <v>290</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290</v>
      </c>
      <c r="O48" s="54">
        <v>45882</v>
      </c>
      <c r="P48" s="87" t="s">
        <v>290</v>
      </c>
      <c r="Q48" s="158" t="s">
        <v>290</v>
      </c>
      <c r="R48" s="158" t="s">
        <v>290</v>
      </c>
      <c r="S48" s="43" t="s">
        <v>290</v>
      </c>
      <c r="T48" s="43" t="s">
        <v>290</v>
      </c>
      <c r="U48" s="69" t="s">
        <v>290</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290</v>
      </c>
      <c r="O49" s="54">
        <v>45840</v>
      </c>
      <c r="P49" s="87" t="s">
        <v>290</v>
      </c>
      <c r="Q49" s="43" t="s">
        <v>290</v>
      </c>
      <c r="R49" s="43" t="s">
        <v>290</v>
      </c>
      <c r="S49" s="43" t="s">
        <v>56</v>
      </c>
      <c r="T49" s="43" t="s">
        <v>290</v>
      </c>
      <c r="U49" s="43" t="s">
        <v>290</v>
      </c>
      <c r="V49" s="69" t="s">
        <v>290</v>
      </c>
      <c r="W49" s="54">
        <v>45877</v>
      </c>
      <c r="X49" s="69" t="s">
        <v>1672</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290</v>
      </c>
      <c r="O50" s="54">
        <v>45847</v>
      </c>
      <c r="P50" s="87" t="s">
        <v>290</v>
      </c>
      <c r="Q50" s="43" t="s">
        <v>290</v>
      </c>
      <c r="R50" s="43" t="s">
        <v>290</v>
      </c>
      <c r="S50" s="43" t="s">
        <v>56</v>
      </c>
      <c r="T50" s="43" t="s">
        <v>290</v>
      </c>
      <c r="U50" s="43" t="s">
        <v>290</v>
      </c>
      <c r="V50" s="69" t="s">
        <v>290</v>
      </c>
      <c r="W50" s="54">
        <v>45895</v>
      </c>
      <c r="X50" s="69" t="s">
        <v>1672</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290</v>
      </c>
      <c r="O51" s="54">
        <v>45840</v>
      </c>
      <c r="P51" s="87" t="s">
        <v>290</v>
      </c>
      <c r="Q51" s="43" t="s">
        <v>290</v>
      </c>
      <c r="R51" s="43" t="s">
        <v>290</v>
      </c>
      <c r="S51" s="43" t="s">
        <v>56</v>
      </c>
      <c r="T51" s="43" t="s">
        <v>290</v>
      </c>
      <c r="U51" s="43" t="s">
        <v>290</v>
      </c>
      <c r="V51" s="69" t="s">
        <v>290</v>
      </c>
      <c r="W51" s="54">
        <v>45877</v>
      </c>
      <c r="X51" s="69" t="s">
        <v>1672</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290</v>
      </c>
      <c r="O52" s="54">
        <v>45833</v>
      </c>
      <c r="P52" s="30" t="s">
        <v>290</v>
      </c>
      <c r="Q52" s="43" t="s">
        <v>290</v>
      </c>
      <c r="R52" s="43" t="s">
        <v>290</v>
      </c>
      <c r="S52" s="43" t="s">
        <v>290</v>
      </c>
      <c r="T52" s="43" t="s">
        <v>290</v>
      </c>
      <c r="U52" s="43" t="s">
        <v>290</v>
      </c>
      <c r="V52" s="69" t="s">
        <v>290</v>
      </c>
      <c r="W52" s="54">
        <v>45848</v>
      </c>
      <c r="X52" s="69" t="s">
        <v>1672</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290</v>
      </c>
      <c r="O53" s="54">
        <v>45840</v>
      </c>
      <c r="P53" s="87" t="s">
        <v>290</v>
      </c>
      <c r="Q53" s="43" t="s">
        <v>56</v>
      </c>
      <c r="R53" s="43" t="s">
        <v>290</v>
      </c>
      <c r="S53" s="43" t="s">
        <v>290</v>
      </c>
      <c r="T53" s="43" t="s">
        <v>290</v>
      </c>
      <c r="U53" s="43" t="s">
        <v>290</v>
      </c>
      <c r="V53" s="69" t="s">
        <v>290</v>
      </c>
      <c r="W53" s="54">
        <v>45916</v>
      </c>
      <c r="X53" s="69" t="s">
        <v>1672</v>
      </c>
    </row>
    <row r="54" spans="1:56">
      <c r="A54" s="181" t="s">
        <v>761</v>
      </c>
      <c r="B54" s="547" t="s">
        <v>116</v>
      </c>
      <c r="C54" s="180">
        <v>45899</v>
      </c>
      <c r="D54" s="719"/>
      <c r="E54" s="194"/>
      <c r="F54" s="139"/>
      <c r="G54" s="139"/>
      <c r="H54" s="188">
        <v>73</v>
      </c>
      <c r="I54" s="184"/>
      <c r="J54" s="188" t="s">
        <v>57</v>
      </c>
      <c r="K54" s="188" t="s">
        <v>57</v>
      </c>
      <c r="L54" s="188" t="s">
        <v>63</v>
      </c>
      <c r="M54" s="198">
        <v>45887</v>
      </c>
      <c r="N54" s="87" t="s">
        <v>290</v>
      </c>
      <c r="O54" s="54">
        <v>45887</v>
      </c>
      <c r="P54" s="87" t="s">
        <v>290</v>
      </c>
      <c r="Q54" s="43" t="s">
        <v>290</v>
      </c>
      <c r="R54" s="43" t="s">
        <v>290</v>
      </c>
      <c r="S54" s="43" t="s">
        <v>290</v>
      </c>
      <c r="T54" s="43" t="s">
        <v>290</v>
      </c>
      <c r="U54" s="43" t="s">
        <v>290</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290</v>
      </c>
      <c r="O55" s="54">
        <v>45887</v>
      </c>
      <c r="P55" s="87" t="s">
        <v>290</v>
      </c>
      <c r="Q55" s="116" t="s">
        <v>290</v>
      </c>
      <c r="R55" s="116" t="s">
        <v>290</v>
      </c>
      <c r="S55" s="116" t="s">
        <v>290</v>
      </c>
      <c r="T55" s="116" t="s">
        <v>290</v>
      </c>
      <c r="U55" s="43" t="s">
        <v>290</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290</v>
      </c>
      <c r="O56" s="54">
        <v>45887</v>
      </c>
      <c r="P56" s="332" t="s">
        <v>290</v>
      </c>
      <c r="Q56" s="43" t="s">
        <v>290</v>
      </c>
      <c r="R56" s="43" t="s">
        <v>290</v>
      </c>
      <c r="S56" s="43" t="s">
        <v>290</v>
      </c>
      <c r="T56" s="43" t="s">
        <v>290</v>
      </c>
      <c r="U56" s="43" t="s">
        <v>290</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290</v>
      </c>
      <c r="O57" s="125">
        <v>45783</v>
      </c>
      <c r="P57" s="332" t="s">
        <v>290</v>
      </c>
      <c r="Q57" s="43" t="s">
        <v>290</v>
      </c>
      <c r="R57" s="43" t="s">
        <v>1670</v>
      </c>
      <c r="S57" s="43" t="s">
        <v>290</v>
      </c>
      <c r="T57" s="43" t="s">
        <v>290</v>
      </c>
      <c r="U57" s="43" t="s">
        <v>290</v>
      </c>
      <c r="V57" s="69" t="s">
        <v>290</v>
      </c>
      <c r="W57" s="54">
        <v>45813</v>
      </c>
      <c r="X57" s="69" t="s">
        <v>1672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290</v>
      </c>
      <c r="O58" s="54">
        <v>45776</v>
      </c>
      <c r="P58" s="332" t="s">
        <v>290</v>
      </c>
      <c r="Q58" s="43" t="s">
        <v>290</v>
      </c>
      <c r="R58" s="43" t="s">
        <v>1670</v>
      </c>
      <c r="S58" s="43" t="s">
        <v>290</v>
      </c>
      <c r="T58" s="43" t="s">
        <v>290</v>
      </c>
      <c r="U58" s="43" t="s">
        <v>290</v>
      </c>
      <c r="V58" s="345" t="s">
        <v>290</v>
      </c>
      <c r="W58" s="54">
        <v>45796</v>
      </c>
      <c r="X58" s="69" t="s">
        <v>1672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290</v>
      </c>
      <c r="O59" s="30" t="s">
        <v>78</v>
      </c>
      <c r="P59" s="332" t="s">
        <v>290</v>
      </c>
      <c r="Q59" s="43" t="s">
        <v>290</v>
      </c>
      <c r="R59" s="43" t="s">
        <v>1670</v>
      </c>
      <c r="S59" s="43" t="s">
        <v>290</v>
      </c>
      <c r="T59" s="43" t="s">
        <v>290</v>
      </c>
      <c r="U59" s="43" t="s">
        <v>290</v>
      </c>
      <c r="V59" s="345" t="s">
        <v>290</v>
      </c>
      <c r="W59" s="54">
        <v>45796</v>
      </c>
      <c r="X59" s="69" t="s">
        <v>1672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290</v>
      </c>
      <c r="O60" s="54">
        <v>45812</v>
      </c>
      <c r="P60" s="332" t="s">
        <v>290</v>
      </c>
      <c r="Q60" s="43" t="s">
        <v>290</v>
      </c>
      <c r="R60" s="43" t="s">
        <v>1670</v>
      </c>
      <c r="S60" s="43" t="s">
        <v>290</v>
      </c>
      <c r="T60" s="43" t="s">
        <v>290</v>
      </c>
      <c r="U60" s="43" t="s">
        <v>290</v>
      </c>
      <c r="V60" s="345" t="s">
        <v>290</v>
      </c>
      <c r="W60" s="54">
        <v>45824</v>
      </c>
      <c r="X60" s="69" t="s">
        <v>1672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290</v>
      </c>
      <c r="N61" s="87" t="s">
        <v>290</v>
      </c>
      <c r="O61" s="125">
        <v>45673</v>
      </c>
      <c r="P61" s="332" t="s">
        <v>290</v>
      </c>
      <c r="Q61" s="43" t="s">
        <v>290</v>
      </c>
      <c r="R61" s="69" t="s">
        <v>64</v>
      </c>
      <c r="S61" s="43" t="s">
        <v>56</v>
      </c>
      <c r="T61" s="43" t="s">
        <v>290</v>
      </c>
      <c r="U61" s="162" t="s">
        <v>290</v>
      </c>
      <c r="V61" s="69" t="s">
        <v>290</v>
      </c>
      <c r="W61" s="54">
        <v>45758</v>
      </c>
      <c r="X61" s="69" t="s">
        <v>1672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290</v>
      </c>
      <c r="O62" s="54">
        <v>45848</v>
      </c>
      <c r="P62" s="332" t="s">
        <v>290</v>
      </c>
      <c r="Q62" s="43" t="s">
        <v>290</v>
      </c>
      <c r="R62" s="43" t="s">
        <v>290</v>
      </c>
      <c r="S62" s="43" t="s">
        <v>56</v>
      </c>
      <c r="T62" s="43" t="s">
        <v>290</v>
      </c>
      <c r="U62" s="43" t="s">
        <v>290</v>
      </c>
      <c r="V62" s="43" t="s">
        <v>290</v>
      </c>
      <c r="W62" s="54">
        <v>45876</v>
      </c>
      <c r="X62" s="69" t="s">
        <v>1672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290</v>
      </c>
      <c r="O63" s="54">
        <v>45882</v>
      </c>
      <c r="P63" s="332" t="s">
        <v>290</v>
      </c>
      <c r="Q63" s="43" t="s">
        <v>290</v>
      </c>
      <c r="R63" s="43" t="s">
        <v>290</v>
      </c>
      <c r="S63" s="43" t="s">
        <v>56</v>
      </c>
      <c r="T63" s="43" t="s">
        <v>290</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290</v>
      </c>
      <c r="O64" s="54">
        <v>45884</v>
      </c>
      <c r="P64" s="332" t="s">
        <v>290</v>
      </c>
      <c r="Q64" s="43" t="s">
        <v>290</v>
      </c>
      <c r="R64" s="43" t="s">
        <v>290</v>
      </c>
      <c r="S64" s="43" t="s">
        <v>56</v>
      </c>
      <c r="T64" s="43" t="s">
        <v>290</v>
      </c>
      <c r="U64" s="43" t="s">
        <v>290</v>
      </c>
      <c r="V64" s="43" t="s">
        <v>290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290</v>
      </c>
      <c r="O65" s="54">
        <v>45824</v>
      </c>
      <c r="P65" s="332" t="s">
        <v>290</v>
      </c>
      <c r="Q65" s="43" t="s">
        <v>290</v>
      </c>
      <c r="R65" s="43" t="s">
        <v>290</v>
      </c>
      <c r="S65" s="43" t="s">
        <v>56</v>
      </c>
      <c r="T65" s="43" t="s">
        <v>290</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290</v>
      </c>
      <c r="O66" s="125">
        <v>45817</v>
      </c>
      <c r="P66" s="332" t="s">
        <v>290</v>
      </c>
      <c r="Q66" s="158" t="s">
        <v>290</v>
      </c>
      <c r="R66" s="43" t="s">
        <v>290</v>
      </c>
      <c r="S66" s="43" t="s">
        <v>56</v>
      </c>
      <c r="T66" s="43" t="s">
        <v>290</v>
      </c>
      <c r="U66" s="43" t="s">
        <v>290</v>
      </c>
      <c r="V66" s="43" t="s">
        <v>290</v>
      </c>
      <c r="W66" s="54">
        <v>45876</v>
      </c>
      <c r="X66" s="69" t="s">
        <v>1672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290</v>
      </c>
      <c r="O67" s="54">
        <v>45876</v>
      </c>
      <c r="P67" s="332" t="s">
        <v>290</v>
      </c>
      <c r="Q67" s="158" t="s">
        <v>290</v>
      </c>
      <c r="R67" s="158" t="s">
        <v>290</v>
      </c>
      <c r="S67" s="43" t="s">
        <v>56</v>
      </c>
      <c r="T67" s="43" t="s">
        <v>290</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290</v>
      </c>
      <c r="N68" s="87" t="s">
        <v>290</v>
      </c>
      <c r="O68" s="87" t="s">
        <v>290</v>
      </c>
      <c r="P68" s="332" t="s">
        <v>290</v>
      </c>
      <c r="Q68" s="43" t="s">
        <v>290</v>
      </c>
      <c r="R68" s="43" t="s">
        <v>290</v>
      </c>
      <c r="S68" s="43" t="s">
        <v>56</v>
      </c>
      <c r="T68" s="43" t="s">
        <v>290</v>
      </c>
      <c r="U68" s="43" t="s">
        <v>290</v>
      </c>
      <c r="V68" s="345" t="s">
        <v>290</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290</v>
      </c>
      <c r="O69" s="54">
        <v>45870</v>
      </c>
      <c r="P69" s="332" t="s">
        <v>290</v>
      </c>
      <c r="Q69" s="43" t="s">
        <v>290</v>
      </c>
      <c r="R69" s="43" t="s">
        <v>290</v>
      </c>
      <c r="S69" s="43" t="s">
        <v>56</v>
      </c>
      <c r="T69" s="43" t="s">
        <v>290</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290</v>
      </c>
      <c r="O70" s="125">
        <v>45705</v>
      </c>
      <c r="P70" s="79" t="s">
        <v>290</v>
      </c>
      <c r="Q70" s="43" t="s">
        <v>290</v>
      </c>
      <c r="R70" s="43" t="s">
        <v>290</v>
      </c>
      <c r="S70" s="43" t="s">
        <v>56</v>
      </c>
      <c r="T70" s="43" t="s">
        <v>290</v>
      </c>
      <c r="U70" s="43" t="s">
        <v>290</v>
      </c>
      <c r="V70" s="345" t="s">
        <v>290</v>
      </c>
      <c r="W70" s="558"/>
      <c r="X70" s="69" t="s">
        <v>1672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290</v>
      </c>
      <c r="O71" s="54">
        <v>45870</v>
      </c>
      <c r="P71" s="79" t="s">
        <v>290</v>
      </c>
      <c r="Q71" s="43" t="s">
        <v>290</v>
      </c>
      <c r="R71" s="43" t="s">
        <v>290</v>
      </c>
      <c r="S71" s="43" t="s">
        <v>56</v>
      </c>
      <c r="T71" s="43" t="s">
        <v>290</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290</v>
      </c>
      <c r="O72" s="54">
        <v>45882</v>
      </c>
      <c r="P72" s="332" t="s">
        <v>290</v>
      </c>
      <c r="Q72" s="158" t="s">
        <v>290</v>
      </c>
      <c r="R72" s="43" t="s">
        <v>290</v>
      </c>
      <c r="S72" s="43" t="s">
        <v>56</v>
      </c>
      <c r="T72" s="43" t="s">
        <v>290</v>
      </c>
      <c r="U72" s="43" t="s">
        <v>290</v>
      </c>
      <c r="V72" s="43" t="s">
        <v>290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116</v>
      </c>
      <c r="C73" s="186">
        <v>45838</v>
      </c>
      <c r="D73" s="637" t="s">
        <v>370</v>
      </c>
      <c r="E73" s="750"/>
      <c r="F73" s="751"/>
      <c r="G73" s="751"/>
      <c r="H73" s="182">
        <v>0</v>
      </c>
      <c r="I73" s="184"/>
      <c r="J73" s="182" t="s">
        <v>57</v>
      </c>
      <c r="K73" s="182" t="s">
        <v>57</v>
      </c>
      <c r="L73" s="182" t="s">
        <v>63</v>
      </c>
      <c r="M73" s="196">
        <v>45790</v>
      </c>
      <c r="N73" s="30" t="s">
        <v>290</v>
      </c>
      <c r="O73" s="125">
        <v>45790</v>
      </c>
      <c r="P73" s="79" t="s">
        <v>290</v>
      </c>
      <c r="Q73" s="43" t="s">
        <v>290</v>
      </c>
      <c r="R73" s="43" t="s">
        <v>290</v>
      </c>
      <c r="S73" s="43" t="s">
        <v>56</v>
      </c>
      <c r="T73" s="43" t="s">
        <v>290</v>
      </c>
      <c r="U73" s="43" t="s">
        <v>290</v>
      </c>
      <c r="V73" s="345" t="s">
        <v>290</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290</v>
      </c>
      <c r="O74" s="54">
        <v>45871</v>
      </c>
      <c r="P74" s="79" t="s">
        <v>290</v>
      </c>
      <c r="Q74" s="43" t="s">
        <v>290</v>
      </c>
      <c r="R74" s="43" t="s">
        <v>290</v>
      </c>
      <c r="S74" s="43" t="s">
        <v>56</v>
      </c>
      <c r="T74" s="43" t="s">
        <v>290</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290</v>
      </c>
      <c r="O75" s="54">
        <v>45853</v>
      </c>
      <c r="P75" s="79" t="s">
        <v>290</v>
      </c>
      <c r="Q75" s="43" t="s">
        <v>290</v>
      </c>
      <c r="R75" s="43" t="s">
        <v>290</v>
      </c>
      <c r="S75" s="43" t="s">
        <v>56</v>
      </c>
      <c r="T75" s="43" t="s">
        <v>290</v>
      </c>
      <c r="U75" s="43" t="s">
        <v>290</v>
      </c>
      <c r="V75" s="43" t="s">
        <v>290</v>
      </c>
      <c r="W75" s="54">
        <v>45905</v>
      </c>
      <c r="X75" s="69" t="s">
        <v>1672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290</v>
      </c>
      <c r="O76" s="54">
        <v>45838</v>
      </c>
      <c r="P76" s="87" t="s">
        <v>290</v>
      </c>
      <c r="Q76" s="171" t="s">
        <v>290</v>
      </c>
      <c r="R76" s="171" t="s">
        <v>290</v>
      </c>
      <c r="S76" s="171" t="s">
        <v>56</v>
      </c>
      <c r="T76" s="171" t="s">
        <v>290</v>
      </c>
      <c r="U76" s="43" t="s">
        <v>290</v>
      </c>
      <c r="V76" s="43" t="s">
        <v>290</v>
      </c>
      <c r="W76" s="54">
        <v>45895</v>
      </c>
      <c r="X76" s="69" t="s">
        <v>1672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290</v>
      </c>
      <c r="O77" s="54">
        <v>45902</v>
      </c>
      <c r="P77" s="332" t="s">
        <v>290</v>
      </c>
      <c r="Q77" s="43" t="s">
        <v>290</v>
      </c>
      <c r="R77" s="43" t="s">
        <v>290</v>
      </c>
      <c r="S77" s="43" t="s">
        <v>56</v>
      </c>
      <c r="T77" s="43" t="s">
        <v>290</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290</v>
      </c>
      <c r="O78" s="54">
        <v>45902</v>
      </c>
      <c r="P78" s="332" t="s">
        <v>290</v>
      </c>
      <c r="Q78" s="43" t="s">
        <v>290</v>
      </c>
      <c r="R78" s="43" t="s">
        <v>290</v>
      </c>
      <c r="S78" s="43" t="s">
        <v>56</v>
      </c>
      <c r="T78" s="43" t="s">
        <v>290</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290</v>
      </c>
      <c r="N79" s="87" t="s">
        <v>290</v>
      </c>
      <c r="O79" s="87" t="s">
        <v>290</v>
      </c>
      <c r="P79" s="87" t="s">
        <v>290</v>
      </c>
      <c r="Q79" s="43" t="s">
        <v>56</v>
      </c>
      <c r="R79" s="43" t="s">
        <v>56</v>
      </c>
      <c r="S79" s="43" t="s">
        <v>56</v>
      </c>
      <c r="T79" s="43" t="s">
        <v>290</v>
      </c>
      <c r="U79" s="43" t="s">
        <v>290</v>
      </c>
      <c r="V79" s="345" t="s">
        <v>290</v>
      </c>
      <c r="W79" s="54">
        <v>45820</v>
      </c>
      <c r="X79" s="69" t="s">
        <v>1672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290</v>
      </c>
      <c r="O80" s="30" t="s">
        <v>52</v>
      </c>
      <c r="P80" s="87" t="s">
        <v>290</v>
      </c>
      <c r="Q80" s="43" t="s">
        <v>56</v>
      </c>
      <c r="R80" s="43" t="s">
        <v>56</v>
      </c>
      <c r="S80" s="43" t="s">
        <v>56</v>
      </c>
      <c r="T80" s="43" t="s">
        <v>290</v>
      </c>
      <c r="U80" s="43" t="s">
        <v>290</v>
      </c>
      <c r="V80" s="69" t="s">
        <v>290</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1674</v>
      </c>
      <c r="B81" s="547" t="s">
        <v>116</v>
      </c>
      <c r="C81" s="179">
        <v>45688</v>
      </c>
      <c r="D81" s="637" t="s">
        <v>577</v>
      </c>
      <c r="E81" s="175"/>
      <c r="F81" s="130"/>
      <c r="G81" s="130"/>
      <c r="H81" s="182">
        <v>48</v>
      </c>
      <c r="I81" s="184"/>
      <c r="J81" s="182" t="s">
        <v>57</v>
      </c>
      <c r="K81" s="182" t="s">
        <v>57</v>
      </c>
      <c r="L81" s="182" t="s">
        <v>56</v>
      </c>
      <c r="M81" s="101" t="s">
        <v>290</v>
      </c>
      <c r="N81" s="87" t="s">
        <v>290</v>
      </c>
      <c r="O81" s="125">
        <v>45678</v>
      </c>
      <c r="P81" s="87" t="s">
        <v>290</v>
      </c>
      <c r="Q81" s="43" t="s">
        <v>290</v>
      </c>
      <c r="R81" s="43" t="s">
        <v>1670</v>
      </c>
      <c r="S81" s="43" t="s">
        <v>290</v>
      </c>
      <c r="T81" s="43" t="s">
        <v>290</v>
      </c>
      <c r="U81" s="116" t="s">
        <v>290</v>
      </c>
      <c r="V81" s="69" t="s">
        <v>290</v>
      </c>
      <c r="W81" s="54">
        <v>45789</v>
      </c>
      <c r="X81" s="69" t="s">
        <v>1672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290</v>
      </c>
      <c r="O82" s="54">
        <v>45874</v>
      </c>
      <c r="P82" s="87" t="s">
        <v>290</v>
      </c>
      <c r="Q82" s="43" t="s">
        <v>290</v>
      </c>
      <c r="R82" s="43" t="s">
        <v>1670</v>
      </c>
      <c r="S82" s="43" t="s">
        <v>290</v>
      </c>
      <c r="T82" s="43" t="s">
        <v>290</v>
      </c>
      <c r="U82" s="116" t="s">
        <v>290</v>
      </c>
      <c r="V82" s="69" t="s">
        <v>290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290</v>
      </c>
      <c r="O83" s="54">
        <v>45706</v>
      </c>
      <c r="P83" s="87" t="s">
        <v>290</v>
      </c>
      <c r="Q83" s="166" t="s">
        <v>290</v>
      </c>
      <c r="R83" s="69" t="s">
        <v>290</v>
      </c>
      <c r="S83" s="69" t="s">
        <v>56</v>
      </c>
      <c r="T83" s="69" t="s">
        <v>290</v>
      </c>
      <c r="U83" s="43" t="s">
        <v>290</v>
      </c>
      <c r="V83" s="43" t="s">
        <v>290</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290</v>
      </c>
      <c r="O84" s="54">
        <v>45728</v>
      </c>
      <c r="P84" s="30" t="s">
        <v>290</v>
      </c>
      <c r="Q84" s="171" t="s">
        <v>290</v>
      </c>
      <c r="R84" s="171" t="s">
        <v>1670</v>
      </c>
      <c r="S84" s="171" t="s">
        <v>290</v>
      </c>
      <c r="T84" s="171" t="s">
        <v>290</v>
      </c>
      <c r="U84" s="92" t="s">
        <v>290</v>
      </c>
      <c r="V84" s="69" t="s">
        <v>290</v>
      </c>
      <c r="W84" s="198">
        <v>45875</v>
      </c>
      <c r="X84" s="69" t="s">
        <v>1672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290</v>
      </c>
      <c r="O85" s="54">
        <v>45719</v>
      </c>
      <c r="P85" s="30" t="s">
        <v>290</v>
      </c>
      <c r="Q85" s="43" t="s">
        <v>290</v>
      </c>
      <c r="R85" s="171" t="s">
        <v>1670</v>
      </c>
      <c r="S85" s="171" t="s">
        <v>290</v>
      </c>
      <c r="T85" s="171" t="s">
        <v>290</v>
      </c>
      <c r="U85" s="92" t="s">
        <v>290</v>
      </c>
      <c r="V85" s="92" t="s">
        <v>290</v>
      </c>
      <c r="W85" s="198">
        <v>45874</v>
      </c>
      <c r="X85" s="69" t="s">
        <v>1672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290</v>
      </c>
      <c r="O86" s="198">
        <v>45728</v>
      </c>
      <c r="P86" s="30" t="s">
        <v>290</v>
      </c>
      <c r="Q86" s="43" t="s">
        <v>290</v>
      </c>
      <c r="R86" s="43" t="s">
        <v>1670</v>
      </c>
      <c r="S86" s="43" t="s">
        <v>290</v>
      </c>
      <c r="T86" s="43" t="s">
        <v>290</v>
      </c>
      <c r="U86" s="69" t="s">
        <v>290</v>
      </c>
      <c r="V86" s="69" t="s">
        <v>290</v>
      </c>
      <c r="W86" s="54">
        <v>45824</v>
      </c>
      <c r="X86" s="69" t="s">
        <v>1672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290</v>
      </c>
      <c r="O87" s="30" t="s">
        <v>290</v>
      </c>
      <c r="P87" s="30" t="s">
        <v>290</v>
      </c>
      <c r="Q87" s="43" t="s">
        <v>290</v>
      </c>
      <c r="R87" s="43" t="s">
        <v>1670</v>
      </c>
      <c r="S87" s="43" t="s">
        <v>290</v>
      </c>
      <c r="T87" s="43" t="s">
        <v>290</v>
      </c>
      <c r="U87" s="158" t="s">
        <v>290</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290</v>
      </c>
      <c r="O88" s="54">
        <v>45728</v>
      </c>
      <c r="P88" s="30" t="s">
        <v>290</v>
      </c>
      <c r="Q88" s="43" t="s">
        <v>290</v>
      </c>
      <c r="R88" s="43" t="s">
        <v>1670</v>
      </c>
      <c r="S88" s="43" t="s">
        <v>290</v>
      </c>
      <c r="T88" s="43" t="s">
        <v>290</v>
      </c>
      <c r="U88" s="158" t="s">
        <v>290</v>
      </c>
      <c r="V88" s="158" t="s">
        <v>290</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290</v>
      </c>
      <c r="O89" s="54">
        <v>45722</v>
      </c>
      <c r="P89" s="30" t="s">
        <v>290</v>
      </c>
      <c r="Q89" s="69" t="s">
        <v>290</v>
      </c>
      <c r="R89" s="43" t="s">
        <v>1670</v>
      </c>
      <c r="S89" s="69" t="s">
        <v>290</v>
      </c>
      <c r="T89" s="69" t="s">
        <v>290</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290</v>
      </c>
      <c r="O90" s="54">
        <v>45727</v>
      </c>
      <c r="P90" s="30" t="s">
        <v>290</v>
      </c>
      <c r="Q90" s="69" t="s">
        <v>290</v>
      </c>
      <c r="R90" s="43" t="s">
        <v>1670</v>
      </c>
      <c r="S90" s="69" t="s">
        <v>290</v>
      </c>
      <c r="T90" s="69" t="s">
        <v>290</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290</v>
      </c>
      <c r="O91" s="54">
        <v>45723</v>
      </c>
      <c r="P91" s="30" t="s">
        <v>290</v>
      </c>
      <c r="Q91" s="69" t="s">
        <v>290</v>
      </c>
      <c r="R91" s="43" t="s">
        <v>1670</v>
      </c>
      <c r="S91" s="69" t="s">
        <v>290</v>
      </c>
      <c r="T91" s="69" t="s">
        <v>290</v>
      </c>
      <c r="U91" s="69" t="s">
        <v>290</v>
      </c>
      <c r="V91" s="69" t="s">
        <v>290</v>
      </c>
      <c r="W91" s="54">
        <v>45831</v>
      </c>
      <c r="X91" s="69" t="s">
        <v>1672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290</v>
      </c>
      <c r="O92" s="54">
        <v>45726</v>
      </c>
      <c r="P92" s="30" t="s">
        <v>290</v>
      </c>
      <c r="Q92" s="149" t="s">
        <v>290</v>
      </c>
      <c r="R92" s="43" t="s">
        <v>1670</v>
      </c>
      <c r="S92" s="69" t="s">
        <v>290</v>
      </c>
      <c r="T92" s="69" t="s">
        <v>290</v>
      </c>
      <c r="U92" s="345" t="s">
        <v>290</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290</v>
      </c>
      <c r="O93" s="54">
        <v>45727</v>
      </c>
      <c r="P93" s="79" t="s">
        <v>290</v>
      </c>
      <c r="Q93" s="43" t="s">
        <v>290</v>
      </c>
      <c r="R93" s="43" t="s">
        <v>1670</v>
      </c>
      <c r="S93" s="43" t="s">
        <v>290</v>
      </c>
      <c r="T93" s="43" t="s">
        <v>290</v>
      </c>
      <c r="U93" s="345" t="s">
        <v>290</v>
      </c>
      <c r="V93" s="69" t="s">
        <v>290</v>
      </c>
      <c r="W93" s="54">
        <v>45789</v>
      </c>
      <c r="X93" s="69" t="s">
        <v>1672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290</v>
      </c>
      <c r="O94" s="54">
        <v>45693</v>
      </c>
      <c r="P94" s="79" t="s">
        <v>290</v>
      </c>
      <c r="Q94" s="69" t="s">
        <v>290</v>
      </c>
      <c r="R94" s="69" t="s">
        <v>1670</v>
      </c>
      <c r="S94" s="69" t="s">
        <v>290</v>
      </c>
      <c r="T94" s="69" t="s">
        <v>290</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290</v>
      </c>
      <c r="O95" s="198">
        <v>45694</v>
      </c>
      <c r="P95" s="79" t="s">
        <v>290</v>
      </c>
      <c r="Q95" s="69" t="s">
        <v>290</v>
      </c>
      <c r="R95" s="69" t="s">
        <v>1670</v>
      </c>
      <c r="S95" s="69" t="s">
        <v>290</v>
      </c>
      <c r="T95" s="43" t="s">
        <v>290</v>
      </c>
      <c r="U95" s="69" t="s">
        <v>290</v>
      </c>
      <c r="V95" s="69" t="s">
        <v>290</v>
      </c>
      <c r="W95" s="54">
        <v>45814</v>
      </c>
      <c r="X95" s="69" t="s">
        <v>1672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290</v>
      </c>
      <c r="O96" s="54">
        <v>45694</v>
      </c>
      <c r="P96" s="30" t="s">
        <v>290</v>
      </c>
      <c r="Q96" s="69" t="s">
        <v>290</v>
      </c>
      <c r="R96" s="92" t="s">
        <v>1670</v>
      </c>
      <c r="S96" s="69" t="s">
        <v>290</v>
      </c>
      <c r="T96" s="69" t="s">
        <v>290</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290</v>
      </c>
      <c r="O97" s="54">
        <v>45688</v>
      </c>
      <c r="P97" s="30" t="s">
        <v>290</v>
      </c>
      <c r="Q97" s="69" t="s">
        <v>290</v>
      </c>
      <c r="R97" s="69" t="s">
        <v>1670</v>
      </c>
      <c r="S97" s="69" t="s">
        <v>290</v>
      </c>
      <c r="T97" s="69" t="s">
        <v>290</v>
      </c>
      <c r="U97" s="69" t="s">
        <v>290</v>
      </c>
      <c r="V97" s="43" t="s">
        <v>290</v>
      </c>
      <c r="W97" s="54">
        <v>45824</v>
      </c>
      <c r="X97" s="69" t="s">
        <v>1672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290</v>
      </c>
      <c r="O98" s="54">
        <v>45692</v>
      </c>
      <c r="P98" s="30" t="s">
        <v>290</v>
      </c>
      <c r="Q98" s="43" t="s">
        <v>290</v>
      </c>
      <c r="R98" s="43" t="s">
        <v>1670</v>
      </c>
      <c r="S98" s="43" t="s">
        <v>290</v>
      </c>
      <c r="T98" s="43" t="s">
        <v>290</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290</v>
      </c>
      <c r="O99" s="54">
        <v>45692</v>
      </c>
      <c r="P99" s="30" t="s">
        <v>290</v>
      </c>
      <c r="Q99" s="43" t="s">
        <v>290</v>
      </c>
      <c r="R99" s="43" t="s">
        <v>1670</v>
      </c>
      <c r="S99" s="43" t="s">
        <v>290</v>
      </c>
      <c r="T99" s="116" t="s">
        <v>290</v>
      </c>
      <c r="U99" s="149" t="s">
        <v>290</v>
      </c>
      <c r="V99" s="69" t="s">
        <v>290</v>
      </c>
      <c r="W99" s="54">
        <v>45814</v>
      </c>
      <c r="X99" s="69" t="s">
        <v>1672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290</v>
      </c>
      <c r="O100" s="168">
        <v>45691</v>
      </c>
      <c r="P100" s="30" t="s">
        <v>290</v>
      </c>
      <c r="Q100" s="43" t="s">
        <v>290</v>
      </c>
      <c r="R100" s="43" t="s">
        <v>1670</v>
      </c>
      <c r="S100" s="43" t="s">
        <v>290</v>
      </c>
      <c r="T100" s="43" t="s">
        <v>290</v>
      </c>
      <c r="U100" s="69" t="s">
        <v>290</v>
      </c>
      <c r="V100" s="158" t="s">
        <v>290</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290</v>
      </c>
      <c r="O101" s="54">
        <v>45695</v>
      </c>
      <c r="P101" s="30" t="s">
        <v>290</v>
      </c>
      <c r="Q101" s="43" t="s">
        <v>290</v>
      </c>
      <c r="R101" s="43" t="s">
        <v>1670</v>
      </c>
      <c r="S101" s="43" t="s">
        <v>290</v>
      </c>
      <c r="T101" s="43" t="s">
        <v>290</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290</v>
      </c>
      <c r="N102" s="30" t="s">
        <v>290</v>
      </c>
      <c r="O102" s="54">
        <v>45699</v>
      </c>
      <c r="P102" s="87" t="s">
        <v>290</v>
      </c>
      <c r="Q102" s="88" t="s">
        <v>290</v>
      </c>
      <c r="R102" s="43" t="s">
        <v>1670</v>
      </c>
      <c r="S102" s="43" t="s">
        <v>290</v>
      </c>
      <c r="T102" s="43" t="s">
        <v>290</v>
      </c>
      <c r="U102" s="43" t="s">
        <v>290</v>
      </c>
      <c r="V102" s="166" t="s">
        <v>290</v>
      </c>
      <c r="W102" s="54">
        <v>45835</v>
      </c>
      <c r="X102" s="69" t="s">
        <v>1672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290</v>
      </c>
      <c r="O103" s="54">
        <v>45675</v>
      </c>
      <c r="P103" s="87" t="s">
        <v>290</v>
      </c>
      <c r="Q103" s="43" t="s">
        <v>290</v>
      </c>
      <c r="R103" s="43" t="s">
        <v>1670</v>
      </c>
      <c r="S103" s="43" t="s">
        <v>290</v>
      </c>
      <c r="T103" s="43" t="s">
        <v>290</v>
      </c>
      <c r="U103" s="43" t="s">
        <v>290</v>
      </c>
      <c r="V103" s="140" t="s">
        <v>290</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290</v>
      </c>
      <c r="N104" s="120" t="s">
        <v>290</v>
      </c>
      <c r="O104" s="54">
        <v>45675</v>
      </c>
      <c r="P104" s="217" t="s">
        <v>290</v>
      </c>
      <c r="Q104" s="43" t="s">
        <v>290</v>
      </c>
      <c r="R104" s="43" t="s">
        <v>1670</v>
      </c>
      <c r="S104" s="43" t="s">
        <v>290</v>
      </c>
      <c r="T104" s="43" t="s">
        <v>290</v>
      </c>
      <c r="U104" s="43" t="s">
        <v>290</v>
      </c>
      <c r="V104" s="140" t="s">
        <v>290</v>
      </c>
      <c r="W104" s="54">
        <v>45820</v>
      </c>
      <c r="X104" s="69" t="s">
        <v>1672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290</v>
      </c>
      <c r="O105" s="54">
        <v>45743</v>
      </c>
      <c r="P105" s="87" t="s">
        <v>290</v>
      </c>
      <c r="Q105" s="158" t="s">
        <v>290</v>
      </c>
      <c r="R105" s="69" t="s">
        <v>1670</v>
      </c>
      <c r="S105" s="43" t="s">
        <v>290</v>
      </c>
      <c r="T105" s="43" t="s">
        <v>290</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290</v>
      </c>
      <c r="O106" s="54">
        <v>45679</v>
      </c>
      <c r="P106" s="87" t="s">
        <v>290</v>
      </c>
      <c r="Q106" s="43" t="s">
        <v>290</v>
      </c>
      <c r="R106" s="43" t="s">
        <v>1670</v>
      </c>
      <c r="S106" s="43" t="s">
        <v>290</v>
      </c>
      <c r="T106" s="43" t="s">
        <v>290</v>
      </c>
      <c r="U106" s="43" t="s">
        <v>290</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290</v>
      </c>
      <c r="O107" s="54">
        <v>45749</v>
      </c>
      <c r="P107" s="30" t="s">
        <v>290</v>
      </c>
      <c r="Q107" s="43" t="s">
        <v>290</v>
      </c>
      <c r="R107" s="43" t="s">
        <v>1670</v>
      </c>
      <c r="S107" s="43" t="s">
        <v>290</v>
      </c>
      <c r="T107" s="43" t="s">
        <v>290</v>
      </c>
      <c r="U107" s="43" t="s">
        <v>290</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290</v>
      </c>
      <c r="O108" s="54">
        <v>45749</v>
      </c>
      <c r="P108" s="30" t="s">
        <v>290</v>
      </c>
      <c r="Q108" s="43" t="s">
        <v>290</v>
      </c>
      <c r="R108" s="345" t="s">
        <v>1670</v>
      </c>
      <c r="S108" s="43" t="s">
        <v>290</v>
      </c>
      <c r="T108" s="43" t="s">
        <v>290</v>
      </c>
      <c r="U108" s="88" t="s">
        <v>290</v>
      </c>
      <c r="V108" s="495" t="s">
        <v>290</v>
      </c>
      <c r="W108" s="367">
        <v>45798</v>
      </c>
      <c r="X108" s="69" t="s">
        <v>1672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290</v>
      </c>
      <c r="O109" s="54">
        <v>45744</v>
      </c>
      <c r="P109" s="79" t="s">
        <v>290</v>
      </c>
      <c r="Q109" s="43" t="s">
        <v>290</v>
      </c>
      <c r="R109" s="345" t="s">
        <v>1670</v>
      </c>
      <c r="S109" s="43" t="s">
        <v>290</v>
      </c>
      <c r="T109" s="43" t="s">
        <v>290</v>
      </c>
      <c r="U109" s="43" t="s">
        <v>1675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290</v>
      </c>
      <c r="O110" s="54">
        <v>45691</v>
      </c>
      <c r="P110" s="79" t="s">
        <v>290</v>
      </c>
      <c r="Q110" s="43" t="s">
        <v>290</v>
      </c>
      <c r="R110" s="345" t="s">
        <v>1670</v>
      </c>
      <c r="S110" s="43" t="s">
        <v>290</v>
      </c>
      <c r="T110" s="43" t="s">
        <v>290</v>
      </c>
      <c r="U110" s="88" t="s">
        <v>290</v>
      </c>
      <c r="V110" s="495" t="s">
        <v>290</v>
      </c>
      <c r="W110" s="367">
        <v>45902</v>
      </c>
      <c r="X110" s="69" t="s">
        <v>1672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290</v>
      </c>
      <c r="O111" s="54">
        <v>45708</v>
      </c>
      <c r="P111" s="30" t="s">
        <v>290</v>
      </c>
      <c r="Q111" s="171" t="s">
        <v>290</v>
      </c>
      <c r="R111" s="69" t="s">
        <v>1670</v>
      </c>
      <c r="S111" s="43" t="s">
        <v>290</v>
      </c>
      <c r="T111" s="43" t="s">
        <v>290</v>
      </c>
      <c r="U111" s="43" t="s">
        <v>290</v>
      </c>
      <c r="V111" s="204" t="s">
        <v>290</v>
      </c>
      <c r="W111" s="168">
        <v>45790</v>
      </c>
      <c r="X111" s="69" t="s">
        <v>1672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290</v>
      </c>
      <c r="O112" s="168">
        <v>45744</v>
      </c>
      <c r="P112" s="115" t="s">
        <v>290</v>
      </c>
      <c r="Q112" s="116" t="s">
        <v>290</v>
      </c>
      <c r="R112" s="149" t="s">
        <v>1670</v>
      </c>
      <c r="S112" s="43" t="s">
        <v>290</v>
      </c>
      <c r="T112" s="43" t="s">
        <v>290</v>
      </c>
      <c r="U112" s="43" t="s">
        <v>290</v>
      </c>
      <c r="V112" s="204" t="s">
        <v>290</v>
      </c>
      <c r="W112" s="493">
        <v>45791</v>
      </c>
      <c r="X112" s="69" t="s">
        <v>1672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290</v>
      </c>
      <c r="O113" s="168">
        <v>45755</v>
      </c>
      <c r="P113" s="115" t="s">
        <v>290</v>
      </c>
      <c r="Q113" s="116" t="s">
        <v>290</v>
      </c>
      <c r="R113" s="149" t="s">
        <v>1670</v>
      </c>
      <c r="S113" s="116" t="s">
        <v>290</v>
      </c>
      <c r="T113" s="43" t="s">
        <v>290</v>
      </c>
      <c r="U113" s="43" t="s">
        <v>290</v>
      </c>
      <c r="V113" s="204" t="s">
        <v>290</v>
      </c>
      <c r="W113" s="493">
        <v>45791</v>
      </c>
      <c r="X113" s="149" t="s">
        <v>1672</v>
      </c>
    </row>
    <row r="114" spans="1:25">
      <c r="A114" s="181" t="s">
        <v>625</v>
      </c>
      <c r="B114" s="185" t="s">
        <v>50</v>
      </c>
      <c r="C114" s="318">
        <v>45772</v>
      </c>
      <c r="D114" s="424" t="s">
        <v>626</v>
      </c>
      <c r="H114" s="188">
        <v>75</v>
      </c>
      <c r="I114" s="184"/>
      <c r="J114" s="182" t="s">
        <v>57</v>
      </c>
      <c r="K114" s="434" t="s">
        <v>57</v>
      </c>
      <c r="L114" s="182" t="s">
        <v>63</v>
      </c>
      <c r="M114" s="196">
        <v>45741</v>
      </c>
      <c r="N114" s="115" t="s">
        <v>290</v>
      </c>
      <c r="O114" s="54">
        <v>45747</v>
      </c>
      <c r="P114" s="115" t="s">
        <v>290</v>
      </c>
      <c r="Q114" s="116" t="s">
        <v>290</v>
      </c>
      <c r="R114" s="149" t="s">
        <v>1670</v>
      </c>
      <c r="S114" s="116" t="s">
        <v>290</v>
      </c>
      <c r="T114" s="43" t="s">
        <v>290</v>
      </c>
      <c r="U114" s="158" t="s">
        <v>290</v>
      </c>
      <c r="V114" s="204" t="s">
        <v>290</v>
      </c>
      <c r="W114" s="54">
        <v>45798</v>
      </c>
      <c r="X114" s="69" t="s">
        <v>1672</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290</v>
      </c>
      <c r="O115" s="125">
        <v>45757</v>
      </c>
      <c r="P115" s="30" t="s">
        <v>290</v>
      </c>
      <c r="Q115" s="43" t="s">
        <v>290</v>
      </c>
      <c r="R115" s="69" t="s">
        <v>1670</v>
      </c>
      <c r="S115" s="43" t="s">
        <v>290</v>
      </c>
      <c r="T115" s="43" t="s">
        <v>290</v>
      </c>
      <c r="U115" s="43" t="s">
        <v>290</v>
      </c>
      <c r="V115" s="88" t="s">
        <v>290</v>
      </c>
      <c r="W115" s="54">
        <v>45814</v>
      </c>
      <c r="X115" s="69" t="s">
        <v>1672</v>
      </c>
    </row>
    <row r="116" spans="1:25">
      <c r="A116" s="181" t="s">
        <v>629</v>
      </c>
      <c r="B116" s="185" t="s">
        <v>50</v>
      </c>
      <c r="C116" s="318">
        <v>45772</v>
      </c>
      <c r="D116" s="738" t="s">
        <v>631</v>
      </c>
      <c r="H116" s="182">
        <v>50</v>
      </c>
      <c r="I116" s="184"/>
      <c r="J116" s="182" t="s">
        <v>57</v>
      </c>
      <c r="K116" s="434" t="s">
        <v>57</v>
      </c>
      <c r="L116" s="182" t="s">
        <v>63</v>
      </c>
      <c r="M116" s="196">
        <v>45757</v>
      </c>
      <c r="N116" s="30" t="s">
        <v>290</v>
      </c>
      <c r="O116" s="125">
        <v>45757</v>
      </c>
      <c r="P116" s="30" t="s">
        <v>290</v>
      </c>
      <c r="Q116" s="43" t="s">
        <v>290</v>
      </c>
      <c r="R116" s="69" t="s">
        <v>1670</v>
      </c>
      <c r="S116" s="43" t="s">
        <v>290</v>
      </c>
      <c r="T116" s="43" t="s">
        <v>290</v>
      </c>
      <c r="U116" s="43" t="s">
        <v>290</v>
      </c>
      <c r="V116" s="495" t="s">
        <v>290</v>
      </c>
      <c r="W116" s="54">
        <v>45807</v>
      </c>
      <c r="X116" s="69" t="s">
        <v>1672</v>
      </c>
    </row>
    <row r="117" spans="1:25">
      <c r="A117" s="181" t="s">
        <v>633</v>
      </c>
      <c r="B117" s="185" t="s">
        <v>50</v>
      </c>
      <c r="C117" s="318">
        <v>45772</v>
      </c>
      <c r="D117" s="536" t="s">
        <v>634</v>
      </c>
      <c r="H117" s="182">
        <v>76</v>
      </c>
      <c r="I117" s="184"/>
      <c r="J117" s="182" t="s">
        <v>57</v>
      </c>
      <c r="K117" s="434" t="s">
        <v>57</v>
      </c>
      <c r="L117" s="182" t="s">
        <v>63</v>
      </c>
      <c r="M117" s="196">
        <v>45757</v>
      </c>
      <c r="N117" s="87" t="s">
        <v>290</v>
      </c>
      <c r="O117" s="125">
        <v>45757</v>
      </c>
      <c r="P117" s="30" t="s">
        <v>290</v>
      </c>
      <c r="Q117" s="43" t="s">
        <v>290</v>
      </c>
      <c r="R117" s="69" t="s">
        <v>1670</v>
      </c>
      <c r="S117" s="43" t="s">
        <v>290</v>
      </c>
      <c r="T117" s="43" t="s">
        <v>290</v>
      </c>
      <c r="U117" s="43" t="s">
        <v>290</v>
      </c>
      <c r="V117" s="88" t="s">
        <v>290</v>
      </c>
      <c r="W117" s="54">
        <v>45811</v>
      </c>
      <c r="X117" s="69" t="s">
        <v>1672</v>
      </c>
    </row>
    <row r="118" spans="1:25">
      <c r="A118" s="181" t="s">
        <v>635</v>
      </c>
      <c r="B118" s="185" t="s">
        <v>50</v>
      </c>
      <c r="C118" s="318">
        <v>45772</v>
      </c>
      <c r="D118" s="182" t="s">
        <v>637</v>
      </c>
      <c r="H118" s="188">
        <v>88</v>
      </c>
      <c r="I118" s="184"/>
      <c r="J118" s="182" t="s">
        <v>57</v>
      </c>
      <c r="K118" s="434" t="s">
        <v>57</v>
      </c>
      <c r="L118" s="182" t="s">
        <v>63</v>
      </c>
      <c r="M118" s="196">
        <v>45757</v>
      </c>
      <c r="N118" s="87" t="s">
        <v>290</v>
      </c>
      <c r="O118" s="125">
        <v>45757</v>
      </c>
      <c r="P118" s="87" t="s">
        <v>290</v>
      </c>
      <c r="Q118" s="43" t="s">
        <v>290</v>
      </c>
      <c r="R118" s="43" t="s">
        <v>1670</v>
      </c>
      <c r="S118" s="43" t="s">
        <v>290</v>
      </c>
      <c r="T118" s="43" t="s">
        <v>290</v>
      </c>
      <c r="U118" s="158" t="s">
        <v>290</v>
      </c>
      <c r="V118" s="88" t="s">
        <v>290</v>
      </c>
      <c r="W118" s="54">
        <v>45810</v>
      </c>
      <c r="X118" s="69" t="s">
        <v>1672</v>
      </c>
    </row>
    <row r="119" spans="1:25">
      <c r="A119" s="181" t="s">
        <v>639</v>
      </c>
      <c r="B119" s="185" t="s">
        <v>50</v>
      </c>
      <c r="C119" s="318">
        <v>45772</v>
      </c>
      <c r="D119" s="182" t="s">
        <v>640</v>
      </c>
      <c r="H119" s="188">
        <v>86</v>
      </c>
      <c r="I119" s="184"/>
      <c r="J119" s="182" t="s">
        <v>57</v>
      </c>
      <c r="K119" s="434" t="s">
        <v>57</v>
      </c>
      <c r="L119" s="182" t="s">
        <v>63</v>
      </c>
      <c r="M119" s="198">
        <v>45756</v>
      </c>
      <c r="N119" s="30" t="s">
        <v>290</v>
      </c>
      <c r="O119" s="125">
        <v>45757</v>
      </c>
      <c r="P119" s="30" t="s">
        <v>290</v>
      </c>
      <c r="Q119" s="69" t="s">
        <v>290</v>
      </c>
      <c r="R119" s="69" t="s">
        <v>1670</v>
      </c>
      <c r="S119" s="43" t="s">
        <v>290</v>
      </c>
      <c r="T119" s="43" t="s">
        <v>290</v>
      </c>
      <c r="U119" s="158" t="s">
        <v>290</v>
      </c>
      <c r="V119" s="88" t="s">
        <v>290</v>
      </c>
      <c r="W119" s="54">
        <v>45813</v>
      </c>
      <c r="X119" s="69" t="s">
        <v>1672</v>
      </c>
    </row>
    <row r="120" spans="1:25">
      <c r="A120" s="181" t="s">
        <v>641</v>
      </c>
      <c r="B120" s="185" t="s">
        <v>50</v>
      </c>
      <c r="C120" s="318">
        <v>45772</v>
      </c>
      <c r="D120" s="537" t="s">
        <v>642</v>
      </c>
      <c r="H120" s="188">
        <v>84</v>
      </c>
      <c r="I120" s="184"/>
      <c r="J120" s="182" t="s">
        <v>57</v>
      </c>
      <c r="K120" s="434" t="s">
        <v>57</v>
      </c>
      <c r="L120" s="182" t="s">
        <v>63</v>
      </c>
      <c r="M120" s="198">
        <v>45741</v>
      </c>
      <c r="N120" s="30" t="s">
        <v>290</v>
      </c>
      <c r="O120" s="54">
        <v>45748</v>
      </c>
      <c r="P120" s="30" t="s">
        <v>290</v>
      </c>
      <c r="Q120" s="43" t="s">
        <v>290</v>
      </c>
      <c r="R120" s="69" t="s">
        <v>1670</v>
      </c>
      <c r="S120" s="43" t="s">
        <v>290</v>
      </c>
      <c r="T120" s="43" t="s">
        <v>290</v>
      </c>
      <c r="U120" s="43" t="s">
        <v>290</v>
      </c>
      <c r="V120" s="88" t="s">
        <v>290</v>
      </c>
      <c r="W120" s="54">
        <v>45811</v>
      </c>
      <c r="X120" s="69" t="s">
        <v>1672</v>
      </c>
    </row>
    <row r="121" spans="1:25">
      <c r="A121" s="377" t="s">
        <v>700</v>
      </c>
      <c r="B121" s="710" t="s">
        <v>50</v>
      </c>
      <c r="C121" s="711">
        <v>45772</v>
      </c>
      <c r="D121" s="374" t="s">
        <v>701</v>
      </c>
      <c r="H121" s="352">
        <v>87</v>
      </c>
      <c r="I121" s="350"/>
      <c r="J121" s="374" t="s">
        <v>57</v>
      </c>
      <c r="K121" s="731" t="s">
        <v>57</v>
      </c>
      <c r="L121" s="182" t="s">
        <v>63</v>
      </c>
      <c r="M121" s="196">
        <v>45757</v>
      </c>
      <c r="N121" s="30" t="s">
        <v>290</v>
      </c>
      <c r="O121" s="125">
        <v>45757</v>
      </c>
      <c r="P121" s="30" t="s">
        <v>290</v>
      </c>
      <c r="Q121" s="69" t="s">
        <v>290</v>
      </c>
      <c r="R121" s="69" t="s">
        <v>1670</v>
      </c>
      <c r="S121" s="43" t="s">
        <v>290</v>
      </c>
      <c r="T121" s="43" t="s">
        <v>290</v>
      </c>
      <c r="U121" s="43" t="s">
        <v>290</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290</v>
      </c>
      <c r="O122" s="54">
        <v>45747</v>
      </c>
      <c r="P122" s="30" t="s">
        <v>290</v>
      </c>
      <c r="Q122" s="69" t="s">
        <v>290</v>
      </c>
      <c r="R122" s="69" t="s">
        <v>1670</v>
      </c>
      <c r="S122" s="43" t="s">
        <v>290</v>
      </c>
      <c r="T122" s="43" t="s">
        <v>290</v>
      </c>
      <c r="U122" s="158" t="s">
        <v>290</v>
      </c>
      <c r="V122" s="158" t="s">
        <v>290</v>
      </c>
      <c r="W122" s="54">
        <v>45789</v>
      </c>
      <c r="X122" s="69" t="s">
        <v>1672</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290</v>
      </c>
      <c r="O123" s="54">
        <v>45744</v>
      </c>
      <c r="P123" s="30" t="s">
        <v>290</v>
      </c>
      <c r="Q123" s="43" t="s">
        <v>290</v>
      </c>
      <c r="R123" s="69" t="s">
        <v>1670</v>
      </c>
      <c r="S123" s="43" t="s">
        <v>290</v>
      </c>
      <c r="T123" s="43" t="s">
        <v>290</v>
      </c>
      <c r="U123" s="43" t="s">
        <v>290</v>
      </c>
      <c r="V123" s="69" t="s">
        <v>290</v>
      </c>
      <c r="W123" s="54">
        <v>45811</v>
      </c>
      <c r="X123" s="69" t="s">
        <v>1672</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290</v>
      </c>
      <c r="O124" s="54">
        <v>45744</v>
      </c>
      <c r="P124" s="30" t="s">
        <v>290</v>
      </c>
      <c r="Q124" s="43" t="s">
        <v>290</v>
      </c>
      <c r="R124" s="69" t="s">
        <v>1670</v>
      </c>
      <c r="S124" s="43" t="s">
        <v>290</v>
      </c>
      <c r="T124" s="43" t="s">
        <v>290</v>
      </c>
      <c r="U124" s="43" t="s">
        <v>1675</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290</v>
      </c>
      <c r="N125" s="30" t="s">
        <v>290</v>
      </c>
      <c r="O125" s="54">
        <v>45679</v>
      </c>
      <c r="P125" s="30" t="s">
        <v>290</v>
      </c>
      <c r="Q125" s="69" t="s">
        <v>290</v>
      </c>
      <c r="R125" s="43" t="s">
        <v>1670</v>
      </c>
      <c r="S125" s="43" t="s">
        <v>290</v>
      </c>
      <c r="T125" s="43" t="s">
        <v>290</v>
      </c>
      <c r="U125" s="43" t="s">
        <v>290</v>
      </c>
      <c r="V125" s="43" t="s">
        <v>290</v>
      </c>
      <c r="W125" s="54">
        <v>45814</v>
      </c>
      <c r="X125" s="69" t="s">
        <v>1672</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290</v>
      </c>
      <c r="N126" s="30" t="s">
        <v>290</v>
      </c>
      <c r="O126" s="54">
        <v>45720</v>
      </c>
      <c r="P126" s="30" t="s">
        <v>290</v>
      </c>
      <c r="Q126" s="69" t="s">
        <v>290</v>
      </c>
      <c r="R126" s="43" t="s">
        <v>1670</v>
      </c>
      <c r="S126" s="43" t="s">
        <v>290</v>
      </c>
      <c r="T126" s="43" t="s">
        <v>290</v>
      </c>
      <c r="U126" s="43" t="s">
        <v>290</v>
      </c>
      <c r="V126" s="88" t="s">
        <v>290</v>
      </c>
      <c r="W126" s="54">
        <v>45819</v>
      </c>
      <c r="X126" s="69" t="s">
        <v>1672</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290</v>
      </c>
      <c r="O127" s="54">
        <v>45679</v>
      </c>
      <c r="P127" s="30" t="s">
        <v>290</v>
      </c>
      <c r="Q127" s="43" t="s">
        <v>290</v>
      </c>
      <c r="R127" s="43" t="s">
        <v>1670</v>
      </c>
      <c r="S127" s="43" t="s">
        <v>290</v>
      </c>
      <c r="T127" s="43" t="s">
        <v>290</v>
      </c>
      <c r="U127" s="43" t="s">
        <v>290</v>
      </c>
      <c r="V127" s="88" t="s">
        <v>290</v>
      </c>
      <c r="W127" s="54">
        <v>45812</v>
      </c>
      <c r="X127" s="69" t="s">
        <v>1672</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290</v>
      </c>
      <c r="O128" s="358">
        <v>45694</v>
      </c>
      <c r="P128" s="87" t="s">
        <v>290</v>
      </c>
      <c r="Q128" s="43" t="s">
        <v>290</v>
      </c>
      <c r="R128" s="43" t="s">
        <v>1670</v>
      </c>
      <c r="S128" s="43" t="s">
        <v>290</v>
      </c>
      <c r="T128" s="43" t="s">
        <v>290</v>
      </c>
      <c r="U128" s="43" t="s">
        <v>290</v>
      </c>
      <c r="V128" s="88" t="s">
        <v>290</v>
      </c>
      <c r="W128" s="168">
        <v>45883</v>
      </c>
      <c r="X128" s="69" t="s">
        <v>1672</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290</v>
      </c>
      <c r="O129" s="168">
        <v>45720</v>
      </c>
      <c r="P129" s="115" t="s">
        <v>290</v>
      </c>
      <c r="Q129" s="149" t="s">
        <v>290</v>
      </c>
      <c r="R129" s="43" t="s">
        <v>1670</v>
      </c>
      <c r="S129" s="43" t="s">
        <v>290</v>
      </c>
      <c r="T129" s="116" t="s">
        <v>290</v>
      </c>
      <c r="U129" s="116" t="s">
        <v>290</v>
      </c>
      <c r="V129" s="88" t="s">
        <v>290</v>
      </c>
      <c r="W129" s="168">
        <v>45814</v>
      </c>
      <c r="X129" s="69" t="s">
        <v>1672</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290</v>
      </c>
      <c r="O130" s="54">
        <v>45698</v>
      </c>
      <c r="P130" s="30" t="s">
        <v>290</v>
      </c>
      <c r="Q130" s="69" t="s">
        <v>290</v>
      </c>
      <c r="R130" s="43" t="s">
        <v>1670</v>
      </c>
      <c r="S130" s="43" t="s">
        <v>290</v>
      </c>
      <c r="T130" s="43" t="s">
        <v>290</v>
      </c>
      <c r="U130" s="43" t="s">
        <v>290</v>
      </c>
      <c r="V130" s="88" t="s">
        <v>290</v>
      </c>
      <c r="W130" s="54">
        <v>45798</v>
      </c>
      <c r="X130" s="69" t="s">
        <v>1672</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290</v>
      </c>
      <c r="N131" s="49" t="s">
        <v>290</v>
      </c>
      <c r="O131" s="30" t="s">
        <v>290</v>
      </c>
      <c r="P131" s="30" t="s">
        <v>290</v>
      </c>
      <c r="Q131" s="43" t="s">
        <v>290</v>
      </c>
      <c r="R131" s="43" t="s">
        <v>1670</v>
      </c>
      <c r="S131" s="43" t="s">
        <v>290</v>
      </c>
      <c r="T131" s="158" t="s">
        <v>290</v>
      </c>
      <c r="U131" s="158" t="s">
        <v>290</v>
      </c>
      <c r="V131" s="88" t="s">
        <v>290</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290</v>
      </c>
      <c r="O132" s="54">
        <v>45691</v>
      </c>
      <c r="P132" s="87" t="s">
        <v>290</v>
      </c>
      <c r="Q132" s="43" t="s">
        <v>290</v>
      </c>
      <c r="R132" s="43" t="s">
        <v>1670</v>
      </c>
      <c r="S132" s="43" t="s">
        <v>290</v>
      </c>
      <c r="T132" s="43" t="s">
        <v>290</v>
      </c>
      <c r="U132" s="43" t="s">
        <v>290</v>
      </c>
      <c r="V132" s="43" t="s">
        <v>290</v>
      </c>
      <c r="W132" s="54">
        <v>45820</v>
      </c>
      <c r="X132" s="69" t="s">
        <v>1672</v>
      </c>
      <c r="Y132" t="e">
        <f>VLOOKUP(A132,#REF!,2,FALSE)</f>
        <v>#REF!</v>
      </c>
    </row>
    <row r="133" spans="1:25" ht="15" customHeight="1">
      <c r="A133" s="369" t="s">
        <v>660</v>
      </c>
      <c r="B133" s="420" t="s">
        <v>50</v>
      </c>
      <c r="C133" s="378">
        <v>45742</v>
      </c>
      <c r="D133" s="433" t="s">
        <v>1676</v>
      </c>
      <c r="E133" s="372"/>
      <c r="F133" s="372"/>
      <c r="G133" s="372"/>
      <c r="H133" s="372">
        <v>38</v>
      </c>
      <c r="I133" s="371"/>
      <c r="J133" s="372" t="s">
        <v>57</v>
      </c>
      <c r="K133" s="372" t="s">
        <v>57</v>
      </c>
      <c r="L133" s="372" t="s">
        <v>63</v>
      </c>
      <c r="M133" s="49" t="s">
        <v>290</v>
      </c>
      <c r="N133" s="49" t="s">
        <v>290</v>
      </c>
      <c r="O133" s="54">
        <v>45701</v>
      </c>
      <c r="P133" s="30" t="s">
        <v>290</v>
      </c>
      <c r="Q133" s="69" t="s">
        <v>290</v>
      </c>
      <c r="R133" s="43" t="s">
        <v>1670</v>
      </c>
      <c r="S133" s="43" t="s">
        <v>290</v>
      </c>
      <c r="T133" s="43" t="s">
        <v>290</v>
      </c>
      <c r="U133" s="43" t="s">
        <v>290</v>
      </c>
      <c r="V133" s="69" t="s">
        <v>290</v>
      </c>
      <c r="W133" s="54">
        <v>45821</v>
      </c>
      <c r="X133" s="69" t="s">
        <v>1672</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290</v>
      </c>
      <c r="O134" s="54">
        <v>45709</v>
      </c>
      <c r="P134" s="30" t="s">
        <v>290</v>
      </c>
      <c r="Q134" s="43" t="s">
        <v>290</v>
      </c>
      <c r="R134" s="43" t="s">
        <v>1670</v>
      </c>
      <c r="S134" s="43" t="s">
        <v>290</v>
      </c>
      <c r="T134" s="43" t="s">
        <v>290</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290</v>
      </c>
      <c r="N135" s="49" t="s">
        <v>290</v>
      </c>
      <c r="O135" s="198">
        <v>45720</v>
      </c>
      <c r="P135" s="49" t="s">
        <v>290</v>
      </c>
      <c r="Q135" s="69" t="s">
        <v>290</v>
      </c>
      <c r="R135" s="43" t="s">
        <v>1670</v>
      </c>
      <c r="S135" s="43" t="s">
        <v>290</v>
      </c>
      <c r="T135" s="43" t="s">
        <v>290</v>
      </c>
      <c r="U135" s="158" t="s">
        <v>290</v>
      </c>
      <c r="V135" s="43" t="s">
        <v>290</v>
      </c>
      <c r="W135" s="54">
        <v>45819</v>
      </c>
      <c r="X135" s="69" t="s">
        <v>1672</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290</v>
      </c>
      <c r="O136" s="54">
        <v>45691</v>
      </c>
      <c r="P136" s="30" t="s">
        <v>290</v>
      </c>
      <c r="Q136" s="43" t="s">
        <v>290</v>
      </c>
      <c r="R136" s="43" t="s">
        <v>1670</v>
      </c>
      <c r="S136" s="43" t="s">
        <v>290</v>
      </c>
      <c r="T136" s="43" t="s">
        <v>290</v>
      </c>
      <c r="U136" s="43" t="s">
        <v>290</v>
      </c>
      <c r="V136" s="43" t="s">
        <v>290</v>
      </c>
      <c r="W136" s="54">
        <v>45791</v>
      </c>
      <c r="X136" s="69" t="s">
        <v>1672</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290</v>
      </c>
      <c r="O137" s="30" t="s">
        <v>290</v>
      </c>
      <c r="P137" s="49" t="s">
        <v>290</v>
      </c>
      <c r="Q137" s="69" t="s">
        <v>290</v>
      </c>
      <c r="R137" s="43" t="s">
        <v>1670</v>
      </c>
      <c r="S137" s="43" t="s">
        <v>290</v>
      </c>
      <c r="T137" s="43" t="s">
        <v>290</v>
      </c>
      <c r="U137" s="158" t="s">
        <v>290</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290</v>
      </c>
      <c r="O138" s="125">
        <v>45707</v>
      </c>
      <c r="P138" s="30" t="s">
        <v>290</v>
      </c>
      <c r="Q138" s="43" t="s">
        <v>290</v>
      </c>
      <c r="R138" s="43" t="s">
        <v>1670</v>
      </c>
      <c r="S138" s="43" t="s">
        <v>290</v>
      </c>
      <c r="T138" s="43" t="s">
        <v>290</v>
      </c>
      <c r="U138" s="43" t="s">
        <v>290</v>
      </c>
      <c r="V138" s="43" t="s">
        <v>290</v>
      </c>
      <c r="W138" s="54">
        <v>45790</v>
      </c>
      <c r="X138" s="69" t="s">
        <v>1672</v>
      </c>
      <c r="Y138" t="e">
        <f>VLOOKUP(A138,#REF!,2,FALSE)</f>
        <v>#REF!</v>
      </c>
    </row>
    <row r="139" spans="1:25" ht="15" customHeight="1">
      <c r="A139" s="369" t="s">
        <v>1677</v>
      </c>
      <c r="B139" s="185" t="s">
        <v>50</v>
      </c>
      <c r="C139" s="422">
        <v>45742</v>
      </c>
      <c r="D139" s="372" t="s">
        <v>1678</v>
      </c>
      <c r="E139" s="539"/>
      <c r="F139" s="372"/>
      <c r="G139" s="372"/>
      <c r="H139" s="372">
        <v>87</v>
      </c>
      <c r="I139" s="371"/>
      <c r="J139" s="372" t="s">
        <v>57</v>
      </c>
      <c r="K139" s="372" t="s">
        <v>57</v>
      </c>
      <c r="L139" s="372" t="s">
        <v>63</v>
      </c>
      <c r="M139" s="49" t="s">
        <v>290</v>
      </c>
      <c r="N139" s="30" t="s">
        <v>290</v>
      </c>
      <c r="O139" s="30" t="s">
        <v>290</v>
      </c>
      <c r="P139" s="30" t="s">
        <v>290</v>
      </c>
      <c r="Q139" s="43" t="s">
        <v>290</v>
      </c>
      <c r="R139" s="43" t="s">
        <v>1670</v>
      </c>
      <c r="S139" s="43" t="s">
        <v>290</v>
      </c>
      <c r="T139" s="43" t="s">
        <v>290</v>
      </c>
      <c r="U139" s="158" t="s">
        <v>290</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290</v>
      </c>
      <c r="O140" s="54">
        <v>45743</v>
      </c>
      <c r="P140" s="87" t="s">
        <v>290</v>
      </c>
      <c r="Q140" s="88" t="s">
        <v>290</v>
      </c>
      <c r="R140" s="43" t="s">
        <v>1670</v>
      </c>
      <c r="S140" s="43" t="s">
        <v>290</v>
      </c>
      <c r="T140" s="43" t="s">
        <v>290</v>
      </c>
      <c r="U140" s="88" t="s">
        <v>290</v>
      </c>
      <c r="V140" s="69" t="s">
        <v>290</v>
      </c>
      <c r="W140" s="54">
        <v>45819</v>
      </c>
      <c r="X140" s="69" t="s">
        <v>1672</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290</v>
      </c>
      <c r="O141" s="198">
        <v>45743</v>
      </c>
      <c r="P141" s="87" t="s">
        <v>290</v>
      </c>
      <c r="Q141" s="88" t="s">
        <v>290</v>
      </c>
      <c r="R141" s="43" t="s">
        <v>1670</v>
      </c>
      <c r="S141" s="43" t="s">
        <v>290</v>
      </c>
      <c r="T141" s="43" t="s">
        <v>290</v>
      </c>
      <c r="U141" s="88" t="s">
        <v>290</v>
      </c>
      <c r="V141" s="88" t="s">
        <v>290</v>
      </c>
      <c r="W141" s="54">
        <v>45811</v>
      </c>
      <c r="X141" s="69" t="s">
        <v>1672</v>
      </c>
      <c r="Y141" t="e">
        <f>VLOOKUP(A141,#REF!,2,FALSE)</f>
        <v>#REF!</v>
      </c>
    </row>
    <row r="142" spans="1:25" ht="15" customHeight="1">
      <c r="A142" s="369" t="s">
        <v>1679</v>
      </c>
      <c r="B142" s="420" t="s">
        <v>50</v>
      </c>
      <c r="C142" s="422">
        <v>45742</v>
      </c>
      <c r="D142" s="372" t="s">
        <v>1680</v>
      </c>
      <c r="E142" s="539"/>
      <c r="F142" s="372"/>
      <c r="G142" s="372"/>
      <c r="H142" s="372">
        <v>87</v>
      </c>
      <c r="I142" s="371"/>
      <c r="J142" s="372" t="s">
        <v>57</v>
      </c>
      <c r="K142" s="372" t="s">
        <v>57</v>
      </c>
      <c r="L142" s="372" t="s">
        <v>63</v>
      </c>
      <c r="M142" s="49" t="s">
        <v>290</v>
      </c>
      <c r="N142" s="49" t="s">
        <v>290</v>
      </c>
      <c r="O142" s="198">
        <v>45691</v>
      </c>
      <c r="P142" s="30" t="s">
        <v>290</v>
      </c>
      <c r="Q142" s="69" t="s">
        <v>290</v>
      </c>
      <c r="R142" s="43" t="s">
        <v>1670</v>
      </c>
      <c r="S142" s="43" t="s">
        <v>290</v>
      </c>
      <c r="T142" s="43" t="s">
        <v>290</v>
      </c>
      <c r="U142" s="158" t="s">
        <v>290</v>
      </c>
      <c r="V142" s="69" t="s">
        <v>95</v>
      </c>
      <c r="W142" s="30"/>
      <c r="X142" s="69" t="s">
        <v>95</v>
      </c>
      <c r="Y142" t="e">
        <f>VLOOKUP(A142,#REF!,2,FALSE)</f>
        <v>#REF!</v>
      </c>
    </row>
    <row r="143" spans="1:25" ht="15" customHeight="1">
      <c r="A143" s="369" t="s">
        <v>382</v>
      </c>
      <c r="B143" s="420" t="s">
        <v>50</v>
      </c>
      <c r="C143" s="745">
        <v>45688</v>
      </c>
      <c r="D143" s="538" t="s">
        <v>384</v>
      </c>
      <c r="E143" s="538"/>
      <c r="F143" s="538"/>
      <c r="G143" s="538"/>
      <c r="H143" s="433">
        <v>79</v>
      </c>
      <c r="I143" s="371"/>
      <c r="J143" s="557" t="s">
        <v>57</v>
      </c>
      <c r="K143" s="557" t="s">
        <v>57</v>
      </c>
      <c r="L143" s="372" t="s">
        <v>63</v>
      </c>
      <c r="M143" s="49" t="s">
        <v>290</v>
      </c>
      <c r="N143" s="49" t="s">
        <v>290</v>
      </c>
      <c r="O143" s="198">
        <v>45675</v>
      </c>
      <c r="P143" s="30" t="s">
        <v>290</v>
      </c>
      <c r="Q143" s="69" t="s">
        <v>290</v>
      </c>
      <c r="R143" s="43" t="s">
        <v>1670</v>
      </c>
      <c r="S143" s="43" t="s">
        <v>290</v>
      </c>
      <c r="T143" s="43" t="s">
        <v>290</v>
      </c>
      <c r="U143" s="158" t="s">
        <v>290</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290</v>
      </c>
      <c r="O144" s="198">
        <v>45749</v>
      </c>
      <c r="P144" s="30" t="s">
        <v>290</v>
      </c>
      <c r="Q144" s="43" t="s">
        <v>290</v>
      </c>
      <c r="R144" s="43" t="s">
        <v>290</v>
      </c>
      <c r="S144" s="43" t="s">
        <v>56</v>
      </c>
      <c r="T144" s="43" t="s">
        <v>290</v>
      </c>
      <c r="U144" s="88" t="s">
        <v>290</v>
      </c>
      <c r="V144" s="88" t="s">
        <v>290</v>
      </c>
      <c r="W144" s="54">
        <v>45888</v>
      </c>
      <c r="X144" s="69" t="s">
        <v>1672</v>
      </c>
    </row>
    <row r="145" spans="1:25" ht="15" customHeight="1">
      <c r="A145" s="369" t="s">
        <v>900</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1681</v>
      </c>
      <c r="B146" s="420" t="s">
        <v>50</v>
      </c>
      <c r="C146" s="370">
        <v>45991</v>
      </c>
      <c r="D146" s="432" t="s">
        <v>1682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290</v>
      </c>
      <c r="O148" s="198">
        <v>45744</v>
      </c>
      <c r="P148" s="49" t="s">
        <v>290</v>
      </c>
      <c r="Q148" s="43" t="s">
        <v>290</v>
      </c>
      <c r="R148" s="43" t="s">
        <v>290</v>
      </c>
      <c r="S148" s="43" t="s">
        <v>56</v>
      </c>
      <c r="T148" s="43" t="s">
        <v>290</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1670</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290</v>
      </c>
      <c r="O150" s="198">
        <v>45744</v>
      </c>
      <c r="P150" s="101" t="s">
        <v>290</v>
      </c>
      <c r="Q150" s="69" t="s">
        <v>290</v>
      </c>
      <c r="R150" s="43" t="s">
        <v>1670</v>
      </c>
      <c r="S150" s="43" t="s">
        <v>290</v>
      </c>
      <c r="T150" s="43" t="s">
        <v>290</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290</v>
      </c>
      <c r="O151" s="198">
        <v>45698</v>
      </c>
      <c r="P151" s="101" t="s">
        <v>290</v>
      </c>
      <c r="Q151" s="69" t="s">
        <v>290</v>
      </c>
      <c r="R151" s="43" t="s">
        <v>1670</v>
      </c>
      <c r="S151" s="43" t="s">
        <v>290</v>
      </c>
      <c r="T151" s="43" t="s">
        <v>290</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290</v>
      </c>
      <c r="O153" s="198">
        <v>45696</v>
      </c>
      <c r="P153" s="30" t="s">
        <v>290</v>
      </c>
      <c r="Q153" s="69" t="s">
        <v>290</v>
      </c>
      <c r="R153" s="43" t="s">
        <v>1670</v>
      </c>
      <c r="S153" s="43" t="s">
        <v>290</v>
      </c>
      <c r="T153" s="158" t="s">
        <v>290</v>
      </c>
      <c r="U153" s="158" t="s">
        <v>290</v>
      </c>
      <c r="V153" s="43" t="s">
        <v>290</v>
      </c>
      <c r="W153" s="54">
        <v>45807</v>
      </c>
      <c r="X153" s="69" t="s">
        <v>1672</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290</v>
      </c>
      <c r="O154" s="358">
        <v>45696</v>
      </c>
      <c r="P154" s="30" t="s">
        <v>290</v>
      </c>
      <c r="Q154" s="69" t="s">
        <v>290</v>
      </c>
      <c r="R154" s="43" t="s">
        <v>1670</v>
      </c>
      <c r="S154" s="43" t="s">
        <v>290</v>
      </c>
      <c r="T154" s="158" t="s">
        <v>290</v>
      </c>
      <c r="U154" s="158" t="s">
        <v>290</v>
      </c>
      <c r="V154" s="43" t="s">
        <v>290</v>
      </c>
      <c r="W154" s="168">
        <v>45792</v>
      </c>
      <c r="X154" s="149" t="s">
        <v>1672</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290</v>
      </c>
      <c r="O155" s="54">
        <v>45699</v>
      </c>
      <c r="P155" s="49" t="s">
        <v>290</v>
      </c>
      <c r="Q155" s="69" t="s">
        <v>290</v>
      </c>
      <c r="R155" s="43" t="s">
        <v>1670</v>
      </c>
      <c r="S155" s="43" t="s">
        <v>290</v>
      </c>
      <c r="T155" s="43" t="s">
        <v>290</v>
      </c>
      <c r="U155" s="158" t="s">
        <v>290</v>
      </c>
      <c r="V155" s="43" t="s">
        <v>290</v>
      </c>
      <c r="W155" s="367">
        <v>45821</v>
      </c>
      <c r="X155" s="69" t="s">
        <v>1672</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290</v>
      </c>
      <c r="O156" s="54">
        <v>45699</v>
      </c>
      <c r="P156" s="49" t="s">
        <v>290</v>
      </c>
      <c r="Q156" s="69" t="s">
        <v>290</v>
      </c>
      <c r="R156" s="43" t="s">
        <v>1670</v>
      </c>
      <c r="S156" s="43" t="s">
        <v>290</v>
      </c>
      <c r="T156" s="43" t="s">
        <v>290</v>
      </c>
      <c r="U156" s="69" t="s">
        <v>290</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1670</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290</v>
      </c>
      <c r="O158" s="54">
        <v>45736</v>
      </c>
      <c r="P158" s="49" t="s">
        <v>290</v>
      </c>
      <c r="Q158" s="69" t="s">
        <v>290</v>
      </c>
      <c r="R158" s="43" t="s">
        <v>1670</v>
      </c>
      <c r="S158" s="43" t="s">
        <v>290</v>
      </c>
      <c r="T158" s="43" t="s">
        <v>290</v>
      </c>
      <c r="U158" s="158" t="s">
        <v>290</v>
      </c>
      <c r="V158" s="158" t="s">
        <v>290</v>
      </c>
      <c r="W158" s="367">
        <v>45817</v>
      </c>
      <c r="X158" s="69" t="s">
        <v>1672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290</v>
      </c>
      <c r="O159" s="30" t="s">
        <v>290</v>
      </c>
      <c r="P159" s="49" t="s">
        <v>290</v>
      </c>
      <c r="Q159" s="43" t="s">
        <v>290</v>
      </c>
      <c r="R159" s="43" t="s">
        <v>290</v>
      </c>
      <c r="S159" s="43" t="s">
        <v>56</v>
      </c>
      <c r="T159" s="43" t="s">
        <v>290</v>
      </c>
      <c r="U159" s="43" t="s">
        <v>290</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290</v>
      </c>
      <c r="O160" s="54">
        <v>45723</v>
      </c>
      <c r="P160" s="49" t="s">
        <v>290</v>
      </c>
      <c r="Q160" s="43" t="s">
        <v>290</v>
      </c>
      <c r="R160" s="43" t="s">
        <v>290</v>
      </c>
      <c r="S160" s="43" t="s">
        <v>56</v>
      </c>
      <c r="T160" s="43" t="s">
        <v>290</v>
      </c>
      <c r="U160" s="43" t="s">
        <v>290</v>
      </c>
      <c r="V160" s="69" t="s">
        <v>290</v>
      </c>
      <c r="W160" s="367">
        <v>45897</v>
      </c>
      <c r="X160" s="69" t="s">
        <v>1672</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290</v>
      </c>
      <c r="O161" s="157">
        <v>45726</v>
      </c>
      <c r="P161" s="49" t="s">
        <v>290</v>
      </c>
      <c r="Q161" s="43" t="s">
        <v>290</v>
      </c>
      <c r="R161" s="43" t="s">
        <v>290</v>
      </c>
      <c r="S161" s="43" t="s">
        <v>56</v>
      </c>
      <c r="T161" s="43" t="s">
        <v>290</v>
      </c>
      <c r="U161" s="43" t="s">
        <v>290</v>
      </c>
      <c r="V161" s="88" t="s">
        <v>290</v>
      </c>
      <c r="W161" s="54">
        <v>45814</v>
      </c>
      <c r="X161" s="69" t="s">
        <v>1672</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290</v>
      </c>
      <c r="O162" s="600">
        <v>45693</v>
      </c>
      <c r="P162" s="30" t="s">
        <v>290</v>
      </c>
      <c r="Q162" s="43" t="s">
        <v>290</v>
      </c>
      <c r="R162" s="43" t="s">
        <v>290</v>
      </c>
      <c r="S162" s="43" t="s">
        <v>56</v>
      </c>
      <c r="T162" s="43" t="s">
        <v>290</v>
      </c>
      <c r="U162" s="43" t="s">
        <v>290</v>
      </c>
      <c r="V162" s="88" t="s">
        <v>290</v>
      </c>
      <c r="W162" s="367">
        <v>45838</v>
      </c>
      <c r="X162" s="69" t="s">
        <v>1672</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290</v>
      </c>
      <c r="O163" s="54">
        <v>45693</v>
      </c>
      <c r="P163" s="30" t="s">
        <v>290</v>
      </c>
      <c r="Q163" s="69" t="s">
        <v>290</v>
      </c>
      <c r="R163" s="69" t="s">
        <v>290</v>
      </c>
      <c r="S163" s="43" t="s">
        <v>56</v>
      </c>
      <c r="T163" s="43" t="s">
        <v>290</v>
      </c>
      <c r="U163" s="69" t="s">
        <v>290</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290</v>
      </c>
      <c r="N164" s="30" t="s">
        <v>290</v>
      </c>
      <c r="O164" s="40" t="s">
        <v>290</v>
      </c>
      <c r="P164" s="87" t="s">
        <v>290</v>
      </c>
      <c r="Q164" s="43" t="s">
        <v>290</v>
      </c>
      <c r="R164" s="43" t="s">
        <v>290</v>
      </c>
      <c r="S164" s="43" t="s">
        <v>56</v>
      </c>
      <c r="T164" s="43" t="s">
        <v>290</v>
      </c>
      <c r="U164" s="43" t="s">
        <v>290</v>
      </c>
      <c r="V164" s="43" t="s">
        <v>290</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290</v>
      </c>
      <c r="N165" s="30" t="s">
        <v>290</v>
      </c>
      <c r="O165" s="600">
        <v>45818</v>
      </c>
      <c r="P165" s="87" t="s">
        <v>290</v>
      </c>
      <c r="Q165" s="43" t="s">
        <v>290</v>
      </c>
      <c r="R165" s="43" t="s">
        <v>290</v>
      </c>
      <c r="S165" s="43" t="s">
        <v>56</v>
      </c>
      <c r="T165" s="43" t="s">
        <v>290</v>
      </c>
      <c r="U165" s="43" t="s">
        <v>290</v>
      </c>
      <c r="V165" s="43" t="s">
        <v>290</v>
      </c>
      <c r="W165" s="367">
        <v>45854</v>
      </c>
      <c r="X165" s="69" t="s">
        <v>1672</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290</v>
      </c>
      <c r="N166" s="30" t="s">
        <v>290</v>
      </c>
      <c r="O166" s="600">
        <v>45693</v>
      </c>
      <c r="P166" s="87" t="s">
        <v>290</v>
      </c>
      <c r="Q166" s="43" t="s">
        <v>290</v>
      </c>
      <c r="R166" s="43" t="s">
        <v>290</v>
      </c>
      <c r="S166" s="43" t="s">
        <v>56</v>
      </c>
      <c r="T166" s="43" t="s">
        <v>290</v>
      </c>
      <c r="U166" s="43" t="s">
        <v>290</v>
      </c>
      <c r="V166" s="43" t="s">
        <v>290</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290</v>
      </c>
      <c r="O167" s="600">
        <v>45720</v>
      </c>
      <c r="P167" s="87" t="s">
        <v>290</v>
      </c>
      <c r="Q167" s="43" t="s">
        <v>290</v>
      </c>
      <c r="R167" s="43" t="s">
        <v>290</v>
      </c>
      <c r="S167" s="43" t="s">
        <v>56</v>
      </c>
      <c r="T167" s="43" t="s">
        <v>290</v>
      </c>
      <c r="U167" s="43" t="s">
        <v>290</v>
      </c>
      <c r="V167" s="43" t="s">
        <v>290</v>
      </c>
      <c r="W167" s="367">
        <v>45902</v>
      </c>
      <c r="X167" s="69" t="s">
        <v>1672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393</v>
      </c>
      <c r="B169" s="420" t="s">
        <v>50</v>
      </c>
      <c r="C169" s="597">
        <v>45991</v>
      </c>
      <c r="D169" s="424" t="s">
        <v>394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290</v>
      </c>
      <c r="O172" s="40" t="s">
        <v>52</v>
      </c>
      <c r="P172" s="87" t="s">
        <v>290</v>
      </c>
      <c r="Q172" s="43" t="s">
        <v>56</v>
      </c>
      <c r="R172" s="43" t="s">
        <v>56</v>
      </c>
      <c r="S172" s="43" t="s">
        <v>56</v>
      </c>
      <c r="T172" s="43" t="s">
        <v>290</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1683</v>
      </c>
      <c r="W2" s="3" t="s">
        <v>1684</v>
      </c>
      <c r="X2" s="3" t="s">
        <v>1684</v>
      </c>
      <c r="Y2" s="3" t="s">
        <v>1684</v>
      </c>
      <c r="Z2" s="3" t="s">
        <v>1684</v>
      </c>
      <c r="AA2" s="8" t="s">
        <v>1685</v>
      </c>
      <c r="AB2" s="67"/>
    </row>
    <row r="3" spans="1:30" ht="15.75" thickBot="1">
      <c r="A3" s="4" t="s">
        <v>317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1686</v>
      </c>
      <c r="T3" s="19" t="s">
        <v>1687</v>
      </c>
      <c r="U3" s="19" t="s">
        <v>1688</v>
      </c>
      <c r="V3" s="5" t="s">
        <v>1689</v>
      </c>
      <c r="W3" s="5" t="s">
        <v>44</v>
      </c>
      <c r="X3" s="5" t="s">
        <v>43</v>
      </c>
      <c r="Y3" s="5" t="s">
        <v>1690</v>
      </c>
      <c r="Z3" s="5" t="s">
        <v>46</v>
      </c>
      <c r="AA3" s="90" t="s">
        <v>502</v>
      </c>
      <c r="AB3" s="68" t="s">
        <v>48</v>
      </c>
    </row>
    <row r="4" spans="1:30" ht="24.75" customHeight="1" thickBot="1">
      <c r="A4" s="454" t="s">
        <v>1691</v>
      </c>
      <c r="B4" s="454" t="s">
        <v>1692</v>
      </c>
      <c r="C4" s="16">
        <v>45717</v>
      </c>
      <c r="D4" s="63" t="s">
        <v>1693</v>
      </c>
      <c r="E4" s="51">
        <v>45707</v>
      </c>
      <c r="F4" s="51" t="s">
        <v>214</v>
      </c>
      <c r="G4" s="393" t="s">
        <v>1694</v>
      </c>
      <c r="H4" s="98">
        <v>0</v>
      </c>
      <c r="I4" s="106"/>
      <c r="J4" s="76" t="s">
        <v>63</v>
      </c>
      <c r="K4" s="76" t="s">
        <v>1695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1696</v>
      </c>
    </row>
    <row r="5" spans="1:30" ht="24.75" customHeight="1" thickBot="1">
      <c r="A5" s="454" t="s">
        <v>1697</v>
      </c>
      <c r="B5" s="454" t="s">
        <v>1692</v>
      </c>
      <c r="C5" s="16">
        <v>45717</v>
      </c>
      <c r="D5" s="63" t="s">
        <v>1693</v>
      </c>
      <c r="E5" s="51">
        <v>45707</v>
      </c>
      <c r="F5" s="392" t="s">
        <v>214</v>
      </c>
      <c r="G5" s="393" t="s">
        <v>1698</v>
      </c>
      <c r="H5" s="98">
        <v>0</v>
      </c>
      <c r="I5" s="106"/>
      <c r="J5" s="76" t="s">
        <v>63</v>
      </c>
      <c r="K5" s="76" t="s">
        <v>1695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1699</v>
      </c>
      <c r="B6" s="454" t="s">
        <v>1692</v>
      </c>
      <c r="C6" s="16">
        <v>45717</v>
      </c>
      <c r="D6" s="63" t="s">
        <v>1693</v>
      </c>
      <c r="E6" s="51">
        <v>45707</v>
      </c>
      <c r="F6" s="392" t="s">
        <v>214</v>
      </c>
      <c r="G6" s="393" t="s">
        <v>1700</v>
      </c>
      <c r="H6" s="98">
        <v>0</v>
      </c>
      <c r="I6" s="106"/>
      <c r="J6" s="76" t="s">
        <v>63</v>
      </c>
      <c r="K6" s="76" t="s">
        <v>1695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1701</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1702</v>
      </c>
      <c r="B8" s="454" t="s">
        <v>1703</v>
      </c>
      <c r="C8" s="16">
        <v>45748</v>
      </c>
      <c r="D8" s="16" t="s">
        <v>1693</v>
      </c>
      <c r="E8" s="95" t="s">
        <v>52</v>
      </c>
      <c r="F8" s="96" t="s">
        <v>52</v>
      </c>
      <c r="G8" s="638" t="s">
        <v>1704</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1705</v>
      </c>
      <c r="AC8" s="449"/>
      <c r="AD8" s="70"/>
    </row>
    <row r="9" spans="1:30" ht="24.75" customHeight="1">
      <c r="A9" s="463" t="s">
        <v>1706</v>
      </c>
      <c r="B9" s="463" t="s">
        <v>1707</v>
      </c>
      <c r="C9" s="23">
        <v>45741</v>
      </c>
      <c r="D9" s="16" t="s">
        <v>1693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1708</v>
      </c>
    </row>
    <row r="10" spans="1:30" ht="24.75" customHeight="1" thickBot="1">
      <c r="A10" s="26" t="s">
        <v>1709</v>
      </c>
      <c r="B10" s="26" t="s">
        <v>1707</v>
      </c>
      <c r="C10" s="27">
        <v>45741</v>
      </c>
      <c r="D10" s="16" t="s">
        <v>1693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1710</v>
      </c>
      <c r="B11" s="36" t="s">
        <v>1707</v>
      </c>
      <c r="C11" s="37">
        <v>45747</v>
      </c>
      <c r="D11" s="16" t="s">
        <v>1693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1711</v>
      </c>
      <c r="B12" s="26" t="s">
        <v>1707</v>
      </c>
      <c r="C12" s="27">
        <v>45741</v>
      </c>
      <c r="D12" s="16" t="s">
        <v>1693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1708</v>
      </c>
    </row>
    <row r="13" spans="1:30" ht="24.75" customHeight="1" thickBot="1">
      <c r="A13" s="26" t="s">
        <v>1712</v>
      </c>
      <c r="B13" s="26" t="s">
        <v>1707</v>
      </c>
      <c r="C13" s="27">
        <v>45741</v>
      </c>
      <c r="D13" s="27" t="s">
        <v>1693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1708</v>
      </c>
    </row>
    <row r="14" spans="1:30" ht="24.75" customHeight="1" thickBot="1">
      <c r="A14" s="26" t="s">
        <v>1713</v>
      </c>
      <c r="B14" s="26" t="s">
        <v>1707</v>
      </c>
      <c r="C14" s="27">
        <v>45747</v>
      </c>
      <c r="D14" s="27" t="s">
        <v>1693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1714</v>
      </c>
      <c r="B15" s="26" t="s">
        <v>1707</v>
      </c>
      <c r="C15" s="27">
        <v>45741</v>
      </c>
      <c r="D15" s="27" t="s">
        <v>1693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1708</v>
      </c>
    </row>
    <row r="16" spans="1:30" ht="24.75" customHeight="1" thickBot="1">
      <c r="A16" s="26" t="s">
        <v>1715</v>
      </c>
      <c r="B16" s="26" t="s">
        <v>1707</v>
      </c>
      <c r="C16" s="27">
        <v>45741</v>
      </c>
      <c r="D16" s="27" t="s">
        <v>1693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1708</v>
      </c>
    </row>
    <row r="17" spans="1:30" ht="24.75" customHeight="1" thickBot="1">
      <c r="A17" s="36" t="s">
        <v>1716</v>
      </c>
      <c r="B17" s="36" t="s">
        <v>1707</v>
      </c>
      <c r="C17" s="37">
        <v>45747</v>
      </c>
      <c r="D17" s="37" t="s">
        <v>1693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1717</v>
      </c>
      <c r="B18" s="385" t="s">
        <v>1707</v>
      </c>
      <c r="C18" s="51">
        <v>45717</v>
      </c>
      <c r="D18" s="27" t="s">
        <v>1693</v>
      </c>
      <c r="E18" s="85">
        <v>45700</v>
      </c>
      <c r="F18" s="51"/>
      <c r="G18" s="51" t="s">
        <v>1718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1708</v>
      </c>
    </row>
    <row r="19" spans="1:30" ht="24.75" customHeight="1" thickBot="1">
      <c r="A19" s="50" t="s">
        <v>1719</v>
      </c>
      <c r="B19" s="26" t="s">
        <v>1707</v>
      </c>
      <c r="C19" s="51">
        <v>45747</v>
      </c>
      <c r="D19" s="27" t="s">
        <v>1693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1720</v>
      </c>
    </row>
    <row r="20" spans="1:30" ht="24.75" customHeight="1" thickBot="1">
      <c r="A20" s="385" t="s">
        <v>1721</v>
      </c>
      <c r="B20" s="385" t="s">
        <v>1707</v>
      </c>
      <c r="C20" s="386">
        <v>45717</v>
      </c>
      <c r="D20" s="27" t="s">
        <v>1693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1708</v>
      </c>
    </row>
    <row r="21" spans="1:30" ht="24.75" customHeight="1" thickBot="1">
      <c r="A21" s="385" t="s">
        <v>1722</v>
      </c>
      <c r="B21" s="113" t="s">
        <v>50</v>
      </c>
      <c r="C21" s="51">
        <v>45717</v>
      </c>
      <c r="D21" s="27" t="s">
        <v>1723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1724</v>
      </c>
      <c r="B22" s="389" t="s">
        <v>50</v>
      </c>
      <c r="C22" s="51">
        <v>45717</v>
      </c>
      <c r="D22" s="51" t="s">
        <v>1723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1726</v>
      </c>
      <c r="B24" s="389" t="s">
        <v>50</v>
      </c>
      <c r="C24" s="392">
        <v>45688</v>
      </c>
      <c r="D24" s="402" t="s">
        <v>1725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1727</v>
      </c>
      <c r="B25" s="114" t="s">
        <v>50</v>
      </c>
      <c r="C25" s="51">
        <v>45747</v>
      </c>
      <c r="D25" s="51" t="s">
        <v>1723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1728</v>
      </c>
    </row>
    <row r="26" spans="1:30" ht="24.75" customHeight="1">
      <c r="A26" s="102" t="s">
        <v>1729</v>
      </c>
      <c r="B26" s="103" t="s">
        <v>50</v>
      </c>
      <c r="C26" s="77">
        <v>45716</v>
      </c>
      <c r="D26" s="26" t="s">
        <v>1725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1730</v>
      </c>
      <c r="B27" s="103" t="s">
        <v>50</v>
      </c>
      <c r="C27" s="77">
        <v>45716</v>
      </c>
      <c r="D27" s="50" t="s">
        <v>1725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1731</v>
      </c>
      <c r="B28" s="103" t="s">
        <v>50</v>
      </c>
      <c r="C28" s="77">
        <v>45717</v>
      </c>
      <c r="D28" s="51" t="s">
        <v>1723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1732</v>
      </c>
      <c r="B29" s="103" t="s">
        <v>50</v>
      </c>
      <c r="C29" s="77">
        <v>45717</v>
      </c>
      <c r="D29" s="51" t="s">
        <v>1723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1733</v>
      </c>
      <c r="B30" s="389" t="s">
        <v>50</v>
      </c>
      <c r="C30" s="51">
        <v>45717</v>
      </c>
      <c r="D30" s="51" t="s">
        <v>1723</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1734</v>
      </c>
      <c r="B31" s="389" t="s">
        <v>50</v>
      </c>
      <c r="C31" s="51">
        <v>45717</v>
      </c>
      <c r="D31" s="51" t="s">
        <v>1723</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1681</v>
      </c>
      <c r="B32" s="1057" t="s">
        <v>50</v>
      </c>
      <c r="C32" s="950">
        <v>45991</v>
      </c>
      <c r="D32" s="950" t="s">
        <v>71</v>
      </c>
      <c r="E32" s="1049">
        <v>45734</v>
      </c>
      <c r="F32" s="954" t="s">
        <v>61</v>
      </c>
      <c r="G32" s="1058" t="s">
        <v>1682</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1735</v>
      </c>
      <c r="B33" s="1057" t="s">
        <v>50</v>
      </c>
      <c r="C33" s="950">
        <v>45991</v>
      </c>
      <c r="D33" s="954" t="s">
        <v>71</v>
      </c>
      <c r="E33" s="1049">
        <v>45743</v>
      </c>
      <c r="F33" s="954" t="s">
        <v>61</v>
      </c>
      <c r="G33" s="1058" t="s">
        <v>1736</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1737</v>
      </c>
    </row>
    <row r="34" spans="1:28" ht="24.75" customHeight="1">
      <c r="A34" s="948" t="s">
        <v>1738</v>
      </c>
      <c r="B34" s="1057" t="s">
        <v>50</v>
      </c>
      <c r="C34" s="950">
        <v>45989</v>
      </c>
      <c r="D34" s="950" t="s">
        <v>1739</v>
      </c>
      <c r="E34" s="1049"/>
      <c r="F34" s="954"/>
      <c r="G34" s="1058"/>
      <c r="H34" s="1037">
        <v>194</v>
      </c>
      <c r="I34" s="953" t="s">
        <v>55</v>
      </c>
      <c r="J34" s="952" t="s">
        <v>56</v>
      </c>
      <c r="K34" s="1146"/>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8" t="s">
        <v>1740</v>
      </c>
      <c r="C1" s="1158"/>
      <c r="D1" s="576"/>
      <c r="E1" s="1158" t="s">
        <v>1741</v>
      </c>
      <c r="F1" s="1158"/>
    </row>
    <row r="2" spans="1:25">
      <c r="B2" s="44" t="s">
        <v>1742</v>
      </c>
      <c r="E2" s="44" t="s">
        <v>22</v>
      </c>
      <c r="F2" t="s">
        <v>871</v>
      </c>
      <c r="P2" s="44" t="s">
        <v>27</v>
      </c>
      <c r="Q2" t="s">
        <v>1743</v>
      </c>
    </row>
    <row r="3" spans="1:25">
      <c r="B3" s="44" t="s">
        <v>22</v>
      </c>
      <c r="C3" t="s">
        <v>877</v>
      </c>
      <c r="K3" s="44" t="s">
        <v>1744</v>
      </c>
      <c r="L3" t="s">
        <v>1745</v>
      </c>
      <c r="P3" s="44" t="s">
        <v>1744</v>
      </c>
      <c r="Q3" t="s">
        <v>1745</v>
      </c>
    </row>
    <row r="4" spans="1:25">
      <c r="B4" t="s">
        <v>150</v>
      </c>
      <c r="C4">
        <v>223696</v>
      </c>
      <c r="E4" s="44" t="s">
        <v>1742</v>
      </c>
      <c r="F4" t="s">
        <v>877</v>
      </c>
      <c r="W4" t="s">
        <v>1746</v>
      </c>
      <c r="X4">
        <v>22</v>
      </c>
    </row>
    <row r="5" spans="1:25">
      <c r="B5" t="s">
        <v>71</v>
      </c>
      <c r="C5">
        <v>47789</v>
      </c>
      <c r="E5" t="s">
        <v>877</v>
      </c>
      <c r="F5">
        <v>301527</v>
      </c>
      <c r="K5" s="44" t="s">
        <v>1747</v>
      </c>
      <c r="P5" s="44" t="s">
        <v>1747</v>
      </c>
      <c r="W5" t="s">
        <v>1748</v>
      </c>
      <c r="X5">
        <v>13</v>
      </c>
    </row>
    <row r="6" spans="1:25">
      <c r="B6" t="s">
        <v>102</v>
      </c>
      <c r="C6">
        <v>22387</v>
      </c>
      <c r="K6" s="44" t="s">
        <v>27</v>
      </c>
      <c r="L6" s="44" t="s">
        <v>1749</v>
      </c>
      <c r="M6" t="s">
        <v>877</v>
      </c>
      <c r="P6" s="44" t="s">
        <v>1750</v>
      </c>
      <c r="Q6" s="44" t="s">
        <v>1749</v>
      </c>
      <c r="R6" t="s">
        <v>877</v>
      </c>
    </row>
    <row r="7" spans="1:25">
      <c r="B7" t="s">
        <v>903</v>
      </c>
      <c r="C7">
        <v>228287</v>
      </c>
      <c r="K7" t="s">
        <v>1743</v>
      </c>
      <c r="L7" t="s">
        <v>508</v>
      </c>
      <c r="M7">
        <v>1</v>
      </c>
      <c r="P7" t="s">
        <v>1751</v>
      </c>
      <c r="R7">
        <v>1</v>
      </c>
      <c r="X7" t="s">
        <v>1752</v>
      </c>
      <c r="Y7" t="s">
        <v>1753</v>
      </c>
    </row>
    <row r="8" spans="1:25">
      <c r="B8" t="s">
        <v>51</v>
      </c>
      <c r="C8">
        <v>446</v>
      </c>
      <c r="L8" t="s">
        <v>510</v>
      </c>
      <c r="M8">
        <v>1</v>
      </c>
      <c r="P8" t="s">
        <v>1754</v>
      </c>
      <c r="R8">
        <v>1</v>
      </c>
      <c r="V8" t="s">
        <v>1755</v>
      </c>
      <c r="W8" s="261">
        <v>203521</v>
      </c>
      <c r="X8" s="317">
        <f>X5/X4</f>
        <v>0.59090909090909094</v>
      </c>
      <c r="Y8" s="317">
        <f>W9/W8</f>
        <v>0.31446386367991508</v>
      </c>
    </row>
    <row r="9" spans="1:25">
      <c r="B9" t="s">
        <v>22</v>
      </c>
      <c r="C9">
        <v>0</v>
      </c>
      <c r="L9" t="s">
        <v>1756</v>
      </c>
      <c r="M9">
        <v>1</v>
      </c>
      <c r="P9" t="s">
        <v>1757</v>
      </c>
      <c r="Q9" t="s">
        <v>1756</v>
      </c>
      <c r="R9">
        <v>1</v>
      </c>
      <c r="V9" t="s">
        <v>1758</v>
      </c>
      <c r="W9">
        <v>64000</v>
      </c>
    </row>
    <row r="10" spans="1:25">
      <c r="B10" t="s">
        <v>225</v>
      </c>
      <c r="C10">
        <v>11494</v>
      </c>
      <c r="L10" t="s">
        <v>609</v>
      </c>
      <c r="M10">
        <v>1</v>
      </c>
      <c r="Q10" t="s">
        <v>613</v>
      </c>
      <c r="R10">
        <v>1</v>
      </c>
    </row>
    <row r="11" spans="1:25">
      <c r="B11" t="s">
        <v>234</v>
      </c>
      <c r="C11">
        <v>48994</v>
      </c>
      <c r="L11" t="s">
        <v>613</v>
      </c>
      <c r="M11">
        <v>1</v>
      </c>
      <c r="Q11" t="s">
        <v>491</v>
      </c>
      <c r="R11">
        <v>1</v>
      </c>
    </row>
    <row r="12" spans="1:25">
      <c r="B12" t="s">
        <v>204</v>
      </c>
      <c r="C12">
        <v>103</v>
      </c>
      <c r="L12" t="s">
        <v>491</v>
      </c>
      <c r="M12">
        <v>1</v>
      </c>
      <c r="Q12" t="s">
        <v>1759</v>
      </c>
      <c r="R12">
        <v>1</v>
      </c>
    </row>
    <row r="13" spans="1:25">
      <c r="B13" t="s">
        <v>209</v>
      </c>
      <c r="C13">
        <v>16290</v>
      </c>
      <c r="L13" t="s">
        <v>1760</v>
      </c>
      <c r="M13">
        <v>1</v>
      </c>
      <c r="Q13" t="s">
        <v>827</v>
      </c>
      <c r="R13">
        <v>1</v>
      </c>
    </row>
    <row r="14" spans="1:25">
      <c r="B14" t="s">
        <v>380</v>
      </c>
      <c r="C14">
        <v>4725</v>
      </c>
      <c r="L14" t="s">
        <v>627</v>
      </c>
      <c r="M14">
        <v>1</v>
      </c>
      <c r="P14" t="s">
        <v>1761</v>
      </c>
      <c r="R14">
        <v>5</v>
      </c>
    </row>
    <row r="15" spans="1:25">
      <c r="B15" t="s">
        <v>128</v>
      </c>
      <c r="C15">
        <v>7655</v>
      </c>
      <c r="L15" t="s">
        <v>1759</v>
      </c>
      <c r="M15">
        <v>1</v>
      </c>
      <c r="P15" t="s">
        <v>903</v>
      </c>
      <c r="R15">
        <v>12</v>
      </c>
    </row>
    <row r="16" spans="1:25">
      <c r="B16" t="s">
        <v>182</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1762</v>
      </c>
      <c r="M21">
        <v>1</v>
      </c>
    </row>
    <row r="22" spans="2:13">
      <c r="L22" t="s">
        <v>827</v>
      </c>
      <c r="M22">
        <v>1</v>
      </c>
    </row>
    <row r="23" spans="2:13">
      <c r="L23" t="s">
        <v>671</v>
      </c>
      <c r="M23">
        <v>1</v>
      </c>
    </row>
    <row r="24" spans="2:13">
      <c r="L24" t="s">
        <v>689</v>
      </c>
      <c r="M24">
        <v>1</v>
      </c>
    </row>
    <row r="25" spans="2:13">
      <c r="L25" t="s">
        <v>178</v>
      </c>
      <c r="M25">
        <v>1</v>
      </c>
    </row>
    <row r="26" spans="2:13">
      <c r="K26" t="s">
        <v>1763</v>
      </c>
      <c r="M26">
        <v>19</v>
      </c>
    </row>
    <row r="27" spans="2:13">
      <c r="K27" t="s">
        <v>1764</v>
      </c>
      <c r="L27" t="s">
        <v>621</v>
      </c>
      <c r="M27">
        <v>1</v>
      </c>
    </row>
    <row r="28" spans="2:13">
      <c r="L28" t="s">
        <v>623</v>
      </c>
      <c r="M28">
        <v>1</v>
      </c>
    </row>
    <row r="29" spans="2:13">
      <c r="L29" t="s">
        <v>625</v>
      </c>
      <c r="M29">
        <v>1</v>
      </c>
    </row>
    <row r="30" spans="2:13">
      <c r="L30" t="s">
        <v>641</v>
      </c>
      <c r="M30">
        <v>1</v>
      </c>
    </row>
    <row r="31" spans="2:13">
      <c r="L31" t="s">
        <v>643</v>
      </c>
      <c r="M31">
        <v>1</v>
      </c>
    </row>
    <row r="32" spans="2:13">
      <c r="L32" t="s">
        <v>1765</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1766</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1767</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1768</v>
      </c>
      <c r="S2" s="3" t="s">
        <v>1683</v>
      </c>
      <c r="T2" s="268" t="s">
        <v>1684</v>
      </c>
      <c r="U2" s="268" t="s">
        <v>1684</v>
      </c>
      <c r="V2" s="268" t="s">
        <v>1684</v>
      </c>
      <c r="W2" s="268" t="s">
        <v>1684</v>
      </c>
      <c r="X2" s="268" t="s">
        <v>1685</v>
      </c>
      <c r="Y2" s="268" t="s">
        <v>1769</v>
      </c>
    </row>
    <row r="3" spans="1:26" ht="15.75" thickBot="1">
      <c r="A3" s="267" t="s">
        <v>1749</v>
      </c>
      <c r="B3" s="263" t="s">
        <v>20</v>
      </c>
      <c r="C3" s="263" t="s">
        <v>1770</v>
      </c>
      <c r="D3" s="263" t="s">
        <v>26</v>
      </c>
      <c r="E3" s="263" t="s">
        <v>1744</v>
      </c>
      <c r="F3" s="263" t="s">
        <v>1771</v>
      </c>
      <c r="G3" s="263" t="s">
        <v>27</v>
      </c>
      <c r="H3" s="211" t="s">
        <v>28</v>
      </c>
      <c r="I3" s="211" t="s">
        <v>1772</v>
      </c>
      <c r="J3" s="211" t="s">
        <v>1773</v>
      </c>
      <c r="K3" s="211" t="s">
        <v>1774</v>
      </c>
      <c r="L3" s="211" t="s">
        <v>1672</v>
      </c>
      <c r="M3" s="211" t="s">
        <v>1775</v>
      </c>
      <c r="N3" s="211" t="s">
        <v>1776</v>
      </c>
      <c r="O3" s="210" t="s">
        <v>1688</v>
      </c>
      <c r="P3" s="264" t="s">
        <v>1750</v>
      </c>
      <c r="Q3" s="265" t="s">
        <v>34</v>
      </c>
      <c r="R3" s="265" t="s">
        <v>1772</v>
      </c>
      <c r="S3" s="5" t="s">
        <v>1689</v>
      </c>
      <c r="T3" s="265" t="s">
        <v>1777</v>
      </c>
      <c r="U3" s="265" t="s">
        <v>43</v>
      </c>
      <c r="V3" s="265" t="s">
        <v>1690</v>
      </c>
      <c r="W3" s="265" t="s">
        <v>46</v>
      </c>
      <c r="X3" s="265" t="s">
        <v>502</v>
      </c>
      <c r="Y3" s="265" t="s">
        <v>1778</v>
      </c>
      <c r="Z3" s="316" t="s">
        <v>1779</v>
      </c>
    </row>
    <row r="4" spans="1:26" ht="15.75" thickBot="1">
      <c r="A4" s="122" t="s">
        <v>81</v>
      </c>
      <c r="B4" s="103" t="s">
        <v>50</v>
      </c>
      <c r="C4" s="77">
        <v>45807</v>
      </c>
      <c r="D4" s="272"/>
      <c r="E4" s="273" t="s">
        <v>1780</v>
      </c>
      <c r="F4" s="272"/>
      <c r="G4" s="274" t="s">
        <v>1743</v>
      </c>
      <c r="H4" s="272"/>
      <c r="I4" s="272"/>
      <c r="J4" s="275"/>
      <c r="K4" s="209"/>
      <c r="L4" s="209"/>
      <c r="M4" s="209"/>
      <c r="N4" s="276"/>
      <c r="O4" s="277"/>
      <c r="P4" s="278" t="s">
        <v>1781</v>
      </c>
      <c r="Q4" s="279" t="s">
        <v>68</v>
      </c>
      <c r="R4" s="132" t="s">
        <v>1782</v>
      </c>
      <c r="S4" s="132"/>
      <c r="T4" s="280"/>
      <c r="U4" s="281"/>
      <c r="V4" s="281"/>
      <c r="W4" s="281"/>
      <c r="X4" s="281"/>
      <c r="Y4" s="281"/>
      <c r="Z4" t="e">
        <f>VLOOKUP(A4,#REF!,9,FALSE)</f>
        <v>#REF!</v>
      </c>
    </row>
    <row r="5" spans="1:26" ht="15.75" thickBot="1">
      <c r="A5" s="282" t="s">
        <v>1681</v>
      </c>
      <c r="B5" s="103" t="s">
        <v>50</v>
      </c>
      <c r="C5" s="219">
        <v>45807</v>
      </c>
      <c r="D5" s="272"/>
      <c r="E5" s="273" t="s">
        <v>1780</v>
      </c>
      <c r="F5" s="272"/>
      <c r="G5" s="274" t="s">
        <v>1743</v>
      </c>
      <c r="H5" s="272"/>
      <c r="I5" s="272"/>
      <c r="J5" s="283"/>
      <c r="K5" s="209"/>
      <c r="L5" s="209"/>
      <c r="M5" s="209"/>
      <c r="N5" s="276"/>
      <c r="O5" s="277"/>
      <c r="P5" s="278" t="s">
        <v>1781</v>
      </c>
      <c r="Q5" s="279" t="s">
        <v>68</v>
      </c>
      <c r="R5" s="132" t="s">
        <v>1782</v>
      </c>
      <c r="S5" s="132"/>
      <c r="T5" s="280"/>
      <c r="U5" s="281"/>
      <c r="V5" s="281"/>
      <c r="W5" s="281"/>
      <c r="X5" s="281"/>
      <c r="Y5" s="281"/>
      <c r="Z5" t="e">
        <f>VLOOKUP(A5,#REF!,9,FALSE)</f>
        <v>#REF!</v>
      </c>
    </row>
    <row r="6" spans="1:26" ht="15.75" thickBot="1">
      <c r="A6" s="122" t="s">
        <v>900</v>
      </c>
      <c r="B6" s="103" t="s">
        <v>50</v>
      </c>
      <c r="C6" s="219">
        <v>45807</v>
      </c>
      <c r="D6" s="272"/>
      <c r="E6" s="273" t="s">
        <v>1780</v>
      </c>
      <c r="F6" s="272"/>
      <c r="G6" s="274" t="s">
        <v>1743</v>
      </c>
      <c r="H6" s="272"/>
      <c r="I6" s="272"/>
      <c r="J6" s="283"/>
      <c r="K6" s="209"/>
      <c r="L6" s="209"/>
      <c r="M6" s="209"/>
      <c r="N6" s="276"/>
      <c r="O6" s="277"/>
      <c r="P6" s="278" t="s">
        <v>1781</v>
      </c>
      <c r="Q6" s="279" t="s">
        <v>68</v>
      </c>
      <c r="R6" s="132" t="s">
        <v>1782</v>
      </c>
      <c r="S6" s="132"/>
      <c r="T6" s="280"/>
      <c r="U6" s="281"/>
      <c r="V6" s="281"/>
      <c r="W6" s="281"/>
      <c r="X6" s="281"/>
      <c r="Y6" s="281"/>
      <c r="Z6" t="e">
        <f>VLOOKUP(A6,#REF!,9,FALSE)</f>
        <v>#REF!</v>
      </c>
    </row>
    <row r="7" spans="1:26" ht="15.75" thickBot="1">
      <c r="A7" s="122" t="s">
        <v>917</v>
      </c>
      <c r="B7" s="103" t="s">
        <v>50</v>
      </c>
      <c r="C7" s="219">
        <v>45807</v>
      </c>
      <c r="D7" s="272"/>
      <c r="E7" s="273" t="s">
        <v>1780</v>
      </c>
      <c r="F7" s="272"/>
      <c r="G7" s="274" t="s">
        <v>1743</v>
      </c>
      <c r="H7" s="272"/>
      <c r="I7" s="272"/>
      <c r="J7" s="283"/>
      <c r="K7" s="209"/>
      <c r="L7" s="209"/>
      <c r="M7" s="209"/>
      <c r="N7" s="276"/>
      <c r="O7" s="277"/>
      <c r="P7" s="278" t="s">
        <v>1781</v>
      </c>
      <c r="Q7" s="279" t="s">
        <v>68</v>
      </c>
      <c r="R7" s="132" t="s">
        <v>1782</v>
      </c>
      <c r="S7" s="132"/>
      <c r="T7" s="280"/>
      <c r="U7" s="281"/>
      <c r="V7" s="281"/>
      <c r="W7" s="281"/>
      <c r="X7" s="281"/>
      <c r="Y7" s="281"/>
      <c r="Z7" t="e">
        <f>VLOOKUP(A7,#REF!,9,FALSE)</f>
        <v>#REF!</v>
      </c>
    </row>
    <row r="8" spans="1:26" ht="15.75" thickBot="1">
      <c r="A8" s="282" t="s">
        <v>1783</v>
      </c>
      <c r="B8" s="103" t="s">
        <v>50</v>
      </c>
      <c r="C8" s="219">
        <v>45807</v>
      </c>
      <c r="D8" s="272"/>
      <c r="E8" s="273" t="s">
        <v>1780</v>
      </c>
      <c r="F8" s="272"/>
      <c r="G8" s="274" t="s">
        <v>1743</v>
      </c>
      <c r="H8" s="272"/>
      <c r="I8" s="272"/>
      <c r="J8" s="283"/>
      <c r="K8" s="209"/>
      <c r="L8" s="209"/>
      <c r="M8" s="209"/>
      <c r="N8" s="276"/>
      <c r="O8" s="277"/>
      <c r="P8" s="278" t="s">
        <v>1754</v>
      </c>
      <c r="Q8" s="279" t="s">
        <v>1784</v>
      </c>
      <c r="R8" s="132" t="s">
        <v>1785</v>
      </c>
      <c r="S8" s="132"/>
      <c r="T8" s="280"/>
      <c r="U8" s="281"/>
      <c r="V8" s="281"/>
      <c r="W8" s="281"/>
      <c r="X8" s="281"/>
      <c r="Y8" s="281"/>
      <c r="Z8" t="e">
        <f>VLOOKUP(A8,#REF!,9,FALSE)</f>
        <v>#REF!</v>
      </c>
    </row>
    <row r="9" spans="1:26" ht="15.75" thickBot="1">
      <c r="A9" s="122" t="s">
        <v>926</v>
      </c>
      <c r="B9" s="103" t="s">
        <v>50</v>
      </c>
      <c r="C9" s="219">
        <v>45807</v>
      </c>
      <c r="D9" s="284"/>
      <c r="E9" s="273" t="s">
        <v>1780</v>
      </c>
      <c r="F9" s="284"/>
      <c r="G9" s="285" t="s">
        <v>1743</v>
      </c>
      <c r="H9" s="272"/>
      <c r="I9" s="272"/>
      <c r="J9" s="283"/>
      <c r="K9" s="209"/>
      <c r="L9" s="209"/>
      <c r="M9" s="209"/>
      <c r="N9" s="276"/>
      <c r="O9" s="277"/>
      <c r="P9" s="278" t="s">
        <v>1781</v>
      </c>
      <c r="Q9" s="279" t="s">
        <v>68</v>
      </c>
      <c r="R9" s="132" t="s">
        <v>1782</v>
      </c>
      <c r="S9" s="132"/>
      <c r="T9" s="280"/>
      <c r="U9" s="281"/>
      <c r="V9" s="281"/>
      <c r="W9" s="281"/>
      <c r="X9" s="281"/>
      <c r="Y9" s="281"/>
      <c r="Z9" t="e">
        <f>VLOOKUP(A9,#REF!,9,FALSE)</f>
        <v>#REF!</v>
      </c>
    </row>
    <row r="10" spans="1:26" ht="15.75" thickBot="1">
      <c r="A10" s="122" t="s">
        <v>902</v>
      </c>
      <c r="B10" s="103" t="s">
        <v>50</v>
      </c>
      <c r="C10" s="219" t="e">
        <v>#N/A</v>
      </c>
      <c r="D10" s="286"/>
      <c r="E10" s="273" t="s">
        <v>1780</v>
      </c>
      <c r="F10" s="286"/>
      <c r="G10" s="287" t="s">
        <v>1743</v>
      </c>
      <c r="H10" s="234"/>
      <c r="I10" s="234"/>
      <c r="J10" s="45"/>
      <c r="K10" s="208"/>
      <c r="L10" s="208"/>
      <c r="M10" s="208"/>
      <c r="N10" s="288"/>
      <c r="O10" s="289"/>
      <c r="P10" s="278" t="s">
        <v>1781</v>
      </c>
      <c r="Q10" s="279" t="s">
        <v>58</v>
      </c>
      <c r="R10" s="132" t="s">
        <v>1782</v>
      </c>
      <c r="S10" s="132"/>
      <c r="T10" s="280"/>
      <c r="U10" s="281"/>
      <c r="V10" s="281"/>
      <c r="W10" s="281"/>
      <c r="X10" s="281"/>
      <c r="Y10" s="281"/>
      <c r="Z10" t="e">
        <f>VLOOKUP(A10,#REF!,9,FALSE)</f>
        <v>#REF!</v>
      </c>
    </row>
    <row r="11" spans="1:26" ht="15.75" thickBot="1">
      <c r="A11" s="122" t="s">
        <v>84</v>
      </c>
      <c r="B11" s="103" t="s">
        <v>50</v>
      </c>
      <c r="C11" s="219">
        <v>45807</v>
      </c>
      <c r="D11" s="286"/>
      <c r="E11" s="273" t="s">
        <v>1780</v>
      </c>
      <c r="F11" s="286"/>
      <c r="G11" s="287" t="s">
        <v>1743</v>
      </c>
      <c r="H11" s="234"/>
      <c r="I11" s="234"/>
      <c r="J11" s="45"/>
      <c r="K11" s="208"/>
      <c r="L11" s="208"/>
      <c r="M11" s="208"/>
      <c r="N11" s="288"/>
      <c r="O11" s="289"/>
      <c r="P11" s="278" t="s">
        <v>1781</v>
      </c>
      <c r="Q11" s="279" t="s">
        <v>68</v>
      </c>
      <c r="R11" s="132" t="s">
        <v>1782</v>
      </c>
      <c r="S11" s="132"/>
      <c r="T11" s="280"/>
      <c r="U11" s="281"/>
      <c r="V11" s="281"/>
      <c r="W11" s="281"/>
      <c r="X11" s="281"/>
      <c r="Y11" s="281"/>
      <c r="Z11" t="e">
        <f>VLOOKUP(A11,#REF!,9,FALSE)</f>
        <v>#REF!</v>
      </c>
    </row>
    <row r="12" spans="1:26" ht="15.75" thickBot="1">
      <c r="A12" s="122" t="s">
        <v>898</v>
      </c>
      <c r="B12" s="103" t="s">
        <v>50</v>
      </c>
      <c r="C12" s="219" t="e">
        <v>#N/A</v>
      </c>
      <c r="D12" s="286"/>
      <c r="E12" s="273" t="s">
        <v>1780</v>
      </c>
      <c r="F12" s="286"/>
      <c r="G12" s="287" t="s">
        <v>1743</v>
      </c>
      <c r="H12" s="234"/>
      <c r="I12" s="234"/>
      <c r="J12" s="45"/>
      <c r="K12" s="208"/>
      <c r="L12" s="208"/>
      <c r="M12" s="208"/>
      <c r="N12" s="288"/>
      <c r="O12" s="289"/>
      <c r="P12" s="278" t="s">
        <v>1781</v>
      </c>
      <c r="Q12" s="279" t="s">
        <v>68</v>
      </c>
      <c r="R12" s="132" t="s">
        <v>1782</v>
      </c>
      <c r="S12" s="132"/>
      <c r="T12" s="280"/>
      <c r="U12" s="281"/>
      <c r="V12" s="281"/>
      <c r="W12" s="281"/>
      <c r="X12" s="281"/>
      <c r="Y12" s="281"/>
      <c r="Z12" t="e">
        <f>VLOOKUP(A12,#REF!,9,FALSE)</f>
        <v>#REF!</v>
      </c>
    </row>
    <row r="13" spans="1:26" ht="15.75" thickBot="1">
      <c r="A13" s="122" t="s">
        <v>924</v>
      </c>
      <c r="B13" s="103" t="s">
        <v>50</v>
      </c>
      <c r="C13" s="219" t="e">
        <v>#N/A</v>
      </c>
      <c r="D13" s="286"/>
      <c r="E13" s="273" t="s">
        <v>1780</v>
      </c>
      <c r="F13" s="286"/>
      <c r="G13" s="287" t="s">
        <v>1743</v>
      </c>
      <c r="H13" s="234"/>
      <c r="I13" s="234"/>
      <c r="J13" s="45"/>
      <c r="K13" s="208"/>
      <c r="L13" s="208"/>
      <c r="M13" s="208"/>
      <c r="N13" s="288"/>
      <c r="O13" s="289"/>
      <c r="P13" s="278" t="s">
        <v>1781</v>
      </c>
      <c r="Q13" s="279" t="s">
        <v>68</v>
      </c>
      <c r="R13" s="132" t="s">
        <v>1782</v>
      </c>
      <c r="S13" s="132"/>
      <c r="T13" s="280"/>
      <c r="U13" s="281"/>
      <c r="V13" s="281"/>
      <c r="W13" s="281"/>
      <c r="X13" s="281"/>
      <c r="Y13" s="281"/>
      <c r="Z13" t="e">
        <f>VLOOKUP(A13,#REF!,9,FALSE)</f>
        <v>#REF!</v>
      </c>
    </row>
    <row r="14" spans="1:26" ht="15.75" thickBot="1">
      <c r="A14" s="282" t="s">
        <v>389</v>
      </c>
      <c r="B14" s="103" t="s">
        <v>50</v>
      </c>
      <c r="C14" s="219">
        <v>45807</v>
      </c>
      <c r="D14" s="286"/>
      <c r="E14" s="273" t="s">
        <v>1780</v>
      </c>
      <c r="F14" s="286"/>
      <c r="G14" s="287" t="s">
        <v>1743</v>
      </c>
      <c r="H14" s="234"/>
      <c r="I14" s="234"/>
      <c r="J14" s="45"/>
      <c r="K14" s="208"/>
      <c r="L14" s="208"/>
      <c r="M14" s="208"/>
      <c r="N14" s="288"/>
      <c r="O14" s="289"/>
      <c r="P14" s="278" t="s">
        <v>1781</v>
      </c>
      <c r="Q14" s="279" t="s">
        <v>68</v>
      </c>
      <c r="R14" s="132" t="s">
        <v>1782</v>
      </c>
      <c r="S14" s="132"/>
      <c r="T14" s="280"/>
      <c r="U14" s="281"/>
      <c r="V14" s="281"/>
      <c r="W14" s="281"/>
      <c r="X14" s="281"/>
      <c r="Y14" s="281"/>
      <c r="Z14" t="e">
        <f>VLOOKUP(A14,#REF!,9,FALSE)</f>
        <v>#REF!</v>
      </c>
    </row>
    <row r="15" spans="1:26" ht="15.75" thickBot="1">
      <c r="A15" s="122" t="s">
        <v>901</v>
      </c>
      <c r="B15" s="103" t="s">
        <v>50</v>
      </c>
      <c r="C15" s="219" t="e">
        <v>#N/A</v>
      </c>
      <c r="D15" s="286"/>
      <c r="E15" s="273" t="s">
        <v>1780</v>
      </c>
      <c r="F15" s="286"/>
      <c r="G15" s="287" t="s">
        <v>1743</v>
      </c>
      <c r="H15" s="234"/>
      <c r="I15" s="234"/>
      <c r="J15" s="45"/>
      <c r="K15" s="208"/>
      <c r="L15" s="208"/>
      <c r="M15" s="208"/>
      <c r="N15" s="288"/>
      <c r="O15" s="289"/>
      <c r="P15" s="278" t="s">
        <v>1781</v>
      </c>
      <c r="Q15" s="279" t="s">
        <v>68</v>
      </c>
      <c r="R15" s="132" t="s">
        <v>1782</v>
      </c>
      <c r="S15" s="132"/>
      <c r="T15" s="280"/>
      <c r="U15" s="281"/>
      <c r="V15" s="281"/>
      <c r="W15" s="281"/>
      <c r="X15" s="281"/>
      <c r="Y15" s="281"/>
      <c r="Z15" t="e">
        <f>VLOOKUP(A15,#REF!,9,FALSE)</f>
        <v>#REF!</v>
      </c>
    </row>
    <row r="16" spans="1:26" ht="15.75" thickBot="1">
      <c r="A16" s="290" t="s">
        <v>1786</v>
      </c>
      <c r="B16" s="103" t="s">
        <v>50</v>
      </c>
      <c r="C16" s="219" t="e">
        <v>#N/A</v>
      </c>
      <c r="D16" s="286"/>
      <c r="E16" s="273" t="s">
        <v>1780</v>
      </c>
      <c r="F16" s="286"/>
      <c r="G16" s="287" t="s">
        <v>1743</v>
      </c>
      <c r="H16" s="234"/>
      <c r="I16" s="234"/>
      <c r="J16" s="45"/>
      <c r="K16" s="208"/>
      <c r="L16" s="208"/>
      <c r="M16" s="208"/>
      <c r="N16" s="288"/>
      <c r="O16" s="289"/>
      <c r="P16" s="278" t="s">
        <v>1781</v>
      </c>
      <c r="Q16" s="279" t="s">
        <v>68</v>
      </c>
      <c r="R16" s="132" t="s">
        <v>1782</v>
      </c>
      <c r="S16" s="132"/>
      <c r="T16" s="280"/>
      <c r="U16" s="281"/>
      <c r="V16" s="281"/>
      <c r="W16" s="281"/>
      <c r="X16" s="281"/>
      <c r="Y16" s="281"/>
      <c r="Z16" t="e">
        <f>VLOOKUP(A16,#REF!,9,FALSE)</f>
        <v>#REF!</v>
      </c>
    </row>
    <row r="17" spans="1:26" ht="15.75" thickBot="1">
      <c r="A17" s="279" t="s">
        <v>689</v>
      </c>
      <c r="B17" s="103" t="s">
        <v>50</v>
      </c>
      <c r="C17" s="219" t="e">
        <v>#N/A</v>
      </c>
      <c r="D17" s="286"/>
      <c r="E17" s="273" t="s">
        <v>1745</v>
      </c>
      <c r="F17" s="286"/>
      <c r="G17" s="287" t="s">
        <v>1743</v>
      </c>
      <c r="H17" s="234"/>
      <c r="I17" s="234"/>
      <c r="J17" s="45"/>
      <c r="K17" s="208"/>
      <c r="L17" s="208"/>
      <c r="M17" s="208"/>
      <c r="N17" s="288"/>
      <c r="O17" s="289"/>
      <c r="P17" s="278"/>
      <c r="Q17" s="279" t="s">
        <v>68</v>
      </c>
      <c r="R17" s="132" t="s">
        <v>1782</v>
      </c>
      <c r="S17" s="132"/>
      <c r="T17" s="280"/>
      <c r="U17" s="281"/>
      <c r="V17" s="281"/>
      <c r="W17" s="281"/>
      <c r="X17" s="281"/>
      <c r="Y17" s="281"/>
      <c r="Z17" t="e">
        <f>VLOOKUP(A17,#REF!,9,FALSE)</f>
        <v>#REF!</v>
      </c>
    </row>
    <row r="18" spans="1:26" ht="15.75" thickBot="1">
      <c r="A18" s="279" t="s">
        <v>671</v>
      </c>
      <c r="B18" s="103" t="s">
        <v>50</v>
      </c>
      <c r="C18" s="219">
        <v>45807</v>
      </c>
      <c r="D18" s="286"/>
      <c r="E18" s="273" t="s">
        <v>1745</v>
      </c>
      <c r="F18" s="286"/>
      <c r="G18" s="287" t="s">
        <v>1743</v>
      </c>
      <c r="H18" s="234"/>
      <c r="I18" s="234"/>
      <c r="J18" s="45"/>
      <c r="K18" s="208"/>
      <c r="L18" s="208"/>
      <c r="M18" s="208"/>
      <c r="N18" s="288"/>
      <c r="O18" s="289"/>
      <c r="P18" s="278" t="s">
        <v>1751</v>
      </c>
      <c r="Q18" s="279"/>
      <c r="R18" s="132" t="s">
        <v>1782</v>
      </c>
      <c r="S18" s="132"/>
      <c r="T18" s="280"/>
      <c r="U18" s="281"/>
      <c r="V18" s="281"/>
      <c r="W18" s="281"/>
      <c r="X18" s="281"/>
      <c r="Y18" s="281"/>
      <c r="Z18" t="e">
        <f>VLOOKUP(A18,#REF!,9,FALSE)</f>
        <v>#REF!</v>
      </c>
    </row>
    <row r="19" spans="1:26" ht="15.75" thickBot="1">
      <c r="A19" s="279" t="s">
        <v>674</v>
      </c>
      <c r="B19" s="103" t="s">
        <v>50</v>
      </c>
      <c r="C19" s="219" t="e">
        <v>#N/A</v>
      </c>
      <c r="D19" s="286"/>
      <c r="E19" s="273" t="s">
        <v>1745</v>
      </c>
      <c r="F19" s="286"/>
      <c r="G19" s="287" t="s">
        <v>1764</v>
      </c>
      <c r="H19" s="234"/>
      <c r="I19" s="234"/>
      <c r="J19" s="45"/>
      <c r="K19" s="208"/>
      <c r="L19" s="208"/>
      <c r="M19" s="208"/>
      <c r="N19" s="288"/>
      <c r="O19" s="289"/>
      <c r="P19" s="278"/>
      <c r="Q19" s="279" t="s">
        <v>1764</v>
      </c>
      <c r="R19" s="132" t="s">
        <v>1782</v>
      </c>
      <c r="S19" s="132"/>
      <c r="T19" s="280"/>
      <c r="U19" s="281"/>
      <c r="V19" s="281"/>
      <c r="W19" s="281"/>
      <c r="X19" s="281"/>
      <c r="Y19" s="281"/>
      <c r="Z19" t="e">
        <f>VLOOKUP(A19,#REF!,9,FALSE)</f>
        <v>#REF!</v>
      </c>
    </row>
    <row r="20" spans="1:26" ht="15.75" thickBot="1">
      <c r="A20" s="279" t="s">
        <v>621</v>
      </c>
      <c r="B20" s="103" t="s">
        <v>50</v>
      </c>
      <c r="C20" s="219" t="e">
        <v>#N/A</v>
      </c>
      <c r="D20" s="286"/>
      <c r="E20" s="273" t="s">
        <v>1745</v>
      </c>
      <c r="F20" s="286"/>
      <c r="G20" s="287" t="s">
        <v>1764</v>
      </c>
      <c r="H20" s="234"/>
      <c r="I20" s="234"/>
      <c r="J20" s="45"/>
      <c r="K20" s="208"/>
      <c r="L20" s="208"/>
      <c r="M20" s="208"/>
      <c r="N20" s="288"/>
      <c r="O20" s="289"/>
      <c r="P20" s="278"/>
      <c r="Q20" s="279" t="s">
        <v>1764</v>
      </c>
      <c r="R20" s="132" t="s">
        <v>1782</v>
      </c>
      <c r="S20" s="132"/>
      <c r="T20" s="280"/>
      <c r="U20" s="281"/>
      <c r="V20" s="281"/>
      <c r="W20" s="281"/>
      <c r="X20" s="281"/>
      <c r="Y20" s="281"/>
      <c r="Z20" t="e">
        <f>VLOOKUP(A20,#REF!,9,FALSE)</f>
        <v>#REF!</v>
      </c>
    </row>
    <row r="21" spans="1:26" s="218" customFormat="1" ht="15.75" thickBot="1">
      <c r="A21" s="266" t="s">
        <v>1760</v>
      </c>
      <c r="B21" s="103" t="e">
        <v>#N/A</v>
      </c>
      <c r="C21" s="235">
        <v>45807</v>
      </c>
      <c r="D21" s="286"/>
      <c r="E21" s="273" t="s">
        <v>1745</v>
      </c>
      <c r="F21" s="286"/>
      <c r="G21" s="287" t="s">
        <v>1743</v>
      </c>
      <c r="H21" s="234"/>
      <c r="I21" s="234"/>
      <c r="J21" s="234"/>
      <c r="K21" s="233"/>
      <c r="L21" s="233"/>
      <c r="M21" s="233"/>
      <c r="N21" s="288"/>
      <c r="O21" s="289"/>
      <c r="P21" s="278"/>
      <c r="Q21" s="229" t="s">
        <v>64</v>
      </c>
      <c r="R21" s="132" t="s">
        <v>1782</v>
      </c>
      <c r="S21" s="232"/>
      <c r="T21" s="231"/>
      <c r="U21" s="230"/>
      <c r="V21" s="230"/>
      <c r="W21" s="230"/>
      <c r="X21" s="230"/>
      <c r="Y21" s="230" t="s">
        <v>1787</v>
      </c>
      <c r="Z21" t="e">
        <f>VLOOKUP(A21,#REF!,9,FALSE)</f>
        <v>#REF!</v>
      </c>
    </row>
    <row r="22" spans="1:26" ht="15.75" thickBot="1">
      <c r="A22" s="279" t="s">
        <v>623</v>
      </c>
      <c r="B22" s="103" t="s">
        <v>50</v>
      </c>
      <c r="C22" s="219" t="e">
        <v>#N/A</v>
      </c>
      <c r="D22" s="286"/>
      <c r="E22" s="273" t="s">
        <v>1745</v>
      </c>
      <c r="F22" s="286"/>
      <c r="G22" s="287" t="s">
        <v>1764</v>
      </c>
      <c r="H22" s="234"/>
      <c r="I22" s="234"/>
      <c r="J22" s="45"/>
      <c r="K22" s="208"/>
      <c r="L22" s="208"/>
      <c r="M22" s="208"/>
      <c r="N22" s="288"/>
      <c r="O22" s="289"/>
      <c r="P22" s="278"/>
      <c r="Q22" s="279" t="s">
        <v>1764</v>
      </c>
      <c r="R22" s="132" t="s">
        <v>1782</v>
      </c>
      <c r="S22" s="132"/>
      <c r="T22" s="280"/>
      <c r="U22" s="281"/>
      <c r="V22" s="281"/>
      <c r="W22" s="281"/>
      <c r="X22" s="281"/>
      <c r="Y22" s="281"/>
      <c r="Z22" t="e">
        <f>VLOOKUP(A22,#REF!,9,FALSE)</f>
        <v>#REF!</v>
      </c>
    </row>
    <row r="23" spans="1:26" ht="15.75" thickBot="1">
      <c r="A23" s="279" t="s">
        <v>609</v>
      </c>
      <c r="B23" s="103" t="s">
        <v>50</v>
      </c>
      <c r="C23" s="219" t="e">
        <v>#N/A</v>
      </c>
      <c r="D23" s="286"/>
      <c r="E23" s="273" t="s">
        <v>1745</v>
      </c>
      <c r="F23" s="286"/>
      <c r="G23" s="287" t="s">
        <v>1743</v>
      </c>
      <c r="H23" s="234"/>
      <c r="I23" s="234"/>
      <c r="J23" s="45"/>
      <c r="K23" s="208"/>
      <c r="L23" s="208"/>
      <c r="M23" s="208"/>
      <c r="N23" s="288"/>
      <c r="O23" s="289"/>
      <c r="P23" s="278"/>
      <c r="Q23" s="279" t="s">
        <v>64</v>
      </c>
      <c r="R23" s="132" t="s">
        <v>1782</v>
      </c>
      <c r="S23" s="132"/>
      <c r="T23" s="280"/>
      <c r="U23" s="281"/>
      <c r="V23" s="281"/>
      <c r="W23" s="281"/>
      <c r="X23" s="281"/>
      <c r="Y23" s="281" t="s">
        <v>1788</v>
      </c>
      <c r="Z23" t="e">
        <f>VLOOKUP(A23,#REF!,9,FALSE)</f>
        <v>#REF!</v>
      </c>
    </row>
    <row r="24" spans="1:26" s="218" customFormat="1" ht="69.599999999999994" customHeight="1" thickBot="1">
      <c r="A24" s="229" t="s">
        <v>1756</v>
      </c>
      <c r="B24" s="236" t="e">
        <v>#N/A</v>
      </c>
      <c r="C24" s="235">
        <v>45716</v>
      </c>
      <c r="D24" s="286"/>
      <c r="E24" s="273" t="s">
        <v>1745</v>
      </c>
      <c r="F24" s="286"/>
      <c r="G24" s="287" t="s">
        <v>1743</v>
      </c>
      <c r="H24" s="234"/>
      <c r="I24" s="234"/>
      <c r="J24" s="234"/>
      <c r="K24" s="233"/>
      <c r="L24" s="233"/>
      <c r="M24" s="233"/>
      <c r="N24" s="288"/>
      <c r="O24" s="289"/>
      <c r="P24" s="278" t="s">
        <v>1757</v>
      </c>
      <c r="Q24" s="229" t="s">
        <v>64</v>
      </c>
      <c r="R24" s="132" t="s">
        <v>1782</v>
      </c>
      <c r="S24" s="232"/>
      <c r="T24" s="231"/>
      <c r="U24" s="230"/>
      <c r="V24" s="230"/>
      <c r="W24" s="230"/>
      <c r="X24" s="230"/>
      <c r="Y24" s="230" t="s">
        <v>1788</v>
      </c>
      <c r="Z24" t="e">
        <f>VLOOKUP(A24,#REF!,9,FALSE)</f>
        <v>#REF!</v>
      </c>
    </row>
    <row r="25" spans="1:26" ht="15.75" thickBot="1">
      <c r="A25" s="279" t="s">
        <v>613</v>
      </c>
      <c r="B25" s="103" t="s">
        <v>50</v>
      </c>
      <c r="C25" s="219">
        <v>45772</v>
      </c>
      <c r="D25" s="286"/>
      <c r="E25" s="273" t="s">
        <v>1745</v>
      </c>
      <c r="F25" s="286"/>
      <c r="G25" s="287" t="s">
        <v>1743</v>
      </c>
      <c r="H25" s="234"/>
      <c r="I25" s="234"/>
      <c r="J25" s="45"/>
      <c r="K25" s="208"/>
      <c r="L25" s="208"/>
      <c r="M25" s="208"/>
      <c r="N25" s="288"/>
      <c r="O25" s="289"/>
      <c r="P25" s="278" t="s">
        <v>1757</v>
      </c>
      <c r="Q25" s="279" t="s">
        <v>64</v>
      </c>
      <c r="R25" s="132" t="s">
        <v>1782</v>
      </c>
      <c r="S25" s="132"/>
      <c r="T25" s="280"/>
      <c r="U25" s="281"/>
      <c r="V25" s="281"/>
      <c r="W25" s="281"/>
      <c r="X25" s="281"/>
      <c r="Y25" s="281"/>
      <c r="Z25" t="e">
        <f>VLOOKUP(A25,#REF!,9,FALSE)</f>
        <v>#REF!</v>
      </c>
    </row>
    <row r="26" spans="1:26" ht="15.75" thickBot="1">
      <c r="A26" s="279" t="s">
        <v>491</v>
      </c>
      <c r="B26" s="103" t="s">
        <v>50</v>
      </c>
      <c r="C26" s="219">
        <v>45772</v>
      </c>
      <c r="D26" s="286"/>
      <c r="E26" s="273" t="s">
        <v>1745</v>
      </c>
      <c r="F26" s="286"/>
      <c r="G26" s="287" t="s">
        <v>1743</v>
      </c>
      <c r="H26" s="234"/>
      <c r="I26" s="234"/>
      <c r="J26" s="45"/>
      <c r="K26" s="208"/>
      <c r="L26" s="208"/>
      <c r="M26" s="208"/>
      <c r="N26" s="288"/>
      <c r="O26" s="289"/>
      <c r="P26" s="278" t="s">
        <v>1757</v>
      </c>
      <c r="Q26" s="279" t="s">
        <v>64</v>
      </c>
      <c r="R26" s="132" t="s">
        <v>1782</v>
      </c>
      <c r="S26" s="132"/>
      <c r="T26" s="280"/>
      <c r="U26" s="281"/>
      <c r="V26" s="281"/>
      <c r="W26" s="281"/>
      <c r="X26" s="281"/>
      <c r="Y26" s="281"/>
      <c r="Z26" t="e">
        <f>VLOOKUP(A26,#REF!,9,FALSE)</f>
        <v>#REF!</v>
      </c>
    </row>
    <row r="27" spans="1:26" ht="15.75" thickBot="1">
      <c r="A27" s="279" t="s">
        <v>827</v>
      </c>
      <c r="B27" s="103" t="s">
        <v>50</v>
      </c>
      <c r="C27" s="219">
        <v>45772</v>
      </c>
      <c r="D27" s="286"/>
      <c r="E27" s="273" t="s">
        <v>1745</v>
      </c>
      <c r="F27" s="286"/>
      <c r="G27" s="287" t="s">
        <v>1743</v>
      </c>
      <c r="H27" s="234"/>
      <c r="I27" s="234"/>
      <c r="J27" s="45"/>
      <c r="K27" s="208"/>
      <c r="L27" s="208"/>
      <c r="M27" s="208"/>
      <c r="N27" s="288"/>
      <c r="O27" s="289"/>
      <c r="P27" s="278" t="s">
        <v>1757</v>
      </c>
      <c r="Q27" s="279" t="s">
        <v>64</v>
      </c>
      <c r="R27" s="132" t="s">
        <v>1782</v>
      </c>
      <c r="S27" s="132"/>
      <c r="T27" s="280"/>
      <c r="U27" s="281"/>
      <c r="V27" s="281"/>
      <c r="W27" s="281"/>
      <c r="X27" s="281"/>
      <c r="Y27" s="281"/>
      <c r="Z27" t="e">
        <f>VLOOKUP(A27,#REF!,9,FALSE)</f>
        <v>#REF!</v>
      </c>
    </row>
    <row r="28" spans="1:26" ht="70.150000000000006" customHeight="1" thickBot="1">
      <c r="A28" s="229" t="s">
        <v>1759</v>
      </c>
      <c r="B28" s="236"/>
      <c r="C28" s="235"/>
      <c r="D28" s="286"/>
      <c r="E28" s="273" t="s">
        <v>1745</v>
      </c>
      <c r="F28" s="286"/>
      <c r="G28" s="287" t="s">
        <v>1743</v>
      </c>
      <c r="H28" s="234"/>
      <c r="I28" s="234"/>
      <c r="J28" s="234"/>
      <c r="K28" s="233"/>
      <c r="L28" s="233"/>
      <c r="M28" s="233"/>
      <c r="N28" s="288"/>
      <c r="O28" s="289"/>
      <c r="P28" s="278" t="s">
        <v>1757</v>
      </c>
      <c r="Q28" s="229" t="s">
        <v>64</v>
      </c>
      <c r="R28" s="132" t="s">
        <v>1782</v>
      </c>
      <c r="S28" s="232"/>
      <c r="T28" s="231"/>
      <c r="U28" s="230"/>
      <c r="V28" s="230"/>
      <c r="W28" s="230"/>
      <c r="X28" s="230"/>
      <c r="Y28" s="292" t="s">
        <v>1789</v>
      </c>
      <c r="Z28" t="e">
        <f>VLOOKUP(A28,#REF!,9,FALSE)</f>
        <v>#REF!</v>
      </c>
    </row>
    <row r="29" spans="1:26" s="218" customFormat="1" ht="69.599999999999994" customHeight="1" thickBot="1">
      <c r="A29" s="229" t="s">
        <v>1762</v>
      </c>
      <c r="B29" s="236" t="e">
        <v>#N/A</v>
      </c>
      <c r="C29" s="235" t="e">
        <v>#N/A</v>
      </c>
      <c r="D29" s="286"/>
      <c r="E29" s="273" t="s">
        <v>1745</v>
      </c>
      <c r="F29" s="286"/>
      <c r="G29" s="287" t="s">
        <v>1743</v>
      </c>
      <c r="H29" s="234"/>
      <c r="I29" s="234"/>
      <c r="J29" s="234"/>
      <c r="K29" s="233"/>
      <c r="L29" s="233"/>
      <c r="M29" s="233"/>
      <c r="N29" s="288"/>
      <c r="O29" s="289"/>
      <c r="P29" s="278"/>
      <c r="Q29" s="224" t="s">
        <v>64</v>
      </c>
      <c r="R29" s="132" t="s">
        <v>1782</v>
      </c>
      <c r="S29" s="232"/>
      <c r="T29" s="231"/>
      <c r="U29" s="230"/>
      <c r="V29" s="230"/>
      <c r="W29" s="230"/>
      <c r="X29" s="230"/>
      <c r="Y29" s="230" t="s">
        <v>1789</v>
      </c>
      <c r="Z29" t="e">
        <f>VLOOKUP(A29,#REF!,9,FALSE)</f>
        <v>#REF!</v>
      </c>
    </row>
    <row r="30" spans="1:26" ht="15.75" thickBot="1">
      <c r="A30" s="279" t="s">
        <v>641</v>
      </c>
      <c r="B30" s="103" t="s">
        <v>50</v>
      </c>
      <c r="C30" s="219">
        <v>45772</v>
      </c>
      <c r="D30" s="286"/>
      <c r="E30" s="273" t="s">
        <v>1745</v>
      </c>
      <c r="F30" s="286"/>
      <c r="G30" s="287" t="s">
        <v>1764</v>
      </c>
      <c r="H30" s="234"/>
      <c r="I30" s="234"/>
      <c r="J30" s="45"/>
      <c r="K30" s="208"/>
      <c r="L30" s="208"/>
      <c r="M30" s="208"/>
      <c r="N30" s="288"/>
      <c r="O30" s="289"/>
      <c r="P30" s="278"/>
      <c r="Q30" s="279" t="s">
        <v>1764</v>
      </c>
      <c r="R30" s="132" t="s">
        <v>1782</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1745</v>
      </c>
      <c r="F31" s="293"/>
      <c r="G31" s="294" t="s">
        <v>1764</v>
      </c>
      <c r="H31" s="226"/>
      <c r="I31" s="226"/>
      <c r="J31" s="240"/>
      <c r="K31" s="241"/>
      <c r="L31" s="241"/>
      <c r="M31" s="241"/>
      <c r="N31" s="226"/>
      <c r="O31" s="295"/>
      <c r="P31" s="278"/>
      <c r="Q31" s="237" t="s">
        <v>1764</v>
      </c>
      <c r="R31" s="132" t="s">
        <v>1782</v>
      </c>
      <c r="S31" s="242"/>
      <c r="T31" s="243"/>
      <c r="U31" s="244"/>
      <c r="V31" s="244"/>
      <c r="W31" s="244"/>
      <c r="X31" s="244"/>
      <c r="Y31" s="244" t="s">
        <v>1790</v>
      </c>
      <c r="Z31" t="e">
        <f>VLOOKUP(A31,#REF!,9,FALSE)</f>
        <v>#REF!</v>
      </c>
    </row>
    <row r="32" spans="1:26" ht="15.75" thickBot="1">
      <c r="A32" s="279" t="s">
        <v>643</v>
      </c>
      <c r="B32" s="103" t="s">
        <v>50</v>
      </c>
      <c r="C32" s="219">
        <v>45772</v>
      </c>
      <c r="D32" s="286"/>
      <c r="E32" s="273" t="s">
        <v>1745</v>
      </c>
      <c r="F32" s="286"/>
      <c r="G32" s="287" t="s">
        <v>1764</v>
      </c>
      <c r="H32" s="234"/>
      <c r="I32" s="234"/>
      <c r="J32" s="45"/>
      <c r="K32" s="208"/>
      <c r="L32" s="208"/>
      <c r="M32" s="208"/>
      <c r="N32" s="288"/>
      <c r="O32" s="289"/>
      <c r="P32" s="278"/>
      <c r="Q32" s="279" t="s">
        <v>1764</v>
      </c>
      <c r="R32" s="132" t="s">
        <v>1782</v>
      </c>
      <c r="S32" s="132"/>
      <c r="T32" s="280"/>
      <c r="U32" s="281"/>
      <c r="V32" s="281"/>
      <c r="W32" s="281"/>
      <c r="X32" s="281"/>
      <c r="Y32" s="281"/>
      <c r="Z32" t="e">
        <f>VLOOKUP(A32,#REF!,9,FALSE)</f>
        <v>#REF!</v>
      </c>
    </row>
    <row r="33" spans="1:26" ht="15.75" thickBot="1">
      <c r="A33" s="279" t="s">
        <v>633</v>
      </c>
      <c r="B33" s="103" t="s">
        <v>50</v>
      </c>
      <c r="C33" s="219">
        <v>45831</v>
      </c>
      <c r="D33" s="286"/>
      <c r="E33" s="273" t="s">
        <v>1745</v>
      </c>
      <c r="F33" s="286"/>
      <c r="G33" s="287" t="s">
        <v>1743</v>
      </c>
      <c r="H33" s="234"/>
      <c r="I33" s="234"/>
      <c r="J33" s="45"/>
      <c r="K33" s="208"/>
      <c r="L33" s="208"/>
      <c r="M33" s="208"/>
      <c r="N33" s="288"/>
      <c r="O33" s="289"/>
      <c r="P33" s="278"/>
      <c r="Q33" s="229" t="s">
        <v>64</v>
      </c>
      <c r="R33" s="132" t="s">
        <v>1782</v>
      </c>
      <c r="S33" s="132"/>
      <c r="T33" s="280"/>
      <c r="U33" s="281"/>
      <c r="V33" s="281"/>
      <c r="W33" s="281"/>
      <c r="X33" s="281"/>
      <c r="Y33" s="281"/>
      <c r="Z33" t="e">
        <f>VLOOKUP(A33,#REF!,9,FALSE)</f>
        <v>#REF!</v>
      </c>
    </row>
    <row r="34" spans="1:26" ht="15.75" thickBot="1">
      <c r="A34" s="279" t="s">
        <v>627</v>
      </c>
      <c r="B34" s="103" t="s">
        <v>50</v>
      </c>
      <c r="C34" s="219">
        <v>45831</v>
      </c>
      <c r="D34" s="286"/>
      <c r="E34" s="273" t="s">
        <v>1745</v>
      </c>
      <c r="F34" s="286"/>
      <c r="G34" s="287" t="s">
        <v>1743</v>
      </c>
      <c r="H34" s="234"/>
      <c r="I34" s="234"/>
      <c r="J34" s="45"/>
      <c r="K34" s="208"/>
      <c r="L34" s="208"/>
      <c r="M34" s="208"/>
      <c r="N34" s="288"/>
      <c r="O34" s="289"/>
      <c r="P34" s="278"/>
      <c r="Q34" s="279" t="s">
        <v>64</v>
      </c>
      <c r="R34" s="132" t="s">
        <v>1782</v>
      </c>
      <c r="S34" s="132"/>
      <c r="T34" s="280"/>
      <c r="U34" s="281"/>
      <c r="V34" s="281"/>
      <c r="W34" s="281"/>
      <c r="X34" s="281"/>
      <c r="Y34" s="281"/>
      <c r="Z34" t="e">
        <f>VLOOKUP(A34,#REF!,9,FALSE)</f>
        <v>#REF!</v>
      </c>
    </row>
    <row r="35" spans="1:26" ht="15.75" thickBot="1">
      <c r="A35" s="279" t="s">
        <v>629</v>
      </c>
      <c r="B35" s="103" t="s">
        <v>50</v>
      </c>
      <c r="C35" s="219">
        <v>45831</v>
      </c>
      <c r="D35" s="286"/>
      <c r="E35" s="273" t="s">
        <v>1745</v>
      </c>
      <c r="F35" s="286"/>
      <c r="G35" s="287" t="s">
        <v>1743</v>
      </c>
      <c r="H35" s="234"/>
      <c r="I35" s="234"/>
      <c r="J35" s="45"/>
      <c r="K35" s="208"/>
      <c r="L35" s="208"/>
      <c r="M35" s="208"/>
      <c r="N35" s="288"/>
      <c r="O35" s="289"/>
      <c r="P35" s="278"/>
      <c r="Q35" s="279" t="s">
        <v>64</v>
      </c>
      <c r="R35" s="132" t="s">
        <v>1782</v>
      </c>
      <c r="S35" s="132"/>
      <c r="T35" s="280"/>
      <c r="U35" s="281"/>
      <c r="V35" s="281"/>
      <c r="W35" s="281"/>
      <c r="X35" s="281"/>
      <c r="Y35" s="281"/>
      <c r="Z35" t="e">
        <f>VLOOKUP(A35,#REF!,9,FALSE)</f>
        <v>#REF!</v>
      </c>
    </row>
    <row r="36" spans="1:26" ht="15.75" thickBot="1">
      <c r="A36" s="279" t="s">
        <v>625</v>
      </c>
      <c r="B36" s="103" t="s">
        <v>50</v>
      </c>
      <c r="C36" s="219">
        <v>45772</v>
      </c>
      <c r="D36" s="286"/>
      <c r="E36" s="273" t="s">
        <v>1745</v>
      </c>
      <c r="F36" s="286"/>
      <c r="G36" s="287" t="s">
        <v>1764</v>
      </c>
      <c r="H36" s="234"/>
      <c r="I36" s="234"/>
      <c r="J36" s="45"/>
      <c r="K36" s="208"/>
      <c r="L36" s="208"/>
      <c r="M36" s="208"/>
      <c r="N36" s="288"/>
      <c r="O36" s="289"/>
      <c r="P36" s="278"/>
      <c r="Q36" s="279" t="s">
        <v>1764</v>
      </c>
      <c r="R36" s="132" t="s">
        <v>1782</v>
      </c>
      <c r="S36" s="132"/>
      <c r="T36" s="280"/>
      <c r="U36" s="281"/>
      <c r="V36" s="281"/>
      <c r="W36" s="281"/>
      <c r="X36" s="281"/>
      <c r="Y36" s="281"/>
      <c r="Z36" t="e">
        <f>VLOOKUP(A36,#REF!,9,FALSE)</f>
        <v>#REF!</v>
      </c>
    </row>
    <row r="37" spans="1:26" ht="15.75" thickBot="1">
      <c r="A37" s="279" t="s">
        <v>635</v>
      </c>
      <c r="B37" s="103" t="s">
        <v>50</v>
      </c>
      <c r="C37" s="219">
        <v>45831</v>
      </c>
      <c r="D37" s="286"/>
      <c r="E37" s="273" t="s">
        <v>1745</v>
      </c>
      <c r="F37" s="286"/>
      <c r="G37" s="287" t="s">
        <v>1743</v>
      </c>
      <c r="H37" s="234"/>
      <c r="I37" s="234"/>
      <c r="J37" s="45"/>
      <c r="K37" s="208"/>
      <c r="L37" s="208"/>
      <c r="M37" s="208"/>
      <c r="N37" s="288"/>
      <c r="O37" s="289"/>
      <c r="P37" s="278"/>
      <c r="Q37" s="279" t="s">
        <v>64</v>
      </c>
      <c r="R37" s="132" t="s">
        <v>1782</v>
      </c>
      <c r="S37" s="132"/>
      <c r="T37" s="280"/>
      <c r="U37" s="281"/>
      <c r="V37" s="281"/>
      <c r="W37" s="281"/>
      <c r="X37" s="281"/>
      <c r="Y37" s="281"/>
      <c r="Z37" t="e">
        <f>VLOOKUP(A37,#REF!,9,FALSE)</f>
        <v>#REF!</v>
      </c>
    </row>
    <row r="38" spans="1:26" ht="15.75" thickBot="1">
      <c r="A38" s="279" t="s">
        <v>639</v>
      </c>
      <c r="B38" s="103" t="s">
        <v>50</v>
      </c>
      <c r="C38" s="219">
        <v>45831</v>
      </c>
      <c r="D38" s="286"/>
      <c r="E38" s="273" t="s">
        <v>1745</v>
      </c>
      <c r="F38" s="286"/>
      <c r="G38" s="287" t="s">
        <v>1743</v>
      </c>
      <c r="H38" s="234"/>
      <c r="I38" s="234"/>
      <c r="J38" s="45"/>
      <c r="K38" s="208"/>
      <c r="L38" s="208"/>
      <c r="M38" s="208"/>
      <c r="N38" s="288"/>
      <c r="O38" s="289"/>
      <c r="P38" s="278"/>
      <c r="Q38" s="279" t="s">
        <v>64</v>
      </c>
      <c r="R38" s="132" t="s">
        <v>1782</v>
      </c>
      <c r="S38" s="132"/>
      <c r="T38" s="280"/>
      <c r="U38" s="281"/>
      <c r="V38" s="281"/>
      <c r="W38" s="281"/>
      <c r="X38" s="281"/>
      <c r="Y38" s="281"/>
      <c r="Z38" t="e">
        <f>VLOOKUP(A38,#REF!,9,FALSE)</f>
        <v>#REF!</v>
      </c>
    </row>
    <row r="39" spans="1:26" s="220" customFormat="1" ht="70.150000000000006" customHeight="1" thickBot="1">
      <c r="A39" s="224" t="s">
        <v>1765</v>
      </c>
      <c r="B39" s="228" t="e">
        <v>#N/A</v>
      </c>
      <c r="C39" s="227" t="e">
        <v>#N/A</v>
      </c>
      <c r="D39" s="293"/>
      <c r="E39" s="273" t="s">
        <v>1745</v>
      </c>
      <c r="F39" s="293"/>
      <c r="G39" s="294" t="s">
        <v>1764</v>
      </c>
      <c r="H39" s="226"/>
      <c r="I39" s="226"/>
      <c r="J39" s="226"/>
      <c r="K39" s="225"/>
      <c r="L39" s="225"/>
      <c r="M39" s="225"/>
      <c r="N39" s="226"/>
      <c r="O39" s="295"/>
      <c r="P39" s="278"/>
      <c r="Q39" s="224" t="s">
        <v>1764</v>
      </c>
      <c r="R39" s="132" t="s">
        <v>1782</v>
      </c>
      <c r="S39" s="223"/>
      <c r="T39" s="222"/>
      <c r="U39" s="221"/>
      <c r="V39" s="221"/>
      <c r="W39" s="221"/>
      <c r="X39" s="221"/>
      <c r="Y39" s="221" t="s">
        <v>1789</v>
      </c>
      <c r="Z39" t="e">
        <f>VLOOKUP(A39,#REF!,9,FALSE)</f>
        <v>#REF!</v>
      </c>
    </row>
    <row r="40" spans="1:26" ht="15.75" thickBot="1">
      <c r="A40" s="279" t="s">
        <v>700</v>
      </c>
      <c r="B40" s="103" t="s">
        <v>50</v>
      </c>
      <c r="C40" s="219">
        <v>45831</v>
      </c>
      <c r="D40" s="286"/>
      <c r="E40" s="273" t="s">
        <v>1745</v>
      </c>
      <c r="F40" s="286"/>
      <c r="G40" s="287" t="s">
        <v>1743</v>
      </c>
      <c r="H40" s="234"/>
      <c r="I40" s="234"/>
      <c r="J40" s="45"/>
      <c r="K40" s="208"/>
      <c r="L40" s="208"/>
      <c r="M40" s="208"/>
      <c r="N40" s="288"/>
      <c r="O40" s="289"/>
      <c r="P40" s="278"/>
      <c r="Q40" s="279" t="s">
        <v>64</v>
      </c>
      <c r="R40" s="132" t="s">
        <v>1782</v>
      </c>
      <c r="S40" s="132"/>
      <c r="T40" s="280"/>
      <c r="U40" s="281"/>
      <c r="V40" s="281"/>
      <c r="W40" s="281"/>
      <c r="X40" s="281"/>
      <c r="Y40" s="281"/>
      <c r="Z40" t="e">
        <f>VLOOKUP(A40,#REF!,9,FALSE)</f>
        <v>#REF!</v>
      </c>
    </row>
    <row r="41" spans="1:26" ht="15.75" thickBot="1">
      <c r="A41" s="279" t="s">
        <v>92</v>
      </c>
      <c r="B41" s="103" t="s">
        <v>50</v>
      </c>
      <c r="C41" s="219">
        <v>45807</v>
      </c>
      <c r="D41" s="286"/>
      <c r="E41" s="273" t="s">
        <v>1780</v>
      </c>
      <c r="F41" s="286"/>
      <c r="G41" s="287" t="s">
        <v>1743</v>
      </c>
      <c r="H41" s="234"/>
      <c r="I41" s="234"/>
      <c r="J41" s="45"/>
      <c r="K41" s="208"/>
      <c r="L41" s="208"/>
      <c r="M41" s="208"/>
      <c r="N41" s="288"/>
      <c r="O41" s="289"/>
      <c r="P41" s="278" t="s">
        <v>1781</v>
      </c>
      <c r="Q41" s="279" t="s">
        <v>58</v>
      </c>
      <c r="R41" s="132" t="s">
        <v>1782</v>
      </c>
      <c r="S41" s="132"/>
      <c r="T41" s="280"/>
      <c r="U41" s="281"/>
      <c r="V41" s="281"/>
      <c r="W41" s="281"/>
      <c r="X41" s="281"/>
      <c r="Y41" s="281"/>
      <c r="Z41" t="e">
        <f>VLOOKUP(A41,#REF!,9,FALSE)</f>
        <v>#REF!</v>
      </c>
    </row>
    <row r="42" spans="1:26" ht="15.75" thickBot="1">
      <c r="A42" s="279" t="s">
        <v>90</v>
      </c>
      <c r="B42" s="103" t="s">
        <v>50</v>
      </c>
      <c r="C42" s="219">
        <v>45807</v>
      </c>
      <c r="D42" s="286"/>
      <c r="E42" s="273" t="s">
        <v>1780</v>
      </c>
      <c r="F42" s="286"/>
      <c r="G42" s="287" t="s">
        <v>1743</v>
      </c>
      <c r="H42" s="234"/>
      <c r="I42" s="234"/>
      <c r="J42" s="45"/>
      <c r="K42" s="208"/>
      <c r="L42" s="208"/>
      <c r="M42" s="208"/>
      <c r="N42" s="288"/>
      <c r="O42" s="289"/>
      <c r="P42" s="278" t="s">
        <v>1781</v>
      </c>
      <c r="Q42" s="279" t="s">
        <v>64</v>
      </c>
      <c r="R42" s="132" t="s">
        <v>1782</v>
      </c>
      <c r="S42" s="132"/>
      <c r="T42" s="280"/>
      <c r="U42" s="281"/>
      <c r="V42" s="281"/>
      <c r="W42" s="281"/>
      <c r="X42" s="281"/>
      <c r="Y42" s="281"/>
      <c r="Z42" t="e">
        <f>VLOOKUP(A42,#REF!,9,FALSE)</f>
        <v>#REF!</v>
      </c>
    </row>
    <row r="43" spans="1:26" ht="15.75" thickBot="1">
      <c r="A43" s="279" t="s">
        <v>393</v>
      </c>
      <c r="B43" s="103" t="s">
        <v>50</v>
      </c>
      <c r="C43" s="219">
        <v>45807</v>
      </c>
      <c r="D43" s="286"/>
      <c r="E43" s="273" t="s">
        <v>1780</v>
      </c>
      <c r="F43" s="286"/>
      <c r="G43" s="287" t="s">
        <v>1743</v>
      </c>
      <c r="H43" s="234"/>
      <c r="I43" s="234"/>
      <c r="J43" s="45"/>
      <c r="K43" s="208"/>
      <c r="L43" s="208"/>
      <c r="M43" s="208"/>
      <c r="N43" s="288"/>
      <c r="O43" s="289"/>
      <c r="P43" s="278" t="s">
        <v>1781</v>
      </c>
      <c r="Q43" s="279" t="s">
        <v>58</v>
      </c>
      <c r="R43" s="132" t="s">
        <v>1782</v>
      </c>
      <c r="S43" s="132"/>
      <c r="T43" s="280"/>
      <c r="U43" s="281"/>
      <c r="V43" s="281"/>
      <c r="W43" s="281"/>
      <c r="X43" s="281"/>
      <c r="Y43" s="281"/>
      <c r="Z43" t="e">
        <f>VLOOKUP(A43,#REF!,9,FALSE)</f>
        <v>#REF!</v>
      </c>
    </row>
    <row r="44" spans="1:26" ht="15.75" thickBot="1">
      <c r="A44" s="279" t="s">
        <v>87</v>
      </c>
      <c r="B44" s="103" t="s">
        <v>50</v>
      </c>
      <c r="C44" s="219">
        <v>45807</v>
      </c>
      <c r="D44" s="286"/>
      <c r="E44" s="273" t="s">
        <v>1780</v>
      </c>
      <c r="F44" s="286"/>
      <c r="G44" s="287" t="s">
        <v>1743</v>
      </c>
      <c r="H44" s="234"/>
      <c r="I44" s="234"/>
      <c r="J44" s="45"/>
      <c r="K44" s="208"/>
      <c r="L44" s="208"/>
      <c r="M44" s="208"/>
      <c r="N44" s="288"/>
      <c r="O44" s="289"/>
      <c r="P44" s="278" t="s">
        <v>1751</v>
      </c>
      <c r="Q44" s="279" t="s">
        <v>64</v>
      </c>
      <c r="R44" s="132" t="s">
        <v>1782</v>
      </c>
      <c r="S44" s="132"/>
      <c r="T44" s="280"/>
      <c r="U44" s="281"/>
      <c r="V44" s="281"/>
      <c r="W44" s="281"/>
      <c r="X44" s="281"/>
      <c r="Y44" s="281"/>
      <c r="Z44" t="e">
        <f>VLOOKUP(A44,#REF!,9,FALSE)</f>
        <v>#REF!</v>
      </c>
    </row>
    <row r="45" spans="1:26" ht="15.75" thickBot="1">
      <c r="A45" s="346" t="s">
        <v>508</v>
      </c>
      <c r="B45" s="103" t="s">
        <v>50</v>
      </c>
      <c r="C45" s="219">
        <v>45807</v>
      </c>
      <c r="D45" s="286"/>
      <c r="E45" s="273" t="s">
        <v>1745</v>
      </c>
      <c r="F45" s="286"/>
      <c r="G45" s="287" t="s">
        <v>1743</v>
      </c>
      <c r="H45" s="234"/>
      <c r="I45" s="234"/>
      <c r="J45" s="45"/>
      <c r="K45" s="208"/>
      <c r="L45" s="208"/>
      <c r="M45" s="208"/>
      <c r="N45" s="288"/>
      <c r="O45" s="289"/>
      <c r="P45" s="278"/>
      <c r="Q45" s="279" t="s">
        <v>58</v>
      </c>
      <c r="R45" s="132" t="s">
        <v>1782</v>
      </c>
      <c r="S45" s="132"/>
      <c r="T45" s="280"/>
      <c r="U45" s="281"/>
      <c r="V45" s="281"/>
      <c r="W45" s="281"/>
      <c r="X45" s="281"/>
      <c r="Y45" s="281"/>
      <c r="Z45" t="e">
        <f>VLOOKUP(A45,#REF!,9,FALSE)</f>
        <v>#REF!</v>
      </c>
    </row>
    <row r="46" spans="1:26" ht="15.75" thickBot="1">
      <c r="A46" s="296" t="s">
        <v>510</v>
      </c>
      <c r="B46" s="103" t="s">
        <v>50</v>
      </c>
      <c r="C46" s="219">
        <v>45807</v>
      </c>
      <c r="D46" s="286"/>
      <c r="E46" s="273" t="s">
        <v>1745</v>
      </c>
      <c r="F46" s="286"/>
      <c r="G46" s="294" t="s">
        <v>1743</v>
      </c>
      <c r="H46" s="234"/>
      <c r="I46" s="234"/>
      <c r="J46" s="45"/>
      <c r="K46" s="208"/>
      <c r="L46" s="208"/>
      <c r="M46" s="208"/>
      <c r="N46" s="288"/>
      <c r="O46" s="289"/>
      <c r="P46" s="278"/>
      <c r="Q46" s="279" t="s">
        <v>58</v>
      </c>
      <c r="R46" s="132" t="s">
        <v>1782</v>
      </c>
      <c r="S46" s="132"/>
      <c r="T46" s="280"/>
      <c r="U46" s="281"/>
      <c r="V46" s="281"/>
      <c r="W46" s="281"/>
      <c r="X46" s="281"/>
      <c r="Y46" s="281"/>
      <c r="Z46" t="e">
        <f>VLOOKUP(A46,#REF!,9,FALSE)</f>
        <v>#REF!</v>
      </c>
    </row>
    <row r="47" spans="1:26" ht="15.75" thickBot="1">
      <c r="A47" s="297" t="s">
        <v>178</v>
      </c>
      <c r="B47" s="103" t="s">
        <v>50</v>
      </c>
      <c r="C47" s="219">
        <v>45807</v>
      </c>
      <c r="D47" s="286"/>
      <c r="E47" s="273" t="s">
        <v>1745</v>
      </c>
      <c r="F47" s="286"/>
      <c r="G47" s="287" t="s">
        <v>1743</v>
      </c>
      <c r="H47" s="234"/>
      <c r="I47" s="234"/>
      <c r="J47" s="45"/>
      <c r="K47" s="208"/>
      <c r="L47" s="208"/>
      <c r="M47" s="208"/>
      <c r="N47" s="288"/>
      <c r="O47" s="289"/>
      <c r="P47" s="278" t="s">
        <v>1754</v>
      </c>
      <c r="Q47" s="279" t="s">
        <v>58</v>
      </c>
      <c r="R47" s="132" t="s">
        <v>1785</v>
      </c>
      <c r="S47" s="132"/>
      <c r="T47" s="280"/>
      <c r="U47" s="281"/>
      <c r="V47" s="281"/>
      <c r="W47" s="281"/>
      <c r="X47" s="281"/>
      <c r="Y47" s="281"/>
      <c r="Z47" t="e">
        <f>VLOOKUP(A47,#REF!,9,FALSE)</f>
        <v>#REF!</v>
      </c>
    </row>
    <row r="48" spans="1:26" ht="15.75" thickBot="1">
      <c r="A48" s="296" t="s">
        <v>553</v>
      </c>
      <c r="B48" s="103" t="s">
        <v>50</v>
      </c>
      <c r="C48" s="219">
        <v>45807</v>
      </c>
      <c r="D48" s="286"/>
      <c r="E48" s="273" t="s">
        <v>1745</v>
      </c>
      <c r="F48" s="286"/>
      <c r="G48" s="294" t="s">
        <v>1764</v>
      </c>
      <c r="H48" s="234"/>
      <c r="I48" s="234"/>
      <c r="J48" s="45"/>
      <c r="K48" s="208"/>
      <c r="L48" s="208"/>
      <c r="M48" s="208"/>
      <c r="N48" s="288"/>
      <c r="O48" s="289"/>
      <c r="P48" s="278" t="s">
        <v>1791</v>
      </c>
      <c r="Q48" s="279" t="s">
        <v>1764</v>
      </c>
      <c r="R48" s="132" t="s">
        <v>1782</v>
      </c>
      <c r="S48" s="132"/>
      <c r="T48" s="280"/>
      <c r="U48" s="281"/>
      <c r="V48" s="281"/>
      <c r="W48" s="281"/>
      <c r="X48" s="281"/>
      <c r="Y48" s="281"/>
      <c r="Z48" t="e">
        <f>VLOOKUP(A48,#REF!,9,FALSE)</f>
        <v>#REF!</v>
      </c>
    </row>
    <row r="49" spans="1:26" ht="15.75" thickBot="1">
      <c r="A49" s="296" t="s">
        <v>547</v>
      </c>
      <c r="B49" s="103" t="s">
        <v>116</v>
      </c>
      <c r="C49" s="219">
        <v>45772</v>
      </c>
      <c r="D49" s="286"/>
      <c r="E49" s="273" t="s">
        <v>1745</v>
      </c>
      <c r="F49" s="286"/>
      <c r="G49" s="294" t="s">
        <v>1764</v>
      </c>
      <c r="H49" s="234"/>
      <c r="I49" s="234"/>
      <c r="J49" s="45"/>
      <c r="K49" s="208"/>
      <c r="L49" s="208"/>
      <c r="M49" s="208"/>
      <c r="N49" s="288"/>
      <c r="O49" s="289"/>
      <c r="P49" s="278" t="s">
        <v>1791</v>
      </c>
      <c r="Q49" s="279" t="s">
        <v>1764</v>
      </c>
      <c r="R49" s="132" t="s">
        <v>1782</v>
      </c>
      <c r="S49" s="132"/>
      <c r="T49" s="280"/>
      <c r="U49" s="281"/>
      <c r="V49" s="281"/>
      <c r="W49" s="281"/>
      <c r="X49" s="281"/>
      <c r="Y49" s="281"/>
      <c r="Z49" t="e">
        <f>VLOOKUP(A49,#REF!,9,FALSE)</f>
        <v>#REF!</v>
      </c>
    </row>
    <row r="50" spans="1:26" ht="15.75" thickBot="1">
      <c r="A50" s="296" t="s">
        <v>545</v>
      </c>
      <c r="B50" s="103" t="s">
        <v>116</v>
      </c>
      <c r="C50" s="219">
        <v>45772</v>
      </c>
      <c r="D50" s="286"/>
      <c r="E50" s="273" t="s">
        <v>1745</v>
      </c>
      <c r="F50" s="286"/>
      <c r="G50" s="294" t="s">
        <v>1764</v>
      </c>
      <c r="H50" s="234"/>
      <c r="I50" s="234"/>
      <c r="J50" s="45"/>
      <c r="K50" s="208"/>
      <c r="L50" s="208"/>
      <c r="M50" s="208"/>
      <c r="N50" s="288"/>
      <c r="O50" s="289"/>
      <c r="P50" s="278" t="s">
        <v>1791</v>
      </c>
      <c r="Q50" s="279" t="s">
        <v>1764</v>
      </c>
      <c r="R50" s="132" t="s">
        <v>1782</v>
      </c>
      <c r="S50" s="132"/>
      <c r="T50" s="280"/>
      <c r="U50" s="281"/>
      <c r="V50" s="281"/>
      <c r="W50" s="281"/>
      <c r="X50" s="281"/>
      <c r="Y50" s="281"/>
      <c r="Z50" t="e">
        <f>VLOOKUP(A50,#REF!,9,FALSE)</f>
        <v>#REF!</v>
      </c>
    </row>
    <row r="51" spans="1:26" ht="15.75" thickBot="1">
      <c r="A51" s="296" t="s">
        <v>551</v>
      </c>
      <c r="B51" s="103" t="e">
        <v>#N/A</v>
      </c>
      <c r="C51" s="219" t="e">
        <v>#N/A</v>
      </c>
      <c r="D51" s="286"/>
      <c r="E51" s="273" t="s">
        <v>1745</v>
      </c>
      <c r="F51" s="286"/>
      <c r="G51" s="294" t="s">
        <v>1764</v>
      </c>
      <c r="H51" s="234"/>
      <c r="I51" s="234"/>
      <c r="J51" s="45"/>
      <c r="K51" s="208"/>
      <c r="L51" s="208"/>
      <c r="M51" s="208"/>
      <c r="N51" s="288"/>
      <c r="O51" s="289"/>
      <c r="P51" s="278" t="s">
        <v>1791</v>
      </c>
      <c r="Q51" s="279" t="s">
        <v>1764</v>
      </c>
      <c r="R51" s="132" t="s">
        <v>1782</v>
      </c>
      <c r="S51" s="132"/>
      <c r="T51" s="280"/>
      <c r="U51" s="281"/>
      <c r="V51" s="281"/>
      <c r="W51" s="281"/>
      <c r="X51" s="281"/>
      <c r="Y51" s="281"/>
      <c r="Z51" t="e">
        <f>VLOOKUP(A51,#REF!,9,FALSE)</f>
        <v>#REF!</v>
      </c>
    </row>
    <row r="52" spans="1:26" ht="13.9" customHeight="1" thickBot="1">
      <c r="A52" s="296" t="s">
        <v>527</v>
      </c>
      <c r="B52" s="103" t="s">
        <v>116</v>
      </c>
      <c r="C52" s="219">
        <v>45925</v>
      </c>
      <c r="D52" s="286"/>
      <c r="E52" s="273" t="s">
        <v>1780</v>
      </c>
      <c r="F52" s="286"/>
      <c r="G52" s="287" t="s">
        <v>1743</v>
      </c>
      <c r="H52" s="234"/>
      <c r="I52" s="234"/>
      <c r="J52" s="45"/>
      <c r="K52" s="208"/>
      <c r="L52" s="208"/>
      <c r="M52" s="208"/>
      <c r="N52" s="288"/>
      <c r="O52" s="289"/>
      <c r="P52" s="278" t="s">
        <v>1781</v>
      </c>
      <c r="Q52" s="279" t="s">
        <v>64</v>
      </c>
      <c r="R52" s="132" t="s">
        <v>1782</v>
      </c>
      <c r="S52" s="132"/>
      <c r="T52" s="280"/>
      <c r="U52" s="281"/>
      <c r="V52" s="281"/>
      <c r="W52" s="281"/>
      <c r="X52" s="281"/>
      <c r="Y52" s="281"/>
      <c r="Z52" t="e">
        <f>VLOOKUP(A52,#REF!,9,FALSE)</f>
        <v>#REF!</v>
      </c>
    </row>
    <row r="53" spans="1:26" ht="15.75" thickBot="1">
      <c r="A53" s="296" t="s">
        <v>529</v>
      </c>
      <c r="B53" s="103" t="s">
        <v>116</v>
      </c>
      <c r="C53" s="219">
        <v>45925</v>
      </c>
      <c r="D53" s="286"/>
      <c r="E53" s="273" t="s">
        <v>1780</v>
      </c>
      <c r="F53" s="286"/>
      <c r="G53" s="287" t="s">
        <v>1743</v>
      </c>
      <c r="H53" s="234"/>
      <c r="I53" s="234"/>
      <c r="J53" s="45"/>
      <c r="K53" s="208"/>
      <c r="L53" s="208"/>
      <c r="M53" s="208"/>
      <c r="N53" s="288"/>
      <c r="O53" s="289"/>
      <c r="P53" s="278" t="s">
        <v>1781</v>
      </c>
      <c r="Q53" s="279" t="s">
        <v>64</v>
      </c>
      <c r="R53" s="132" t="s">
        <v>1782</v>
      </c>
      <c r="S53" s="132"/>
      <c r="T53" s="280"/>
      <c r="U53" s="281"/>
      <c r="V53" s="281"/>
      <c r="W53" s="281"/>
      <c r="X53" s="281"/>
      <c r="Y53" s="281"/>
      <c r="Z53" t="e">
        <f>VLOOKUP(A53,#REF!,9,FALSE)</f>
        <v>#REF!</v>
      </c>
    </row>
    <row r="54" spans="1:26" ht="15.75" thickBot="1">
      <c r="A54" s="296" t="s">
        <v>525</v>
      </c>
      <c r="B54" s="103" t="s">
        <v>116</v>
      </c>
      <c r="C54" s="219">
        <v>45925</v>
      </c>
      <c r="D54" s="286"/>
      <c r="E54" s="273" t="s">
        <v>1780</v>
      </c>
      <c r="F54" s="286"/>
      <c r="G54" s="287" t="s">
        <v>1743</v>
      </c>
      <c r="H54" s="234"/>
      <c r="I54" s="234"/>
      <c r="J54" s="45"/>
      <c r="K54" s="208"/>
      <c r="L54" s="208"/>
      <c r="M54" s="208"/>
      <c r="N54" s="288"/>
      <c r="O54" s="289"/>
      <c r="P54" s="278" t="s">
        <v>1781</v>
      </c>
      <c r="Q54" s="279" t="s">
        <v>64</v>
      </c>
      <c r="R54" s="132" t="s">
        <v>1782</v>
      </c>
      <c r="S54" s="132"/>
      <c r="T54" s="280"/>
      <c r="U54" s="281"/>
      <c r="V54" s="281"/>
      <c r="W54" s="281"/>
      <c r="X54" s="281"/>
      <c r="Y54" s="281"/>
      <c r="Z54" t="e">
        <f>VLOOKUP(A54,#REF!,9,FALSE)</f>
        <v>#REF!</v>
      </c>
    </row>
    <row r="55" spans="1:26" ht="15.75" thickBot="1">
      <c r="A55" s="296" t="s">
        <v>563</v>
      </c>
      <c r="B55" s="103" t="s">
        <v>116</v>
      </c>
      <c r="C55" s="219">
        <v>45862</v>
      </c>
      <c r="D55" s="286"/>
      <c r="E55" s="273" t="s">
        <v>1780</v>
      </c>
      <c r="F55" s="286"/>
      <c r="G55" s="287" t="s">
        <v>1743</v>
      </c>
      <c r="H55" s="234"/>
      <c r="I55" s="234"/>
      <c r="J55" s="45"/>
      <c r="K55" s="208"/>
      <c r="L55" s="208"/>
      <c r="M55" s="208"/>
      <c r="N55" s="288"/>
      <c r="O55" s="289"/>
      <c r="P55" s="278" t="s">
        <v>1754</v>
      </c>
      <c r="Q55" s="279" t="s">
        <v>58</v>
      </c>
      <c r="R55" s="132" t="s">
        <v>1785</v>
      </c>
      <c r="S55" s="132"/>
      <c r="T55" s="280"/>
      <c r="U55" s="281"/>
      <c r="V55" s="281"/>
      <c r="W55" s="281"/>
      <c r="X55" s="281"/>
      <c r="Y55" s="281"/>
      <c r="Z55" t="e">
        <f>VLOOKUP(A55,#REF!,9,FALSE)</f>
        <v>#REF!</v>
      </c>
    </row>
    <row r="56" spans="1:26" ht="15.75" thickBot="1">
      <c r="A56" s="296" t="s">
        <v>126</v>
      </c>
      <c r="B56" s="103"/>
      <c r="C56" s="219" t="e">
        <v>#N/A</v>
      </c>
      <c r="D56" s="286"/>
      <c r="E56" s="273" t="s">
        <v>1780</v>
      </c>
      <c r="F56" s="286"/>
      <c r="G56" s="287" t="s">
        <v>1743</v>
      </c>
      <c r="H56" s="234"/>
      <c r="I56" s="234"/>
      <c r="J56" s="45"/>
      <c r="K56" s="208"/>
      <c r="L56" s="208"/>
      <c r="M56" s="208"/>
      <c r="N56" s="288"/>
      <c r="O56" s="289"/>
      <c r="P56" s="278" t="s">
        <v>1792</v>
      </c>
      <c r="Q56" s="279" t="s">
        <v>58</v>
      </c>
      <c r="R56" s="132" t="s">
        <v>1785</v>
      </c>
      <c r="S56" s="132"/>
      <c r="T56" s="280"/>
      <c r="U56" s="281"/>
      <c r="V56" s="281"/>
      <c r="W56" s="281"/>
      <c r="X56" s="281"/>
      <c r="Y56" s="281"/>
      <c r="Z56" t="e">
        <f>VLOOKUP(A56,#REF!,9,FALSE)</f>
        <v>#REF!</v>
      </c>
    </row>
    <row r="57" spans="1:26" ht="15.75" thickBot="1">
      <c r="A57" s="163" t="s">
        <v>1793</v>
      </c>
      <c r="B57" s="103" t="s">
        <v>116</v>
      </c>
      <c r="C57" s="298">
        <v>45787</v>
      </c>
      <c r="D57" s="286"/>
      <c r="E57" s="273" t="s">
        <v>1780</v>
      </c>
      <c r="F57" s="286"/>
      <c r="G57" s="287" t="s">
        <v>1743</v>
      </c>
      <c r="H57" s="234"/>
      <c r="I57" s="234"/>
      <c r="J57" s="45"/>
      <c r="K57" s="208"/>
      <c r="L57" s="208"/>
      <c r="M57" s="208"/>
      <c r="N57" s="288"/>
      <c r="O57" s="289"/>
      <c r="P57" s="278" t="s">
        <v>1754</v>
      </c>
      <c r="Q57" s="279" t="s">
        <v>1794</v>
      </c>
      <c r="R57" s="132" t="s">
        <v>1785</v>
      </c>
      <c r="S57" s="132"/>
      <c r="T57" s="280"/>
      <c r="U57" s="281"/>
      <c r="V57" s="281"/>
      <c r="W57" s="281"/>
      <c r="X57" s="281"/>
      <c r="Y57" s="281"/>
      <c r="Z57" t="e">
        <f>VLOOKUP(A57,#REF!,9,FALSE)</f>
        <v>#REF!</v>
      </c>
    </row>
    <row r="58" spans="1:26" ht="15.75" thickBot="1">
      <c r="A58" s="640" t="s">
        <v>525</v>
      </c>
      <c r="B58" s="103" t="s">
        <v>50</v>
      </c>
      <c r="C58" s="300">
        <v>45807</v>
      </c>
      <c r="D58" s="286"/>
      <c r="E58" s="273" t="s">
        <v>1745</v>
      </c>
      <c r="F58" s="286"/>
      <c r="G58" s="287" t="s">
        <v>1743</v>
      </c>
      <c r="H58" s="234"/>
      <c r="I58" s="234"/>
      <c r="J58" s="45"/>
      <c r="K58" s="208"/>
      <c r="L58" s="208"/>
      <c r="M58" s="208"/>
      <c r="N58" s="288"/>
      <c r="O58" s="289"/>
      <c r="P58" s="291"/>
      <c r="Q58" s="279" t="s">
        <v>64</v>
      </c>
      <c r="R58" s="132" t="s">
        <v>1782</v>
      </c>
      <c r="S58" s="132"/>
      <c r="T58" s="280"/>
      <c r="U58" s="281"/>
      <c r="V58" s="281"/>
      <c r="W58" s="281"/>
      <c r="X58" s="281"/>
      <c r="Y58" s="281"/>
    </row>
    <row r="59" spans="1:26" ht="15.75" thickBot="1">
      <c r="A59" s="640" t="s">
        <v>527</v>
      </c>
      <c r="B59" s="103" t="s">
        <v>116</v>
      </c>
      <c r="C59" s="300">
        <v>45772</v>
      </c>
      <c r="D59" s="286"/>
      <c r="E59" s="273" t="s">
        <v>1745</v>
      </c>
      <c r="F59" s="286"/>
      <c r="G59" s="287" t="s">
        <v>1743</v>
      </c>
      <c r="H59" s="234"/>
      <c r="I59" s="234"/>
      <c r="J59" s="45"/>
      <c r="K59" s="208"/>
      <c r="L59" s="208"/>
      <c r="M59" s="208"/>
      <c r="N59" s="288"/>
      <c r="O59" s="289"/>
      <c r="P59" s="291"/>
      <c r="Q59" s="279" t="s">
        <v>64</v>
      </c>
      <c r="R59" s="132" t="s">
        <v>1782</v>
      </c>
      <c r="S59" s="132"/>
      <c r="T59" s="280"/>
      <c r="U59" s="281"/>
      <c r="V59" s="281"/>
      <c r="W59" s="281"/>
      <c r="X59" s="281"/>
      <c r="Y59" s="281"/>
    </row>
    <row r="60" spans="1:26" ht="15.75" thickBot="1">
      <c r="A60" s="641" t="s">
        <v>529</v>
      </c>
      <c r="B60" s="103" t="s">
        <v>116</v>
      </c>
      <c r="C60" s="300">
        <v>45772</v>
      </c>
      <c r="D60" s="286"/>
      <c r="E60" s="273" t="s">
        <v>1745</v>
      </c>
      <c r="F60" s="286"/>
      <c r="G60" s="287" t="s">
        <v>1743</v>
      </c>
      <c r="H60" s="234"/>
      <c r="I60" s="234"/>
      <c r="J60" s="45"/>
      <c r="K60" s="208"/>
      <c r="L60" s="208"/>
      <c r="M60" s="208"/>
      <c r="N60" s="288"/>
      <c r="O60" s="289"/>
      <c r="P60" s="291"/>
      <c r="Q60" s="279" t="s">
        <v>64</v>
      </c>
      <c r="R60" s="132" t="s">
        <v>1782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1774</v>
      </c>
      <c r="B70" s="305">
        <f>SUM(K4:K9)</f>
        <v>0</v>
      </c>
      <c r="C70" s="306" t="e">
        <f>B70/B73</f>
        <v>#DIV/0!</v>
      </c>
    </row>
    <row r="71" spans="1:25">
      <c r="A71" s="304" t="s">
        <v>1672</v>
      </c>
      <c r="B71" s="305">
        <f>SUM(L4:L9)</f>
        <v>0</v>
      </c>
      <c r="C71" s="306" t="e">
        <f>B71/B73</f>
        <v>#DIV/0!</v>
      </c>
    </row>
    <row r="72" spans="1:25">
      <c r="A72" s="304" t="s">
        <v>1775</v>
      </c>
      <c r="B72" s="305">
        <f>SUM(M4:M9)</f>
        <v>0</v>
      </c>
      <c r="C72" s="306" t="e">
        <f>B72/B73</f>
        <v>#DIV/0!</v>
      </c>
    </row>
    <row r="73" spans="1:25">
      <c r="A73" s="304" t="s">
        <v>877</v>
      </c>
      <c r="B73" s="305">
        <f>SUM(B70:B72)</f>
        <v>0</v>
      </c>
      <c r="C73" s="283"/>
    </row>
    <row r="80" spans="1:25">
      <c r="A80" t="s">
        <v>1795</v>
      </c>
    </row>
    <row r="81" spans="1:1">
      <c r="A81" t="s">
        <v>1796</v>
      </c>
    </row>
    <row r="82" spans="1:1">
      <c r="A82" t="s">
        <v>1781</v>
      </c>
    </row>
    <row r="83" spans="1:1">
      <c r="A83" t="s">
        <v>1797</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2CC3618-7378-450A-BF8E-5BEF61CFAB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2025-11-20T20:18:47Z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