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8" documentId="8_{E14B221E-02E2-46A3-8CEC-C736815F2DD5}" xr6:coauthVersionLast="47" xr6:coauthVersionMax="47" xr10:uidLastSave="{B3B9A589-12D5-460C-8F8C-34D7D4D3A9E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493" r:id="rId12"/>
    <pivotCache cacheId="8494" r:id="rId13"/>
    <pivotCache cacheId="8495" r:id="rId14"/>
    <pivotCache cacheId="8496" r:id="rId15"/>
    <pivotCache cacheId="84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<sst xmlns="http://schemas.openxmlformats.org/spreadsheetml/2006/main" count="16495" uniqueCount="2131">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</sst>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4"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04">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736"/>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194</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194</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163</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163</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152</v>
      </c>
    </row>
    <row r="1171" spans="1:3">
      <c r="A1171" t="s">
        <v>155</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8"/>
  <sheetViews>
    <sheetView tabSelected="1" workbookViewId="0">
      <pane ySplit="1" topLeftCell="A2405" activePane="bottomLeft" state="frozen"/>
      <selection pane="bottomLeft" activeCell="A2419" sqref="A2419:XFD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479</v>
      </c>
      <c r="B2419" s="1131" t="s">
        <v>131</v>
      </c>
      <c r="C2419" s="56">
        <v>46020</v>
      </c>
      <c r="F2419" s="1131" t="s">
        <v>1786</v>
      </c>
      <c r="G2419" t="s">
        <v>1874</v>
      </c>
    </row>
    <row r="2420" spans="1:7">
      <c r="A2420" s="1131" t="s">
        <v>510</v>
      </c>
      <c r="B2420" s="1131" t="s">
        <v>131</v>
      </c>
      <c r="C2420" s="56">
        <v>46020</v>
      </c>
      <c r="F2420" s="1131" t="s">
        <v>1786</v>
      </c>
      <c r="G2420" t="s">
        <v>1874</v>
      </c>
    </row>
    <row r="2468" spans="3:3">
      <c r="C2468"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2073</v>
      </c>
      <c r="C1" s="1407"/>
      <c r="D1" s="558"/>
      <c r="E1" s="1407" t="s">
        <v>2074</v>
      </c>
      <c r="F1" s="1407"/>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v>63714</v>
      </c>
      <c r="E4" s="44" t="s">
        <v>2075</v>
      </c>
      <c r="F4" t="s">
        <v>1049</v>
      </c>
      <c r="W4" t="s">
        <v>2079</v>
      </c>
      <c r="X4">
        <v>22</v>
      </c>
    </row>
    <row r="5" spans="1:25">
      <c r="B5" t="s">
        <v>71</v>
      </c>
      <c r="C5">
        <v>28636</v>
      </c>
      <c r="E5" t="s">
        <v>1049</v>
      </c>
      <c r="F5">
        <v>95060</v>
      </c>
      <c r="K5" s="44" t="s">
        <v>2080</v>
      </c>
      <c r="P5" s="44" t="s">
        <v>2080</v>
      </c>
      <c r="W5" t="s">
        <v>2081</v>
      </c>
      <c r="X5">
        <v>13</v>
      </c>
    </row>
    <row r="6" spans="1:25">
      <c r="B6" t="s">
        <v>1076</v>
      </c>
      <c r="C6">
        <v>208622</v>
      </c>
      <c r="K6" s="44" t="s">
        <v>27</v>
      </c>
      <c r="L6" s="44" t="s">
        <v>2082</v>
      </c>
      <c r="M6" t="s">
        <v>1049</v>
      </c>
      <c r="P6" s="44" t="s">
        <v>2083</v>
      </c>
      <c r="Q6" s="44" t="s">
        <v>2082</v>
      </c>
      <c r="R6" t="s">
        <v>1049</v>
      </c>
    </row>
    <row r="7" spans="1:25">
      <c r="B7" t="s">
        <v>51</v>
      </c>
      <c r="C7">
        <v>446</v>
      </c>
      <c r="K7" t="s">
        <v>2076</v>
      </c>
      <c r="L7" t="s">
        <v>659</v>
      </c>
      <c r="M7">
        <v>1</v>
      </c>
      <c r="P7" t="s">
        <v>2084</v>
      </c>
      <c r="R7">
        <v>1</v>
      </c>
      <c r="X7" t="s">
        <v>2085</v>
      </c>
      <c r="Y7" t="s">
        <v>2086</v>
      </c>
    </row>
    <row r="8" spans="1:25">
      <c r="B8" t="s">
        <v>22</v>
      </c>
      <c r="C8">
        <v>0</v>
      </c>
      <c r="L8" t="s">
        <v>661</v>
      </c>
      <c r="M8">
        <v>1</v>
      </c>
      <c r="P8" t="s">
        <v>2087</v>
      </c>
      <c r="R8">
        <v>1</v>
      </c>
      <c r="V8" t="s">
        <v>2088</v>
      </c>
      <c r="W8" s="257">
        <v>203521</v>
      </c>
      <c r="X8" s="313">
        <f>X5/X4</f>
        <v>0.59090909090909094</v>
      </c>
      <c r="Y8" s="313">
        <f>W9/W8</f>
        <v>0.31446386367991508</v>
      </c>
    </row>
    <row r="9" spans="1:25">
      <c r="B9" t="s">
        <v>225</v>
      </c>
      <c r="C9">
        <v>7128</v>
      </c>
      <c r="L9" t="s">
        <v>2089</v>
      </c>
      <c r="M9">
        <v>1</v>
      </c>
      <c r="P9" t="s">
        <v>2090</v>
      </c>
      <c r="Q9" t="s">
        <v>2089</v>
      </c>
      <c r="R9">
        <v>1</v>
      </c>
      <c r="V9" t="s">
        <v>2091</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194</v>
      </c>
      <c r="C12">
        <v>2710</v>
      </c>
      <c r="L12" t="s">
        <v>824</v>
      </c>
      <c r="M12">
        <v>1</v>
      </c>
      <c r="Q12" t="s">
        <v>2092</v>
      </c>
      <c r="R12">
        <v>1</v>
      </c>
    </row>
    <row r="13" spans="1:25">
      <c r="B13" t="s">
        <v>181</v>
      </c>
      <c r="C13">
        <v>3</v>
      </c>
      <c r="L13" t="s">
        <v>2093</v>
      </c>
      <c r="M13">
        <v>1</v>
      </c>
      <c r="Q13" t="s">
        <v>998</v>
      </c>
      <c r="R13">
        <v>1</v>
      </c>
    </row>
    <row r="14" spans="1:25">
      <c r="B14" t="s">
        <v>67</v>
      </c>
      <c r="C14">
        <v>3796</v>
      </c>
      <c r="L14" t="s">
        <v>838</v>
      </c>
      <c r="M14">
        <v>1</v>
      </c>
      <c r="P14" t="s">
        <v>2094</v>
      </c>
      <c r="R14">
        <v>5</v>
      </c>
    </row>
    <row r="15" spans="1:25">
      <c r="B15" t="s">
        <v>60</v>
      </c>
      <c r="C15">
        <v>6182</v>
      </c>
      <c r="L15" t="s">
        <v>2092</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2095</v>
      </c>
      <c r="M21">
        <v>1</v>
      </c>
    </row>
    <row r="22" spans="2:13">
      <c r="L22" t="s">
        <v>998</v>
      </c>
      <c r="M22">
        <v>1</v>
      </c>
    </row>
    <row r="23" spans="2:13">
      <c r="L23" t="s">
        <v>886</v>
      </c>
      <c r="M23">
        <v>1</v>
      </c>
    </row>
    <row r="24" spans="2:13">
      <c r="L24" t="s">
        <v>907</v>
      </c>
      <c r="M24">
        <v>1</v>
      </c>
    </row>
    <row r="25" spans="2:13">
      <c r="L25" t="s">
        <v>178</v>
      </c>
      <c r="M25">
        <v>1</v>
      </c>
    </row>
    <row r="26" spans="2:13">
      <c r="K26" t="s">
        <v>2096</v>
      </c>
      <c r="M26">
        <v>19</v>
      </c>
    </row>
    <row r="27" spans="2:13">
      <c r="K27" t="s">
        <v>2097</v>
      </c>
      <c r="L27" t="s">
        <v>832</v>
      </c>
      <c r="M27">
        <v>1</v>
      </c>
    </row>
    <row r="28" spans="2:13">
      <c r="L28" t="s">
        <v>834</v>
      </c>
      <c r="M28">
        <v>1</v>
      </c>
    </row>
    <row r="29" spans="2:13">
      <c r="L29" t="s">
        <v>836</v>
      </c>
      <c r="M29">
        <v>1</v>
      </c>
    </row>
    <row r="30" spans="2:13">
      <c r="L30" t="s">
        <v>852</v>
      </c>
      <c r="M30">
        <v>1</v>
      </c>
    </row>
    <row r="31" spans="2:13">
      <c r="L31" t="s">
        <v>856</v>
      </c>
      <c r="M31">
        <v>1</v>
      </c>
    </row>
    <row r="32" spans="2:13">
      <c r="L32" t="s">
        <v>2098</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2099</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2100</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A645F74-3774-4F02-AFFF-03CBF1CA4B0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