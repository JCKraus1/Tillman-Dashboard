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6" documentId="120_S{26355A1A-C9FF-5539-9B49-32C1F08D0326}" xr6:coauthVersionLast="47" xr6:coauthVersionMax="47" xr10:uidLastSave="{1E3FA7FD-5BD0-445D-BD6D-8824012C86F4}"/>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184" r:id="rId11"/>
    <pivotCache cacheId="9187" r:id="rId12"/>
    <pivotCache cacheId="9190" r:id="rId13"/>
    <pivotCache cacheId="9193" r:id="rId14"/>
    <pivotCache cacheId="919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<sst xmlns="http://schemas.openxmlformats.org/spreadsheetml/2006/main" count="18436" uniqueCount="2325">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</sst>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4"/>
      <c r="L22" s="984"/>
      <c r="M22" s="887" t="s">
        <v>56</v>
      </c>
      <c r="N22" s="1375">
        <v>223.8</v>
      </c>
      <c r="O22" s="887" t="s">
        <v>56</v>
      </c>
      <c r="P22" s="889" t="s">
        <v>70</v>
      </c>
      <c r="Q22" s="1376"/>
      <c r="R22" s="1376"/>
      <c r="S22" s="1376"/>
      <c r="T22" s="1376"/>
      <c r="U22" s="1376"/>
      <c r="V22" s="805">
        <v>0</v>
      </c>
      <c r="W22" s="1251"/>
      <c r="X22" s="1377">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4"/>
      <c r="L26" s="984"/>
      <c r="M26" s="887" t="s">
        <v>56</v>
      </c>
      <c r="N26" s="1375">
        <v>12404.9</v>
      </c>
      <c r="O26" s="519" t="s">
        <v>56</v>
      </c>
      <c r="P26" s="951" t="s">
        <v>65</v>
      </c>
      <c r="Q26" s="1376">
        <v>46077</v>
      </c>
      <c r="R26" s="1376"/>
      <c r="S26" s="1376"/>
      <c r="T26" s="1376"/>
      <c r="U26" s="1376"/>
      <c r="V26" s="1377">
        <v>1111</v>
      </c>
      <c r="W26" s="1377"/>
      <c r="X26" s="1377">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4"/>
      <c r="L27" s="984"/>
      <c r="M27" s="887" t="s">
        <v>56</v>
      </c>
      <c r="N27" s="1354">
        <v>85069.95</v>
      </c>
      <c r="O27" s="957" t="s">
        <v>56</v>
      </c>
      <c r="P27" s="951" t="s">
        <v>70</v>
      </c>
      <c r="Q27" s="1376"/>
      <c r="R27" s="1376"/>
      <c r="S27" s="1376"/>
      <c r="T27" s="1376"/>
      <c r="U27" s="1376"/>
      <c r="V27" s="1377">
        <v>311</v>
      </c>
      <c r="W27" s="1377"/>
      <c r="X27" s="1377">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6">
        <v>46077</v>
      </c>
      <c r="R31" s="890"/>
      <c r="S31" s="923"/>
      <c r="T31" s="928"/>
      <c r="U31" s="890"/>
      <c r="V31" s="891">
        <v>4594</v>
      </c>
      <c r="W31" s="137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9">
        <v>0</v>
      </c>
      <c r="I42" s="662" t="s">
        <v>54</v>
      </c>
      <c r="J42" s="665" t="s">
        <v>55</v>
      </c>
      <c r="K42" s="1374"/>
      <c r="L42" s="986"/>
      <c r="M42" s="662" t="s">
        <v>56</v>
      </c>
      <c r="N42" s="1380">
        <v>36998.550000000003</v>
      </c>
      <c r="O42" s="662" t="s">
        <v>56</v>
      </c>
      <c r="P42" s="910" t="s">
        <v>70</v>
      </c>
      <c r="Q42" s="1381"/>
      <c r="R42" s="1381"/>
      <c r="S42" s="1381"/>
      <c r="T42" s="1381"/>
      <c r="U42" s="1381"/>
      <c r="V42" s="1382">
        <v>2944</v>
      </c>
      <c r="W42" s="1377"/>
      <c r="X42" s="1377">
        <f>SUM(V42-W42)</f>
        <v>2944</v>
      </c>
      <c r="Y42" s="521">
        <f>IFERROR($W42/$V42, 0)</f>
        <v>0</v>
      </c>
      <c r="Z42" s="1383"/>
      <c r="AA42" s="893">
        <v>0</v>
      </c>
      <c r="AB42" s="893">
        <v>0</v>
      </c>
      <c r="AC42" s="508">
        <v>0</v>
      </c>
      <c r="AD42" s="894"/>
      <c r="AE42" s="939"/>
    </row>
    <row r="43" spans="1:31" ht="24.75" customHeight="1">
      <c r="A43" s="983" t="s">
        <v>179</v>
      </c>
      <c r="B43" s="664" t="s">
        <v>127</v>
      </c>
      <c r="C43" s="984">
        <v>46079</v>
      </c>
      <c r="D43" s="986"/>
      <c r="E43" s="986"/>
      <c r="F43" s="985"/>
      <c r="G43" s="896" t="s">
        <v>180</v>
      </c>
      <c r="H43" s="1379">
        <v>0</v>
      </c>
      <c r="I43" s="662" t="s">
        <v>54</v>
      </c>
      <c r="J43" s="665" t="s">
        <v>55</v>
      </c>
      <c r="K43" s="1374"/>
      <c r="L43" s="986"/>
      <c r="M43" s="662" t="s">
        <v>56</v>
      </c>
      <c r="N43" s="1380">
        <v>49932.800000000003</v>
      </c>
      <c r="O43" s="662" t="s">
        <v>56</v>
      </c>
      <c r="P43" s="910" t="s">
        <v>70</v>
      </c>
      <c r="Q43" s="1381"/>
      <c r="R43" s="1381"/>
      <c r="S43" s="1381"/>
      <c r="T43" s="1381"/>
      <c r="U43" s="1381"/>
      <c r="V43" s="1382">
        <v>4048</v>
      </c>
      <c r="W43" s="1377"/>
      <c r="X43" s="1377">
        <f>SUM(V43-W43)</f>
        <v>4048</v>
      </c>
      <c r="Y43" s="521">
        <f>IFERROR($W43/$V43, 0)</f>
        <v>0</v>
      </c>
      <c r="Z43" s="1383"/>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4"/>
      <c r="L49" s="986"/>
      <c r="M49" s="898" t="s">
        <v>56</v>
      </c>
      <c r="N49" s="1380">
        <v>118710.8</v>
      </c>
      <c r="O49" s="898" t="s">
        <v>56</v>
      </c>
      <c r="P49" s="889" t="s">
        <v>57</v>
      </c>
      <c r="Q49" s="1381">
        <v>46062</v>
      </c>
      <c r="R49" s="1381"/>
      <c r="S49" s="1381"/>
      <c r="T49" s="1381"/>
      <c r="U49" s="1381"/>
      <c r="V49" s="1382">
        <v>9628</v>
      </c>
      <c r="W49" s="1377">
        <v>6978</v>
      </c>
      <c r="X49" s="1377">
        <f>SUM(V49-W49)</f>
        <v>2650</v>
      </c>
      <c r="Y49" s="521">
        <f>IFERROR($W49/$V49, 0)</f>
        <v>0.72476111341919403</v>
      </c>
      <c r="Z49" s="1381">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9">
        <v>0</v>
      </c>
      <c r="I51" s="662" t="s">
        <v>54</v>
      </c>
      <c r="J51" s="898" t="s">
        <v>55</v>
      </c>
      <c r="K51" s="1374"/>
      <c r="L51" s="986"/>
      <c r="M51" s="898" t="s">
        <v>56</v>
      </c>
      <c r="N51" s="1380">
        <v>15002.75</v>
      </c>
      <c r="O51" s="898" t="s">
        <v>56</v>
      </c>
      <c r="P51" s="910" t="s">
        <v>65</v>
      </c>
      <c r="Q51" s="1381">
        <v>46077</v>
      </c>
      <c r="R51" s="1381"/>
      <c r="S51" s="1381"/>
      <c r="T51" s="1381"/>
      <c r="U51" s="1381"/>
      <c r="V51" s="1382">
        <v>1175</v>
      </c>
      <c r="W51" s="1377"/>
      <c r="X51" s="1377">
        <f>SUM(V51-W51)</f>
        <v>1175</v>
      </c>
      <c r="Y51" s="521">
        <f>IFERROR($W51/$V51, 0)</f>
        <v>0</v>
      </c>
      <c r="Z51" s="1383"/>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9">
        <v>0</v>
      </c>
      <c r="I52" s="662" t="s">
        <v>54</v>
      </c>
      <c r="J52" s="898" t="s">
        <v>55</v>
      </c>
      <c r="K52" s="1374"/>
      <c r="L52" s="986"/>
      <c r="M52" s="898" t="s">
        <v>56</v>
      </c>
      <c r="N52" s="1380">
        <v>12977.65</v>
      </c>
      <c r="O52" s="898" t="s">
        <v>56</v>
      </c>
      <c r="P52" s="910" t="s">
        <v>70</v>
      </c>
      <c r="Q52" s="1381"/>
      <c r="R52" s="1381"/>
      <c r="S52" s="1381"/>
      <c r="T52" s="1381"/>
      <c r="U52" s="1381"/>
      <c r="V52" s="1382">
        <v>1029</v>
      </c>
      <c r="W52" s="1377"/>
      <c r="X52" s="1377">
        <f>SUM(V52-W52)</f>
        <v>1029</v>
      </c>
      <c r="Y52" s="521">
        <f>IFERROR($W52/$V52, 0)</f>
        <v>0</v>
      </c>
      <c r="Z52" s="1383"/>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9">
        <v>107</v>
      </c>
      <c r="I55" s="662" t="s">
        <v>54</v>
      </c>
      <c r="J55" s="957" t="s">
        <v>63</v>
      </c>
      <c r="K55" s="1374" t="s">
        <v>68</v>
      </c>
      <c r="L55" s="986"/>
      <c r="M55" s="961" t="s">
        <v>69</v>
      </c>
      <c r="N55" s="1115"/>
      <c r="O55" s="961" t="s">
        <v>69</v>
      </c>
      <c r="P55" s="951" t="s">
        <v>70</v>
      </c>
      <c r="Q55" s="1381"/>
      <c r="R55" s="1381"/>
      <c r="S55" s="1381"/>
      <c r="T55" s="1381"/>
      <c r="U55" s="1381"/>
      <c r="V55" s="1382">
        <v>9568</v>
      </c>
      <c r="W55" s="1377"/>
      <c r="X55" s="1377">
        <f>SUM(V55-W55)</f>
        <v>9568</v>
      </c>
      <c r="Y55" s="521">
        <f>IFERROR($W55/$V55, 0)</f>
        <v>0</v>
      </c>
      <c r="Z55" s="1383"/>
      <c r="AA55" s="893">
        <v>0</v>
      </c>
      <c r="AB55" s="893">
        <v>0</v>
      </c>
      <c r="AC55" s="902">
        <v>0</v>
      </c>
      <c r="AD55" s="894" t="s">
        <v>211</v>
      </c>
      <c r="AE55" s="939"/>
    </row>
    <row r="56" spans="1:31" ht="24.75" customHeight="1">
      <c r="A56" s="1305" t="s">
        <v>212</v>
      </c>
      <c r="B56" s="664" t="s">
        <v>127</v>
      </c>
      <c r="C56" s="984">
        <v>46174</v>
      </c>
      <c r="D56" s="985"/>
      <c r="E56" s="986"/>
      <c r="F56" s="985"/>
      <c r="G56" s="897"/>
      <c r="H56" s="1379">
        <v>115</v>
      </c>
      <c r="I56" s="662" t="s">
        <v>54</v>
      </c>
      <c r="J56" s="957" t="s">
        <v>63</v>
      </c>
      <c r="K56" s="1374"/>
      <c r="L56" s="986"/>
      <c r="M56" s="898" t="s">
        <v>56</v>
      </c>
      <c r="N56" s="1115">
        <v>125188</v>
      </c>
      <c r="O56" s="898" t="s">
        <v>56</v>
      </c>
      <c r="P56" s="910" t="s">
        <v>70</v>
      </c>
      <c r="Q56" s="1381"/>
      <c r="R56" s="1381"/>
      <c r="S56" s="1381"/>
      <c r="T56" s="1381"/>
      <c r="U56" s="1381"/>
      <c r="V56" s="1382">
        <v>11028</v>
      </c>
      <c r="W56" s="1377"/>
      <c r="X56" s="1377">
        <f>SUM(V56-W56)</f>
        <v>11028</v>
      </c>
      <c r="Y56" s="521">
        <f>IFERROR($W56/$V56, 0)</f>
        <v>0</v>
      </c>
      <c r="Z56" s="1381">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9">
        <v>0</v>
      </c>
      <c r="I57" s="662" t="s">
        <v>54</v>
      </c>
      <c r="J57" s="898" t="s">
        <v>55</v>
      </c>
      <c r="K57" s="1374"/>
      <c r="L57" s="986"/>
      <c r="M57" s="898" t="s">
        <v>56</v>
      </c>
      <c r="N57" s="1380">
        <v>43031.6</v>
      </c>
      <c r="O57" s="898" t="s">
        <v>56</v>
      </c>
      <c r="P57" s="910" t="s">
        <v>70</v>
      </c>
      <c r="Q57" s="1381">
        <v>46085</v>
      </c>
      <c r="R57" s="1381"/>
      <c r="S57" s="1381"/>
      <c r="T57" s="1381"/>
      <c r="U57" s="1381"/>
      <c r="V57" s="1382">
        <v>3461</v>
      </c>
      <c r="W57" s="1377"/>
      <c r="X57" s="1377">
        <f>SUM(V57-W57)</f>
        <v>3461</v>
      </c>
      <c r="Y57" s="521">
        <f>IFERROR($W57/$V57, 0)</f>
        <v>0</v>
      </c>
      <c r="Z57" s="1381"/>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4">
        <v>0</v>
      </c>
      <c r="I61" s="519" t="s">
        <v>54</v>
      </c>
      <c r="J61" s="961" t="s">
        <v>87</v>
      </c>
      <c r="K61" s="1385" t="s">
        <v>68</v>
      </c>
      <c r="L61" s="1113"/>
      <c r="M61" s="961" t="s">
        <v>69</v>
      </c>
      <c r="N61" s="1115"/>
      <c r="O61" s="961" t="s">
        <v>69</v>
      </c>
      <c r="P61" s="951" t="s">
        <v>70</v>
      </c>
      <c r="Q61" s="1381"/>
      <c r="R61" s="1381"/>
      <c r="S61" s="1381"/>
      <c r="T61" s="1381"/>
      <c r="U61" s="1381"/>
      <c r="V61" s="1386">
        <v>6202</v>
      </c>
      <c r="W61" s="1387"/>
      <c r="X61" s="1387">
        <f>SUM(V61-W61)</f>
        <v>6202</v>
      </c>
      <c r="Y61" s="687">
        <f>IFERROR($W61/$V61, 0)</f>
        <v>0</v>
      </c>
      <c r="Z61" s="1388"/>
      <c r="AA61" s="1097">
        <v>0</v>
      </c>
      <c r="AB61" s="1126">
        <v>0</v>
      </c>
      <c r="AC61" s="948">
        <v>0</v>
      </c>
      <c r="AD61" s="894" t="s">
        <v>226</v>
      </c>
      <c r="AE61" s="939"/>
    </row>
    <row r="62" spans="1:31" ht="24.75" customHeight="1">
      <c r="A62" s="1238" t="s">
        <v>227</v>
      </c>
      <c r="B62" s="1311" t="s">
        <v>214</v>
      </c>
      <c r="C62" s="984">
        <v>46172</v>
      </c>
      <c r="D62" s="985"/>
      <c r="E62" s="986"/>
      <c r="F62" s="985"/>
      <c r="G62" s="897"/>
      <c r="H62" s="1379">
        <v>402</v>
      </c>
      <c r="I62" s="519" t="s">
        <v>54</v>
      </c>
      <c r="J62" s="961" t="s">
        <v>87</v>
      </c>
      <c r="K62" s="1385" t="s">
        <v>68</v>
      </c>
      <c r="L62" s="986"/>
      <c r="M62" s="1011" t="s">
        <v>69</v>
      </c>
      <c r="N62" s="1329"/>
      <c r="O62" s="1011" t="s">
        <v>69</v>
      </c>
      <c r="P62" s="951" t="s">
        <v>70</v>
      </c>
      <c r="Q62" s="1381"/>
      <c r="R62" s="1381"/>
      <c r="S62" s="1381"/>
      <c r="T62" s="1381"/>
      <c r="U62" s="1381"/>
      <c r="V62" s="1382">
        <v>30807</v>
      </c>
      <c r="W62" s="1377"/>
      <c r="X62" s="1377">
        <f>SUM(V62-W62)</f>
        <v>30807</v>
      </c>
      <c r="Y62" s="521">
        <f>IFERROR($W62/$V62, 0)</f>
        <v>0</v>
      </c>
      <c r="Z62" s="1381"/>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4">
        <v>0</v>
      </c>
      <c r="I63" s="519" t="s">
        <v>54</v>
      </c>
      <c r="J63" s="961" t="s">
        <v>55</v>
      </c>
      <c r="K63" s="1385"/>
      <c r="L63" s="986"/>
      <c r="M63" s="961" t="s">
        <v>56</v>
      </c>
      <c r="N63" s="1115">
        <v>12316.35</v>
      </c>
      <c r="O63" s="961" t="s">
        <v>56</v>
      </c>
      <c r="P63" s="951" t="s">
        <v>65</v>
      </c>
      <c r="Q63" s="1381">
        <v>46086</v>
      </c>
      <c r="R63" s="1381"/>
      <c r="S63" s="1381"/>
      <c r="T63" s="1381"/>
      <c r="U63" s="1381"/>
      <c r="V63" s="1382">
        <v>47</v>
      </c>
      <c r="W63" s="1377"/>
      <c r="X63" s="1377">
        <f>SUM(V63-W63)</f>
        <v>47</v>
      </c>
      <c r="Y63" s="521">
        <f>IFERROR($W63/$V63, 0)</f>
        <v>0</v>
      </c>
      <c r="Z63" s="1388"/>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4">
        <v>0</v>
      </c>
      <c r="I64" s="519" t="s">
        <v>54</v>
      </c>
      <c r="J64" s="961" t="s">
        <v>55</v>
      </c>
      <c r="K64" s="1385"/>
      <c r="L64" s="986"/>
      <c r="M64" s="961" t="s">
        <v>56</v>
      </c>
      <c r="N64" s="1115">
        <v>151170.79999999999</v>
      </c>
      <c r="O64" s="961" t="s">
        <v>56</v>
      </c>
      <c r="P64" s="951" t="s">
        <v>65</v>
      </c>
      <c r="Q64" s="1381">
        <v>46086</v>
      </c>
      <c r="R64" s="1381"/>
      <c r="S64" s="1381"/>
      <c r="T64" s="1381"/>
      <c r="U64" s="1381"/>
      <c r="V64" s="1382">
        <v>11789</v>
      </c>
      <c r="W64" s="1377"/>
      <c r="X64" s="1377">
        <f>SUM(V64-W64)</f>
        <v>11789</v>
      </c>
      <c r="Y64" s="521">
        <f>IFERROR($W64/$V64, 0)</f>
        <v>0</v>
      </c>
      <c r="Z64" s="1388"/>
      <c r="AA64" s="1097">
        <v>0</v>
      </c>
      <c r="AB64" s="1126">
        <v>0</v>
      </c>
      <c r="AC64" s="948">
        <v>0</v>
      </c>
      <c r="AD64" s="894" t="s">
        <v>231</v>
      </c>
      <c r="AE64" s="939"/>
    </row>
    <row r="65" spans="1:31" ht="24.75" customHeight="1">
      <c r="A65" s="1313" t="s">
        <v>234</v>
      </c>
      <c r="B65" s="1312" t="s">
        <v>229</v>
      </c>
      <c r="C65" s="984">
        <v>46111</v>
      </c>
      <c r="D65" s="985"/>
      <c r="E65" s="986"/>
      <c r="F65" s="985"/>
      <c r="G65" s="897" t="s">
        <v>235</v>
      </c>
      <c r="H65" s="1384">
        <v>0</v>
      </c>
      <c r="I65" s="519" t="s">
        <v>54</v>
      </c>
      <c r="J65" s="961" t="s">
        <v>55</v>
      </c>
      <c r="K65" s="1385"/>
      <c r="L65" s="986"/>
      <c r="M65" s="961" t="s">
        <v>56</v>
      </c>
      <c r="N65" s="1115">
        <v>24122.75</v>
      </c>
      <c r="O65" s="961" t="s">
        <v>56</v>
      </c>
      <c r="P65" s="951" t="s">
        <v>70</v>
      </c>
      <c r="Q65" s="1381"/>
      <c r="R65" s="1381"/>
      <c r="S65" s="1381"/>
      <c r="T65" s="1381"/>
      <c r="U65" s="1381"/>
      <c r="V65" s="1382">
        <v>1925</v>
      </c>
      <c r="W65" s="1377"/>
      <c r="X65" s="1377">
        <f>SUM(V65-W65)</f>
        <v>1925</v>
      </c>
      <c r="Y65" s="521">
        <f>IFERROR($W65/$V65, 0)</f>
        <v>0</v>
      </c>
      <c r="Z65" s="1388"/>
      <c r="AA65" s="1097">
        <v>0</v>
      </c>
      <c r="AB65" s="1126">
        <v>0</v>
      </c>
      <c r="AC65" s="948">
        <v>0</v>
      </c>
      <c r="AD65" s="894" t="s">
        <v>231</v>
      </c>
      <c r="AE65" s="939"/>
    </row>
    <row r="66" spans="1:31" ht="24.75" customHeight="1">
      <c r="A66" s="983" t="s">
        <v>236</v>
      </c>
      <c r="B66" s="1312" t="s">
        <v>229</v>
      </c>
      <c r="C66" s="984">
        <v>46111</v>
      </c>
      <c r="D66" s="985"/>
      <c r="E66" s="986"/>
      <c r="F66" s="985"/>
      <c r="G66" s="897" t="s">
        <v>237</v>
      </c>
      <c r="H66" s="1384">
        <v>0</v>
      </c>
      <c r="I66" s="519" t="s">
        <v>54</v>
      </c>
      <c r="J66" s="961" t="s">
        <v>55</v>
      </c>
      <c r="K66" s="1385"/>
      <c r="L66" s="986"/>
      <c r="M66" s="961" t="s">
        <v>56</v>
      </c>
      <c r="N66" s="1115">
        <v>26639.1</v>
      </c>
      <c r="O66" s="961" t="s">
        <v>56</v>
      </c>
      <c r="P66" s="951" t="s">
        <v>70</v>
      </c>
      <c r="Q66" s="1381"/>
      <c r="R66" s="1381"/>
      <c r="S66" s="1381"/>
      <c r="T66" s="1381"/>
      <c r="U66" s="1381"/>
      <c r="V66" s="1382">
        <v>2136</v>
      </c>
      <c r="W66" s="1377"/>
      <c r="X66" s="1377">
        <f>SUM(V66-W66)</f>
        <v>2136</v>
      </c>
      <c r="Y66" s="521">
        <f>IFERROR($W66/$V66, 0)</f>
        <v>0</v>
      </c>
      <c r="Z66" s="1388"/>
      <c r="AA66" s="1097">
        <v>0</v>
      </c>
      <c r="AB66" s="1126">
        <v>0</v>
      </c>
      <c r="AC66" s="948">
        <v>0</v>
      </c>
      <c r="AD66" s="894" t="s">
        <v>231</v>
      </c>
      <c r="AE66" s="939"/>
    </row>
    <row r="67" spans="1:31" ht="24.75" customHeight="1">
      <c r="A67" s="983" t="s">
        <v>238</v>
      </c>
      <c r="B67" s="1312" t="s">
        <v>229</v>
      </c>
      <c r="C67" s="984">
        <v>46111</v>
      </c>
      <c r="D67" s="985"/>
      <c r="E67" s="986"/>
      <c r="F67" s="985"/>
      <c r="G67" s="897" t="s">
        <v>239</v>
      </c>
      <c r="H67" s="1384">
        <v>0</v>
      </c>
      <c r="I67" s="519" t="s">
        <v>54</v>
      </c>
      <c r="J67" s="961" t="s">
        <v>55</v>
      </c>
      <c r="K67" s="1385"/>
      <c r="L67" s="986"/>
      <c r="M67" s="961" t="s">
        <v>56</v>
      </c>
      <c r="N67" s="1115">
        <v>1698.25</v>
      </c>
      <c r="O67" s="961" t="s">
        <v>56</v>
      </c>
      <c r="P67" s="951" t="s">
        <v>70</v>
      </c>
      <c r="Q67" s="1381"/>
      <c r="R67" s="1381"/>
      <c r="S67" s="1381"/>
      <c r="T67" s="1381"/>
      <c r="U67" s="1381"/>
      <c r="V67" s="1382">
        <v>105</v>
      </c>
      <c r="W67" s="1377"/>
      <c r="X67" s="1377">
        <f>SUM(V67-W67)</f>
        <v>105</v>
      </c>
      <c r="Y67" s="521">
        <f>IFERROR($W67/$V67, 0)</f>
        <v>0</v>
      </c>
      <c r="Z67" s="1388"/>
      <c r="AA67" s="1097">
        <v>0</v>
      </c>
      <c r="AB67" s="1126">
        <v>0</v>
      </c>
      <c r="AC67" s="948">
        <v>0</v>
      </c>
      <c r="AD67" s="894" t="s">
        <v>231</v>
      </c>
      <c r="AE67" s="939"/>
    </row>
    <row r="68" spans="1:31" ht="24.75" customHeight="1">
      <c r="A68" s="1238" t="s">
        <v>240</v>
      </c>
      <c r="B68" s="1312" t="s">
        <v>229</v>
      </c>
      <c r="C68" s="984">
        <v>46111</v>
      </c>
      <c r="D68" s="985"/>
      <c r="E68" s="986"/>
      <c r="F68" s="985"/>
      <c r="G68" s="897" t="s">
        <v>241</v>
      </c>
      <c r="H68" s="1384">
        <v>0</v>
      </c>
      <c r="I68" s="519" t="s">
        <v>54</v>
      </c>
      <c r="J68" s="961" t="s">
        <v>87</v>
      </c>
      <c r="K68" s="1385" t="s">
        <v>68</v>
      </c>
      <c r="L68" s="986"/>
      <c r="M68" s="961" t="s">
        <v>69</v>
      </c>
      <c r="N68" s="1115">
        <v>5779.1</v>
      </c>
      <c r="O68" s="961" t="s">
        <v>56</v>
      </c>
      <c r="P68" s="951" t="s">
        <v>70</v>
      </c>
      <c r="Q68" s="1381"/>
      <c r="R68" s="1381"/>
      <c r="S68" s="1381"/>
      <c r="T68" s="1381"/>
      <c r="U68" s="1381"/>
      <c r="V68" s="1382">
        <v>406</v>
      </c>
      <c r="W68" s="1377"/>
      <c r="X68" s="1377">
        <f>SUM(V68-W68)</f>
        <v>406</v>
      </c>
      <c r="Y68" s="521">
        <f>IFERROR($W68/$V68, 0)</f>
        <v>0</v>
      </c>
      <c r="Z68" s="1388"/>
      <c r="AA68" s="1097">
        <v>0</v>
      </c>
      <c r="AB68" s="1126">
        <v>0</v>
      </c>
      <c r="AC68" s="948">
        <v>0</v>
      </c>
      <c r="AD68" s="894" t="s">
        <v>242</v>
      </c>
      <c r="AE68" s="939"/>
    </row>
    <row r="69" spans="1:31" ht="24.75" customHeight="1">
      <c r="A69" s="983" t="s">
        <v>243</v>
      </c>
      <c r="B69" s="1312" t="s">
        <v>229</v>
      </c>
      <c r="C69" s="984">
        <v>46111</v>
      </c>
      <c r="D69" s="985"/>
      <c r="E69" s="986"/>
      <c r="F69" s="985"/>
      <c r="G69" s="897" t="s">
        <v>244</v>
      </c>
      <c r="H69" s="1384">
        <v>0</v>
      </c>
      <c r="I69" s="519" t="s">
        <v>54</v>
      </c>
      <c r="J69" s="961" t="s">
        <v>55</v>
      </c>
      <c r="K69" s="1385"/>
      <c r="L69" s="986"/>
      <c r="M69" s="961" t="s">
        <v>56</v>
      </c>
      <c r="N69" s="1115">
        <v>6808.8</v>
      </c>
      <c r="O69" s="961" t="s">
        <v>56</v>
      </c>
      <c r="P69" s="951" t="s">
        <v>70</v>
      </c>
      <c r="Q69" s="1381"/>
      <c r="R69" s="1381"/>
      <c r="S69" s="1381"/>
      <c r="T69" s="1381"/>
      <c r="U69" s="1381"/>
      <c r="V69" s="1382">
        <v>508</v>
      </c>
      <c r="W69" s="1377"/>
      <c r="X69" s="1377">
        <f>SUM(V69-W69)</f>
        <v>508</v>
      </c>
      <c r="Y69" s="521">
        <f>IFERROR($W69/$V69, 0)</f>
        <v>0</v>
      </c>
      <c r="Z69" s="1388"/>
      <c r="AA69" s="1097">
        <v>0</v>
      </c>
      <c r="AB69" s="1126">
        <v>0</v>
      </c>
      <c r="AC69" s="948">
        <v>0</v>
      </c>
      <c r="AD69" s="894" t="s">
        <v>245</v>
      </c>
      <c r="AE69" s="939"/>
    </row>
    <row r="70" spans="1:31" ht="24.75" customHeight="1">
      <c r="A70" s="983" t="s">
        <v>246</v>
      </c>
      <c r="B70" s="1312" t="s">
        <v>229</v>
      </c>
      <c r="C70" s="984">
        <v>46111</v>
      </c>
      <c r="D70" s="985"/>
      <c r="E70" s="986"/>
      <c r="F70" s="985"/>
      <c r="G70" s="897" t="s">
        <v>247</v>
      </c>
      <c r="H70" s="1384">
        <v>0</v>
      </c>
      <c r="I70" s="519" t="s">
        <v>54</v>
      </c>
      <c r="J70" s="961" t="s">
        <v>87</v>
      </c>
      <c r="K70" s="1385"/>
      <c r="L70" s="986"/>
      <c r="M70" s="961" t="s">
        <v>56</v>
      </c>
      <c r="N70" s="1115">
        <v>9496.2000000000007</v>
      </c>
      <c r="O70" s="961" t="s">
        <v>56</v>
      </c>
      <c r="P70" s="951" t="s">
        <v>70</v>
      </c>
      <c r="Q70" s="1381"/>
      <c r="R70" s="1381"/>
      <c r="S70" s="1381"/>
      <c r="T70" s="1381"/>
      <c r="U70" s="1381"/>
      <c r="V70" s="1382">
        <v>742</v>
      </c>
      <c r="W70" s="1377"/>
      <c r="X70" s="1377">
        <f>SUM(V70-W70)</f>
        <v>742</v>
      </c>
      <c r="Y70" s="521">
        <f>IFERROR($W70/$V70, 0)</f>
        <v>0</v>
      </c>
      <c r="Z70" s="1388"/>
      <c r="AA70" s="1097">
        <v>0</v>
      </c>
      <c r="AB70" s="1126">
        <v>0</v>
      </c>
      <c r="AC70" s="948">
        <v>0</v>
      </c>
      <c r="AD70" s="894" t="s">
        <v>231</v>
      </c>
      <c r="AE70" s="939"/>
    </row>
    <row r="71" spans="1:31" ht="24.75" customHeight="1">
      <c r="A71" s="1238" t="s">
        <v>248</v>
      </c>
      <c r="B71" s="1312" t="s">
        <v>229</v>
      </c>
      <c r="C71" s="984">
        <v>46111</v>
      </c>
      <c r="D71" s="985"/>
      <c r="E71" s="986"/>
      <c r="F71" s="985"/>
      <c r="G71" s="897" t="s">
        <v>249</v>
      </c>
      <c r="H71" s="1384">
        <v>0</v>
      </c>
      <c r="I71" s="519" t="s">
        <v>54</v>
      </c>
      <c r="J71" s="961" t="s">
        <v>87</v>
      </c>
      <c r="K71" s="1385" t="s">
        <v>68</v>
      </c>
      <c r="L71" s="986"/>
      <c r="M71" s="961" t="s">
        <v>69</v>
      </c>
      <c r="N71" s="1115">
        <v>16760.150000000001</v>
      </c>
      <c r="O71" s="961" t="s">
        <v>56</v>
      </c>
      <c r="P71" s="951" t="s">
        <v>70</v>
      </c>
      <c r="Q71" s="1381"/>
      <c r="R71" s="1381"/>
      <c r="S71" s="1381"/>
      <c r="T71" s="1381"/>
      <c r="U71" s="1381"/>
      <c r="V71" s="1382">
        <v>1329</v>
      </c>
      <c r="W71" s="1377"/>
      <c r="X71" s="1377">
        <f>SUM(V71-W71)</f>
        <v>1329</v>
      </c>
      <c r="Y71" s="521">
        <f>IFERROR($W71/$V71, 0)</f>
        <v>0</v>
      </c>
      <c r="Z71" s="1388"/>
      <c r="AA71" s="1097">
        <v>0</v>
      </c>
      <c r="AB71" s="1126">
        <v>0</v>
      </c>
      <c r="AC71" s="948">
        <v>0</v>
      </c>
      <c r="AD71" s="894" t="s">
        <v>242</v>
      </c>
      <c r="AE71" s="939"/>
    </row>
    <row r="72" spans="1:31" ht="24.75" customHeight="1">
      <c r="A72" s="1238" t="s">
        <v>250</v>
      </c>
      <c r="B72" s="1312" t="s">
        <v>229</v>
      </c>
      <c r="C72" s="984">
        <v>46111</v>
      </c>
      <c r="D72" s="985"/>
      <c r="E72" s="986"/>
      <c r="F72" s="985"/>
      <c r="G72" s="897" t="s">
        <v>244</v>
      </c>
      <c r="H72" s="1384">
        <v>0</v>
      </c>
      <c r="I72" s="519" t="s">
        <v>54</v>
      </c>
      <c r="J72" s="961" t="s">
        <v>87</v>
      </c>
      <c r="K72" s="1385" t="s">
        <v>68</v>
      </c>
      <c r="L72" s="986"/>
      <c r="M72" s="961" t="s">
        <v>69</v>
      </c>
      <c r="N72" s="1115">
        <v>14178.2</v>
      </c>
      <c r="O72" s="961" t="s">
        <v>56</v>
      </c>
      <c r="P72" s="951" t="s">
        <v>70</v>
      </c>
      <c r="Q72" s="1381"/>
      <c r="R72" s="1381"/>
      <c r="S72" s="1381"/>
      <c r="T72" s="1381"/>
      <c r="U72" s="1381"/>
      <c r="V72" s="1382">
        <v>1124</v>
      </c>
      <c r="W72" s="1377"/>
      <c r="X72" s="1377">
        <f>SUM(V72-W72)</f>
        <v>1124</v>
      </c>
      <c r="Y72" s="521">
        <f>IFERROR($W72/$V72, 0)</f>
        <v>0</v>
      </c>
      <c r="Z72" s="1388"/>
      <c r="AA72" s="1097">
        <v>0</v>
      </c>
      <c r="AB72" s="1126">
        <v>0</v>
      </c>
      <c r="AC72" s="948">
        <v>0</v>
      </c>
      <c r="AD72" s="894" t="s">
        <v>242</v>
      </c>
      <c r="AE72" s="939"/>
    </row>
    <row r="73" spans="1:31" ht="24.75" customHeight="1">
      <c r="A73" s="983" t="s">
        <v>251</v>
      </c>
      <c r="B73" s="1312" t="s">
        <v>229</v>
      </c>
      <c r="C73" s="984">
        <v>46111</v>
      </c>
      <c r="D73" s="985"/>
      <c r="E73" s="986"/>
      <c r="F73" s="985"/>
      <c r="G73" s="897"/>
      <c r="H73" s="1384">
        <v>0</v>
      </c>
      <c r="I73" s="519" t="s">
        <v>54</v>
      </c>
      <c r="J73" s="961" t="s">
        <v>87</v>
      </c>
      <c r="K73" s="1385" t="s">
        <v>68</v>
      </c>
      <c r="L73" s="986"/>
      <c r="M73" s="961" t="s">
        <v>69</v>
      </c>
      <c r="N73" s="1115"/>
      <c r="O73" s="961" t="s">
        <v>69</v>
      </c>
      <c r="P73" s="951" t="s">
        <v>70</v>
      </c>
      <c r="Q73" s="1381"/>
      <c r="R73" s="1381"/>
      <c r="S73" s="1381"/>
      <c r="T73" s="1381"/>
      <c r="U73" s="1381"/>
      <c r="V73" s="1386"/>
      <c r="W73" s="1387"/>
      <c r="X73" s="1387">
        <f>SUM(V73-W73)</f>
        <v>0</v>
      </c>
      <c r="Y73" s="687">
        <f>IFERROR($W73/$V73, 0)</f>
        <v>0</v>
      </c>
      <c r="Z73" s="1388"/>
      <c r="AA73" s="1097">
        <v>0</v>
      </c>
      <c r="AB73" s="1126">
        <v>0</v>
      </c>
      <c r="AC73" s="948">
        <v>0</v>
      </c>
      <c r="AD73" s="894" t="s">
        <v>252</v>
      </c>
      <c r="AE73" s="939"/>
    </row>
    <row r="74" spans="1:31" ht="24.75" customHeight="1">
      <c r="A74" s="983" t="s">
        <v>253</v>
      </c>
      <c r="B74" s="1312" t="s">
        <v>229</v>
      </c>
      <c r="C74" s="984">
        <v>46111</v>
      </c>
      <c r="D74" s="985"/>
      <c r="E74" s="986"/>
      <c r="F74" s="985"/>
      <c r="G74" s="897"/>
      <c r="H74" s="1384">
        <v>0</v>
      </c>
      <c r="I74" s="519" t="s">
        <v>54</v>
      </c>
      <c r="J74" s="961" t="s">
        <v>87</v>
      </c>
      <c r="K74" s="1385" t="s">
        <v>68</v>
      </c>
      <c r="L74" s="986"/>
      <c r="M74" s="961" t="s">
        <v>69</v>
      </c>
      <c r="N74" s="1115"/>
      <c r="O74" s="961" t="s">
        <v>69</v>
      </c>
      <c r="P74" s="951" t="s">
        <v>70</v>
      </c>
      <c r="Q74" s="1381"/>
      <c r="R74" s="1381"/>
      <c r="S74" s="1381"/>
      <c r="T74" s="1381"/>
      <c r="U74" s="1381"/>
      <c r="V74" s="1386"/>
      <c r="W74" s="1387"/>
      <c r="X74" s="1387">
        <f>SUM(V74-W74)</f>
        <v>0</v>
      </c>
      <c r="Y74" s="516">
        <f>IFERROR($W74/$V74, 0)</f>
        <v>0</v>
      </c>
      <c r="Z74" s="1389"/>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7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90"/>
      <c r="R82" s="1001"/>
      <c r="S82" s="1001"/>
      <c r="T82" s="1001"/>
      <c r="U82" s="1001"/>
      <c r="V82" s="970">
        <v>4564</v>
      </c>
      <c r="W82" s="933"/>
      <c r="X82" s="970">
        <v>4564</v>
      </c>
      <c r="Y82" s="864"/>
      <c r="Z82" s="1391"/>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90"/>
      <c r="R83" s="1001"/>
      <c r="S83" s="1001"/>
      <c r="T83" s="1001"/>
      <c r="U83" s="1001"/>
      <c r="V83" s="970">
        <v>5936</v>
      </c>
      <c r="W83" s="933"/>
      <c r="X83" s="970">
        <v>5936</v>
      </c>
      <c r="Y83" s="864"/>
      <c r="Z83" s="1391"/>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90"/>
      <c r="R84" s="1001"/>
      <c r="S84" s="1001"/>
      <c r="T84" s="1001"/>
      <c r="U84" s="1001"/>
      <c r="V84" s="970">
        <v>7117</v>
      </c>
      <c r="W84" s="933"/>
      <c r="X84" s="970">
        <v>7117</v>
      </c>
      <c r="Y84" s="864"/>
      <c r="Z84" s="1391"/>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90"/>
      <c r="R85" s="1001"/>
      <c r="S85" s="1001"/>
      <c r="T85" s="1001"/>
      <c r="U85" s="1001"/>
      <c r="V85" s="970">
        <v>9590</v>
      </c>
      <c r="W85" s="933"/>
      <c r="X85" s="970">
        <v>9590</v>
      </c>
      <c r="Y85" s="864"/>
      <c r="Z85" s="1391"/>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90"/>
      <c r="R86" s="1001"/>
      <c r="S86" s="1001"/>
      <c r="T86" s="1001"/>
      <c r="U86" s="1001"/>
      <c r="V86" s="970">
        <v>9329</v>
      </c>
      <c r="W86" s="933"/>
      <c r="X86" s="970">
        <v>9329</v>
      </c>
      <c r="Y86" s="864"/>
      <c r="Z86" s="1391"/>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90"/>
      <c r="R87" s="1001"/>
      <c r="S87" s="1001"/>
      <c r="T87" s="1001"/>
      <c r="U87" s="1001"/>
      <c r="V87" s="970">
        <v>9709</v>
      </c>
      <c r="W87" s="933"/>
      <c r="X87" s="970">
        <v>9709</v>
      </c>
      <c r="Y87" s="864"/>
      <c r="Z87" s="1391"/>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90"/>
      <c r="R88" s="1001"/>
      <c r="S88" s="1001"/>
      <c r="T88" s="1001"/>
      <c r="U88" s="1001"/>
      <c r="V88" s="970">
        <v>9263</v>
      </c>
      <c r="W88" s="933"/>
      <c r="X88" s="970">
        <v>9263</v>
      </c>
      <c r="Y88" s="864"/>
      <c r="Z88" s="1391"/>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90"/>
      <c r="R89" s="1001"/>
      <c r="S89" s="1001"/>
      <c r="T89" s="1001"/>
      <c r="U89" s="1001"/>
      <c r="V89" s="970">
        <v>10385</v>
      </c>
      <c r="W89" s="933"/>
      <c r="X89" s="970">
        <v>10385</v>
      </c>
      <c r="Y89" s="864"/>
      <c r="Z89" s="1391"/>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90"/>
      <c r="R90" s="1001"/>
      <c r="S90" s="1001"/>
      <c r="T90" s="1001"/>
      <c r="U90" s="1001"/>
      <c r="V90" s="970">
        <v>9398</v>
      </c>
      <c r="W90" s="933"/>
      <c r="X90" s="970">
        <v>9398</v>
      </c>
      <c r="Y90" s="864"/>
      <c r="Z90" s="1391"/>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90"/>
      <c r="R91" s="1001"/>
      <c r="S91" s="1001"/>
      <c r="T91" s="1001"/>
      <c r="U91" s="1001"/>
      <c r="V91" s="970">
        <v>7517</v>
      </c>
      <c r="W91" s="933"/>
      <c r="X91" s="970">
        <v>7517</v>
      </c>
      <c r="Y91" s="864"/>
      <c r="Z91" s="1391"/>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90"/>
      <c r="R92" s="1001"/>
      <c r="S92" s="1001"/>
      <c r="T92" s="1001"/>
      <c r="U92" s="1001"/>
      <c r="V92" s="970">
        <v>5920</v>
      </c>
      <c r="W92" s="933"/>
      <c r="X92" s="970">
        <v>5920</v>
      </c>
      <c r="Y92" s="864"/>
      <c r="Z92" s="1391"/>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90"/>
      <c r="R93" s="1001"/>
      <c r="S93" s="1001"/>
      <c r="T93" s="1001"/>
      <c r="U93" s="1001"/>
      <c r="V93" s="970">
        <v>5589</v>
      </c>
      <c r="W93" s="933"/>
      <c r="X93" s="970">
        <v>5589</v>
      </c>
      <c r="Y93" s="864"/>
      <c r="Z93" s="1391"/>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90"/>
      <c r="R94" s="1001"/>
      <c r="S94" s="1001"/>
      <c r="T94" s="1001"/>
      <c r="U94" s="1001"/>
      <c r="V94" s="970">
        <v>5515</v>
      </c>
      <c r="W94" s="933"/>
      <c r="X94" s="970">
        <v>5515</v>
      </c>
      <c r="Y94" s="864"/>
      <c r="Z94" s="1391"/>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90"/>
      <c r="R95" s="1001"/>
      <c r="S95" s="1001"/>
      <c r="T95" s="1001"/>
      <c r="U95" s="1001"/>
      <c r="V95" s="970">
        <v>5191</v>
      </c>
      <c r="W95" s="933"/>
      <c r="X95" s="970">
        <v>5191</v>
      </c>
      <c r="Y95" s="864"/>
      <c r="Z95" s="1391"/>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90"/>
      <c r="R96" s="1001"/>
      <c r="S96" s="1001"/>
      <c r="T96" s="1001"/>
      <c r="U96" s="1001"/>
      <c r="V96" s="970">
        <v>5620</v>
      </c>
      <c r="W96" s="933"/>
      <c r="X96" s="970">
        <v>5620</v>
      </c>
      <c r="Y96" s="864"/>
      <c r="Z96" s="1391"/>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90"/>
      <c r="R97" s="1001"/>
      <c r="S97" s="1001"/>
      <c r="T97" s="1001"/>
      <c r="U97" s="1001"/>
      <c r="V97" s="970">
        <v>6864</v>
      </c>
      <c r="W97" s="933"/>
      <c r="X97" s="970">
        <v>6864</v>
      </c>
      <c r="Y97" s="864"/>
      <c r="Z97" s="1391"/>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90"/>
      <c r="R98" s="1001"/>
      <c r="S98" s="1001"/>
      <c r="T98" s="1001"/>
      <c r="U98" s="1001"/>
      <c r="V98" s="970">
        <v>6461</v>
      </c>
      <c r="W98" s="933"/>
      <c r="X98" s="970">
        <v>6461</v>
      </c>
      <c r="Y98" s="864"/>
      <c r="Z98" s="1391"/>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90"/>
      <c r="R99" s="1001"/>
      <c r="S99" s="1001"/>
      <c r="T99" s="1001"/>
      <c r="U99" s="1001"/>
      <c r="V99" s="970">
        <v>2790</v>
      </c>
      <c r="W99" s="933"/>
      <c r="X99" s="970">
        <v>2790</v>
      </c>
      <c r="Y99" s="864"/>
      <c r="Z99" s="1391"/>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90"/>
      <c r="R100" s="1001"/>
      <c r="S100" s="1001"/>
      <c r="T100" s="1001"/>
      <c r="U100" s="1001"/>
      <c r="V100" s="970">
        <v>7368</v>
      </c>
      <c r="W100" s="933"/>
      <c r="X100" s="970">
        <v>7368</v>
      </c>
      <c r="Y100" s="864"/>
      <c r="Z100" s="1391"/>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90"/>
      <c r="R101" s="1001"/>
      <c r="S101" s="1001"/>
      <c r="T101" s="1001"/>
      <c r="U101" s="1001"/>
      <c r="V101" s="970">
        <v>7844</v>
      </c>
      <c r="W101" s="933"/>
      <c r="X101" s="970">
        <v>7844</v>
      </c>
      <c r="Y101" s="864"/>
      <c r="Z101" s="1391"/>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90"/>
      <c r="R102" s="1001"/>
      <c r="S102" s="1001"/>
      <c r="T102" s="1001"/>
      <c r="U102" s="1001"/>
      <c r="V102" s="970">
        <v>8148</v>
      </c>
      <c r="W102" s="933"/>
      <c r="X102" s="970">
        <v>8148</v>
      </c>
      <c r="Y102" s="864"/>
      <c r="Z102" s="1391"/>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90"/>
      <c r="R103" s="1001"/>
      <c r="S103" s="1001"/>
      <c r="T103" s="1001"/>
      <c r="U103" s="1001"/>
      <c r="V103" s="970">
        <v>6829</v>
      </c>
      <c r="W103" s="933"/>
      <c r="X103" s="970">
        <v>6829</v>
      </c>
      <c r="Y103" s="864"/>
      <c r="Z103" s="1391"/>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90"/>
      <c r="R104" s="1001"/>
      <c r="S104" s="1001"/>
      <c r="T104" s="1001"/>
      <c r="U104" s="1001"/>
      <c r="V104" s="970">
        <v>6157</v>
      </c>
      <c r="W104" s="933"/>
      <c r="X104" s="970">
        <v>6157</v>
      </c>
      <c r="Y104" s="864"/>
      <c r="Z104" s="1391"/>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90"/>
      <c r="R105" s="1001"/>
      <c r="S105" s="1001"/>
      <c r="T105" s="1001"/>
      <c r="U105" s="1001"/>
      <c r="V105" s="970">
        <v>9537</v>
      </c>
      <c r="W105" s="933"/>
      <c r="X105" s="970">
        <v>9537</v>
      </c>
      <c r="Y105" s="864"/>
      <c r="Z105" s="1391"/>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90"/>
      <c r="R106" s="1001"/>
      <c r="S106" s="1001"/>
      <c r="T106" s="1001"/>
      <c r="U106" s="1001"/>
      <c r="V106" s="970">
        <v>6796</v>
      </c>
      <c r="W106" s="933"/>
      <c r="X106" s="970">
        <v>6796</v>
      </c>
      <c r="Y106" s="864"/>
      <c r="Z106" s="1391"/>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90"/>
      <c r="R107" s="1001"/>
      <c r="S107" s="1001"/>
      <c r="T107" s="1001"/>
      <c r="U107" s="1001"/>
      <c r="V107" s="970">
        <v>6149</v>
      </c>
      <c r="W107" s="933"/>
      <c r="X107" s="970">
        <v>6149</v>
      </c>
      <c r="Y107" s="864"/>
      <c r="Z107" s="1391"/>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90"/>
      <c r="R108" s="1001"/>
      <c r="S108" s="1001"/>
      <c r="T108" s="1001"/>
      <c r="U108" s="1001"/>
      <c r="V108" s="970">
        <v>6284</v>
      </c>
      <c r="W108" s="933"/>
      <c r="X108" s="970">
        <v>6284</v>
      </c>
      <c r="Y108" s="864"/>
      <c r="Z108" s="1391"/>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90"/>
      <c r="R109" s="1001"/>
      <c r="S109" s="1001"/>
      <c r="T109" s="1001"/>
      <c r="U109" s="1001"/>
      <c r="V109" s="970">
        <v>7743</v>
      </c>
      <c r="W109" s="933"/>
      <c r="X109" s="970">
        <v>7743</v>
      </c>
      <c r="Y109" s="864"/>
      <c r="Z109" s="1391"/>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90"/>
      <c r="R110" s="1001"/>
      <c r="S110" s="1001"/>
      <c r="T110" s="1001"/>
      <c r="U110" s="1001"/>
      <c r="V110" s="970">
        <v>6932</v>
      </c>
      <c r="W110" s="933"/>
      <c r="X110" s="970">
        <v>6932</v>
      </c>
      <c r="Y110" s="864"/>
      <c r="Z110" s="1391"/>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90"/>
      <c r="R111" s="1001"/>
      <c r="S111" s="1001"/>
      <c r="T111" s="1001"/>
      <c r="U111" s="1001"/>
      <c r="V111" s="970">
        <v>6213</v>
      </c>
      <c r="W111" s="933"/>
      <c r="X111" s="970">
        <v>6213</v>
      </c>
      <c r="Y111" s="864"/>
      <c r="Z111" s="1391"/>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90"/>
      <c r="R112" s="1001"/>
      <c r="S112" s="1001"/>
      <c r="T112" s="1001"/>
      <c r="U112" s="1001"/>
      <c r="V112" s="970">
        <v>4339</v>
      </c>
      <c r="W112" s="933"/>
      <c r="X112" s="970">
        <v>4339</v>
      </c>
      <c r="Y112" s="864"/>
      <c r="Z112" s="1391"/>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90"/>
      <c r="R113" s="1001"/>
      <c r="S113" s="1001"/>
      <c r="T113" s="1001"/>
      <c r="U113" s="1001"/>
      <c r="V113" s="970">
        <v>3940</v>
      </c>
      <c r="W113" s="933"/>
      <c r="X113" s="970">
        <v>3940</v>
      </c>
      <c r="Y113" s="864"/>
      <c r="Z113" s="1391"/>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90"/>
      <c r="R114" s="1001"/>
      <c r="S114" s="1001"/>
      <c r="T114" s="1001"/>
      <c r="U114" s="1001"/>
      <c r="V114" s="970">
        <v>6855</v>
      </c>
      <c r="W114" s="933"/>
      <c r="X114" s="970">
        <v>6855</v>
      </c>
      <c r="Y114" s="864"/>
      <c r="Z114" s="1391"/>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90"/>
      <c r="R115" s="1001"/>
      <c r="S115" s="1001"/>
      <c r="T115" s="1001"/>
      <c r="U115" s="1001"/>
      <c r="V115" s="970">
        <v>7147</v>
      </c>
      <c r="W115" s="933"/>
      <c r="X115" s="970">
        <v>7147</v>
      </c>
      <c r="Y115" s="864"/>
      <c r="Z115" s="1391"/>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90"/>
      <c r="R116" s="1001"/>
      <c r="S116" s="1001"/>
      <c r="T116" s="1001"/>
      <c r="U116" s="1001"/>
      <c r="V116" s="970">
        <v>6376</v>
      </c>
      <c r="W116" s="933"/>
      <c r="X116" s="970">
        <v>6376</v>
      </c>
      <c r="Y116" s="864"/>
      <c r="Z116" s="1391"/>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90"/>
      <c r="R117" s="1001"/>
      <c r="S117" s="1001"/>
      <c r="T117" s="1001"/>
      <c r="U117" s="1001"/>
      <c r="V117" s="970">
        <v>4784</v>
      </c>
      <c r="W117" s="933"/>
      <c r="X117" s="970">
        <v>4784</v>
      </c>
      <c r="Y117" s="864"/>
      <c r="Z117" s="1391"/>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90"/>
      <c r="R118" s="1001"/>
      <c r="S118" s="1001"/>
      <c r="T118" s="1001"/>
      <c r="U118" s="1001"/>
      <c r="V118" s="970">
        <v>6387</v>
      </c>
      <c r="W118" s="933"/>
      <c r="X118" s="970">
        <v>6387</v>
      </c>
      <c r="Y118" s="864"/>
      <c r="Z118" s="1391"/>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90"/>
      <c r="R119" s="1001"/>
      <c r="S119" s="1001"/>
      <c r="T119" s="1001"/>
      <c r="U119" s="1001"/>
      <c r="V119" s="970">
        <v>6372</v>
      </c>
      <c r="W119" s="933"/>
      <c r="X119" s="970">
        <v>6372</v>
      </c>
      <c r="Y119" s="864"/>
      <c r="Z119" s="1391"/>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90"/>
      <c r="R120" s="1001"/>
      <c r="S120" s="1001"/>
      <c r="T120" s="1001"/>
      <c r="U120" s="1001"/>
      <c r="V120" s="970">
        <v>5363</v>
      </c>
      <c r="W120" s="933"/>
      <c r="X120" s="970">
        <v>5363</v>
      </c>
      <c r="Y120" s="864"/>
      <c r="Z120" s="1391"/>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90"/>
      <c r="R121" s="1001"/>
      <c r="S121" s="1001"/>
      <c r="T121" s="1001"/>
      <c r="U121" s="1001"/>
      <c r="V121" s="970">
        <v>5199</v>
      </c>
      <c r="W121" s="933"/>
      <c r="X121" s="970">
        <v>5199</v>
      </c>
      <c r="Y121" s="864"/>
      <c r="Z121" s="1391"/>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90"/>
      <c r="R122" s="1001"/>
      <c r="S122" s="1001"/>
      <c r="T122" s="1001"/>
      <c r="U122" s="1001"/>
      <c r="V122" s="970">
        <v>9771</v>
      </c>
      <c r="W122" s="933"/>
      <c r="X122" s="970">
        <v>9771</v>
      </c>
      <c r="Y122" s="864"/>
      <c r="Z122" s="1391"/>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90"/>
      <c r="R123" s="1001"/>
      <c r="S123" s="1001"/>
      <c r="T123" s="1001"/>
      <c r="U123" s="1001"/>
      <c r="V123" s="970">
        <v>9562</v>
      </c>
      <c r="W123" s="933"/>
      <c r="X123" s="970">
        <v>9562</v>
      </c>
      <c r="Y123" s="864"/>
      <c r="Z123" s="1391"/>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90"/>
      <c r="R124" s="1001"/>
      <c r="S124" s="1001"/>
      <c r="T124" s="1001"/>
      <c r="U124" s="1001"/>
      <c r="V124" s="970">
        <v>6309</v>
      </c>
      <c r="W124" s="933"/>
      <c r="X124" s="970">
        <v>6309</v>
      </c>
      <c r="Y124" s="864"/>
      <c r="Z124" s="1391"/>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90"/>
      <c r="R125" s="1001"/>
      <c r="S125" s="1001"/>
      <c r="T125" s="1001"/>
      <c r="U125" s="1001"/>
      <c r="V125" s="970">
        <v>10260</v>
      </c>
      <c r="W125" s="933"/>
      <c r="X125" s="970">
        <v>10260</v>
      </c>
      <c r="Y125" s="864"/>
      <c r="Z125" s="1391"/>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90"/>
      <c r="R126" s="1001"/>
      <c r="S126" s="1001"/>
      <c r="T126" s="1001"/>
      <c r="U126" s="1001"/>
      <c r="V126" s="970">
        <v>10080</v>
      </c>
      <c r="W126" s="933"/>
      <c r="X126" s="970">
        <v>10080</v>
      </c>
      <c r="Y126" s="864"/>
      <c r="Z126" s="1391"/>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90"/>
      <c r="R127" s="1001"/>
      <c r="S127" s="1001"/>
      <c r="T127" s="1001"/>
      <c r="U127" s="1001"/>
      <c r="V127" s="970">
        <v>6859</v>
      </c>
      <c r="W127" s="933"/>
      <c r="X127" s="970">
        <v>6859</v>
      </c>
      <c r="Y127" s="864"/>
      <c r="Z127" s="1391"/>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90"/>
      <c r="R128" s="1001"/>
      <c r="S128" s="1001"/>
      <c r="T128" s="1001"/>
      <c r="U128" s="1001"/>
      <c r="V128" s="970">
        <v>5873</v>
      </c>
      <c r="W128" s="933"/>
      <c r="X128" s="970">
        <v>5873</v>
      </c>
      <c r="Y128" s="864"/>
      <c r="Z128" s="1391"/>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90"/>
      <c r="R129" s="1001"/>
      <c r="S129" s="1001"/>
      <c r="T129" s="1001"/>
      <c r="U129" s="1001"/>
      <c r="V129" s="970">
        <v>4945</v>
      </c>
      <c r="W129" s="933"/>
      <c r="X129" s="970">
        <v>4945</v>
      </c>
      <c r="Y129" s="864"/>
      <c r="Z129" s="1391"/>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90"/>
      <c r="R130" s="1001"/>
      <c r="S130" s="1001"/>
      <c r="T130" s="1001"/>
      <c r="U130" s="1001"/>
      <c r="V130" s="970">
        <v>4275</v>
      </c>
      <c r="W130" s="933"/>
      <c r="X130" s="970">
        <v>4275</v>
      </c>
      <c r="Y130" s="864"/>
      <c r="Z130" s="1391"/>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90"/>
      <c r="R131" s="1001"/>
      <c r="S131" s="1001"/>
      <c r="T131" s="1001"/>
      <c r="U131" s="1001"/>
      <c r="V131" s="970">
        <v>6378</v>
      </c>
      <c r="W131" s="933"/>
      <c r="X131" s="970">
        <v>6378</v>
      </c>
      <c r="Y131" s="864"/>
      <c r="Z131" s="1391"/>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90"/>
      <c r="R132" s="1001"/>
      <c r="S132" s="1001"/>
      <c r="T132" s="1001"/>
      <c r="U132" s="1001"/>
      <c r="V132" s="970">
        <v>7373</v>
      </c>
      <c r="W132" s="933"/>
      <c r="X132" s="970">
        <v>7373</v>
      </c>
      <c r="Y132" s="864"/>
      <c r="Z132" s="1391"/>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90"/>
      <c r="R133" s="1001"/>
      <c r="S133" s="1001"/>
      <c r="T133" s="1001"/>
      <c r="U133" s="1001"/>
      <c r="V133" s="970">
        <v>5781</v>
      </c>
      <c r="W133" s="933"/>
      <c r="X133" s="970">
        <v>5781</v>
      </c>
      <c r="Y133" s="864"/>
      <c r="Z133" s="1391"/>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90"/>
      <c r="R134" s="1001"/>
      <c r="S134" s="1001"/>
      <c r="T134" s="1001"/>
      <c r="U134" s="1001"/>
      <c r="V134" s="970">
        <v>9051</v>
      </c>
      <c r="W134" s="933"/>
      <c r="X134" s="970">
        <v>9051</v>
      </c>
      <c r="Y134" s="864"/>
      <c r="Z134" s="1391"/>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90"/>
      <c r="R135" s="1001"/>
      <c r="S135" s="1001"/>
      <c r="T135" s="1001"/>
      <c r="U135" s="1001"/>
      <c r="V135" s="970">
        <v>7261</v>
      </c>
      <c r="W135" s="933"/>
      <c r="X135" s="970">
        <v>7261</v>
      </c>
      <c r="Y135" s="864"/>
      <c r="Z135" s="1391"/>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90"/>
      <c r="R136" s="1001"/>
      <c r="S136" s="1001"/>
      <c r="T136" s="1001"/>
      <c r="U136" s="1001"/>
      <c r="V136" s="970">
        <v>9638</v>
      </c>
      <c r="W136" s="933"/>
      <c r="X136" s="970">
        <v>9638</v>
      </c>
      <c r="Y136" s="864"/>
      <c r="Z136" s="1391"/>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90"/>
      <c r="R137" s="1001"/>
      <c r="S137" s="1001"/>
      <c r="T137" s="1001"/>
      <c r="U137" s="1001"/>
      <c r="V137" s="970">
        <v>8746</v>
      </c>
      <c r="W137" s="933"/>
      <c r="X137" s="970">
        <v>8746</v>
      </c>
      <c r="Y137" s="864"/>
      <c r="Z137" s="1391"/>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90"/>
      <c r="R138" s="1001"/>
      <c r="S138" s="1001"/>
      <c r="T138" s="1001"/>
      <c r="U138" s="1001"/>
      <c r="V138" s="1107"/>
      <c r="W138" s="933"/>
      <c r="X138" s="1107"/>
      <c r="Y138" s="864"/>
      <c r="Z138" s="1391"/>
      <c r="AA138" s="1392"/>
      <c r="AB138" s="1392"/>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90"/>
      <c r="R139" s="1001"/>
      <c r="S139" s="1001"/>
      <c r="T139" s="1001"/>
      <c r="U139" s="1001"/>
      <c r="V139" s="1107"/>
      <c r="W139" s="933"/>
      <c r="X139" s="1107"/>
      <c r="Y139" s="864"/>
      <c r="Z139" s="1391"/>
      <c r="AA139" s="1392"/>
      <c r="AB139" s="1392"/>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90"/>
      <c r="R150" s="1001"/>
      <c r="S150" s="1001"/>
      <c r="T150" s="1001"/>
      <c r="U150" s="1001"/>
      <c r="V150" s="933">
        <v>8641</v>
      </c>
      <c r="W150" s="1387"/>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3"/>
      <c r="R151" s="1003"/>
      <c r="S151" s="1003"/>
      <c r="T151" s="1003"/>
      <c r="U151" s="1003"/>
      <c r="V151" s="1005">
        <v>7502</v>
      </c>
      <c r="W151" s="1394"/>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4"/>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W3"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9">
        <v>109</v>
      </c>
      <c r="I9" s="662" t="s">
        <v>341</v>
      </c>
      <c r="J9" s="665" t="s">
        <v>55</v>
      </c>
      <c r="K9" s="1374"/>
      <c r="L9" s="986">
        <v>45663</v>
      </c>
      <c r="M9" s="898" t="s">
        <v>56</v>
      </c>
      <c r="N9" s="1380">
        <v>123587.5</v>
      </c>
      <c r="O9" s="1379" t="s">
        <v>56</v>
      </c>
      <c r="P9" s="1395" t="s">
        <v>342</v>
      </c>
      <c r="Q9" s="1381">
        <v>46008</v>
      </c>
      <c r="R9" s="1381"/>
      <c r="S9" s="1381"/>
      <c r="T9" s="1381"/>
      <c r="U9" s="1381"/>
      <c r="V9" s="1382">
        <v>6825</v>
      </c>
      <c r="W9" s="1396">
        <v>6575</v>
      </c>
      <c r="X9" s="1377">
        <f>SUM(V9-W9)</f>
        <v>250</v>
      </c>
      <c r="Y9" s="521">
        <f>IFERROR($W9/$V9, 0)</f>
        <v>0.96336996336996339</v>
      </c>
      <c r="Z9" s="1381">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4">
        <v>0</v>
      </c>
      <c r="I71" s="520" t="s">
        <v>341</v>
      </c>
      <c r="J71" s="1374" t="s">
        <v>55</v>
      </c>
      <c r="K71" s="984" t="s">
        <v>97</v>
      </c>
      <c r="L71" s="1374" t="s">
        <v>56</v>
      </c>
      <c r="M71" s="1397">
        <v>15670.45</v>
      </c>
      <c r="N71" s="346">
        <v>12965</v>
      </c>
      <c r="O71" s="1374" t="s">
        <v>56</v>
      </c>
      <c r="P71" s="1398" t="s">
        <v>342</v>
      </c>
      <c r="Q71" s="1376">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9">
        <v>5883</v>
      </c>
      <c r="T278" s="1042">
        <v>0</v>
      </c>
      <c r="U278" s="81">
        <f>IFERROR(Table5[[#This Row],[Actual Redline Completed Footage UG]]/Table5[[#This Row],[Footage UG]], 0)</f>
        <v>1.0039249146757678</v>
      </c>
      <c r="V278" s="1390">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9">
        <v>4894</v>
      </c>
      <c r="T281" s="1041">
        <v>0</v>
      </c>
      <c r="U281" s="4">
        <f>IFERROR(Table5[[#This Row],[Actual Redline Completed Footage UG]]/Table5[[#This Row],[Footage UG]], 0)</f>
        <v>1.011993382961125</v>
      </c>
      <c r="V281" s="1393">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400">
        <v>7212</v>
      </c>
      <c r="T283" s="1041">
        <v>0</v>
      </c>
      <c r="U283" s="4">
        <f>IFERROR(Table5[[#This Row],[Actual Redline Completed Footage UG]]/Table5[[#This Row],[Footage UG]], 0)</f>
        <v>0.98242746219861055</v>
      </c>
      <c r="V283" s="1390">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400">
        <v>1277</v>
      </c>
      <c r="T285" s="1042">
        <v>0</v>
      </c>
      <c r="U285" s="81">
        <f>IFERROR(Table5[[#This Row],[Actual Redline Completed Footage UG]]/Table5[[#This Row],[Footage UG]], 0)</f>
        <v>0.99454828660436134</v>
      </c>
      <c r="V285" s="1390">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401" t="s">
        <v>55</v>
      </c>
      <c r="K301" s="43"/>
      <c r="L301" s="691" t="s">
        <v>63</v>
      </c>
      <c r="M301" s="765" t="s">
        <v>56</v>
      </c>
      <c r="N301" s="1402">
        <v>1035</v>
      </c>
      <c r="O301" s="945" t="s">
        <v>56</v>
      </c>
      <c r="P301" s="1295" t="s">
        <v>342</v>
      </c>
      <c r="Q301" s="1403">
        <v>46030</v>
      </c>
      <c r="R301" s="258" t="s">
        <v>97</v>
      </c>
      <c r="S301" s="258" t="s">
        <v>97</v>
      </c>
      <c r="T301" s="258" t="s">
        <v>97</v>
      </c>
      <c r="U301" s="36"/>
      <c r="V301" s="1404">
        <v>0</v>
      </c>
      <c r="W301" s="1405">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9B0455E-8087-4360-9F5D-22D901E2EEF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2026-03-05T23:17:08Z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