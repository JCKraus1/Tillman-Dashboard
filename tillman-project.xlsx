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468" documentId="120_S{26355A1A-C9FF-5539-9B49-32C1F08D0326}" xr6:coauthVersionLast="47" xr6:coauthVersionMax="47" xr10:uidLastSave="{C2AC30A8-34CC-4675-AF44-3AF1DB3770F6}"/>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8441" r:id="rId10"/>
    <pivotCache cacheId="8445" r:id="rId11"/>
    <pivotCache cacheId="8452" r:id="rId12"/>
    <pivotCache cacheId="8457" r:id="rId13"/>
    <pivotCache cacheId="84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<sst xmlns="http://schemas.openxmlformats.org/spreadsheetml/2006/main" count="18285" uniqueCount="2288">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</sst>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1759259" createdVersion="8" refreshedVersion="8" minRefreshableVersion="3" recordCount="273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2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2222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31"/>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7"/>
    <x v="5"/>
    <x v="270"/>
    <n v="1056"/>
    <m/>
    <s v="5 Toby Boxes / 5 Daps / 21 Splices"/>
  </r>
  <r>
    <x v="332"/>
    <x v="29"/>
    <x v="270"/>
    <n v="1073"/>
    <m/>
    <m/>
  </r>
  <r>
    <x v="363"/>
    <x v="26"/>
    <x v="270"/>
    <n v="1062"/>
    <m/>
    <m/>
  </r>
  <r>
    <x v="369"/>
    <x v="1"/>
    <x v="271"/>
    <m/>
    <m/>
    <m/>
  </r>
  <r>
    <x v="367"/>
    <x v="5"/>
    <x v="271"/>
    <m/>
    <m/>
    <m/>
  </r>
  <r>
    <x v="332"/>
    <x v="29"/>
    <x v="271"/>
    <m/>
    <m/>
    <m/>
  </r>
  <r>
    <x v="363"/>
    <x v="26"/>
    <x v="271"/>
    <m/>
    <m/>
    <m/>
  </r>
  <r>
    <x v="364"/>
    <x v="29"/>
    <x v="271"/>
    <m/>
    <m/>
    <m/>
  </r>
  <r>
    <x v="366"/>
    <x v="31"/>
    <x v="271"/>
    <m/>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m/>
    <m/>
    <m/>
    <x v="0"/>
  </r>
  <r>
    <s v="D-HWP107"/>
    <x v="5"/>
    <d v="2026-02-25T00:00:00"/>
    <m/>
    <m/>
    <m/>
    <x v="0"/>
  </r>
  <r>
    <s v="FB-HOE501"/>
    <x v="29"/>
    <d v="2026-02-25T00:00:00"/>
    <m/>
    <m/>
    <m/>
    <x v="0"/>
  </r>
  <r>
    <s v="FB-HOE401-V3"/>
    <x v="26"/>
    <d v="2026-02-25T00:00:00"/>
    <m/>
    <m/>
    <m/>
    <x v="0"/>
  </r>
  <r>
    <s v="D-HDF712"/>
    <x v="29"/>
    <d v="2026-02-25T00:00:00"/>
    <m/>
    <m/>
    <m/>
    <x v="0"/>
  </r>
  <r>
    <s v="Sabal Lakes "/>
    <x v="31"/>
    <d v="2026-02-25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61" activePane="topRight" state="frozen"/>
      <selection pane="topRight" activeCell="A53" sqref="A53"/>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902">
        <v>1594</v>
      </c>
      <c r="X11" s="902">
        <f>SUM(V11-W11)</f>
        <v>3313</v>
      </c>
      <c r="Y11" s="525">
        <f t="shared" si="1"/>
        <v>0.32484206235989405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68"/>
      <c r="L25" s="1000"/>
      <c r="M25" s="898" t="s">
        <v>56</v>
      </c>
      <c r="N25" s="1369">
        <v>223.8</v>
      </c>
      <c r="O25" s="898" t="s">
        <v>56</v>
      </c>
      <c r="P25" s="900" t="s">
        <v>74</v>
      </c>
      <c r="Q25" s="1370"/>
      <c r="R25" s="1370"/>
      <c r="S25" s="1370"/>
      <c r="T25" s="1370"/>
      <c r="U25" s="1370"/>
      <c r="V25" s="814">
        <v>0</v>
      </c>
      <c r="W25" s="1271"/>
      <c r="X25" s="1371">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68"/>
      <c r="L29" s="1000"/>
      <c r="M29" s="898" t="s">
        <v>56</v>
      </c>
      <c r="N29" s="1369">
        <v>12404.9</v>
      </c>
      <c r="O29" s="666" t="s">
        <v>56</v>
      </c>
      <c r="P29" s="921" t="s">
        <v>74</v>
      </c>
      <c r="Q29" s="1370"/>
      <c r="R29" s="1370"/>
      <c r="S29" s="1370"/>
      <c r="T29" s="1370"/>
      <c r="U29" s="1370"/>
      <c r="V29" s="1371">
        <v>1111</v>
      </c>
      <c r="W29" s="1371"/>
      <c r="X29" s="1371">
        <f>SUM(V29-W29)</f>
        <v>1111</v>
      </c>
      <c r="Y29" s="693">
        <f>IFERROR($W29/$V29, 0)</f>
        <v>0</v>
      </c>
      <c r="Z29" s="1372"/>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68" t="s">
        <v>72</v>
      </c>
      <c r="L30" s="1000"/>
      <c r="M30" s="972" t="s">
        <v>73</v>
      </c>
      <c r="N30" s="1133"/>
      <c r="O30" s="972" t="s">
        <v>73</v>
      </c>
      <c r="P30" s="962" t="s">
        <v>74</v>
      </c>
      <c r="Q30" s="1370"/>
      <c r="R30" s="1370"/>
      <c r="S30" s="1370"/>
      <c r="T30" s="1370"/>
      <c r="U30" s="1370"/>
      <c r="V30" s="1371">
        <v>311</v>
      </c>
      <c r="W30" s="1371"/>
      <c r="X30" s="1371">
        <f>SUM(V30-W30)</f>
        <v>311</v>
      </c>
      <c r="Y30" s="693">
        <f>IFERROR($W30/$V30, 0)</f>
        <v>0</v>
      </c>
      <c r="Z30" s="1372"/>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3">
        <v>0</v>
      </c>
      <c r="I45" s="666" t="s">
        <v>54</v>
      </c>
      <c r="J45" s="669" t="s">
        <v>55</v>
      </c>
      <c r="K45" s="1368"/>
      <c r="L45" s="1002"/>
      <c r="M45" s="666" t="s">
        <v>56</v>
      </c>
      <c r="N45" s="1374">
        <v>36998.550000000003</v>
      </c>
      <c r="O45" s="666" t="s">
        <v>56</v>
      </c>
      <c r="P45" s="921" t="s">
        <v>74</v>
      </c>
      <c r="Q45" s="1375"/>
      <c r="R45" s="1375"/>
      <c r="S45" s="1375"/>
      <c r="T45" s="1375"/>
      <c r="U45" s="1375"/>
      <c r="V45" s="1376">
        <v>2944</v>
      </c>
      <c r="W45" s="1371"/>
      <c r="X45" s="1371">
        <f>SUM(V45-W45)</f>
        <v>2944</v>
      </c>
      <c r="Y45" s="525">
        <f>IFERROR($W45/$V45, 0)</f>
        <v>0</v>
      </c>
      <c r="Z45" s="1377"/>
      <c r="AA45" s="904">
        <v>0</v>
      </c>
      <c r="AB45" s="904">
        <v>0</v>
      </c>
      <c r="AC45" s="510">
        <v>0</v>
      </c>
      <c r="AD45" s="905"/>
      <c r="AE45" s="950"/>
    </row>
    <row r="46" spans="1:56" ht="24.75" customHeight="1">
      <c r="A46" s="999" t="s">
        <v>181</v>
      </c>
      <c r="B46" s="668" t="s">
        <v>137</v>
      </c>
      <c r="C46" s="1000">
        <v>46079</v>
      </c>
      <c r="D46" s="1002"/>
      <c r="E46" s="1002"/>
      <c r="F46" s="1001"/>
      <c r="G46" s="907"/>
      <c r="H46" s="1373">
        <v>0</v>
      </c>
      <c r="I46" s="666" t="s">
        <v>54</v>
      </c>
      <c r="J46" s="669" t="s">
        <v>55</v>
      </c>
      <c r="K46" s="1368"/>
      <c r="L46" s="1002"/>
      <c r="M46" s="666" t="s">
        <v>56</v>
      </c>
      <c r="N46" s="1374">
        <v>49932.800000000003</v>
      </c>
      <c r="O46" s="666" t="s">
        <v>56</v>
      </c>
      <c r="P46" s="921" t="s">
        <v>74</v>
      </c>
      <c r="Q46" s="1375"/>
      <c r="R46" s="1375"/>
      <c r="S46" s="1375"/>
      <c r="T46" s="1375"/>
      <c r="U46" s="1375"/>
      <c r="V46" s="1376">
        <v>4048</v>
      </c>
      <c r="W46" s="1371"/>
      <c r="X46" s="1371">
        <f>SUM(V46-W46)</f>
        <v>4048</v>
      </c>
      <c r="Y46" s="525">
        <f>IFERROR($W46/$V46, 0)</f>
        <v>0</v>
      </c>
      <c r="Z46" s="1377"/>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68"/>
      <c r="L52" s="1002"/>
      <c r="M52" s="909" t="s">
        <v>56</v>
      </c>
      <c r="N52" s="1374">
        <v>118710.8</v>
      </c>
      <c r="O52" s="909" t="s">
        <v>56</v>
      </c>
      <c r="P52" s="900" t="s">
        <v>57</v>
      </c>
      <c r="Q52" s="1375">
        <v>46062</v>
      </c>
      <c r="R52" s="1375"/>
      <c r="S52" s="1375"/>
      <c r="T52" s="1375"/>
      <c r="U52" s="1375"/>
      <c r="V52" s="1376">
        <v>9628</v>
      </c>
      <c r="W52" s="1371">
        <v>3104</v>
      </c>
      <c r="X52" s="1371">
        <f>SUM(V52-W52)</f>
        <v>6524</v>
      </c>
      <c r="Y52" s="525">
        <f>IFERROR($W52/$V52, 0)</f>
        <v>0.32239302035729123</v>
      </c>
      <c r="Z52" s="1375">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3">
        <v>0</v>
      </c>
      <c r="I55" s="666" t="s">
        <v>54</v>
      </c>
      <c r="J55" s="909" t="s">
        <v>55</v>
      </c>
      <c r="K55" s="1368"/>
      <c r="L55" s="1002"/>
      <c r="M55" s="909" t="s">
        <v>56</v>
      </c>
      <c r="N55" s="1374">
        <v>15002.75</v>
      </c>
      <c r="O55" s="909" t="s">
        <v>56</v>
      </c>
      <c r="P55" s="921" t="s">
        <v>69</v>
      </c>
      <c r="Q55" s="1375">
        <v>46077</v>
      </c>
      <c r="R55" s="1375"/>
      <c r="S55" s="1375"/>
      <c r="T55" s="1375"/>
      <c r="U55" s="1375"/>
      <c r="V55" s="1376">
        <v>1175</v>
      </c>
      <c r="W55" s="1371"/>
      <c r="X55" s="1371">
        <f>SUM(V55-W55)</f>
        <v>1175</v>
      </c>
      <c r="Y55" s="525">
        <f>IFERROR($W55/$V55, 0)</f>
        <v>0</v>
      </c>
      <c r="Z55" s="1377"/>
      <c r="AA55" s="904">
        <v>0</v>
      </c>
      <c r="AB55" s="904">
        <v>0</v>
      </c>
      <c r="AC55" s="913">
        <v>0</v>
      </c>
      <c r="AD55" s="905"/>
      <c r="AE55" s="950"/>
    </row>
    <row r="56" spans="1:31" ht="24.75" customHeight="1">
      <c r="A56" s="895" t="s">
        <v>205</v>
      </c>
      <c r="B56" s="668" t="s">
        <v>137</v>
      </c>
      <c r="C56" s="896">
        <v>46103</v>
      </c>
      <c r="D56" s="1053" t="s">
        <v>138</v>
      </c>
      <c r="E56" s="907">
        <v>46077</v>
      </c>
      <c r="F56" s="1001"/>
      <c r="G56" s="908"/>
      <c r="H56" s="1373">
        <v>0</v>
      </c>
      <c r="I56" s="666" t="s">
        <v>54</v>
      </c>
      <c r="J56" s="909" t="s">
        <v>55</v>
      </c>
      <c r="K56" s="1368"/>
      <c r="L56" s="1002"/>
      <c r="M56" s="909" t="s">
        <v>56</v>
      </c>
      <c r="N56" s="1374">
        <v>12977.65</v>
      </c>
      <c r="O56" s="909" t="s">
        <v>56</v>
      </c>
      <c r="P56" s="921" t="s">
        <v>74</v>
      </c>
      <c r="Q56" s="1375"/>
      <c r="R56" s="1375"/>
      <c r="S56" s="1375"/>
      <c r="T56" s="1375"/>
      <c r="U56" s="1375"/>
      <c r="V56" s="1376">
        <v>1029</v>
      </c>
      <c r="W56" s="1371"/>
      <c r="X56" s="1371">
        <f>SUM(V56-W56)</f>
        <v>1029</v>
      </c>
      <c r="Y56" s="525">
        <f>IFERROR($W56/$V56, 0)</f>
        <v>0</v>
      </c>
      <c r="Z56" s="1377"/>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3">
        <v>107</v>
      </c>
      <c r="I59" s="666" t="s">
        <v>54</v>
      </c>
      <c r="J59" s="968" t="s">
        <v>67</v>
      </c>
      <c r="K59" s="1368" t="s">
        <v>72</v>
      </c>
      <c r="L59" s="1002"/>
      <c r="M59" s="972" t="s">
        <v>73</v>
      </c>
      <c r="N59" s="1133"/>
      <c r="O59" s="972" t="s">
        <v>73</v>
      </c>
      <c r="P59" s="962" t="s">
        <v>74</v>
      </c>
      <c r="Q59" s="1375"/>
      <c r="R59" s="1375"/>
      <c r="S59" s="1375"/>
      <c r="T59" s="1375"/>
      <c r="U59" s="1375"/>
      <c r="V59" s="1376">
        <v>9568</v>
      </c>
      <c r="W59" s="1371"/>
      <c r="X59" s="1371">
        <f>SUM(V59-W59)</f>
        <v>9568</v>
      </c>
      <c r="Y59" s="525">
        <f>IFERROR($W59/$V59, 0)</f>
        <v>0</v>
      </c>
      <c r="Z59" s="1377"/>
      <c r="AA59" s="904">
        <v>0</v>
      </c>
      <c r="AB59" s="904">
        <v>0</v>
      </c>
      <c r="AC59" s="913">
        <v>0</v>
      </c>
      <c r="AD59" s="905" t="s">
        <v>211</v>
      </c>
      <c r="AE59" s="950"/>
    </row>
    <row r="60" spans="1:31" ht="24.75" customHeight="1">
      <c r="A60" s="1328" t="s">
        <v>212</v>
      </c>
      <c r="B60" s="668" t="s">
        <v>137</v>
      </c>
      <c r="C60" s="1000">
        <v>46174</v>
      </c>
      <c r="D60" s="1001"/>
      <c r="E60" s="1002"/>
      <c r="F60" s="1001"/>
      <c r="G60" s="908"/>
      <c r="H60" s="1373">
        <v>115</v>
      </c>
      <c r="I60" s="666" t="s">
        <v>54</v>
      </c>
      <c r="J60" s="968" t="s">
        <v>67</v>
      </c>
      <c r="K60" s="1368"/>
      <c r="L60" s="1002"/>
      <c r="M60" s="909" t="s">
        <v>56</v>
      </c>
      <c r="N60" s="1133">
        <v>125188</v>
      </c>
      <c r="O60" s="909" t="s">
        <v>56</v>
      </c>
      <c r="P60" s="921" t="s">
        <v>74</v>
      </c>
      <c r="Q60" s="1375"/>
      <c r="R60" s="1375"/>
      <c r="S60" s="1375"/>
      <c r="T60" s="1375"/>
      <c r="U60" s="1375"/>
      <c r="V60" s="1376">
        <v>11028</v>
      </c>
      <c r="W60" s="1371"/>
      <c r="X60" s="1371">
        <f>SUM(V60-W60)</f>
        <v>11028</v>
      </c>
      <c r="Y60" s="525">
        <f>IFERROR($W60/$V60, 0)</f>
        <v>0</v>
      </c>
      <c r="Z60" s="1377"/>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902">
        <v>5635</v>
      </c>
      <c r="X61" s="902">
        <f t="shared" si="5"/>
        <v>978</v>
      </c>
      <c r="Y61" s="525">
        <f t="shared" si="6"/>
        <v>0.85210948132466358</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78">
        <v>0</v>
      </c>
      <c r="I64" s="523" t="s">
        <v>54</v>
      </c>
      <c r="J64" s="972" t="s">
        <v>95</v>
      </c>
      <c r="K64" s="1379" t="s">
        <v>72</v>
      </c>
      <c r="L64" s="1131"/>
      <c r="M64" s="972" t="s">
        <v>73</v>
      </c>
      <c r="N64" s="1133"/>
      <c r="O64" s="972" t="s">
        <v>73</v>
      </c>
      <c r="P64" s="962" t="s">
        <v>74</v>
      </c>
      <c r="Q64" s="1375"/>
      <c r="R64" s="1375"/>
      <c r="S64" s="1375"/>
      <c r="T64" s="1375"/>
      <c r="U64" s="1375"/>
      <c r="V64" s="1380">
        <v>6202</v>
      </c>
      <c r="W64" s="1381"/>
      <c r="X64" s="1381">
        <f>SUM(V64-W64)</f>
        <v>6202</v>
      </c>
      <c r="Y64" s="692">
        <f>IFERROR($W64/$V64, 0)</f>
        <v>0</v>
      </c>
      <c r="Z64" s="1382"/>
      <c r="AA64" s="1115">
        <v>0</v>
      </c>
      <c r="AB64" s="1145">
        <v>0</v>
      </c>
      <c r="AC64" s="959">
        <v>0</v>
      </c>
      <c r="AD64" s="905" t="s">
        <v>224</v>
      </c>
      <c r="AE64" s="950"/>
    </row>
    <row r="65" spans="1:31" ht="24.75" customHeight="1">
      <c r="A65" s="1257" t="s">
        <v>225</v>
      </c>
      <c r="B65" s="1334" t="s">
        <v>214</v>
      </c>
      <c r="C65" s="1000">
        <v>46172</v>
      </c>
      <c r="D65" s="1001"/>
      <c r="E65" s="1002"/>
      <c r="F65" s="1001"/>
      <c r="G65" s="908"/>
      <c r="H65" s="1373">
        <v>402</v>
      </c>
      <c r="I65" s="523" t="s">
        <v>54</v>
      </c>
      <c r="J65" s="972" t="s">
        <v>95</v>
      </c>
      <c r="K65" s="1379" t="s">
        <v>72</v>
      </c>
      <c r="L65" s="1002"/>
      <c r="M65" s="1027" t="s">
        <v>73</v>
      </c>
      <c r="N65" s="1359"/>
      <c r="O65" s="1027" t="s">
        <v>73</v>
      </c>
      <c r="P65" s="962" t="s">
        <v>74</v>
      </c>
      <c r="Q65" s="1375"/>
      <c r="R65" s="1375"/>
      <c r="S65" s="1375"/>
      <c r="T65" s="1375"/>
      <c r="U65" s="1375"/>
      <c r="V65" s="1376">
        <v>30807</v>
      </c>
      <c r="W65" s="1371"/>
      <c r="X65" s="1371">
        <f>SUM(V65-W65)</f>
        <v>30807</v>
      </c>
      <c r="Y65" s="525">
        <f>IFERROR($W65/$V65, 0)</f>
        <v>0</v>
      </c>
      <c r="Z65" s="1375"/>
      <c r="AA65" s="1115">
        <v>0</v>
      </c>
      <c r="AB65" s="1145">
        <v>0</v>
      </c>
      <c r="AC65" s="959">
        <v>0</v>
      </c>
      <c r="AD65" s="905"/>
      <c r="AE65" s="950"/>
    </row>
    <row r="66" spans="1:31" ht="24.75" customHeight="1">
      <c r="A66" s="1132" t="s">
        <v>226</v>
      </c>
      <c r="B66" s="1335" t="s">
        <v>227</v>
      </c>
      <c r="C66" s="1000">
        <v>46111</v>
      </c>
      <c r="D66" s="1001"/>
      <c r="E66" s="1002"/>
      <c r="F66" s="1001"/>
      <c r="G66" s="908"/>
      <c r="H66" s="1378">
        <v>0</v>
      </c>
      <c r="I66" s="523" t="s">
        <v>54</v>
      </c>
      <c r="J66" s="972" t="s">
        <v>55</v>
      </c>
      <c r="K66" s="1379"/>
      <c r="L66" s="1002"/>
      <c r="M66" s="972" t="s">
        <v>56</v>
      </c>
      <c r="N66" s="1133">
        <v>12316.35</v>
      </c>
      <c r="O66" s="972" t="s">
        <v>56</v>
      </c>
      <c r="P66" s="962" t="s">
        <v>74</v>
      </c>
      <c r="Q66" s="1375"/>
      <c r="R66" s="1375"/>
      <c r="S66" s="1375"/>
      <c r="T66" s="1375"/>
      <c r="U66" s="1375"/>
      <c r="V66" s="1376">
        <v>47</v>
      </c>
      <c r="W66" s="1371"/>
      <c r="X66" s="1371">
        <f>SUM(V66-W66)</f>
        <v>47</v>
      </c>
      <c r="Y66" s="525">
        <f>IFERROR($W66/$V66, 0)</f>
        <v>0</v>
      </c>
      <c r="Z66" s="1382"/>
      <c r="AA66" s="1115">
        <v>0</v>
      </c>
      <c r="AB66" s="1145">
        <v>0</v>
      </c>
      <c r="AC66" s="959">
        <v>0</v>
      </c>
      <c r="AD66" s="905" t="s">
        <v>228</v>
      </c>
      <c r="AE66" s="950"/>
    </row>
    <row r="67" spans="1:31" ht="24.75" customHeight="1">
      <c r="A67" s="1132" t="s">
        <v>229</v>
      </c>
      <c r="B67" s="1335" t="s">
        <v>227</v>
      </c>
      <c r="C67" s="1000">
        <v>46111</v>
      </c>
      <c r="D67" s="1001"/>
      <c r="E67" s="1002"/>
      <c r="F67" s="1001"/>
      <c r="G67" s="908"/>
      <c r="H67" s="1378">
        <v>0</v>
      </c>
      <c r="I67" s="523" t="s">
        <v>54</v>
      </c>
      <c r="J67" s="972" t="s">
        <v>55</v>
      </c>
      <c r="K67" s="1379"/>
      <c r="L67" s="1002"/>
      <c r="M67" s="972" t="s">
        <v>56</v>
      </c>
      <c r="N67" s="1133">
        <v>151170.79999999999</v>
      </c>
      <c r="O67" s="972" t="s">
        <v>56</v>
      </c>
      <c r="P67" s="962" t="s">
        <v>74</v>
      </c>
      <c r="Q67" s="1375"/>
      <c r="R67" s="1375"/>
      <c r="S67" s="1375"/>
      <c r="T67" s="1375"/>
      <c r="U67" s="1375"/>
      <c r="V67" s="1376">
        <v>11789</v>
      </c>
      <c r="W67" s="1371"/>
      <c r="X67" s="1371">
        <f>SUM(V67-W67)</f>
        <v>11789</v>
      </c>
      <c r="Y67" s="525">
        <f>IFERROR($W67/$V67, 0)</f>
        <v>0</v>
      </c>
      <c r="Z67" s="1382"/>
      <c r="AA67" s="1115">
        <v>0</v>
      </c>
      <c r="AB67" s="1145">
        <v>0</v>
      </c>
      <c r="AC67" s="959">
        <v>0</v>
      </c>
      <c r="AD67" s="905" t="s">
        <v>228</v>
      </c>
      <c r="AE67" s="950"/>
    </row>
    <row r="68" spans="1:31" ht="24.75" customHeight="1">
      <c r="A68" s="1336" t="s">
        <v>230</v>
      </c>
      <c r="B68" s="1335" t="s">
        <v>227</v>
      </c>
      <c r="C68" s="1000">
        <v>46111</v>
      </c>
      <c r="D68" s="1001"/>
      <c r="E68" s="1002"/>
      <c r="F68" s="1001"/>
      <c r="G68" s="908"/>
      <c r="H68" s="1378">
        <v>0</v>
      </c>
      <c r="I68" s="523" t="s">
        <v>54</v>
      </c>
      <c r="J68" s="972" t="s">
        <v>55</v>
      </c>
      <c r="K68" s="1379"/>
      <c r="L68" s="1002"/>
      <c r="M68" s="972" t="s">
        <v>56</v>
      </c>
      <c r="N68" s="1133">
        <v>24122.75</v>
      </c>
      <c r="O68" s="972" t="s">
        <v>56</v>
      </c>
      <c r="P68" s="962" t="s">
        <v>74</v>
      </c>
      <c r="Q68" s="1375"/>
      <c r="R68" s="1375"/>
      <c r="S68" s="1375"/>
      <c r="T68" s="1375"/>
      <c r="U68" s="1375"/>
      <c r="V68" s="1376">
        <v>1925</v>
      </c>
      <c r="W68" s="1371"/>
      <c r="X68" s="1371">
        <f>SUM(V68-W68)</f>
        <v>1925</v>
      </c>
      <c r="Y68" s="525">
        <f>IFERROR($W68/$V68, 0)</f>
        <v>0</v>
      </c>
      <c r="Z68" s="1382"/>
      <c r="AA68" s="1115">
        <v>0</v>
      </c>
      <c r="AB68" s="1145">
        <v>0</v>
      </c>
      <c r="AC68" s="959">
        <v>0</v>
      </c>
      <c r="AD68" s="905" t="s">
        <v>228</v>
      </c>
      <c r="AE68" s="950"/>
    </row>
    <row r="69" spans="1:31" ht="24.75" customHeight="1">
      <c r="A69" s="999" t="s">
        <v>231</v>
      </c>
      <c r="B69" s="1335" t="s">
        <v>227</v>
      </c>
      <c r="C69" s="1000">
        <v>46111</v>
      </c>
      <c r="D69" s="1001"/>
      <c r="E69" s="1002"/>
      <c r="F69" s="1001"/>
      <c r="G69" s="908"/>
      <c r="H69" s="1378">
        <v>0</v>
      </c>
      <c r="I69" s="523" t="s">
        <v>54</v>
      </c>
      <c r="J69" s="972" t="s">
        <v>55</v>
      </c>
      <c r="K69" s="1379"/>
      <c r="L69" s="1002"/>
      <c r="M69" s="972" t="s">
        <v>56</v>
      </c>
      <c r="N69" s="1133">
        <v>26639.1</v>
      </c>
      <c r="O69" s="972" t="s">
        <v>56</v>
      </c>
      <c r="P69" s="962" t="s">
        <v>74</v>
      </c>
      <c r="Q69" s="1375"/>
      <c r="R69" s="1375"/>
      <c r="S69" s="1375"/>
      <c r="T69" s="1375"/>
      <c r="U69" s="1375"/>
      <c r="V69" s="1376">
        <v>2136</v>
      </c>
      <c r="W69" s="1371"/>
      <c r="X69" s="1371">
        <f>SUM(V69-W69)</f>
        <v>2136</v>
      </c>
      <c r="Y69" s="525">
        <f>IFERROR($W69/$V69, 0)</f>
        <v>0</v>
      </c>
      <c r="Z69" s="1382"/>
      <c r="AA69" s="1115">
        <v>0</v>
      </c>
      <c r="AB69" s="1145">
        <v>0</v>
      </c>
      <c r="AC69" s="959">
        <v>0</v>
      </c>
      <c r="AD69" s="905" t="s">
        <v>228</v>
      </c>
      <c r="AE69" s="950"/>
    </row>
    <row r="70" spans="1:31" ht="24.75" customHeight="1">
      <c r="A70" s="999" t="s">
        <v>232</v>
      </c>
      <c r="B70" s="1335" t="s">
        <v>227</v>
      </c>
      <c r="C70" s="1000">
        <v>46111</v>
      </c>
      <c r="D70" s="1001"/>
      <c r="E70" s="1002"/>
      <c r="F70" s="1001"/>
      <c r="G70" s="908"/>
      <c r="H70" s="1378">
        <v>0</v>
      </c>
      <c r="I70" s="523" t="s">
        <v>54</v>
      </c>
      <c r="J70" s="972" t="s">
        <v>55</v>
      </c>
      <c r="K70" s="1379"/>
      <c r="L70" s="1002"/>
      <c r="M70" s="972" t="s">
        <v>56</v>
      </c>
      <c r="N70" s="1133">
        <v>1698.25</v>
      </c>
      <c r="O70" s="972" t="s">
        <v>56</v>
      </c>
      <c r="P70" s="962" t="s">
        <v>74</v>
      </c>
      <c r="Q70" s="1375"/>
      <c r="R70" s="1375"/>
      <c r="S70" s="1375"/>
      <c r="T70" s="1375"/>
      <c r="U70" s="1375"/>
      <c r="V70" s="1376">
        <v>105</v>
      </c>
      <c r="W70" s="1371"/>
      <c r="X70" s="1371">
        <f>SUM(V70-W70)</f>
        <v>105</v>
      </c>
      <c r="Y70" s="525">
        <f>IFERROR($W70/$V70, 0)</f>
        <v>0</v>
      </c>
      <c r="Z70" s="1382"/>
      <c r="AA70" s="1115">
        <v>0</v>
      </c>
      <c r="AB70" s="1145">
        <v>0</v>
      </c>
      <c r="AC70" s="959">
        <v>0</v>
      </c>
      <c r="AD70" s="905" t="s">
        <v>228</v>
      </c>
      <c r="AE70" s="950"/>
    </row>
    <row r="71" spans="1:31" ht="24.75" customHeight="1">
      <c r="A71" s="1257" t="s">
        <v>233</v>
      </c>
      <c r="B71" s="1335" t="s">
        <v>227</v>
      </c>
      <c r="C71" s="1000">
        <v>46111</v>
      </c>
      <c r="D71" s="1001"/>
      <c r="E71" s="1002"/>
      <c r="F71" s="1001"/>
      <c r="G71" s="908"/>
      <c r="H71" s="1378">
        <v>0</v>
      </c>
      <c r="I71" s="523" t="s">
        <v>54</v>
      </c>
      <c r="J71" s="972" t="s">
        <v>95</v>
      </c>
      <c r="K71" s="1379" t="s">
        <v>72</v>
      </c>
      <c r="L71" s="1002"/>
      <c r="M71" s="972" t="s">
        <v>73</v>
      </c>
      <c r="N71" s="1133">
        <v>5779.1</v>
      </c>
      <c r="O71" s="972" t="s">
        <v>56</v>
      </c>
      <c r="P71" s="962" t="s">
        <v>74</v>
      </c>
      <c r="Q71" s="1375"/>
      <c r="R71" s="1375"/>
      <c r="S71" s="1375"/>
      <c r="T71" s="1375"/>
      <c r="U71" s="1375"/>
      <c r="V71" s="1376">
        <v>406</v>
      </c>
      <c r="W71" s="1371"/>
      <c r="X71" s="1371">
        <f>SUM(V71-W71)</f>
        <v>406</v>
      </c>
      <c r="Y71" s="525">
        <f>IFERROR($W71/$V71, 0)</f>
        <v>0</v>
      </c>
      <c r="Z71" s="1382"/>
      <c r="AA71" s="1115">
        <v>0</v>
      </c>
      <c r="AB71" s="1145">
        <v>0</v>
      </c>
      <c r="AC71" s="959">
        <v>0</v>
      </c>
      <c r="AD71" s="905" t="s">
        <v>228</v>
      </c>
      <c r="AE71" s="950"/>
    </row>
    <row r="72" spans="1:31" ht="24.75" customHeight="1">
      <c r="A72" s="1257" t="s">
        <v>234</v>
      </c>
      <c r="B72" s="1335" t="s">
        <v>227</v>
      </c>
      <c r="C72" s="1000">
        <v>46111</v>
      </c>
      <c r="D72" s="1001"/>
      <c r="E72" s="1002"/>
      <c r="F72" s="1001"/>
      <c r="G72" s="908"/>
      <c r="H72" s="1378">
        <v>0</v>
      </c>
      <c r="I72" s="523" t="s">
        <v>54</v>
      </c>
      <c r="J72" s="972" t="s">
        <v>95</v>
      </c>
      <c r="K72" s="1379" t="s">
        <v>72</v>
      </c>
      <c r="L72" s="1002"/>
      <c r="M72" s="972" t="s">
        <v>73</v>
      </c>
      <c r="N72" s="1133"/>
      <c r="O72" s="972" t="s">
        <v>56</v>
      </c>
      <c r="P72" s="962" t="s">
        <v>74</v>
      </c>
      <c r="Q72" s="1375"/>
      <c r="R72" s="1375"/>
      <c r="S72" s="1375"/>
      <c r="T72" s="1375"/>
      <c r="U72" s="1375"/>
      <c r="V72" s="1376">
        <v>508</v>
      </c>
      <c r="W72" s="1371"/>
      <c r="X72" s="1371">
        <f>SUM(V72-W72)</f>
        <v>508</v>
      </c>
      <c r="Y72" s="525">
        <f>IFERROR($W72/$V72, 0)</f>
        <v>0</v>
      </c>
      <c r="Z72" s="1382"/>
      <c r="AA72" s="1115">
        <v>0</v>
      </c>
      <c r="AB72" s="1145">
        <v>0</v>
      </c>
      <c r="AC72" s="959">
        <v>0</v>
      </c>
      <c r="AD72" s="905" t="s">
        <v>235</v>
      </c>
      <c r="AE72" s="950"/>
    </row>
    <row r="73" spans="1:31" ht="24.75" customHeight="1">
      <c r="A73" s="999" t="s">
        <v>236</v>
      </c>
      <c r="B73" s="1335" t="s">
        <v>227</v>
      </c>
      <c r="C73" s="1000">
        <v>46111</v>
      </c>
      <c r="D73" s="1001"/>
      <c r="E73" s="1002"/>
      <c r="F73" s="1001"/>
      <c r="G73" s="908"/>
      <c r="H73" s="1378">
        <v>0</v>
      </c>
      <c r="I73" s="523" t="s">
        <v>54</v>
      </c>
      <c r="J73" s="972" t="s">
        <v>95</v>
      </c>
      <c r="K73" s="1379"/>
      <c r="L73" s="1002"/>
      <c r="M73" s="972" t="s">
        <v>56</v>
      </c>
      <c r="N73" s="1133">
        <v>9496.2000000000007</v>
      </c>
      <c r="O73" s="972" t="s">
        <v>56</v>
      </c>
      <c r="P73" s="962" t="s">
        <v>74</v>
      </c>
      <c r="Q73" s="1375"/>
      <c r="R73" s="1375"/>
      <c r="S73" s="1375"/>
      <c r="T73" s="1375"/>
      <c r="U73" s="1375"/>
      <c r="V73" s="1376">
        <v>742</v>
      </c>
      <c r="W73" s="1371"/>
      <c r="X73" s="1371">
        <f>SUM(V73-W73)</f>
        <v>742</v>
      </c>
      <c r="Y73" s="525">
        <f>IFERROR($W73/$V73, 0)</f>
        <v>0</v>
      </c>
      <c r="Z73" s="1382"/>
      <c r="AA73" s="1115">
        <v>0</v>
      </c>
      <c r="AB73" s="1145">
        <v>0</v>
      </c>
      <c r="AC73" s="959">
        <v>0</v>
      </c>
      <c r="AD73" s="905" t="s">
        <v>228</v>
      </c>
      <c r="AE73" s="950"/>
    </row>
    <row r="74" spans="1:31" ht="24.75" customHeight="1">
      <c r="A74" s="1257" t="s">
        <v>237</v>
      </c>
      <c r="B74" s="1335" t="s">
        <v>227</v>
      </c>
      <c r="C74" s="1000">
        <v>46111</v>
      </c>
      <c r="D74" s="1001"/>
      <c r="E74" s="1002"/>
      <c r="F74" s="1001"/>
      <c r="G74" s="908"/>
      <c r="H74" s="1378">
        <v>0</v>
      </c>
      <c r="I74" s="523" t="s">
        <v>54</v>
      </c>
      <c r="J74" s="972" t="s">
        <v>95</v>
      </c>
      <c r="K74" s="1379" t="s">
        <v>72</v>
      </c>
      <c r="L74" s="1002"/>
      <c r="M74" s="972" t="s">
        <v>73</v>
      </c>
      <c r="N74" s="1133">
        <v>16760.150000000001</v>
      </c>
      <c r="O74" s="972" t="s">
        <v>56</v>
      </c>
      <c r="P74" s="962" t="s">
        <v>74</v>
      </c>
      <c r="Q74" s="1375"/>
      <c r="R74" s="1375"/>
      <c r="S74" s="1375"/>
      <c r="T74" s="1375"/>
      <c r="U74" s="1375"/>
      <c r="V74" s="1376">
        <v>1329</v>
      </c>
      <c r="W74" s="1371"/>
      <c r="X74" s="1371">
        <f>SUM(V74-W74)</f>
        <v>1329</v>
      </c>
      <c r="Y74" s="525">
        <f>IFERROR($W74/$V74, 0)</f>
        <v>0</v>
      </c>
      <c r="Z74" s="1382"/>
      <c r="AA74" s="1115">
        <v>0</v>
      </c>
      <c r="AB74" s="1145">
        <v>0</v>
      </c>
      <c r="AC74" s="959">
        <v>0</v>
      </c>
      <c r="AD74" s="905" t="s">
        <v>235</v>
      </c>
      <c r="AE74" s="950"/>
    </row>
    <row r="75" spans="1:31" ht="24.75" customHeight="1">
      <c r="A75" s="1257" t="s">
        <v>238</v>
      </c>
      <c r="B75" s="1335" t="s">
        <v>227</v>
      </c>
      <c r="C75" s="1000">
        <v>46111</v>
      </c>
      <c r="D75" s="1001"/>
      <c r="E75" s="1002"/>
      <c r="F75" s="1001"/>
      <c r="G75" s="908"/>
      <c r="H75" s="1378">
        <v>0</v>
      </c>
      <c r="I75" s="523" t="s">
        <v>54</v>
      </c>
      <c r="J75" s="972" t="s">
        <v>95</v>
      </c>
      <c r="K75" s="1379" t="s">
        <v>72</v>
      </c>
      <c r="L75" s="1002"/>
      <c r="M75" s="972" t="s">
        <v>73</v>
      </c>
      <c r="N75" s="1133">
        <v>14178.2</v>
      </c>
      <c r="O75" s="972" t="s">
        <v>56</v>
      </c>
      <c r="P75" s="962" t="s">
        <v>74</v>
      </c>
      <c r="Q75" s="1375"/>
      <c r="R75" s="1375"/>
      <c r="S75" s="1375"/>
      <c r="T75" s="1375"/>
      <c r="U75" s="1375"/>
      <c r="V75" s="1376">
        <v>1124</v>
      </c>
      <c r="W75" s="1371"/>
      <c r="X75" s="1371">
        <f>SUM(V75-W75)</f>
        <v>1124</v>
      </c>
      <c r="Y75" s="525">
        <f>IFERROR($W75/$V75, 0)</f>
        <v>0</v>
      </c>
      <c r="Z75" s="1382"/>
      <c r="AA75" s="1115">
        <v>0</v>
      </c>
      <c r="AB75" s="1145">
        <v>0</v>
      </c>
      <c r="AC75" s="959">
        <v>0</v>
      </c>
      <c r="AD75" s="905" t="s">
        <v>235</v>
      </c>
      <c r="AE75" s="950"/>
    </row>
    <row r="76" spans="1:31" ht="24.75" customHeight="1">
      <c r="A76" s="999" t="s">
        <v>239</v>
      </c>
      <c r="B76" s="1335" t="s">
        <v>227</v>
      </c>
      <c r="C76" s="1000">
        <v>46111</v>
      </c>
      <c r="D76" s="1001"/>
      <c r="E76" s="1002"/>
      <c r="F76" s="1001"/>
      <c r="G76" s="908"/>
      <c r="H76" s="1378">
        <v>0</v>
      </c>
      <c r="I76" s="523" t="s">
        <v>54</v>
      </c>
      <c r="J76" s="972" t="s">
        <v>95</v>
      </c>
      <c r="K76" s="1379" t="s">
        <v>72</v>
      </c>
      <c r="L76" s="1002"/>
      <c r="M76" s="972" t="s">
        <v>73</v>
      </c>
      <c r="N76" s="1133"/>
      <c r="O76" s="972" t="s">
        <v>73</v>
      </c>
      <c r="P76" s="962" t="s">
        <v>74</v>
      </c>
      <c r="Q76" s="1375"/>
      <c r="R76" s="1375"/>
      <c r="S76" s="1375"/>
      <c r="T76" s="1375"/>
      <c r="U76" s="1375"/>
      <c r="V76" s="1380"/>
      <c r="W76" s="1381"/>
      <c r="X76" s="1381">
        <f>SUM(V76-W76)</f>
        <v>0</v>
      </c>
      <c r="Y76" s="692">
        <f>IFERROR($W76/$V76, 0)</f>
        <v>0</v>
      </c>
      <c r="Z76" s="1382"/>
      <c r="AA76" s="1115">
        <v>0</v>
      </c>
      <c r="AB76" s="1145">
        <v>0</v>
      </c>
      <c r="AC76" s="959">
        <v>0</v>
      </c>
      <c r="AD76" s="905" t="s">
        <v>240</v>
      </c>
      <c r="AE76" s="950"/>
    </row>
    <row r="77" spans="1:31" ht="24.75" customHeight="1">
      <c r="A77" s="999" t="s">
        <v>241</v>
      </c>
      <c r="B77" s="1335" t="s">
        <v>227</v>
      </c>
      <c r="C77" s="1000">
        <v>46111</v>
      </c>
      <c r="D77" s="1001"/>
      <c r="E77" s="1002"/>
      <c r="F77" s="1001"/>
      <c r="G77" s="908"/>
      <c r="H77" s="1378">
        <v>0</v>
      </c>
      <c r="I77" s="523" t="s">
        <v>54</v>
      </c>
      <c r="J77" s="972" t="s">
        <v>95</v>
      </c>
      <c r="K77" s="1379" t="s">
        <v>72</v>
      </c>
      <c r="L77" s="1002"/>
      <c r="M77" s="972" t="s">
        <v>73</v>
      </c>
      <c r="N77" s="1133"/>
      <c r="O77" s="972" t="s">
        <v>73</v>
      </c>
      <c r="P77" s="962" t="s">
        <v>74</v>
      </c>
      <c r="Q77" s="1375"/>
      <c r="R77" s="1375"/>
      <c r="S77" s="1375"/>
      <c r="T77" s="1375"/>
      <c r="U77" s="1375"/>
      <c r="V77" s="1380"/>
      <c r="W77" s="1381"/>
      <c r="X77" s="1381">
        <f>SUM(V77-W77)</f>
        <v>0</v>
      </c>
      <c r="Y77" s="520">
        <f>IFERROR($W77/$V77, 0)</f>
        <v>0</v>
      </c>
      <c r="Z77" s="1383"/>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4"/>
      <c r="R85" s="1017"/>
      <c r="S85" s="1017"/>
      <c r="T85" s="1017"/>
      <c r="U85" s="1017"/>
      <c r="V85" s="982">
        <v>4564</v>
      </c>
      <c r="W85" s="944"/>
      <c r="X85" s="982">
        <v>4564</v>
      </c>
      <c r="Y85" s="875"/>
      <c r="Z85" s="1385"/>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4"/>
      <c r="R86" s="1017"/>
      <c r="S86" s="1017"/>
      <c r="T86" s="1017"/>
      <c r="U86" s="1017"/>
      <c r="V86" s="982">
        <v>5936</v>
      </c>
      <c r="W86" s="944"/>
      <c r="X86" s="982">
        <v>5936</v>
      </c>
      <c r="Y86" s="875"/>
      <c r="Z86" s="1385"/>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4"/>
      <c r="R87" s="1017"/>
      <c r="S87" s="1017"/>
      <c r="T87" s="1017"/>
      <c r="U87" s="1017"/>
      <c r="V87" s="982">
        <v>7117</v>
      </c>
      <c r="W87" s="944"/>
      <c r="X87" s="982">
        <v>7117</v>
      </c>
      <c r="Y87" s="875"/>
      <c r="Z87" s="1385"/>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4"/>
      <c r="R88" s="1017"/>
      <c r="S88" s="1017"/>
      <c r="T88" s="1017"/>
      <c r="U88" s="1017"/>
      <c r="V88" s="982">
        <v>9590</v>
      </c>
      <c r="W88" s="944"/>
      <c r="X88" s="982">
        <v>9590</v>
      </c>
      <c r="Y88" s="875"/>
      <c r="Z88" s="1385"/>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4"/>
      <c r="R89" s="1017"/>
      <c r="S89" s="1017"/>
      <c r="T89" s="1017"/>
      <c r="U89" s="1017"/>
      <c r="V89" s="982">
        <v>9329</v>
      </c>
      <c r="W89" s="944"/>
      <c r="X89" s="982">
        <v>9329</v>
      </c>
      <c r="Y89" s="875"/>
      <c r="Z89" s="1385"/>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4"/>
      <c r="R90" s="1017"/>
      <c r="S90" s="1017"/>
      <c r="T90" s="1017"/>
      <c r="U90" s="1017"/>
      <c r="V90" s="982">
        <v>9709</v>
      </c>
      <c r="W90" s="944"/>
      <c r="X90" s="982">
        <v>9709</v>
      </c>
      <c r="Y90" s="875"/>
      <c r="Z90" s="1385"/>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4"/>
      <c r="R91" s="1017"/>
      <c r="S91" s="1017"/>
      <c r="T91" s="1017"/>
      <c r="U91" s="1017"/>
      <c r="V91" s="982">
        <v>9263</v>
      </c>
      <c r="W91" s="944"/>
      <c r="X91" s="982">
        <v>9263</v>
      </c>
      <c r="Y91" s="875"/>
      <c r="Z91" s="1385"/>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4"/>
      <c r="R92" s="1017"/>
      <c r="S92" s="1017"/>
      <c r="T92" s="1017"/>
      <c r="U92" s="1017"/>
      <c r="V92" s="982">
        <v>10385</v>
      </c>
      <c r="W92" s="944"/>
      <c r="X92" s="982">
        <v>10385</v>
      </c>
      <c r="Y92" s="875"/>
      <c r="Z92" s="1385"/>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4"/>
      <c r="R93" s="1017"/>
      <c r="S93" s="1017"/>
      <c r="T93" s="1017"/>
      <c r="U93" s="1017"/>
      <c r="V93" s="982">
        <v>9398</v>
      </c>
      <c r="W93" s="944"/>
      <c r="X93" s="982">
        <v>9398</v>
      </c>
      <c r="Y93" s="875"/>
      <c r="Z93" s="1385"/>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4"/>
      <c r="R94" s="1017"/>
      <c r="S94" s="1017"/>
      <c r="T94" s="1017"/>
      <c r="U94" s="1017"/>
      <c r="V94" s="982">
        <v>7517</v>
      </c>
      <c r="W94" s="944"/>
      <c r="X94" s="982">
        <v>7517</v>
      </c>
      <c r="Y94" s="875"/>
      <c r="Z94" s="1385"/>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4"/>
      <c r="R95" s="1017"/>
      <c r="S95" s="1017"/>
      <c r="T95" s="1017"/>
      <c r="U95" s="1017"/>
      <c r="V95" s="982">
        <v>5920</v>
      </c>
      <c r="W95" s="944"/>
      <c r="X95" s="982">
        <v>5920</v>
      </c>
      <c r="Y95" s="875"/>
      <c r="Z95" s="1385"/>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4"/>
      <c r="R96" s="1017"/>
      <c r="S96" s="1017"/>
      <c r="T96" s="1017"/>
      <c r="U96" s="1017"/>
      <c r="V96" s="982">
        <v>5589</v>
      </c>
      <c r="W96" s="944"/>
      <c r="X96" s="982">
        <v>5589</v>
      </c>
      <c r="Y96" s="875"/>
      <c r="Z96" s="1385"/>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4"/>
      <c r="R97" s="1017"/>
      <c r="S97" s="1017"/>
      <c r="T97" s="1017"/>
      <c r="U97" s="1017"/>
      <c r="V97" s="982">
        <v>5515</v>
      </c>
      <c r="W97" s="944"/>
      <c r="X97" s="982">
        <v>5515</v>
      </c>
      <c r="Y97" s="875"/>
      <c r="Z97" s="1385"/>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4"/>
      <c r="R98" s="1017"/>
      <c r="S98" s="1017"/>
      <c r="T98" s="1017"/>
      <c r="U98" s="1017"/>
      <c r="V98" s="982">
        <v>5191</v>
      </c>
      <c r="W98" s="944"/>
      <c r="X98" s="982">
        <v>5191</v>
      </c>
      <c r="Y98" s="875"/>
      <c r="Z98" s="1385"/>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4"/>
      <c r="R99" s="1017"/>
      <c r="S99" s="1017"/>
      <c r="T99" s="1017"/>
      <c r="U99" s="1017"/>
      <c r="V99" s="982">
        <v>5620</v>
      </c>
      <c r="W99" s="944"/>
      <c r="X99" s="982">
        <v>5620</v>
      </c>
      <c r="Y99" s="875"/>
      <c r="Z99" s="1385"/>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4"/>
      <c r="R100" s="1017"/>
      <c r="S100" s="1017"/>
      <c r="T100" s="1017"/>
      <c r="U100" s="1017"/>
      <c r="V100" s="982">
        <v>6864</v>
      </c>
      <c r="W100" s="944"/>
      <c r="X100" s="982">
        <v>6864</v>
      </c>
      <c r="Y100" s="875"/>
      <c r="Z100" s="1385"/>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4"/>
      <c r="R101" s="1017"/>
      <c r="S101" s="1017"/>
      <c r="T101" s="1017"/>
      <c r="U101" s="1017"/>
      <c r="V101" s="982">
        <v>6461</v>
      </c>
      <c r="W101" s="944"/>
      <c r="X101" s="982">
        <v>6461</v>
      </c>
      <c r="Y101" s="875"/>
      <c r="Z101" s="1385"/>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4"/>
      <c r="R102" s="1017"/>
      <c r="S102" s="1017"/>
      <c r="T102" s="1017"/>
      <c r="U102" s="1017"/>
      <c r="V102" s="982">
        <v>2790</v>
      </c>
      <c r="W102" s="944"/>
      <c r="X102" s="982">
        <v>2790</v>
      </c>
      <c r="Y102" s="875"/>
      <c r="Z102" s="1385"/>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4"/>
      <c r="R103" s="1017"/>
      <c r="S103" s="1017"/>
      <c r="T103" s="1017"/>
      <c r="U103" s="1017"/>
      <c r="V103" s="982">
        <v>7368</v>
      </c>
      <c r="W103" s="944"/>
      <c r="X103" s="982">
        <v>7368</v>
      </c>
      <c r="Y103" s="875"/>
      <c r="Z103" s="1385"/>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4"/>
      <c r="R104" s="1017"/>
      <c r="S104" s="1017"/>
      <c r="T104" s="1017"/>
      <c r="U104" s="1017"/>
      <c r="V104" s="982">
        <v>7844</v>
      </c>
      <c r="W104" s="944"/>
      <c r="X104" s="982">
        <v>7844</v>
      </c>
      <c r="Y104" s="875"/>
      <c r="Z104" s="1385"/>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4"/>
      <c r="R105" s="1017"/>
      <c r="S105" s="1017"/>
      <c r="T105" s="1017"/>
      <c r="U105" s="1017"/>
      <c r="V105" s="982">
        <v>8148</v>
      </c>
      <c r="W105" s="944"/>
      <c r="X105" s="982">
        <v>8148</v>
      </c>
      <c r="Y105" s="875"/>
      <c r="Z105" s="1385"/>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4"/>
      <c r="R106" s="1017"/>
      <c r="S106" s="1017"/>
      <c r="T106" s="1017"/>
      <c r="U106" s="1017"/>
      <c r="V106" s="982">
        <v>6829</v>
      </c>
      <c r="W106" s="944"/>
      <c r="X106" s="982">
        <v>6829</v>
      </c>
      <c r="Y106" s="875"/>
      <c r="Z106" s="1385"/>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4"/>
      <c r="R107" s="1017"/>
      <c r="S107" s="1017"/>
      <c r="T107" s="1017"/>
      <c r="U107" s="1017"/>
      <c r="V107" s="982">
        <v>6157</v>
      </c>
      <c r="W107" s="944"/>
      <c r="X107" s="982">
        <v>6157</v>
      </c>
      <c r="Y107" s="875"/>
      <c r="Z107" s="1385"/>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4"/>
      <c r="R108" s="1017"/>
      <c r="S108" s="1017"/>
      <c r="T108" s="1017"/>
      <c r="U108" s="1017"/>
      <c r="V108" s="982">
        <v>9537</v>
      </c>
      <c r="W108" s="944"/>
      <c r="X108" s="982">
        <v>9537</v>
      </c>
      <c r="Y108" s="875"/>
      <c r="Z108" s="1385"/>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4"/>
      <c r="R109" s="1017"/>
      <c r="S109" s="1017"/>
      <c r="T109" s="1017"/>
      <c r="U109" s="1017"/>
      <c r="V109" s="982">
        <v>6796</v>
      </c>
      <c r="W109" s="944"/>
      <c r="X109" s="982">
        <v>6796</v>
      </c>
      <c r="Y109" s="875"/>
      <c r="Z109" s="1385"/>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4"/>
      <c r="R110" s="1017"/>
      <c r="S110" s="1017"/>
      <c r="T110" s="1017"/>
      <c r="U110" s="1017"/>
      <c r="V110" s="982">
        <v>6149</v>
      </c>
      <c r="W110" s="944"/>
      <c r="X110" s="982">
        <v>6149</v>
      </c>
      <c r="Y110" s="875"/>
      <c r="Z110" s="1385"/>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4"/>
      <c r="R111" s="1017"/>
      <c r="S111" s="1017"/>
      <c r="T111" s="1017"/>
      <c r="U111" s="1017"/>
      <c r="V111" s="982">
        <v>6284</v>
      </c>
      <c r="W111" s="944"/>
      <c r="X111" s="982">
        <v>6284</v>
      </c>
      <c r="Y111" s="875"/>
      <c r="Z111" s="1385"/>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4"/>
      <c r="R112" s="1017"/>
      <c r="S112" s="1017"/>
      <c r="T112" s="1017"/>
      <c r="U112" s="1017"/>
      <c r="V112" s="982">
        <v>7743</v>
      </c>
      <c r="W112" s="944"/>
      <c r="X112" s="982">
        <v>7743</v>
      </c>
      <c r="Y112" s="875"/>
      <c r="Z112" s="1385"/>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4"/>
      <c r="R113" s="1017"/>
      <c r="S113" s="1017"/>
      <c r="T113" s="1017"/>
      <c r="U113" s="1017"/>
      <c r="V113" s="982">
        <v>6932</v>
      </c>
      <c r="W113" s="944"/>
      <c r="X113" s="982">
        <v>6932</v>
      </c>
      <c r="Y113" s="875"/>
      <c r="Z113" s="1385"/>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4"/>
      <c r="R114" s="1017"/>
      <c r="S114" s="1017"/>
      <c r="T114" s="1017"/>
      <c r="U114" s="1017"/>
      <c r="V114" s="982">
        <v>6213</v>
      </c>
      <c r="W114" s="944"/>
      <c r="X114" s="982">
        <v>6213</v>
      </c>
      <c r="Y114" s="875"/>
      <c r="Z114" s="1385"/>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4"/>
      <c r="R115" s="1017"/>
      <c r="S115" s="1017"/>
      <c r="T115" s="1017"/>
      <c r="U115" s="1017"/>
      <c r="V115" s="982">
        <v>4339</v>
      </c>
      <c r="W115" s="944"/>
      <c r="X115" s="982">
        <v>4339</v>
      </c>
      <c r="Y115" s="875"/>
      <c r="Z115" s="1385"/>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4"/>
      <c r="R116" s="1017"/>
      <c r="S116" s="1017"/>
      <c r="T116" s="1017"/>
      <c r="U116" s="1017"/>
      <c r="V116" s="982">
        <v>3940</v>
      </c>
      <c r="W116" s="944"/>
      <c r="X116" s="982">
        <v>3940</v>
      </c>
      <c r="Y116" s="875"/>
      <c r="Z116" s="1385"/>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4"/>
      <c r="R117" s="1017"/>
      <c r="S117" s="1017"/>
      <c r="T117" s="1017"/>
      <c r="U117" s="1017"/>
      <c r="V117" s="982">
        <v>6855</v>
      </c>
      <c r="W117" s="944"/>
      <c r="X117" s="982">
        <v>6855</v>
      </c>
      <c r="Y117" s="875"/>
      <c r="Z117" s="1385"/>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4"/>
      <c r="R118" s="1017"/>
      <c r="S118" s="1017"/>
      <c r="T118" s="1017"/>
      <c r="U118" s="1017"/>
      <c r="V118" s="982">
        <v>7147</v>
      </c>
      <c r="W118" s="944"/>
      <c r="X118" s="982">
        <v>7147</v>
      </c>
      <c r="Y118" s="875"/>
      <c r="Z118" s="1385"/>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4"/>
      <c r="R119" s="1017"/>
      <c r="S119" s="1017"/>
      <c r="T119" s="1017"/>
      <c r="U119" s="1017"/>
      <c r="V119" s="982">
        <v>6376</v>
      </c>
      <c r="W119" s="944"/>
      <c r="X119" s="982">
        <v>6376</v>
      </c>
      <c r="Y119" s="875"/>
      <c r="Z119" s="1385"/>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4"/>
      <c r="R120" s="1017"/>
      <c r="S120" s="1017"/>
      <c r="T120" s="1017"/>
      <c r="U120" s="1017"/>
      <c r="V120" s="982">
        <v>4784</v>
      </c>
      <c r="W120" s="944"/>
      <c r="X120" s="982">
        <v>4784</v>
      </c>
      <c r="Y120" s="875"/>
      <c r="Z120" s="1385"/>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4"/>
      <c r="R121" s="1017"/>
      <c r="S121" s="1017"/>
      <c r="T121" s="1017"/>
      <c r="U121" s="1017"/>
      <c r="V121" s="982">
        <v>6387</v>
      </c>
      <c r="W121" s="944"/>
      <c r="X121" s="982">
        <v>6387</v>
      </c>
      <c r="Y121" s="875"/>
      <c r="Z121" s="1385"/>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4"/>
      <c r="R122" s="1017"/>
      <c r="S122" s="1017"/>
      <c r="T122" s="1017"/>
      <c r="U122" s="1017"/>
      <c r="V122" s="982">
        <v>6372</v>
      </c>
      <c r="W122" s="944"/>
      <c r="X122" s="982">
        <v>6372</v>
      </c>
      <c r="Y122" s="875"/>
      <c r="Z122" s="1385"/>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4"/>
      <c r="R123" s="1017"/>
      <c r="S123" s="1017"/>
      <c r="T123" s="1017"/>
      <c r="U123" s="1017"/>
      <c r="V123" s="982">
        <v>5363</v>
      </c>
      <c r="W123" s="944"/>
      <c r="X123" s="982">
        <v>5363</v>
      </c>
      <c r="Y123" s="875"/>
      <c r="Z123" s="1385"/>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4"/>
      <c r="R124" s="1017"/>
      <c r="S124" s="1017"/>
      <c r="T124" s="1017"/>
      <c r="U124" s="1017"/>
      <c r="V124" s="982">
        <v>5199</v>
      </c>
      <c r="W124" s="944"/>
      <c r="X124" s="982">
        <v>5199</v>
      </c>
      <c r="Y124" s="875"/>
      <c r="Z124" s="1385"/>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4"/>
      <c r="R125" s="1017"/>
      <c r="S125" s="1017"/>
      <c r="T125" s="1017"/>
      <c r="U125" s="1017"/>
      <c r="V125" s="982">
        <v>9771</v>
      </c>
      <c r="W125" s="944"/>
      <c r="X125" s="982">
        <v>9771</v>
      </c>
      <c r="Y125" s="875"/>
      <c r="Z125" s="1385"/>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4"/>
      <c r="R126" s="1017"/>
      <c r="S126" s="1017"/>
      <c r="T126" s="1017"/>
      <c r="U126" s="1017"/>
      <c r="V126" s="982">
        <v>9562</v>
      </c>
      <c r="W126" s="944"/>
      <c r="X126" s="982">
        <v>9562</v>
      </c>
      <c r="Y126" s="875"/>
      <c r="Z126" s="1385"/>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4"/>
      <c r="R127" s="1017"/>
      <c r="S127" s="1017"/>
      <c r="T127" s="1017"/>
      <c r="U127" s="1017"/>
      <c r="V127" s="982">
        <v>6309</v>
      </c>
      <c r="W127" s="944"/>
      <c r="X127" s="982">
        <v>6309</v>
      </c>
      <c r="Y127" s="875"/>
      <c r="Z127" s="1385"/>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4"/>
      <c r="R128" s="1017"/>
      <c r="S128" s="1017"/>
      <c r="T128" s="1017"/>
      <c r="U128" s="1017"/>
      <c r="V128" s="982">
        <v>10260</v>
      </c>
      <c r="W128" s="944"/>
      <c r="X128" s="982">
        <v>10260</v>
      </c>
      <c r="Y128" s="875"/>
      <c r="Z128" s="1385"/>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4"/>
      <c r="R129" s="1017"/>
      <c r="S129" s="1017"/>
      <c r="T129" s="1017"/>
      <c r="U129" s="1017"/>
      <c r="V129" s="982">
        <v>10080</v>
      </c>
      <c r="W129" s="944"/>
      <c r="X129" s="982">
        <v>10080</v>
      </c>
      <c r="Y129" s="875"/>
      <c r="Z129" s="1385"/>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4"/>
      <c r="R130" s="1017"/>
      <c r="S130" s="1017"/>
      <c r="T130" s="1017"/>
      <c r="U130" s="1017"/>
      <c r="V130" s="982">
        <v>6859</v>
      </c>
      <c r="W130" s="944"/>
      <c r="X130" s="982">
        <v>6859</v>
      </c>
      <c r="Y130" s="875"/>
      <c r="Z130" s="1385"/>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4"/>
      <c r="R131" s="1017"/>
      <c r="S131" s="1017"/>
      <c r="T131" s="1017"/>
      <c r="U131" s="1017"/>
      <c r="V131" s="982">
        <v>5873</v>
      </c>
      <c r="W131" s="944"/>
      <c r="X131" s="982">
        <v>5873</v>
      </c>
      <c r="Y131" s="875"/>
      <c r="Z131" s="1385"/>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4"/>
      <c r="R132" s="1017"/>
      <c r="S132" s="1017"/>
      <c r="T132" s="1017"/>
      <c r="U132" s="1017"/>
      <c r="V132" s="982">
        <v>4945</v>
      </c>
      <c r="W132" s="944"/>
      <c r="X132" s="982">
        <v>4945</v>
      </c>
      <c r="Y132" s="875"/>
      <c r="Z132" s="1385"/>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4"/>
      <c r="R133" s="1017"/>
      <c r="S133" s="1017"/>
      <c r="T133" s="1017"/>
      <c r="U133" s="1017"/>
      <c r="V133" s="982">
        <v>4275</v>
      </c>
      <c r="W133" s="944"/>
      <c r="X133" s="982">
        <v>4275</v>
      </c>
      <c r="Y133" s="875"/>
      <c r="Z133" s="1385"/>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4"/>
      <c r="R134" s="1017"/>
      <c r="S134" s="1017"/>
      <c r="T134" s="1017"/>
      <c r="U134" s="1017"/>
      <c r="V134" s="982">
        <v>6378</v>
      </c>
      <c r="W134" s="944"/>
      <c r="X134" s="982">
        <v>6378</v>
      </c>
      <c r="Y134" s="875"/>
      <c r="Z134" s="1385"/>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4"/>
      <c r="R135" s="1017"/>
      <c r="S135" s="1017"/>
      <c r="T135" s="1017"/>
      <c r="U135" s="1017"/>
      <c r="V135" s="982">
        <v>7373</v>
      </c>
      <c r="W135" s="944"/>
      <c r="X135" s="982">
        <v>7373</v>
      </c>
      <c r="Y135" s="875"/>
      <c r="Z135" s="1385"/>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4"/>
      <c r="R136" s="1017"/>
      <c r="S136" s="1017"/>
      <c r="T136" s="1017"/>
      <c r="U136" s="1017"/>
      <c r="V136" s="982">
        <v>5781</v>
      </c>
      <c r="W136" s="944"/>
      <c r="X136" s="982">
        <v>5781</v>
      </c>
      <c r="Y136" s="875"/>
      <c r="Z136" s="1385"/>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4"/>
      <c r="R137" s="1017"/>
      <c r="S137" s="1017"/>
      <c r="T137" s="1017"/>
      <c r="U137" s="1017"/>
      <c r="V137" s="982">
        <v>9051</v>
      </c>
      <c r="W137" s="944"/>
      <c r="X137" s="982">
        <v>9051</v>
      </c>
      <c r="Y137" s="875"/>
      <c r="Z137" s="1385"/>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4"/>
      <c r="R138" s="1017"/>
      <c r="S138" s="1017"/>
      <c r="T138" s="1017"/>
      <c r="U138" s="1017"/>
      <c r="V138" s="982">
        <v>7261</v>
      </c>
      <c r="W138" s="944"/>
      <c r="X138" s="982">
        <v>7261</v>
      </c>
      <c r="Y138" s="875"/>
      <c r="Z138" s="1385"/>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4"/>
      <c r="R139" s="1017"/>
      <c r="S139" s="1017"/>
      <c r="T139" s="1017"/>
      <c r="U139" s="1017"/>
      <c r="V139" s="982">
        <v>9638</v>
      </c>
      <c r="W139" s="944"/>
      <c r="X139" s="982">
        <v>9638</v>
      </c>
      <c r="Y139" s="875"/>
      <c r="Z139" s="1385"/>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4"/>
      <c r="R140" s="1017"/>
      <c r="S140" s="1017"/>
      <c r="T140" s="1017"/>
      <c r="U140" s="1017"/>
      <c r="V140" s="982">
        <v>8746</v>
      </c>
      <c r="W140" s="944"/>
      <c r="X140" s="982">
        <v>8746</v>
      </c>
      <c r="Y140" s="875"/>
      <c r="Z140" s="1385"/>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4"/>
      <c r="R141" s="1017"/>
      <c r="S141" s="1017"/>
      <c r="T141" s="1017"/>
      <c r="U141" s="1017"/>
      <c r="V141" s="1125"/>
      <c r="W141" s="944"/>
      <c r="X141" s="1125"/>
      <c r="Y141" s="875"/>
      <c r="Z141" s="1385"/>
      <c r="AA141" s="1386"/>
      <c r="AB141" s="1386"/>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4"/>
      <c r="R142" s="1017"/>
      <c r="S142" s="1017"/>
      <c r="T142" s="1017"/>
      <c r="U142" s="1017"/>
      <c r="V142" s="1125"/>
      <c r="W142" s="944"/>
      <c r="X142" s="1125"/>
      <c r="Y142" s="875"/>
      <c r="Z142" s="1385"/>
      <c r="AA142" s="1386"/>
      <c r="AB142" s="1386"/>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4"/>
      <c r="R153" s="1017"/>
      <c r="S153" s="1017"/>
      <c r="T153" s="1017"/>
      <c r="U153" s="1017"/>
      <c r="V153" s="944">
        <v>8641</v>
      </c>
      <c r="W153" s="1381"/>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87"/>
      <c r="R154" s="1019"/>
      <c r="S154" s="1019"/>
      <c r="T154" s="1019"/>
      <c r="U154" s="1019"/>
      <c r="V154" s="1021">
        <v>7502</v>
      </c>
      <c r="W154" s="1388"/>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88"/>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68"/>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3">
        <v>109</v>
      </c>
      <c r="I12" s="666" t="s">
        <v>200</v>
      </c>
      <c r="J12" s="669" t="s">
        <v>55</v>
      </c>
      <c r="K12" s="1368"/>
      <c r="L12" s="1002">
        <v>45663</v>
      </c>
      <c r="M12" s="909" t="s">
        <v>56</v>
      </c>
      <c r="N12" s="1374">
        <v>123587.5</v>
      </c>
      <c r="O12" s="1373" t="s">
        <v>56</v>
      </c>
      <c r="P12" s="1389" t="s">
        <v>201</v>
      </c>
      <c r="Q12" s="1375">
        <v>46008</v>
      </c>
      <c r="R12" s="1375"/>
      <c r="S12" s="1375"/>
      <c r="T12" s="1375"/>
      <c r="U12" s="1375"/>
      <c r="V12" s="1376">
        <v>6825</v>
      </c>
      <c r="W12" s="1390">
        <v>6575</v>
      </c>
      <c r="X12" s="1371">
        <f>SUM(V12-W12)</f>
        <v>250</v>
      </c>
      <c r="Y12" s="525">
        <f>IFERROR($W12/$V12, 0)</f>
        <v>0.96336996336996339</v>
      </c>
      <c r="Z12" s="1375">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abSelected="1" topLeftCell="A80" workbookViewId="0">
      <pane xSplit="1" topLeftCell="K136"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68">
        <v>0</v>
      </c>
      <c r="I211" s="524" t="s">
        <v>200</v>
      </c>
      <c r="J211" s="1368" t="s">
        <v>55</v>
      </c>
      <c r="K211" s="1000" t="s">
        <v>104</v>
      </c>
      <c r="L211" s="1368" t="s">
        <v>56</v>
      </c>
      <c r="M211" s="1391">
        <v>15670.45</v>
      </c>
      <c r="N211" s="43"/>
      <c r="O211" s="1368" t="s">
        <v>56</v>
      </c>
      <c r="P211" s="1392" t="s">
        <v>201</v>
      </c>
      <c r="Q211" s="1370">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3">
        <v>5883</v>
      </c>
      <c r="T266" s="1059">
        <v>0</v>
      </c>
      <c r="U266" s="81">
        <f>IFERROR(Table5[[#This Row],[Actual Redline Completed Footage UG]]/Table5[[#This Row],[Footage UG]], 0)</f>
        <v>1.0039249146757678</v>
      </c>
      <c r="V266" s="1384">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3">
        <v>4894</v>
      </c>
      <c r="T269" s="1058">
        <v>0</v>
      </c>
      <c r="U269" s="4">
        <f>IFERROR(Table5[[#This Row],[Actual Redline Completed Footage UG]]/Table5[[#This Row],[Footage UG]], 0)</f>
        <v>1.011993382961125</v>
      </c>
      <c r="V269" s="1387">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4">
        <v>7212</v>
      </c>
      <c r="T271" s="1058">
        <v>0</v>
      </c>
      <c r="U271" s="4">
        <f>IFERROR(Table5[[#This Row],[Actual Redline Completed Footage UG]]/Table5[[#This Row],[Footage UG]], 0)</f>
        <v>0.98242746219861055</v>
      </c>
      <c r="V271" s="1384">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4">
        <v>1277</v>
      </c>
      <c r="T273" s="1059">
        <v>0</v>
      </c>
      <c r="U273" s="81">
        <f>IFERROR(Table5[[#This Row],[Actual Redline Completed Footage UG]]/Table5[[#This Row],[Footage UG]], 0)</f>
        <v>0.99454828660436134</v>
      </c>
      <c r="V273" s="1384">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395" t="s">
        <v>55</v>
      </c>
      <c r="K289" s="43"/>
      <c r="L289" s="696" t="s">
        <v>67</v>
      </c>
      <c r="M289" s="773" t="s">
        <v>56</v>
      </c>
      <c r="N289" s="1396">
        <v>1035</v>
      </c>
      <c r="O289" s="956" t="s">
        <v>56</v>
      </c>
      <c r="P289" s="1318" t="s">
        <v>201</v>
      </c>
      <c r="Q289" s="1397">
        <v>46030</v>
      </c>
      <c r="R289" s="258" t="s">
        <v>104</v>
      </c>
      <c r="S289" s="258" t="s">
        <v>104</v>
      </c>
      <c r="T289" s="258" t="s">
        <v>104</v>
      </c>
      <c r="U289" s="36"/>
      <c r="V289" s="1398">
        <v>0</v>
      </c>
      <c r="W289" s="1399">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21747</v>
      </c>
      <c r="P6" s="1367">
        <v>42799</v>
      </c>
      <c r="Q6" s="1367">
        <v>33743</v>
      </c>
      <c r="R6" s="1367">
        <v>98289</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6988</v>
      </c>
      <c r="P9" s="1367">
        <v>19886</v>
      </c>
      <c r="Q9" s="1367">
        <v>8220</v>
      </c>
      <c r="R9" s="1367">
        <v>35094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47647</v>
      </c>
      <c r="P13" s="1367">
        <v>138513</v>
      </c>
      <c r="Q13" s="1367">
        <v>113546</v>
      </c>
      <c r="R13" s="1367">
        <v>299706</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v>187</v>
      </c>
      <c r="E1335" s="1367">
        <v>300</v>
      </c>
      <c r="F1335" s="1367">
        <v>295</v>
      </c>
      <c r="G1335" s="1367">
        <v>782</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1159</v>
      </c>
      <c r="B1345" s="1367">
        <v>2233</v>
      </c>
      <c r="C1345" s="1367">
        <v>4954</v>
      </c>
      <c r="D1345" s="1367">
        <v>5369</v>
      </c>
      <c r="E1345" s="1367">
        <v>4444</v>
      </c>
      <c r="F1345" s="1367">
        <v>1727</v>
      </c>
      <c r="G1345"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c r="E1351" s="1367">
        <v>2347</v>
      </c>
    </row>
    <row r="1352" spans="1:7">
      <c r="A1352" t="s">
        <v>384</v>
      </c>
      <c r="B1352" s="1367">
        <v>1044</v>
      </c>
      <c r="C1352" s="1367"/>
      <c r="D1352" s="1367"/>
      <c r="E1352" s="1367">
        <v>1044</v>
      </c>
    </row>
    <row r="1353" spans="1:7">
      <c r="A1353" t="s">
        <v>196</v>
      </c>
      <c r="B1353" s="1367"/>
      <c r="C1353" s="1367">
        <v>1062</v>
      </c>
      <c r="D1353" s="1367"/>
      <c r="E1353" s="1367">
        <v>1062</v>
      </c>
    </row>
    <row r="1354" spans="1:7">
      <c r="A1354" t="s">
        <v>217</v>
      </c>
      <c r="B1354" s="1367">
        <v>1099</v>
      </c>
      <c r="C1354" s="1367"/>
      <c r="D1354" s="1367"/>
      <c r="E1354" s="1367">
        <v>1099</v>
      </c>
    </row>
    <row r="1355" spans="1:7">
      <c r="A1355" t="s">
        <v>381</v>
      </c>
      <c r="B1355" s="1367"/>
      <c r="C1355" s="1367"/>
      <c r="D1355" s="1367"/>
      <c r="E1355" s="1367"/>
    </row>
    <row r="1356" spans="1:7">
      <c r="A1356" t="s">
        <v>1240</v>
      </c>
      <c r="B1356" s="1367">
        <v>534</v>
      </c>
      <c r="C1356" s="1367"/>
      <c r="D1356" s="1367"/>
      <c r="E1356" s="1367">
        <v>534</v>
      </c>
    </row>
    <row r="1357" spans="1:7">
      <c r="A1357" t="s">
        <v>79</v>
      </c>
      <c r="B1357" s="1367"/>
      <c r="C1357" s="1367">
        <v>1056</v>
      </c>
      <c r="D1357" s="1367"/>
      <c r="E1357" s="1367">
        <v>1056</v>
      </c>
    </row>
    <row r="1358" spans="1:7">
      <c r="A1358" t="s">
        <v>1242</v>
      </c>
      <c r="B1358" s="1367">
        <v>201</v>
      </c>
      <c r="C1358" s="1367"/>
      <c r="D1358" s="1367"/>
      <c r="E1358" s="1367">
        <v>201</v>
      </c>
    </row>
    <row r="1359" spans="1:7">
      <c r="A1359" t="s">
        <v>1159</v>
      </c>
      <c r="B1359" s="1367">
        <v>4989</v>
      </c>
      <c r="C1359" s="1367">
        <v>3191</v>
      </c>
      <c r="D1359" s="1367"/>
      <c r="E1359" s="1367">
        <v>8180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2"/>
  <sheetViews>
    <sheetView workbookViewId="0">
      <pane ySplit="1" topLeftCell="A2716" activePane="bottomLeft" state="frozen"/>
      <selection pane="bottomLeft" activeCell="A2734" sqref="A273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645</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645</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G2727" t="s">
        <v>1163</v>
      </c>
    </row>
    <row r="2728" spans="1:7">
      <c r="A2728" s="1365" t="s">
        <v>79</v>
      </c>
      <c r="B2728" s="1365" t="s">
        <v>102</v>
      </c>
      <c r="C2728" s="24">
        <v>46078</v>
      </c>
      <c r="G2728" t="s">
        <v>1163</v>
      </c>
    </row>
    <row r="2729" spans="1:7">
      <c r="A2729" s="1365" t="s">
        <v>198</v>
      </c>
      <c r="B2729" s="1365" t="s">
        <v>138</v>
      </c>
      <c r="C2729" s="24">
        <v>46078</v>
      </c>
      <c r="D2729" s="12">
        <v>271</v>
      </c>
      <c r="G2729" t="s">
        <v>1163</v>
      </c>
    </row>
    <row r="2730" spans="1:7">
      <c r="A2730" s="1366" t="s">
        <v>196</v>
      </c>
      <c r="B2730" s="1366" t="s">
        <v>151</v>
      </c>
      <c r="C2730" s="24">
        <v>46078</v>
      </c>
      <c r="G2730" t="s">
        <v>1163</v>
      </c>
    </row>
    <row r="2731" spans="1:7">
      <c r="A2731" s="1366" t="s">
        <v>217</v>
      </c>
      <c r="B2731" s="1366" t="s">
        <v>138</v>
      </c>
      <c r="C2731" s="24">
        <v>46078</v>
      </c>
      <c r="G2731" t="s">
        <v>1163</v>
      </c>
    </row>
    <row r="2732" spans="1:7">
      <c r="A2732" s="243" t="s">
        <v>1240</v>
      </c>
      <c r="B2732" s="753" t="s">
        <v>1938</v>
      </c>
      <c r="C2732" s="24">
        <v>46078</v>
      </c>
      <c r="G2732"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176BD3-0060-42E8-899F-98E0387B4C3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2026-02-25T19:41:01Z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