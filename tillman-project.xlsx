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84" documentId="8_{E14B221E-02E2-46A3-8CEC-C736815F2DD5}" xr6:coauthVersionLast="47" xr6:coauthVersionMax="47" xr10:uidLastSave="{F4FEAF5E-2FB8-4AF1-A5E2-FB7ECD8B907F}"/>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6953" r:id="rId12"/>
    <pivotCache cacheId="6956" r:id="rId13"/>
    <pivotCache cacheId="6959" r:id="rId14"/>
    <pivotCache cacheId="6962" r:id="rId15"/>
    <pivotCache cacheId="69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<sst xmlns="http://schemas.openxmlformats.org/spreadsheetml/2006/main" count="15120" uniqueCount="1902">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</sst>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2" fillId="22"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W34" activePane="topRight" state="frozen"/>
      <selection pane="topRight" activeCell="Y46" sqref="Y4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9"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SUM(V129-W129)</f>
        <v>6897</v>
      </c>
      <c r="Y129" s="901">
        <f>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SUM(V130-W130)</f>
        <v>6218</v>
      </c>
      <c r="Y130" s="901">
        <f>IFERROR($W130/$V130, 0)</f>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SUM(V131-W131)</f>
        <v>7491</v>
      </c>
      <c r="Y131" s="901">
        <f>IFERROR($W131/$V131, 0)</f>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SUM(V132-W132)</f>
        <v>5456</v>
      </c>
      <c r="Y132" s="901">
        <f>IFERROR($W132/$V132, 0)</f>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SUM(V133-W133)</f>
        <v>5810</v>
      </c>
      <c r="Y133" s="901">
        <f>IFERROR($W133/$V133, 0)</f>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33"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SUM(V9-W9)</f>
        <v>91</v>
      </c>
      <c r="Y9" s="677">
        <f>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SUM(V10-W10)</f>
        <v>-75</v>
      </c>
      <c r="Y10" s="677">
        <f>IFERROR($W10/$V10, 0)</f>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SUM(V11-W11)</f>
        <v>-26</v>
      </c>
      <c r="Y11" s="677">
        <f>IFERROR($W11/$V11, 0)</f>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SUM(V15-W15)</f>
        <v>213</v>
      </c>
      <c r="Y15" s="677">
        <f>IFERROR($W15/$V15, 0)</f>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4">SUM(V16-W16)</f>
        <v>0</v>
      </c>
      <c r="Y16" s="682">
        <f t="shared" ref="Y16" si="5">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SUM(V19-W19)</f>
        <v>2</v>
      </c>
      <c r="Y19" s="682">
        <f>IFERROR($W19/$V19, 0)</f>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SUM(V34-W34)</f>
        <v>0</v>
      </c>
      <c r="Y34" s="71">
        <f>IFERROR($W34/$V34, 0)</f>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SUM(V35-W35)</f>
        <v>66</v>
      </c>
      <c r="Y35" s="71">
        <f>IFERROR($W35/$V35, 0)</f>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SUM(V36-W36)</f>
        <v>7</v>
      </c>
      <c r="Y36" s="71">
        <f>IFERROR($W36/$V36, 0)</f>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SUM(V37-W37)</f>
        <v>-4</v>
      </c>
      <c r="Y37" s="71">
        <f>IFERROR($W37/$V37, 0)</f>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SUM(V38-W38)</f>
        <v>39</v>
      </c>
      <c r="Y38" s="515">
        <f>IFERROR($W38/$V38, 0)</f>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SUM(V39-W39)</f>
        <v>0</v>
      </c>
      <c r="Y39" s="515">
        <f>IFERROR($W39/$V39, 0)</f>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SUM(V40-W40)</f>
        <v>0</v>
      </c>
      <c r="Y40" s="901">
        <f>IFERROR($W40/$V40, 0)</f>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SUM(V41-W41)</f>
        <v>0</v>
      </c>
      <c r="Y41" s="901">
        <f>IFERROR($W41/$V41, 0)</f>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SUM(V42-W42)</f>
        <v>0</v>
      </c>
      <c r="Y42" s="901">
        <f>IFERROR($W42/$V42, 0)</f>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SUM(V43-W43)</f>
        <v>23</v>
      </c>
      <c r="Y43" s="901">
        <f>IFERROR($W43/$V43, 0)</f>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SUM(V44-W44)</f>
        <v>0</v>
      </c>
      <c r="Y44" s="901">
        <f>IFERROR($W44/$V44, 0)</f>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SUM(V45-W45)</f>
        <v>-7</v>
      </c>
      <c r="Y45" s="1036">
        <f>IFERROR($W45/$V45, 0)</f>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SUM(V46-W46)</f>
        <v>0</v>
      </c>
      <c r="Y46" s="901">
        <f>IFERROR($W46/$V46, 0)</f>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SUM(V47-W47)</f>
        <v>0</v>
      </c>
      <c r="Y47" s="901">
        <f>IFERROR($W47/$V47, 0)</f>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SUM(V48-W48)</f>
        <v>181</v>
      </c>
      <c r="Y48" s="1166">
        <f>IFERROR($W48/$V48, 0)</f>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SUM(V49-W49)</f>
        <v>6</v>
      </c>
      <c r="Y49" s="1036">
        <f>IFERROR($W49/$V49, 0)</f>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SUM(V50-W50)</f>
        <v>-174</v>
      </c>
      <c r="Y50" s="1036">
        <f>IFERROR($W50/$V50, 0)</f>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SUM(V51-W51)</f>
        <v>-118</v>
      </c>
      <c r="Y51" s="891">
        <f>IFERROR($W51/$V51, 0)</f>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SUM(V52-W52)</f>
        <v>-368</v>
      </c>
      <c r="Y52" s="1036">
        <f>IFERROR($W52/$V52, 0)</f>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SUM(V53-W53)</f>
        <v>-634</v>
      </c>
      <c r="Y53" s="1036">
        <f>IFERROR($W53/$V53, 0)</f>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5"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29"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row>
    <row r="1004" spans="1:7">
      <c r="A1004" t="s">
        <v>92</v>
      </c>
    </row>
    <row r="1005" spans="1:7">
      <c r="A1005" t="s">
        <v>84</v>
      </c>
      <c r="C1005">
        <v>68</v>
      </c>
      <c r="G1005">
        <v>68</v>
      </c>
    </row>
    <row r="1006" spans="1:7">
      <c r="A1006" t="s">
        <v>997</v>
      </c>
    </row>
    <row r="1007" spans="1:7">
      <c r="A1007" t="s">
        <v>374</v>
      </c>
    </row>
    <row r="1008" spans="1:7">
      <c r="A1008" t="s">
        <v>405</v>
      </c>
    </row>
    <row r="1009" spans="1:7">
      <c r="A1009" t="s">
        <v>388</v>
      </c>
    </row>
    <row r="1010" spans="1:7">
      <c r="A1010" t="s">
        <v>383</v>
      </c>
    </row>
    <row r="1011" spans="1:7">
      <c r="A1011" t="s">
        <v>245</v>
      </c>
      <c r="D1011">
        <v>426</v>
      </c>
      <c r="G1011">
        <v>426</v>
      </c>
    </row>
    <row r="1012" spans="1:7">
      <c r="A1012" t="s">
        <v>404</v>
      </c>
    </row>
    <row r="1013" spans="1:7">
      <c r="A1013" t="s">
        <v>454</v>
      </c>
    </row>
    <row r="1014" spans="1:7">
      <c r="A1014" t="s">
        <v>330</v>
      </c>
      <c r="C1014">
        <v>1175</v>
      </c>
      <c r="G1014">
        <v>1175</v>
      </c>
    </row>
    <row r="1015" spans="1:7">
      <c r="A1015" t="s">
        <v>325</v>
      </c>
      <c r="C1015">
        <v>996</v>
      </c>
      <c r="G1015">
        <v>996</v>
      </c>
    </row>
    <row r="1016" spans="1:7">
      <c r="A1016" t="s">
        <v>385</v>
      </c>
      <c r="B1016">
        <v>900</v>
      </c>
      <c r="G1016">
        <v>900</v>
      </c>
    </row>
    <row r="1017" spans="1:7">
      <c r="A1017" t="s">
        <v>417</v>
      </c>
    </row>
    <row r="1018" spans="1:7">
      <c r="A1018" t="s">
        <v>415</v>
      </c>
    </row>
    <row r="1019" spans="1:7">
      <c r="A1019" t="s">
        <v>1013</v>
      </c>
      <c r="B1019">
        <v>2805</v>
      </c>
      <c r="C1019">
        <v>1397</v>
      </c>
      <c r="G1019">
        <v>4202</v>
      </c>
    </row>
    <row r="1020" spans="1:7">
      <c r="A1020" t="s">
        <v>159</v>
      </c>
      <c r="B1020">
        <v>665</v>
      </c>
      <c r="C1020">
        <v>1360</v>
      </c>
      <c r="D1020">
        <v>1024</v>
      </c>
      <c r="G1020">
        <v>3049</v>
      </c>
    </row>
    <row r="1021" spans="1:7">
      <c r="A1021" t="s">
        <v>423</v>
      </c>
      <c r="B1021">
        <v>805</v>
      </c>
      <c r="G1021">
        <v>805</v>
      </c>
    </row>
    <row r="1022" spans="1:7">
      <c r="A1022" t="s">
        <v>426</v>
      </c>
      <c r="B1022">
        <v>572</v>
      </c>
      <c r="G1022">
        <v>572</v>
      </c>
    </row>
    <row r="1023" spans="1:7">
      <c r="A1023" t="s">
        <v>1015</v>
      </c>
      <c r="B1023">
        <v>1718</v>
      </c>
      <c r="C1023">
        <v>2478</v>
      </c>
      <c r="D1023">
        <v>1567</v>
      </c>
      <c r="G1023">
        <v>5763</v>
      </c>
    </row>
    <row r="1024" spans="1:7">
      <c r="A1024" t="s">
        <v>342</v>
      </c>
      <c r="C1024">
        <v>3411</v>
      </c>
      <c r="G1024">
        <v>3411</v>
      </c>
    </row>
    <row r="1025" spans="1:7">
      <c r="A1025" t="s">
        <v>215</v>
      </c>
      <c r="B1025">
        <v>82</v>
      </c>
      <c r="G1025">
        <v>82</v>
      </c>
    </row>
    <row r="1026" spans="1:7">
      <c r="A1026" t="s">
        <v>345</v>
      </c>
      <c r="C1026">
        <v>3311</v>
      </c>
      <c r="G1026">
        <v>3311</v>
      </c>
    </row>
    <row r="1027" spans="1:7">
      <c r="A1027" t="s">
        <v>318</v>
      </c>
      <c r="C1027">
        <v>2568</v>
      </c>
      <c r="G1027">
        <v>2568</v>
      </c>
    </row>
    <row r="1028" spans="1:7">
      <c r="A1028" t="s">
        <v>184</v>
      </c>
      <c r="B1028">
        <v>286</v>
      </c>
      <c r="C1028">
        <v>357</v>
      </c>
      <c r="D1028">
        <v>331</v>
      </c>
      <c r="G1028">
        <v>974</v>
      </c>
    </row>
    <row r="1029" spans="1:7">
      <c r="A1029" t="s">
        <v>302</v>
      </c>
      <c r="B1029">
        <v>1655</v>
      </c>
      <c r="C1029">
        <v>2537</v>
      </c>
      <c r="G1029">
        <v>4192</v>
      </c>
    </row>
    <row r="1030" spans="1:7">
      <c r="A1030" t="s">
        <v>333</v>
      </c>
      <c r="C1030">
        <v>2382</v>
      </c>
      <c r="G1030">
        <v>2382</v>
      </c>
    </row>
    <row r="1031" spans="1:7">
      <c r="A1031" t="s">
        <v>163</v>
      </c>
      <c r="C1031">
        <v>1100</v>
      </c>
      <c r="D1031">
        <v>855</v>
      </c>
      <c r="G1031">
        <v>1955</v>
      </c>
    </row>
    <row r="1032" spans="1:7">
      <c r="A1032" t="s">
        <v>1016</v>
      </c>
      <c r="C1032">
        <v>486</v>
      </c>
      <c r="G1032">
        <v>486</v>
      </c>
    </row>
    <row r="1033" spans="1:7">
      <c r="A1033" t="s">
        <v>348</v>
      </c>
      <c r="C1033">
        <v>3634</v>
      </c>
      <c r="G1033">
        <v>3634</v>
      </c>
    </row>
    <row r="1034" spans="1:7">
      <c r="A1034" t="s">
        <v>1017</v>
      </c>
      <c r="D1034">
        <v>955</v>
      </c>
      <c r="G1034">
        <v>955</v>
      </c>
    </row>
    <row r="1035" spans="1:7">
      <c r="A1035" t="s">
        <v>1018</v>
      </c>
    </row>
    <row r="1036" spans="1:7">
      <c r="A1036" t="s">
        <v>458</v>
      </c>
    </row>
    <row r="1037" spans="1:7">
      <c r="A1037" t="s">
        <v>945</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310" t="s">
        <v>1015</v>
      </c>
      <c r="B2142" s="310" t="s">
        <v>1474</v>
      </c>
      <c r="C2142" s="56">
        <v>45987</v>
      </c>
      <c r="F2142" s="803" t="s">
        <v>1226</v>
      </c>
      <c r="G2142" t="s">
        <v>1683</v>
      </c>
    </row>
    <row r="2143" spans="1:7">
      <c r="A2143" s="310" t="s">
        <v>1015</v>
      </c>
      <c r="B2143" s="310" t="s">
        <v>1700</v>
      </c>
      <c r="C2143" s="56">
        <v>45987</v>
      </c>
      <c r="D2143" s="43">
        <v>179</v>
      </c>
      <c r="G2143" t="s">
        <v>1683</v>
      </c>
    </row>
    <row r="2144" spans="1:7">
      <c r="A2144" s="310" t="s">
        <v>1015</v>
      </c>
      <c r="B2144" s="310" t="s">
        <v>1564</v>
      </c>
      <c r="C2144" s="56">
        <v>45987</v>
      </c>
      <c r="D2144" s="156">
        <v>1388</v>
      </c>
      <c r="G2144" t="s">
        <v>1683</v>
      </c>
    </row>
    <row r="2145" spans="1:7">
      <c r="A2145" s="315" t="s">
        <v>84</v>
      </c>
      <c r="B2145" s="315" t="s">
        <v>954</v>
      </c>
      <c r="C2145" s="56">
        <v>45987</v>
      </c>
      <c r="F2145" s="803" t="s">
        <v>1226</v>
      </c>
      <c r="G2145" t="s">
        <v>1683</v>
      </c>
    </row>
    <row r="2146" spans="1:7">
      <c r="A2146" s="827" t="s">
        <v>184</v>
      </c>
      <c r="B2146" s="827" t="s">
        <v>954</v>
      </c>
      <c r="C2146" s="56">
        <v>45987</v>
      </c>
      <c r="D2146" s="43">
        <v>331</v>
      </c>
      <c r="E2146" s="325">
        <v>1063</v>
      </c>
      <c r="F2146" s="43" t="s">
        <v>1757</v>
      </c>
      <c r="G2146" t="s">
        <v>1683</v>
      </c>
    </row>
    <row r="2147" spans="1:7">
      <c r="A2147" s="1181" t="s">
        <v>159</v>
      </c>
      <c r="B2147" s="308" t="s">
        <v>160</v>
      </c>
      <c r="C2147" s="56">
        <v>45987</v>
      </c>
      <c r="D2147" s="156">
        <v>1024</v>
      </c>
      <c r="F2147" s="43" t="s">
        <v>1758</v>
      </c>
      <c r="G2147" t="s">
        <v>1683</v>
      </c>
    </row>
    <row r="2148" spans="1:7">
      <c r="A2148" s="310" t="s">
        <v>163</v>
      </c>
      <c r="B2148" s="309" t="s">
        <v>160</v>
      </c>
      <c r="C2148" s="56">
        <v>45987</v>
      </c>
      <c r="D2148" s="43">
        <v>855</v>
      </c>
      <c r="F2148" s="43" t="s">
        <v>1759</v>
      </c>
      <c r="G2148" t="s">
        <v>1683</v>
      </c>
    </row>
    <row r="2149" spans="1:7">
      <c r="A2149" s="315" t="s">
        <v>1017</v>
      </c>
      <c r="B2149" s="315" t="s">
        <v>223</v>
      </c>
      <c r="C2149" s="56">
        <v>45987</v>
      </c>
      <c r="D2149" s="43">
        <v>955</v>
      </c>
      <c r="E2149" s="204"/>
      <c r="F2149" s="116" t="s">
        <v>1760</v>
      </c>
      <c r="G2149" t="s">
        <v>1683</v>
      </c>
    </row>
    <row r="2150" spans="1:7">
      <c r="A2150" s="319" t="s">
        <v>1018</v>
      </c>
      <c r="B2150" s="319" t="s">
        <v>443</v>
      </c>
      <c r="C2150" s="56">
        <v>45987</v>
      </c>
      <c r="D2150" s="140"/>
      <c r="E2150" s="43"/>
      <c r="F2150" s="315" t="s">
        <v>1761</v>
      </c>
      <c r="G2150" t="s">
        <v>1683</v>
      </c>
    </row>
    <row r="2151" spans="1:7">
      <c r="A2151" s="310" t="s">
        <v>405</v>
      </c>
      <c r="B2151" s="310" t="s">
        <v>1608</v>
      </c>
      <c r="C2151" s="56">
        <v>45987</v>
      </c>
      <c r="D2151" s="140"/>
      <c r="E2151" s="43"/>
      <c r="F2151" s="777" t="s">
        <v>1756</v>
      </c>
      <c r="G2151" t="s">
        <v>1683</v>
      </c>
    </row>
    <row r="2152" spans="1:7">
      <c r="A2152" s="142" t="s">
        <v>404</v>
      </c>
      <c r="B2152" s="142" t="s">
        <v>1608</v>
      </c>
      <c r="C2152" s="56">
        <v>45987</v>
      </c>
      <c r="D2152" s="140"/>
      <c r="E2152" s="43"/>
      <c r="F2152" s="777" t="s">
        <v>1756</v>
      </c>
      <c r="G2152" t="s">
        <v>1683</v>
      </c>
    </row>
    <row r="2153" spans="1:7">
      <c r="A2153" s="309" t="s">
        <v>388</v>
      </c>
      <c r="B2153" s="309" t="s">
        <v>1608</v>
      </c>
      <c r="C2153" s="347">
        <v>45987</v>
      </c>
      <c r="D2153" s="140"/>
      <c r="E2153" s="43"/>
      <c r="F2153" s="777" t="s">
        <v>1756</v>
      </c>
      <c r="G2153" t="s">
        <v>1683</v>
      </c>
    </row>
    <row r="2154" spans="1:7">
      <c r="A2154" s="142" t="s">
        <v>383</v>
      </c>
      <c r="B2154" s="142" t="s">
        <v>239</v>
      </c>
      <c r="C2154" s="56">
        <v>45987</v>
      </c>
      <c r="D2154" s="437"/>
      <c r="E2154" s="43"/>
      <c r="F2154" s="142" t="s">
        <v>1756</v>
      </c>
      <c r="G2154" t="s">
        <v>1683</v>
      </c>
    </row>
    <row r="2155" spans="1:7">
      <c r="A2155" s="142" t="s">
        <v>245</v>
      </c>
      <c r="B2155" s="142" t="s">
        <v>1676</v>
      </c>
      <c r="C2155" s="56">
        <v>45987</v>
      </c>
      <c r="D2155" s="162">
        <v>426</v>
      </c>
      <c r="E2155" s="257"/>
      <c r="F2155" s="171"/>
      <c r="G2155" t="s">
        <v>1683</v>
      </c>
    </row>
    <row r="2156" spans="1:7">
      <c r="A2156" s="142" t="s">
        <v>385</v>
      </c>
      <c r="B2156" s="142" t="s">
        <v>239</v>
      </c>
      <c r="C2156" s="56">
        <v>45987</v>
      </c>
      <c r="D2156" s="437"/>
      <c r="E2156" s="43"/>
      <c r="F2156" s="142" t="s">
        <v>1756</v>
      </c>
      <c r="G2156" t="s">
        <v>1683</v>
      </c>
    </row>
    <row r="2157" spans="1:7">
      <c r="A2157" s="142" t="s">
        <v>374</v>
      </c>
      <c r="B2157" s="142" t="s">
        <v>1762</v>
      </c>
      <c r="C2157" s="56">
        <v>45987</v>
      </c>
      <c r="D2157" s="162"/>
      <c r="E2157" s="1182">
        <v>4668</v>
      </c>
      <c r="F2157" s="171" t="s">
        <v>1763</v>
      </c>
      <c r="G2157" t="s">
        <v>1683</v>
      </c>
    </row>
    <row r="2158" spans="1:7">
      <c r="A2158" s="142" t="s">
        <v>318</v>
      </c>
      <c r="B2158" s="142" t="s">
        <v>1608</v>
      </c>
      <c r="C2158" s="56">
        <v>45987</v>
      </c>
      <c r="D2158" s="162"/>
      <c r="E2158" s="257"/>
      <c r="F2158" s="171"/>
      <c r="G2158" t="s">
        <v>1683</v>
      </c>
    </row>
    <row r="2159" spans="1:7">
      <c r="A2159" s="142" t="s">
        <v>245</v>
      </c>
      <c r="B2159" s="142" t="s">
        <v>1676</v>
      </c>
      <c r="C2159" s="56">
        <v>45987</v>
      </c>
      <c r="D2159" s="162"/>
      <c r="G2159" t="s">
        <v>1683</v>
      </c>
    </row>
    <row r="2160" spans="1:7">
      <c r="A2160" s="142" t="s">
        <v>330</v>
      </c>
      <c r="B2160" s="142" t="s">
        <v>160</v>
      </c>
      <c r="C2160" s="56">
        <v>45987</v>
      </c>
      <c r="D2160" s="162"/>
      <c r="G2160" t="s">
        <v>1683</v>
      </c>
    </row>
    <row r="2161" spans="1:7">
      <c r="A2161" s="142" t="s">
        <v>330</v>
      </c>
      <c r="B2161" s="142" t="s">
        <v>160</v>
      </c>
      <c r="C2161" s="56">
        <v>45987</v>
      </c>
      <c r="D2161" s="162"/>
      <c r="G2161" t="s">
        <v>1683</v>
      </c>
    </row>
    <row r="2162" spans="1:7">
      <c r="A2162" s="319" t="s">
        <v>348</v>
      </c>
      <c r="B2162" s="319" t="s">
        <v>160</v>
      </c>
      <c r="C2162" s="355">
        <v>45987</v>
      </c>
      <c r="G2162" t="s">
        <v>1683</v>
      </c>
    </row>
    <row r="2163" spans="1:7">
      <c r="A2163" s="319" t="s">
        <v>458</v>
      </c>
      <c r="B2163" s="319" t="s">
        <v>1388</v>
      </c>
      <c r="C2163" s="56">
        <v>45987</v>
      </c>
      <c r="G2163" t="s">
        <v>1683</v>
      </c>
    </row>
    <row r="2164" spans="1:7">
      <c r="A2164" s="251" t="s">
        <v>454</v>
      </c>
      <c r="B2164" s="319"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1844</v>
      </c>
      <c r="C1" s="1185"/>
      <c r="D1" s="575"/>
      <c r="E1" s="1185" t="s">
        <v>1845</v>
      </c>
      <c r="F1" s="1185"/>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v>157086</v>
      </c>
      <c r="E4" s="44" t="s">
        <v>1846</v>
      </c>
      <c r="F4" t="s">
        <v>948</v>
      </c>
      <c r="W4" t="s">
        <v>1850</v>
      </c>
      <c r="X4">
        <v>22</v>
      </c>
    </row>
    <row r="5" spans="1:25">
      <c r="B5" t="s">
        <v>71</v>
      </c>
      <c r="C5">
        <v>42670</v>
      </c>
      <c r="E5" t="s">
        <v>948</v>
      </c>
      <c r="F5">
        <v>229798</v>
      </c>
      <c r="K5" s="44" t="s">
        <v>1851</v>
      </c>
      <c r="P5" s="44" t="s">
        <v>1851</v>
      </c>
      <c r="W5" t="s">
        <v>1852</v>
      </c>
      <c r="X5">
        <v>13</v>
      </c>
    </row>
    <row r="6" spans="1:25">
      <c r="B6" t="s">
        <v>104</v>
      </c>
      <c r="C6">
        <v>22387</v>
      </c>
      <c r="K6" s="44" t="s">
        <v>27</v>
      </c>
      <c r="L6" s="44" t="s">
        <v>1853</v>
      </c>
      <c r="M6" t="s">
        <v>948</v>
      </c>
      <c r="P6" s="44" t="s">
        <v>1854</v>
      </c>
      <c r="Q6" s="44" t="s">
        <v>1853</v>
      </c>
      <c r="R6" t="s">
        <v>948</v>
      </c>
    </row>
    <row r="7" spans="1:25">
      <c r="B7" t="s">
        <v>974</v>
      </c>
      <c r="C7">
        <v>232993</v>
      </c>
      <c r="K7" t="s">
        <v>1847</v>
      </c>
      <c r="L7" t="s">
        <v>578</v>
      </c>
      <c r="M7">
        <v>1</v>
      </c>
      <c r="P7" t="s">
        <v>1855</v>
      </c>
      <c r="R7">
        <v>1</v>
      </c>
      <c r="X7" t="s">
        <v>1856</v>
      </c>
      <c r="Y7" t="s">
        <v>1857</v>
      </c>
    </row>
    <row r="8" spans="1:25">
      <c r="B8" t="s">
        <v>51</v>
      </c>
      <c r="C8">
        <v>446</v>
      </c>
      <c r="L8" t="s">
        <v>580</v>
      </c>
      <c r="M8">
        <v>1</v>
      </c>
      <c r="P8" t="s">
        <v>1858</v>
      </c>
      <c r="R8">
        <v>1</v>
      </c>
      <c r="V8" t="s">
        <v>1859</v>
      </c>
      <c r="W8" s="261">
        <v>203521</v>
      </c>
      <c r="X8" s="317">
        <f>X5/X4</f>
        <v>0.59090909090909094</v>
      </c>
      <c r="Y8" s="317">
        <f>W9/W8</f>
        <v>0.31446386367991508</v>
      </c>
    </row>
    <row r="9" spans="1:25">
      <c r="B9" t="s">
        <v>22</v>
      </c>
      <c r="C9">
        <v>0</v>
      </c>
      <c r="L9" t="s">
        <v>1860</v>
      </c>
      <c r="M9">
        <v>1</v>
      </c>
      <c r="P9" t="s">
        <v>1861</v>
      </c>
      <c r="Q9" t="s">
        <v>1860</v>
      </c>
      <c r="R9">
        <v>1</v>
      </c>
      <c r="V9" t="s">
        <v>1862</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1863</v>
      </c>
      <c r="R12">
        <v>1</v>
      </c>
    </row>
    <row r="13" spans="1:25">
      <c r="B13" t="s">
        <v>223</v>
      </c>
      <c r="C13">
        <v>16290</v>
      </c>
      <c r="L13" t="s">
        <v>1864</v>
      </c>
      <c r="M13">
        <v>1</v>
      </c>
      <c r="Q13" t="s">
        <v>898</v>
      </c>
      <c r="R13">
        <v>1</v>
      </c>
    </row>
    <row r="14" spans="1:25">
      <c r="B14" t="s">
        <v>133</v>
      </c>
      <c r="C14">
        <v>7655</v>
      </c>
      <c r="L14" t="s">
        <v>697</v>
      </c>
      <c r="M14">
        <v>1</v>
      </c>
      <c r="P14" t="s">
        <v>1865</v>
      </c>
      <c r="R14">
        <v>5</v>
      </c>
    </row>
    <row r="15" spans="1:25">
      <c r="B15" t="s">
        <v>191</v>
      </c>
      <c r="C15">
        <v>3</v>
      </c>
      <c r="L15" t="s">
        <v>1863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1866</v>
      </c>
      <c r="M21">
        <v>1</v>
      </c>
    </row>
    <row r="22" spans="2:13">
      <c r="L22" t="s">
        <v>898</v>
      </c>
      <c r="M22">
        <v>1</v>
      </c>
    </row>
    <row r="23" spans="2:13">
      <c r="L23" t="s">
        <v>741</v>
      </c>
      <c r="M23">
        <v>1</v>
      </c>
    </row>
    <row r="24" spans="2:13">
      <c r="L24" t="s">
        <v>759</v>
      </c>
      <c r="M24">
        <v>1</v>
      </c>
    </row>
    <row r="25" spans="2:13">
      <c r="L25" t="s">
        <v>187</v>
      </c>
      <c r="M25">
        <v>1</v>
      </c>
    </row>
    <row r="26" spans="2:13">
      <c r="K26" t="s">
        <v>1867</v>
      </c>
      <c r="M26">
        <v>19</v>
      </c>
    </row>
    <row r="27" spans="2:13">
      <c r="K27" t="s">
        <v>1868</v>
      </c>
      <c r="L27" t="s">
        <v>691</v>
      </c>
      <c r="M27">
        <v>1</v>
      </c>
    </row>
    <row r="28" spans="2:13">
      <c r="L28" t="s">
        <v>693</v>
      </c>
      <c r="M28">
        <v>1</v>
      </c>
    </row>
    <row r="29" spans="2:13">
      <c r="L29" t="s">
        <v>695</v>
      </c>
      <c r="M29">
        <v>1</v>
      </c>
    </row>
    <row r="30" spans="2:13">
      <c r="L30" t="s">
        <v>711</v>
      </c>
      <c r="M30">
        <v>1</v>
      </c>
    </row>
    <row r="31" spans="2:13">
      <c r="L31" t="s">
        <v>713</v>
      </c>
      <c r="M31">
        <v>1</v>
      </c>
    </row>
    <row r="32" spans="2:13">
      <c r="L32" t="s">
        <v>1869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1870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1871</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2E85231-EA10-4523-8C7C-98A2828F920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2025-11-27T00:26:26Z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