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66" documentId="8_{E14B221E-02E2-46A3-8CEC-C736815F2DD5}" xr6:coauthVersionLast="47" xr6:coauthVersionMax="47" xr10:uidLastSave="{B4D0DD63-426B-4052-AB81-2B47B9A5FC8E}"/>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6029" r:id="rId12"/>
    <pivotCache cacheId="6030" r:id="rId13"/>
    <pivotCache cacheId="6031" r:id="rId14"/>
    <pivotCache cacheId="6032" r:id="rId15"/>
    <pivotCache cacheId="6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<sst xmlns="http://schemas.openxmlformats.org/spreadsheetml/2006/main" count="17403" uniqueCount="2230">
  <si>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</si>
  <si>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</si>
  <si>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</si>
  <si>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</si>
  <si>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</si>
  <si>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</si>
  <si>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</si>
  <si>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</si>
  <si>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</si>
  <si>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</si>
  <si>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</si>
  <si>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</si>
  <si>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</si>
  <si>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</si>
  <si>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</si>
  <si>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</si>
  <si>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</si>
  <si>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</si>
  <si>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</si>
  <si>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</si>
  <si>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</si>
  <si>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</si>
  <si>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</si>
  <si>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</si>
  <si>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</si>
  <si>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</si>
  <si>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</si>
  <si>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</si>
  <si>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</si>
  <si>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</si>
  <si>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</si>
  <si>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</si>
  <si>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</si>
  <si>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</si>
  <si>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</si>
  <si>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</si>
  <si>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</si>
  <si>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</si>
  <si>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</si>
  <si>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</si>
  <si>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</si>
  <si>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</si>
  <si>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</si>
  <si>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</si>
  <si>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</si>
  <si>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</si>
  <si>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</si>
  <si>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</si>
  <si>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</si>
  <si>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</si>
  <si>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</si>
  <si>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</si>
  <si>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</si>
  <si>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</si>
  <si>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</si>
  <si>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</si>
  <si>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</si>
  <si>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</si>
  <si>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</si>
  <si>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</si>
  <si>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</si>
  <si>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</si>
  <si>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</si>
  <si>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</si>
  <si>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</si>
  <si>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</si>
  <si>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</si>
  <si>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</si>
  <si>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</si>
  <si>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</si>
  <si>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</si>
  <si>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</si>
  <si>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</si>
  <si>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</si>
  <si>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</si>
  <si>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</si>
  <si>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</si>
  <si>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</si>
  <si>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</si>
  <si>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</si>
  <si>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</si>
  <si>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</si>
  <si>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</si>
  <si>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</si>
  <si>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</si>
  <si>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</si>
  <si>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</si>
  <si>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</si>
  <si>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</si>
  <si>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</si>
  <si>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</si>
  <si>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</si>
  <si>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</si>
  <si>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</si>
  <si>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</si>
  <si>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</si>
  <si>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</si>
  <si>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</si>
  <si>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</si>
  <si>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</si>
  <si>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</si>
  <si>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</si>
  <si>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</si>
  <si>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</si>
  <si>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</si>
  <si>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</si>
  <si>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</si>
  <si>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</si>
  <si>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</si>
  <si>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</si>
  <si>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</si>
  <si>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</si>
  <si>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</si>
  <si>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</si>
  <si>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</si>
  <si>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</si>
  <si>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</si>
  <si>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</si>
  <si>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</si>
  <si>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</si>
  <si>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</si>
  <si>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</si>
  <si>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</si>
  <si>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</si>
  <si>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</si>
  <si>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</si>
  <si>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</si>
  <si>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</si>
  <si>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</si>
  <si>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</si>
  <si>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</si>
  <si>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</si>
  <si>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</si>
  <si>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</si>
  <si>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</si>
  <si>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</si>
  <si>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</si>
  <si>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</si>
  <si>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</si>
  <si>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</si>
  <si>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</si>
  <si>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</si>
  <si>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</si>
  <si>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</si>
  <si>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</si>
  <si>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</si>
  <si>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</si>
  <si>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</si>
  <si>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</si>
  <si>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</si>
  <si>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</si>
  <si>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</si>
  <si>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</si>
  <si>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</si>
  <si>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</si>
  <si>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</si>
  <si>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</si>
  <si>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</si>
  <si>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</si>
  <si>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</si>
  <si>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</si>
  <si>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</si>
  <si>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</si>
  <si>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</si>
  <si>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</si>
  <si>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</si>
  <si>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</si>
  <si>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</si>
  <si>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</si>
  <si>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</si>
  <si>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</si>
  <si>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</si>
  <si>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</si>
  <si>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</si>
  <si>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</si>
  <si>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</si>
  <si>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</si>
  <si>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</si>
  <si>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</si>
  <si>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</si>
  <si>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</si>
  <si>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</si>
  <si>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</si>
  <si>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</si>
  <si>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</si>
  <si>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</si>
  <si>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</si>
  <si>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</si>
  <si>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</si>
  <si>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</si>
  <si>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</si>
  <si>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</si>
  <si>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</si>
  <si>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</si>
  <si>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</si>
  <si>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</si>
  <si>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</si>
  <si>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</si>
  <si>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</si>
  <si>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</si>
  <si>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</si>
  <si>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</si>
  <si>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</si>
  <si>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</si>
  <si>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</si>
  <si>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</si>
  <si>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</si>
  <si>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</si>
  <si>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</si>
  <si>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</si>
  <si>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</si>
  <si>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</si>
  <si>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</si>
  <si>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</si>
  <si>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</si>
  <si>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</si>
  <si>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</si>
  <si>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</si>
  <si>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</si>
  <si>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</si>
  <si>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</si>
  <si>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</si>
  <si>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</si>
  <si>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</si>
  <si>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</si>
  <si>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</si>
  <si>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</si>
  <si>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</si>
  <si>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</si>
  <si>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</si>
  <si>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</si>
  <si>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</si>
  <si>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</si>
  <si>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</si>
  <si>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</si>
  <si>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</si>
  <si>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</si>
  <si>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</si>
  <si>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</si>
  <si>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</si>
  <si>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</si>
  <si>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</si>
  <si>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</si>
  <si>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</si>
  <si>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</si>
  <si>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</si>
  <si>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</si>
  <si>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</si>
  <si>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</si>
  <si>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</si>
  <si>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</si>
  <si>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</si>
  <si>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</si>
  <si>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</si>
  <si>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</si>
  <si>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</si>
  <si>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</si>
  <si>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</si>
  <si>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</si>
  <si>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</si>
  <si>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</si>
  <si>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</si>
  <si>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</si>
  <si>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</si>
  <si>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</si>
  <si>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</si>
  <si>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</si>
  <si>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</si>
  <si>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</si>
  <si>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</si>
  <si>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</si>
  <si>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</si>
  <si>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</si>
  <si>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</si>
  <si>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</si>
  <si>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</si>
  <si>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</si>
  <si>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</si>
  <si>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</si>
  <si>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</si>
  <si>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</si>
  <si>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</si>
  <si>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</si>
  <si>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</si>
  <si>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</si>
  <si>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</si>
  <si>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</si>
  <si>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</si>
  <si>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</si>
  <si>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</si>
  <si>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</si>
  <si>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</si>
  <si>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</si>
  <si>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</si>
  <si>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</si>
  <si>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</si>
  <si>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</si>
  <si>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</si>
  <si>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</si>
  <si>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</si>
  <si>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</si>
  <si>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</si>
  <si>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</si>
  <si>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</si>
  <si>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</si>
  <si>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</si>
  <si>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</si>
  <si>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</si>
  <si>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</si>
  <si>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</si>
  <si>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</si>
  <si>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</si>
  <si>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</si>
  <si>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</si>
  <si>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</si>
  <si>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</si>
  <si>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</si>
  <si>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</si>
  <si>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</si>
  <si>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</si>
  <si>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</si>
  <si>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</si>
  <si>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</si>
  <si>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</si>
  <si>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</si>
  <si>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</si>
  <si>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</si>
  <si>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</si>
  <si>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</si>
  <si>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</si>
  <si>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</si>
  <si>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</si>
  <si>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</si>
  <si>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</si>
  <si>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</si>
  <si>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</si>
  <si>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</si>
  <si>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</si>
  <si>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</si>
  <si>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</si>
  <si>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</si>
  <si>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</si>
  <si>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</si>
  <si>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</si>
  <si>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</si>
  <si>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</si>
  <si>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</si>
  <si>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</si>
  <si>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</si>
  <si>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</si>
  <si>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</si>
  <si>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</si>
  <si>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</si>
  <si>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</si>
  <si>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</si>
  <si>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</si>
  <si>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</si>
  <si>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</si>
  <si>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</si>
  <si>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</si>
  <si>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</si>
  <si>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</si>
  <si>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</si>
  <si>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</si>
  <si>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</si>
  <si>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</si>
  <si>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</si>
  <si>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</si>
  <si>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</si>
  <si>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</si>
  <si>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</si>
  <si>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</si>
  <si>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</si>
  <si>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</si>
  <si>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</si>
  <si>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</si>
  <si>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</si>
  <si>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</si>
  <si>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</si>
  <si>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</si>
  <si>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</si>
  <si>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</si>
  <si>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</si>
  <si>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</si>
  <si>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</si>
  <si>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</si>
  <si>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</si>
  <si>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</si>
  <si>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</si>
  <si>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</si>
  <si>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</si>
  <si>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</si>
  <si>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</si>
  <si>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</si>
  <si>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</si>
  <si>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</si>
  <si>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</si>
  <si>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</si>
  <si>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</si>
  <si>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</si>
  <si>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</si>
  <si>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</si>
  <si>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</si>
  <si>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</si>
  <si>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</si>
  <si>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</si>
  <si>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</si>
  <si>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</si>
  <si>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</si>
  <si>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</si>
  <si>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</si>
  <si>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</si>
  <si>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t>
  </si>
  <si>
    <t>D-HBK131</t>
  </si>
  <si>
    <t>D-HBK132</t>
  </si>
  <si>
    <t xml:space="preserve">11/24 Permit Received With NTP Package. 1/5 assigned to brothers to call in locates/door tag. / 1/12- tickets escalated/  </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</si>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</sst>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U15" activePane="topRight" state="frozen"/>
      <selection pane="topRight" activeCell="W30" sqref="W3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6493</v>
      </c>
      <c r="X25" s="1181">
        <f t="shared" si="3"/>
        <v>-168</v>
      </c>
      <c r="Y25" s="658">
        <f t="shared" si="4"/>
        <v>1.0265612648221343</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3115</v>
      </c>
      <c r="X26" s="1181">
        <f t="shared" si="3"/>
        <v>1616</v>
      </c>
      <c r="Y26" s="658">
        <f t="shared" si="4"/>
        <v>0.65842316634960896</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181">
        <v>1758</v>
      </c>
      <c r="X27" s="1181">
        <f t="shared" si="3"/>
        <v>1425</v>
      </c>
      <c r="Y27" s="658">
        <f t="shared" si="4"/>
        <v>0.55230914231856743</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2"/>
      <c r="I63" s="823" t="s">
        <v>55</v>
      </c>
      <c r="J63" s="826" t="s">
        <v>63</v>
      </c>
      <c r="K63" s="1493"/>
      <c r="L63" s="1315"/>
      <c r="M63" s="823" t="s">
        <v>57</v>
      </c>
      <c r="N63" s="1494">
        <v>36998.550000000003</v>
      </c>
      <c r="O63" s="823" t="s">
        <v>57</v>
      </c>
      <c r="P63" s="1210" t="s">
        <v>58</v>
      </c>
      <c r="Q63" s="1495"/>
      <c r="R63" s="1495"/>
      <c r="S63" s="1495"/>
      <c r="T63" s="1495"/>
      <c r="U63" s="1495"/>
      <c r="V63" s="1496">
        <v>2944</v>
      </c>
      <c r="W63" s="1497"/>
      <c r="X63" s="1497">
        <f>SUM(V63-W63)</f>
        <v>2944</v>
      </c>
      <c r="Y63" s="658">
        <f>IFERROR($W63/$V63, 0)</f>
        <v>0</v>
      </c>
      <c r="Z63" s="1498"/>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3"/>
      <c r="L73" s="1315"/>
      <c r="M73" s="1197" t="s">
        <v>57</v>
      </c>
      <c r="N73" s="1494">
        <v>118710.8</v>
      </c>
      <c r="O73" s="1197" t="s">
        <v>57</v>
      </c>
      <c r="P73" s="1179" t="s">
        <v>58</v>
      </c>
      <c r="Q73" s="1495"/>
      <c r="R73" s="1495"/>
      <c r="S73" s="1495"/>
      <c r="T73" s="1495"/>
      <c r="U73" s="1495"/>
      <c r="V73" s="1496">
        <v>9628</v>
      </c>
      <c r="W73" s="1497"/>
      <c r="X73" s="1497">
        <f>SUM(V73-W73)</f>
        <v>9628</v>
      </c>
      <c r="Y73" s="658">
        <f>IFERROR($W73/$V73, 0)</f>
        <v>0</v>
      </c>
      <c r="Z73" s="1495"/>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2">
        <v>109</v>
      </c>
      <c r="I79" s="823" t="s">
        <v>55</v>
      </c>
      <c r="J79" s="826" t="s">
        <v>63</v>
      </c>
      <c r="K79" s="1493"/>
      <c r="L79" s="1315">
        <v>45663</v>
      </c>
      <c r="M79" s="1197" t="s">
        <v>57</v>
      </c>
      <c r="N79" s="1494">
        <v>123587.5</v>
      </c>
      <c r="O79" s="1492" t="s">
        <v>57</v>
      </c>
      <c r="P79" s="1499" t="s">
        <v>64</v>
      </c>
      <c r="Q79" s="1495">
        <v>46008</v>
      </c>
      <c r="R79" s="1495"/>
      <c r="S79" s="1495"/>
      <c r="T79" s="1495"/>
      <c r="U79" s="1495"/>
      <c r="V79" s="1496">
        <v>6825</v>
      </c>
      <c r="W79" s="1500">
        <v>5788</v>
      </c>
      <c r="X79" s="1497">
        <f>SUM(V79-W79)</f>
        <v>1037</v>
      </c>
      <c r="Y79" s="658">
        <f>IFERROR($W79/$V79, 0)</f>
        <v>0.84805860805860811</v>
      </c>
      <c r="Z79" s="1495">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5"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501">
        <v>5341</v>
      </c>
      <c r="X93" s="1376">
        <f t="shared" ref="X93:X94" si="10">SUM(V93-W93)</f>
        <v>1091</v>
      </c>
      <c r="Y93" s="1130">
        <f t="shared" ref="Y93:Y94" si="11">IFERROR($W93/$V93, 0)</f>
        <v>0.83037935323383083</v>
      </c>
      <c r="Z93" s="1502">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3">
        <v>4339</v>
      </c>
      <c r="X94" s="1236">
        <f t="shared" si="10"/>
        <v>2806</v>
      </c>
      <c r="Y94" s="868">
        <f t="shared" si="11"/>
        <v>0.60727781665500347</v>
      </c>
      <c r="Z94" s="1502">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2"/>
      <c r="R107" s="1335"/>
      <c r="S107" s="1335"/>
      <c r="T107" s="1335"/>
      <c r="U107" s="1335"/>
      <c r="V107" s="1236">
        <v>8641</v>
      </c>
      <c r="W107" s="1501"/>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4"/>
      <c r="R108" s="1337"/>
      <c r="S108" s="1337"/>
      <c r="T108" s="1337"/>
      <c r="U108" s="1337"/>
      <c r="V108" s="1339">
        <v>7502</v>
      </c>
      <c r="W108" s="1505"/>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5"/>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U32"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183</v>
      </c>
      <c r="C15" s="1313">
        <v>46053</v>
      </c>
      <c r="D15" s="1314" t="s">
        <v>362</v>
      </c>
      <c r="E15" s="1315">
        <v>46030</v>
      </c>
      <c r="F15" s="475" t="s">
        <v>207</v>
      </c>
      <c r="G15" s="1196"/>
      <c r="H15" s="1197">
        <v>0</v>
      </c>
      <c r="I15" s="657" t="s">
        <v>121</v>
      </c>
      <c r="J15" s="1493" t="s">
        <v>63</v>
      </c>
      <c r="K15" s="1493"/>
      <c r="L15" s="476" t="s">
        <v>52</v>
      </c>
      <c r="M15" s="478" t="s">
        <v>57</v>
      </c>
      <c r="N15" s="1494">
        <v>1035</v>
      </c>
      <c r="O15" s="1197" t="s">
        <v>57</v>
      </c>
      <c r="P15" s="1246" t="s">
        <v>122</v>
      </c>
      <c r="Q15" s="1495">
        <v>46030</v>
      </c>
      <c r="R15" s="1309"/>
      <c r="S15" s="1309"/>
      <c r="T15" s="1309"/>
      <c r="U15" s="1309"/>
      <c r="V15" s="1496">
        <v>0</v>
      </c>
      <c r="W15" s="1506">
        <v>0</v>
      </c>
      <c r="X15" s="1497">
        <f>SUM(V15-W15)</f>
        <v>0</v>
      </c>
      <c r="Y15" s="658">
        <v>1</v>
      </c>
      <c r="Z15" s="1495">
        <v>46030</v>
      </c>
      <c r="AA15" s="1183">
        <v>0</v>
      </c>
      <c r="AB15" s="1183">
        <v>0</v>
      </c>
      <c r="AC15" s="1201">
        <v>0</v>
      </c>
      <c r="AD15" s="1447"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137</v>
      </c>
      <c r="E25" s="1175">
        <v>46021</v>
      </c>
      <c r="F25" s="1176" t="s">
        <v>97</v>
      </c>
      <c r="G25" s="1176" t="s">
        <v>386</v>
      </c>
      <c r="H25" s="1177">
        <v>85</v>
      </c>
      <c r="I25" s="657" t="s">
        <v>121</v>
      </c>
      <c r="J25" s="1177" t="s">
        <v>63</v>
      </c>
      <c r="K25" s="1177"/>
      <c r="L25" s="1175">
        <v>46027</v>
      </c>
      <c r="M25" s="1177" t="s">
        <v>57</v>
      </c>
      <c r="N25" s="1178">
        <v>38323.550000000003</v>
      </c>
      <c r="O25" s="1177" t="s">
        <v>57</v>
      </c>
      <c r="P25" s="1246" t="s">
        <v>122</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137</v>
      </c>
      <c r="E26" s="467">
        <v>45966</v>
      </c>
      <c r="F26" s="465" t="s">
        <v>97</v>
      </c>
      <c r="G26" s="678" t="s">
        <v>389</v>
      </c>
      <c r="H26" s="469">
        <v>83</v>
      </c>
      <c r="I26" s="657" t="s">
        <v>121</v>
      </c>
      <c r="J26" s="469" t="s">
        <v>63</v>
      </c>
      <c r="K26" s="469"/>
      <c r="L26" s="467">
        <v>45969</v>
      </c>
      <c r="M26" s="469" t="s">
        <v>57</v>
      </c>
      <c r="N26" s="540">
        <v>66402</v>
      </c>
      <c r="O26" s="469" t="s">
        <v>57</v>
      </c>
      <c r="P26" s="622" t="s">
        <v>122</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137</v>
      </c>
      <c r="E27" s="467">
        <v>45966</v>
      </c>
      <c r="F27" s="465" t="s">
        <v>97</v>
      </c>
      <c r="G27" s="678" t="s">
        <v>392</v>
      </c>
      <c r="H27" s="469">
        <v>77</v>
      </c>
      <c r="I27" s="657" t="s">
        <v>121</v>
      </c>
      <c r="J27" s="469" t="s">
        <v>63</v>
      </c>
      <c r="K27" s="469"/>
      <c r="L27" s="467">
        <v>45967</v>
      </c>
      <c r="M27" s="469" t="s">
        <v>57</v>
      </c>
      <c r="N27" s="540">
        <v>63997.35</v>
      </c>
      <c r="O27" s="469" t="s">
        <v>57</v>
      </c>
      <c r="P27" s="622" t="s">
        <v>122</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137</v>
      </c>
      <c r="E28" s="1313">
        <v>45961</v>
      </c>
      <c r="F28" s="1403" t="s">
        <v>119</v>
      </c>
      <c r="G28" s="1176"/>
      <c r="H28" s="1493">
        <v>0</v>
      </c>
      <c r="I28" s="657" t="s">
        <v>121</v>
      </c>
      <c r="J28" s="1493" t="s">
        <v>63</v>
      </c>
      <c r="K28" s="1493"/>
      <c r="L28" s="1313" t="s">
        <v>139</v>
      </c>
      <c r="M28" s="1493" t="s">
        <v>57</v>
      </c>
      <c r="N28" s="1507">
        <v>15670.45</v>
      </c>
      <c r="O28" s="1493" t="s">
        <v>57</v>
      </c>
      <c r="P28" s="1508" t="s">
        <v>122</v>
      </c>
      <c r="Q28" s="1509">
        <v>46031</v>
      </c>
      <c r="R28" s="1509"/>
      <c r="S28" s="1509"/>
      <c r="T28" s="1509"/>
      <c r="U28" s="1509"/>
      <c r="V28" s="782">
        <v>1202</v>
      </c>
      <c r="W28" s="1247">
        <v>1208</v>
      </c>
      <c r="X28" s="1497">
        <f>SUM(V28-W28)</f>
        <v>-6</v>
      </c>
      <c r="Y28" s="658">
        <v>1</v>
      </c>
      <c r="Z28" s="1200">
        <v>46035</v>
      </c>
      <c r="AA28" s="355">
        <v>1</v>
      </c>
      <c r="AB28" s="1510">
        <v>0</v>
      </c>
      <c r="AC28" s="1497">
        <v>0</v>
      </c>
      <c r="AD28" s="1447" t="s">
        <v>395</v>
      </c>
    </row>
    <row r="29" spans="1:30" ht="39.75" customHeight="1">
      <c r="A29" s="1245" t="s">
        <v>396</v>
      </c>
      <c r="B29" s="1176" t="s">
        <v>96</v>
      </c>
      <c r="C29" s="1175">
        <v>45675</v>
      </c>
      <c r="D29" s="1175" t="s">
        <v>137</v>
      </c>
      <c r="E29" s="1175">
        <v>46006</v>
      </c>
      <c r="F29" s="1176" t="s">
        <v>119</v>
      </c>
      <c r="G29" s="1176"/>
      <c r="H29" s="1177">
        <v>0</v>
      </c>
      <c r="I29" s="1177" t="s">
        <v>121</v>
      </c>
      <c r="J29" s="1177" t="s">
        <v>63</v>
      </c>
      <c r="K29" s="1177"/>
      <c r="L29" s="1175">
        <v>46006</v>
      </c>
      <c r="M29" s="1177" t="s">
        <v>57</v>
      </c>
      <c r="N29" s="1178">
        <v>45512.75</v>
      </c>
      <c r="O29" s="1177" t="s">
        <v>57</v>
      </c>
      <c r="P29" s="1246" t="s">
        <v>122</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121</v>
      </c>
      <c r="J30" s="469" t="s">
        <v>63</v>
      </c>
      <c r="K30" s="469"/>
      <c r="L30" s="467" t="s">
        <v>139</v>
      </c>
      <c r="M30" s="469" t="s">
        <v>57</v>
      </c>
      <c r="N30" s="540">
        <v>1931.75</v>
      </c>
      <c r="O30" s="469" t="s">
        <v>57</v>
      </c>
      <c r="P30" s="1045" t="s">
        <v>122</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121</v>
      </c>
      <c r="J31" s="469" t="s">
        <v>63</v>
      </c>
      <c r="K31" s="469"/>
      <c r="L31" s="467" t="s">
        <v>139</v>
      </c>
      <c r="M31" s="469" t="s">
        <v>57</v>
      </c>
      <c r="N31" s="540">
        <v>74164.05</v>
      </c>
      <c r="O31" s="469" t="s">
        <v>57</v>
      </c>
      <c r="P31" s="1045" t="s">
        <v>122</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142</v>
      </c>
      <c r="G32" s="678"/>
      <c r="H32" s="469">
        <v>385</v>
      </c>
      <c r="I32" s="657" t="s">
        <v>121</v>
      </c>
      <c r="J32" s="469" t="s">
        <v>56</v>
      </c>
      <c r="K32" s="469"/>
      <c r="L32" s="467">
        <v>45937</v>
      </c>
      <c r="M32" s="469" t="s">
        <v>57</v>
      </c>
      <c r="N32" s="540">
        <v>210533.1</v>
      </c>
      <c r="O32" s="469" t="s">
        <v>57</v>
      </c>
      <c r="P32" s="622" t="s">
        <v>122</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121</v>
      </c>
      <c r="J33" s="1177" t="s">
        <v>56</v>
      </c>
      <c r="K33" s="469"/>
      <c r="L33" s="1175">
        <v>45978</v>
      </c>
      <c r="M33" s="1177" t="s">
        <v>57</v>
      </c>
      <c r="N33" s="1178">
        <v>87807.5</v>
      </c>
      <c r="O33" s="1177" t="s">
        <v>57</v>
      </c>
      <c r="P33" s="1246" t="s">
        <v>122</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286</v>
      </c>
      <c r="C34" s="1263">
        <v>46052</v>
      </c>
      <c r="D34" s="1346" t="s">
        <v>137</v>
      </c>
      <c r="E34" s="1262">
        <v>46027</v>
      </c>
      <c r="F34" s="1366" t="s">
        <v>303</v>
      </c>
      <c r="G34" s="1264"/>
      <c r="H34" s="52">
        <v>68</v>
      </c>
      <c r="I34" s="656" t="s">
        <v>121</v>
      </c>
      <c r="J34" s="1269" t="s">
        <v>63</v>
      </c>
      <c r="K34" s="1083"/>
      <c r="L34" s="1262">
        <v>46027</v>
      </c>
      <c r="M34" s="1197" t="s">
        <v>57</v>
      </c>
      <c r="N34" s="1293">
        <v>68608</v>
      </c>
      <c r="O34" s="1350" t="s">
        <v>57</v>
      </c>
      <c r="P34" s="1294" t="s">
        <v>122</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286</v>
      </c>
      <c r="C35" s="1357">
        <v>46052</v>
      </c>
      <c r="D35" s="1346" t="s">
        <v>137</v>
      </c>
      <c r="E35" s="1262">
        <v>46027</v>
      </c>
      <c r="F35" s="1367" t="s">
        <v>303</v>
      </c>
      <c r="G35" s="1264"/>
      <c r="H35" s="52">
        <v>85</v>
      </c>
      <c r="I35" s="656" t="s">
        <v>121</v>
      </c>
      <c r="J35" s="1269" t="s">
        <v>63</v>
      </c>
      <c r="K35" s="1370"/>
      <c r="L35" s="1262">
        <v>46027</v>
      </c>
      <c r="M35" s="1197" t="s">
        <v>57</v>
      </c>
      <c r="N35" s="1293">
        <v>73334</v>
      </c>
      <c r="O35" s="1350" t="s">
        <v>57</v>
      </c>
      <c r="P35" s="1294" t="s">
        <v>122</v>
      </c>
      <c r="Q35" s="1226">
        <v>46027</v>
      </c>
      <c r="R35" s="1455"/>
      <c r="S35" s="1335"/>
      <c r="T35" s="1374"/>
      <c r="U35" s="1335"/>
      <c r="V35" s="31">
        <v>5860</v>
      </c>
      <c r="W35" s="1511">
        <v>5829</v>
      </c>
      <c r="X35" s="1376">
        <f t="shared" ref="X35:X40" si="15">SUM(V35-W35)</f>
        <v>31</v>
      </c>
      <c r="Y35" s="1130">
        <f t="shared" si="13"/>
        <v>0.99470989761092155</v>
      </c>
      <c r="Z35" s="1502">
        <v>46034</v>
      </c>
      <c r="AA35" s="1256">
        <v>0</v>
      </c>
      <c r="AB35" s="1256">
        <v>0</v>
      </c>
      <c r="AC35" s="1255">
        <v>0</v>
      </c>
      <c r="AD35" s="1228" t="s">
        <v>412</v>
      </c>
    </row>
    <row r="36" spans="1:30" ht="39.75" customHeight="1">
      <c r="A36" s="1436" t="s">
        <v>414</v>
      </c>
      <c r="B36" s="1261" t="s">
        <v>286</v>
      </c>
      <c r="C36" s="1357">
        <v>46052</v>
      </c>
      <c r="D36" s="1346" t="s">
        <v>137</v>
      </c>
      <c r="E36" s="1262">
        <v>46027</v>
      </c>
      <c r="F36" s="1367" t="s">
        <v>303</v>
      </c>
      <c r="G36" s="1264"/>
      <c r="H36" s="52">
        <v>81</v>
      </c>
      <c r="I36" s="656" t="s">
        <v>121</v>
      </c>
      <c r="J36" s="1269" t="s">
        <v>63</v>
      </c>
      <c r="K36" s="1370"/>
      <c r="L36" s="1262">
        <v>46027</v>
      </c>
      <c r="M36" s="1197" t="s">
        <v>57</v>
      </c>
      <c r="N36" s="1293">
        <v>73885</v>
      </c>
      <c r="O36" s="1350" t="s">
        <v>57</v>
      </c>
      <c r="P36" s="1294" t="s">
        <v>122</v>
      </c>
      <c r="Q36" s="1226">
        <v>46027</v>
      </c>
      <c r="R36" s="1455"/>
      <c r="S36" s="1335"/>
      <c r="T36" s="1374"/>
      <c r="U36" s="1335"/>
      <c r="V36" s="31">
        <v>6021</v>
      </c>
      <c r="W36" s="1511">
        <v>6080</v>
      </c>
      <c r="X36" s="1376">
        <f t="shared" si="15"/>
        <v>-59</v>
      </c>
      <c r="Y36" s="1130">
        <f t="shared" si="13"/>
        <v>1.0097990367048664</v>
      </c>
      <c r="Z36" s="1502">
        <v>46035</v>
      </c>
      <c r="AA36" s="1256">
        <v>0</v>
      </c>
      <c r="AB36" s="1256">
        <v>0</v>
      </c>
      <c r="AC36" s="1255">
        <v>0</v>
      </c>
      <c r="AD36" s="1228" t="s">
        <v>415</v>
      </c>
    </row>
    <row r="37" spans="1:30" ht="39.75" customHeight="1">
      <c r="A37" s="1436" t="s">
        <v>416</v>
      </c>
      <c r="B37" s="1261" t="s">
        <v>286</v>
      </c>
      <c r="C37" s="1357">
        <v>46052</v>
      </c>
      <c r="D37" s="1346" t="s">
        <v>137</v>
      </c>
      <c r="E37" s="1262">
        <v>46027</v>
      </c>
      <c r="F37" s="1367" t="s">
        <v>303</v>
      </c>
      <c r="G37" s="1264"/>
      <c r="H37" s="52">
        <v>68</v>
      </c>
      <c r="I37" s="656" t="s">
        <v>121</v>
      </c>
      <c r="J37" s="1269" t="s">
        <v>63</v>
      </c>
      <c r="K37" s="1370"/>
      <c r="L37" s="1262">
        <v>46027</v>
      </c>
      <c r="M37" s="1197" t="s">
        <v>57</v>
      </c>
      <c r="N37" s="1293">
        <v>59114.5</v>
      </c>
      <c r="O37" s="1350" t="s">
        <v>57</v>
      </c>
      <c r="P37" s="1294" t="s">
        <v>122</v>
      </c>
      <c r="Q37" s="1226">
        <v>46027</v>
      </c>
      <c r="R37" s="1455"/>
      <c r="S37" s="1335"/>
      <c r="T37" s="1374"/>
      <c r="U37" s="1335"/>
      <c r="V37" s="31">
        <v>4836</v>
      </c>
      <c r="W37" s="1511">
        <v>4810</v>
      </c>
      <c r="X37" s="1377">
        <f t="shared" si="15"/>
        <v>26</v>
      </c>
      <c r="Y37" s="1364">
        <f t="shared" si="13"/>
        <v>0.9946236559139785</v>
      </c>
      <c r="Z37" s="1504">
        <v>46036</v>
      </c>
      <c r="AA37" s="1256">
        <v>0</v>
      </c>
      <c r="AB37" s="1256">
        <v>0</v>
      </c>
      <c r="AC37" s="1255">
        <v>0</v>
      </c>
      <c r="AD37" s="1228" t="s">
        <v>417</v>
      </c>
    </row>
    <row r="38" spans="1:30" ht="39.75" customHeight="1">
      <c r="A38" s="1476" t="s">
        <v>418</v>
      </c>
      <c r="B38" s="1261" t="s">
        <v>286</v>
      </c>
      <c r="C38" s="1357">
        <v>46052</v>
      </c>
      <c r="D38" s="1346" t="s">
        <v>137</v>
      </c>
      <c r="E38" s="1363">
        <v>46027</v>
      </c>
      <c r="F38" s="1366" t="s">
        <v>303</v>
      </c>
      <c r="G38" s="1264"/>
      <c r="H38" s="52">
        <v>90</v>
      </c>
      <c r="I38" s="656" t="s">
        <v>121</v>
      </c>
      <c r="J38" s="1269" t="s">
        <v>63</v>
      </c>
      <c r="K38" s="1467"/>
      <c r="L38" s="1262">
        <v>46027</v>
      </c>
      <c r="M38" s="1197" t="s">
        <v>57</v>
      </c>
      <c r="N38" s="1178">
        <v>86984</v>
      </c>
      <c r="O38" s="1350" t="s">
        <v>57</v>
      </c>
      <c r="P38" s="1294" t="s">
        <v>122</v>
      </c>
      <c r="Q38" s="1226">
        <v>46027</v>
      </c>
      <c r="R38" s="1456"/>
      <c r="S38" s="1337"/>
      <c r="T38" s="1375"/>
      <c r="U38" s="1478"/>
      <c r="V38" s="31">
        <v>7341</v>
      </c>
      <c r="W38" s="1512">
        <v>7151</v>
      </c>
      <c r="X38" s="1236">
        <f t="shared" si="15"/>
        <v>190</v>
      </c>
      <c r="Y38" s="868">
        <f t="shared" si="13"/>
        <v>0.97411796757934888</v>
      </c>
      <c r="Z38" s="1502">
        <v>46037</v>
      </c>
      <c r="AA38" s="1434">
        <v>1</v>
      </c>
      <c r="AB38" s="1256">
        <v>0</v>
      </c>
      <c r="AC38" s="1255">
        <v>0</v>
      </c>
      <c r="AD38" s="1228" t="s">
        <v>419</v>
      </c>
    </row>
    <row r="39" spans="1:30" ht="39.75" customHeight="1">
      <c r="A39" s="1476" t="s">
        <v>420</v>
      </c>
      <c r="B39" s="1261" t="s">
        <v>286</v>
      </c>
      <c r="C39" s="1357">
        <v>46052</v>
      </c>
      <c r="D39" s="1346" t="s">
        <v>137</v>
      </c>
      <c r="E39" s="1363">
        <v>46027</v>
      </c>
      <c r="F39" s="1176" t="s">
        <v>142</v>
      </c>
      <c r="G39" s="1264"/>
      <c r="H39" s="1265">
        <v>0</v>
      </c>
      <c r="I39" s="656" t="s">
        <v>121</v>
      </c>
      <c r="J39" s="1269" t="s">
        <v>63</v>
      </c>
      <c r="K39" s="1467"/>
      <c r="L39" s="1262">
        <v>46027</v>
      </c>
      <c r="M39" s="1197" t="s">
        <v>57</v>
      </c>
      <c r="N39" s="1178">
        <v>54261.05</v>
      </c>
      <c r="O39" s="1350" t="s">
        <v>57</v>
      </c>
      <c r="P39" s="1294" t="s">
        <v>122</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286</v>
      </c>
      <c r="C40" s="1357">
        <v>46052</v>
      </c>
      <c r="D40" s="1346" t="s">
        <v>137</v>
      </c>
      <c r="E40" s="1262">
        <v>46027</v>
      </c>
      <c r="F40" s="1176" t="s">
        <v>142</v>
      </c>
      <c r="G40" s="1264"/>
      <c r="H40" s="1265">
        <v>0</v>
      </c>
      <c r="I40" s="656" t="s">
        <v>121</v>
      </c>
      <c r="J40" s="1269" t="s">
        <v>63</v>
      </c>
      <c r="K40" s="1467"/>
      <c r="L40" s="1262">
        <v>46027</v>
      </c>
      <c r="M40" s="1197" t="s">
        <v>57</v>
      </c>
      <c r="N40" s="1293">
        <v>18078.28</v>
      </c>
      <c r="O40" s="1350" t="s">
        <v>57</v>
      </c>
      <c r="P40" s="1294" t="s">
        <v>122</v>
      </c>
      <c r="Q40" s="1226">
        <v>46027</v>
      </c>
      <c r="R40" s="1455"/>
      <c r="S40" s="1335"/>
      <c r="T40" s="1374"/>
      <c r="U40" s="1335"/>
      <c r="V40" s="31">
        <v>1284</v>
      </c>
      <c r="W40" s="1512">
        <v>1277</v>
      </c>
      <c r="X40" s="1236">
        <f t="shared" si="15"/>
        <v>7</v>
      </c>
      <c r="Y40" s="868">
        <f t="shared" si="13"/>
        <v>0.99454828660436134</v>
      </c>
      <c r="Z40" s="1502">
        <v>46042</v>
      </c>
      <c r="AA40" s="1434">
        <v>0</v>
      </c>
      <c r="AB40" s="1256">
        <v>0</v>
      </c>
      <c r="AC40" s="1255">
        <v>2058</v>
      </c>
      <c r="AD40" s="1228" t="s">
        <v>423</v>
      </c>
    </row>
    <row r="41" spans="1:30" ht="39.75" customHeight="1">
      <c r="A41" s="1128" t="s">
        <v>424</v>
      </c>
      <c r="B41" s="1129" t="s">
        <v>286</v>
      </c>
      <c r="C41" s="375">
        <v>46019</v>
      </c>
      <c r="D41" s="962" t="s">
        <v>137</v>
      </c>
      <c r="E41" s="375">
        <v>45959</v>
      </c>
      <c r="F41" s="374" t="s">
        <v>287</v>
      </c>
      <c r="G41" s="667" t="s">
        <v>425</v>
      </c>
      <c r="H41" s="1049">
        <v>89</v>
      </c>
      <c r="I41" s="963" t="s">
        <v>121</v>
      </c>
      <c r="J41" s="964" t="s">
        <v>63</v>
      </c>
      <c r="K41" s="469"/>
      <c r="L41" s="375">
        <v>45964</v>
      </c>
      <c r="M41" s="964" t="s">
        <v>57</v>
      </c>
      <c r="N41" s="1050">
        <v>62937.05</v>
      </c>
      <c r="O41" s="52" t="s">
        <v>57</v>
      </c>
      <c r="P41" s="1052" t="s">
        <v>122</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286</v>
      </c>
      <c r="C42" s="467">
        <v>46045</v>
      </c>
      <c r="D42" s="638" t="s">
        <v>137</v>
      </c>
      <c r="E42" s="467"/>
      <c r="F42" s="465"/>
      <c r="G42" s="468"/>
      <c r="H42" s="1057">
        <v>77</v>
      </c>
      <c r="I42" s="823" t="s">
        <v>121</v>
      </c>
      <c r="J42" s="478" t="s">
        <v>63</v>
      </c>
      <c r="K42" s="1058"/>
      <c r="L42" s="476" t="s">
        <v>52</v>
      </c>
      <c r="M42" s="478" t="s">
        <v>57</v>
      </c>
      <c r="N42" s="1059">
        <v>4046.5</v>
      </c>
      <c r="O42" s="478" t="s">
        <v>57</v>
      </c>
      <c r="P42" s="622" t="s">
        <v>122</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286</v>
      </c>
      <c r="C43" s="467">
        <v>46045</v>
      </c>
      <c r="D43" s="638" t="s">
        <v>137</v>
      </c>
      <c r="E43" s="467">
        <v>45959</v>
      </c>
      <c r="F43" s="465" t="s">
        <v>287</v>
      </c>
      <c r="G43" s="468" t="s">
        <v>430</v>
      </c>
      <c r="H43" s="1057">
        <v>78</v>
      </c>
      <c r="I43" s="823" t="s">
        <v>121</v>
      </c>
      <c r="J43" s="478" t="s">
        <v>63</v>
      </c>
      <c r="K43" s="1058"/>
      <c r="L43" s="467">
        <v>45964</v>
      </c>
      <c r="M43" s="478" t="s">
        <v>57</v>
      </c>
      <c r="N43" s="1059">
        <v>170</v>
      </c>
      <c r="O43" s="478" t="s">
        <v>57</v>
      </c>
      <c r="P43" s="622" t="s">
        <v>122</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286</v>
      </c>
      <c r="C44" s="375">
        <v>46045</v>
      </c>
      <c r="D44" s="962" t="s">
        <v>137</v>
      </c>
      <c r="E44" s="375"/>
      <c r="F44" s="374"/>
      <c r="G44" s="633"/>
      <c r="H44" s="1049">
        <v>88</v>
      </c>
      <c r="I44" s="963" t="s">
        <v>121</v>
      </c>
      <c r="J44" s="964" t="s">
        <v>63</v>
      </c>
      <c r="K44" s="994"/>
      <c r="L44" s="476" t="s">
        <v>52</v>
      </c>
      <c r="M44" s="964" t="s">
        <v>57</v>
      </c>
      <c r="N44" s="1050">
        <v>5668</v>
      </c>
      <c r="O44" s="52" t="s">
        <v>57</v>
      </c>
      <c r="P44" s="1052" t="s">
        <v>122</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286</v>
      </c>
      <c r="C45" s="375">
        <v>46045</v>
      </c>
      <c r="D45" s="962" t="s">
        <v>137</v>
      </c>
      <c r="E45" s="375"/>
      <c r="F45" s="374"/>
      <c r="G45" s="633"/>
      <c r="H45" s="1049">
        <v>30</v>
      </c>
      <c r="I45" s="963" t="s">
        <v>121</v>
      </c>
      <c r="J45" s="964" t="s">
        <v>63</v>
      </c>
      <c r="K45" s="994"/>
      <c r="L45" s="476" t="s">
        <v>52</v>
      </c>
      <c r="M45" s="964" t="s">
        <v>57</v>
      </c>
      <c r="N45" s="1050">
        <v>170</v>
      </c>
      <c r="O45" s="52" t="s">
        <v>57</v>
      </c>
      <c r="P45" s="1052" t="s">
        <v>122</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286</v>
      </c>
      <c r="C46" s="1357">
        <v>46052</v>
      </c>
      <c r="D46" s="962" t="s">
        <v>137</v>
      </c>
      <c r="E46" s="1263">
        <v>45993</v>
      </c>
      <c r="F46" s="1264" t="s">
        <v>142</v>
      </c>
      <c r="G46" s="1264" t="s">
        <v>436</v>
      </c>
      <c r="H46" s="1287">
        <v>89</v>
      </c>
      <c r="I46" s="963" t="s">
        <v>121</v>
      </c>
      <c r="J46" s="1250" t="s">
        <v>63</v>
      </c>
      <c r="K46" s="994"/>
      <c r="L46" s="1263">
        <v>45993</v>
      </c>
      <c r="M46" s="1250" t="s">
        <v>57</v>
      </c>
      <c r="N46" s="1289">
        <v>93349.5</v>
      </c>
      <c r="O46" s="1269" t="s">
        <v>57</v>
      </c>
      <c r="P46" s="1331" t="s">
        <v>122</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286</v>
      </c>
      <c r="C47" s="375">
        <v>46045</v>
      </c>
      <c r="D47" s="962" t="s">
        <v>137</v>
      </c>
      <c r="E47" s="375">
        <v>45959</v>
      </c>
      <c r="F47" s="374" t="s">
        <v>142</v>
      </c>
      <c r="G47" s="633"/>
      <c r="H47" s="376">
        <v>89</v>
      </c>
      <c r="I47" s="963" t="s">
        <v>121</v>
      </c>
      <c r="J47" s="964" t="s">
        <v>63</v>
      </c>
      <c r="K47" s="646"/>
      <c r="L47" s="51">
        <v>45964</v>
      </c>
      <c r="M47" s="52" t="s">
        <v>57</v>
      </c>
      <c r="N47" s="833">
        <v>84750.5</v>
      </c>
      <c r="O47" s="52" t="s">
        <v>57</v>
      </c>
      <c r="P47" s="1052" t="s">
        <v>122</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286</v>
      </c>
      <c r="C48" s="375">
        <v>45989</v>
      </c>
      <c r="D48" s="962" t="s">
        <v>137</v>
      </c>
      <c r="E48" s="375">
        <v>45959</v>
      </c>
      <c r="F48" s="374" t="s">
        <v>142</v>
      </c>
      <c r="G48" s="633" t="s">
        <v>441</v>
      </c>
      <c r="H48" s="376">
        <v>59</v>
      </c>
      <c r="I48" s="963" t="s">
        <v>121</v>
      </c>
      <c r="J48" s="964" t="s">
        <v>63</v>
      </c>
      <c r="K48" s="646"/>
      <c r="L48" s="51">
        <v>45964</v>
      </c>
      <c r="M48" s="964" t="s">
        <v>57</v>
      </c>
      <c r="N48" s="833">
        <v>65066.5</v>
      </c>
      <c r="O48" s="52" t="s">
        <v>57</v>
      </c>
      <c r="P48" s="1052" t="s">
        <v>122</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286</v>
      </c>
      <c r="C49" s="375">
        <v>46010</v>
      </c>
      <c r="D49" s="962" t="s">
        <v>137</v>
      </c>
      <c r="E49" s="375">
        <v>45959</v>
      </c>
      <c r="F49" s="374" t="s">
        <v>142</v>
      </c>
      <c r="G49" s="633" t="s">
        <v>444</v>
      </c>
      <c r="H49" s="376">
        <v>89</v>
      </c>
      <c r="I49" s="963" t="s">
        <v>121</v>
      </c>
      <c r="J49" s="964" t="s">
        <v>63</v>
      </c>
      <c r="K49" s="646"/>
      <c r="L49" s="51">
        <v>45964</v>
      </c>
      <c r="M49" s="964" t="s">
        <v>57</v>
      </c>
      <c r="N49" s="833">
        <v>81602</v>
      </c>
      <c r="O49" s="52" t="s">
        <v>57</v>
      </c>
      <c r="P49" s="1052" t="s">
        <v>122</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286</v>
      </c>
      <c r="C50" s="375">
        <v>46045</v>
      </c>
      <c r="D50" s="962" t="s">
        <v>137</v>
      </c>
      <c r="E50" s="375">
        <v>45959</v>
      </c>
      <c r="F50" s="374" t="s">
        <v>142</v>
      </c>
      <c r="G50" s="633"/>
      <c r="H50" s="376">
        <v>88</v>
      </c>
      <c r="I50" s="963" t="s">
        <v>121</v>
      </c>
      <c r="J50" s="964" t="s">
        <v>63</v>
      </c>
      <c r="K50" s="646"/>
      <c r="L50" s="51">
        <v>45961</v>
      </c>
      <c r="M50" s="52" t="s">
        <v>57</v>
      </c>
      <c r="N50" s="833">
        <v>88231.9</v>
      </c>
      <c r="O50" s="52" t="s">
        <v>57</v>
      </c>
      <c r="P50" s="1052" t="s">
        <v>122</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286</v>
      </c>
      <c r="C51" s="375">
        <v>45989</v>
      </c>
      <c r="D51" s="962" t="s">
        <v>137</v>
      </c>
      <c r="E51" s="375">
        <v>45959</v>
      </c>
      <c r="F51" s="374" t="s">
        <v>142</v>
      </c>
      <c r="G51" s="633" t="s">
        <v>449</v>
      </c>
      <c r="H51" s="376">
        <v>87</v>
      </c>
      <c r="I51" s="963" t="s">
        <v>121</v>
      </c>
      <c r="J51" s="964" t="s">
        <v>63</v>
      </c>
      <c r="K51" s="646"/>
      <c r="L51" s="51">
        <v>45964</v>
      </c>
      <c r="M51" s="964" t="s">
        <v>57</v>
      </c>
      <c r="N51" s="833">
        <v>93578</v>
      </c>
      <c r="O51" s="52" t="s">
        <v>57</v>
      </c>
      <c r="P51" s="1052" t="s">
        <v>122</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286</v>
      </c>
      <c r="C52" s="375">
        <v>46045</v>
      </c>
      <c r="D52" s="962" t="s">
        <v>137</v>
      </c>
      <c r="E52" s="375">
        <v>45959</v>
      </c>
      <c r="F52" s="374" t="s">
        <v>142</v>
      </c>
      <c r="G52" s="633"/>
      <c r="H52" s="376">
        <v>90</v>
      </c>
      <c r="I52" s="963" t="s">
        <v>121</v>
      </c>
      <c r="J52" s="964" t="s">
        <v>63</v>
      </c>
      <c r="K52" s="646"/>
      <c r="L52" s="51">
        <v>45964</v>
      </c>
      <c r="M52" s="52" t="s">
        <v>57</v>
      </c>
      <c r="N52" s="833">
        <v>84896</v>
      </c>
      <c r="O52" s="52" t="s">
        <v>57</v>
      </c>
      <c r="P52" s="1052" t="s">
        <v>122</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286</v>
      </c>
      <c r="C53" s="1263">
        <v>46019</v>
      </c>
      <c r="D53" s="962" t="s">
        <v>137</v>
      </c>
      <c r="E53" s="1263">
        <v>45959</v>
      </c>
      <c r="F53" s="1264" t="s">
        <v>142</v>
      </c>
      <c r="G53" s="1264" t="s">
        <v>454</v>
      </c>
      <c r="H53" s="1265">
        <v>90</v>
      </c>
      <c r="I53" s="963" t="s">
        <v>121</v>
      </c>
      <c r="J53" s="1250" t="s">
        <v>63</v>
      </c>
      <c r="K53" s="646"/>
      <c r="L53" s="1267">
        <v>45961</v>
      </c>
      <c r="M53" s="1250" t="s">
        <v>57</v>
      </c>
      <c r="N53" s="1293">
        <v>91897</v>
      </c>
      <c r="O53" s="1269" t="s">
        <v>57</v>
      </c>
      <c r="P53" s="1294" t="s">
        <v>122</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286</v>
      </c>
      <c r="C54" s="375">
        <v>45989</v>
      </c>
      <c r="D54" s="962" t="s">
        <v>137</v>
      </c>
      <c r="E54" s="375">
        <v>45959</v>
      </c>
      <c r="F54" s="374" t="s">
        <v>142</v>
      </c>
      <c r="G54" s="633" t="s">
        <v>457</v>
      </c>
      <c r="H54" s="376">
        <v>90</v>
      </c>
      <c r="I54" s="963" t="s">
        <v>121</v>
      </c>
      <c r="J54" s="964" t="s">
        <v>63</v>
      </c>
      <c r="K54" s="646"/>
      <c r="L54" s="51">
        <v>45964</v>
      </c>
      <c r="M54" s="964" t="s">
        <v>57</v>
      </c>
      <c r="N54" s="833">
        <v>96685</v>
      </c>
      <c r="O54" s="52" t="s">
        <v>57</v>
      </c>
      <c r="P54" s="1052" t="s">
        <v>122</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286</v>
      </c>
      <c r="C55" s="1263">
        <v>46019</v>
      </c>
      <c r="D55" s="962" t="s">
        <v>137</v>
      </c>
      <c r="E55" s="1263">
        <v>45959</v>
      </c>
      <c r="F55" s="1264" t="s">
        <v>142</v>
      </c>
      <c r="G55" s="1264" t="s">
        <v>460</v>
      </c>
      <c r="H55" s="1265">
        <v>90</v>
      </c>
      <c r="I55" s="963" t="s">
        <v>121</v>
      </c>
      <c r="J55" s="1250" t="s">
        <v>63</v>
      </c>
      <c r="K55" s="1266"/>
      <c r="L55" s="1267">
        <v>45964</v>
      </c>
      <c r="M55" s="1250" t="s">
        <v>57</v>
      </c>
      <c r="N55" s="1293">
        <v>85815</v>
      </c>
      <c r="O55" s="1269" t="s">
        <v>57</v>
      </c>
      <c r="P55" s="1294" t="s">
        <v>122</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286</v>
      </c>
      <c r="C56" s="375">
        <v>46021</v>
      </c>
      <c r="D56" s="962" t="s">
        <v>137</v>
      </c>
      <c r="E56" s="375">
        <v>45959</v>
      </c>
      <c r="F56" s="374" t="s">
        <v>142</v>
      </c>
      <c r="G56" s="633" t="s">
        <v>463</v>
      </c>
      <c r="H56" s="376">
        <v>89</v>
      </c>
      <c r="I56" s="963" t="s">
        <v>121</v>
      </c>
      <c r="J56" s="964" t="s">
        <v>63</v>
      </c>
      <c r="K56" s="646"/>
      <c r="L56" s="51">
        <v>45961</v>
      </c>
      <c r="M56" s="964" t="s">
        <v>57</v>
      </c>
      <c r="N56" s="833">
        <v>83615</v>
      </c>
      <c r="O56" s="52" t="s">
        <v>57</v>
      </c>
      <c r="P56" s="1052" t="s">
        <v>122</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286</v>
      </c>
      <c r="C57" s="1263">
        <v>46021</v>
      </c>
      <c r="D57" s="962" t="s">
        <v>137</v>
      </c>
      <c r="E57" s="1263">
        <v>45959</v>
      </c>
      <c r="F57" s="1264" t="s">
        <v>142</v>
      </c>
      <c r="G57" s="1264" t="s">
        <v>466</v>
      </c>
      <c r="H57" s="1265">
        <v>88</v>
      </c>
      <c r="I57" s="963" t="s">
        <v>121</v>
      </c>
      <c r="J57" s="1250" t="s">
        <v>63</v>
      </c>
      <c r="K57" s="646"/>
      <c r="L57" s="1267">
        <v>45964</v>
      </c>
      <c r="M57" s="1250" t="s">
        <v>57</v>
      </c>
      <c r="N57" s="1293">
        <v>78736.5</v>
      </c>
      <c r="O57" s="1269" t="s">
        <v>57</v>
      </c>
      <c r="P57" s="1294" t="s">
        <v>122</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286</v>
      </c>
      <c r="C58" s="1263">
        <v>46021</v>
      </c>
      <c r="D58" s="962" t="s">
        <v>137</v>
      </c>
      <c r="E58" s="1263">
        <v>45959</v>
      </c>
      <c r="F58" s="1264" t="s">
        <v>142</v>
      </c>
      <c r="G58" s="1264" t="s">
        <v>469</v>
      </c>
      <c r="H58" s="1265">
        <v>86</v>
      </c>
      <c r="I58" s="963" t="s">
        <v>121</v>
      </c>
      <c r="J58" s="1250" t="s">
        <v>63</v>
      </c>
      <c r="K58" s="646"/>
      <c r="L58" s="1267">
        <v>45964</v>
      </c>
      <c r="M58" s="1250" t="s">
        <v>57</v>
      </c>
      <c r="N58" s="1293">
        <v>80698</v>
      </c>
      <c r="O58" s="1269" t="s">
        <v>57</v>
      </c>
      <c r="P58" s="1294" t="s">
        <v>122</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286</v>
      </c>
      <c r="C59" s="1263">
        <v>46021</v>
      </c>
      <c r="D59" s="962" t="s">
        <v>137</v>
      </c>
      <c r="E59" s="1263">
        <v>45959</v>
      </c>
      <c r="F59" s="1264" t="s">
        <v>142</v>
      </c>
      <c r="G59" s="1264" t="s">
        <v>472</v>
      </c>
      <c r="H59" s="1265">
        <v>85</v>
      </c>
      <c r="I59" s="963" t="s">
        <v>121</v>
      </c>
      <c r="J59" s="1250" t="s">
        <v>63</v>
      </c>
      <c r="K59" s="646"/>
      <c r="L59" s="1267">
        <v>45964</v>
      </c>
      <c r="M59" s="1250" t="s">
        <v>57</v>
      </c>
      <c r="N59" s="1293">
        <v>84770</v>
      </c>
      <c r="O59" s="1269" t="s">
        <v>57</v>
      </c>
      <c r="P59" s="1294" t="s">
        <v>122</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286</v>
      </c>
      <c r="C60" s="1263">
        <v>46019</v>
      </c>
      <c r="D60" s="962" t="s">
        <v>137</v>
      </c>
      <c r="E60" s="1263">
        <v>45959</v>
      </c>
      <c r="F60" s="1264" t="s">
        <v>142</v>
      </c>
      <c r="G60" s="1264" t="s">
        <v>475</v>
      </c>
      <c r="H60" s="1265">
        <v>87</v>
      </c>
      <c r="I60" s="963" t="s">
        <v>121</v>
      </c>
      <c r="J60" s="1250" t="s">
        <v>63</v>
      </c>
      <c r="K60" s="1266"/>
      <c r="L60" s="1267">
        <v>45964</v>
      </c>
      <c r="M60" s="1250" t="s">
        <v>57</v>
      </c>
      <c r="N60" s="1293">
        <v>87875</v>
      </c>
      <c r="O60" s="1269" t="s">
        <v>57</v>
      </c>
      <c r="P60" s="1294" t="s">
        <v>122</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286</v>
      </c>
      <c r="C61" s="1357">
        <v>46052</v>
      </c>
      <c r="D61" s="962" t="s">
        <v>137</v>
      </c>
      <c r="E61" s="1263">
        <v>45987</v>
      </c>
      <c r="F61" s="1264" t="s">
        <v>142</v>
      </c>
      <c r="G61" s="1264" t="s">
        <v>479</v>
      </c>
      <c r="H61" s="1265">
        <v>76</v>
      </c>
      <c r="I61" s="963" t="s">
        <v>121</v>
      </c>
      <c r="J61" s="1250" t="s">
        <v>63</v>
      </c>
      <c r="K61" s="1266"/>
      <c r="L61" s="1267">
        <v>45987</v>
      </c>
      <c r="M61" s="1250" t="s">
        <v>57</v>
      </c>
      <c r="N61" s="1293">
        <v>74892.5</v>
      </c>
      <c r="O61" s="1269" t="s">
        <v>57</v>
      </c>
      <c r="P61" s="1331" t="s">
        <v>122</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286</v>
      </c>
      <c r="C62" s="1357">
        <v>46052</v>
      </c>
      <c r="D62" s="962" t="s">
        <v>137</v>
      </c>
      <c r="E62" s="1263">
        <v>45987</v>
      </c>
      <c r="F62" s="1366" t="s">
        <v>142</v>
      </c>
      <c r="G62" s="1264" t="s">
        <v>482</v>
      </c>
      <c r="H62" s="1265">
        <v>78</v>
      </c>
      <c r="I62" s="656" t="s">
        <v>121</v>
      </c>
      <c r="J62" s="1269" t="s">
        <v>63</v>
      </c>
      <c r="K62" s="1368"/>
      <c r="L62" s="1267">
        <v>45987</v>
      </c>
      <c r="M62" s="1250" t="s">
        <v>57</v>
      </c>
      <c r="N62" s="1293">
        <v>68606.5</v>
      </c>
      <c r="O62" s="1269" t="s">
        <v>57</v>
      </c>
      <c r="P62" s="1331" t="s">
        <v>122</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286</v>
      </c>
      <c r="C63" s="1263">
        <v>46019</v>
      </c>
      <c r="D63" s="962" t="s">
        <v>137</v>
      </c>
      <c r="E63" s="1263">
        <v>45959</v>
      </c>
      <c r="F63" s="1264" t="s">
        <v>142</v>
      </c>
      <c r="G63" s="1264" t="s">
        <v>485</v>
      </c>
      <c r="H63" s="1265">
        <v>0</v>
      </c>
      <c r="I63" s="963" t="s">
        <v>121</v>
      </c>
      <c r="J63" s="1250" t="s">
        <v>63</v>
      </c>
      <c r="K63" s="1266"/>
      <c r="L63" s="1267">
        <v>45961</v>
      </c>
      <c r="M63" s="1250" t="s">
        <v>57</v>
      </c>
      <c r="N63" s="1293">
        <v>64985.65</v>
      </c>
      <c r="O63" s="1269" t="s">
        <v>57</v>
      </c>
      <c r="P63" s="1331" t="s">
        <v>122</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286</v>
      </c>
      <c r="C64" s="1263">
        <v>46019</v>
      </c>
      <c r="D64" s="962" t="s">
        <v>137</v>
      </c>
      <c r="E64" s="1263">
        <v>45959</v>
      </c>
      <c r="F64" s="1264" t="s">
        <v>142</v>
      </c>
      <c r="G64" s="1264" t="s">
        <v>488</v>
      </c>
      <c r="H64" s="1265">
        <v>0</v>
      </c>
      <c r="I64" s="963" t="s">
        <v>121</v>
      </c>
      <c r="J64" s="1250" t="s">
        <v>63</v>
      </c>
      <c r="K64" s="1266"/>
      <c r="L64" s="1267">
        <v>45961</v>
      </c>
      <c r="M64" s="1250" t="s">
        <v>57</v>
      </c>
      <c r="N64" s="1293">
        <v>54043.5</v>
      </c>
      <c r="O64" s="1269" t="s">
        <v>57</v>
      </c>
      <c r="P64" s="1294" t="s">
        <v>122</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184</v>
      </c>
      <c r="E65" s="57">
        <v>45743</v>
      </c>
      <c r="F65" s="766" t="s">
        <v>491</v>
      </c>
      <c r="G65" s="784" t="s">
        <v>492</v>
      </c>
      <c r="H65" s="770">
        <v>69</v>
      </c>
      <c r="I65" s="657" t="s">
        <v>121</v>
      </c>
      <c r="J65" s="469" t="s">
        <v>63</v>
      </c>
      <c r="K65" s="893"/>
      <c r="L65" s="51">
        <v>45741</v>
      </c>
      <c r="M65" s="376" t="s">
        <v>57</v>
      </c>
      <c r="N65" s="833">
        <v>67734.5</v>
      </c>
      <c r="O65" s="376" t="s">
        <v>57</v>
      </c>
      <c r="P65" s="1052" t="s">
        <v>122</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121</v>
      </c>
      <c r="J66" s="1177" t="s">
        <v>63</v>
      </c>
      <c r="K66" s="1198"/>
      <c r="L66" s="1195">
        <v>45741</v>
      </c>
      <c r="M66" s="1177" t="s">
        <v>57</v>
      </c>
      <c r="N66" s="1208">
        <v>48215.5</v>
      </c>
      <c r="O66" s="1177" t="s">
        <v>57</v>
      </c>
      <c r="P66" s="1439" t="s">
        <v>122</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121</v>
      </c>
      <c r="J67" s="478" t="s">
        <v>63</v>
      </c>
      <c r="K67" s="52"/>
      <c r="L67" s="375">
        <v>45716</v>
      </c>
      <c r="M67" s="52" t="s">
        <v>57</v>
      </c>
      <c r="N67" s="1060">
        <v>56262.5</v>
      </c>
      <c r="O67" s="52" t="s">
        <v>57</v>
      </c>
      <c r="P67" s="1052" t="s">
        <v>122</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184</v>
      </c>
      <c r="E68" s="476">
        <v>45748</v>
      </c>
      <c r="F68" s="475" t="s">
        <v>491</v>
      </c>
      <c r="G68" s="819" t="s">
        <v>503</v>
      </c>
      <c r="H68" s="478">
        <v>0</v>
      </c>
      <c r="I68" s="478" t="s">
        <v>121</v>
      </c>
      <c r="J68" s="469" t="s">
        <v>63</v>
      </c>
      <c r="K68" s="820"/>
      <c r="L68" s="476">
        <v>45741</v>
      </c>
      <c r="M68" s="469" t="s">
        <v>57</v>
      </c>
      <c r="N68" s="541">
        <v>17203.45</v>
      </c>
      <c r="O68" s="469" t="s">
        <v>57</v>
      </c>
      <c r="P68" s="961" t="s">
        <v>122</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121</v>
      </c>
      <c r="J69" s="1177" t="s">
        <v>63</v>
      </c>
      <c r="K69" s="820"/>
      <c r="L69" s="1195">
        <v>45742</v>
      </c>
      <c r="M69" s="1177" t="s">
        <v>57</v>
      </c>
      <c r="N69" s="1208">
        <v>13442.35</v>
      </c>
      <c r="O69" s="1177" t="s">
        <v>57</v>
      </c>
      <c r="P69" s="1438" t="s">
        <v>122</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184</v>
      </c>
      <c r="E70" s="57">
        <v>45779</v>
      </c>
      <c r="F70" s="766" t="s">
        <v>491</v>
      </c>
      <c r="G70" s="784" t="s">
        <v>509</v>
      </c>
      <c r="H70" s="770">
        <v>0</v>
      </c>
      <c r="I70" s="478" t="s">
        <v>121</v>
      </c>
      <c r="J70" s="469" t="s">
        <v>63</v>
      </c>
      <c r="K70" s="893"/>
      <c r="L70" s="51">
        <v>45742</v>
      </c>
      <c r="M70" s="899" t="s">
        <v>57</v>
      </c>
      <c r="N70" s="1060">
        <v>23800.25</v>
      </c>
      <c r="O70" s="376" t="s">
        <v>57</v>
      </c>
      <c r="P70" s="1052" t="s">
        <v>122</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184</v>
      </c>
      <c r="E71" s="1195">
        <v>45700</v>
      </c>
      <c r="F71" s="1195" t="s">
        <v>491</v>
      </c>
      <c r="G71" s="1195" t="s">
        <v>512</v>
      </c>
      <c r="H71" s="1197">
        <v>0</v>
      </c>
      <c r="I71" s="1197" t="s">
        <v>121</v>
      </c>
      <c r="J71" s="1197" t="s">
        <v>63</v>
      </c>
      <c r="K71" s="1197"/>
      <c r="L71" s="1195">
        <v>45700</v>
      </c>
      <c r="M71" s="1197" t="s">
        <v>57</v>
      </c>
      <c r="N71" s="1208">
        <v>19745.25</v>
      </c>
      <c r="O71" s="1197" t="s">
        <v>57</v>
      </c>
      <c r="P71" s="1438" t="s">
        <v>122</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121</v>
      </c>
      <c r="J72" s="1177" t="s">
        <v>56</v>
      </c>
      <c r="K72" s="1220"/>
      <c r="L72" s="1195">
        <v>45964</v>
      </c>
      <c r="M72" s="1197" t="s">
        <v>57</v>
      </c>
      <c r="N72" s="1208">
        <v>117414</v>
      </c>
      <c r="O72" s="1197" t="s">
        <v>57</v>
      </c>
      <c r="P72" s="1246" t="s">
        <v>122</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183</v>
      </c>
      <c r="C2" s="467">
        <v>45960</v>
      </c>
      <c r="D2" s="467" t="s">
        <v>195</v>
      </c>
      <c r="E2" s="467">
        <v>45852</v>
      </c>
      <c r="F2" s="638" t="s">
        <v>196</v>
      </c>
      <c r="G2" s="678" t="s">
        <v>519</v>
      </c>
      <c r="H2" s="469">
        <v>0</v>
      </c>
      <c r="I2" s="469" t="s">
        <v>121</v>
      </c>
      <c r="J2" s="469" t="s">
        <v>63</v>
      </c>
      <c r="K2" s="469"/>
      <c r="L2" s="467">
        <v>45852</v>
      </c>
      <c r="M2" s="469" t="s">
        <v>57</v>
      </c>
      <c r="N2" s="540">
        <v>42837.2</v>
      </c>
      <c r="O2" s="469" t="s">
        <v>57</v>
      </c>
      <c r="P2" s="801" t="s">
        <v>122</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183</v>
      </c>
      <c r="C3" s="467">
        <v>45868</v>
      </c>
      <c r="D3" s="475" t="s">
        <v>522</v>
      </c>
      <c r="E3" s="476">
        <v>45716</v>
      </c>
      <c r="F3" s="475" t="s">
        <v>196</v>
      </c>
      <c r="G3" s="593" t="s">
        <v>523</v>
      </c>
      <c r="H3" s="478">
        <v>0</v>
      </c>
      <c r="I3" s="483" t="s">
        <v>121</v>
      </c>
      <c r="J3" s="478" t="s">
        <v>63</v>
      </c>
      <c r="K3" s="486"/>
      <c r="L3" s="467">
        <v>45716</v>
      </c>
      <c r="M3" s="478" t="s">
        <v>57</v>
      </c>
      <c r="N3" s="541">
        <v>64932.55</v>
      </c>
      <c r="O3" s="478" t="s">
        <v>57</v>
      </c>
      <c r="P3" s="801" t="s">
        <v>122</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183</v>
      </c>
      <c r="C4" s="897">
        <v>45999</v>
      </c>
      <c r="D4" s="901" t="s">
        <v>184</v>
      </c>
      <c r="E4" s="972">
        <v>45975</v>
      </c>
      <c r="F4" s="901" t="s">
        <v>185</v>
      </c>
      <c r="G4" s="977" t="s">
        <v>525</v>
      </c>
      <c r="H4" s="964">
        <v>0</v>
      </c>
      <c r="I4" s="900" t="s">
        <v>121</v>
      </c>
      <c r="J4" s="899" t="s">
        <v>63</v>
      </c>
      <c r="K4" s="899"/>
      <c r="L4" s="51">
        <v>45960</v>
      </c>
      <c r="M4" s="1401" t="s">
        <v>57</v>
      </c>
      <c r="N4" s="974">
        <v>4911.8999999999996</v>
      </c>
      <c r="O4" s="964" t="s">
        <v>57</v>
      </c>
      <c r="P4" s="903" t="s">
        <v>122</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183</v>
      </c>
      <c r="C5" s="467">
        <v>45991</v>
      </c>
      <c r="D5" s="476" t="s">
        <v>348</v>
      </c>
      <c r="E5" s="428">
        <v>45707</v>
      </c>
      <c r="F5" s="475" t="s">
        <v>196</v>
      </c>
      <c r="G5" s="491" t="s">
        <v>528</v>
      </c>
      <c r="H5" s="483">
        <v>0</v>
      </c>
      <c r="I5" s="483" t="s">
        <v>121</v>
      </c>
      <c r="J5" s="483" t="s">
        <v>63</v>
      </c>
      <c r="K5" s="483"/>
      <c r="L5" s="476">
        <v>45708</v>
      </c>
      <c r="M5" s="483" t="s">
        <v>57</v>
      </c>
      <c r="N5" s="542">
        <v>87944.4</v>
      </c>
      <c r="O5" s="483" t="s">
        <v>57</v>
      </c>
      <c r="P5" s="801" t="s">
        <v>122</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183</v>
      </c>
      <c r="C6" s="476">
        <v>45807</v>
      </c>
      <c r="D6" s="465" t="s">
        <v>522</v>
      </c>
      <c r="E6" s="475" t="s">
        <v>52</v>
      </c>
      <c r="F6" s="465" t="s">
        <v>196</v>
      </c>
      <c r="G6" s="819" t="s">
        <v>531</v>
      </c>
      <c r="H6" s="469">
        <v>84</v>
      </c>
      <c r="I6" s="823" t="s">
        <v>121</v>
      </c>
      <c r="J6" s="478" t="s">
        <v>63</v>
      </c>
      <c r="K6" s="838"/>
      <c r="L6" s="467">
        <v>45716</v>
      </c>
      <c r="M6" s="478" t="s">
        <v>57</v>
      </c>
      <c r="N6" s="540">
        <v>2812.95</v>
      </c>
      <c r="O6" s="478" t="s">
        <v>57</v>
      </c>
      <c r="P6" s="801" t="s">
        <v>122</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183</v>
      </c>
      <c r="C7" s="467">
        <v>45991</v>
      </c>
      <c r="D7" s="475" t="s">
        <v>348</v>
      </c>
      <c r="E7" s="476">
        <v>45866</v>
      </c>
      <c r="F7" s="475" t="s">
        <v>196</v>
      </c>
      <c r="G7" s="477" t="s">
        <v>533</v>
      </c>
      <c r="H7" s="478">
        <v>0</v>
      </c>
      <c r="I7" s="483" t="s">
        <v>121</v>
      </c>
      <c r="J7" s="478" t="s">
        <v>63</v>
      </c>
      <c r="K7" s="486"/>
      <c r="L7" s="476">
        <v>45863</v>
      </c>
      <c r="M7" s="478" t="s">
        <v>57</v>
      </c>
      <c r="N7" s="541">
        <v>143407.25</v>
      </c>
      <c r="O7" s="478" t="s">
        <v>57</v>
      </c>
      <c r="P7" s="801" t="s">
        <v>122</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183</v>
      </c>
      <c r="C8" s="467">
        <v>45991</v>
      </c>
      <c r="D8" s="475" t="s">
        <v>184</v>
      </c>
      <c r="E8" s="476">
        <v>45880</v>
      </c>
      <c r="F8" s="475" t="s">
        <v>185</v>
      </c>
      <c r="G8" s="477" t="s">
        <v>535</v>
      </c>
      <c r="H8" s="478">
        <v>0</v>
      </c>
      <c r="I8" s="483" t="s">
        <v>121</v>
      </c>
      <c r="J8" s="478" t="s">
        <v>63</v>
      </c>
      <c r="K8" s="486"/>
      <c r="L8" s="476">
        <v>45881</v>
      </c>
      <c r="M8" s="478" t="s">
        <v>57</v>
      </c>
      <c r="N8" s="541">
        <v>4815.6499999999996</v>
      </c>
      <c r="O8" s="478" t="s">
        <v>57</v>
      </c>
      <c r="P8" s="801" t="s">
        <v>122</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183</v>
      </c>
      <c r="C9" s="829">
        <v>45955</v>
      </c>
      <c r="D9" s="830" t="s">
        <v>137</v>
      </c>
      <c r="E9" s="830">
        <v>45919</v>
      </c>
      <c r="F9" s="830" t="s">
        <v>207</v>
      </c>
      <c r="G9" s="831" t="s">
        <v>538</v>
      </c>
      <c r="H9" s="393">
        <v>0</v>
      </c>
      <c r="I9" s="832" t="s">
        <v>121</v>
      </c>
      <c r="J9" s="393" t="s">
        <v>63</v>
      </c>
      <c r="K9" s="393"/>
      <c r="L9" s="830" t="s">
        <v>52</v>
      </c>
      <c r="M9" s="393" t="s">
        <v>57</v>
      </c>
      <c r="N9" s="833">
        <v>4646.75</v>
      </c>
      <c r="O9" s="393" t="s">
        <v>79</v>
      </c>
      <c r="P9" s="903" t="s">
        <v>122</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184</v>
      </c>
      <c r="E10" s="476">
        <v>45918</v>
      </c>
      <c r="F10" s="465" t="s">
        <v>97</v>
      </c>
      <c r="G10" s="50" t="s">
        <v>540</v>
      </c>
      <c r="H10" s="983">
        <v>0</v>
      </c>
      <c r="I10" s="657" t="s">
        <v>121</v>
      </c>
      <c r="J10" s="469" t="s">
        <v>63</v>
      </c>
      <c r="K10" s="469"/>
      <c r="L10" s="476">
        <v>45918</v>
      </c>
      <c r="M10" s="478" t="s">
        <v>57</v>
      </c>
      <c r="N10" s="541">
        <v>9611.9500000000007</v>
      </c>
      <c r="O10" s="478" t="s">
        <v>57</v>
      </c>
      <c r="P10" s="801" t="s">
        <v>122</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137</v>
      </c>
      <c r="E13" s="467">
        <v>45896</v>
      </c>
      <c r="F13" s="465" t="s">
        <v>142</v>
      </c>
      <c r="G13" s="465" t="s">
        <v>547</v>
      </c>
      <c r="H13" s="469">
        <v>66</v>
      </c>
      <c r="I13" s="469" t="s">
        <v>121</v>
      </c>
      <c r="J13" s="469" t="s">
        <v>63</v>
      </c>
      <c r="K13" s="469"/>
      <c r="L13" s="467">
        <v>45897</v>
      </c>
      <c r="M13" s="469" t="s">
        <v>57</v>
      </c>
      <c r="N13" s="540">
        <v>44896.1</v>
      </c>
      <c r="O13" s="469" t="s">
        <v>57</v>
      </c>
      <c r="P13" s="801" t="s">
        <v>122</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137</v>
      </c>
      <c r="E14" s="638">
        <v>45910</v>
      </c>
      <c r="F14" s="465" t="s">
        <v>97</v>
      </c>
      <c r="G14" s="465" t="s">
        <v>550</v>
      </c>
      <c r="H14" s="469">
        <v>80</v>
      </c>
      <c r="I14" s="469" t="s">
        <v>121</v>
      </c>
      <c r="J14" s="469" t="s">
        <v>63</v>
      </c>
      <c r="K14" s="469"/>
      <c r="L14" s="467">
        <v>45903</v>
      </c>
      <c r="M14" s="469" t="s">
        <v>57</v>
      </c>
      <c r="N14" s="540">
        <v>59116.7</v>
      </c>
      <c r="O14" s="469" t="s">
        <v>57</v>
      </c>
      <c r="P14" s="801" t="s">
        <v>122</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125</v>
      </c>
      <c r="E15" s="1175">
        <v>45974</v>
      </c>
      <c r="F15" s="1176" t="s">
        <v>97</v>
      </c>
      <c r="G15" s="1176" t="s">
        <v>553</v>
      </c>
      <c r="H15" s="1177">
        <v>67</v>
      </c>
      <c r="I15" s="657" t="s">
        <v>121</v>
      </c>
      <c r="J15" s="1177" t="s">
        <v>63</v>
      </c>
      <c r="K15" s="1177"/>
      <c r="L15" s="1175">
        <v>45936</v>
      </c>
      <c r="M15" s="1177" t="s">
        <v>57</v>
      </c>
      <c r="N15" s="1178">
        <v>38192</v>
      </c>
      <c r="O15" s="1177" t="s">
        <v>57</v>
      </c>
      <c r="P15" s="1342" t="s">
        <v>122</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137</v>
      </c>
      <c r="E16" s="638">
        <v>45910</v>
      </c>
      <c r="F16" s="638" t="s">
        <v>142</v>
      </c>
      <c r="G16" s="678" t="s">
        <v>556</v>
      </c>
      <c r="H16" s="469">
        <v>67</v>
      </c>
      <c r="I16" s="657" t="s">
        <v>121</v>
      </c>
      <c r="J16" s="469" t="s">
        <v>63</v>
      </c>
      <c r="K16" s="469"/>
      <c r="L16" s="467">
        <v>45903</v>
      </c>
      <c r="M16" s="469" t="s">
        <v>57</v>
      </c>
      <c r="N16" s="540">
        <v>40406</v>
      </c>
      <c r="O16" s="469" t="s">
        <v>57</v>
      </c>
      <c r="P16" s="801" t="s">
        <v>122</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125</v>
      </c>
      <c r="E17" s="1175">
        <v>45974</v>
      </c>
      <c r="F17" s="1176" t="s">
        <v>97</v>
      </c>
      <c r="G17" s="1176" t="s">
        <v>559</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125</v>
      </c>
      <c r="E18" s="1175">
        <v>45974</v>
      </c>
      <c r="F18" s="1176" t="s">
        <v>97</v>
      </c>
      <c r="G18" s="1176" t="s">
        <v>562</v>
      </c>
      <c r="H18" s="1177">
        <v>28</v>
      </c>
      <c r="I18" s="657" t="s">
        <v>121</v>
      </c>
      <c r="J18" s="1177" t="s">
        <v>63</v>
      </c>
      <c r="K18" s="1177"/>
      <c r="L18" s="1175">
        <v>45972</v>
      </c>
      <c r="M18" s="1177" t="s">
        <v>57</v>
      </c>
      <c r="N18" s="1178">
        <v>27615.5</v>
      </c>
      <c r="O18" s="1177" t="s">
        <v>57</v>
      </c>
      <c r="P18" s="1342" t="s">
        <v>122</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137</v>
      </c>
      <c r="E19" s="1175">
        <v>45999</v>
      </c>
      <c r="F19" s="1176" t="s">
        <v>97</v>
      </c>
      <c r="G19" s="1176" t="s">
        <v>565</v>
      </c>
      <c r="H19" s="1177">
        <v>87</v>
      </c>
      <c r="I19" s="657" t="s">
        <v>121</v>
      </c>
      <c r="J19" s="1177" t="s">
        <v>63</v>
      </c>
      <c r="K19" s="469"/>
      <c r="L19" s="1175">
        <v>45999</v>
      </c>
      <c r="M19" s="1177" t="s">
        <v>57</v>
      </c>
      <c r="N19" s="1178">
        <v>74384</v>
      </c>
      <c r="O19" s="1177" t="s">
        <v>57</v>
      </c>
      <c r="P19" s="1342" t="s">
        <v>122</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137</v>
      </c>
      <c r="E20" s="467">
        <v>45979</v>
      </c>
      <c r="F20" s="465" t="s">
        <v>142</v>
      </c>
      <c r="G20" s="678" t="s">
        <v>568</v>
      </c>
      <c r="H20" s="469">
        <v>28</v>
      </c>
      <c r="I20" s="657" t="s">
        <v>121</v>
      </c>
      <c r="J20" s="469" t="s">
        <v>63</v>
      </c>
      <c r="K20" s="469"/>
      <c r="L20" s="467">
        <v>45979</v>
      </c>
      <c r="M20" s="469" t="s">
        <v>57</v>
      </c>
      <c r="N20" s="540">
        <v>29683</v>
      </c>
      <c r="O20" s="469" t="s">
        <v>57</v>
      </c>
      <c r="P20" s="801" t="s">
        <v>122</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137</v>
      </c>
      <c r="E29" s="467">
        <v>45966</v>
      </c>
      <c r="F29" s="465" t="s">
        <v>97</v>
      </c>
      <c r="G29" s="468" t="s">
        <v>587</v>
      </c>
      <c r="H29" s="469">
        <v>69</v>
      </c>
      <c r="I29" s="657" t="s">
        <v>121</v>
      </c>
      <c r="J29" s="469" t="s">
        <v>63</v>
      </c>
      <c r="K29" s="469"/>
      <c r="L29" s="467">
        <v>45969</v>
      </c>
      <c r="M29" s="469" t="s">
        <v>57</v>
      </c>
      <c r="N29" s="540">
        <v>75672.100000000006</v>
      </c>
      <c r="O29" s="469" t="s">
        <v>57</v>
      </c>
      <c r="P29" s="1131" t="s">
        <v>122</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137</v>
      </c>
      <c r="E30" s="467">
        <v>45966</v>
      </c>
      <c r="F30" s="465" t="s">
        <v>97</v>
      </c>
      <c r="G30" s="678" t="s">
        <v>590</v>
      </c>
      <c r="H30" s="469">
        <v>88</v>
      </c>
      <c r="I30" s="657" t="s">
        <v>121</v>
      </c>
      <c r="J30" s="469" t="s">
        <v>63</v>
      </c>
      <c r="K30" s="469"/>
      <c r="L30" s="467">
        <v>45967</v>
      </c>
      <c r="M30" s="469" t="s">
        <v>57</v>
      </c>
      <c r="N30" s="540">
        <v>76565.850000000006</v>
      </c>
      <c r="O30" s="469" t="s">
        <v>57</v>
      </c>
      <c r="P30" s="1131" t="s">
        <v>122</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137</v>
      </c>
      <c r="E31" s="467">
        <v>45966</v>
      </c>
      <c r="F31" s="465" t="s">
        <v>119</v>
      </c>
      <c r="G31" s="678" t="s">
        <v>593</v>
      </c>
      <c r="H31" s="469">
        <v>75</v>
      </c>
      <c r="I31" s="657" t="s">
        <v>121</v>
      </c>
      <c r="J31" s="469" t="s">
        <v>63</v>
      </c>
      <c r="K31" s="469"/>
      <c r="L31" s="467">
        <v>45967</v>
      </c>
      <c r="M31" s="469" t="s">
        <v>57</v>
      </c>
      <c r="N31" s="540">
        <v>60620</v>
      </c>
      <c r="O31" s="469" t="s">
        <v>57</v>
      </c>
      <c r="P31" s="1387" t="s">
        <v>122</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137</v>
      </c>
      <c r="E32" s="1175">
        <v>46009</v>
      </c>
      <c r="F32" s="1176" t="s">
        <v>97</v>
      </c>
      <c r="G32" s="1176" t="s">
        <v>596</v>
      </c>
      <c r="H32" s="1177">
        <v>48</v>
      </c>
      <c r="I32" s="657" t="s">
        <v>121</v>
      </c>
      <c r="J32" s="1177" t="s">
        <v>63</v>
      </c>
      <c r="K32" s="1177"/>
      <c r="L32" s="1175">
        <v>45965</v>
      </c>
      <c r="M32" s="1177" t="s">
        <v>57</v>
      </c>
      <c r="N32" s="1178">
        <v>18021.7</v>
      </c>
      <c r="O32" s="1177" t="s">
        <v>57</v>
      </c>
      <c r="P32" s="1342" t="s">
        <v>122</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137</v>
      </c>
      <c r="E33" s="1175">
        <v>46009</v>
      </c>
      <c r="F33" s="1176" t="s">
        <v>97</v>
      </c>
      <c r="G33" s="1176" t="s">
        <v>599</v>
      </c>
      <c r="H33" s="1177">
        <v>56</v>
      </c>
      <c r="I33" s="657" t="s">
        <v>121</v>
      </c>
      <c r="J33" s="1177" t="s">
        <v>63</v>
      </c>
      <c r="K33" s="1177"/>
      <c r="L33" s="1175">
        <v>45965</v>
      </c>
      <c r="M33" s="1177" t="s">
        <v>57</v>
      </c>
      <c r="N33" s="1178">
        <v>20705</v>
      </c>
      <c r="O33" s="1177" t="s">
        <v>57</v>
      </c>
      <c r="P33" s="1342" t="s">
        <v>122</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121</v>
      </c>
      <c r="J34" s="469" t="s">
        <v>63</v>
      </c>
      <c r="K34" s="469"/>
      <c r="L34" s="467">
        <v>45968</v>
      </c>
      <c r="M34" s="469" t="s">
        <v>57</v>
      </c>
      <c r="N34" s="540">
        <v>12840.7</v>
      </c>
      <c r="O34" s="469" t="s">
        <v>57</v>
      </c>
      <c r="P34" s="801" t="s">
        <v>122</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137</v>
      </c>
      <c r="E35" s="1175">
        <v>46002</v>
      </c>
      <c r="F35" s="1176" t="s">
        <v>119</v>
      </c>
      <c r="G35" s="1176" t="s">
        <v>605</v>
      </c>
      <c r="H35" s="1177">
        <v>0</v>
      </c>
      <c r="I35" s="1177" t="s">
        <v>121</v>
      </c>
      <c r="J35" s="1177" t="s">
        <v>63</v>
      </c>
      <c r="K35" s="469"/>
      <c r="L35" s="1175" t="s">
        <v>139</v>
      </c>
      <c r="M35" s="1177" t="s">
        <v>57</v>
      </c>
      <c r="N35" s="1178">
        <v>23475.5</v>
      </c>
      <c r="O35" s="1240" t="s">
        <v>57</v>
      </c>
      <c r="P35" s="1393" t="s">
        <v>122</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121</v>
      </c>
      <c r="J37" s="469" t="s">
        <v>63</v>
      </c>
      <c r="K37" s="469"/>
      <c r="L37" s="467" t="s">
        <v>139</v>
      </c>
      <c r="M37" s="469" t="s">
        <v>57</v>
      </c>
      <c r="N37" s="540">
        <v>51970</v>
      </c>
      <c r="O37" s="87" t="s">
        <v>57</v>
      </c>
      <c r="P37" s="1394" t="s">
        <v>122</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121</v>
      </c>
      <c r="J39" s="469" t="s">
        <v>56</v>
      </c>
      <c r="K39" s="469"/>
      <c r="L39" s="467">
        <v>45953</v>
      </c>
      <c r="M39" s="469" t="s">
        <v>57</v>
      </c>
      <c r="N39" s="540">
        <v>168480.8</v>
      </c>
      <c r="O39" s="469" t="s">
        <v>57</v>
      </c>
      <c r="P39" s="801" t="s">
        <v>122</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122</v>
      </c>
      <c r="M43" s="380" t="s">
        <v>57</v>
      </c>
      <c r="N43" s="1060">
        <v>64790.5</v>
      </c>
      <c r="O43" s="380" t="s">
        <v>57</v>
      </c>
      <c r="P43" s="1078" t="s">
        <v>122</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206</v>
      </c>
      <c r="E44" s="467">
        <v>45927</v>
      </c>
      <c r="F44" s="465" t="s">
        <v>61</v>
      </c>
      <c r="G44" s="678" t="s">
        <v>631</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184</v>
      </c>
      <c r="E45" s="476">
        <v>45743</v>
      </c>
      <c r="F45" s="475" t="s">
        <v>491</v>
      </c>
      <c r="G45" s="819" t="s">
        <v>633</v>
      </c>
      <c r="H45" s="478">
        <v>70</v>
      </c>
      <c r="I45" s="657" t="s">
        <v>121</v>
      </c>
      <c r="J45" s="469" t="s">
        <v>63</v>
      </c>
      <c r="K45" s="820"/>
      <c r="L45" s="476">
        <v>45741</v>
      </c>
      <c r="M45" s="469" t="s">
        <v>57</v>
      </c>
      <c r="N45" s="541">
        <v>67735.5</v>
      </c>
      <c r="O45" s="469" t="s">
        <v>57</v>
      </c>
      <c r="P45" s="801" t="s">
        <v>122</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184</v>
      </c>
      <c r="E46" s="821">
        <v>45701</v>
      </c>
      <c r="F46" s="475" t="s">
        <v>491</v>
      </c>
      <c r="G46" s="843" t="s">
        <v>528</v>
      </c>
      <c r="H46" s="823">
        <v>0</v>
      </c>
      <c r="I46" s="823" t="s">
        <v>122</v>
      </c>
      <c r="J46" s="823" t="s">
        <v>63</v>
      </c>
      <c r="K46" s="823"/>
      <c r="L46" s="821">
        <v>45705</v>
      </c>
      <c r="M46" s="823" t="s">
        <v>57</v>
      </c>
      <c r="N46" s="844">
        <v>1295</v>
      </c>
      <c r="O46" s="823" t="s">
        <v>57</v>
      </c>
      <c r="P46" s="801" t="s">
        <v>122</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122</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40" activePane="topRight" state="frozen"/>
      <selection pane="topRight" activeCell="A147" sqref="A147:XFD14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183</v>
      </c>
      <c r="C2" s="51">
        <v>45807</v>
      </c>
      <c r="D2" s="51" t="s">
        <v>648</v>
      </c>
      <c r="E2" s="51">
        <v>45706</v>
      </c>
      <c r="F2" s="50" t="s">
        <v>196</v>
      </c>
      <c r="G2" s="382" t="s">
        <v>649</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183</v>
      </c>
      <c r="C3" s="467">
        <v>45991</v>
      </c>
      <c r="D3" s="475" t="s">
        <v>652</v>
      </c>
      <c r="E3" s="476">
        <v>45716</v>
      </c>
      <c r="F3" s="475" t="s">
        <v>185</v>
      </c>
      <c r="G3" s="477" t="s">
        <v>653</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183</v>
      </c>
      <c r="C4" s="375">
        <v>45991</v>
      </c>
      <c r="D4" s="50" t="s">
        <v>656</v>
      </c>
      <c r="E4" s="51">
        <v>45735</v>
      </c>
      <c r="F4" s="50" t="s">
        <v>196</v>
      </c>
      <c r="G4" s="379" t="s">
        <v>657</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184</v>
      </c>
      <c r="E5" s="654">
        <v>45691</v>
      </c>
      <c r="F5" s="654" t="s">
        <v>97</v>
      </c>
      <c r="G5" s="666" t="s">
        <v>659</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137</v>
      </c>
      <c r="E7" s="375">
        <v>45813</v>
      </c>
      <c r="F7" s="585" t="s">
        <v>142</v>
      </c>
      <c r="G7" s="569" t="s">
        <v>665</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137</v>
      </c>
      <c r="E8" s="375">
        <v>45778</v>
      </c>
      <c r="F8" s="374" t="s">
        <v>97</v>
      </c>
      <c r="G8" s="667" t="s">
        <v>668</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137</v>
      </c>
      <c r="E9" s="51">
        <v>45715</v>
      </c>
      <c r="F9" s="50" t="s">
        <v>97</v>
      </c>
      <c r="G9" s="666" t="s">
        <v>671</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137</v>
      </c>
      <c r="E10" s="51">
        <v>45828</v>
      </c>
      <c r="F10" s="381" t="s">
        <v>142</v>
      </c>
      <c r="G10" s="379" t="s">
        <v>673</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142</v>
      </c>
      <c r="G11" s="668" t="s">
        <v>67</v>
      </c>
      <c r="H11" s="376">
        <v>54</v>
      </c>
      <c r="I11" s="663" t="s">
        <v>628</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137</v>
      </c>
      <c r="E12" s="51">
        <v>45712</v>
      </c>
      <c r="F12" s="654" t="s">
        <v>97</v>
      </c>
      <c r="G12" s="662" t="s">
        <v>678</v>
      </c>
      <c r="H12" s="52">
        <v>49</v>
      </c>
      <c r="I12" s="52" t="s">
        <v>628</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137</v>
      </c>
      <c r="E13" s="51">
        <v>45706</v>
      </c>
      <c r="F13" s="654" t="s">
        <v>142</v>
      </c>
      <c r="G13" s="666" t="s">
        <v>680</v>
      </c>
      <c r="H13" s="52">
        <v>56</v>
      </c>
      <c r="I13" s="656" t="s">
        <v>628</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137</v>
      </c>
      <c r="E14" s="51">
        <v>45755</v>
      </c>
      <c r="F14" s="654" t="s">
        <v>142</v>
      </c>
      <c r="G14" s="569" t="s">
        <v>682</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142</v>
      </c>
      <c r="G15" s="666" t="s">
        <v>684</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137</v>
      </c>
      <c r="E16" s="51">
        <v>45749</v>
      </c>
      <c r="F16" s="654" t="s">
        <v>97</v>
      </c>
      <c r="G16" s="666" t="s">
        <v>686</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184</v>
      </c>
      <c r="E18" s="51">
        <v>45679</v>
      </c>
      <c r="F18" s="654" t="s">
        <v>97</v>
      </c>
      <c r="G18" s="662" t="s">
        <v>691</v>
      </c>
      <c r="H18" s="52">
        <v>70</v>
      </c>
      <c r="I18" s="656" t="s">
        <v>628</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137</v>
      </c>
      <c r="E19" s="51">
        <v>45685</v>
      </c>
      <c r="F19" s="654" t="s">
        <v>97</v>
      </c>
      <c r="G19" s="662" t="s">
        <v>693</v>
      </c>
      <c r="H19" s="52">
        <v>75</v>
      </c>
      <c r="I19" s="656" t="s">
        <v>628</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142</v>
      </c>
      <c r="G20" s="662" t="s">
        <v>696</v>
      </c>
      <c r="H20" s="52">
        <v>65</v>
      </c>
      <c r="I20" s="656" t="s">
        <v>628</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137</v>
      </c>
      <c r="E21" s="51">
        <v>45685</v>
      </c>
      <c r="F21" s="654" t="s">
        <v>97</v>
      </c>
      <c r="G21" s="662" t="s">
        <v>698</v>
      </c>
      <c r="H21" s="52">
        <v>81</v>
      </c>
      <c r="I21" s="656" t="s">
        <v>628</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137</v>
      </c>
      <c r="E22" s="51">
        <v>45708</v>
      </c>
      <c r="F22" s="654" t="s">
        <v>142</v>
      </c>
      <c r="G22" s="666" t="s">
        <v>700</v>
      </c>
      <c r="H22" s="52">
        <v>50</v>
      </c>
      <c r="I22" s="52" t="s">
        <v>628</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137</v>
      </c>
      <c r="E23" s="51">
        <v>45729</v>
      </c>
      <c r="F23" s="50" t="s">
        <v>142</v>
      </c>
      <c r="G23" s="666" t="s">
        <v>702</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137</v>
      </c>
      <c r="E24" s="51">
        <v>45735</v>
      </c>
      <c r="F24" s="654" t="s">
        <v>97</v>
      </c>
      <c r="G24" s="666" t="s">
        <v>704</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137</v>
      </c>
      <c r="E25" s="51">
        <v>45712</v>
      </c>
      <c r="F25" s="654" t="s">
        <v>142</v>
      </c>
      <c r="G25" s="666" t="s">
        <v>706</v>
      </c>
      <c r="H25" s="52">
        <v>51</v>
      </c>
      <c r="I25" s="656" t="s">
        <v>628</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137</v>
      </c>
      <c r="E26" s="51">
        <v>45735</v>
      </c>
      <c r="F26" s="654" t="s">
        <v>142</v>
      </c>
      <c r="G26" s="666" t="s">
        <v>708</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137</v>
      </c>
      <c r="E27" s="51">
        <v>45735</v>
      </c>
      <c r="F27" s="654" t="s">
        <v>97</v>
      </c>
      <c r="G27" s="666" t="s">
        <v>710</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137</v>
      </c>
      <c r="E28" s="381">
        <v>45695</v>
      </c>
      <c r="F28" s="381" t="s">
        <v>142</v>
      </c>
      <c r="G28" s="568" t="s">
        <v>712</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137</v>
      </c>
      <c r="E29" s="585">
        <v>45839</v>
      </c>
      <c r="F29" s="374" t="s">
        <v>97</v>
      </c>
      <c r="G29" s="374" t="s">
        <v>714</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715</v>
      </c>
      <c r="B30" s="374" t="s">
        <v>96</v>
      </c>
      <c r="C30" s="51">
        <v>45930</v>
      </c>
      <c r="D30" s="375" t="s">
        <v>137</v>
      </c>
      <c r="E30" s="645">
        <v>45910</v>
      </c>
      <c r="F30" s="645" t="s">
        <v>142</v>
      </c>
      <c r="G30" s="374" t="s">
        <v>716</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137</v>
      </c>
      <c r="E31" s="585">
        <v>45840</v>
      </c>
      <c r="F31" s="375" t="s">
        <v>97</v>
      </c>
      <c r="G31" s="374" t="s">
        <v>719</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137</v>
      </c>
      <c r="E32" s="585">
        <v>45839</v>
      </c>
      <c r="F32" s="374" t="s">
        <v>97</v>
      </c>
      <c r="G32" s="374" t="s">
        <v>722</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137</v>
      </c>
      <c r="E33" s="645">
        <v>45833</v>
      </c>
      <c r="F33" s="374" t="s">
        <v>142</v>
      </c>
      <c r="G33" s="374" t="s">
        <v>725</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137</v>
      </c>
      <c r="E34" s="585">
        <v>45839</v>
      </c>
      <c r="F34" s="375" t="s">
        <v>97</v>
      </c>
      <c r="G34" s="374" t="s">
        <v>728</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137</v>
      </c>
      <c r="E35" s="375">
        <v>45887</v>
      </c>
      <c r="F35" s="585" t="s">
        <v>142</v>
      </c>
      <c r="G35" s="633" t="s">
        <v>731</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137</v>
      </c>
      <c r="E36" s="51">
        <v>45758</v>
      </c>
      <c r="F36" s="654" t="s">
        <v>97</v>
      </c>
      <c r="G36" s="569" t="s">
        <v>734</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137</v>
      </c>
      <c r="E37" s="51">
        <v>45758</v>
      </c>
      <c r="F37" s="381" t="s">
        <v>97</v>
      </c>
      <c r="G37" s="569" t="s">
        <v>736</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137</v>
      </c>
      <c r="E38" s="51">
        <v>45758</v>
      </c>
      <c r="F38" s="381" t="s">
        <v>97</v>
      </c>
      <c r="G38" s="569" t="s">
        <v>738</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137</v>
      </c>
      <c r="E39" s="51">
        <v>45786</v>
      </c>
      <c r="F39" s="585" t="s">
        <v>97</v>
      </c>
      <c r="G39" s="633" t="s">
        <v>740</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142</v>
      </c>
      <c r="G40" s="775" t="s">
        <v>744</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142</v>
      </c>
      <c r="G42" s="1140" t="s">
        <v>748</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137</v>
      </c>
      <c r="E44" s="930">
        <v>45870</v>
      </c>
      <c r="F44" s="1145" t="s">
        <v>142</v>
      </c>
      <c r="G44" s="1017" t="s">
        <v>753</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137</v>
      </c>
      <c r="E45" s="645">
        <v>45695</v>
      </c>
      <c r="F45" s="645" t="s">
        <v>142</v>
      </c>
      <c r="G45" s="768" t="s">
        <v>756</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137</v>
      </c>
      <c r="E46" s="930">
        <v>45870</v>
      </c>
      <c r="F46" s="1145" t="s">
        <v>142</v>
      </c>
      <c r="G46" s="1017" t="s">
        <v>759</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137</v>
      </c>
      <c r="E47" s="879">
        <v>45882</v>
      </c>
      <c r="F47" s="1006" t="s">
        <v>142</v>
      </c>
      <c r="G47" s="1012" t="s">
        <v>762</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137</v>
      </c>
      <c r="E48" s="476">
        <v>45786</v>
      </c>
      <c r="F48" s="487" t="s">
        <v>142</v>
      </c>
      <c r="G48" s="925" t="s">
        <v>765</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184</v>
      </c>
      <c r="E49" s="1138">
        <v>45868</v>
      </c>
      <c r="F49" s="1154" t="s">
        <v>97</v>
      </c>
      <c r="G49" s="1140" t="s">
        <v>768</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184</v>
      </c>
      <c r="E50" s="487">
        <v>45839</v>
      </c>
      <c r="F50" s="467" t="s">
        <v>97</v>
      </c>
      <c r="G50" s="477" t="s">
        <v>771</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184</v>
      </c>
      <c r="E52" s="897">
        <v>45849</v>
      </c>
      <c r="F52" s="898" t="s">
        <v>97</v>
      </c>
      <c r="G52" s="1158" t="s">
        <v>776</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184</v>
      </c>
      <c r="E53" s="898">
        <v>45882</v>
      </c>
      <c r="F53" s="895" t="s">
        <v>97</v>
      </c>
      <c r="G53" s="1148" t="s">
        <v>779</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184</v>
      </c>
      <c r="E54" s="495">
        <v>45806</v>
      </c>
      <c r="F54" s="488" t="s">
        <v>97</v>
      </c>
      <c r="G54" s="1016" t="s">
        <v>782</v>
      </c>
      <c r="H54" s="501">
        <v>0</v>
      </c>
      <c r="I54" s="926" t="s">
        <v>121</v>
      </c>
      <c r="J54" s="501" t="s">
        <v>63</v>
      </c>
      <c r="K54" s="502" t="s">
        <v>783</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137</v>
      </c>
      <c r="E55" s="381">
        <v>45695</v>
      </c>
      <c r="F55" s="381" t="s">
        <v>97</v>
      </c>
      <c r="G55" s="382" t="s">
        <v>786</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137</v>
      </c>
      <c r="E56" s="51">
        <v>45763</v>
      </c>
      <c r="F56" s="645" t="s">
        <v>142</v>
      </c>
      <c r="G56" s="569" t="s">
        <v>788</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125</v>
      </c>
      <c r="E58" s="879">
        <v>45818</v>
      </c>
      <c r="F58" s="885" t="s">
        <v>792</v>
      </c>
      <c r="G58" s="885" t="s">
        <v>793</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137</v>
      </c>
      <c r="E61" s="51">
        <v>45727</v>
      </c>
      <c r="F61" s="50" t="s">
        <v>491</v>
      </c>
      <c r="G61" s="584" t="s">
        <v>801</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137</v>
      </c>
      <c r="E64" s="51">
        <v>45716</v>
      </c>
      <c r="F64" s="50" t="s">
        <v>491</v>
      </c>
      <c r="G64" s="379" t="s">
        <v>811</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137</v>
      </c>
      <c r="E66" s="654">
        <v>45685</v>
      </c>
      <c r="F66" s="654" t="s">
        <v>491</v>
      </c>
      <c r="G66" s="655" t="s">
        <v>817</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125</v>
      </c>
      <c r="E70" s="381">
        <v>45686</v>
      </c>
      <c r="F70" s="381" t="s">
        <v>792</v>
      </c>
      <c r="G70" s="568" t="s">
        <v>827</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137</v>
      </c>
      <c r="E71" s="381">
        <v>45685</v>
      </c>
      <c r="F71" s="50" t="s">
        <v>491</v>
      </c>
      <c r="G71" s="568" t="s">
        <v>830</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185</v>
      </c>
      <c r="G75" s="655" t="s">
        <v>844</v>
      </c>
      <c r="H75" s="52">
        <v>86</v>
      </c>
      <c r="I75" s="656" t="s">
        <v>628</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184</v>
      </c>
      <c r="E77" s="1117">
        <v>45686</v>
      </c>
      <c r="F77" s="1117" t="s">
        <v>491</v>
      </c>
      <c r="G77" s="1163" t="s">
        <v>850</v>
      </c>
      <c r="H77" s="964">
        <v>88</v>
      </c>
      <c r="I77" s="963" t="s">
        <v>628</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185</v>
      </c>
      <c r="G79" s="379" t="s">
        <v>858</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185</v>
      </c>
      <c r="G81" s="655" t="s">
        <v>863</v>
      </c>
      <c r="H81" s="52">
        <v>73</v>
      </c>
      <c r="I81" s="663" t="s">
        <v>628</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185</v>
      </c>
      <c r="G82" s="568" t="s">
        <v>866</v>
      </c>
      <c r="H82" s="52">
        <v>65</v>
      </c>
      <c r="I82" s="380" t="s">
        <v>628</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137</v>
      </c>
      <c r="E85" s="51">
        <v>45743</v>
      </c>
      <c r="F85" s="50" t="s">
        <v>491</v>
      </c>
      <c r="G85" s="379" t="s">
        <v>872</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185</v>
      </c>
      <c r="G86" s="379" t="s">
        <v>874</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125</v>
      </c>
      <c r="E88" s="51">
        <v>45761</v>
      </c>
      <c r="F88" s="50" t="s">
        <v>792</v>
      </c>
      <c r="G88" s="50" t="s">
        <v>880</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125</v>
      </c>
      <c r="E91" s="51">
        <v>45743</v>
      </c>
      <c r="F91" s="50" t="s">
        <v>792</v>
      </c>
      <c r="G91" s="379" t="s">
        <v>888</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137</v>
      </c>
      <c r="E93" s="51">
        <v>45743</v>
      </c>
      <c r="F93" s="50" t="s">
        <v>491</v>
      </c>
      <c r="G93" s="666" t="s">
        <v>892</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125</v>
      </c>
      <c r="E94" s="51">
        <v>45743</v>
      </c>
      <c r="F94" s="50" t="s">
        <v>792</v>
      </c>
      <c r="G94" s="379" t="s">
        <v>894</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125</v>
      </c>
      <c r="E97" s="654">
        <v>45686</v>
      </c>
      <c r="F97" s="654" t="s">
        <v>792</v>
      </c>
      <c r="G97" s="655" t="s">
        <v>900</v>
      </c>
      <c r="H97" s="52">
        <v>90</v>
      </c>
      <c r="I97" s="663" t="s">
        <v>628</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125</v>
      </c>
      <c r="E98" s="51">
        <v>45716</v>
      </c>
      <c r="F98" s="50" t="s">
        <v>792</v>
      </c>
      <c r="G98" s="379" t="s">
        <v>903</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185</v>
      </c>
      <c r="G99" s="382" t="s">
        <v>906</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125</v>
      </c>
      <c r="E102" s="51">
        <v>45716</v>
      </c>
      <c r="F102" s="50" t="s">
        <v>792</v>
      </c>
      <c r="G102" s="666" t="s">
        <v>914</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185</v>
      </c>
      <c r="G104" s="789" t="s">
        <v>919</v>
      </c>
      <c r="H104" s="770">
        <v>85</v>
      </c>
      <c r="I104" s="776" t="s">
        <v>121</v>
      </c>
      <c r="J104" s="770" t="s">
        <v>63</v>
      </c>
      <c r="K104" s="57">
        <v>45707</v>
      </c>
      <c r="L104" s="770" t="s">
        <v>57</v>
      </c>
      <c r="M104" s="426" t="s">
        <v>920</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125</v>
      </c>
      <c r="E107" s="57">
        <v>45743</v>
      </c>
      <c r="F107" s="766" t="s">
        <v>792</v>
      </c>
      <c r="G107" s="769" t="s">
        <v>927</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185</v>
      </c>
      <c r="G108" s="822" t="s">
        <v>929</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185</v>
      </c>
      <c r="G109" s="789" t="s">
        <v>932</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185</v>
      </c>
      <c r="G110" s="1026" t="s">
        <v>934</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137</v>
      </c>
      <c r="E112" s="428">
        <v>45698</v>
      </c>
      <c r="F112" s="428" t="s">
        <v>491</v>
      </c>
      <c r="G112" s="929" t="s">
        <v>938</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125</v>
      </c>
      <c r="E113" s="57">
        <v>45736</v>
      </c>
      <c r="F113" s="766" t="s">
        <v>792</v>
      </c>
      <c r="G113" s="784" t="s">
        <v>941</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8" t="s">
        <v>122</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9" t="s">
        <v>122</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183</v>
      </c>
      <c r="C129" s="51">
        <v>45711</v>
      </c>
      <c r="D129" s="50" t="s">
        <v>137</v>
      </c>
      <c r="E129" s="51">
        <v>45707</v>
      </c>
      <c r="F129" s="50" t="s">
        <v>970</v>
      </c>
      <c r="G129" s="379" t="s">
        <v>971</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137</v>
      </c>
      <c r="E132" s="467">
        <v>45786</v>
      </c>
      <c r="F132" s="487" t="s">
        <v>97</v>
      </c>
      <c r="G132" s="465" t="s">
        <v>976</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137</v>
      </c>
      <c r="E134" s="51">
        <v>45853</v>
      </c>
      <c r="F134" s="50" t="s">
        <v>97</v>
      </c>
      <c r="G134" s="50" t="s">
        <v>981</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184</v>
      </c>
      <c r="E135" s="467">
        <v>45793</v>
      </c>
      <c r="F135" s="487" t="s">
        <v>97</v>
      </c>
      <c r="G135" s="984" t="s">
        <v>984</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137</v>
      </c>
      <c r="E137" s="375">
        <v>45796</v>
      </c>
      <c r="F137" s="585" t="s">
        <v>142</v>
      </c>
      <c r="G137" s="374" t="s">
        <v>989</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137</v>
      </c>
      <c r="E138" s="821">
        <v>45880</v>
      </c>
      <c r="F138" s="428" t="s">
        <v>142</v>
      </c>
      <c r="G138" s="475" t="s">
        <v>992</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137</v>
      </c>
      <c r="E139" s="645">
        <v>45882</v>
      </c>
      <c r="F139" s="645" t="s">
        <v>142</v>
      </c>
      <c r="G139" s="374" t="s">
        <v>995</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137</v>
      </c>
      <c r="E140" s="375">
        <v>45896</v>
      </c>
      <c r="F140" s="585" t="s">
        <v>142</v>
      </c>
      <c r="G140" s="374" t="s">
        <v>719</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125</v>
      </c>
      <c r="E142" s="51">
        <v>45887</v>
      </c>
      <c r="F142" s="381" t="s">
        <v>142</v>
      </c>
      <c r="G142" s="379" t="s">
        <v>1002</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137</v>
      </c>
      <c r="E143" s="51">
        <v>45887</v>
      </c>
      <c r="F143" s="50" t="s">
        <v>97</v>
      </c>
      <c r="G143" s="379" t="s">
        <v>1005</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137</v>
      </c>
      <c r="E145" s="1175">
        <v>46006</v>
      </c>
      <c r="F145" s="1176" t="s">
        <v>97</v>
      </c>
      <c r="G145" s="1176" t="s">
        <v>1010</v>
      </c>
      <c r="H145" s="1177">
        <v>21</v>
      </c>
      <c r="I145" s="657" t="s">
        <v>121</v>
      </c>
      <c r="J145" s="1177" t="s">
        <v>63</v>
      </c>
      <c r="K145" s="1175">
        <v>46006</v>
      </c>
      <c r="L145" s="1177" t="s">
        <v>57</v>
      </c>
      <c r="M145" s="1464">
        <v>20891</v>
      </c>
      <c r="N145" s="731"/>
      <c r="O145" s="1177" t="s">
        <v>57</v>
      </c>
      <c r="P145" s="1465" t="s">
        <v>122</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137</v>
      </c>
      <c r="E149" s="1175">
        <v>46021</v>
      </c>
      <c r="F149" s="1176" t="s">
        <v>97</v>
      </c>
      <c r="G149" s="1176" t="s">
        <v>1019</v>
      </c>
      <c r="H149" s="1177">
        <v>87</v>
      </c>
      <c r="I149" s="657" t="s">
        <v>121</v>
      </c>
      <c r="J149" s="1177" t="s">
        <v>63</v>
      </c>
      <c r="K149" s="1175">
        <v>46027</v>
      </c>
      <c r="L149" s="1177" t="s">
        <v>57</v>
      </c>
      <c r="M149" s="1464">
        <v>63322.45</v>
      </c>
      <c r="N149" s="731"/>
      <c r="O149" s="1177" t="s">
        <v>57</v>
      </c>
      <c r="P149" s="1465" t="s">
        <v>122</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184</v>
      </c>
      <c r="E150" s="51">
        <v>45902</v>
      </c>
      <c r="F150" s="50" t="s">
        <v>97</v>
      </c>
      <c r="G150" s="50"/>
      <c r="H150" s="52">
        <v>0</v>
      </c>
      <c r="I150" s="52" t="s">
        <v>121</v>
      </c>
      <c r="J150" s="52" t="s">
        <v>63</v>
      </c>
      <c r="K150" s="375">
        <v>45902</v>
      </c>
      <c r="L150" s="376" t="s">
        <v>57</v>
      </c>
      <c r="M150" s="429">
        <v>12695</v>
      </c>
      <c r="N150" s="731"/>
      <c r="O150" s="376" t="s">
        <v>57</v>
      </c>
      <c r="P150" s="735" t="s">
        <v>122</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137</v>
      </c>
      <c r="E151" s="930">
        <v>45817</v>
      </c>
      <c r="F151" s="1145" t="s">
        <v>97</v>
      </c>
      <c r="G151" s="1155" t="s">
        <v>1023</v>
      </c>
      <c r="H151" s="947">
        <v>0</v>
      </c>
      <c r="I151" s="1018" t="s">
        <v>121</v>
      </c>
      <c r="J151" s="947" t="s">
        <v>63</v>
      </c>
      <c r="K151" s="1156">
        <v>45821</v>
      </c>
      <c r="L151" s="1018" t="s">
        <v>57</v>
      </c>
      <c r="M151" s="949">
        <v>23436.55</v>
      </c>
      <c r="N151" s="731"/>
      <c r="O151" s="1018" t="s">
        <v>57</v>
      </c>
      <c r="P151" s="762" t="s">
        <v>122</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184</v>
      </c>
      <c r="E152" s="930">
        <v>45876</v>
      </c>
      <c r="F152" s="930" t="s">
        <v>97</v>
      </c>
      <c r="G152" s="1017" t="s">
        <v>1026</v>
      </c>
      <c r="H152" s="947">
        <v>0</v>
      </c>
      <c r="I152" s="1018" t="s">
        <v>121</v>
      </c>
      <c r="J152" s="947" t="s">
        <v>63</v>
      </c>
      <c r="K152" s="930">
        <v>45876</v>
      </c>
      <c r="L152" s="947" t="s">
        <v>57</v>
      </c>
      <c r="M152" s="949">
        <v>1462.85</v>
      </c>
      <c r="N152" s="96"/>
      <c r="O152" s="947" t="s">
        <v>57</v>
      </c>
      <c r="P152" s="762" t="s">
        <v>122</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137</v>
      </c>
      <c r="E153" s="879">
        <v>45882</v>
      </c>
      <c r="F153" s="1006" t="s">
        <v>142</v>
      </c>
      <c r="G153" s="1012" t="s">
        <v>762</v>
      </c>
      <c r="H153" s="786">
        <v>0</v>
      </c>
      <c r="I153" s="798" t="s">
        <v>121</v>
      </c>
      <c r="J153" s="786" t="s">
        <v>63</v>
      </c>
      <c r="K153" s="375">
        <v>45882</v>
      </c>
      <c r="L153" s="376" t="s">
        <v>57</v>
      </c>
      <c r="M153" s="429">
        <v>13056.5</v>
      </c>
      <c r="N153" s="779"/>
      <c r="O153" s="376" t="s">
        <v>57</v>
      </c>
      <c r="P153" s="583" t="s">
        <v>122</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184</v>
      </c>
      <c r="E154" s="879">
        <v>45853</v>
      </c>
      <c r="F154" s="1005" t="s">
        <v>97</v>
      </c>
      <c r="G154" s="1015" t="s">
        <v>1029</v>
      </c>
      <c r="H154" s="786">
        <v>0</v>
      </c>
      <c r="I154" s="786" t="s">
        <v>121</v>
      </c>
      <c r="J154" s="786" t="s">
        <v>63</v>
      </c>
      <c r="K154" s="467">
        <v>45853</v>
      </c>
      <c r="L154" s="469" t="s">
        <v>57</v>
      </c>
      <c r="M154" s="986">
        <v>68216.5</v>
      </c>
      <c r="N154" s="773"/>
      <c r="O154" s="469" t="s">
        <v>57</v>
      </c>
      <c r="P154" s="744" t="s">
        <v>122</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184</v>
      </c>
      <c r="E155" s="51">
        <v>45945</v>
      </c>
      <c r="F155" s="50" t="s">
        <v>97</v>
      </c>
      <c r="G155" s="666" t="s">
        <v>1032</v>
      </c>
      <c r="H155" s="52">
        <v>0</v>
      </c>
      <c r="I155" s="52" t="s">
        <v>121</v>
      </c>
      <c r="J155" s="52" t="s">
        <v>63</v>
      </c>
      <c r="K155" s="375">
        <v>45936</v>
      </c>
      <c r="L155" s="376" t="s">
        <v>57</v>
      </c>
      <c r="M155" s="429">
        <v>4235.8</v>
      </c>
      <c r="N155" s="731"/>
      <c r="O155" s="376" t="s">
        <v>57</v>
      </c>
      <c r="P155" s="583" t="s">
        <v>122</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137</v>
      </c>
      <c r="E156" s="57">
        <v>45874</v>
      </c>
      <c r="F156" s="767" t="s">
        <v>142</v>
      </c>
      <c r="G156" s="769"/>
      <c r="H156" s="770">
        <v>208</v>
      </c>
      <c r="I156" s="776" t="s">
        <v>121</v>
      </c>
      <c r="J156" s="770" t="s">
        <v>56</v>
      </c>
      <c r="K156" s="467">
        <v>45876</v>
      </c>
      <c r="L156" s="469" t="s">
        <v>57</v>
      </c>
      <c r="M156" s="986">
        <v>124980</v>
      </c>
      <c r="N156" s="779"/>
      <c r="O156" s="469" t="s">
        <v>57</v>
      </c>
      <c r="P156" s="744" t="s">
        <v>122</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121</v>
      </c>
      <c r="J157" s="770" t="s">
        <v>63</v>
      </c>
      <c r="K157" s="502">
        <v>45716</v>
      </c>
      <c r="L157" s="116" t="s">
        <v>57</v>
      </c>
      <c r="M157" s="771">
        <v>45321.5</v>
      </c>
      <c r="N157" s="779"/>
      <c r="O157" s="116" t="s">
        <v>57</v>
      </c>
      <c r="P157" s="761" t="s">
        <v>122</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121</v>
      </c>
      <c r="J158" s="786" t="s">
        <v>63</v>
      </c>
      <c r="K158" s="1008">
        <v>45741</v>
      </c>
      <c r="L158" s="851" t="s">
        <v>57</v>
      </c>
      <c r="M158" s="1009">
        <v>41813</v>
      </c>
      <c r="N158" s="779"/>
      <c r="O158" s="851" t="s">
        <v>57</v>
      </c>
      <c r="P158" s="1001" t="s">
        <v>122</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125</v>
      </c>
      <c r="E159" s="57">
        <v>45708</v>
      </c>
      <c r="F159" s="767" t="s">
        <v>792</v>
      </c>
      <c r="G159" s="774" t="s">
        <v>1042</v>
      </c>
      <c r="H159" s="770">
        <v>82</v>
      </c>
      <c r="I159" s="776" t="s">
        <v>121</v>
      </c>
      <c r="J159" s="770" t="s">
        <v>63</v>
      </c>
      <c r="K159" s="495">
        <v>45698</v>
      </c>
      <c r="L159" s="503" t="s">
        <v>57</v>
      </c>
      <c r="M159" s="771">
        <v>71979</v>
      </c>
      <c r="N159" s="773"/>
      <c r="O159" s="503" t="s">
        <v>57</v>
      </c>
      <c r="P159" s="778" t="s">
        <v>122</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125</v>
      </c>
      <c r="E160" s="476">
        <v>45708</v>
      </c>
      <c r="F160" s="428" t="s">
        <v>792</v>
      </c>
      <c r="G160" s="477" t="s">
        <v>1044</v>
      </c>
      <c r="H160" s="478">
        <v>0</v>
      </c>
      <c r="I160" s="469" t="s">
        <v>122</v>
      </c>
      <c r="J160" s="478" t="s">
        <v>63</v>
      </c>
      <c r="K160" s="476">
        <v>45712</v>
      </c>
      <c r="L160" s="478" t="s">
        <v>57</v>
      </c>
      <c r="M160" s="772">
        <v>14262</v>
      </c>
      <c r="N160" s="731"/>
      <c r="O160" s="478" t="s">
        <v>57</v>
      </c>
      <c r="P160" s="744" t="s">
        <v>122</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185</v>
      </c>
      <c r="G161" s="769" t="s">
        <v>1046</v>
      </c>
      <c r="H161" s="770">
        <v>0</v>
      </c>
      <c r="I161" s="770" t="s">
        <v>121</v>
      </c>
      <c r="J161" s="770" t="s">
        <v>63</v>
      </c>
      <c r="K161" s="476">
        <v>45714</v>
      </c>
      <c r="L161" s="478" t="s">
        <v>57</v>
      </c>
      <c r="M161" s="772">
        <v>93462.85</v>
      </c>
      <c r="N161" s="773"/>
      <c r="O161" s="478" t="s">
        <v>57</v>
      </c>
      <c r="P161" s="744" t="s">
        <v>122</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137</v>
      </c>
      <c r="E162" s="57">
        <v>45772</v>
      </c>
      <c r="F162" s="766" t="s">
        <v>491</v>
      </c>
      <c r="G162" s="766" t="s">
        <v>1048</v>
      </c>
      <c r="H162" s="770">
        <v>0</v>
      </c>
      <c r="I162" s="770" t="s">
        <v>121</v>
      </c>
      <c r="J162" s="770" t="s">
        <v>63</v>
      </c>
      <c r="K162" s="475" t="s">
        <v>52</v>
      </c>
      <c r="L162" s="469" t="s">
        <v>57</v>
      </c>
      <c r="M162" s="986">
        <v>4397.6499999999996</v>
      </c>
      <c r="N162" s="773"/>
      <c r="O162" s="469" t="s">
        <v>57</v>
      </c>
      <c r="P162" s="744" t="s">
        <v>122</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286</v>
      </c>
      <c r="C163" s="57">
        <v>46045</v>
      </c>
      <c r="D163" s="787" t="s">
        <v>137</v>
      </c>
      <c r="E163" s="57"/>
      <c r="F163" s="766" t="s">
        <v>287</v>
      </c>
      <c r="G163" s="769"/>
      <c r="H163" s="1304">
        <v>85</v>
      </c>
      <c r="I163" s="785" t="s">
        <v>121</v>
      </c>
      <c r="J163" s="770" t="s">
        <v>63</v>
      </c>
      <c r="K163" s="476" t="s">
        <v>52</v>
      </c>
      <c r="L163" s="478" t="s">
        <v>57</v>
      </c>
      <c r="M163" s="1411">
        <v>29180.45</v>
      </c>
      <c r="N163" s="773"/>
      <c r="O163" s="478" t="s">
        <v>57</v>
      </c>
      <c r="P163" s="744" t="s">
        <v>122</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286</v>
      </c>
      <c r="C164" s="375">
        <v>46045</v>
      </c>
      <c r="D164" s="962" t="s">
        <v>137</v>
      </c>
      <c r="E164" s="375"/>
      <c r="F164" s="766" t="s">
        <v>287</v>
      </c>
      <c r="G164" s="633"/>
      <c r="H164" s="1049">
        <v>80</v>
      </c>
      <c r="I164" s="963" t="s">
        <v>121</v>
      </c>
      <c r="J164" s="964" t="s">
        <v>63</v>
      </c>
      <c r="K164" s="476" t="s">
        <v>52</v>
      </c>
      <c r="L164" s="964" t="s">
        <v>57</v>
      </c>
      <c r="M164" s="1412">
        <v>25891</v>
      </c>
      <c r="N164" s="731"/>
      <c r="O164" s="52" t="s">
        <v>57</v>
      </c>
      <c r="P164" s="1413" t="s">
        <v>122</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286</v>
      </c>
      <c r="C165" s="57">
        <v>46045</v>
      </c>
      <c r="D165" s="787" t="s">
        <v>137</v>
      </c>
      <c r="E165" s="57"/>
      <c r="F165" s="766" t="s">
        <v>287</v>
      </c>
      <c r="G165" s="769"/>
      <c r="H165" s="1304">
        <v>83</v>
      </c>
      <c r="I165" s="785" t="s">
        <v>121</v>
      </c>
      <c r="J165" s="770" t="s">
        <v>63</v>
      </c>
      <c r="K165" s="476" t="s">
        <v>52</v>
      </c>
      <c r="L165" s="964" t="s">
        <v>57</v>
      </c>
      <c r="M165" s="1412">
        <v>170</v>
      </c>
      <c r="N165" s="773"/>
      <c r="O165" s="52" t="s">
        <v>57</v>
      </c>
      <c r="P165" s="1413" t="s">
        <v>122</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286</v>
      </c>
      <c r="C166" s="57">
        <v>46045</v>
      </c>
      <c r="D166" s="787" t="s">
        <v>137</v>
      </c>
      <c r="E166" s="57"/>
      <c r="F166" s="766" t="s">
        <v>287</v>
      </c>
      <c r="G166" s="769"/>
      <c r="H166" s="1304">
        <v>85</v>
      </c>
      <c r="I166" s="785" t="s">
        <v>121</v>
      </c>
      <c r="J166" s="770" t="s">
        <v>63</v>
      </c>
      <c r="K166" s="476" t="s">
        <v>52</v>
      </c>
      <c r="L166" s="964" t="s">
        <v>57</v>
      </c>
      <c r="M166" s="1412">
        <v>30788</v>
      </c>
      <c r="N166" s="773"/>
      <c r="O166" s="52" t="s">
        <v>57</v>
      </c>
      <c r="P166" s="1413" t="s">
        <v>122</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328</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183</v>
      </c>
      <c r="C172" s="476">
        <v>45807</v>
      </c>
      <c r="D172" s="465" t="s">
        <v>51</v>
      </c>
      <c r="E172" s="475" t="s">
        <v>52</v>
      </c>
      <c r="F172" s="465" t="s">
        <v>841</v>
      </c>
      <c r="G172" s="678" t="s">
        <v>653</v>
      </c>
      <c r="H172" s="469">
        <v>60</v>
      </c>
      <c r="I172" s="823" t="s">
        <v>121</v>
      </c>
      <c r="J172" s="478" t="s">
        <v>56</v>
      </c>
      <c r="K172" s="838"/>
      <c r="L172" s="467">
        <v>45716</v>
      </c>
      <c r="M172" s="478" t="s">
        <v>57</v>
      </c>
      <c r="N172" s="540">
        <v>2075.6999999999998</v>
      </c>
      <c r="O172" s="478" t="s">
        <v>57</v>
      </c>
      <c r="P172" s="909" t="s">
        <v>122</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183</v>
      </c>
      <c r="C173" s="476">
        <v>45807</v>
      </c>
      <c r="D173" s="475" t="s">
        <v>51</v>
      </c>
      <c r="E173" s="475" t="s">
        <v>52</v>
      </c>
      <c r="F173" s="475" t="s">
        <v>841</v>
      </c>
      <c r="G173" s="819" t="s">
        <v>1061</v>
      </c>
      <c r="H173" s="478">
        <v>79</v>
      </c>
      <c r="I173" s="823" t="s">
        <v>121</v>
      </c>
      <c r="J173" s="478" t="s">
        <v>56</v>
      </c>
      <c r="K173" s="486"/>
      <c r="L173" s="467">
        <v>45716</v>
      </c>
      <c r="M173" s="478" t="s">
        <v>57</v>
      </c>
      <c r="N173" s="541">
        <v>2947.5</v>
      </c>
      <c r="O173" s="478" t="s">
        <v>57</v>
      </c>
      <c r="P173" s="910" t="s">
        <v>122</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183</v>
      </c>
      <c r="C174" s="476">
        <v>45807</v>
      </c>
      <c r="D174" s="475" t="s">
        <v>51</v>
      </c>
      <c r="E174" s="475" t="s">
        <v>52</v>
      </c>
      <c r="F174" s="475" t="s">
        <v>841</v>
      </c>
      <c r="G174" s="819" t="s">
        <v>1063</v>
      </c>
      <c r="H174" s="478">
        <v>83</v>
      </c>
      <c r="I174" s="823" t="s">
        <v>121</v>
      </c>
      <c r="J174" s="478" t="s">
        <v>56</v>
      </c>
      <c r="K174" s="486"/>
      <c r="L174" s="467">
        <v>45716</v>
      </c>
      <c r="M174" s="478" t="s">
        <v>57</v>
      </c>
      <c r="N174" s="541">
        <v>2908.95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122</v>
      </c>
      <c r="J175" s="478" t="s">
        <v>56</v>
      </c>
      <c r="K175" s="478"/>
      <c r="L175" s="824">
        <v>45716</v>
      </c>
      <c r="M175" s="478" t="s">
        <v>57</v>
      </c>
      <c r="N175" s="541">
        <v>1134</v>
      </c>
      <c r="O175" s="478" t="s">
        <v>57</v>
      </c>
      <c r="P175" s="911" t="s">
        <v>122</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122</v>
      </c>
      <c r="J176" s="478" t="s">
        <v>56</v>
      </c>
      <c r="K176" s="486"/>
      <c r="L176" s="467">
        <v>45716</v>
      </c>
      <c r="M176" s="478" t="s">
        <v>57</v>
      </c>
      <c r="N176" s="541">
        <v>870</v>
      </c>
      <c r="O176" s="478" t="s">
        <v>57</v>
      </c>
      <c r="P176" s="911" t="s">
        <v>122</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121</v>
      </c>
      <c r="J177" s="478" t="s">
        <v>63</v>
      </c>
      <c r="K177" s="478"/>
      <c r="L177" s="824">
        <v>45716</v>
      </c>
      <c r="M177" s="823" t="s">
        <v>57</v>
      </c>
      <c r="N177" s="541">
        <v>2025.6</v>
      </c>
      <c r="O177" s="823" t="s">
        <v>57</v>
      </c>
      <c r="P177" s="911" t="s">
        <v>122</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122</v>
      </c>
      <c r="J178" s="478" t="s">
        <v>56</v>
      </c>
      <c r="K178" s="478"/>
      <c r="L178" s="476">
        <v>45715</v>
      </c>
      <c r="M178" s="478" t="s">
        <v>57</v>
      </c>
      <c r="N178" s="541">
        <v>3801.75</v>
      </c>
      <c r="O178" s="478" t="s">
        <v>57</v>
      </c>
      <c r="P178" s="911" t="s">
        <v>122</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184</v>
      </c>
      <c r="E181" s="897">
        <v>45768</v>
      </c>
      <c r="F181" s="898" t="s">
        <v>142</v>
      </c>
      <c r="G181" s="895"/>
      <c r="H181" s="899">
        <v>0</v>
      </c>
      <c r="I181" s="900" t="s">
        <v>122</v>
      </c>
      <c r="J181" s="899" t="s">
        <v>56</v>
      </c>
      <c r="K181" s="896"/>
      <c r="L181" s="901" t="s">
        <v>56</v>
      </c>
      <c r="M181" s="899" t="s">
        <v>79</v>
      </c>
      <c r="N181" s="902">
        <v>0</v>
      </c>
      <c r="O181" s="899" t="s">
        <v>79</v>
      </c>
      <c r="P181" s="903" t="s">
        <v>122</v>
      </c>
      <c r="Q181" s="904" t="s">
        <v>56</v>
      </c>
      <c r="R181" s="905" t="s">
        <v>139</v>
      </c>
      <c r="S181" s="905" t="s">
        <v>139</v>
      </c>
      <c r="T181" s="905" t="s">
        <v>139</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184</v>
      </c>
      <c r="E182" s="849">
        <v>45768</v>
      </c>
      <c r="F182" s="848" t="s">
        <v>142</v>
      </c>
      <c r="G182" s="850"/>
      <c r="H182" s="851">
        <v>0</v>
      </c>
      <c r="I182" s="857" t="s">
        <v>122</v>
      </c>
      <c r="J182" s="851" t="s">
        <v>56</v>
      </c>
      <c r="K182" s="856"/>
      <c r="L182" s="858" t="s">
        <v>56</v>
      </c>
      <c r="M182" s="851" t="s">
        <v>79</v>
      </c>
      <c r="N182" s="852">
        <v>0</v>
      </c>
      <c r="O182" s="851" t="s">
        <v>79</v>
      </c>
      <c r="P182" s="853" t="s">
        <v>122</v>
      </c>
      <c r="Q182" s="79" t="s">
        <v>56</v>
      </c>
      <c r="R182" s="328" t="s">
        <v>139</v>
      </c>
      <c r="S182" s="328" t="s">
        <v>139</v>
      </c>
      <c r="T182" s="328" t="s">
        <v>139</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137</v>
      </c>
      <c r="K6">
        <v>22274</v>
      </c>
      <c r="N6" t="s">
        <v>137</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125</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125</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238</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238</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238</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329</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238</v>
      </c>
      <c r="D767">
        <v>362</v>
      </c>
      <c r="E767">
        <v>399</v>
      </c>
      <c r="G767">
        <v>761</v>
      </c>
    </row>
    <row r="768" spans="1:7">
      <c r="A768" t="s">
        <v>1007</v>
      </c>
    </row>
    <row r="769" spans="1:7">
      <c r="A769" t="s">
        <v>997</v>
      </c>
    </row>
    <row r="770" spans="1:7">
      <c r="A770" t="s">
        <v>350</v>
      </c>
      <c r="C770">
        <v>120</v>
      </c>
      <c r="D770">
        <v>190</v>
      </c>
      <c r="G770">
        <v>310</v>
      </c>
    </row>
    <row r="771" spans="1:7">
      <c r="A771" t="s">
        <v>329</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329</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136</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238</v>
      </c>
      <c r="E838">
        <v>170</v>
      </c>
      <c r="G838">
        <v>170</v>
      </c>
    </row>
    <row r="839" spans="1:7">
      <c r="A839" t="s">
        <v>329</v>
      </c>
      <c r="D839">
        <v>986</v>
      </c>
      <c r="G839">
        <v>986</v>
      </c>
    </row>
    <row r="840" spans="1:7">
      <c r="A840" t="s">
        <v>1138</v>
      </c>
      <c r="B840">
        <v>916</v>
      </c>
      <c r="C840">
        <v>144</v>
      </c>
      <c r="G840">
        <v>1060</v>
      </c>
    </row>
    <row r="841" spans="1:7">
      <c r="A841" t="s">
        <v>572</v>
      </c>
    </row>
    <row r="842" spans="1:7">
      <c r="A842" t="s">
        <v>1012</v>
      </c>
    </row>
    <row r="843" spans="1:7">
      <c r="A843" t="s">
        <v>136</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238</v>
      </c>
    </row>
    <row r="885" spans="1:7">
      <c r="A885" t="s">
        <v>329</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202</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329</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202</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285</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202</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238</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202</v>
      </c>
      <c r="B973">
        <v>420</v>
      </c>
      <c r="G973">
        <v>420</v>
      </c>
    </row>
    <row r="974" spans="1:7">
      <c r="A974" t="s">
        <v>612</v>
      </c>
    </row>
    <row r="975" spans="1:7">
      <c r="A975" t="s">
        <v>340</v>
      </c>
      <c r="C975">
        <v>1917</v>
      </c>
      <c r="E975">
        <v>272</v>
      </c>
      <c r="G975">
        <v>2189</v>
      </c>
    </row>
    <row r="976" spans="1:7">
      <c r="A976" t="s">
        <v>580</v>
      </c>
      <c r="B976">
        <v>956</v>
      </c>
      <c r="G976">
        <v>956</v>
      </c>
    </row>
    <row r="977" spans="1:7">
      <c r="A977" t="s">
        <v>188</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202</v>
      </c>
      <c r="D1011">
        <v>426</v>
      </c>
      <c r="G1011">
        <v>426</v>
      </c>
    </row>
    <row r="1012" spans="1:7">
      <c r="A1012" t="s">
        <v>355</v>
      </c>
    </row>
    <row r="1013" spans="1:7">
      <c r="A1013" t="s">
        <v>429</v>
      </c>
    </row>
    <row r="1014" spans="1:7">
      <c r="A1014" t="s">
        <v>285</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178</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285</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290</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270</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290</v>
      </c>
      <c r="F1123">
        <v>1235</v>
      </c>
      <c r="G1123">
        <v>1235</v>
      </c>
    </row>
    <row r="1124" spans="1:7">
      <c r="A1124" t="s">
        <v>558</v>
      </c>
    </row>
    <row r="1125" spans="1:7">
      <c r="A1125" t="s">
        <v>552</v>
      </c>
      <c r="B1125">
        <v>689</v>
      </c>
      <c r="C1125">
        <v>586</v>
      </c>
      <c r="D1125">
        <v>199</v>
      </c>
      <c r="G1125">
        <v>1474</v>
      </c>
    </row>
    <row r="1126" spans="1:7">
      <c r="A1126" t="s">
        <v>270</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270</v>
      </c>
      <c r="B1147">
        <v>154</v>
      </c>
      <c r="G1147">
        <v>154</v>
      </c>
    </row>
    <row r="1148" spans="1:7">
      <c r="A1148" t="s">
        <v>564</v>
      </c>
      <c r="B1148">
        <v>342</v>
      </c>
      <c r="G1148">
        <v>342</v>
      </c>
    </row>
    <row r="1149" spans="1:7">
      <c r="A1149" t="s">
        <v>468</v>
      </c>
    </row>
    <row r="1150" spans="1:7">
      <c r="A1150" t="s">
        <v>296</v>
      </c>
      <c r="B1150">
        <v>3523</v>
      </c>
      <c r="C1150">
        <v>2384</v>
      </c>
      <c r="G1150">
        <v>5907</v>
      </c>
    </row>
    <row r="1151" spans="1:7">
      <c r="A1151" t="s">
        <v>293</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270</v>
      </c>
      <c r="D1168">
        <v>173</v>
      </c>
      <c r="G1168">
        <v>173</v>
      </c>
    </row>
    <row r="1169" spans="1:7">
      <c r="A1169" t="s">
        <v>293</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290</v>
      </c>
    </row>
    <row r="1187" spans="1:7">
      <c r="A1187" t="s">
        <v>468</v>
      </c>
      <c r="D1187">
        <v>0</v>
      </c>
      <c r="F1187">
        <v>104</v>
      </c>
      <c r="G1187">
        <v>104</v>
      </c>
    </row>
    <row r="1188" spans="1:7">
      <c r="A1188" t="s">
        <v>478</v>
      </c>
      <c r="B1188">
        <v>568</v>
      </c>
      <c r="G1188">
        <v>568</v>
      </c>
    </row>
    <row r="1189" spans="1:7">
      <c r="A1189" t="s">
        <v>242</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238</v>
      </c>
      <c r="D1206">
        <v>1200</v>
      </c>
      <c r="E1206">
        <v>445</v>
      </c>
      <c r="F1206">
        <v>686</v>
      </c>
      <c r="G1206">
        <v>2331</v>
      </c>
    </row>
    <row r="1207" spans="1:7">
      <c r="A1207" t="s">
        <v>534</v>
      </c>
    </row>
    <row r="1208" spans="1:7">
      <c r="A1208" t="s">
        <v>332</v>
      </c>
    </row>
    <row r="1209" spans="1:7">
      <c r="A1209" t="s">
        <v>357</v>
      </c>
    </row>
    <row r="1210" spans="1:7">
      <c r="A1210" t="s">
        <v>290</v>
      </c>
    </row>
    <row r="1211" spans="1:7">
      <c r="A1211" t="s">
        <v>242</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268</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238</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299</v>
      </c>
      <c r="E1242">
        <v>1940</v>
      </c>
      <c r="G1242">
        <v>1940</v>
      </c>
    </row>
    <row r="1243" spans="1:7">
      <c r="A1243" t="s">
        <v>505</v>
      </c>
      <c r="C1243">
        <v>183</v>
      </c>
      <c r="D1243">
        <v>182</v>
      </c>
      <c r="E1243">
        <v>186</v>
      </c>
      <c r="G1243">
        <v>551</v>
      </c>
    </row>
    <row r="1244" spans="1:7">
      <c r="A1244" t="s">
        <v>411</v>
      </c>
      <c r="E1244">
        <v>1776</v>
      </c>
      <c r="G1244">
        <v>1776</v>
      </c>
    </row>
    <row r="1245" spans="1:7">
      <c r="A1245" t="s">
        <v>305</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173</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274</v>
      </c>
      <c r="C1251">
        <v>2719</v>
      </c>
      <c r="D1251">
        <v>408</v>
      </c>
      <c r="G1251">
        <v>3127</v>
      </c>
    </row>
    <row r="1252" spans="1:7">
      <c r="A1252" t="s">
        <v>422</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s="111">
        <v>46050</v>
      </c>
      <c r="E1264" t="s">
        <v>1081</v>
      </c>
    </row>
    <row r="1265" spans="1:5">
      <c r="A1265" t="s">
        <v>238</v>
      </c>
      <c r="C1265">
        <v>511</v>
      </c>
      <c r="E1265">
        <v>511</v>
      </c>
    </row>
    <row r="1266" spans="1:5">
      <c r="A1266" t="s">
        <v>1133</v>
      </c>
      <c r="C1266">
        <v>343</v>
      </c>
      <c r="E1266">
        <v>343</v>
      </c>
    </row>
    <row r="1267" spans="1:5">
      <c r="A1267" t="s">
        <v>296</v>
      </c>
    </row>
    <row r="1268" spans="1:5">
      <c r="A1268" t="s">
        <v>293</v>
      </c>
    </row>
    <row r="1269" spans="1:5">
      <c r="A1269" t="s">
        <v>478</v>
      </c>
    </row>
    <row r="1270" spans="1:5">
      <c r="A1270" t="s">
        <v>396</v>
      </c>
    </row>
    <row r="1271" spans="1:5">
      <c r="A1271" t="s">
        <v>481</v>
      </c>
    </row>
    <row r="1272" spans="1:5">
      <c r="A1272" t="s">
        <v>385</v>
      </c>
    </row>
    <row r="1273" spans="1:5">
      <c r="A1273" t="s">
        <v>299</v>
      </c>
    </row>
    <row r="1274" spans="1:5">
      <c r="A1274" t="s">
        <v>413</v>
      </c>
    </row>
    <row r="1275" spans="1:5">
      <c r="A1275" t="s">
        <v>411</v>
      </c>
    </row>
    <row r="1276" spans="1:5">
      <c r="A1276" t="s">
        <v>414</v>
      </c>
    </row>
    <row r="1277" spans="1:5">
      <c r="A1277" t="s">
        <v>302</v>
      </c>
      <c r="B1277">
        <v>1908</v>
      </c>
      <c r="E1277">
        <v>1908</v>
      </c>
    </row>
    <row r="1278" spans="1:5">
      <c r="A1278" t="s">
        <v>305</v>
      </c>
    </row>
    <row r="1279" spans="1:5">
      <c r="A1279" t="s">
        <v>416</v>
      </c>
    </row>
    <row r="1280" spans="1:5">
      <c r="A1280" t="s">
        <v>420</v>
      </c>
    </row>
    <row r="1281" spans="1:5">
      <c r="A1281" t="s">
        <v>173</v>
      </c>
      <c r="B1281">
        <v>886</v>
      </c>
      <c r="E1281">
        <v>886</v>
      </c>
    </row>
    <row r="1282" spans="1:5">
      <c r="A1282" t="s">
        <v>1160</v>
      </c>
      <c r="B1282">
        <v>376</v>
      </c>
      <c r="C1282">
        <v>647</v>
      </c>
      <c r="E1282">
        <v>1023</v>
      </c>
    </row>
    <row r="1283" spans="1:5">
      <c r="A1283" t="s">
        <v>1161</v>
      </c>
      <c r="B1283">
        <v>1642</v>
      </c>
      <c r="C1283">
        <v>843</v>
      </c>
      <c r="E1283">
        <v>2485</v>
      </c>
    </row>
    <row r="1284" spans="1:5">
      <c r="A1284" t="s">
        <v>422</v>
      </c>
    </row>
    <row r="1285" spans="1:5">
      <c r="A1285" t="s">
        <v>124</v>
      </c>
      <c r="B1285">
        <v>835</v>
      </c>
      <c r="C1285">
        <v>858</v>
      </c>
      <c r="E1285">
        <v>1693</v>
      </c>
    </row>
    <row r="1286" spans="1:5">
      <c r="A1286" t="s">
        <v>117</v>
      </c>
      <c r="B1286">
        <v>1590</v>
      </c>
      <c r="C1286">
        <v>1230</v>
      </c>
      <c r="E1286">
        <v>2820</v>
      </c>
    </row>
    <row r="1287" spans="1:5">
      <c r="A1287" t="s">
        <v>205</v>
      </c>
      <c r="B1287">
        <v>1530</v>
      </c>
      <c r="C1287">
        <v>388</v>
      </c>
      <c r="E1287">
        <v>1918</v>
      </c>
    </row>
    <row r="1288" spans="1:5">
      <c r="A1288" t="s">
        <v>128</v>
      </c>
      <c r="C1288">
        <v>1758</v>
      </c>
      <c r="E1288">
        <v>1758</v>
      </c>
    </row>
    <row r="1289" spans="1:5">
      <c r="A1289" t="s">
        <v>254</v>
      </c>
    </row>
    <row r="1290" spans="1:5">
      <c r="A1290" t="s">
        <v>1081</v>
      </c>
      <c r="B1290">
        <v>8767</v>
      </c>
      <c r="C1290">
        <v>6578</v>
      </c>
      <c r="E1290">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76" activePane="bottomLeft" state="frozen"/>
      <selection pane="bottomLeft" activeCell="F2600" sqref="F260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137</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137</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137</v>
      </c>
      <c r="C18" s="152">
        <v>45702</v>
      </c>
      <c r="D18" s="143">
        <v>23</v>
      </c>
      <c r="E18" s="143"/>
      <c r="F18" s="143"/>
      <c r="G18" t="str">
        <f t="shared" si="0"/>
        <v>February</v>
      </c>
    </row>
    <row r="19" spans="1:7" ht="15.75">
      <c r="A19" s="117" t="s">
        <v>826</v>
      </c>
      <c r="B19" s="243" t="s">
        <v>125</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137</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125</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137</v>
      </c>
      <c r="C48" s="153">
        <v>45709</v>
      </c>
      <c r="D48" s="117">
        <v>823</v>
      </c>
      <c r="E48" s="117"/>
      <c r="F48" s="118" t="s">
        <v>1173</v>
      </c>
      <c r="G48" t="str">
        <f t="shared" si="0"/>
        <v>February</v>
      </c>
    </row>
    <row r="49" spans="1:7">
      <c r="A49" s="117" t="s">
        <v>826</v>
      </c>
      <c r="B49" s="243" t="s">
        <v>125</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137</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137</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137</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137</v>
      </c>
      <c r="C71" s="153">
        <v>45713</v>
      </c>
      <c r="D71" s="117"/>
      <c r="E71" s="117"/>
      <c r="F71" s="118"/>
      <c r="G71" t="str">
        <f t="shared" si="1"/>
        <v>February</v>
      </c>
    </row>
    <row r="72" spans="1:7">
      <c r="A72" s="117" t="s">
        <v>826</v>
      </c>
      <c r="B72" s="243" t="s">
        <v>125</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137</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137</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137</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137</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137</v>
      </c>
      <c r="C96" s="153">
        <v>45714</v>
      </c>
      <c r="D96" s="117"/>
      <c r="E96" s="117"/>
      <c r="F96" s="118"/>
      <c r="G96" t="str">
        <f t="shared" si="1"/>
        <v>February</v>
      </c>
    </row>
    <row r="97" spans="1:7">
      <c r="A97" s="117" t="s">
        <v>826</v>
      </c>
      <c r="B97" s="243" t="s">
        <v>125</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137</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137</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137</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137</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137</v>
      </c>
      <c r="C127" s="122">
        <v>45715</v>
      </c>
      <c r="D127" s="118">
        <v>1422</v>
      </c>
      <c r="E127" s="118"/>
      <c r="F127" s="134" t="s">
        <v>1181</v>
      </c>
      <c r="G127" t="str">
        <f t="shared" si="1"/>
        <v>February</v>
      </c>
    </row>
    <row r="128" spans="1:7">
      <c r="A128" s="117" t="s">
        <v>826</v>
      </c>
      <c r="B128" s="243" t="s">
        <v>125</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137</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137</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137</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137</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137</v>
      </c>
      <c r="C158" s="122">
        <v>45716</v>
      </c>
      <c r="D158" s="123">
        <v>946</v>
      </c>
      <c r="E158" s="123"/>
      <c r="F158" s="109" t="s">
        <v>1173</v>
      </c>
      <c r="G158" t="str">
        <f t="shared" si="2"/>
        <v>February</v>
      </c>
    </row>
    <row r="159" spans="1:7">
      <c r="A159" s="117" t="s">
        <v>826</v>
      </c>
      <c r="B159" s="243" t="s">
        <v>125</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137</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137</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137</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137</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137</v>
      </c>
      <c r="C189" s="122">
        <v>45719</v>
      </c>
      <c r="D189" s="123" t="s">
        <v>1192</v>
      </c>
      <c r="E189" s="123"/>
      <c r="F189" s="118"/>
      <c r="G189" t="str">
        <f t="shared" si="2"/>
        <v>March</v>
      </c>
    </row>
    <row r="190" spans="1:7">
      <c r="A190" s="117" t="s">
        <v>826</v>
      </c>
      <c r="B190" s="243" t="s">
        <v>125</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137</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137</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137</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125</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137</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137</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137</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137</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137</v>
      </c>
      <c r="C238" s="122">
        <v>45721</v>
      </c>
      <c r="D238" s="123">
        <v>0</v>
      </c>
      <c r="E238" s="123"/>
      <c r="F238" s="118"/>
      <c r="G238" t="str">
        <f t="shared" si="3"/>
        <v>March</v>
      </c>
    </row>
    <row r="239" spans="1:7">
      <c r="A239" s="117" t="s">
        <v>826</v>
      </c>
      <c r="B239" s="243" t="s">
        <v>125</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137</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137</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137</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137</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137</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137</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137</v>
      </c>
      <c r="C275" s="122">
        <v>45722</v>
      </c>
      <c r="D275" s="134">
        <v>0</v>
      </c>
      <c r="E275" s="134"/>
      <c r="F275" s="118"/>
      <c r="G275" t="str">
        <f t="shared" si="4"/>
        <v>March</v>
      </c>
    </row>
    <row r="276" spans="1:7">
      <c r="A276" s="117" t="s">
        <v>826</v>
      </c>
      <c r="B276" s="243" t="s">
        <v>125</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137</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137</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137</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137</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137</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137</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137</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137</v>
      </c>
      <c r="C315" s="56">
        <v>45723</v>
      </c>
      <c r="D315" s="134">
        <v>0</v>
      </c>
      <c r="E315" s="134"/>
      <c r="G315" t="str">
        <f t="shared" si="4"/>
        <v>March</v>
      </c>
    </row>
    <row r="316" spans="1:7">
      <c r="A316" s="117" t="s">
        <v>826</v>
      </c>
      <c r="B316" s="243" t="s">
        <v>125</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137</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137</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137</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137</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137</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137</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137</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137</v>
      </c>
      <c r="C356" s="56">
        <v>45726</v>
      </c>
      <c r="D356" s="134">
        <v>0</v>
      </c>
      <c r="E356" s="134"/>
      <c r="G356" t="str">
        <f t="shared" si="5"/>
        <v>March</v>
      </c>
    </row>
    <row r="357" spans="1:7">
      <c r="A357" s="117" t="s">
        <v>826</v>
      </c>
      <c r="B357" s="243" t="s">
        <v>125</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137</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137</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137</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137</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137</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137</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137</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137</v>
      </c>
      <c r="C397" s="56">
        <v>45727</v>
      </c>
      <c r="D397" s="123">
        <v>0</v>
      </c>
      <c r="E397" s="123"/>
      <c r="G397" t="str">
        <f t="shared" si="6"/>
        <v>March</v>
      </c>
    </row>
    <row r="398" spans="1:7">
      <c r="A398" s="117" t="s">
        <v>826</v>
      </c>
      <c r="B398" s="243" t="s">
        <v>125</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137</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137</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137</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137</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137</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137</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137</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137</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137</v>
      </c>
      <c r="C443" s="56">
        <v>45728</v>
      </c>
      <c r="D443" s="123" t="s">
        <v>1192</v>
      </c>
      <c r="E443" s="123"/>
      <c r="G443" t="str">
        <f t="shared" si="6"/>
        <v>March</v>
      </c>
    </row>
    <row r="444" spans="1:7">
      <c r="A444" s="117" t="s">
        <v>826</v>
      </c>
      <c r="B444" s="243" t="s">
        <v>125</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137</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137</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137</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137</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137</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137</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125</v>
      </c>
      <c r="C478" s="56">
        <v>45728</v>
      </c>
      <c r="D478" s="150">
        <v>1246</v>
      </c>
      <c r="E478" s="150"/>
      <c r="F478" s="109" t="s">
        <v>1228</v>
      </c>
      <c r="G478" t="str">
        <f t="shared" si="7"/>
        <v>March</v>
      </c>
    </row>
    <row r="479" spans="1:7" ht="15.75">
      <c r="A479" s="118" t="s">
        <v>699</v>
      </c>
      <c r="B479" s="242" t="s">
        <v>137</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137</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137</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137</v>
      </c>
      <c r="C493" s="56">
        <v>45729</v>
      </c>
      <c r="D493" s="123"/>
      <c r="E493" s="123"/>
      <c r="G493" t="str">
        <f t="shared" si="7"/>
        <v>March</v>
      </c>
    </row>
    <row r="494" spans="1:7">
      <c r="A494" s="117" t="s">
        <v>826</v>
      </c>
      <c r="B494" s="243" t="s">
        <v>125</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137</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137</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137</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137</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137</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137</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125</v>
      </c>
      <c r="C528" s="56">
        <v>45729</v>
      </c>
      <c r="D528" s="123">
        <v>664</v>
      </c>
      <c r="E528" s="123"/>
      <c r="F528" s="43" t="s">
        <v>1190</v>
      </c>
      <c r="G528" t="str">
        <f t="shared" si="8"/>
        <v>March</v>
      </c>
    </row>
    <row r="529" spans="1:7" ht="15.75">
      <c r="A529" s="118" t="s">
        <v>699</v>
      </c>
      <c r="B529" s="242" t="s">
        <v>137</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137</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137</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137</v>
      </c>
      <c r="C544" s="56">
        <v>45730</v>
      </c>
      <c r="D544" s="123"/>
      <c r="E544" s="123"/>
      <c r="F544" s="123" t="s">
        <v>1192</v>
      </c>
      <c r="G544" t="str">
        <f t="shared" si="8"/>
        <v>March</v>
      </c>
    </row>
    <row r="545" spans="1:7">
      <c r="A545" s="117" t="s">
        <v>826</v>
      </c>
      <c r="B545" s="243" t="s">
        <v>125</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137</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137</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137</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137</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137</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137</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125</v>
      </c>
      <c r="C579" s="56">
        <v>45730</v>
      </c>
      <c r="D579" s="123">
        <v>834</v>
      </c>
      <c r="E579" s="123"/>
      <c r="F579" s="109" t="s">
        <v>1243</v>
      </c>
      <c r="G579" t="str">
        <f t="shared" ref="G579:G642" si="9">TEXT(C579,"mmmm")</f>
        <v>March</v>
      </c>
    </row>
    <row r="580" spans="1:7" ht="15.75">
      <c r="A580" s="118" t="s">
        <v>699</v>
      </c>
      <c r="B580" s="242" t="s">
        <v>137</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137</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137</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137</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137</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137</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125</v>
      </c>
      <c r="C612" s="56">
        <v>45733</v>
      </c>
      <c r="D612" s="43">
        <v>1095</v>
      </c>
      <c r="E612" s="43"/>
      <c r="F612" s="123" t="s">
        <v>1247</v>
      </c>
      <c r="G612" t="str">
        <f t="shared" si="9"/>
        <v>March</v>
      </c>
    </row>
    <row r="613" spans="1:7" ht="15.75">
      <c r="A613" s="118" t="s">
        <v>699</v>
      </c>
      <c r="B613" s="242" t="s">
        <v>137</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137</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137</v>
      </c>
      <c r="C621" s="56">
        <v>45734</v>
      </c>
      <c r="E621" s="43"/>
      <c r="F621" s="134" t="s">
        <v>1250</v>
      </c>
      <c r="G621" t="str">
        <f t="shared" si="9"/>
        <v>March</v>
      </c>
    </row>
    <row r="622" spans="1:7" ht="15.75">
      <c r="A622" s="118" t="s">
        <v>937</v>
      </c>
      <c r="B622" s="242" t="s">
        <v>137</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125</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125</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125</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125</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125</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125</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125</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137</v>
      </c>
      <c r="C677" s="56">
        <v>45740</v>
      </c>
      <c r="D677" s="142">
        <v>1430</v>
      </c>
      <c r="E677" s="109" t="s">
        <v>1171</v>
      </c>
      <c r="F677" s="109" t="s">
        <v>1280</v>
      </c>
      <c r="G677" t="str">
        <f t="shared" si="10"/>
        <v>March</v>
      </c>
    </row>
    <row r="678" spans="1:7" ht="15.75">
      <c r="A678" s="141" t="s">
        <v>810</v>
      </c>
      <c r="B678" s="242" t="s">
        <v>137</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125</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137</v>
      </c>
      <c r="C690" s="56">
        <v>45741</v>
      </c>
      <c r="D690" s="142">
        <v>1383</v>
      </c>
      <c r="E690" s="109" t="s">
        <v>1288</v>
      </c>
      <c r="F690" s="109" t="s">
        <v>1289</v>
      </c>
      <c r="G690" t="str">
        <f t="shared" si="10"/>
        <v>March</v>
      </c>
    </row>
    <row r="691" spans="1:7" ht="15.75">
      <c r="A691" s="141" t="s">
        <v>810</v>
      </c>
      <c r="B691" s="242" t="s">
        <v>137</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137</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125</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137</v>
      </c>
      <c r="C713" s="56">
        <v>45742</v>
      </c>
      <c r="D713" s="209">
        <v>1334</v>
      </c>
      <c r="E713" s="109" t="s">
        <v>1210</v>
      </c>
      <c r="F713" s="109" t="s">
        <v>1171</v>
      </c>
      <c r="G713" t="str">
        <f t="shared" si="11"/>
        <v>March</v>
      </c>
    </row>
    <row r="714" spans="1:7" ht="15.75">
      <c r="A714" s="141" t="s">
        <v>810</v>
      </c>
      <c r="B714" s="242" t="s">
        <v>137</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137</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137</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137</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137</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137</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137</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137</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137</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137</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137</v>
      </c>
      <c r="C789" s="56">
        <v>45748</v>
      </c>
      <c r="D789" s="141" t="s">
        <v>1330</v>
      </c>
      <c r="E789" s="43"/>
      <c r="G789" t="str">
        <f t="shared" si="12"/>
        <v>April</v>
      </c>
      <c r="H789" s="164"/>
      <c r="I789" s="164"/>
      <c r="J789" s="164"/>
      <c r="K789" s="164"/>
    </row>
    <row r="790" spans="1:11" ht="15.75">
      <c r="A790" s="141" t="s">
        <v>655</v>
      </c>
      <c r="B790" s="242" t="s">
        <v>137</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137</v>
      </c>
      <c r="C803" s="56">
        <v>45749</v>
      </c>
      <c r="D803" s="142">
        <v>1394</v>
      </c>
      <c r="E803" s="43"/>
      <c r="F803" s="43" t="s">
        <v>1170</v>
      </c>
      <c r="G803" t="str">
        <f t="shared" si="12"/>
        <v>April</v>
      </c>
    </row>
    <row r="804" spans="1:11" ht="15.75">
      <c r="A804" s="141" t="s">
        <v>655</v>
      </c>
      <c r="B804" s="242" t="s">
        <v>137</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125</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137</v>
      </c>
      <c r="C816" s="56">
        <v>45750</v>
      </c>
      <c r="D816" s="155">
        <v>1334</v>
      </c>
      <c r="E816" s="43"/>
      <c r="F816" s="43" t="s">
        <v>1339</v>
      </c>
      <c r="G816" t="str">
        <f t="shared" si="12"/>
        <v>April</v>
      </c>
    </row>
    <row r="817" spans="1:7" ht="15.75">
      <c r="A817" s="141" t="s">
        <v>701</v>
      </c>
      <c r="B817" s="242" t="s">
        <v>137</v>
      </c>
      <c r="C817" s="56">
        <v>45750</v>
      </c>
      <c r="D817" s="155">
        <v>1970</v>
      </c>
      <c r="E817" s="43"/>
      <c r="F817" s="43" t="s">
        <v>1340</v>
      </c>
      <c r="G817" t="str">
        <f t="shared" si="12"/>
        <v>April</v>
      </c>
    </row>
    <row r="818" spans="1:7" ht="15.75">
      <c r="A818" s="141" t="s">
        <v>655</v>
      </c>
      <c r="B818" s="242" t="s">
        <v>137</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125</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137</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137</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137</v>
      </c>
      <c r="C845" s="56">
        <v>45754</v>
      </c>
      <c r="D845" s="43">
        <v>618</v>
      </c>
      <c r="E845" s="43"/>
      <c r="F845" s="43" t="s">
        <v>1351</v>
      </c>
      <c r="G845" t="str">
        <f t="shared" si="13"/>
        <v>April</v>
      </c>
    </row>
    <row r="846" spans="1:7" ht="15.75">
      <c r="A846" s="141" t="s">
        <v>703</v>
      </c>
      <c r="B846" s="242" t="s">
        <v>137</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137</v>
      </c>
      <c r="C851" s="56">
        <v>45755</v>
      </c>
      <c r="D851" s="43">
        <v>700</v>
      </c>
      <c r="E851" s="43"/>
      <c r="F851" s="43" t="s">
        <v>1175</v>
      </c>
      <c r="G851" t="str">
        <f t="shared" si="13"/>
        <v>April</v>
      </c>
    </row>
    <row r="852" spans="1:7" ht="15.75">
      <c r="A852" s="141" t="s">
        <v>703</v>
      </c>
      <c r="B852" s="242" t="s">
        <v>137</v>
      </c>
      <c r="C852" s="56">
        <v>45755</v>
      </c>
      <c r="D852" s="155">
        <v>1520</v>
      </c>
      <c r="E852" s="43"/>
      <c r="F852" s="43" t="s">
        <v>1256</v>
      </c>
      <c r="G852" t="str">
        <f t="shared" si="13"/>
        <v>April</v>
      </c>
    </row>
    <row r="853" spans="1:7" ht="15.75">
      <c r="A853" s="141" t="s">
        <v>755</v>
      </c>
      <c r="B853" s="242" t="s">
        <v>137</v>
      </c>
      <c r="C853" s="56">
        <v>45755</v>
      </c>
      <c r="D853" s="43">
        <v>150</v>
      </c>
      <c r="E853" s="43"/>
      <c r="G853" t="str">
        <f t="shared" si="13"/>
        <v>April</v>
      </c>
    </row>
    <row r="854" spans="1:7" ht="15.75">
      <c r="A854" s="141" t="s">
        <v>655</v>
      </c>
      <c r="B854" s="242" t="s">
        <v>137</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137</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137</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125</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137</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125</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137</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137</v>
      </c>
      <c r="C890" s="56">
        <v>45761</v>
      </c>
      <c r="D890" s="155">
        <v>1335</v>
      </c>
      <c r="E890" s="43"/>
      <c r="F890" s="43" t="s">
        <v>1170</v>
      </c>
      <c r="G890" t="str">
        <f t="shared" si="13"/>
        <v>April</v>
      </c>
    </row>
    <row r="891" spans="1:7" ht="15.75">
      <c r="A891" s="141" t="s">
        <v>891</v>
      </c>
      <c r="B891" s="242" t="s">
        <v>137</v>
      </c>
      <c r="C891" s="56">
        <v>45761</v>
      </c>
      <c r="E891" s="43"/>
      <c r="G891" t="str">
        <f t="shared" si="13"/>
        <v>April</v>
      </c>
    </row>
    <row r="892" spans="1:7">
      <c r="A892" s="141" t="s">
        <v>893</v>
      </c>
      <c r="B892" s="243" t="s">
        <v>125</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137</v>
      </c>
      <c r="C900" s="56">
        <v>45762</v>
      </c>
      <c r="D900" s="155">
        <v>1133</v>
      </c>
      <c r="E900" s="43"/>
      <c r="F900" s="43" t="s">
        <v>1371</v>
      </c>
      <c r="G900" t="str">
        <f t="shared" si="14"/>
        <v>April</v>
      </c>
    </row>
    <row r="901" spans="1:7" ht="15.75">
      <c r="A901" s="141" t="s">
        <v>891</v>
      </c>
      <c r="B901" s="242" t="s">
        <v>137</v>
      </c>
      <c r="C901" s="56">
        <v>45762</v>
      </c>
      <c r="D901" s="155">
        <v>1526</v>
      </c>
      <c r="E901" s="43"/>
      <c r="F901" s="43" t="s">
        <v>1372</v>
      </c>
      <c r="G901" t="str">
        <f t="shared" si="14"/>
        <v>April</v>
      </c>
    </row>
    <row r="902" spans="1:7">
      <c r="A902" s="141" t="s">
        <v>893</v>
      </c>
      <c r="B902" s="243" t="s">
        <v>125</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137</v>
      </c>
      <c r="C914" s="56">
        <v>45763</v>
      </c>
      <c r="D914" s="155">
        <v>1624</v>
      </c>
      <c r="E914" s="43"/>
      <c r="F914" s="43" t="s">
        <v>1379</v>
      </c>
      <c r="G914" t="str">
        <f t="shared" si="14"/>
        <v>April</v>
      </c>
    </row>
    <row r="915" spans="1:7" ht="15.75">
      <c r="A915" s="141" t="s">
        <v>891</v>
      </c>
      <c r="B915" s="242" t="s">
        <v>137</v>
      </c>
      <c r="C915" s="56">
        <v>45763</v>
      </c>
      <c r="D915" s="155">
        <v>1503</v>
      </c>
      <c r="E915" s="43"/>
      <c r="F915" s="43" t="s">
        <v>1380</v>
      </c>
      <c r="G915" t="str">
        <f t="shared" si="14"/>
        <v>April</v>
      </c>
    </row>
    <row r="916" spans="1:7">
      <c r="A916" s="141" t="s">
        <v>893</v>
      </c>
      <c r="B916" s="243" t="s">
        <v>125</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125</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125</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137</v>
      </c>
      <c r="C928" s="56">
        <v>45764</v>
      </c>
      <c r="E928" s="43"/>
      <c r="F928" s="141" t="s">
        <v>1386</v>
      </c>
      <c r="G928" t="str">
        <f t="shared" si="14"/>
        <v>April</v>
      </c>
    </row>
    <row r="929" spans="1:7">
      <c r="A929" s="141" t="s">
        <v>891</v>
      </c>
      <c r="B929" s="141" t="s">
        <v>137</v>
      </c>
      <c r="C929" s="56">
        <v>45764</v>
      </c>
      <c r="D929" s="155">
        <v>1590</v>
      </c>
      <c r="E929" s="43"/>
      <c r="F929" s="43" t="s">
        <v>1181</v>
      </c>
      <c r="G929" t="str">
        <f t="shared" si="14"/>
        <v>April</v>
      </c>
    </row>
    <row r="930" spans="1:7">
      <c r="A930" s="305" t="s">
        <v>893</v>
      </c>
      <c r="B930" s="305" t="s">
        <v>125</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125</v>
      </c>
      <c r="C934" s="310">
        <v>45764</v>
      </c>
      <c r="D934" s="43">
        <v>433</v>
      </c>
      <c r="E934" s="43"/>
      <c r="F934" s="78" t="s">
        <v>1190</v>
      </c>
      <c r="G934" t="str">
        <f t="shared" si="14"/>
        <v>April</v>
      </c>
    </row>
    <row r="935" spans="1:7">
      <c r="A935" s="308" t="s">
        <v>685</v>
      </c>
      <c r="B935" s="141" t="s">
        <v>137</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137</v>
      </c>
      <c r="C940" s="56">
        <v>45765</v>
      </c>
      <c r="D940" s="43">
        <v>350</v>
      </c>
      <c r="E940" s="43"/>
      <c r="F940" s="43" t="s">
        <v>1172</v>
      </c>
      <c r="G940" t="str">
        <f t="shared" si="14"/>
        <v>April</v>
      </c>
    </row>
    <row r="941" spans="1:7">
      <c r="A941" s="141" t="s">
        <v>891</v>
      </c>
      <c r="B941" s="141" t="s">
        <v>137</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137</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137</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125</v>
      </c>
      <c r="C955" s="56">
        <v>45768</v>
      </c>
      <c r="D955" s="155">
        <v>1285</v>
      </c>
      <c r="F955" s="43" t="s">
        <v>1404</v>
      </c>
      <c r="G955" t="str">
        <f t="shared" si="15"/>
        <v>April</v>
      </c>
    </row>
    <row r="956" spans="1:7">
      <c r="A956" s="304" t="s">
        <v>891</v>
      </c>
      <c r="B956" s="305" t="s">
        <v>137</v>
      </c>
      <c r="C956" s="56">
        <v>45768</v>
      </c>
      <c r="F956" s="154" t="s">
        <v>1405</v>
      </c>
      <c r="G956" t="str">
        <f t="shared" si="15"/>
        <v>April</v>
      </c>
    </row>
    <row r="957" spans="1:7">
      <c r="A957" s="304" t="s">
        <v>893</v>
      </c>
      <c r="B957" s="141" t="s">
        <v>125</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125</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125</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137</v>
      </c>
      <c r="C973" s="319">
        <v>45769</v>
      </c>
      <c r="D973" s="43">
        <v>932</v>
      </c>
      <c r="F973" s="43" t="s">
        <v>1173</v>
      </c>
      <c r="G973" t="str">
        <f t="shared" si="15"/>
        <v>April</v>
      </c>
    </row>
    <row r="974" spans="1:7">
      <c r="A974" s="154" t="s">
        <v>787</v>
      </c>
      <c r="B974" s="141" t="s">
        <v>137</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125</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137</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125</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137</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125</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137</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125</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137</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125</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137</v>
      </c>
      <c r="C1029" s="56">
        <v>45776</v>
      </c>
      <c r="D1029" s="155">
        <v>1520</v>
      </c>
      <c r="F1029" s="43" t="s">
        <v>1170</v>
      </c>
      <c r="G1029" t="str">
        <f t="shared" si="16"/>
        <v>April</v>
      </c>
    </row>
    <row r="1030" spans="1:7">
      <c r="A1030" s="311" t="s">
        <v>685</v>
      </c>
      <c r="B1030" s="311" t="s">
        <v>137</v>
      </c>
      <c r="C1030" s="56">
        <v>45776</v>
      </c>
      <c r="D1030" s="43">
        <v>470</v>
      </c>
      <c r="F1030" s="43" t="s">
        <v>1165</v>
      </c>
      <c r="G1030" t="str">
        <f t="shared" si="16"/>
        <v>April</v>
      </c>
    </row>
    <row r="1031" spans="1:7">
      <c r="A1031" s="247" t="s">
        <v>735</v>
      </c>
      <c r="B1031" s="311" t="s">
        <v>137</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125</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137</v>
      </c>
      <c r="C1040" s="56">
        <v>45777</v>
      </c>
      <c r="D1040" s="155">
        <v>1216</v>
      </c>
      <c r="E1040" s="43"/>
      <c r="F1040" s="43" t="s">
        <v>1186</v>
      </c>
      <c r="G1040" t="str">
        <f t="shared" si="16"/>
        <v>April</v>
      </c>
    </row>
    <row r="1041" spans="1:7">
      <c r="A1041" s="141" t="s">
        <v>735</v>
      </c>
      <c r="B1041" s="141" t="s">
        <v>137</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125</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137</v>
      </c>
      <c r="C1051" s="56">
        <v>45778</v>
      </c>
      <c r="D1051" s="155">
        <v>1098</v>
      </c>
      <c r="E1051" s="43"/>
      <c r="F1051" s="43" t="s">
        <v>1464</v>
      </c>
      <c r="G1051" t="str">
        <f t="shared" si="16"/>
        <v>May</v>
      </c>
    </row>
    <row r="1052" spans="1:7">
      <c r="A1052" s="154" t="s">
        <v>735</v>
      </c>
      <c r="B1052" s="141" t="s">
        <v>137</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125</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137</v>
      </c>
      <c r="C1067" s="56">
        <v>45782</v>
      </c>
      <c r="D1067" s="155">
        <v>1053</v>
      </c>
      <c r="F1067" s="43" t="s">
        <v>1474</v>
      </c>
      <c r="G1067" t="str">
        <f t="shared" si="17"/>
        <v>May</v>
      </c>
    </row>
    <row r="1068" spans="1:7">
      <c r="A1068" s="154" t="s">
        <v>737</v>
      </c>
      <c r="B1068" s="318" t="s">
        <v>137</v>
      </c>
      <c r="C1068" s="56">
        <v>45782</v>
      </c>
      <c r="D1068" s="43">
        <v>575</v>
      </c>
      <c r="F1068" s="43" t="s">
        <v>1475</v>
      </c>
      <c r="G1068" t="str">
        <f t="shared" si="17"/>
        <v>May</v>
      </c>
    </row>
    <row r="1069" spans="1:7">
      <c r="A1069" s="345" t="s">
        <v>685</v>
      </c>
      <c r="B1069" s="349" t="s">
        <v>137</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125</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137</v>
      </c>
      <c r="C1078" s="56">
        <v>45783</v>
      </c>
      <c r="D1078" s="43">
        <v>812</v>
      </c>
      <c r="F1078" s="43" t="s">
        <v>1481</v>
      </c>
      <c r="G1078" t="str">
        <f t="shared" si="18"/>
        <v>May</v>
      </c>
    </row>
    <row r="1079" spans="1:7">
      <c r="A1079" s="154" t="s">
        <v>737</v>
      </c>
      <c r="B1079" s="318" t="s">
        <v>137</v>
      </c>
      <c r="C1079" s="56">
        <v>45783</v>
      </c>
      <c r="D1079" s="155">
        <v>1847</v>
      </c>
      <c r="F1079" s="43" t="s">
        <v>1482</v>
      </c>
      <c r="G1079" t="str">
        <f t="shared" si="18"/>
        <v>May</v>
      </c>
    </row>
    <row r="1080" spans="1:7">
      <c r="A1080" s="345" t="s">
        <v>733</v>
      </c>
      <c r="B1080" s="349" t="s">
        <v>137</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137</v>
      </c>
      <c r="C1089" s="56">
        <v>45784</v>
      </c>
      <c r="D1089" s="155">
        <v>1052</v>
      </c>
      <c r="F1089" s="43" t="s">
        <v>1486</v>
      </c>
      <c r="G1089" t="str">
        <f>TEXT(C1089,"mmmm")</f>
        <v>May</v>
      </c>
    </row>
    <row r="1090" spans="1:7">
      <c r="A1090" s="345" t="s">
        <v>733</v>
      </c>
      <c r="B1090" s="349" t="s">
        <v>137</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137</v>
      </c>
      <c r="C1100" s="56">
        <v>45785</v>
      </c>
      <c r="D1100" s="155">
        <v>1483</v>
      </c>
      <c r="F1100" s="43" t="s">
        <v>1492</v>
      </c>
      <c r="G1100" t="str">
        <f t="shared" si="19"/>
        <v>May</v>
      </c>
    </row>
    <row r="1101" spans="1:7">
      <c r="A1101" s="345" t="s">
        <v>737</v>
      </c>
      <c r="B1101" s="304" t="s">
        <v>137</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137</v>
      </c>
      <c r="C1109" s="56">
        <v>45786</v>
      </c>
      <c r="F1109" s="315" t="s">
        <v>1498</v>
      </c>
      <c r="G1109" t="str">
        <f t="shared" si="20"/>
        <v>May</v>
      </c>
    </row>
    <row r="1110" spans="1:7">
      <c r="A1110" s="134"/>
      <c r="B1110" s="141"/>
      <c r="C1110" s="56">
        <v>45789</v>
      </c>
      <c r="G1110" t="str">
        <f t="shared" si="20"/>
        <v>May</v>
      </c>
    </row>
    <row r="1111" spans="1:7">
      <c r="A1111" s="134" t="s">
        <v>1110</v>
      </c>
      <c r="B1111" s="141" t="s">
        <v>125</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137</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137</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125</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137</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125</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125</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125</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137</v>
      </c>
      <c r="C1148" s="56">
        <v>45796</v>
      </c>
      <c r="D1148" s="43">
        <v>270</v>
      </c>
      <c r="F1148" s="43" t="s">
        <v>1231</v>
      </c>
      <c r="G1148" t="str">
        <f t="shared" si="21"/>
        <v>May</v>
      </c>
    </row>
    <row r="1149" spans="1:7">
      <c r="A1149" s="345" t="s">
        <v>764</v>
      </c>
      <c r="B1149" s="304" t="s">
        <v>137</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125</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137</v>
      </c>
      <c r="C1158" s="56">
        <v>45797</v>
      </c>
      <c r="D1158" s="155">
        <v>1430</v>
      </c>
      <c r="F1158" s="43" t="s">
        <v>1253</v>
      </c>
      <c r="G1158" t="str">
        <f t="shared" si="21"/>
        <v>May</v>
      </c>
    </row>
    <row r="1159" spans="1:7">
      <c r="A1159" s="134" t="s">
        <v>794</v>
      </c>
      <c r="B1159" s="141" t="s">
        <v>125</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137</v>
      </c>
      <c r="C1164" s="56">
        <v>45798</v>
      </c>
      <c r="D1164" s="43">
        <v>678</v>
      </c>
      <c r="E1164" s="321">
        <v>2850</v>
      </c>
      <c r="F1164" s="43" t="s">
        <v>1523</v>
      </c>
      <c r="G1164" t="str">
        <f t="shared" si="21"/>
        <v>May</v>
      </c>
    </row>
    <row r="1165" spans="1:7">
      <c r="A1165" s="345" t="s">
        <v>764</v>
      </c>
      <c r="B1165" s="304" t="s">
        <v>137</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137</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125</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137</v>
      </c>
      <c r="C1183" s="56">
        <v>45804</v>
      </c>
      <c r="D1183" s="43">
        <v>948</v>
      </c>
      <c r="F1183" s="43" t="s">
        <v>1532</v>
      </c>
      <c r="G1183" t="str">
        <f t="shared" si="21"/>
        <v>May</v>
      </c>
    </row>
    <row r="1184" spans="1:7">
      <c r="A1184" s="304" t="s">
        <v>667</v>
      </c>
      <c r="B1184" s="304" t="s">
        <v>137</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137</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137</v>
      </c>
      <c r="C1195" s="56">
        <v>45806</v>
      </c>
      <c r="D1195" s="155">
        <v>2248</v>
      </c>
      <c r="F1195" s="43" t="s">
        <v>1537</v>
      </c>
      <c r="G1195" t="str">
        <f t="shared" si="22"/>
        <v>May</v>
      </c>
    </row>
    <row r="1196" spans="1:7">
      <c r="A1196" s="318" t="s">
        <v>764</v>
      </c>
      <c r="B1196" s="307" t="s">
        <v>137</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125</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137</v>
      </c>
      <c r="C1203" s="56">
        <v>45810</v>
      </c>
      <c r="D1203" s="43">
        <v>800</v>
      </c>
      <c r="G1203" t="s">
        <v>1540</v>
      </c>
    </row>
    <row r="1204" spans="1:7">
      <c r="A1204" s="349" t="s">
        <v>983</v>
      </c>
      <c r="B1204" s="307" t="s">
        <v>1090</v>
      </c>
      <c r="C1204" s="56">
        <v>45810</v>
      </c>
      <c r="D1204" s="43">
        <v>275</v>
      </c>
      <c r="G1204" t="s">
        <v>1540</v>
      </c>
    </row>
    <row r="1205" spans="1:7">
      <c r="A1205" s="349" t="s">
        <v>764</v>
      </c>
      <c r="B1205" s="141" t="s">
        <v>137</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125</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137</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125</v>
      </c>
      <c r="C1216" s="56">
        <v>45812</v>
      </c>
      <c r="D1216" s="43">
        <v>83</v>
      </c>
      <c r="G1216" t="s">
        <v>1540</v>
      </c>
    </row>
    <row r="1217" spans="1:7">
      <c r="A1217" s="304" t="s">
        <v>498</v>
      </c>
      <c r="B1217" s="304" t="s">
        <v>125</v>
      </c>
      <c r="C1217" s="56">
        <v>45812</v>
      </c>
      <c r="F1217" s="141" t="s">
        <v>1545</v>
      </c>
      <c r="G1217" t="s">
        <v>1540</v>
      </c>
    </row>
    <row r="1218" spans="1:7">
      <c r="A1218" s="141" t="s">
        <v>975</v>
      </c>
      <c r="B1218" s="141" t="s">
        <v>137</v>
      </c>
      <c r="C1218" s="56">
        <v>45812</v>
      </c>
      <c r="D1218" s="155">
        <v>1401</v>
      </c>
      <c r="G1218" t="s">
        <v>1540</v>
      </c>
    </row>
    <row r="1219" spans="1:7">
      <c r="A1219" s="349" t="s">
        <v>983</v>
      </c>
      <c r="B1219" s="304" t="s">
        <v>1090</v>
      </c>
      <c r="C1219" s="56">
        <v>45812</v>
      </c>
      <c r="D1219" s="43">
        <v>310</v>
      </c>
      <c r="G1219" t="s">
        <v>1540</v>
      </c>
    </row>
    <row r="1220" spans="1:7">
      <c r="A1220" s="349" t="s">
        <v>739</v>
      </c>
      <c r="B1220" s="307" t="s">
        <v>137</v>
      </c>
      <c r="C1220" s="56">
        <v>45812</v>
      </c>
      <c r="D1220" s="43">
        <v>610</v>
      </c>
      <c r="F1220" s="43" t="s">
        <v>1546</v>
      </c>
      <c r="G1220" t="s">
        <v>1540</v>
      </c>
    </row>
    <row r="1221" spans="1:7">
      <c r="A1221" s="345" t="s">
        <v>764</v>
      </c>
      <c r="B1221" s="304" t="s">
        <v>137</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125</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137</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137</v>
      </c>
      <c r="C1230" s="56">
        <v>45817</v>
      </c>
      <c r="D1230" s="155">
        <v>1100</v>
      </c>
      <c r="G1230" t="s">
        <v>1540</v>
      </c>
    </row>
    <row r="1231" spans="1:7">
      <c r="A1231" s="304" t="s">
        <v>787</v>
      </c>
      <c r="B1231" s="304" t="s">
        <v>137</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137</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137</v>
      </c>
      <c r="C1238" s="56">
        <v>45819</v>
      </c>
      <c r="D1238" s="155">
        <v>1975</v>
      </c>
      <c r="F1238" s="43" t="s">
        <v>1538</v>
      </c>
      <c r="G1238" t="s">
        <v>1540</v>
      </c>
    </row>
    <row r="1239" spans="1:7">
      <c r="A1239" s="364" t="s">
        <v>667</v>
      </c>
      <c r="B1239" s="305" t="s">
        <v>137</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137</v>
      </c>
      <c r="C1241" s="56">
        <v>45820</v>
      </c>
      <c r="D1241" s="155">
        <v>1395</v>
      </c>
      <c r="F1241" s="43" t="s">
        <v>1538</v>
      </c>
      <c r="G1241" t="s">
        <v>1540</v>
      </c>
    </row>
    <row r="1242" spans="1:7">
      <c r="A1242" s="372" t="s">
        <v>755</v>
      </c>
      <c r="B1242" s="247" t="s">
        <v>137</v>
      </c>
      <c r="C1242" s="56">
        <v>45820</v>
      </c>
      <c r="F1242" s="43" t="s">
        <v>1236</v>
      </c>
      <c r="G1242" t="s">
        <v>1540</v>
      </c>
    </row>
    <row r="1243" spans="1:7">
      <c r="A1243" s="148" t="s">
        <v>983</v>
      </c>
      <c r="B1243" s="371" t="s">
        <v>1090</v>
      </c>
      <c r="C1243" s="56">
        <v>45820</v>
      </c>
      <c r="D1243" s="43">
        <v>395</v>
      </c>
      <c r="G1243" t="s">
        <v>1540</v>
      </c>
    </row>
    <row r="1244" spans="1:7">
      <c r="A1244" s="316" t="s">
        <v>755</v>
      </c>
      <c r="B1244" s="306" t="s">
        <v>137</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125</v>
      </c>
      <c r="C1248" s="56">
        <v>45824</v>
      </c>
      <c r="D1248" s="155">
        <v>1394</v>
      </c>
      <c r="F1248" s="43" t="s">
        <v>1171</v>
      </c>
      <c r="G1248" t="s">
        <v>1540</v>
      </c>
    </row>
    <row r="1249" spans="1:7">
      <c r="A1249" s="320" t="s">
        <v>975</v>
      </c>
      <c r="B1249" s="311" t="s">
        <v>137</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137</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125</v>
      </c>
      <c r="C1253" s="56">
        <v>45825</v>
      </c>
      <c r="D1253" s="155">
        <v>1756</v>
      </c>
      <c r="F1253" s="43" t="s">
        <v>1173</v>
      </c>
      <c r="G1253" t="s">
        <v>1540</v>
      </c>
    </row>
    <row r="1254" spans="1:7">
      <c r="A1254" s="320" t="s">
        <v>975</v>
      </c>
      <c r="B1254" s="311" t="s">
        <v>137</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137</v>
      </c>
      <c r="C1256" s="56">
        <v>45825</v>
      </c>
      <c r="D1256" s="155">
        <v>1465</v>
      </c>
      <c r="F1256" s="43" t="s">
        <v>1557</v>
      </c>
      <c r="G1256" t="s">
        <v>1540</v>
      </c>
    </row>
    <row r="1257" spans="1:7">
      <c r="A1257" s="311" t="s">
        <v>667</v>
      </c>
      <c r="B1257" s="311" t="s">
        <v>137</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125</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137</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137</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137</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137</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125</v>
      </c>
      <c r="C1278" s="56">
        <v>45832</v>
      </c>
      <c r="D1278" s="155">
        <v>1946</v>
      </c>
      <c r="F1278" s="43" t="s">
        <v>1560</v>
      </c>
      <c r="G1278" t="s">
        <v>1540</v>
      </c>
    </row>
    <row r="1279" spans="1:7">
      <c r="A1279" s="141" t="s">
        <v>988</v>
      </c>
      <c r="B1279" s="311" t="s">
        <v>137</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137</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125</v>
      </c>
      <c r="C1284" s="56">
        <v>45833</v>
      </c>
      <c r="D1284" s="43">
        <v>649</v>
      </c>
      <c r="F1284" s="43" t="s">
        <v>1564</v>
      </c>
      <c r="G1284" t="s">
        <v>1540</v>
      </c>
    </row>
    <row r="1285" spans="1:7">
      <c r="A1285" s="141" t="s">
        <v>988</v>
      </c>
      <c r="B1285" s="311" t="s">
        <v>137</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137</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125</v>
      </c>
      <c r="C1289" s="56">
        <v>45834</v>
      </c>
      <c r="F1289" s="316" t="s">
        <v>1566</v>
      </c>
      <c r="G1289" t="s">
        <v>1540</v>
      </c>
    </row>
    <row r="1290" spans="1:7">
      <c r="A1290" s="349" t="s">
        <v>794</v>
      </c>
      <c r="B1290" s="307" t="s">
        <v>125</v>
      </c>
      <c r="C1290" s="56">
        <v>45834</v>
      </c>
      <c r="F1290" s="320" t="s">
        <v>1566</v>
      </c>
      <c r="G1290" t="s">
        <v>1540</v>
      </c>
    </row>
    <row r="1291" spans="1:7">
      <c r="A1291" s="141" t="s">
        <v>988</v>
      </c>
      <c r="B1291" s="311" t="s">
        <v>137</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137</v>
      </c>
      <c r="C1293" s="56">
        <v>45834</v>
      </c>
      <c r="D1293" s="155">
        <v>1296</v>
      </c>
      <c r="F1293" s="43" t="s">
        <v>1557</v>
      </c>
      <c r="G1293" t="s">
        <v>1540</v>
      </c>
    </row>
    <row r="1294" spans="1:7">
      <c r="A1294" s="304" t="s">
        <v>745</v>
      </c>
      <c r="B1294" s="304" t="s">
        <v>137</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125</v>
      </c>
      <c r="C1299" s="56">
        <v>45835</v>
      </c>
      <c r="F1299" s="316" t="s">
        <v>1566</v>
      </c>
      <c r="G1299" t="s">
        <v>1540</v>
      </c>
    </row>
    <row r="1300" spans="1:7">
      <c r="A1300" s="141" t="s">
        <v>745</v>
      </c>
      <c r="B1300" s="141" t="s">
        <v>137</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137</v>
      </c>
      <c r="C1306" s="56">
        <v>45839</v>
      </c>
      <c r="E1306" s="139">
        <v>53</v>
      </c>
      <c r="F1306" s="43" t="s">
        <v>1574</v>
      </c>
      <c r="G1306" t="s">
        <v>1573</v>
      </c>
    </row>
    <row r="1307" spans="1:7">
      <c r="A1307" s="346" t="s">
        <v>664</v>
      </c>
      <c r="B1307" s="315" t="s">
        <v>137</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137</v>
      </c>
      <c r="C1312" s="56">
        <v>45840</v>
      </c>
      <c r="D1312" s="43">
        <v>355</v>
      </c>
      <c r="F1312" s="43" t="s">
        <v>1173</v>
      </c>
      <c r="G1312" t="s">
        <v>1573</v>
      </c>
    </row>
    <row r="1313" spans="1:7">
      <c r="A1313" s="304" t="s">
        <v>664</v>
      </c>
      <c r="B1313" s="304" t="s">
        <v>137</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137</v>
      </c>
      <c r="C1320" s="56">
        <v>45845</v>
      </c>
      <c r="D1320" s="43">
        <v>846</v>
      </c>
      <c r="G1320" t="s">
        <v>1573</v>
      </c>
    </row>
    <row r="1321" spans="1:7">
      <c r="A1321" s="304" t="s">
        <v>672</v>
      </c>
      <c r="B1321" s="304" t="s">
        <v>137</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137</v>
      </c>
      <c r="C1324" s="56">
        <v>45846</v>
      </c>
      <c r="D1324" s="43">
        <v>827</v>
      </c>
      <c r="F1324" s="43" t="s">
        <v>1580</v>
      </c>
      <c r="G1324" t="s">
        <v>1573</v>
      </c>
    </row>
    <row r="1325" spans="1:7">
      <c r="A1325" s="397" t="s">
        <v>672</v>
      </c>
      <c r="B1325" s="399" t="s">
        <v>137</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137</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137</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137</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137</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125</v>
      </c>
      <c r="C1351" s="56">
        <v>45859</v>
      </c>
      <c r="D1351" s="43">
        <v>385</v>
      </c>
      <c r="G1351" t="s">
        <v>1573</v>
      </c>
    </row>
    <row r="1352" spans="1:7">
      <c r="A1352" s="397" t="s">
        <v>713</v>
      </c>
      <c r="B1352" s="399" t="s">
        <v>137</v>
      </c>
      <c r="C1352" s="56">
        <v>45859</v>
      </c>
      <c r="D1352" s="155">
        <v>1070</v>
      </c>
      <c r="F1352" s="43" t="s">
        <v>1171</v>
      </c>
      <c r="G1352" t="s">
        <v>1573</v>
      </c>
    </row>
    <row r="1353" spans="1:7">
      <c r="A1353" s="414" t="s">
        <v>718</v>
      </c>
      <c r="B1353" s="415" t="s">
        <v>137</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137</v>
      </c>
      <c r="C1356" s="56">
        <v>45860</v>
      </c>
      <c r="D1356" s="155">
        <v>1224</v>
      </c>
      <c r="F1356" s="43" t="s">
        <v>1589</v>
      </c>
      <c r="G1356" t="s">
        <v>1573</v>
      </c>
    </row>
    <row r="1357" spans="1:7">
      <c r="A1357" s="305" t="s">
        <v>718</v>
      </c>
      <c r="B1357" s="304" t="s">
        <v>137</v>
      </c>
      <c r="C1357" s="56">
        <v>45860</v>
      </c>
      <c r="D1357" s="155">
        <v>1714</v>
      </c>
      <c r="F1357" s="43" t="s">
        <v>1182</v>
      </c>
      <c r="G1357" t="s">
        <v>1573</v>
      </c>
    </row>
    <row r="1358" spans="1:7">
      <c r="A1358" s="141" t="s">
        <v>983</v>
      </c>
      <c r="B1358" s="398" t="s">
        <v>125</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137</v>
      </c>
      <c r="C1365" s="56">
        <v>45861</v>
      </c>
      <c r="D1365" s="43">
        <v>235</v>
      </c>
      <c r="F1365" s="43" t="s">
        <v>1591</v>
      </c>
      <c r="G1365" t="s">
        <v>1573</v>
      </c>
    </row>
    <row r="1366" spans="1:7">
      <c r="A1366" s="305" t="s">
        <v>718</v>
      </c>
      <c r="B1366" s="304" t="s">
        <v>137</v>
      </c>
      <c r="C1366" s="56">
        <v>45861</v>
      </c>
      <c r="D1366" s="43">
        <v>678</v>
      </c>
      <c r="F1366" s="43" t="s">
        <v>1592</v>
      </c>
      <c r="G1366" t="s">
        <v>1573</v>
      </c>
    </row>
    <row r="1367" spans="1:7">
      <c r="A1367" s="141" t="s">
        <v>672</v>
      </c>
      <c r="B1367" s="398" t="s">
        <v>125</v>
      </c>
      <c r="C1367" s="56">
        <v>45861</v>
      </c>
      <c r="D1367" s="43">
        <v>579</v>
      </c>
      <c r="G1367" t="s">
        <v>1573</v>
      </c>
    </row>
    <row r="1368" spans="1:7">
      <c r="A1368" s="305" t="s">
        <v>721</v>
      </c>
      <c r="B1368" s="304" t="s">
        <v>137</v>
      </c>
      <c r="C1368" s="56">
        <v>45861</v>
      </c>
      <c r="D1368" s="43">
        <v>363</v>
      </c>
      <c r="F1368" s="43" t="s">
        <v>1593</v>
      </c>
      <c r="G1368" t="s">
        <v>1573</v>
      </c>
    </row>
    <row r="1369" spans="1:7">
      <c r="A1369" s="141" t="s">
        <v>975</v>
      </c>
      <c r="B1369" s="141" t="s">
        <v>137</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137</v>
      </c>
      <c r="C1374" s="56">
        <v>45862</v>
      </c>
      <c r="D1374" s="155">
        <v>1077</v>
      </c>
      <c r="F1374" s="43" t="s">
        <v>1597</v>
      </c>
      <c r="G1374" t="s">
        <v>1573</v>
      </c>
    </row>
    <row r="1375" spans="1:7">
      <c r="A1375" s="141" t="s">
        <v>672</v>
      </c>
      <c r="B1375" s="398" t="s">
        <v>125</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137</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137</v>
      </c>
      <c r="C1382" s="56">
        <v>45863</v>
      </c>
      <c r="F1382" s="304" t="s">
        <v>1602</v>
      </c>
      <c r="G1382" t="s">
        <v>1573</v>
      </c>
    </row>
    <row r="1383" spans="1:7">
      <c r="A1383" s="141" t="s">
        <v>713</v>
      </c>
      <c r="B1383" s="304" t="s">
        <v>137</v>
      </c>
      <c r="C1383" s="56">
        <v>45863</v>
      </c>
      <c r="F1383" s="307" t="s">
        <v>1602</v>
      </c>
      <c r="G1383" t="s">
        <v>1573</v>
      </c>
    </row>
    <row r="1384" spans="1:7">
      <c r="A1384" s="305" t="s">
        <v>727</v>
      </c>
      <c r="B1384" s="305" t="s">
        <v>137</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137</v>
      </c>
      <c r="C1388" s="56">
        <v>45866</v>
      </c>
      <c r="D1388" s="43">
        <v>817</v>
      </c>
      <c r="G1388" t="s">
        <v>1573</v>
      </c>
    </row>
    <row r="1389" spans="1:7">
      <c r="A1389" s="141" t="s">
        <v>721</v>
      </c>
      <c r="B1389" s="304" t="s">
        <v>137</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125</v>
      </c>
      <c r="C1391" s="56">
        <v>45866</v>
      </c>
      <c r="D1391" s="155">
        <v>1181</v>
      </c>
      <c r="G1391" t="s">
        <v>1573</v>
      </c>
    </row>
    <row r="1392" spans="1:7">
      <c r="A1392" s="123" t="s">
        <v>527</v>
      </c>
      <c r="B1392" s="157" t="s">
        <v>348</v>
      </c>
      <c r="C1392" s="56">
        <v>45866</v>
      </c>
      <c r="D1392" s="43">
        <v>345</v>
      </c>
      <c r="G1392" t="s">
        <v>1573</v>
      </c>
    </row>
    <row r="1393" spans="1:7">
      <c r="A1393" s="614" t="s">
        <v>672</v>
      </c>
      <c r="B1393" s="69" t="s">
        <v>125</v>
      </c>
      <c r="C1393" s="56">
        <v>45867</v>
      </c>
      <c r="D1393" s="155">
        <v>1933</v>
      </c>
      <c r="G1393" t="s">
        <v>1573</v>
      </c>
    </row>
    <row r="1394" spans="1:7">
      <c r="A1394" s="430" t="s">
        <v>975</v>
      </c>
      <c r="B1394" s="247" t="s">
        <v>137</v>
      </c>
      <c r="C1394" s="56">
        <v>45867</v>
      </c>
      <c r="E1394" s="321">
        <v>5590</v>
      </c>
      <c r="F1394" s="43" t="s">
        <v>1605</v>
      </c>
      <c r="G1394" t="s">
        <v>1573</v>
      </c>
    </row>
    <row r="1395" spans="1:7">
      <c r="A1395" s="431" t="s">
        <v>721</v>
      </c>
      <c r="B1395" s="433" t="s">
        <v>137</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125</v>
      </c>
      <c r="C1397" s="56">
        <v>45868</v>
      </c>
      <c r="D1397" s="155">
        <v>1951</v>
      </c>
      <c r="G1397" t="s">
        <v>1573</v>
      </c>
    </row>
    <row r="1398" spans="1:7">
      <c r="A1398" s="141" t="s">
        <v>672</v>
      </c>
      <c r="B1398" s="304" t="s">
        <v>137</v>
      </c>
      <c r="C1398" s="56">
        <v>45868</v>
      </c>
      <c r="D1398" s="43">
        <v>902</v>
      </c>
      <c r="G1398" t="s">
        <v>1573</v>
      </c>
    </row>
    <row r="1399" spans="1:7">
      <c r="A1399" s="304" t="s">
        <v>975</v>
      </c>
      <c r="B1399" s="304" t="s">
        <v>137</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125</v>
      </c>
      <c r="C1404" s="56">
        <v>45869</v>
      </c>
      <c r="D1404" s="43">
        <v>725</v>
      </c>
      <c r="G1404" t="s">
        <v>1573</v>
      </c>
    </row>
    <row r="1405" spans="1:7">
      <c r="A1405" s="305" t="s">
        <v>672</v>
      </c>
      <c r="B1405" s="305" t="s">
        <v>137</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137</v>
      </c>
      <c r="C1413" s="56">
        <v>45873</v>
      </c>
      <c r="D1413" s="43">
        <v>918</v>
      </c>
      <c r="G1413" t="s">
        <v>1612</v>
      </c>
    </row>
    <row r="1414" spans="1:7">
      <c r="A1414" s="311" t="s">
        <v>980</v>
      </c>
      <c r="B1414" s="311" t="s">
        <v>137</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137</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137</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137</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137</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137</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137</v>
      </c>
      <c r="C1432" s="56">
        <v>45881</v>
      </c>
      <c r="D1432" s="155">
        <v>1154</v>
      </c>
      <c r="G1432" t="s">
        <v>1612</v>
      </c>
    </row>
    <row r="1433" spans="1:7">
      <c r="A1433" s="238" t="s">
        <v>767</v>
      </c>
      <c r="B1433" s="131" t="s">
        <v>1090</v>
      </c>
      <c r="C1433" s="56">
        <v>45881</v>
      </c>
      <c r="D1433" s="43">
        <v>380</v>
      </c>
      <c r="G1433" t="s">
        <v>1612</v>
      </c>
    </row>
    <row r="1434" spans="1:7">
      <c r="A1434" s="91" t="s">
        <v>758</v>
      </c>
      <c r="B1434" s="169" t="s">
        <v>137</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137</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137</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137</v>
      </c>
      <c r="C1441" s="56">
        <v>45882</v>
      </c>
      <c r="D1441" s="155">
        <v>1031</v>
      </c>
      <c r="F1441" s="43" t="s">
        <v>1618</v>
      </c>
      <c r="G1441" t="s">
        <v>1612</v>
      </c>
    </row>
    <row r="1442" spans="1:7">
      <c r="A1442" s="305" t="s">
        <v>758</v>
      </c>
      <c r="B1442" s="305" t="s">
        <v>137</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137</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238</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238</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137</v>
      </c>
      <c r="C1459" s="56">
        <v>45887</v>
      </c>
      <c r="D1459" s="155">
        <v>1109</v>
      </c>
      <c r="F1459" s="43" t="s">
        <v>1624</v>
      </c>
      <c r="G1459" t="s">
        <v>1612</v>
      </c>
    </row>
    <row r="1460" spans="1:7">
      <c r="A1460" s="547" t="s">
        <v>532</v>
      </c>
      <c r="B1460" s="311" t="s">
        <v>348</v>
      </c>
      <c r="C1460" s="56">
        <v>45887</v>
      </c>
      <c r="D1460" s="43">
        <v>377</v>
      </c>
      <c r="G1460" t="s">
        <v>1612</v>
      </c>
    </row>
    <row r="1461" spans="1:7">
      <c r="A1461" s="304" t="s">
        <v>238</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137</v>
      </c>
      <c r="C1463" s="56">
        <v>45888</v>
      </c>
      <c r="D1463" s="155">
        <v>1456</v>
      </c>
      <c r="G1463" t="s">
        <v>1612</v>
      </c>
    </row>
    <row r="1464" spans="1:7">
      <c r="A1464" s="315" t="s">
        <v>781</v>
      </c>
      <c r="B1464" s="315" t="s">
        <v>1090</v>
      </c>
      <c r="C1464" s="56">
        <v>45888</v>
      </c>
      <c r="D1464" s="43">
        <v>416</v>
      </c>
      <c r="G1464" t="s">
        <v>1612</v>
      </c>
    </row>
    <row r="1465" spans="1:7">
      <c r="A1465" s="523" t="s">
        <v>991</v>
      </c>
      <c r="B1465" s="311" t="s">
        <v>137</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125</v>
      </c>
      <c r="C1470" s="56">
        <v>45889</v>
      </c>
      <c r="F1470" s="320" t="s">
        <v>1586</v>
      </c>
      <c r="G1470" t="s">
        <v>1612</v>
      </c>
    </row>
    <row r="1471" spans="1:7">
      <c r="A1471" s="396" t="s">
        <v>1132</v>
      </c>
      <c r="B1471" s="228" t="s">
        <v>137</v>
      </c>
      <c r="C1471" s="56">
        <v>45889</v>
      </c>
      <c r="D1471" s="155">
        <v>1420</v>
      </c>
      <c r="G1471" t="s">
        <v>1612</v>
      </c>
    </row>
    <row r="1472" spans="1:7">
      <c r="A1472" s="238" t="s">
        <v>781</v>
      </c>
      <c r="B1472" s="131" t="s">
        <v>1090</v>
      </c>
      <c r="C1472" s="56">
        <v>45889</v>
      </c>
      <c r="D1472" s="43">
        <v>216</v>
      </c>
      <c r="G1472" t="s">
        <v>1612</v>
      </c>
    </row>
    <row r="1473" spans="1:7">
      <c r="A1473" s="576" t="s">
        <v>991</v>
      </c>
      <c r="B1473" s="322" t="s">
        <v>137</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125</v>
      </c>
      <c r="C1477" s="56">
        <v>45890</v>
      </c>
      <c r="F1477" s="43" t="s">
        <v>1369</v>
      </c>
      <c r="G1477" t="s">
        <v>1612</v>
      </c>
    </row>
    <row r="1478" spans="1:7">
      <c r="A1478" s="396" t="s">
        <v>1132</v>
      </c>
      <c r="B1478" s="228" t="s">
        <v>137</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137</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125</v>
      </c>
      <c r="C1485" s="56">
        <v>45891</v>
      </c>
      <c r="D1485" s="43">
        <v>878</v>
      </c>
      <c r="F1485" s="43" t="s">
        <v>1629</v>
      </c>
      <c r="G1485" t="s">
        <v>1612</v>
      </c>
    </row>
    <row r="1486" spans="1:7">
      <c r="A1486" s="396" t="s">
        <v>1132</v>
      </c>
      <c r="B1486" s="228" t="s">
        <v>137</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125</v>
      </c>
      <c r="C1491" s="56">
        <v>45894</v>
      </c>
      <c r="D1491" s="43">
        <v>715</v>
      </c>
      <c r="G1491" t="s">
        <v>1612</v>
      </c>
    </row>
    <row r="1492" spans="1:7">
      <c r="A1492" s="396" t="s">
        <v>1132</v>
      </c>
      <c r="B1492" s="228" t="s">
        <v>137</v>
      </c>
      <c r="C1492" s="56">
        <v>45894</v>
      </c>
      <c r="D1492" s="43">
        <v>809</v>
      </c>
      <c r="G1492" t="s">
        <v>1612</v>
      </c>
    </row>
    <row r="1493" spans="1:7">
      <c r="A1493" s="238" t="s">
        <v>778</v>
      </c>
      <c r="B1493" s="131" t="s">
        <v>1090</v>
      </c>
      <c r="C1493" s="56">
        <v>45894</v>
      </c>
      <c r="F1493" s="311" t="s">
        <v>1632</v>
      </c>
      <c r="G1493" t="s">
        <v>1612</v>
      </c>
    </row>
    <row r="1494" spans="1:7">
      <c r="A1494" s="576" t="s">
        <v>994</v>
      </c>
      <c r="B1494" s="322" t="s">
        <v>137</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125</v>
      </c>
      <c r="C1498" s="56">
        <v>45895</v>
      </c>
      <c r="D1498" s="155">
        <v>1009</v>
      </c>
      <c r="F1498" s="43" t="s">
        <v>1634</v>
      </c>
      <c r="G1498" t="s">
        <v>1612</v>
      </c>
    </row>
    <row r="1499" spans="1:7">
      <c r="A1499" s="396" t="s">
        <v>1132</v>
      </c>
      <c r="B1499" s="228" t="s">
        <v>137</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137</v>
      </c>
      <c r="C1502" s="56">
        <v>45895</v>
      </c>
      <c r="D1502" s="43">
        <v>558</v>
      </c>
      <c r="F1502" s="337" t="s">
        <v>1169</v>
      </c>
      <c r="G1502" t="s">
        <v>1612</v>
      </c>
    </row>
    <row r="1503" spans="1:7">
      <c r="A1503" s="614" t="s">
        <v>730</v>
      </c>
      <c r="B1503" s="43" t="s">
        <v>137</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125</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137</v>
      </c>
      <c r="C1509" s="56">
        <v>45896</v>
      </c>
      <c r="D1509" s="155">
        <v>1248</v>
      </c>
      <c r="F1509" s="43" t="s">
        <v>1638</v>
      </c>
      <c r="G1509" t="s">
        <v>1612</v>
      </c>
    </row>
    <row r="1510" spans="1:7">
      <c r="A1510" s="614" t="s">
        <v>730</v>
      </c>
      <c r="B1510" s="43" t="s">
        <v>137</v>
      </c>
      <c r="C1510" s="56">
        <v>45896</v>
      </c>
      <c r="D1510" s="43">
        <v>967</v>
      </c>
      <c r="F1510" s="43" t="s">
        <v>1639</v>
      </c>
      <c r="G1510" t="s">
        <v>1612</v>
      </c>
    </row>
    <row r="1511" spans="1:7">
      <c r="A1511" s="579" t="s">
        <v>238</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137</v>
      </c>
      <c r="C1516" s="56">
        <v>45897</v>
      </c>
      <c r="D1516" s="155">
        <v>1453</v>
      </c>
      <c r="F1516" s="43" t="s">
        <v>1642</v>
      </c>
      <c r="G1516" t="s">
        <v>1612</v>
      </c>
    </row>
    <row r="1517" spans="1:7">
      <c r="A1517" s="69" t="s">
        <v>1004</v>
      </c>
      <c r="B1517" s="43" t="s">
        <v>137</v>
      </c>
      <c r="C1517" s="56">
        <v>45897</v>
      </c>
      <c r="D1517" s="155">
        <v>1260</v>
      </c>
      <c r="F1517" s="43" t="s">
        <v>1643</v>
      </c>
      <c r="G1517" t="s">
        <v>1612</v>
      </c>
    </row>
    <row r="1518" spans="1:7">
      <c r="A1518" s="547" t="s">
        <v>532</v>
      </c>
      <c r="B1518" s="311" t="s">
        <v>348</v>
      </c>
      <c r="C1518" s="56">
        <v>45897</v>
      </c>
      <c r="F1518" s="43" t="s">
        <v>1231</v>
      </c>
      <c r="G1518" t="s">
        <v>1612</v>
      </c>
    </row>
    <row r="1519" spans="1:7">
      <c r="A1519" s="579" t="s">
        <v>238</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137</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137</v>
      </c>
      <c r="C1535" s="56">
        <v>45903</v>
      </c>
      <c r="D1535" s="155">
        <v>1491</v>
      </c>
      <c r="F1535" s="43" t="s">
        <v>1655</v>
      </c>
      <c r="G1535" t="s">
        <v>1649</v>
      </c>
    </row>
    <row r="1536" spans="1:7">
      <c r="A1536" s="315" t="s">
        <v>994</v>
      </c>
      <c r="B1536" s="315" t="s">
        <v>137</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137</v>
      </c>
      <c r="C1543" s="56">
        <v>45904</v>
      </c>
      <c r="D1543" s="155">
        <v>1549</v>
      </c>
      <c r="F1543" s="43" t="s">
        <v>1661</v>
      </c>
      <c r="G1543" t="s">
        <v>1649</v>
      </c>
    </row>
    <row r="1544" spans="1:7">
      <c r="A1544" s="614" t="s">
        <v>544</v>
      </c>
      <c r="B1544" s="43" t="s">
        <v>137</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137</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125</v>
      </c>
      <c r="C1552" s="56">
        <v>45908</v>
      </c>
      <c r="D1552" s="43">
        <v>254</v>
      </c>
      <c r="F1552" s="43" t="s">
        <v>1666</v>
      </c>
      <c r="G1552" t="s">
        <v>1649</v>
      </c>
    </row>
    <row r="1553" spans="1:7">
      <c r="A1553" s="679" t="s">
        <v>1132</v>
      </c>
      <c r="B1553" s="131" t="s">
        <v>137</v>
      </c>
      <c r="C1553" s="56">
        <v>45908</v>
      </c>
      <c r="D1553" s="155">
        <v>2498</v>
      </c>
      <c r="G1553" t="s">
        <v>1649</v>
      </c>
    </row>
    <row r="1554" spans="1:7">
      <c r="A1554" s="69" t="s">
        <v>986</v>
      </c>
      <c r="B1554" s="680" t="s">
        <v>137</v>
      </c>
      <c r="C1554" s="56">
        <v>45908</v>
      </c>
      <c r="D1554" s="43">
        <v>918</v>
      </c>
      <c r="F1554" s="43" t="s">
        <v>1667</v>
      </c>
      <c r="G1554" t="s">
        <v>1649</v>
      </c>
    </row>
    <row r="1555" spans="1:7">
      <c r="A1555" s="396" t="s">
        <v>544</v>
      </c>
      <c r="B1555" s="228" t="s">
        <v>125</v>
      </c>
      <c r="C1555" s="56">
        <v>45909</v>
      </c>
      <c r="D1555" s="155">
        <v>1686</v>
      </c>
      <c r="F1555" s="43" t="s">
        <v>1668</v>
      </c>
      <c r="G1555" t="s">
        <v>1649</v>
      </c>
    </row>
    <row r="1556" spans="1:7">
      <c r="A1556" s="679" t="s">
        <v>1132</v>
      </c>
      <c r="B1556" s="131" t="s">
        <v>137</v>
      </c>
      <c r="C1556" s="56">
        <v>45909</v>
      </c>
      <c r="D1556" s="155">
        <v>1192</v>
      </c>
      <c r="F1556" s="43" t="s">
        <v>1669</v>
      </c>
      <c r="G1556" t="s">
        <v>1649</v>
      </c>
    </row>
    <row r="1557" spans="1:7">
      <c r="A1557" s="69" t="s">
        <v>773</v>
      </c>
      <c r="B1557" s="680" t="s">
        <v>137</v>
      </c>
      <c r="C1557" s="56">
        <v>45909</v>
      </c>
      <c r="D1557" s="43">
        <v>329</v>
      </c>
      <c r="G1557" t="s">
        <v>1649</v>
      </c>
    </row>
    <row r="1558" spans="1:7">
      <c r="A1558" s="88" t="s">
        <v>1114</v>
      </c>
      <c r="B1558" s="398" t="s">
        <v>1090</v>
      </c>
      <c r="C1558" s="56">
        <v>45910</v>
      </c>
      <c r="D1558" s="43">
        <v>299</v>
      </c>
      <c r="G1558" t="s">
        <v>1649</v>
      </c>
    </row>
    <row r="1559" spans="1:7">
      <c r="A1559" s="396" t="s">
        <v>544</v>
      </c>
      <c r="B1559" s="228" t="s">
        <v>125</v>
      </c>
      <c r="C1559" s="56">
        <v>45910</v>
      </c>
      <c r="D1559" s="43">
        <v>611</v>
      </c>
      <c r="F1559" s="43" t="s">
        <v>1670</v>
      </c>
      <c r="G1559" t="s">
        <v>1649</v>
      </c>
    </row>
    <row r="1560" spans="1:7">
      <c r="A1560" s="679" t="s">
        <v>1132</v>
      </c>
      <c r="B1560" s="131" t="s">
        <v>137</v>
      </c>
      <c r="C1560" s="56">
        <v>45910</v>
      </c>
      <c r="D1560" s="155">
        <v>1925</v>
      </c>
      <c r="G1560" t="s">
        <v>1649</v>
      </c>
    </row>
    <row r="1561" spans="1:7">
      <c r="A1561" s="69" t="s">
        <v>773</v>
      </c>
      <c r="B1561" s="680" t="s">
        <v>1531</v>
      </c>
      <c r="C1561" s="56">
        <v>45910</v>
      </c>
      <c r="D1561" s="43">
        <v>333</v>
      </c>
      <c r="G1561" t="s">
        <v>1649</v>
      </c>
    </row>
    <row r="1562" spans="1:7">
      <c r="A1562" s="708" t="s">
        <v>1007</v>
      </c>
      <c r="B1562" s="131" t="s">
        <v>137</v>
      </c>
      <c r="C1562" s="56">
        <v>45910</v>
      </c>
      <c r="D1562" s="43">
        <v>740</v>
      </c>
      <c r="F1562" s="43" t="s">
        <v>1671</v>
      </c>
      <c r="G1562" t="s">
        <v>1649</v>
      </c>
    </row>
    <row r="1563" spans="1:7">
      <c r="A1563" s="624" t="s">
        <v>329</v>
      </c>
      <c r="B1563" s="627" t="s">
        <v>330</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125</v>
      </c>
      <c r="C1566" s="56">
        <v>45911</v>
      </c>
      <c r="D1566" s="43">
        <v>279</v>
      </c>
      <c r="F1566" s="43" t="s">
        <v>1672</v>
      </c>
      <c r="G1566" t="s">
        <v>1649</v>
      </c>
    </row>
    <row r="1567" spans="1:7">
      <c r="A1567" s="88" t="s">
        <v>1133</v>
      </c>
      <c r="B1567" s="398" t="s">
        <v>125</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329</v>
      </c>
      <c r="B1570" s="247" t="s">
        <v>330</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329</v>
      </c>
      <c r="B1574" s="247" t="s">
        <v>330</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137</v>
      </c>
      <c r="C1577" s="56">
        <v>45915</v>
      </c>
      <c r="D1577" s="155">
        <v>1238</v>
      </c>
      <c r="F1577" s="69"/>
      <c r="G1577" t="s">
        <v>1649</v>
      </c>
    </row>
    <row r="1578" spans="1:7">
      <c r="A1578" s="679" t="s">
        <v>1021</v>
      </c>
      <c r="B1578" s="131" t="s">
        <v>1090</v>
      </c>
      <c r="C1578" s="56">
        <v>45915</v>
      </c>
      <c r="D1578" s="43">
        <v>711</v>
      </c>
      <c r="F1578" s="69"/>
      <c r="G1578" t="s">
        <v>1649</v>
      </c>
    </row>
    <row r="1579" spans="1:7">
      <c r="A1579" s="134" t="s">
        <v>329</v>
      </c>
      <c r="B1579" s="247" t="s">
        <v>330</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137</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137</v>
      </c>
      <c r="C1584" s="56">
        <v>45916</v>
      </c>
      <c r="D1584" s="155">
        <v>1808</v>
      </c>
      <c r="F1584" s="729"/>
      <c r="G1584" t="s">
        <v>1649</v>
      </c>
    </row>
    <row r="1585" spans="1:7">
      <c r="A1585" s="134" t="s">
        <v>329</v>
      </c>
      <c r="B1585" s="247" t="s">
        <v>330</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195</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137</v>
      </c>
      <c r="C1590" s="56">
        <v>45917</v>
      </c>
      <c r="D1590" s="155">
        <v>1250</v>
      </c>
      <c r="F1590" s="729" t="s">
        <v>1677</v>
      </c>
      <c r="G1590" t="s">
        <v>1649</v>
      </c>
    </row>
    <row r="1591" spans="1:7">
      <c r="A1591" s="732" t="s">
        <v>544</v>
      </c>
      <c r="B1591" s="315" t="s">
        <v>125</v>
      </c>
      <c r="C1591" s="56">
        <v>45917</v>
      </c>
      <c r="D1591" s="43">
        <v>250</v>
      </c>
      <c r="F1591" s="729" t="s">
        <v>1678</v>
      </c>
      <c r="G1591" t="s">
        <v>1649</v>
      </c>
    </row>
    <row r="1592" spans="1:7">
      <c r="A1592" s="141" t="s">
        <v>997</v>
      </c>
      <c r="B1592" s="734" t="s">
        <v>137</v>
      </c>
      <c r="C1592" s="56">
        <v>45917</v>
      </c>
      <c r="F1592" s="729" t="s">
        <v>1679</v>
      </c>
      <c r="G1592" t="s">
        <v>1649</v>
      </c>
    </row>
    <row r="1593" spans="1:7">
      <c r="A1593" s="134" t="s">
        <v>329</v>
      </c>
      <c r="B1593" s="141" t="s">
        <v>330</v>
      </c>
      <c r="C1593" s="56">
        <v>45917</v>
      </c>
      <c r="D1593" s="43">
        <v>863</v>
      </c>
      <c r="F1593" s="729"/>
      <c r="G1593" t="s">
        <v>1649</v>
      </c>
    </row>
    <row r="1594" spans="1:7">
      <c r="A1594" s="733" t="s">
        <v>350</v>
      </c>
      <c r="B1594" s="305" t="s">
        <v>195</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137</v>
      </c>
      <c r="C1599" s="56">
        <v>45918</v>
      </c>
      <c r="D1599" s="43">
        <v>361</v>
      </c>
      <c r="F1599" s="729" t="s">
        <v>1682</v>
      </c>
      <c r="G1599" t="s">
        <v>1649</v>
      </c>
    </row>
    <row r="1600" spans="1:7">
      <c r="A1600" s="69" t="s">
        <v>997</v>
      </c>
      <c r="B1600" s="680" t="s">
        <v>137</v>
      </c>
      <c r="C1600" s="56">
        <v>45918</v>
      </c>
      <c r="D1600" s="155">
        <v>1204</v>
      </c>
      <c r="F1600" s="729" t="s">
        <v>1683</v>
      </c>
      <c r="G1600" t="s">
        <v>1649</v>
      </c>
    </row>
    <row r="1601" spans="1:7">
      <c r="A1601" s="69" t="s">
        <v>546</v>
      </c>
      <c r="B1601" s="680" t="s">
        <v>137</v>
      </c>
      <c r="C1601" s="56">
        <v>45918</v>
      </c>
      <c r="D1601" s="155">
        <v>562</v>
      </c>
      <c r="F1601" s="729"/>
      <c r="G1601" t="s">
        <v>1649</v>
      </c>
    </row>
    <row r="1602" spans="1:7">
      <c r="A1602" s="69" t="s">
        <v>999</v>
      </c>
      <c r="B1602" s="680" t="s">
        <v>137</v>
      </c>
      <c r="C1602" s="56">
        <v>45918</v>
      </c>
      <c r="D1602" s="155">
        <v>754</v>
      </c>
      <c r="F1602" s="729" t="s">
        <v>1684</v>
      </c>
      <c r="G1602" t="s">
        <v>1649</v>
      </c>
    </row>
    <row r="1603" spans="1:7">
      <c r="A1603" s="134" t="s">
        <v>329</v>
      </c>
      <c r="B1603" s="247" t="s">
        <v>330</v>
      </c>
      <c r="C1603" s="56">
        <v>45918</v>
      </c>
      <c r="D1603" s="43">
        <v>499</v>
      </c>
      <c r="F1603" s="729"/>
      <c r="G1603" t="s">
        <v>1649</v>
      </c>
    </row>
    <row r="1604" spans="1:7">
      <c r="A1604" s="644" t="s">
        <v>350</v>
      </c>
      <c r="B1604" s="141" t="s">
        <v>195</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329</v>
      </c>
      <c r="B1608" s="247" t="s">
        <v>330</v>
      </c>
      <c r="C1608" s="56">
        <v>45919</v>
      </c>
      <c r="D1608" s="43">
        <v>475</v>
      </c>
      <c r="F1608" s="729"/>
      <c r="G1608" t="s">
        <v>1649</v>
      </c>
    </row>
    <row r="1609" spans="1:7">
      <c r="A1609" s="644" t="s">
        <v>350</v>
      </c>
      <c r="B1609" s="141" t="s">
        <v>195</v>
      </c>
      <c r="C1609" s="56">
        <v>45919</v>
      </c>
      <c r="F1609" s="337" t="s">
        <v>1369</v>
      </c>
      <c r="G1609" t="s">
        <v>1649</v>
      </c>
    </row>
    <row r="1610" spans="1:7">
      <c r="A1610" s="679" t="s">
        <v>1132</v>
      </c>
      <c r="B1610" s="131" t="s">
        <v>137</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137</v>
      </c>
      <c r="C1613" s="56">
        <v>45922</v>
      </c>
      <c r="D1613" s="43">
        <v>978</v>
      </c>
      <c r="F1613" s="729" t="s">
        <v>1687</v>
      </c>
      <c r="G1613" t="s">
        <v>1649</v>
      </c>
    </row>
    <row r="1614" spans="1:7">
      <c r="A1614" s="305" t="s">
        <v>999</v>
      </c>
      <c r="B1614" s="740" t="s">
        <v>137</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329</v>
      </c>
      <c r="B1616" s="141" t="s">
        <v>330</v>
      </c>
      <c r="C1616" s="56">
        <v>45922</v>
      </c>
      <c r="D1616" s="43">
        <v>839</v>
      </c>
      <c r="F1616" s="729"/>
      <c r="G1616" t="s">
        <v>1649</v>
      </c>
    </row>
    <row r="1617" spans="1:7">
      <c r="A1617" s="741" t="s">
        <v>350</v>
      </c>
      <c r="B1617" s="304" t="s">
        <v>195</v>
      </c>
      <c r="C1617" s="56">
        <v>45922</v>
      </c>
      <c r="F1617" s="311" t="s">
        <v>1689</v>
      </c>
      <c r="G1617" t="s">
        <v>1649</v>
      </c>
    </row>
    <row r="1618" spans="1:7">
      <c r="A1618" s="325" t="s">
        <v>527</v>
      </c>
      <c r="B1618" s="305" t="s">
        <v>184</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137</v>
      </c>
      <c r="C1622" s="56">
        <v>45923</v>
      </c>
      <c r="D1622" s="43">
        <v>675</v>
      </c>
      <c r="F1622" s="69"/>
      <c r="G1622" t="s">
        <v>1649</v>
      </c>
    </row>
    <row r="1623" spans="1:7">
      <c r="A1623" s="69" t="s">
        <v>549</v>
      </c>
      <c r="B1623" s="747" t="s">
        <v>137</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329</v>
      </c>
      <c r="B1625" s="247" t="s">
        <v>330</v>
      </c>
      <c r="C1625" s="56">
        <v>45923</v>
      </c>
      <c r="F1625" s="754" t="s">
        <v>1694</v>
      </c>
      <c r="G1625" t="s">
        <v>1649</v>
      </c>
    </row>
    <row r="1626" spans="1:7">
      <c r="A1626" s="644" t="s">
        <v>350</v>
      </c>
      <c r="B1626" s="751" t="s">
        <v>195</v>
      </c>
      <c r="C1626" s="56">
        <v>45923</v>
      </c>
      <c r="D1626" s="43">
        <v>120</v>
      </c>
      <c r="F1626" s="69"/>
      <c r="G1626" t="s">
        <v>1649</v>
      </c>
    </row>
    <row r="1627" spans="1:7">
      <c r="A1627" s="157" t="s">
        <v>347</v>
      </c>
      <c r="B1627" s="247" t="s">
        <v>184</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137</v>
      </c>
      <c r="C1631" s="336">
        <v>45924</v>
      </c>
      <c r="D1631" s="155">
        <v>1205</v>
      </c>
      <c r="F1631" s="69" t="s">
        <v>1695</v>
      </c>
      <c r="G1631" t="s">
        <v>1649</v>
      </c>
    </row>
    <row r="1632" spans="1:7">
      <c r="A1632" s="69" t="s">
        <v>549</v>
      </c>
      <c r="B1632" s="395" t="s">
        <v>137</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137</v>
      </c>
      <c r="C1634" s="56">
        <v>45924</v>
      </c>
      <c r="D1634" s="161"/>
      <c r="F1634" s="337" t="s">
        <v>1697</v>
      </c>
      <c r="G1634" t="s">
        <v>1649</v>
      </c>
    </row>
    <row r="1635" spans="1:7">
      <c r="A1635" s="69" t="s">
        <v>546</v>
      </c>
      <c r="B1635" s="746" t="s">
        <v>137</v>
      </c>
      <c r="C1635" s="56">
        <v>45924</v>
      </c>
      <c r="D1635" s="161">
        <v>170</v>
      </c>
      <c r="F1635" s="141" t="s">
        <v>1698</v>
      </c>
      <c r="G1635" t="s">
        <v>1649</v>
      </c>
    </row>
    <row r="1636" spans="1:7">
      <c r="A1636" s="757" t="s">
        <v>329</v>
      </c>
      <c r="B1636" s="399" t="s">
        <v>330</v>
      </c>
      <c r="C1636" s="344">
        <v>45924</v>
      </c>
      <c r="D1636" s="43">
        <v>616</v>
      </c>
      <c r="F1636" s="91"/>
      <c r="G1636" t="s">
        <v>1649</v>
      </c>
    </row>
    <row r="1637" spans="1:7">
      <c r="A1637" s="644" t="s">
        <v>350</v>
      </c>
      <c r="B1637" s="751" t="s">
        <v>195</v>
      </c>
      <c r="C1637" s="56">
        <v>45924</v>
      </c>
      <c r="D1637" s="43">
        <v>190</v>
      </c>
      <c r="F1637" s="69"/>
      <c r="G1637" t="s">
        <v>1649</v>
      </c>
    </row>
    <row r="1638" spans="1:7">
      <c r="A1638" s="157" t="s">
        <v>238</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195</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137</v>
      </c>
      <c r="C1647" s="56">
        <v>45925</v>
      </c>
      <c r="D1647" s="155">
        <v>1000</v>
      </c>
      <c r="F1647" s="30"/>
      <c r="G1647" t="s">
        <v>1649</v>
      </c>
    </row>
    <row r="1648" spans="1:7">
      <c r="A1648" s="69" t="s">
        <v>549</v>
      </c>
      <c r="B1648" s="747" t="s">
        <v>137</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329</v>
      </c>
      <c r="B1651" s="247" t="s">
        <v>330</v>
      </c>
      <c r="C1651" s="56">
        <v>45925</v>
      </c>
      <c r="D1651" s="43">
        <v>969</v>
      </c>
      <c r="G1651" t="s">
        <v>1649</v>
      </c>
    </row>
    <row r="1652" spans="1:7">
      <c r="A1652" s="644" t="s">
        <v>350</v>
      </c>
      <c r="B1652" s="751" t="s">
        <v>195</v>
      </c>
      <c r="C1652" s="56">
        <v>45925</v>
      </c>
      <c r="F1652" s="141" t="s">
        <v>1236</v>
      </c>
      <c r="G1652" t="s">
        <v>1649</v>
      </c>
    </row>
    <row r="1653" spans="1:7">
      <c r="A1653" s="157" t="s">
        <v>238</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330</v>
      </c>
      <c r="C1657" s="56">
        <v>45926</v>
      </c>
      <c r="D1657" s="43">
        <v>300</v>
      </c>
      <c r="G1657" t="s">
        <v>1649</v>
      </c>
    </row>
    <row r="1658" spans="1:7">
      <c r="A1658" s="304" t="s">
        <v>1139</v>
      </c>
      <c r="B1658" s="734" t="s">
        <v>1706</v>
      </c>
      <c r="C1658" s="56">
        <v>45926</v>
      </c>
      <c r="D1658" s="43">
        <v>364</v>
      </c>
      <c r="G1658" t="s">
        <v>1649</v>
      </c>
    </row>
    <row r="1659" spans="1:7">
      <c r="A1659" s="134" t="s">
        <v>329</v>
      </c>
      <c r="B1659" s="141" t="s">
        <v>330</v>
      </c>
      <c r="C1659" s="56">
        <v>45926</v>
      </c>
      <c r="D1659" s="43">
        <v>552</v>
      </c>
      <c r="G1659" t="s">
        <v>1649</v>
      </c>
    </row>
    <row r="1660" spans="1:7">
      <c r="A1660" s="741" t="s">
        <v>353</v>
      </c>
      <c r="B1660" s="304" t="s">
        <v>195</v>
      </c>
      <c r="C1660" s="56">
        <v>45926</v>
      </c>
      <c r="D1660" s="43">
        <v>551</v>
      </c>
      <c r="G1660" t="s">
        <v>1649</v>
      </c>
    </row>
    <row r="1661" spans="1:7">
      <c r="A1661" s="325" t="s">
        <v>238</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137</v>
      </c>
      <c r="C1667" s="56">
        <v>45929</v>
      </c>
      <c r="D1667" s="43">
        <v>600</v>
      </c>
      <c r="F1667" s="43" t="s">
        <v>1709</v>
      </c>
      <c r="G1667" t="s">
        <v>1649</v>
      </c>
    </row>
    <row r="1668" spans="1:7">
      <c r="A1668" s="311" t="s">
        <v>555</v>
      </c>
      <c r="B1668" s="311" t="s">
        <v>137</v>
      </c>
      <c r="C1668" s="56">
        <v>45929</v>
      </c>
      <c r="D1668" s="155">
        <v>1002</v>
      </c>
      <c r="F1668" s="43" t="s">
        <v>1710</v>
      </c>
      <c r="G1668" t="s">
        <v>1649</v>
      </c>
    </row>
    <row r="1669" spans="1:7">
      <c r="A1669" s="134" t="s">
        <v>329</v>
      </c>
      <c r="B1669" s="141" t="s">
        <v>330</v>
      </c>
      <c r="C1669" s="56">
        <v>45929</v>
      </c>
      <c r="D1669" s="155">
        <v>1375</v>
      </c>
      <c r="G1669" t="s">
        <v>1649</v>
      </c>
    </row>
    <row r="1670" spans="1:7">
      <c r="A1670" s="741" t="s">
        <v>347</v>
      </c>
      <c r="B1670" s="304" t="s">
        <v>195</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195</v>
      </c>
      <c r="C1672" s="56">
        <v>45929</v>
      </c>
      <c r="D1672" s="43">
        <v>479</v>
      </c>
      <c r="G1672" t="s">
        <v>1649</v>
      </c>
    </row>
    <row r="1673" spans="1:7">
      <c r="A1673" s="43" t="s">
        <v>353</v>
      </c>
      <c r="B1673" s="318" t="s">
        <v>195</v>
      </c>
      <c r="C1673" s="56">
        <v>45929</v>
      </c>
      <c r="D1673" s="43">
        <v>454</v>
      </c>
      <c r="G1673" t="s">
        <v>1649</v>
      </c>
    </row>
    <row r="1674" spans="1:7">
      <c r="A1674" s="311" t="s">
        <v>555</v>
      </c>
      <c r="B1674" s="311" t="s">
        <v>137</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137</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329</v>
      </c>
      <c r="B1682" s="304" t="s">
        <v>330</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195</v>
      </c>
      <c r="C1685" s="56">
        <v>45930</v>
      </c>
      <c r="D1685" s="43">
        <v>251</v>
      </c>
      <c r="G1685" t="s">
        <v>1649</v>
      </c>
    </row>
    <row r="1686" spans="1:7">
      <c r="A1686" s="523" t="s">
        <v>518</v>
      </c>
      <c r="B1686" s="349" t="s">
        <v>195</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137</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137</v>
      </c>
      <c r="C1692" s="56">
        <v>45931</v>
      </c>
      <c r="D1692" s="155">
        <v>1118</v>
      </c>
      <c r="G1692" t="s">
        <v>1715</v>
      </c>
    </row>
    <row r="1693" spans="1:7">
      <c r="A1693" s="134" t="s">
        <v>329</v>
      </c>
      <c r="B1693" s="141" t="s">
        <v>330</v>
      </c>
      <c r="C1693" s="56">
        <v>45931</v>
      </c>
      <c r="D1693" s="43">
        <v>312</v>
      </c>
      <c r="G1693" t="s">
        <v>1715</v>
      </c>
    </row>
    <row r="1694" spans="1:7">
      <c r="A1694" s="547" t="s">
        <v>518</v>
      </c>
      <c r="B1694" s="141" t="s">
        <v>195</v>
      </c>
      <c r="C1694" s="56">
        <v>45931</v>
      </c>
      <c r="D1694" s="43">
        <v>753</v>
      </c>
      <c r="G1694" t="s">
        <v>1715</v>
      </c>
    </row>
    <row r="1695" spans="1:7">
      <c r="A1695" s="305" t="s">
        <v>353</v>
      </c>
      <c r="B1695" s="348" t="s">
        <v>195</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137</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137</v>
      </c>
      <c r="C1701" s="56">
        <v>45932</v>
      </c>
      <c r="D1701" s="155">
        <v>1472</v>
      </c>
      <c r="F1701" s="43" t="s">
        <v>1670</v>
      </c>
      <c r="G1701" t="s">
        <v>1715</v>
      </c>
    </row>
    <row r="1702" spans="1:7">
      <c r="A1702" s="797" t="s">
        <v>715</v>
      </c>
      <c r="B1702" s="141" t="s">
        <v>137</v>
      </c>
      <c r="C1702" s="56">
        <v>45932</v>
      </c>
      <c r="D1702" s="155">
        <v>1479</v>
      </c>
      <c r="F1702" s="43" t="s">
        <v>1720</v>
      </c>
      <c r="G1702" t="s">
        <v>1715</v>
      </c>
    </row>
    <row r="1703" spans="1:7">
      <c r="A1703" s="134" t="s">
        <v>329</v>
      </c>
      <c r="B1703" s="141" t="s">
        <v>330</v>
      </c>
      <c r="C1703" s="56">
        <v>45932</v>
      </c>
      <c r="D1703" s="155">
        <v>1304</v>
      </c>
      <c r="G1703" t="s">
        <v>1715</v>
      </c>
    </row>
    <row r="1704" spans="1:7">
      <c r="A1704" s="305" t="s">
        <v>1138</v>
      </c>
      <c r="B1704" s="305" t="s">
        <v>1090</v>
      </c>
      <c r="C1704" s="56">
        <v>45932</v>
      </c>
      <c r="D1704" s="43">
        <v>614</v>
      </c>
      <c r="G1704" t="s">
        <v>1715</v>
      </c>
    </row>
    <row r="1705" spans="1:7">
      <c r="A1705" s="547" t="s">
        <v>518</v>
      </c>
      <c r="B1705" s="141" t="s">
        <v>195</v>
      </c>
      <c r="C1705" s="56">
        <v>45932</v>
      </c>
      <c r="D1705" s="43">
        <v>305</v>
      </c>
      <c r="G1705" t="s">
        <v>1715</v>
      </c>
    </row>
    <row r="1706" spans="1:7">
      <c r="A1706" s="305" t="s">
        <v>353</v>
      </c>
      <c r="B1706" s="348" t="s">
        <v>195</v>
      </c>
      <c r="C1706" s="56">
        <v>45932</v>
      </c>
      <c r="D1706" s="43">
        <v>789</v>
      </c>
      <c r="F1706" s="43" t="s">
        <v>1721</v>
      </c>
      <c r="G1706" t="s">
        <v>1715</v>
      </c>
    </row>
    <row r="1707" spans="1:7">
      <c r="A1707" s="141" t="s">
        <v>350</v>
      </c>
      <c r="B1707" s="141" t="s">
        <v>195</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329</v>
      </c>
      <c r="B1713" s="141" t="s">
        <v>330</v>
      </c>
      <c r="C1713" s="56">
        <v>45933</v>
      </c>
      <c r="D1713" s="43">
        <v>617</v>
      </c>
      <c r="G1713" t="s">
        <v>1715</v>
      </c>
    </row>
    <row r="1714" spans="1:7">
      <c r="A1714" s="305" t="s">
        <v>1138</v>
      </c>
      <c r="B1714" s="305" t="s">
        <v>1090</v>
      </c>
      <c r="C1714" s="56">
        <v>45933</v>
      </c>
      <c r="D1714" s="43">
        <v>486</v>
      </c>
      <c r="G1714" t="s">
        <v>1715</v>
      </c>
    </row>
    <row r="1715" spans="1:7">
      <c r="A1715" s="306" t="s">
        <v>353</v>
      </c>
      <c r="B1715" s="141" t="s">
        <v>195</v>
      </c>
      <c r="C1715" s="56">
        <v>45933</v>
      </c>
      <c r="F1715" s="43" t="s">
        <v>1724</v>
      </c>
      <c r="G1715" t="s">
        <v>1715</v>
      </c>
    </row>
    <row r="1716" spans="1:7">
      <c r="A1716" s="306" t="s">
        <v>350</v>
      </c>
      <c r="B1716" s="141" t="s">
        <v>195</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137</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137</v>
      </c>
      <c r="C1723" s="56">
        <v>45936</v>
      </c>
      <c r="D1723" s="155">
        <v>1174</v>
      </c>
      <c r="G1723" t="s">
        <v>1715</v>
      </c>
    </row>
    <row r="1724" spans="1:7">
      <c r="A1724" s="134" t="s">
        <v>329</v>
      </c>
      <c r="B1724" s="141" t="s">
        <v>330</v>
      </c>
      <c r="C1724" s="56">
        <v>45936</v>
      </c>
      <c r="D1724" s="43">
        <v>768</v>
      </c>
      <c r="G1724" t="s">
        <v>1715</v>
      </c>
    </row>
    <row r="1725" spans="1:7">
      <c r="A1725" s="305" t="s">
        <v>1138</v>
      </c>
      <c r="B1725" s="305" t="s">
        <v>882</v>
      </c>
      <c r="C1725" s="56">
        <v>45936</v>
      </c>
      <c r="D1725" s="43">
        <v>225</v>
      </c>
      <c r="G1725" t="s">
        <v>1715</v>
      </c>
    </row>
    <row r="1726" spans="1:7">
      <c r="A1726" s="545" t="s">
        <v>518</v>
      </c>
      <c r="B1726" s="306" t="s">
        <v>195</v>
      </c>
      <c r="C1726" s="56">
        <v>45936</v>
      </c>
      <c r="F1726" s="337" t="s">
        <v>1369</v>
      </c>
      <c r="G1726" t="s">
        <v>1715</v>
      </c>
    </row>
    <row r="1727" spans="1:7">
      <c r="A1727" s="311" t="s">
        <v>353</v>
      </c>
      <c r="B1727" s="311" t="s">
        <v>195</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137</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137</v>
      </c>
      <c r="C1733" s="310">
        <v>45937</v>
      </c>
      <c r="D1733" s="155">
        <v>1597</v>
      </c>
      <c r="F1733" s="43" t="s">
        <v>1728</v>
      </c>
      <c r="G1733" t="s">
        <v>1715</v>
      </c>
    </row>
    <row r="1734" spans="1:7">
      <c r="A1734" s="134" t="s">
        <v>329</v>
      </c>
      <c r="B1734" s="141" t="s">
        <v>330</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195</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136</v>
      </c>
      <c r="B1741" s="337" t="s">
        <v>137</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137</v>
      </c>
      <c r="C1743" s="56">
        <v>45938</v>
      </c>
      <c r="D1743" s="43">
        <v>308</v>
      </c>
      <c r="F1743" s="43" t="s">
        <v>1731</v>
      </c>
      <c r="G1743" t="s">
        <v>1715</v>
      </c>
    </row>
    <row r="1744" spans="1:7">
      <c r="A1744" s="643" t="s">
        <v>555</v>
      </c>
      <c r="B1744" s="141" t="s">
        <v>137</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195</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136</v>
      </c>
      <c r="B1751" s="679" t="s">
        <v>137</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137</v>
      </c>
      <c r="C1753" s="56">
        <v>45939</v>
      </c>
      <c r="F1753" s="614" t="s">
        <v>1236</v>
      </c>
      <c r="G1753" t="s">
        <v>1715</v>
      </c>
    </row>
    <row r="1754" spans="1:7">
      <c r="A1754" s="148" t="s">
        <v>539</v>
      </c>
      <c r="B1754" s="115" t="s">
        <v>1531</v>
      </c>
      <c r="C1754" s="56">
        <v>45939</v>
      </c>
      <c r="F1754" s="43" t="s">
        <v>1588</v>
      </c>
      <c r="G1754" t="s">
        <v>1715</v>
      </c>
    </row>
    <row r="1755" spans="1:7">
      <c r="A1755" s="134" t="s">
        <v>329</v>
      </c>
      <c r="B1755" s="247" t="s">
        <v>330</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195</v>
      </c>
      <c r="C1758" s="56">
        <v>45939</v>
      </c>
      <c r="D1758" s="43">
        <v>369</v>
      </c>
      <c r="G1758" t="s">
        <v>1715</v>
      </c>
    </row>
    <row r="1759" spans="1:7">
      <c r="A1759" s="115" t="s">
        <v>350</v>
      </c>
      <c r="B1759" s="317" t="s">
        <v>195</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136</v>
      </c>
      <c r="B1772" s="141" t="s">
        <v>137</v>
      </c>
      <c r="C1772" s="56">
        <v>45943</v>
      </c>
      <c r="D1772" s="43">
        <v>828</v>
      </c>
      <c r="G1772" t="s">
        <v>1715</v>
      </c>
    </row>
    <row r="1773" spans="1:7">
      <c r="A1773" s="781" t="s">
        <v>574</v>
      </c>
      <c r="B1773" s="305" t="s">
        <v>137</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136</v>
      </c>
      <c r="B1781" s="306" t="s">
        <v>137</v>
      </c>
      <c r="C1781" s="56">
        <v>45944</v>
      </c>
      <c r="D1781" s="43">
        <v>150</v>
      </c>
      <c r="G1781" t="s">
        <v>1715</v>
      </c>
    </row>
    <row r="1782" spans="1:7">
      <c r="A1782" s="800" t="s">
        <v>574</v>
      </c>
      <c r="B1782" s="141" t="s">
        <v>137</v>
      </c>
      <c r="C1782" s="310">
        <v>45944</v>
      </c>
      <c r="D1782" s="43">
        <v>510</v>
      </c>
      <c r="F1782" s="43" t="s">
        <v>1742</v>
      </c>
      <c r="G1782" t="s">
        <v>1715</v>
      </c>
    </row>
    <row r="1783" spans="1:7">
      <c r="A1783" s="800" t="s">
        <v>578</v>
      </c>
      <c r="B1783" s="141" t="s">
        <v>137</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195</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137</v>
      </c>
      <c r="C1791" s="56">
        <v>45945</v>
      </c>
      <c r="D1791" s="155">
        <v>1312</v>
      </c>
      <c r="F1791" s="43" t="s">
        <v>1747</v>
      </c>
      <c r="G1791" t="s">
        <v>1715</v>
      </c>
    </row>
    <row r="1792" spans="1:7">
      <c r="A1792" s="918" t="s">
        <v>1014</v>
      </c>
      <c r="B1792" s="315" t="s">
        <v>137</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329</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195</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137</v>
      </c>
      <c r="C1800" s="310">
        <v>45946</v>
      </c>
      <c r="D1800" s="43">
        <v>359</v>
      </c>
      <c r="F1800" s="43" t="s">
        <v>1754</v>
      </c>
      <c r="G1800" t="s">
        <v>1715</v>
      </c>
    </row>
    <row r="1801" spans="1:7">
      <c r="A1801" s="923" t="s">
        <v>1014</v>
      </c>
      <c r="B1801" s="141" t="s">
        <v>137</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136</v>
      </c>
      <c r="B1803" s="141" t="s">
        <v>137</v>
      </c>
      <c r="C1803" s="310">
        <v>45946</v>
      </c>
      <c r="D1803" s="43">
        <v>688</v>
      </c>
      <c r="F1803" s="43" t="s">
        <v>1557</v>
      </c>
      <c r="G1803" t="s">
        <v>1715</v>
      </c>
    </row>
    <row r="1804" spans="1:7">
      <c r="A1804" s="919" t="s">
        <v>238</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195</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137</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195</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137</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137</v>
      </c>
      <c r="C1826" s="56">
        <v>45951</v>
      </c>
      <c r="D1826" s="155">
        <v>1007</v>
      </c>
      <c r="F1826" s="43" t="s">
        <v>1766</v>
      </c>
      <c r="G1826" t="s">
        <v>1715</v>
      </c>
    </row>
    <row r="1827" spans="1:7">
      <c r="A1827" s="169" t="s">
        <v>584</v>
      </c>
      <c r="B1827" s="43" t="s">
        <v>137</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195</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137</v>
      </c>
      <c r="C1835" s="56">
        <v>45952</v>
      </c>
      <c r="D1835" s="155">
        <v>1604</v>
      </c>
      <c r="F1835" s="43" t="s">
        <v>1771</v>
      </c>
      <c r="G1835" t="s">
        <v>1715</v>
      </c>
    </row>
    <row r="1836" spans="1:7">
      <c r="A1836" s="944" t="s">
        <v>1016</v>
      </c>
      <c r="B1836" s="395" t="s">
        <v>137</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195</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137</v>
      </c>
      <c r="C1846" s="56">
        <v>45953</v>
      </c>
      <c r="D1846" s="155">
        <v>1268</v>
      </c>
      <c r="F1846" s="43" t="s">
        <v>1779</v>
      </c>
      <c r="G1846" t="s">
        <v>1715</v>
      </c>
    </row>
    <row r="1847" spans="1:7">
      <c r="A1847" s="954" t="s">
        <v>1016</v>
      </c>
      <c r="B1847" s="395" t="s">
        <v>137</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137</v>
      </c>
      <c r="C1866" s="56">
        <v>45957</v>
      </c>
      <c r="D1866" s="43">
        <v>587</v>
      </c>
      <c r="F1866" s="43" t="s">
        <v>1791</v>
      </c>
      <c r="G1866" t="s">
        <v>1715</v>
      </c>
    </row>
    <row r="1867" spans="1:7">
      <c r="A1867" s="954" t="s">
        <v>584</v>
      </c>
      <c r="B1867" s="395" t="s">
        <v>137</v>
      </c>
      <c r="C1867" s="56">
        <v>45957</v>
      </c>
      <c r="D1867" s="155">
        <v>1310</v>
      </c>
      <c r="F1867" s="43" t="s">
        <v>1792</v>
      </c>
      <c r="G1867" t="s">
        <v>1715</v>
      </c>
    </row>
    <row r="1868" spans="1:7">
      <c r="A1868" s="169" t="s">
        <v>539</v>
      </c>
      <c r="B1868" s="169" t="s">
        <v>137</v>
      </c>
      <c r="C1868" s="56">
        <v>45957</v>
      </c>
      <c r="D1868" s="43">
        <v>270</v>
      </c>
      <c r="G1868" t="s">
        <v>1715</v>
      </c>
    </row>
    <row r="1869" spans="1:7">
      <c r="A1869" s="919" t="s">
        <v>238</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195</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137</v>
      </c>
      <c r="C1879" s="56">
        <v>45958</v>
      </c>
      <c r="D1879" s="155">
        <v>1509</v>
      </c>
      <c r="F1879" s="43" t="s">
        <v>1797</v>
      </c>
      <c r="G1879" t="s">
        <v>1715</v>
      </c>
    </row>
    <row r="1880" spans="1:7">
      <c r="A1880" s="954" t="s">
        <v>570</v>
      </c>
      <c r="B1880" s="395" t="s">
        <v>137</v>
      </c>
      <c r="C1880" s="56">
        <v>45958</v>
      </c>
      <c r="D1880" s="155">
        <v>1678</v>
      </c>
      <c r="F1880" s="43" t="s">
        <v>1798</v>
      </c>
      <c r="G1880" t="s">
        <v>1715</v>
      </c>
    </row>
    <row r="1881" spans="1:7">
      <c r="A1881" s="954" t="s">
        <v>1016</v>
      </c>
      <c r="B1881" s="395" t="s">
        <v>137</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195</v>
      </c>
      <c r="C1884" s="56">
        <v>45958</v>
      </c>
      <c r="D1884" s="155">
        <v>1224</v>
      </c>
      <c r="G1884" t="s">
        <v>1715</v>
      </c>
    </row>
    <row r="1885" spans="1:7">
      <c r="A1885" s="43" t="s">
        <v>343</v>
      </c>
      <c r="B1885" s="651" t="s">
        <v>195</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137</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195</v>
      </c>
      <c r="C1895" s="56">
        <v>45959</v>
      </c>
      <c r="D1895" s="43">
        <v>343</v>
      </c>
      <c r="G1895" t="s">
        <v>1715</v>
      </c>
    </row>
    <row r="1896" spans="1:7">
      <c r="A1896" s="69" t="s">
        <v>338</v>
      </c>
      <c r="B1896" s="43" t="s">
        <v>195</v>
      </c>
      <c r="C1896" s="56">
        <v>45959</v>
      </c>
      <c r="D1896" s="155">
        <v>3179</v>
      </c>
      <c r="G1896" t="s">
        <v>1715</v>
      </c>
    </row>
    <row r="1897" spans="1:7">
      <c r="A1897" s="311" t="s">
        <v>329</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137</v>
      </c>
      <c r="C1904" s="56">
        <v>45960</v>
      </c>
      <c r="D1904" s="43">
        <v>777</v>
      </c>
      <c r="F1904" s="43" t="s">
        <v>1815</v>
      </c>
      <c r="G1904" t="s">
        <v>1715</v>
      </c>
    </row>
    <row r="1905" spans="1:7">
      <c r="A1905" s="43" t="s">
        <v>570</v>
      </c>
      <c r="B1905" s="981" t="s">
        <v>137</v>
      </c>
      <c r="C1905" s="56">
        <v>45960</v>
      </c>
      <c r="D1905" s="43">
        <v>394</v>
      </c>
      <c r="E1905" s="321">
        <v>1275</v>
      </c>
      <c r="F1905" s="43" t="s">
        <v>1816</v>
      </c>
      <c r="G1905" t="s">
        <v>1715</v>
      </c>
    </row>
    <row r="1906" spans="1:7">
      <c r="A1906" s="982" t="s">
        <v>609</v>
      </c>
      <c r="B1906" s="169" t="s">
        <v>137</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137</v>
      </c>
      <c r="C1909" s="56">
        <v>45960</v>
      </c>
      <c r="D1909" s="139"/>
      <c r="E1909" s="43"/>
      <c r="F1909" s="154" t="s">
        <v>1817</v>
      </c>
      <c r="G1909" t="s">
        <v>1715</v>
      </c>
    </row>
    <row r="1910" spans="1:7">
      <c r="A1910" s="43" t="s">
        <v>343</v>
      </c>
      <c r="B1910" s="318" t="s">
        <v>195</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202</v>
      </c>
      <c r="B1912" s="157" t="s">
        <v>1818</v>
      </c>
      <c r="C1912" s="56">
        <v>45960</v>
      </c>
      <c r="D1912" s="43">
        <v>346</v>
      </c>
      <c r="G1912" t="s">
        <v>1715</v>
      </c>
    </row>
    <row r="1913" spans="1:7">
      <c r="A1913" s="247" t="s">
        <v>329</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137</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202</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137</v>
      </c>
      <c r="C1928" s="56">
        <v>45964</v>
      </c>
      <c r="D1928" s="155">
        <v>1420</v>
      </c>
      <c r="F1928" s="43" t="s">
        <v>1538</v>
      </c>
      <c r="G1928" t="s">
        <v>1825</v>
      </c>
    </row>
    <row r="1929" spans="1:7">
      <c r="A1929" s="346" t="s">
        <v>584</v>
      </c>
      <c r="B1929" s="349" t="s">
        <v>137</v>
      </c>
      <c r="C1929" s="56">
        <v>45964</v>
      </c>
      <c r="D1929" s="43">
        <v>701</v>
      </c>
      <c r="F1929" s="43" t="s">
        <v>1658</v>
      </c>
      <c r="G1929" t="s">
        <v>1825</v>
      </c>
    </row>
    <row r="1930" spans="1:7">
      <c r="A1930" s="141" t="s">
        <v>582</v>
      </c>
      <c r="B1930" s="304" t="s">
        <v>137</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195</v>
      </c>
      <c r="C1934" s="56">
        <v>45964</v>
      </c>
      <c r="D1934" s="43">
        <v>882</v>
      </c>
      <c r="F1934" s="43" t="s">
        <v>1828</v>
      </c>
      <c r="G1934" t="s">
        <v>1825</v>
      </c>
    </row>
    <row r="1935" spans="1:7">
      <c r="A1935" s="141" t="s">
        <v>329</v>
      </c>
      <c r="B1935" s="349" t="s">
        <v>1090</v>
      </c>
      <c r="C1935" s="56">
        <v>45964</v>
      </c>
      <c r="F1935" s="43" t="s">
        <v>1562</v>
      </c>
      <c r="G1935" t="s">
        <v>1825</v>
      </c>
    </row>
    <row r="1936" spans="1:7">
      <c r="A1936" s="141" t="s">
        <v>329</v>
      </c>
      <c r="B1936" s="349" t="s">
        <v>1829</v>
      </c>
      <c r="C1936" s="56">
        <v>45964</v>
      </c>
      <c r="E1936" s="321">
        <v>3846</v>
      </c>
      <c r="F1936" s="43" t="s">
        <v>1830</v>
      </c>
      <c r="G1936" t="s">
        <v>1825</v>
      </c>
    </row>
    <row r="1937" spans="1:7">
      <c r="A1937" s="141" t="s">
        <v>329</v>
      </c>
      <c r="B1937" s="349" t="s">
        <v>330</v>
      </c>
      <c r="C1937" s="56">
        <v>45964</v>
      </c>
      <c r="F1937" s="913" t="s">
        <v>1831</v>
      </c>
      <c r="G1937" t="s">
        <v>1825</v>
      </c>
    </row>
    <row r="1938" spans="1:7">
      <c r="A1938" s="141" t="s">
        <v>357</v>
      </c>
      <c r="B1938" s="990" t="s">
        <v>1090</v>
      </c>
      <c r="C1938" s="56">
        <v>45964</v>
      </c>
      <c r="D1938" s="43">
        <v>207</v>
      </c>
      <c r="G1938" t="s">
        <v>1825</v>
      </c>
    </row>
    <row r="1939" spans="1:7">
      <c r="A1939" s="141" t="s">
        <v>429</v>
      </c>
      <c r="B1939" s="304" t="s">
        <v>137</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206</v>
      </c>
      <c r="C1943" s="56">
        <v>45965</v>
      </c>
      <c r="D1943" s="43">
        <v>778</v>
      </c>
      <c r="G1943" t="s">
        <v>1825</v>
      </c>
    </row>
    <row r="1944" spans="1:7">
      <c r="A1944" s="148" t="s">
        <v>641</v>
      </c>
      <c r="B1944" s="43" t="s">
        <v>1706</v>
      </c>
      <c r="C1944" s="56">
        <v>45965</v>
      </c>
      <c r="D1944" s="43">
        <v>550</v>
      </c>
      <c r="G1944" t="s">
        <v>1825</v>
      </c>
    </row>
    <row r="1945" spans="1:7">
      <c r="A1945" s="954" t="s">
        <v>582</v>
      </c>
      <c r="B1945" s="43" t="s">
        <v>137</v>
      </c>
      <c r="C1945" s="56">
        <v>45965</v>
      </c>
      <c r="D1945" s="155">
        <v>1120</v>
      </c>
      <c r="F1945" s="43" t="s">
        <v>1833</v>
      </c>
      <c r="G1945" t="s">
        <v>1825</v>
      </c>
    </row>
    <row r="1946" spans="1:7">
      <c r="A1946" s="141" t="s">
        <v>609</v>
      </c>
      <c r="B1946" s="141" t="s">
        <v>137</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202</v>
      </c>
      <c r="B1950" s="141" t="s">
        <v>1824</v>
      </c>
      <c r="C1950" s="56">
        <v>45965</v>
      </c>
      <c r="D1950" s="43">
        <v>379</v>
      </c>
      <c r="F1950" s="43" t="s">
        <v>1835</v>
      </c>
      <c r="G1950" t="s">
        <v>1825</v>
      </c>
    </row>
    <row r="1951" spans="1:7">
      <c r="A1951" s="148" t="s">
        <v>338</v>
      </c>
      <c r="B1951" s="43" t="s">
        <v>195</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137</v>
      </c>
      <c r="C1954" s="56">
        <v>45965</v>
      </c>
      <c r="D1954" s="321">
        <v>3910</v>
      </c>
      <c r="E1954" s="43"/>
      <c r="F1954" s="154" t="s">
        <v>1837</v>
      </c>
      <c r="G1954" t="s">
        <v>1825</v>
      </c>
    </row>
    <row r="1955" spans="1:7">
      <c r="A1955" s="247" t="s">
        <v>285</v>
      </c>
      <c r="B1955" s="43" t="s">
        <v>137</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206</v>
      </c>
      <c r="C1957" s="56">
        <v>45966</v>
      </c>
      <c r="D1957" s="43">
        <v>885</v>
      </c>
      <c r="G1957" t="s">
        <v>1825</v>
      </c>
    </row>
    <row r="1958" spans="1:7">
      <c r="A1958" s="141" t="s">
        <v>582</v>
      </c>
      <c r="B1958" s="141" t="s">
        <v>137</v>
      </c>
      <c r="C1958" s="56">
        <v>45966</v>
      </c>
      <c r="D1958" s="155">
        <v>1488</v>
      </c>
      <c r="F1958" s="43" t="s">
        <v>1838</v>
      </c>
      <c r="G1958" t="s">
        <v>1825</v>
      </c>
    </row>
    <row r="1959" spans="1:7">
      <c r="A1959" s="304" t="s">
        <v>609</v>
      </c>
      <c r="B1959" s="304" t="s">
        <v>137</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137</v>
      </c>
      <c r="C1962" s="56">
        <v>45966</v>
      </c>
      <c r="D1962" s="155">
        <v>1031</v>
      </c>
      <c r="G1962" t="s">
        <v>1825</v>
      </c>
    </row>
    <row r="1963" spans="1:7">
      <c r="A1963" s="141" t="s">
        <v>972</v>
      </c>
      <c r="B1963" s="141" t="s">
        <v>1750</v>
      </c>
      <c r="C1963" s="56">
        <v>45966</v>
      </c>
      <c r="D1963" s="43">
        <v>625</v>
      </c>
      <c r="G1963" t="s">
        <v>1825</v>
      </c>
    </row>
    <row r="1964" spans="1:7">
      <c r="A1964" s="304" t="s">
        <v>202</v>
      </c>
      <c r="B1964" s="304" t="s">
        <v>1824</v>
      </c>
      <c r="C1964" s="56">
        <v>45966</v>
      </c>
      <c r="D1964" s="43">
        <v>208</v>
      </c>
      <c r="F1964" s="43" t="s">
        <v>1172</v>
      </c>
      <c r="G1964" t="s">
        <v>1825</v>
      </c>
    </row>
    <row r="1965" spans="1:7">
      <c r="A1965" s="305" t="s">
        <v>338</v>
      </c>
      <c r="B1965" s="304" t="s">
        <v>195</v>
      </c>
      <c r="C1965" s="56">
        <v>45966</v>
      </c>
      <c r="D1965" s="155">
        <v>1034</v>
      </c>
      <c r="G1965" t="s">
        <v>1825</v>
      </c>
    </row>
    <row r="1966" spans="1:7">
      <c r="A1966" s="311" t="s">
        <v>335</v>
      </c>
      <c r="B1966" s="993" t="s">
        <v>1531</v>
      </c>
      <c r="C1966" s="56">
        <v>45966</v>
      </c>
      <c r="D1966" s="43">
        <v>150</v>
      </c>
      <c r="G1966" t="s">
        <v>1825</v>
      </c>
    </row>
    <row r="1967" spans="1:7">
      <c r="A1967" s="247" t="s">
        <v>329</v>
      </c>
      <c r="B1967" s="157" t="s">
        <v>1829</v>
      </c>
      <c r="C1967" s="56">
        <v>45966</v>
      </c>
      <c r="E1967" s="998">
        <v>13112</v>
      </c>
      <c r="F1967" s="115" t="s">
        <v>1839</v>
      </c>
      <c r="G1967" t="s">
        <v>1825</v>
      </c>
    </row>
    <row r="1968" spans="1:7">
      <c r="A1968" s="247" t="s">
        <v>429</v>
      </c>
      <c r="B1968" s="304" t="s">
        <v>137</v>
      </c>
      <c r="C1968" s="56">
        <v>45966</v>
      </c>
      <c r="D1968" s="139">
        <v>346</v>
      </c>
      <c r="E1968" s="155"/>
      <c r="F1968" s="43" t="s">
        <v>1533</v>
      </c>
      <c r="G1968" t="s">
        <v>1825</v>
      </c>
    </row>
    <row r="1969" spans="1:7">
      <c r="A1969" s="371" t="s">
        <v>285</v>
      </c>
      <c r="B1969" s="304" t="s">
        <v>137</v>
      </c>
      <c r="C1969" s="56">
        <v>45966</v>
      </c>
      <c r="D1969" s="139">
        <v>656</v>
      </c>
      <c r="E1969" s="155"/>
      <c r="G1969" t="s">
        <v>1825</v>
      </c>
    </row>
    <row r="1970" spans="1:7">
      <c r="A1970" s="371" t="s">
        <v>424</v>
      </c>
      <c r="B1970" s="304" t="s">
        <v>137</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137</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202</v>
      </c>
      <c r="B1977" s="141" t="s">
        <v>1824</v>
      </c>
      <c r="C1977" s="56">
        <v>45967</v>
      </c>
      <c r="F1977" s="387" t="s">
        <v>1845</v>
      </c>
      <c r="G1977" t="s">
        <v>1825</v>
      </c>
    </row>
    <row r="1978" spans="1:7">
      <c r="A1978" s="148" t="s">
        <v>338</v>
      </c>
      <c r="B1978" s="43" t="s">
        <v>195</v>
      </c>
      <c r="C1978" s="56">
        <v>45967</v>
      </c>
      <c r="D1978" s="43">
        <v>209</v>
      </c>
      <c r="G1978" t="s">
        <v>1825</v>
      </c>
    </row>
    <row r="1979" spans="1:7">
      <c r="A1979" s="614" t="s">
        <v>355</v>
      </c>
      <c r="B1979" s="751" t="s">
        <v>1750</v>
      </c>
      <c r="C1979" s="56">
        <v>45967</v>
      </c>
      <c r="D1979" s="155">
        <v>1063</v>
      </c>
      <c r="G1979" t="s">
        <v>1825</v>
      </c>
    </row>
    <row r="1980" spans="1:7">
      <c r="A1980" s="728" t="s">
        <v>424</v>
      </c>
      <c r="B1980" s="43" t="s">
        <v>137</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202</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195</v>
      </c>
      <c r="C1989" s="56">
        <v>45968</v>
      </c>
      <c r="D1989" s="43">
        <v>569</v>
      </c>
      <c r="G1989" t="s">
        <v>1825</v>
      </c>
    </row>
    <row r="1990" spans="1:7">
      <c r="A1990" s="247" t="s">
        <v>446</v>
      </c>
      <c r="B1990" s="43" t="s">
        <v>137</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137</v>
      </c>
      <c r="C1994" s="56">
        <v>45971</v>
      </c>
      <c r="D1994" s="155">
        <v>1351</v>
      </c>
      <c r="G1994" t="s">
        <v>1825</v>
      </c>
    </row>
    <row r="1995" spans="1:7">
      <c r="A1995" s="315" t="s">
        <v>584</v>
      </c>
      <c r="B1995" s="315" t="s">
        <v>137</v>
      </c>
      <c r="C1995" s="56">
        <v>45971</v>
      </c>
      <c r="D1995" s="43">
        <v>138</v>
      </c>
      <c r="F1995" s="43" t="s">
        <v>1847</v>
      </c>
      <c r="G1995" t="s">
        <v>1825</v>
      </c>
    </row>
    <row r="1996" spans="1:7">
      <c r="A1996" s="315" t="s">
        <v>609</v>
      </c>
      <c r="B1996" s="315" t="s">
        <v>137</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195</v>
      </c>
      <c r="C1998" s="56">
        <v>45971</v>
      </c>
      <c r="D1998" s="43">
        <v>96</v>
      </c>
      <c r="G1998" t="s">
        <v>1825</v>
      </c>
    </row>
    <row r="1999" spans="1:7">
      <c r="A1999" s="304" t="s">
        <v>202</v>
      </c>
      <c r="B1999" s="349" t="s">
        <v>1824</v>
      </c>
      <c r="C1999" s="56">
        <v>45971</v>
      </c>
      <c r="D1999" s="43">
        <v>562</v>
      </c>
      <c r="G1999" t="s">
        <v>1825</v>
      </c>
    </row>
    <row r="2000" spans="1:7">
      <c r="A2000" s="141" t="s">
        <v>340</v>
      </c>
      <c r="B2000" s="797" t="s">
        <v>195</v>
      </c>
      <c r="C2000" s="56">
        <v>45971</v>
      </c>
      <c r="D2000" s="43">
        <v>435</v>
      </c>
      <c r="F2000" s="43" t="s">
        <v>1849</v>
      </c>
      <c r="G2000" t="s">
        <v>1825</v>
      </c>
    </row>
    <row r="2001" spans="1:7">
      <c r="A2001" s="999" t="s">
        <v>446</v>
      </c>
      <c r="B2001" s="311" t="s">
        <v>137</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137</v>
      </c>
      <c r="C2008" s="56">
        <v>45973</v>
      </c>
      <c r="D2008" s="155">
        <v>1580</v>
      </c>
      <c r="F2008" s="43" t="s">
        <v>1670</v>
      </c>
      <c r="G2008" t="s">
        <v>1825</v>
      </c>
    </row>
    <row r="2009" spans="1:7">
      <c r="A2009" s="43" t="s">
        <v>612</v>
      </c>
      <c r="B2009" s="115" t="s">
        <v>137</v>
      </c>
      <c r="C2009" s="56">
        <v>45973</v>
      </c>
      <c r="D2009" s="43">
        <v>890</v>
      </c>
      <c r="G2009" t="s">
        <v>1825</v>
      </c>
    </row>
    <row r="2010" spans="1:7">
      <c r="A2010" s="43" t="s">
        <v>612</v>
      </c>
      <c r="B2010" s="115" t="s">
        <v>405</v>
      </c>
      <c r="C2010" s="56">
        <v>45973</v>
      </c>
      <c r="F2010" s="43" t="s">
        <v>1533</v>
      </c>
      <c r="G2010" t="s">
        <v>1825</v>
      </c>
    </row>
    <row r="2011" spans="1:7">
      <c r="A2011" s="43" t="s">
        <v>580</v>
      </c>
      <c r="B2011" s="43" t="s">
        <v>137</v>
      </c>
      <c r="C2011" s="56">
        <v>45973</v>
      </c>
      <c r="D2011" s="43">
        <v>877</v>
      </c>
      <c r="F2011" s="43" t="s">
        <v>1855</v>
      </c>
      <c r="G2011" t="s">
        <v>1825</v>
      </c>
    </row>
    <row r="2012" spans="1:7">
      <c r="A2012" s="43" t="s">
        <v>1147</v>
      </c>
      <c r="B2012" s="43" t="s">
        <v>1531</v>
      </c>
      <c r="C2012" s="56">
        <v>45973</v>
      </c>
      <c r="E2012" s="321">
        <v>6640</v>
      </c>
      <c r="G2012" t="s">
        <v>1825</v>
      </c>
    </row>
    <row r="2013" spans="1:7">
      <c r="A2013" s="614" t="s">
        <v>188</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202</v>
      </c>
      <c r="B2016" s="43" t="s">
        <v>1818</v>
      </c>
      <c r="C2016" s="56">
        <v>45973</v>
      </c>
      <c r="D2016" s="43">
        <v>474</v>
      </c>
      <c r="G2016" t="s">
        <v>1825</v>
      </c>
    </row>
    <row r="2017" spans="1:7">
      <c r="A2017" s="43" t="s">
        <v>446</v>
      </c>
      <c r="B2017" s="43" t="s">
        <v>137</v>
      </c>
      <c r="C2017" s="56">
        <v>45973</v>
      </c>
      <c r="D2017" s="43">
        <v>242</v>
      </c>
      <c r="G2017" t="s">
        <v>1825</v>
      </c>
    </row>
    <row r="2018" spans="1:7">
      <c r="A2018" s="43" t="s">
        <v>438</v>
      </c>
      <c r="B2018" s="43" t="s">
        <v>137</v>
      </c>
      <c r="C2018" s="56">
        <v>45973</v>
      </c>
      <c r="D2018" s="155">
        <v>1264</v>
      </c>
      <c r="G2018" t="s">
        <v>1825</v>
      </c>
    </row>
    <row r="2019" spans="1:7">
      <c r="A2019" s="43" t="s">
        <v>451</v>
      </c>
      <c r="B2019" s="43" t="s">
        <v>137</v>
      </c>
      <c r="C2019" s="56">
        <v>45973</v>
      </c>
      <c r="D2019" s="155">
        <v>3678</v>
      </c>
      <c r="G2019" t="s">
        <v>1825</v>
      </c>
    </row>
    <row r="2020" spans="1:7">
      <c r="A2020" s="43" t="s">
        <v>401</v>
      </c>
      <c r="B2020" s="43" t="s">
        <v>1531</v>
      </c>
      <c r="C2020" s="56">
        <v>45974</v>
      </c>
      <c r="F2020" s="43" t="s">
        <v>1599</v>
      </c>
      <c r="G2020" t="s">
        <v>1825</v>
      </c>
    </row>
    <row r="2021" spans="1:7">
      <c r="A2021" s="43" t="s">
        <v>383</v>
      </c>
      <c r="B2021" s="43" t="s">
        <v>137</v>
      </c>
      <c r="C2021" s="56">
        <v>45974</v>
      </c>
      <c r="D2021" s="155">
        <v>1258</v>
      </c>
      <c r="F2021" s="43" t="s">
        <v>1858</v>
      </c>
      <c r="G2021" t="s">
        <v>1825</v>
      </c>
    </row>
    <row r="2022" spans="1:7">
      <c r="A2022" s="43" t="s">
        <v>580</v>
      </c>
      <c r="B2022" s="43" t="s">
        <v>137</v>
      </c>
      <c r="C2022" s="56">
        <v>45974</v>
      </c>
      <c r="D2022" s="43">
        <v>814</v>
      </c>
      <c r="F2022" s="43" t="s">
        <v>1859</v>
      </c>
      <c r="G2022" t="s">
        <v>1825</v>
      </c>
    </row>
    <row r="2023" spans="1:7">
      <c r="A2023" s="614" t="s">
        <v>188</v>
      </c>
      <c r="B2023" s="43" t="s">
        <v>1531</v>
      </c>
      <c r="C2023" s="56">
        <v>45974</v>
      </c>
      <c r="D2023" s="43">
        <v>325</v>
      </c>
      <c r="G2023" t="s">
        <v>1825</v>
      </c>
    </row>
    <row r="2024" spans="1:7">
      <c r="A2024" s="43" t="s">
        <v>188</v>
      </c>
      <c r="B2024" s="43" t="s">
        <v>1531</v>
      </c>
      <c r="C2024" s="56">
        <v>45974</v>
      </c>
      <c r="F2024" s="43" t="s">
        <v>1253</v>
      </c>
      <c r="G2024" t="s">
        <v>1825</v>
      </c>
    </row>
    <row r="2025" spans="1:7">
      <c r="A2025" s="148" t="s">
        <v>202</v>
      </c>
      <c r="B2025" s="43" t="s">
        <v>1860</v>
      </c>
      <c r="C2025" s="56">
        <v>45974</v>
      </c>
      <c r="D2025" s="43">
        <v>606</v>
      </c>
      <c r="G2025" t="s">
        <v>1825</v>
      </c>
    </row>
    <row r="2026" spans="1:7">
      <c r="A2026" s="1046" t="s">
        <v>340</v>
      </c>
      <c r="B2026" s="1047" t="s">
        <v>195</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137</v>
      </c>
      <c r="C2029" s="56">
        <v>45974</v>
      </c>
      <c r="D2029" s="155">
        <v>3382</v>
      </c>
      <c r="G2029" t="s">
        <v>1825</v>
      </c>
    </row>
    <row r="2030" spans="1:7">
      <c r="A2030" s="43" t="s">
        <v>438</v>
      </c>
      <c r="B2030" s="43" t="s">
        <v>137</v>
      </c>
      <c r="C2030" s="56">
        <v>45974</v>
      </c>
      <c r="D2030" s="155">
        <v>1281</v>
      </c>
      <c r="G2030" t="s">
        <v>1825</v>
      </c>
    </row>
    <row r="2031" spans="1:7">
      <c r="A2031" s="247" t="s">
        <v>487</v>
      </c>
      <c r="B2031" s="43" t="s">
        <v>137</v>
      </c>
      <c r="C2031" s="56">
        <v>45974</v>
      </c>
      <c r="D2031" s="43">
        <v>424</v>
      </c>
      <c r="G2031" t="s">
        <v>1825</v>
      </c>
    </row>
    <row r="2032" spans="1:7">
      <c r="A2032" s="247" t="s">
        <v>453</v>
      </c>
      <c r="B2032" s="43" t="s">
        <v>137</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188</v>
      </c>
      <c r="B2036" s="141" t="s">
        <v>1531</v>
      </c>
      <c r="C2036" s="56">
        <v>45975</v>
      </c>
      <c r="D2036" s="43">
        <v>430</v>
      </c>
      <c r="G2036" t="s">
        <v>1825</v>
      </c>
    </row>
    <row r="2037" spans="1:7">
      <c r="A2037" s="305" t="s">
        <v>202</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137</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137</v>
      </c>
      <c r="C2044" s="56">
        <v>45978</v>
      </c>
      <c r="D2044" s="43">
        <v>762</v>
      </c>
      <c r="G2044" t="s">
        <v>1825</v>
      </c>
    </row>
    <row r="2045" spans="1:7">
      <c r="A2045" s="141" t="s">
        <v>580</v>
      </c>
      <c r="B2045" s="349" t="s">
        <v>137</v>
      </c>
      <c r="C2045" s="56">
        <v>45978</v>
      </c>
      <c r="D2045" s="43">
        <v>956</v>
      </c>
      <c r="F2045" s="43" t="s">
        <v>1865</v>
      </c>
      <c r="G2045" t="s">
        <v>1825</v>
      </c>
    </row>
    <row r="2046" spans="1:7">
      <c r="A2046" s="305" t="s">
        <v>238</v>
      </c>
      <c r="B2046" s="318" t="s">
        <v>1090</v>
      </c>
      <c r="C2046" s="56">
        <v>45978</v>
      </c>
      <c r="D2046" s="43">
        <v>176</v>
      </c>
      <c r="G2046" t="s">
        <v>1825</v>
      </c>
    </row>
    <row r="2047" spans="1:7">
      <c r="A2047" s="141" t="s">
        <v>238</v>
      </c>
      <c r="B2047" s="349" t="s">
        <v>1090</v>
      </c>
      <c r="C2047" s="56">
        <v>45978</v>
      </c>
      <c r="D2047" s="43">
        <v>270</v>
      </c>
      <c r="G2047" t="s">
        <v>1825</v>
      </c>
    </row>
    <row r="2048" spans="1:7">
      <c r="A2048" s="141" t="s">
        <v>202</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137</v>
      </c>
      <c r="C2050" s="56">
        <v>45978</v>
      </c>
      <c r="D2050" s="155">
        <v>5466</v>
      </c>
      <c r="G2050" t="s">
        <v>1825</v>
      </c>
    </row>
    <row r="2051" spans="1:7">
      <c r="A2051" s="304" t="s">
        <v>438</v>
      </c>
      <c r="B2051" s="304" t="s">
        <v>137</v>
      </c>
      <c r="C2051" s="56">
        <v>45978</v>
      </c>
      <c r="D2051" s="155">
        <v>1662</v>
      </c>
      <c r="G2051" t="s">
        <v>1825</v>
      </c>
    </row>
    <row r="2052" spans="1:7">
      <c r="A2052" s="304" t="s">
        <v>453</v>
      </c>
      <c r="B2052" s="304" t="s">
        <v>137</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137</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137</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238</v>
      </c>
      <c r="B2061" s="43" t="s">
        <v>1531</v>
      </c>
      <c r="C2061" s="56">
        <v>45979</v>
      </c>
      <c r="D2061" s="43">
        <v>120</v>
      </c>
      <c r="F2061" s="69"/>
      <c r="G2061" t="s">
        <v>1825</v>
      </c>
    </row>
    <row r="2062" spans="1:7">
      <c r="A2062" s="614" t="s">
        <v>340</v>
      </c>
      <c r="B2062" s="651" t="s">
        <v>195</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137</v>
      </c>
      <c r="C2064" s="56">
        <v>45979</v>
      </c>
      <c r="D2064" s="155">
        <v>2684</v>
      </c>
      <c r="F2064" s="69"/>
      <c r="G2064" t="s">
        <v>1825</v>
      </c>
    </row>
    <row r="2065" spans="1:7">
      <c r="A2065" s="148" t="s">
        <v>453</v>
      </c>
      <c r="B2065" s="115" t="s">
        <v>137</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137</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137</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238</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137</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137</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188</v>
      </c>
      <c r="B2081" s="318" t="s">
        <v>1090</v>
      </c>
      <c r="C2081" s="56">
        <v>45981</v>
      </c>
      <c r="D2081" s="43">
        <v>195</v>
      </c>
      <c r="F2081" s="69" t="s">
        <v>1879</v>
      </c>
      <c r="G2081" t="s">
        <v>1825</v>
      </c>
    </row>
    <row r="2082" spans="1:7">
      <c r="A2082" s="141" t="s">
        <v>238</v>
      </c>
      <c r="B2082" s="304" t="s">
        <v>1531</v>
      </c>
      <c r="C2082" s="56">
        <v>45981</v>
      </c>
      <c r="F2082" s="69" t="s">
        <v>1880</v>
      </c>
      <c r="G2082" t="s">
        <v>1825</v>
      </c>
    </row>
    <row r="2083" spans="1:7">
      <c r="A2083" s="304" t="s">
        <v>340</v>
      </c>
      <c r="B2083" s="990" t="s">
        <v>195</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137</v>
      </c>
      <c r="C2086" s="56">
        <v>45981</v>
      </c>
      <c r="D2086" s="155">
        <v>2252</v>
      </c>
      <c r="F2086" s="69"/>
      <c r="G2086" t="s">
        <v>1825</v>
      </c>
    </row>
    <row r="2087" spans="1:7">
      <c r="A2087" s="318" t="s">
        <v>453</v>
      </c>
      <c r="B2087" s="387" t="s">
        <v>137</v>
      </c>
      <c r="C2087" s="56">
        <v>45981</v>
      </c>
      <c r="D2087" s="1066">
        <v>1027</v>
      </c>
      <c r="F2087" s="69"/>
      <c r="G2087" t="s">
        <v>1825</v>
      </c>
    </row>
    <row r="2088" spans="1:7">
      <c r="A2088" s="348" t="s">
        <v>456</v>
      </c>
      <c r="B2088" s="357" t="s">
        <v>137</v>
      </c>
      <c r="C2088" s="56">
        <v>45981</v>
      </c>
      <c r="D2088" s="155">
        <v>1420</v>
      </c>
      <c r="F2088" s="69"/>
      <c r="G2088" t="s">
        <v>1825</v>
      </c>
    </row>
    <row r="2089" spans="1:7">
      <c r="A2089" s="318" t="s">
        <v>459</v>
      </c>
      <c r="B2089" s="387" t="s">
        <v>137</v>
      </c>
      <c r="C2089" s="56">
        <v>45981</v>
      </c>
      <c r="D2089" s="155">
        <v>2376</v>
      </c>
      <c r="F2089" s="69"/>
      <c r="G2089" t="s">
        <v>1825</v>
      </c>
    </row>
    <row r="2090" spans="1:7">
      <c r="A2090" s="348" t="s">
        <v>487</v>
      </c>
      <c r="B2090" s="307" t="s">
        <v>137</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137</v>
      </c>
      <c r="C2097" s="56">
        <v>45982</v>
      </c>
      <c r="D2097" s="43">
        <v>51</v>
      </c>
      <c r="F2097" s="69"/>
      <c r="G2097" t="s">
        <v>1825</v>
      </c>
    </row>
    <row r="2098" spans="1:7">
      <c r="A2098" s="404" t="s">
        <v>487</v>
      </c>
      <c r="B2098" s="173" t="s">
        <v>137</v>
      </c>
      <c r="C2098" s="56">
        <v>45982</v>
      </c>
      <c r="D2098" s="155">
        <v>3007</v>
      </c>
      <c r="F2098" s="69"/>
      <c r="G2098" t="s">
        <v>1825</v>
      </c>
    </row>
    <row r="2099" spans="1:7">
      <c r="A2099" s="404" t="s">
        <v>453</v>
      </c>
      <c r="B2099" s="173" t="s">
        <v>137</v>
      </c>
      <c r="C2099" s="56">
        <v>45982</v>
      </c>
      <c r="D2099" s="43">
        <v>490</v>
      </c>
      <c r="F2099" s="69"/>
      <c r="G2099" t="s">
        <v>1825</v>
      </c>
    </row>
    <row r="2100" spans="1:7">
      <c r="A2100" s="404" t="s">
        <v>456</v>
      </c>
      <c r="B2100" s="173" t="s">
        <v>137</v>
      </c>
      <c r="C2100" s="56">
        <v>45982</v>
      </c>
      <c r="D2100" s="155">
        <v>3043</v>
      </c>
      <c r="F2100" s="69"/>
      <c r="G2100" t="s">
        <v>1825</v>
      </c>
    </row>
    <row r="2101" spans="1:7">
      <c r="A2101" s="404" t="s">
        <v>459</v>
      </c>
      <c r="B2101" s="173" t="s">
        <v>137</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178</v>
      </c>
      <c r="B2109" s="43" t="s">
        <v>137</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137</v>
      </c>
      <c r="C2111" s="56">
        <v>45985</v>
      </c>
      <c r="D2111" s="43">
        <v>805</v>
      </c>
      <c r="F2111" s="69" t="s">
        <v>1889</v>
      </c>
      <c r="G2111" t="s">
        <v>1825</v>
      </c>
    </row>
    <row r="2112" spans="1:7">
      <c r="A2112" s="43" t="s">
        <v>589</v>
      </c>
      <c r="B2112" s="1073" t="s">
        <v>137</v>
      </c>
      <c r="C2112" s="56">
        <v>45985</v>
      </c>
      <c r="D2112" s="43">
        <v>665</v>
      </c>
      <c r="F2112" s="69"/>
      <c r="G2112" t="s">
        <v>1825</v>
      </c>
    </row>
    <row r="2113" spans="1:7">
      <c r="A2113" s="43" t="s">
        <v>388</v>
      </c>
      <c r="B2113" s="1073" t="s">
        <v>137</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195</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137</v>
      </c>
      <c r="C2128" s="56">
        <v>45986</v>
      </c>
      <c r="D2128" s="155">
        <v>1100</v>
      </c>
      <c r="G2128" t="s">
        <v>1825</v>
      </c>
    </row>
    <row r="2129" spans="1:7">
      <c r="A2129" s="43" t="s">
        <v>589</v>
      </c>
      <c r="B2129" s="43" t="s">
        <v>137</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137</v>
      </c>
      <c r="C2136" s="56">
        <v>45986</v>
      </c>
      <c r="D2136" s="155">
        <v>2382</v>
      </c>
      <c r="G2136" t="s">
        <v>1825</v>
      </c>
    </row>
    <row r="2137" spans="1:7">
      <c r="A2137" s="404" t="s">
        <v>424</v>
      </c>
      <c r="B2137" s="173" t="s">
        <v>137</v>
      </c>
      <c r="C2137" s="56">
        <v>45986</v>
      </c>
      <c r="D2137" s="43">
        <v>996</v>
      </c>
      <c r="G2137" t="s">
        <v>1825</v>
      </c>
    </row>
    <row r="2138" spans="1:7">
      <c r="A2138" s="404" t="s">
        <v>462</v>
      </c>
      <c r="B2138" s="173" t="s">
        <v>137</v>
      </c>
      <c r="C2138" s="56">
        <v>45986</v>
      </c>
      <c r="D2138" s="155">
        <v>3634</v>
      </c>
      <c r="G2138" t="s">
        <v>1825</v>
      </c>
    </row>
    <row r="2139" spans="1:7">
      <c r="A2139" s="69" t="s">
        <v>459</v>
      </c>
      <c r="B2139" s="173" t="s">
        <v>137</v>
      </c>
      <c r="C2139" s="56">
        <v>45986</v>
      </c>
      <c r="D2139" s="155">
        <v>3311</v>
      </c>
      <c r="G2139" t="s">
        <v>1825</v>
      </c>
    </row>
    <row r="2140" spans="1:7">
      <c r="A2140" s="69" t="s">
        <v>285</v>
      </c>
      <c r="B2140" s="173" t="s">
        <v>137</v>
      </c>
      <c r="C2140" s="56">
        <v>45986</v>
      </c>
      <c r="D2140" s="155">
        <v>1175</v>
      </c>
      <c r="G2140" t="s">
        <v>1825</v>
      </c>
    </row>
    <row r="2141" spans="1:7">
      <c r="A2141" s="247" t="s">
        <v>456</v>
      </c>
      <c r="B2141" s="173" t="s">
        <v>137</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137</v>
      </c>
      <c r="C2147" s="56">
        <v>45987</v>
      </c>
      <c r="D2147" s="155">
        <v>1024</v>
      </c>
      <c r="F2147" s="43" t="s">
        <v>1900</v>
      </c>
      <c r="G2147" t="s">
        <v>1825</v>
      </c>
    </row>
    <row r="2148" spans="1:7">
      <c r="A2148" s="306" t="s">
        <v>592</v>
      </c>
      <c r="B2148" s="305" t="s">
        <v>137</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195</v>
      </c>
      <c r="C2154" s="56">
        <v>45987</v>
      </c>
      <c r="D2154" s="423"/>
      <c r="E2154" s="43"/>
      <c r="F2154" s="141" t="s">
        <v>1898</v>
      </c>
      <c r="G2154" t="s">
        <v>1825</v>
      </c>
    </row>
    <row r="2155" spans="1:7">
      <c r="A2155" s="141" t="s">
        <v>202</v>
      </c>
      <c r="B2155" s="141" t="s">
        <v>1818</v>
      </c>
      <c r="C2155" s="56">
        <v>45987</v>
      </c>
      <c r="D2155" s="161">
        <v>426</v>
      </c>
      <c r="E2155" s="253"/>
      <c r="F2155" s="169"/>
      <c r="G2155" t="s">
        <v>1825</v>
      </c>
    </row>
    <row r="2156" spans="1:7">
      <c r="A2156" s="141" t="s">
        <v>340</v>
      </c>
      <c r="B2156" s="141" t="s">
        <v>195</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285</v>
      </c>
      <c r="B2159" s="141" t="s">
        <v>137</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137</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137</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137</v>
      </c>
      <c r="C2176" s="56">
        <v>45992</v>
      </c>
      <c r="D2176" s="155">
        <v>1610</v>
      </c>
      <c r="F2176" s="43" t="s">
        <v>1913</v>
      </c>
      <c r="G2176" t="s">
        <v>1910</v>
      </c>
    </row>
    <row r="2177" spans="1:7">
      <c r="A2177" s="1074" t="s">
        <v>592</v>
      </c>
      <c r="B2177" s="304" t="s">
        <v>137</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285</v>
      </c>
      <c r="B2181" s="387" t="s">
        <v>137</v>
      </c>
      <c r="C2181" s="56">
        <v>45992</v>
      </c>
      <c r="D2181" s="155">
        <v>1515</v>
      </c>
      <c r="F2181" s="43" t="s">
        <v>1562</v>
      </c>
      <c r="G2181" t="s">
        <v>1910</v>
      </c>
    </row>
    <row r="2182" spans="1:7">
      <c r="A2182" s="348" t="s">
        <v>462</v>
      </c>
      <c r="B2182" s="357" t="s">
        <v>137</v>
      </c>
      <c r="C2182" s="56">
        <v>45992</v>
      </c>
      <c r="D2182" s="155">
        <v>3376</v>
      </c>
      <c r="G2182" t="s">
        <v>1910</v>
      </c>
    </row>
    <row r="2183" spans="1:7">
      <c r="A2183" s="317" t="s">
        <v>440</v>
      </c>
      <c r="B2183" s="308" t="s">
        <v>137</v>
      </c>
      <c r="C2183" s="56">
        <v>45992</v>
      </c>
      <c r="D2183" s="155">
        <v>3084</v>
      </c>
      <c r="G2183" t="s">
        <v>1910</v>
      </c>
    </row>
    <row r="2184" spans="1:7">
      <c r="A2184" s="311" t="s">
        <v>484</v>
      </c>
      <c r="B2184" s="311" t="s">
        <v>137</v>
      </c>
      <c r="C2184" s="56">
        <v>45992</v>
      </c>
      <c r="D2184" s="155">
        <v>1829</v>
      </c>
      <c r="G2184" t="s">
        <v>1910</v>
      </c>
    </row>
    <row r="2185" spans="1:7">
      <c r="A2185" s="247" t="s">
        <v>443</v>
      </c>
      <c r="B2185" s="754" t="s">
        <v>137</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137</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137</v>
      </c>
      <c r="C2194" s="56">
        <v>45993</v>
      </c>
      <c r="D2194" s="155">
        <v>2916</v>
      </c>
      <c r="G2194" t="s">
        <v>1910</v>
      </c>
    </row>
    <row r="2195" spans="1:7">
      <c r="A2195" s="315" t="s">
        <v>484</v>
      </c>
      <c r="B2195" s="315" t="s">
        <v>137</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125</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137</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137</v>
      </c>
      <c r="C2206" s="56">
        <v>45994</v>
      </c>
      <c r="D2206" s="155">
        <v>2430</v>
      </c>
      <c r="G2206" t="s">
        <v>1910</v>
      </c>
    </row>
    <row r="2207" spans="1:7">
      <c r="A2207" s="754" t="s">
        <v>484</v>
      </c>
      <c r="B2207" s="754" t="s">
        <v>137</v>
      </c>
      <c r="C2207" s="56">
        <v>45994</v>
      </c>
      <c r="D2207" s="43">
        <v>694</v>
      </c>
      <c r="G2207" t="s">
        <v>1910</v>
      </c>
    </row>
    <row r="2208" spans="1:7">
      <c r="A2208" s="1109" t="s">
        <v>435</v>
      </c>
      <c r="B2208" s="1110" t="s">
        <v>137</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137</v>
      </c>
      <c r="C2213" s="56">
        <v>45995</v>
      </c>
      <c r="D2213" s="155">
        <v>1431</v>
      </c>
      <c r="F2213" s="43" t="s">
        <v>1928</v>
      </c>
      <c r="G2213" t="s">
        <v>1910</v>
      </c>
    </row>
    <row r="2214" spans="1:7">
      <c r="A2214" s="311" t="s">
        <v>561</v>
      </c>
      <c r="B2214" s="311" t="s">
        <v>125</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125</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285</v>
      </c>
      <c r="B2220" s="306" t="s">
        <v>137</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137</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137</v>
      </c>
      <c r="C2233" s="56">
        <v>45996</v>
      </c>
      <c r="E2233" s="139">
        <v>636</v>
      </c>
      <c r="F2233" s="938"/>
      <c r="G2233" t="s">
        <v>1910</v>
      </c>
    </row>
    <row r="2234" spans="1:7">
      <c r="A2234" s="311" t="s">
        <v>451</v>
      </c>
      <c r="B2234" s="754" t="s">
        <v>137</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125</v>
      </c>
      <c r="C2241" s="56">
        <v>45999</v>
      </c>
      <c r="D2241" s="155">
        <v>1172</v>
      </c>
      <c r="E2241" s="201"/>
      <c r="F2241" s="115" t="s">
        <v>1944</v>
      </c>
      <c r="G2241" t="s">
        <v>1910</v>
      </c>
    </row>
    <row r="2242" spans="1:7">
      <c r="A2242" s="1120" t="s">
        <v>391</v>
      </c>
      <c r="B2242" s="1121" t="s">
        <v>137</v>
      </c>
      <c r="C2242" s="56">
        <v>45999</v>
      </c>
      <c r="D2242" s="321">
        <v>1583</v>
      </c>
      <c r="E2242" s="43"/>
      <c r="F2242" s="43" t="s">
        <v>1945</v>
      </c>
      <c r="G2242" t="s">
        <v>1910</v>
      </c>
    </row>
    <row r="2243" spans="1:7">
      <c r="A2243" s="247" t="s">
        <v>567</v>
      </c>
      <c r="B2243" s="1121" t="s">
        <v>137</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137</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137</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125</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137</v>
      </c>
      <c r="C2258" s="56">
        <v>46000</v>
      </c>
      <c r="D2258" s="155">
        <v>1980</v>
      </c>
      <c r="F2258" s="43" t="s">
        <v>1954</v>
      </c>
      <c r="G2258" t="s">
        <v>1910</v>
      </c>
    </row>
    <row r="2259" spans="1:7">
      <c r="A2259" s="404" t="s">
        <v>471</v>
      </c>
      <c r="B2259" s="173" t="s">
        <v>137</v>
      </c>
      <c r="C2259" s="56">
        <v>46000</v>
      </c>
      <c r="D2259" s="155">
        <v>3343</v>
      </c>
      <c r="G2259" t="s">
        <v>1910</v>
      </c>
    </row>
    <row r="2260" spans="1:7">
      <c r="A2260" s="161" t="s">
        <v>424</v>
      </c>
      <c r="B2260" s="139" t="s">
        <v>137</v>
      </c>
      <c r="C2260" s="56">
        <v>46000</v>
      </c>
      <c r="D2260" s="155">
        <v>2203</v>
      </c>
      <c r="F2260" s="43" t="s">
        <v>1173</v>
      </c>
      <c r="G2260" t="s">
        <v>1910</v>
      </c>
    </row>
    <row r="2261" spans="1:7">
      <c r="A2261" s="943" t="s">
        <v>290</v>
      </c>
      <c r="B2261" s="139" t="s">
        <v>137</v>
      </c>
      <c r="C2261" s="56">
        <v>46000</v>
      </c>
      <c r="D2261" s="155">
        <v>1111</v>
      </c>
      <c r="G2261" t="s">
        <v>1910</v>
      </c>
    </row>
    <row r="2262" spans="1:7">
      <c r="A2262" s="404" t="s">
        <v>474</v>
      </c>
      <c r="B2262" s="173" t="s">
        <v>137</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137</v>
      </c>
      <c r="C2268" s="56">
        <v>46001</v>
      </c>
      <c r="D2268" s="43">
        <v>621</v>
      </c>
      <c r="F2268" s="43" t="s">
        <v>1957</v>
      </c>
      <c r="G2268" t="s">
        <v>1910</v>
      </c>
    </row>
    <row r="2269" spans="1:7">
      <c r="A2269" s="739" t="s">
        <v>558</v>
      </c>
      <c r="B2269" s="754" t="s">
        <v>125</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137</v>
      </c>
      <c r="C2273" s="56">
        <v>46001</v>
      </c>
      <c r="D2273" s="155">
        <v>1251</v>
      </c>
      <c r="G2273" t="s">
        <v>1910</v>
      </c>
    </row>
    <row r="2274" spans="1:7">
      <c r="A2274" s="1124" t="s">
        <v>471</v>
      </c>
      <c r="B2274" s="1108" t="s">
        <v>137</v>
      </c>
      <c r="C2274" s="56">
        <v>46001</v>
      </c>
      <c r="D2274" s="43">
        <v>931</v>
      </c>
      <c r="G2274" t="s">
        <v>1910</v>
      </c>
    </row>
    <row r="2275" spans="1:7">
      <c r="A2275" s="751" t="s">
        <v>474</v>
      </c>
      <c r="B2275" s="990" t="s">
        <v>137</v>
      </c>
      <c r="C2275" s="56">
        <v>46001</v>
      </c>
      <c r="D2275" s="43">
        <v>522</v>
      </c>
      <c r="G2275" t="s">
        <v>1910</v>
      </c>
    </row>
    <row r="2276" spans="1:7">
      <c r="A2276" s="751" t="s">
        <v>484</v>
      </c>
      <c r="B2276" s="726" t="s">
        <v>137</v>
      </c>
      <c r="C2276" s="56">
        <v>46001</v>
      </c>
      <c r="D2276" s="43">
        <v>91</v>
      </c>
      <c r="G2276" t="s">
        <v>1910</v>
      </c>
    </row>
    <row r="2277" spans="1:7">
      <c r="A2277" s="751" t="s">
        <v>424</v>
      </c>
      <c r="B2277" s="1047" t="s">
        <v>137</v>
      </c>
      <c r="C2277" s="56">
        <v>46001</v>
      </c>
      <c r="E2277" s="321">
        <v>3674</v>
      </c>
      <c r="F2277" s="43" t="s">
        <v>1961</v>
      </c>
      <c r="G2277" t="s">
        <v>1910</v>
      </c>
    </row>
    <row r="2278" spans="1:7">
      <c r="A2278" s="751" t="s">
        <v>290</v>
      </c>
      <c r="B2278" s="726" t="s">
        <v>137</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125</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137</v>
      </c>
      <c r="C2287" s="56">
        <v>46002</v>
      </c>
      <c r="D2287" s="155">
        <v>3172</v>
      </c>
      <c r="G2287" t="s">
        <v>1910</v>
      </c>
    </row>
    <row r="2288" spans="1:7">
      <c r="A2288" s="1126" t="s">
        <v>453</v>
      </c>
      <c r="B2288" s="69" t="s">
        <v>137</v>
      </c>
      <c r="C2288" s="56">
        <v>46002</v>
      </c>
      <c r="D2288" s="43">
        <v>242</v>
      </c>
      <c r="F2288" s="43" t="s">
        <v>1968</v>
      </c>
      <c r="G2288" t="s">
        <v>1910</v>
      </c>
    </row>
    <row r="2289" spans="1:7">
      <c r="A2289" s="395" t="s">
        <v>474</v>
      </c>
      <c r="B2289" s="43" t="s">
        <v>137</v>
      </c>
      <c r="C2289" s="56">
        <v>46002</v>
      </c>
      <c r="D2289" s="155">
        <v>1194</v>
      </c>
      <c r="G2289" t="s">
        <v>1910</v>
      </c>
    </row>
    <row r="2290" spans="1:7">
      <c r="A2290" s="1127" t="s">
        <v>290</v>
      </c>
      <c r="B2290" s="115" t="s">
        <v>137</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270</v>
      </c>
      <c r="B2297" s="754" t="s">
        <v>1531</v>
      </c>
      <c r="C2297" s="56">
        <v>46003</v>
      </c>
      <c r="D2297" s="155">
        <v>1832</v>
      </c>
      <c r="F2297" s="43" t="s">
        <v>1973</v>
      </c>
      <c r="G2297" t="s">
        <v>1910</v>
      </c>
    </row>
    <row r="2298" spans="1:7">
      <c r="A2298" s="1108" t="s">
        <v>453</v>
      </c>
      <c r="B2298" s="1108" t="s">
        <v>137</v>
      </c>
      <c r="C2298" s="56">
        <v>46003</v>
      </c>
      <c r="F2298" s="337" t="s">
        <v>1974</v>
      </c>
      <c r="G2298" t="s">
        <v>1910</v>
      </c>
    </row>
    <row r="2299" spans="1:7">
      <c r="A2299" s="1124" t="s">
        <v>474</v>
      </c>
      <c r="B2299" s="1124" t="s">
        <v>137</v>
      </c>
      <c r="C2299" s="56">
        <v>46003</v>
      </c>
      <c r="D2299" s="155">
        <v>2811</v>
      </c>
      <c r="G2299" t="s">
        <v>1910</v>
      </c>
    </row>
    <row r="2300" spans="1:7">
      <c r="A2300" s="751" t="s">
        <v>290</v>
      </c>
      <c r="B2300" s="754" t="s">
        <v>137</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125</v>
      </c>
      <c r="C2306" s="56">
        <v>46006</v>
      </c>
      <c r="D2306" s="43">
        <v>689</v>
      </c>
      <c r="F2306" s="43" t="s">
        <v>1978</v>
      </c>
      <c r="G2306" t="s">
        <v>1910</v>
      </c>
    </row>
    <row r="2307" spans="1:7">
      <c r="A2307" s="1074" t="s">
        <v>542</v>
      </c>
      <c r="B2307" s="247" t="s">
        <v>137</v>
      </c>
      <c r="C2307" s="310">
        <v>46006</v>
      </c>
      <c r="D2307" s="155">
        <v>1095</v>
      </c>
      <c r="G2307" t="s">
        <v>1910</v>
      </c>
    </row>
    <row r="2308" spans="1:7">
      <c r="A2308" s="1308" t="s">
        <v>564</v>
      </c>
      <c r="B2308" s="43" t="s">
        <v>137</v>
      </c>
      <c r="C2308" s="310">
        <v>46006</v>
      </c>
      <c r="D2308" s="155">
        <v>1344</v>
      </c>
      <c r="F2308" s="43" t="s">
        <v>1979</v>
      </c>
      <c r="G2308" t="s">
        <v>1910</v>
      </c>
    </row>
    <row r="2309" spans="1:7">
      <c r="A2309" s="1308" t="s">
        <v>589</v>
      </c>
      <c r="B2309" s="43" t="s">
        <v>137</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137</v>
      </c>
      <c r="C2311" s="56">
        <v>46006</v>
      </c>
      <c r="D2311" s="43">
        <v>29</v>
      </c>
      <c r="E2311" s="201"/>
      <c r="F2311" s="115"/>
      <c r="G2311" t="s">
        <v>1910</v>
      </c>
    </row>
    <row r="2312" spans="1:7">
      <c r="A2312" s="1126" t="s">
        <v>429</v>
      </c>
      <c r="B2312" s="69" t="s">
        <v>137</v>
      </c>
      <c r="C2312" s="56">
        <v>46006</v>
      </c>
      <c r="D2312" s="139"/>
      <c r="E2312" s="43"/>
      <c r="F2312" s="751" t="s">
        <v>1392</v>
      </c>
      <c r="G2312" t="s">
        <v>1910</v>
      </c>
    </row>
    <row r="2313" spans="1:7">
      <c r="A2313" s="1126" t="s">
        <v>459</v>
      </c>
      <c r="B2313" s="69" t="s">
        <v>137</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125</v>
      </c>
      <c r="C2318" s="56">
        <v>46007</v>
      </c>
      <c r="D2318" s="43">
        <v>586</v>
      </c>
      <c r="F2318" s="43" t="s">
        <v>1985</v>
      </c>
      <c r="G2318" t="s">
        <v>1910</v>
      </c>
    </row>
    <row r="2319" spans="1:7">
      <c r="A2319" s="1074" t="s">
        <v>542</v>
      </c>
      <c r="B2319" s="1121" t="s">
        <v>137</v>
      </c>
      <c r="C2319" s="56">
        <v>46007</v>
      </c>
      <c r="D2319" s="155">
        <v>1676</v>
      </c>
      <c r="F2319" s="43" t="s">
        <v>1986</v>
      </c>
      <c r="G2319" t="s">
        <v>1910</v>
      </c>
    </row>
    <row r="2320" spans="1:7">
      <c r="A2320" s="1120" t="s">
        <v>564</v>
      </c>
      <c r="B2320" t="s">
        <v>137</v>
      </c>
      <c r="C2320" s="56">
        <v>46007</v>
      </c>
      <c r="D2320" s="155">
        <v>1583</v>
      </c>
      <c r="F2320" s="43" t="s">
        <v>1987</v>
      </c>
      <c r="G2320" t="s">
        <v>1910</v>
      </c>
    </row>
    <row r="2321" spans="1:7">
      <c r="A2321" s="432" t="s">
        <v>194</v>
      </c>
      <c r="B2321" s="371" t="s">
        <v>195</v>
      </c>
      <c r="C2321" s="56">
        <v>46007</v>
      </c>
      <c r="D2321" s="43">
        <v>890</v>
      </c>
      <c r="F2321" s="43" t="s">
        <v>1988</v>
      </c>
      <c r="G2321" t="s">
        <v>1910</v>
      </c>
    </row>
    <row r="2322" spans="1:7">
      <c r="A2322" s="43" t="s">
        <v>270</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137</v>
      </c>
      <c r="C2324" s="56">
        <v>46007</v>
      </c>
      <c r="F2324" s="337" t="s">
        <v>1990</v>
      </c>
      <c r="G2324" t="s">
        <v>1910</v>
      </c>
    </row>
    <row r="2325" spans="1:7">
      <c r="A2325" s="69" t="s">
        <v>468</v>
      </c>
      <c r="B2325" s="69" t="s">
        <v>137</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125</v>
      </c>
      <c r="C2332" s="56">
        <v>46008</v>
      </c>
      <c r="D2332" s="43">
        <v>199</v>
      </c>
      <c r="F2332" s="43" t="s">
        <v>1993</v>
      </c>
      <c r="G2332" t="s">
        <v>1910</v>
      </c>
    </row>
    <row r="2333" spans="1:7">
      <c r="A2333" s="1074" t="s">
        <v>542</v>
      </c>
      <c r="B2333" s="1121" t="s">
        <v>137</v>
      </c>
      <c r="C2333" s="56">
        <v>46008</v>
      </c>
      <c r="D2333" s="155">
        <v>1139</v>
      </c>
      <c r="F2333" s="43" t="s">
        <v>1994</v>
      </c>
      <c r="G2333" t="s">
        <v>1910</v>
      </c>
    </row>
    <row r="2334" spans="1:7">
      <c r="A2334" s="1120" t="s">
        <v>564</v>
      </c>
      <c r="B2334" t="s">
        <v>137</v>
      </c>
      <c r="C2334" s="56">
        <v>46008</v>
      </c>
      <c r="D2334" s="155">
        <v>1027</v>
      </c>
      <c r="F2334" s="43" t="s">
        <v>1995</v>
      </c>
      <c r="G2334" t="s">
        <v>1910</v>
      </c>
    </row>
    <row r="2335" spans="1:7">
      <c r="A2335" s="1316" t="s">
        <v>561</v>
      </c>
      <c r="B2335" s="1121" t="s">
        <v>125</v>
      </c>
      <c r="C2335" s="56">
        <v>46008</v>
      </c>
      <c r="D2335" s="43">
        <v>163</v>
      </c>
      <c r="F2335" s="43" t="s">
        <v>1996</v>
      </c>
      <c r="G2335" t="s">
        <v>1910</v>
      </c>
    </row>
    <row r="2336" spans="1:7">
      <c r="A2336" s="432" t="s">
        <v>194</v>
      </c>
      <c r="B2336" s="371" t="s">
        <v>195</v>
      </c>
      <c r="C2336" s="56">
        <v>46008</v>
      </c>
      <c r="D2336" s="155">
        <v>1810</v>
      </c>
      <c r="F2336" s="43" t="s">
        <v>1997</v>
      </c>
      <c r="G2336" t="s">
        <v>1910</v>
      </c>
    </row>
    <row r="2337" spans="1:7">
      <c r="A2337" s="43" t="s">
        <v>270</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137</v>
      </c>
      <c r="C2339" s="56">
        <v>46008</v>
      </c>
      <c r="D2339" s="43">
        <v>320</v>
      </c>
      <c r="G2339" t="s">
        <v>1910</v>
      </c>
    </row>
    <row r="2340" spans="1:7">
      <c r="A2340" s="148" t="s">
        <v>468</v>
      </c>
      <c r="B2340" s="148" t="s">
        <v>137</v>
      </c>
      <c r="C2340" s="56">
        <v>46008</v>
      </c>
      <c r="D2340" s="155">
        <v>1083</v>
      </c>
      <c r="G2340" t="s">
        <v>1910</v>
      </c>
    </row>
    <row r="2341" spans="1:7">
      <c r="A2341" s="148" t="s">
        <v>453</v>
      </c>
      <c r="B2341" s="148" t="s">
        <v>137</v>
      </c>
      <c r="C2341" s="56">
        <v>46008</v>
      </c>
      <c r="F2341" s="311" t="s">
        <v>1181</v>
      </c>
      <c r="G2341" t="s">
        <v>1910</v>
      </c>
    </row>
    <row r="2342" spans="1:7">
      <c r="A2342" s="1126" t="s">
        <v>435</v>
      </c>
      <c r="B2342" s="69" t="s">
        <v>137</v>
      </c>
      <c r="C2342" s="56">
        <v>46008</v>
      </c>
      <c r="D2342" s="43">
        <v>372</v>
      </c>
      <c r="G2342" t="s">
        <v>1910</v>
      </c>
    </row>
    <row r="2343" spans="1:7">
      <c r="A2343" s="1126" t="s">
        <v>296</v>
      </c>
      <c r="B2343" s="69" t="s">
        <v>137</v>
      </c>
      <c r="C2343" s="56">
        <v>46008</v>
      </c>
      <c r="D2343" s="43">
        <v>95</v>
      </c>
      <c r="G2343" t="s">
        <v>1910</v>
      </c>
    </row>
    <row r="2344" spans="1:7">
      <c r="A2344" s="1126" t="s">
        <v>474</v>
      </c>
      <c r="B2344" s="69" t="s">
        <v>137</v>
      </c>
      <c r="C2344" s="56">
        <v>46008</v>
      </c>
      <c r="D2344" s="155">
        <v>1049</v>
      </c>
      <c r="G2344" t="s">
        <v>1910</v>
      </c>
    </row>
    <row r="2345" spans="1:7">
      <c r="A2345" s="148" t="s">
        <v>451</v>
      </c>
      <c r="B2345" s="148" t="s">
        <v>137</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125</v>
      </c>
      <c r="C2353" s="56">
        <v>46009</v>
      </c>
      <c r="F2353" s="304" t="s">
        <v>1822</v>
      </c>
      <c r="G2353" t="s">
        <v>1910</v>
      </c>
    </row>
    <row r="2354" spans="1:7">
      <c r="A2354" s="797" t="s">
        <v>564</v>
      </c>
      <c r="B2354" s="346" t="s">
        <v>137</v>
      </c>
      <c r="C2354" s="56">
        <v>46009</v>
      </c>
      <c r="D2354" s="155">
        <v>1596</v>
      </c>
      <c r="F2354" s="43" t="s">
        <v>2001</v>
      </c>
      <c r="G2354" t="s">
        <v>1910</v>
      </c>
    </row>
    <row r="2355" spans="1:7">
      <c r="A2355" s="349" t="s">
        <v>558</v>
      </c>
      <c r="B2355" s="387" t="s">
        <v>125</v>
      </c>
      <c r="C2355" s="56">
        <v>46009</v>
      </c>
      <c r="F2355" s="304" t="s">
        <v>1822</v>
      </c>
      <c r="G2355" t="s">
        <v>1910</v>
      </c>
    </row>
    <row r="2356" spans="1:7">
      <c r="A2356" s="349" t="s">
        <v>561</v>
      </c>
      <c r="B2356" s="307" t="s">
        <v>125</v>
      </c>
      <c r="C2356" s="56">
        <v>46009</v>
      </c>
      <c r="F2356" s="304" t="s">
        <v>1822</v>
      </c>
      <c r="G2356" t="s">
        <v>1910</v>
      </c>
    </row>
    <row r="2357" spans="1:7">
      <c r="A2357" s="348" t="s">
        <v>604</v>
      </c>
      <c r="B2357" s="346" t="s">
        <v>137</v>
      </c>
      <c r="C2357" s="56">
        <v>46009</v>
      </c>
      <c r="D2357" s="155">
        <v>1568</v>
      </c>
      <c r="G2357" t="s">
        <v>1910</v>
      </c>
    </row>
    <row r="2358" spans="1:7">
      <c r="A2358" s="141" t="s">
        <v>270</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194</v>
      </c>
      <c r="B2360" s="141" t="s">
        <v>1531</v>
      </c>
      <c r="C2360" s="310">
        <v>46009</v>
      </c>
      <c r="D2360" s="155">
        <v>967</v>
      </c>
      <c r="F2360" s="43" t="s">
        <v>2004</v>
      </c>
    </row>
    <row r="2361" spans="1:7">
      <c r="A2361" s="141" t="s">
        <v>484</v>
      </c>
      <c r="B2361" s="141" t="s">
        <v>137</v>
      </c>
      <c r="C2361" s="310">
        <v>46009</v>
      </c>
      <c r="D2361" s="43">
        <v>652</v>
      </c>
      <c r="G2361" t="s">
        <v>1910</v>
      </c>
    </row>
    <row r="2362" spans="1:7">
      <c r="A2362" s="304" t="s">
        <v>487</v>
      </c>
      <c r="B2362" s="304" t="s">
        <v>137</v>
      </c>
      <c r="C2362" s="56">
        <v>46009</v>
      </c>
      <c r="D2362" s="43">
        <v>396</v>
      </c>
      <c r="G2362" t="s">
        <v>1910</v>
      </c>
    </row>
    <row r="2363" spans="1:7">
      <c r="A2363" s="305" t="s">
        <v>468</v>
      </c>
      <c r="B2363" s="305" t="s">
        <v>137</v>
      </c>
      <c r="C2363" s="56">
        <v>46009</v>
      </c>
      <c r="D2363" s="155">
        <v>1905</v>
      </c>
      <c r="G2363" t="s">
        <v>1910</v>
      </c>
    </row>
    <row r="2364" spans="1:7">
      <c r="A2364" s="306" t="s">
        <v>296</v>
      </c>
      <c r="B2364" s="306" t="s">
        <v>137</v>
      </c>
      <c r="C2364" s="56">
        <v>46009</v>
      </c>
      <c r="D2364" s="43">
        <v>881</v>
      </c>
      <c r="G2364" t="s">
        <v>1910</v>
      </c>
    </row>
    <row r="2365" spans="1:7">
      <c r="A2365" s="141" t="s">
        <v>293</v>
      </c>
      <c r="B2365" s="141" t="s">
        <v>137</v>
      </c>
      <c r="C2365" s="310">
        <v>46009</v>
      </c>
      <c r="D2365" s="155">
        <v>3028</v>
      </c>
      <c r="F2365" s="43" t="s">
        <v>2005</v>
      </c>
      <c r="G2365" t="s">
        <v>1910</v>
      </c>
    </row>
    <row r="2366" spans="1:7">
      <c r="A2366" s="247" t="s">
        <v>451</v>
      </c>
      <c r="B2366" s="141" t="s">
        <v>137</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125</v>
      </c>
      <c r="C2374" s="310">
        <v>46010</v>
      </c>
      <c r="E2374" s="139">
        <v>765</v>
      </c>
      <c r="G2374" t="s">
        <v>1910</v>
      </c>
    </row>
    <row r="2375" spans="1:7">
      <c r="A2375" s="800" t="s">
        <v>542</v>
      </c>
      <c r="B2375" s="141" t="s">
        <v>137</v>
      </c>
      <c r="C2375" s="310">
        <v>46010</v>
      </c>
      <c r="E2375" s="139">
        <v>883</v>
      </c>
      <c r="F2375" s="311" t="s">
        <v>2009</v>
      </c>
      <c r="G2375" t="s">
        <v>1910</v>
      </c>
    </row>
    <row r="2376" spans="1:7">
      <c r="A2376" s="141" t="s">
        <v>558</v>
      </c>
      <c r="B2376" s="141" t="s">
        <v>125</v>
      </c>
      <c r="C2376" s="310">
        <v>46010</v>
      </c>
      <c r="E2376" s="139">
        <v>765</v>
      </c>
      <c r="G2376" t="s">
        <v>1910</v>
      </c>
    </row>
    <row r="2377" spans="1:7">
      <c r="A2377" s="141" t="s">
        <v>561</v>
      </c>
      <c r="B2377" s="141" t="s">
        <v>125</v>
      </c>
      <c r="C2377" s="310">
        <v>46010</v>
      </c>
      <c r="E2377" s="139">
        <v>560</v>
      </c>
      <c r="G2377" t="s">
        <v>1910</v>
      </c>
    </row>
    <row r="2378" spans="1:7">
      <c r="A2378" s="169" t="s">
        <v>270</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137</v>
      </c>
      <c r="C2380" s="56">
        <v>46010</v>
      </c>
      <c r="D2380" s="43">
        <v>582</v>
      </c>
      <c r="G2380" t="s">
        <v>1910</v>
      </c>
    </row>
    <row r="2381" spans="1:7">
      <c r="A2381" s="1320" t="s">
        <v>468</v>
      </c>
      <c r="B2381" s="1321" t="s">
        <v>137</v>
      </c>
      <c r="C2381" s="56">
        <v>46010</v>
      </c>
      <c r="D2381" s="155">
        <v>2064</v>
      </c>
      <c r="G2381" t="s">
        <v>1910</v>
      </c>
    </row>
    <row r="2382" spans="1:7">
      <c r="A2382" s="1320" t="s">
        <v>293</v>
      </c>
      <c r="B2382" s="1321" t="s">
        <v>137</v>
      </c>
      <c r="C2382" s="56">
        <v>46010</v>
      </c>
      <c r="D2382" s="155">
        <v>1683</v>
      </c>
      <c r="G2382" t="s">
        <v>1910</v>
      </c>
    </row>
    <row r="2383" spans="1:7">
      <c r="A2383" s="1320" t="s">
        <v>290</v>
      </c>
      <c r="B2383" s="1321" t="s">
        <v>137</v>
      </c>
      <c r="C2383" s="56">
        <v>46010</v>
      </c>
      <c r="D2383" s="155">
        <v>1235</v>
      </c>
      <c r="G2383" t="s">
        <v>1910</v>
      </c>
    </row>
    <row r="2384" spans="1:7">
      <c r="A2384" s="1320" t="s">
        <v>465</v>
      </c>
      <c r="B2384" s="1321" t="s">
        <v>137</v>
      </c>
      <c r="C2384" s="56">
        <v>46010</v>
      </c>
      <c r="F2384" s="43" t="s">
        <v>2012</v>
      </c>
      <c r="G2384" t="s">
        <v>1910</v>
      </c>
    </row>
    <row r="2385" spans="1:7">
      <c r="A2385" s="1320" t="s">
        <v>484</v>
      </c>
      <c r="B2385" s="1321" t="s">
        <v>137</v>
      </c>
      <c r="C2385" s="56">
        <v>46010</v>
      </c>
      <c r="D2385" s="43">
        <v>780</v>
      </c>
      <c r="E2385" s="201"/>
      <c r="F2385" s="115"/>
      <c r="G2385" t="s">
        <v>1910</v>
      </c>
    </row>
    <row r="2386" spans="1:7">
      <c r="A2386" s="1320" t="s">
        <v>1159</v>
      </c>
      <c r="B2386" s="1321" t="s">
        <v>137</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137</v>
      </c>
      <c r="C2390" s="56">
        <v>46013</v>
      </c>
      <c r="D2390" s="43">
        <v>380</v>
      </c>
      <c r="G2390" t="s">
        <v>1910</v>
      </c>
    </row>
    <row r="2391" spans="1:7">
      <c r="A2391" s="315" t="s">
        <v>607</v>
      </c>
      <c r="B2391" s="315" t="s">
        <v>137</v>
      </c>
      <c r="C2391" s="56">
        <v>46013</v>
      </c>
      <c r="D2391" s="43">
        <v>523</v>
      </c>
      <c r="G2391" t="s">
        <v>1910</v>
      </c>
    </row>
    <row r="2392" spans="1:7">
      <c r="A2392" s="315" t="s">
        <v>564</v>
      </c>
      <c r="B2392" s="315" t="s">
        <v>137</v>
      </c>
      <c r="C2392" s="56">
        <v>46013</v>
      </c>
      <c r="D2392" s="43">
        <v>342</v>
      </c>
      <c r="F2392" s="311" t="s">
        <v>2015</v>
      </c>
      <c r="G2392" t="s">
        <v>1910</v>
      </c>
    </row>
    <row r="2393" spans="1:7">
      <c r="A2393" s="311" t="s">
        <v>270</v>
      </c>
      <c r="B2393" s="311" t="s">
        <v>1531</v>
      </c>
      <c r="C2393" s="56">
        <v>46013</v>
      </c>
      <c r="D2393" s="43">
        <v>154</v>
      </c>
      <c r="G2393" t="s">
        <v>1910</v>
      </c>
    </row>
    <row r="2394" spans="1:7">
      <c r="A2394" s="751" t="s">
        <v>435</v>
      </c>
      <c r="B2394" s="751" t="s">
        <v>137</v>
      </c>
      <c r="C2394" s="56">
        <v>46013</v>
      </c>
      <c r="D2394" s="43">
        <v>551</v>
      </c>
      <c r="G2394" t="s">
        <v>1910</v>
      </c>
    </row>
    <row r="2395" spans="1:7">
      <c r="A2395" s="1108" t="s">
        <v>468</v>
      </c>
      <c r="B2395" s="1108" t="s">
        <v>137</v>
      </c>
      <c r="C2395" s="56">
        <v>46013</v>
      </c>
      <c r="F2395" s="337" t="s">
        <v>2016</v>
      </c>
      <c r="G2395" t="s">
        <v>1910</v>
      </c>
    </row>
    <row r="2396" spans="1:7">
      <c r="A2396" s="1108" t="s">
        <v>293</v>
      </c>
      <c r="B2396" s="1108" t="s">
        <v>137</v>
      </c>
      <c r="C2396" s="56">
        <v>46013</v>
      </c>
      <c r="D2396" s="43">
        <v>362</v>
      </c>
      <c r="G2396" t="s">
        <v>1910</v>
      </c>
    </row>
    <row r="2397" spans="1:7">
      <c r="A2397" s="1124" t="s">
        <v>296</v>
      </c>
      <c r="B2397" s="1124" t="s">
        <v>137</v>
      </c>
      <c r="C2397" s="56">
        <v>46013</v>
      </c>
      <c r="D2397" s="155">
        <v>3523</v>
      </c>
      <c r="G2397" t="s">
        <v>1910</v>
      </c>
    </row>
    <row r="2398" spans="1:7">
      <c r="A2398" s="754" t="s">
        <v>484</v>
      </c>
      <c r="B2398" s="754" t="s">
        <v>137</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137</v>
      </c>
      <c r="C2401" s="56">
        <v>46014</v>
      </c>
      <c r="F2401" s="337" t="s">
        <v>1557</v>
      </c>
      <c r="G2401" t="s">
        <v>1910</v>
      </c>
    </row>
    <row r="2402" spans="1:7">
      <c r="A2402" s="800" t="s">
        <v>607</v>
      </c>
      <c r="B2402" s="993" t="s">
        <v>137</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137</v>
      </c>
      <c r="C2404" s="56">
        <v>46014</v>
      </c>
      <c r="E2404" s="321">
        <v>14727</v>
      </c>
      <c r="F2404" s="430" t="s">
        <v>2017</v>
      </c>
      <c r="G2404" t="s">
        <v>1910</v>
      </c>
    </row>
    <row r="2405" spans="1:7">
      <c r="A2405" s="247" t="s">
        <v>296</v>
      </c>
      <c r="B2405" s="1321" t="s">
        <v>137</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137</v>
      </c>
      <c r="C2411" s="56">
        <v>46020</v>
      </c>
      <c r="D2411" s="155">
        <v>1188</v>
      </c>
      <c r="F2411" s="43" t="s">
        <v>2020</v>
      </c>
      <c r="G2411" t="s">
        <v>1910</v>
      </c>
    </row>
    <row r="2412" spans="1:7">
      <c r="A2412" s="1343" t="s">
        <v>598</v>
      </c>
      <c r="B2412" s="1123" t="s">
        <v>137</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137</v>
      </c>
      <c r="C2414" s="56">
        <v>46020</v>
      </c>
      <c r="D2414" s="43">
        <v>738</v>
      </c>
      <c r="G2414" t="s">
        <v>1910</v>
      </c>
    </row>
    <row r="2415" spans="1:7">
      <c r="A2415" s="1108" t="s">
        <v>293</v>
      </c>
      <c r="B2415" s="1108" t="s">
        <v>137</v>
      </c>
      <c r="C2415" s="56">
        <v>46020</v>
      </c>
      <c r="D2415" s="155">
        <v>1297</v>
      </c>
      <c r="G2415" t="s">
        <v>1910</v>
      </c>
    </row>
    <row r="2416" spans="1:7">
      <c r="A2416" s="1108" t="s">
        <v>478</v>
      </c>
      <c r="B2416" s="1108" t="s">
        <v>137</v>
      </c>
      <c r="C2416" s="56">
        <v>46020</v>
      </c>
      <c r="D2416" s="155">
        <v>2583</v>
      </c>
      <c r="G2416" t="s">
        <v>1910</v>
      </c>
    </row>
    <row r="2417" spans="1:7">
      <c r="A2417" s="1108" t="s">
        <v>438</v>
      </c>
      <c r="B2417" s="1108" t="s">
        <v>137</v>
      </c>
      <c r="C2417" s="56">
        <v>46020</v>
      </c>
      <c r="D2417" s="43">
        <v>0</v>
      </c>
      <c r="F2417" s="311" t="s">
        <v>2022</v>
      </c>
      <c r="G2417" t="s">
        <v>1910</v>
      </c>
    </row>
    <row r="2418" spans="1:7">
      <c r="A2418" s="1108" t="s">
        <v>443</v>
      </c>
      <c r="B2418" s="1108" t="s">
        <v>137</v>
      </c>
      <c r="C2418" s="56">
        <v>46020</v>
      </c>
      <c r="D2418" s="43">
        <v>0</v>
      </c>
      <c r="F2418" s="311" t="s">
        <v>2022</v>
      </c>
      <c r="G2418" t="s">
        <v>1910</v>
      </c>
    </row>
    <row r="2419" spans="1:7">
      <c r="A2419" s="1108" t="s">
        <v>474</v>
      </c>
      <c r="B2419" s="1108" t="s">
        <v>137</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137</v>
      </c>
      <c r="C2423" s="56">
        <v>46021</v>
      </c>
      <c r="D2423" s="43">
        <v>0</v>
      </c>
      <c r="F2423" s="311" t="s">
        <v>1392</v>
      </c>
      <c r="G2423" t="s">
        <v>1910</v>
      </c>
    </row>
    <row r="2424" spans="1:7">
      <c r="A2424" s="311" t="s">
        <v>435</v>
      </c>
      <c r="B2424" s="754" t="s">
        <v>137</v>
      </c>
      <c r="C2424" s="56">
        <v>46021</v>
      </c>
      <c r="D2424" s="43">
        <v>466</v>
      </c>
      <c r="G2424" t="s">
        <v>1910</v>
      </c>
    </row>
    <row r="2425" spans="1:7">
      <c r="A2425" s="304" t="s">
        <v>478</v>
      </c>
      <c r="B2425" s="1108" t="s">
        <v>137</v>
      </c>
      <c r="C2425" s="56">
        <v>46021</v>
      </c>
      <c r="D2425" s="155">
        <v>3099</v>
      </c>
      <c r="G2425" t="s">
        <v>1910</v>
      </c>
    </row>
    <row r="2426" spans="1:7">
      <c r="A2426" s="304" t="s">
        <v>440</v>
      </c>
      <c r="B2426" s="1108" t="s">
        <v>137</v>
      </c>
      <c r="C2426" s="56">
        <v>46021</v>
      </c>
      <c r="D2426" s="43">
        <v>0</v>
      </c>
      <c r="F2426" s="311" t="s">
        <v>2022</v>
      </c>
      <c r="G2426" t="s">
        <v>1910</v>
      </c>
    </row>
    <row r="2427" spans="1:7">
      <c r="A2427" s="141" t="s">
        <v>270</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137</v>
      </c>
      <c r="C2433" s="56">
        <v>46027</v>
      </c>
      <c r="D2433" s="155">
        <v>1353</v>
      </c>
      <c r="E2433" s="43"/>
      <c r="G2433" t="s">
        <v>2023</v>
      </c>
    </row>
    <row r="2434" spans="1:7">
      <c r="A2434" s="247" t="s">
        <v>1125</v>
      </c>
      <c r="B2434" s="157" t="s">
        <v>1090</v>
      </c>
      <c r="C2434" s="56">
        <v>46027</v>
      </c>
      <c r="D2434" s="155">
        <v>248</v>
      </c>
      <c r="E2434" s="43"/>
      <c r="G2434" t="s">
        <v>2023</v>
      </c>
    </row>
    <row r="2435" spans="1:7">
      <c r="A2435" s="247" t="s">
        <v>242</v>
      </c>
      <c r="B2435" s="157" t="s">
        <v>206</v>
      </c>
      <c r="C2435" s="56">
        <v>46027</v>
      </c>
      <c r="D2435" s="155">
        <v>1105</v>
      </c>
      <c r="E2435" s="43"/>
      <c r="G2435" t="s">
        <v>2023</v>
      </c>
    </row>
    <row r="2436" spans="1:7">
      <c r="A2436" s="247" t="s">
        <v>435</v>
      </c>
      <c r="B2436" s="157" t="s">
        <v>137</v>
      </c>
      <c r="C2436" s="56">
        <v>46027</v>
      </c>
      <c r="D2436" s="155">
        <v>3728</v>
      </c>
      <c r="E2436" s="43"/>
      <c r="G2436" t="s">
        <v>2023</v>
      </c>
    </row>
    <row r="2437" spans="1:7">
      <c r="A2437" s="247" t="s">
        <v>478</v>
      </c>
      <c r="B2437" s="157" t="s">
        <v>137</v>
      </c>
      <c r="C2437" s="56">
        <v>46027</v>
      </c>
      <c r="D2437" s="155">
        <v>568</v>
      </c>
      <c r="E2437" s="43"/>
      <c r="G2437" t="s">
        <v>2023</v>
      </c>
    </row>
    <row r="2438" spans="1:7">
      <c r="A2438" s="247" t="s">
        <v>424</v>
      </c>
      <c r="B2438" s="157" t="s">
        <v>137</v>
      </c>
      <c r="C2438" s="56">
        <v>46028</v>
      </c>
      <c r="D2438" s="43">
        <v>0</v>
      </c>
      <c r="E2438" s="43"/>
      <c r="F2438" s="43" t="s">
        <v>2024</v>
      </c>
      <c r="G2438" t="s">
        <v>2023</v>
      </c>
    </row>
    <row r="2439" spans="1:7">
      <c r="A2439" s="247" t="s">
        <v>435</v>
      </c>
      <c r="B2439" s="157" t="s">
        <v>137</v>
      </c>
      <c r="C2439" s="56">
        <v>46028</v>
      </c>
      <c r="D2439" s="1415">
        <v>1789</v>
      </c>
      <c r="E2439" s="43"/>
      <c r="G2439" t="s">
        <v>2023</v>
      </c>
    </row>
    <row r="2440" spans="1:7">
      <c r="A2440" s="247" t="s">
        <v>481</v>
      </c>
      <c r="B2440" s="157" t="s">
        <v>137</v>
      </c>
      <c r="C2440" s="56">
        <v>46028</v>
      </c>
      <c r="D2440" s="1415">
        <v>2362</v>
      </c>
      <c r="E2440" s="43"/>
      <c r="G2440" t="s">
        <v>2023</v>
      </c>
    </row>
    <row r="2441" spans="1:7">
      <c r="A2441" s="247" t="s">
        <v>1009</v>
      </c>
      <c r="B2441" s="157" t="s">
        <v>137</v>
      </c>
      <c r="C2441" s="56">
        <v>46028</v>
      </c>
      <c r="D2441" s="1415">
        <v>1534</v>
      </c>
      <c r="E2441" s="43"/>
      <c r="F2441" s="43" t="s">
        <v>2025</v>
      </c>
      <c r="G2441" t="s">
        <v>2023</v>
      </c>
    </row>
    <row r="2442" spans="1:7">
      <c r="A2442" s="247" t="s">
        <v>242</v>
      </c>
      <c r="B2442" s="157" t="s">
        <v>206</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137</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137</v>
      </c>
      <c r="C2446" s="56">
        <v>46029</v>
      </c>
      <c r="D2446" s="88">
        <v>0</v>
      </c>
      <c r="E2446" s="43"/>
      <c r="F2446" s="311" t="s">
        <v>2026</v>
      </c>
      <c r="G2446" t="s">
        <v>2023</v>
      </c>
    </row>
    <row r="2447" spans="1:7">
      <c r="A2447" s="247" t="s">
        <v>385</v>
      </c>
      <c r="B2447" s="157" t="s">
        <v>137</v>
      </c>
      <c r="C2447" s="56">
        <v>46029</v>
      </c>
      <c r="D2447" s="1415">
        <v>1687</v>
      </c>
      <c r="E2447" s="43"/>
      <c r="G2447" t="s">
        <v>2023</v>
      </c>
    </row>
    <row r="2448" spans="1:7">
      <c r="A2448" s="247" t="s">
        <v>1018</v>
      </c>
      <c r="B2448" s="157" t="s">
        <v>137</v>
      </c>
      <c r="C2448" s="56">
        <v>46029</v>
      </c>
      <c r="D2448" s="1415">
        <v>1056</v>
      </c>
      <c r="E2448" s="43"/>
      <c r="F2448" s="1427" t="s">
        <v>2027</v>
      </c>
      <c r="G2448" t="s">
        <v>2023</v>
      </c>
    </row>
    <row r="2449" spans="1:7">
      <c r="A2449" s="247" t="s">
        <v>1009</v>
      </c>
      <c r="B2449" s="157" t="s">
        <v>137</v>
      </c>
      <c r="C2449" s="56">
        <v>46029</v>
      </c>
      <c r="D2449" s="88">
        <v>180</v>
      </c>
      <c r="E2449" s="43"/>
      <c r="F2449" s="1427" t="s">
        <v>1172</v>
      </c>
      <c r="G2449" t="s">
        <v>2023</v>
      </c>
    </row>
    <row r="2450" spans="1:7">
      <c r="A2450" s="247" t="s">
        <v>242</v>
      </c>
      <c r="B2450" s="157" t="s">
        <v>206</v>
      </c>
      <c r="C2450" s="56">
        <v>46029</v>
      </c>
      <c r="D2450" s="1415">
        <v>2151</v>
      </c>
      <c r="E2450" s="43"/>
      <c r="F2450" s="1427"/>
      <c r="G2450" t="s">
        <v>2023</v>
      </c>
    </row>
    <row r="2451" spans="1:7">
      <c r="A2451" s="247" t="s">
        <v>481</v>
      </c>
      <c r="B2451" s="157" t="s">
        <v>137</v>
      </c>
      <c r="C2451" s="56">
        <v>46029</v>
      </c>
      <c r="D2451" s="1415">
        <v>3079</v>
      </c>
      <c r="E2451" s="43"/>
      <c r="F2451" s="1427"/>
      <c r="G2451" t="s">
        <v>2023</v>
      </c>
    </row>
    <row r="2452" spans="1:7">
      <c r="A2452" s="247" t="s">
        <v>471</v>
      </c>
      <c r="B2452" s="157" t="s">
        <v>137</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137</v>
      </c>
      <c r="C2455" s="56">
        <v>46030</v>
      </c>
      <c r="D2455" s="1415">
        <v>1053</v>
      </c>
      <c r="E2455" s="43"/>
      <c r="F2455" s="1427" t="s">
        <v>2029</v>
      </c>
      <c r="G2455" t="s">
        <v>2023</v>
      </c>
    </row>
    <row r="2456" spans="1:7">
      <c r="A2456" s="247" t="s">
        <v>242</v>
      </c>
      <c r="B2456" s="157" t="s">
        <v>206</v>
      </c>
      <c r="C2456" s="56">
        <v>46030</v>
      </c>
      <c r="D2456" s="1415">
        <v>1926</v>
      </c>
      <c r="E2456" s="43"/>
      <c r="F2456" s="1427"/>
      <c r="G2456" t="s">
        <v>2023</v>
      </c>
    </row>
    <row r="2457" spans="1:7">
      <c r="A2457" s="247" t="s">
        <v>299</v>
      </c>
      <c r="B2457" s="157" t="s">
        <v>137</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257</v>
      </c>
      <c r="B2460" s="157" t="s">
        <v>2030</v>
      </c>
      <c r="C2460" s="56">
        <v>46031</v>
      </c>
      <c r="D2460" s="88">
        <v>0</v>
      </c>
      <c r="E2460" s="88"/>
      <c r="F2460" s="1427" t="s">
        <v>1219</v>
      </c>
      <c r="G2460" t="s">
        <v>2023</v>
      </c>
    </row>
    <row r="2461" spans="1:7">
      <c r="A2461" s="247" t="s">
        <v>242</v>
      </c>
      <c r="B2461" s="157" t="s">
        <v>206</v>
      </c>
      <c r="C2461" s="56">
        <v>46031</v>
      </c>
      <c r="D2461" s="1415">
        <v>1000</v>
      </c>
      <c r="E2461" s="88"/>
      <c r="F2461" s="1429"/>
      <c r="G2461" t="s">
        <v>2023</v>
      </c>
    </row>
    <row r="2462" spans="1:7">
      <c r="A2462" s="247" t="s">
        <v>468</v>
      </c>
      <c r="B2462" s="157" t="s">
        <v>137</v>
      </c>
      <c r="C2462" s="56">
        <v>46031</v>
      </c>
      <c r="D2462" s="1415">
        <v>104</v>
      </c>
      <c r="E2462" s="88"/>
      <c r="F2462" s="1429"/>
      <c r="G2462" t="s">
        <v>2023</v>
      </c>
    </row>
    <row r="2463" spans="1:7">
      <c r="A2463" s="247" t="s">
        <v>290</v>
      </c>
      <c r="B2463" s="157" t="s">
        <v>137</v>
      </c>
      <c r="C2463" s="56">
        <v>46031</v>
      </c>
      <c r="D2463" s="88"/>
      <c r="E2463" s="1415">
        <v>1056</v>
      </c>
      <c r="F2463" s="1429"/>
      <c r="G2463" t="s">
        <v>2023</v>
      </c>
    </row>
    <row r="2464" spans="1:7">
      <c r="A2464" s="247" t="s">
        <v>462</v>
      </c>
      <c r="B2464" s="157" t="s">
        <v>137</v>
      </c>
      <c r="C2464" s="56">
        <v>46031</v>
      </c>
      <c r="D2464" s="88"/>
      <c r="E2464" s="1415">
        <v>1090</v>
      </c>
      <c r="F2464" s="1427"/>
      <c r="G2464" t="s">
        <v>2023</v>
      </c>
    </row>
    <row r="2465" spans="1:7">
      <c r="A2465" s="247" t="s">
        <v>299</v>
      </c>
      <c r="B2465" s="157" t="s">
        <v>137</v>
      </c>
      <c r="C2465" s="56">
        <v>46031</v>
      </c>
      <c r="D2465" s="88">
        <v>447</v>
      </c>
      <c r="E2465" s="88"/>
      <c r="F2465" s="1429"/>
      <c r="G2465" t="s">
        <v>2023</v>
      </c>
    </row>
    <row r="2466" spans="1:7">
      <c r="A2466" s="247" t="s">
        <v>373</v>
      </c>
      <c r="B2466" s="157" t="s">
        <v>206</v>
      </c>
      <c r="C2466" s="56">
        <v>46031</v>
      </c>
      <c r="D2466" s="1415">
        <v>1319</v>
      </c>
      <c r="E2466" s="88"/>
      <c r="F2466" s="1429" t="s">
        <v>2032</v>
      </c>
      <c r="G2466" t="s">
        <v>2023</v>
      </c>
    </row>
    <row r="2467" spans="1:7">
      <c r="A2467" s="247" t="s">
        <v>385</v>
      </c>
      <c r="B2467" s="157" t="s">
        <v>137</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299</v>
      </c>
      <c r="B2471" s="157" t="s">
        <v>137</v>
      </c>
      <c r="C2471" s="56">
        <v>46034</v>
      </c>
      <c r="D2471" s="88">
        <v>858</v>
      </c>
      <c r="E2471" s="88"/>
      <c r="F2471" s="1429"/>
      <c r="G2471" t="s">
        <v>2023</v>
      </c>
    </row>
    <row r="2472" spans="1:7">
      <c r="A2472" s="247" t="s">
        <v>413</v>
      </c>
      <c r="B2472" s="157" t="s">
        <v>137</v>
      </c>
      <c r="C2472" s="56">
        <v>46034</v>
      </c>
      <c r="D2472" s="1415">
        <v>4915</v>
      </c>
      <c r="E2472" s="88"/>
      <c r="F2472" s="1429"/>
      <c r="G2472" t="s">
        <v>2023</v>
      </c>
    </row>
    <row r="2473" spans="1:7">
      <c r="A2473" s="247" t="s">
        <v>411</v>
      </c>
      <c r="B2473" s="157" t="s">
        <v>137</v>
      </c>
      <c r="C2473" s="56">
        <v>46034</v>
      </c>
      <c r="D2473" s="88">
        <v>813</v>
      </c>
      <c r="E2473" s="88"/>
      <c r="F2473" s="1429"/>
      <c r="G2473" t="s">
        <v>2023</v>
      </c>
    </row>
    <row r="2474" spans="1:7">
      <c r="A2474" s="247" t="s">
        <v>1018</v>
      </c>
      <c r="B2474" s="157" t="s">
        <v>137</v>
      </c>
      <c r="C2474" s="56">
        <v>46034</v>
      </c>
      <c r="D2474" s="1415">
        <v>1356</v>
      </c>
      <c r="E2474" s="88"/>
      <c r="F2474" s="1429" t="s">
        <v>2033</v>
      </c>
      <c r="G2474" t="s">
        <v>2023</v>
      </c>
    </row>
    <row r="2475" spans="1:7">
      <c r="A2475" s="247" t="s">
        <v>268</v>
      </c>
      <c r="B2475" s="157" t="s">
        <v>60</v>
      </c>
      <c r="C2475" s="56">
        <v>46034</v>
      </c>
      <c r="D2475" s="88">
        <v>607</v>
      </c>
      <c r="E2475" s="88"/>
      <c r="F2475" s="1429"/>
      <c r="G2475" t="s">
        <v>2023</v>
      </c>
    </row>
    <row r="2476" spans="1:7">
      <c r="A2476" s="247" t="s">
        <v>242</v>
      </c>
      <c r="B2476" s="157" t="s">
        <v>206</v>
      </c>
      <c r="C2476" s="56">
        <v>46034</v>
      </c>
      <c r="D2476" s="1415">
        <v>1812</v>
      </c>
      <c r="E2476" s="88"/>
      <c r="F2476" s="1429"/>
      <c r="G2476" t="s">
        <v>2023</v>
      </c>
    </row>
    <row r="2477" spans="1:7">
      <c r="A2477" s="247" t="s">
        <v>396</v>
      </c>
      <c r="B2477" s="157" t="s">
        <v>137</v>
      </c>
      <c r="C2477" s="56">
        <v>46034</v>
      </c>
      <c r="D2477" s="1415">
        <v>1314</v>
      </c>
      <c r="E2477" s="88"/>
      <c r="F2477" s="1429" t="s">
        <v>1598</v>
      </c>
      <c r="G2477" t="s">
        <v>2023</v>
      </c>
    </row>
    <row r="2478" spans="1:7">
      <c r="A2478" s="247" t="s">
        <v>373</v>
      </c>
      <c r="B2478" s="157" t="s">
        <v>206</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137</v>
      </c>
      <c r="C2480" s="56">
        <v>46035</v>
      </c>
      <c r="D2480" s="88"/>
      <c r="E2480" s="1415">
        <v>1208</v>
      </c>
      <c r="F2480" s="1427"/>
      <c r="G2480" t="s">
        <v>2023</v>
      </c>
    </row>
    <row r="2481" spans="1:7">
      <c r="A2481" s="247" t="s">
        <v>413</v>
      </c>
      <c r="B2481" s="157" t="s">
        <v>137</v>
      </c>
      <c r="C2481" s="56">
        <v>46035</v>
      </c>
      <c r="D2481" s="88">
        <v>914</v>
      </c>
      <c r="E2481" s="88"/>
      <c r="F2481" s="1429" t="s">
        <v>2035</v>
      </c>
      <c r="G2481" t="s">
        <v>2023</v>
      </c>
    </row>
    <row r="2482" spans="1:7">
      <c r="A2482" s="247" t="s">
        <v>414</v>
      </c>
      <c r="B2482" s="157" t="s">
        <v>137</v>
      </c>
      <c r="C2482" s="56">
        <v>46035</v>
      </c>
      <c r="D2482" s="1415">
        <v>6092</v>
      </c>
      <c r="E2482" s="88"/>
      <c r="F2482" s="1429"/>
      <c r="G2482" t="s">
        <v>2023</v>
      </c>
    </row>
    <row r="2483" spans="1:7">
      <c r="A2483" s="247" t="s">
        <v>411</v>
      </c>
      <c r="B2483" s="157" t="s">
        <v>137</v>
      </c>
      <c r="C2483" s="56">
        <v>46035</v>
      </c>
      <c r="D2483" s="1415">
        <v>1491</v>
      </c>
      <c r="E2483" s="88"/>
      <c r="F2483" s="1429"/>
      <c r="G2483" t="s">
        <v>2023</v>
      </c>
    </row>
    <row r="2484" spans="1:7">
      <c r="A2484" s="247" t="s">
        <v>302</v>
      </c>
      <c r="B2484" s="157" t="s">
        <v>137</v>
      </c>
      <c r="C2484" s="56">
        <v>46035</v>
      </c>
      <c r="D2484" s="88">
        <v>822</v>
      </c>
      <c r="E2484" s="88"/>
      <c r="F2484" s="1429"/>
      <c r="G2484" t="s">
        <v>2023</v>
      </c>
    </row>
    <row r="2485" spans="1:7">
      <c r="A2485" s="247" t="s">
        <v>1018</v>
      </c>
      <c r="B2485" s="157" t="s">
        <v>137</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242</v>
      </c>
      <c r="B2487" s="157" t="s">
        <v>206</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268</v>
      </c>
      <c r="B2489" s="157" t="s">
        <v>60</v>
      </c>
      <c r="C2489" s="56">
        <v>46035</v>
      </c>
      <c r="D2489" s="88">
        <v>662</v>
      </c>
      <c r="E2489" s="88"/>
      <c r="F2489" s="1429"/>
      <c r="G2489" t="s">
        <v>2023</v>
      </c>
    </row>
    <row r="2490" spans="1:7">
      <c r="A2490" s="247" t="s">
        <v>373</v>
      </c>
      <c r="B2490" s="157" t="s">
        <v>206</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137</v>
      </c>
      <c r="C2492" s="56">
        <v>46036</v>
      </c>
      <c r="D2492" s="88">
        <v>0</v>
      </c>
      <c r="E2492" s="43"/>
      <c r="F2492" s="1428" t="s">
        <v>1392</v>
      </c>
      <c r="G2492" t="s">
        <v>2023</v>
      </c>
    </row>
    <row r="2493" spans="1:7">
      <c r="A2493" s="247" t="s">
        <v>414</v>
      </c>
      <c r="B2493" s="157" t="s">
        <v>137</v>
      </c>
      <c r="C2493" s="56">
        <v>46036</v>
      </c>
      <c r="D2493" s="88">
        <v>0</v>
      </c>
      <c r="E2493" s="43"/>
      <c r="F2493" s="1429" t="s">
        <v>2040</v>
      </c>
      <c r="G2493" t="s">
        <v>2023</v>
      </c>
    </row>
    <row r="2494" spans="1:7">
      <c r="A2494" s="247" t="s">
        <v>411</v>
      </c>
      <c r="B2494" s="157" t="s">
        <v>137</v>
      </c>
      <c r="C2494" s="56">
        <v>46036</v>
      </c>
      <c r="D2494" s="1415">
        <v>1062</v>
      </c>
      <c r="E2494" s="43"/>
      <c r="F2494" s="1429"/>
      <c r="G2494" t="s">
        <v>2023</v>
      </c>
    </row>
    <row r="2495" spans="1:7">
      <c r="A2495" s="247" t="s">
        <v>302</v>
      </c>
      <c r="B2495" s="157" t="s">
        <v>137</v>
      </c>
      <c r="C2495" s="56">
        <v>46036</v>
      </c>
      <c r="D2495" s="1415">
        <v>2611</v>
      </c>
      <c r="E2495" s="43"/>
      <c r="F2495" s="1429"/>
      <c r="G2495" t="s">
        <v>2023</v>
      </c>
    </row>
    <row r="2496" spans="1:7">
      <c r="A2496" s="247" t="s">
        <v>268</v>
      </c>
      <c r="B2496" s="157" t="s">
        <v>60</v>
      </c>
      <c r="C2496" s="56">
        <v>46036</v>
      </c>
      <c r="D2496" s="88">
        <v>877</v>
      </c>
      <c r="E2496" s="43"/>
      <c r="F2496" s="1429" t="s">
        <v>2041</v>
      </c>
      <c r="G2496" t="s">
        <v>2023</v>
      </c>
    </row>
    <row r="2497" spans="1:7">
      <c r="A2497" s="247" t="s">
        <v>238</v>
      </c>
      <c r="B2497" s="157" t="s">
        <v>206</v>
      </c>
      <c r="C2497" s="56">
        <v>46036</v>
      </c>
      <c r="D2497" s="1415">
        <v>1200</v>
      </c>
      <c r="E2497" s="43"/>
      <c r="F2497" s="1429"/>
      <c r="G2497" t="s">
        <v>2023</v>
      </c>
    </row>
    <row r="2498" spans="1:7">
      <c r="A2498" s="247" t="s">
        <v>373</v>
      </c>
      <c r="B2498" s="157" t="s">
        <v>206</v>
      </c>
      <c r="C2498" s="56">
        <v>46036</v>
      </c>
      <c r="D2498" s="1415">
        <v>1082</v>
      </c>
      <c r="E2498" s="43"/>
      <c r="F2498" s="1429" t="s">
        <v>2042</v>
      </c>
      <c r="G2498" t="s">
        <v>2023</v>
      </c>
    </row>
    <row r="2499" spans="1:7">
      <c r="A2499" s="247" t="s">
        <v>1018</v>
      </c>
      <c r="B2499" s="157" t="s">
        <v>137</v>
      </c>
      <c r="C2499" s="56">
        <v>46036</v>
      </c>
      <c r="D2499" s="1415">
        <v>1295</v>
      </c>
      <c r="E2499" s="43"/>
      <c r="F2499" s="1429" t="s">
        <v>2043</v>
      </c>
      <c r="G2499" t="s">
        <v>2023</v>
      </c>
    </row>
    <row r="2500" spans="1:7">
      <c r="A2500" s="247" t="s">
        <v>305</v>
      </c>
      <c r="B2500" s="157" t="s">
        <v>137</v>
      </c>
      <c r="C2500" s="56">
        <v>46036</v>
      </c>
      <c r="D2500" s="88">
        <v>544</v>
      </c>
      <c r="E2500" s="43"/>
      <c r="F2500" s="1429" t="s">
        <v>2044</v>
      </c>
      <c r="G2500" t="s">
        <v>2023</v>
      </c>
    </row>
    <row r="2501" spans="1:7">
      <c r="A2501" s="247" t="s">
        <v>290</v>
      </c>
      <c r="B2501" s="157" t="s">
        <v>1090</v>
      </c>
      <c r="C2501" s="56">
        <v>46036</v>
      </c>
      <c r="D2501" s="88"/>
      <c r="E2501" s="1415">
        <v>1562</v>
      </c>
      <c r="F2501" s="1429"/>
      <c r="G2501" t="s">
        <v>2023</v>
      </c>
    </row>
    <row r="2502" spans="1:7">
      <c r="A2502" s="247" t="s">
        <v>413</v>
      </c>
      <c r="B2502" s="157" t="s">
        <v>137</v>
      </c>
      <c r="C2502" s="56">
        <v>46036</v>
      </c>
      <c r="D2502" s="88">
        <v>0</v>
      </c>
      <c r="E2502" s="43"/>
      <c r="F2502" s="1429" t="s">
        <v>2045</v>
      </c>
      <c r="G2502" t="s">
        <v>2023</v>
      </c>
    </row>
    <row r="2503" spans="1:7">
      <c r="A2503" s="247" t="s">
        <v>416</v>
      </c>
      <c r="B2503" s="157" t="s">
        <v>137</v>
      </c>
      <c r="C2503" s="56">
        <v>46036</v>
      </c>
      <c r="D2503" s="1415">
        <v>1728</v>
      </c>
      <c r="E2503" s="43"/>
      <c r="F2503" s="1429" t="s">
        <v>1687</v>
      </c>
      <c r="G2503" t="s">
        <v>2023</v>
      </c>
    </row>
    <row r="2504" spans="1:7">
      <c r="A2504" s="247" t="s">
        <v>411</v>
      </c>
      <c r="B2504" s="157" t="s">
        <v>137</v>
      </c>
      <c r="C2504" s="56">
        <v>46037</v>
      </c>
      <c r="D2504" s="88">
        <v>527</v>
      </c>
      <c r="E2504" s="43"/>
      <c r="F2504" s="1429" t="s">
        <v>1758</v>
      </c>
      <c r="G2504" t="s">
        <v>2023</v>
      </c>
    </row>
    <row r="2505" spans="1:7">
      <c r="A2505" s="247" t="s">
        <v>418</v>
      </c>
      <c r="B2505" s="157" t="s">
        <v>137</v>
      </c>
      <c r="C2505" s="56">
        <v>46037</v>
      </c>
      <c r="D2505" s="1415">
        <v>1562</v>
      </c>
      <c r="E2505" s="43"/>
      <c r="F2505" s="1429"/>
      <c r="G2505" t="s">
        <v>2023</v>
      </c>
    </row>
    <row r="2506" spans="1:7">
      <c r="A2506" s="247" t="s">
        <v>305</v>
      </c>
      <c r="B2506" s="157" t="s">
        <v>137</v>
      </c>
      <c r="C2506" s="56">
        <v>46037</v>
      </c>
      <c r="D2506" s="1415">
        <v>2832</v>
      </c>
      <c r="E2506" s="43"/>
      <c r="F2506" s="1429"/>
      <c r="G2506" t="s">
        <v>2023</v>
      </c>
    </row>
    <row r="2507" spans="1:7">
      <c r="A2507" s="247" t="s">
        <v>414</v>
      </c>
      <c r="B2507" s="157" t="s">
        <v>137</v>
      </c>
      <c r="C2507" s="56">
        <v>46037</v>
      </c>
      <c r="D2507" s="88">
        <v>0</v>
      </c>
      <c r="E2507" s="43"/>
      <c r="F2507" s="1429" t="s">
        <v>2046</v>
      </c>
      <c r="G2507" t="s">
        <v>2023</v>
      </c>
    </row>
    <row r="2508" spans="1:7">
      <c r="A2508" s="247" t="s">
        <v>420</v>
      </c>
      <c r="B2508" s="157" t="s">
        <v>137</v>
      </c>
      <c r="C2508" s="56">
        <v>46037</v>
      </c>
      <c r="D2508" s="1415">
        <v>1639</v>
      </c>
      <c r="E2508" s="43"/>
      <c r="F2508" s="1429"/>
      <c r="G2508" t="s">
        <v>2023</v>
      </c>
    </row>
    <row r="2509" spans="1:7">
      <c r="A2509" s="247" t="s">
        <v>238</v>
      </c>
      <c r="B2509" s="157" t="s">
        <v>206</v>
      </c>
      <c r="C2509" s="56">
        <v>46037</v>
      </c>
      <c r="D2509" s="88">
        <v>445</v>
      </c>
      <c r="E2509" s="43"/>
      <c r="F2509" s="1429"/>
      <c r="G2509" t="s">
        <v>2023</v>
      </c>
    </row>
    <row r="2510" spans="1:7">
      <c r="A2510" s="247" t="s">
        <v>268</v>
      </c>
      <c r="B2510" s="157" t="s">
        <v>60</v>
      </c>
      <c r="C2510" s="56">
        <v>46037</v>
      </c>
      <c r="D2510" s="88">
        <v>499</v>
      </c>
      <c r="E2510" s="43"/>
      <c r="F2510" s="1429" t="s">
        <v>2047</v>
      </c>
      <c r="G2510" t="s">
        <v>2023</v>
      </c>
    </row>
    <row r="2511" spans="1:7">
      <c r="A2511" s="247" t="s">
        <v>373</v>
      </c>
      <c r="B2511" s="157" t="s">
        <v>206</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242</v>
      </c>
      <c r="B2513" s="1402" t="s">
        <v>206</v>
      </c>
      <c r="C2513" s="344">
        <v>46037</v>
      </c>
      <c r="D2513" s="332">
        <v>0</v>
      </c>
      <c r="E2513" s="253"/>
      <c r="F2513" s="1320" t="s">
        <v>2050</v>
      </c>
      <c r="G2513" t="s">
        <v>2023</v>
      </c>
    </row>
    <row r="2514" spans="1:7">
      <c r="A2514" s="399" t="s">
        <v>420</v>
      </c>
      <c r="B2514" s="1402" t="s">
        <v>137</v>
      </c>
      <c r="C2514" s="344">
        <v>46038</v>
      </c>
      <c r="D2514" s="332">
        <v>987</v>
      </c>
      <c r="E2514" s="253"/>
      <c r="F2514" s="1429"/>
      <c r="G2514" t="s">
        <v>2023</v>
      </c>
    </row>
    <row r="2515" spans="1:7">
      <c r="A2515" s="247" t="s">
        <v>305</v>
      </c>
      <c r="B2515" s="157" t="s">
        <v>137</v>
      </c>
      <c r="C2515" s="56">
        <v>46038</v>
      </c>
      <c r="D2515" s="88">
        <v>457</v>
      </c>
      <c r="F2515" s="1429"/>
      <c r="G2515" t="s">
        <v>2023</v>
      </c>
    </row>
    <row r="2516" spans="1:7">
      <c r="A2516" s="247" t="s">
        <v>416</v>
      </c>
      <c r="B2516" s="157" t="s">
        <v>137</v>
      </c>
      <c r="C2516" s="56">
        <v>46038</v>
      </c>
      <c r="D2516" s="1415">
        <v>3082</v>
      </c>
      <c r="F2516" s="1429"/>
      <c r="G2516" t="s">
        <v>2023</v>
      </c>
    </row>
    <row r="2517" spans="1:7">
      <c r="A2517" s="247" t="s">
        <v>268</v>
      </c>
      <c r="B2517" s="157" t="s">
        <v>60</v>
      </c>
      <c r="C2517" s="56">
        <v>46038</v>
      </c>
      <c r="D2517" s="88">
        <v>186</v>
      </c>
      <c r="F2517" s="1429" t="s">
        <v>2044</v>
      </c>
      <c r="G2517" t="s">
        <v>2023</v>
      </c>
    </row>
    <row r="2518" spans="1:7">
      <c r="A2518" s="247" t="s">
        <v>238</v>
      </c>
      <c r="B2518" s="157" t="s">
        <v>206</v>
      </c>
      <c r="C2518" s="56">
        <v>46038</v>
      </c>
      <c r="D2518" s="88">
        <v>686</v>
      </c>
      <c r="F2518" s="1431"/>
      <c r="G2518" t="s">
        <v>2023</v>
      </c>
    </row>
    <row r="2519" spans="1:7">
      <c r="A2519" s="247" t="s">
        <v>418</v>
      </c>
      <c r="B2519" s="157" t="s">
        <v>137</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206</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137</v>
      </c>
      <c r="C2525" s="56">
        <v>46042</v>
      </c>
      <c r="D2525" s="43">
        <v>0</v>
      </c>
      <c r="E2525" s="253"/>
      <c r="F2525" s="1462" t="s">
        <v>1392</v>
      </c>
      <c r="G2525" t="s">
        <v>2023</v>
      </c>
    </row>
    <row r="2526" spans="1:7">
      <c r="A2526" s="311" t="s">
        <v>173</v>
      </c>
      <c r="B2526" s="311" t="s">
        <v>137</v>
      </c>
      <c r="C2526" s="56">
        <v>46042</v>
      </c>
      <c r="D2526" s="155">
        <v>1344</v>
      </c>
      <c r="F2526" s="1427" t="s">
        <v>1533</v>
      </c>
      <c r="G2526" t="s">
        <v>2023</v>
      </c>
    </row>
    <row r="2527" spans="1:7">
      <c r="A2527" s="311" t="s">
        <v>238</v>
      </c>
      <c r="B2527" s="311" t="s">
        <v>206</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274</v>
      </c>
      <c r="B2530" s="315" t="s">
        <v>206</v>
      </c>
      <c r="C2530" s="56">
        <v>46042</v>
      </c>
      <c r="D2530" s="155">
        <v>2719</v>
      </c>
      <c r="F2530" s="1427" t="s">
        <v>2054</v>
      </c>
      <c r="G2530" t="s">
        <v>2023</v>
      </c>
    </row>
    <row r="2531" spans="1:7">
      <c r="A2531" s="311" t="s">
        <v>420</v>
      </c>
      <c r="B2531" s="311" t="s">
        <v>137</v>
      </c>
      <c r="C2531" s="56">
        <v>46042</v>
      </c>
      <c r="D2531" s="43">
        <v>0</v>
      </c>
      <c r="F2531" s="311" t="s">
        <v>1845</v>
      </c>
      <c r="G2531" t="s">
        <v>2023</v>
      </c>
    </row>
    <row r="2532" spans="1:7">
      <c r="A2532" s="315" t="s">
        <v>422</v>
      </c>
      <c r="B2532" s="315" t="s">
        <v>137</v>
      </c>
      <c r="C2532" s="56">
        <v>46042</v>
      </c>
      <c r="D2532" s="155">
        <v>1277</v>
      </c>
      <c r="F2532" s="1427"/>
      <c r="G2532" t="s">
        <v>2023</v>
      </c>
    </row>
    <row r="2533" spans="1:7">
      <c r="A2533" s="315" t="s">
        <v>305</v>
      </c>
      <c r="B2533" s="315" t="s">
        <v>137</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124</v>
      </c>
      <c r="B2536" s="311" t="s">
        <v>125</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274</v>
      </c>
      <c r="B2541" s="315" t="s">
        <v>206</v>
      </c>
      <c r="C2541" s="56">
        <v>46043</v>
      </c>
      <c r="D2541" s="155">
        <v>408</v>
      </c>
      <c r="F2541" s="1427"/>
      <c r="G2541" t="s">
        <v>2023</v>
      </c>
    </row>
    <row r="2542" spans="1:7">
      <c r="A2542" s="315" t="s">
        <v>281</v>
      </c>
      <c r="B2542" s="315" t="s">
        <v>206</v>
      </c>
      <c r="C2542" s="56">
        <v>46043</v>
      </c>
      <c r="D2542" s="155">
        <v>2000</v>
      </c>
      <c r="F2542" s="1427"/>
      <c r="G2542" t="s">
        <v>2023</v>
      </c>
    </row>
    <row r="2543" spans="1:7">
      <c r="A2543" s="311" t="s">
        <v>420</v>
      </c>
      <c r="B2543" s="311" t="s">
        <v>137</v>
      </c>
      <c r="C2543" s="56">
        <v>46043</v>
      </c>
      <c r="D2543" s="43">
        <v>575</v>
      </c>
      <c r="F2543" s="1427"/>
      <c r="G2543" t="s">
        <v>2023</v>
      </c>
    </row>
    <row r="2544" spans="1:7">
      <c r="A2544" s="732" t="s">
        <v>418</v>
      </c>
      <c r="B2544" s="732" t="s">
        <v>137</v>
      </c>
      <c r="C2544" s="336">
        <v>46043</v>
      </c>
      <c r="D2544" s="1489">
        <v>2265</v>
      </c>
      <c r="E2544" s="201"/>
      <c r="F2544" s="1490"/>
      <c r="G2544" t="s">
        <v>2023</v>
      </c>
    </row>
    <row r="2545" spans="1:7">
      <c r="A2545" s="141" t="s">
        <v>299</v>
      </c>
      <c r="B2545" s="141" t="s">
        <v>118</v>
      </c>
      <c r="C2545" s="56">
        <v>46043</v>
      </c>
      <c r="D2545" s="155"/>
      <c r="E2545" s="43"/>
      <c r="F2545" s="800" t="s">
        <v>1392</v>
      </c>
      <c r="G2545" t="s">
        <v>2023</v>
      </c>
    </row>
    <row r="2546" spans="1:7">
      <c r="A2546" s="315" t="s">
        <v>505</v>
      </c>
      <c r="B2546" s="315" t="s">
        <v>1090</v>
      </c>
      <c r="C2546" s="344">
        <v>46044</v>
      </c>
      <c r="D2546" s="169">
        <v>186</v>
      </c>
      <c r="E2546" s="253"/>
      <c r="F2546" s="1491" t="s">
        <v>1231</v>
      </c>
      <c r="G2546" t="s">
        <v>2023</v>
      </c>
    </row>
    <row r="2547" spans="1:7">
      <c r="A2547" s="315" t="s">
        <v>1133</v>
      </c>
      <c r="B2547" s="315" t="s">
        <v>60</v>
      </c>
      <c r="C2547" s="56">
        <v>46044</v>
      </c>
      <c r="D2547" s="43">
        <v>0</v>
      </c>
      <c r="F2547" s="1317" t="s">
        <v>1369</v>
      </c>
      <c r="G2547" t="s">
        <v>2023</v>
      </c>
    </row>
    <row r="2548" spans="1:7">
      <c r="A2548" s="311" t="s">
        <v>124</v>
      </c>
      <c r="B2548" s="311" t="s">
        <v>125</v>
      </c>
      <c r="C2548" s="56">
        <v>46044</v>
      </c>
      <c r="D2548" s="43">
        <v>736</v>
      </c>
      <c r="F2548" s="1427" t="s">
        <v>2059</v>
      </c>
      <c r="G2548" t="s">
        <v>2023</v>
      </c>
    </row>
    <row r="2549" spans="1:7">
      <c r="A2549" s="315" t="s">
        <v>117</v>
      </c>
      <c r="B2549" s="315" t="s">
        <v>118</v>
      </c>
      <c r="C2549" s="56">
        <v>46044</v>
      </c>
      <c r="D2549" s="155">
        <v>1539</v>
      </c>
      <c r="F2549" s="1427" t="s">
        <v>2060</v>
      </c>
      <c r="G2549" t="s">
        <v>2023</v>
      </c>
    </row>
    <row r="2550" spans="1:7">
      <c r="A2550" s="315" t="s">
        <v>1018</v>
      </c>
      <c r="B2550" s="315" t="s">
        <v>1090</v>
      </c>
      <c r="C2550" s="56">
        <v>46044</v>
      </c>
      <c r="E2550" s="139">
        <v>486</v>
      </c>
      <c r="F2550" s="1427" t="s">
        <v>2061</v>
      </c>
      <c r="G2550" t="s">
        <v>2023</v>
      </c>
    </row>
    <row r="2551" spans="1:7">
      <c r="A2551" s="311" t="s">
        <v>1160</v>
      </c>
      <c r="B2551" s="311" t="s">
        <v>60</v>
      </c>
      <c r="C2551" s="56">
        <v>46044</v>
      </c>
      <c r="D2551" s="43">
        <v>520</v>
      </c>
      <c r="F2551" s="1427" t="s">
        <v>2047</v>
      </c>
      <c r="G2551" t="s">
        <v>2023</v>
      </c>
    </row>
    <row r="2552" spans="1:7">
      <c r="A2552" s="315" t="s">
        <v>1161</v>
      </c>
      <c r="B2552" s="315" t="s">
        <v>1777</v>
      </c>
      <c r="C2552" s="56">
        <v>46044</v>
      </c>
      <c r="D2552" s="155">
        <v>1462</v>
      </c>
      <c r="F2552" s="1427" t="s">
        <v>2062</v>
      </c>
      <c r="G2552" t="s">
        <v>2023</v>
      </c>
    </row>
    <row r="2553" spans="1:7">
      <c r="A2553" s="315" t="s">
        <v>205</v>
      </c>
      <c r="B2553" s="315" t="s">
        <v>206</v>
      </c>
      <c r="C2553" s="56">
        <v>46044</v>
      </c>
      <c r="D2553" s="155">
        <v>2031</v>
      </c>
      <c r="F2553" s="1427" t="s">
        <v>2063</v>
      </c>
      <c r="G2553" t="s">
        <v>2023</v>
      </c>
    </row>
    <row r="2554" spans="1:7">
      <c r="A2554" s="315" t="s">
        <v>281</v>
      </c>
      <c r="B2554" s="315" t="s">
        <v>206</v>
      </c>
      <c r="C2554" s="56">
        <v>46044</v>
      </c>
      <c r="D2554" s="43">
        <v>970</v>
      </c>
      <c r="F2554" s="1427" t="s">
        <v>2064</v>
      </c>
      <c r="G2554" t="s">
        <v>2023</v>
      </c>
    </row>
    <row r="2555" spans="1:7">
      <c r="A2555" s="315" t="s">
        <v>411</v>
      </c>
      <c r="B2555" s="315" t="s">
        <v>137</v>
      </c>
      <c r="C2555" s="56">
        <v>46044</v>
      </c>
      <c r="D2555" s="155">
        <v>1776</v>
      </c>
      <c r="F2555" s="1427" t="s">
        <v>2065</v>
      </c>
      <c r="G2555" t="s">
        <v>2023</v>
      </c>
    </row>
    <row r="2556" spans="1:7">
      <c r="A2556" s="315" t="s">
        <v>299</v>
      </c>
      <c r="B2556" s="315" t="s">
        <v>137</v>
      </c>
      <c r="C2556" s="56">
        <v>46044</v>
      </c>
      <c r="D2556" s="155">
        <v>1940</v>
      </c>
      <c r="F2556" s="1427" t="s">
        <v>2066</v>
      </c>
      <c r="G2556" t="s">
        <v>2023</v>
      </c>
    </row>
    <row r="2557" spans="1:7">
      <c r="A2557" s="311" t="s">
        <v>1108</v>
      </c>
      <c r="B2557" s="311" t="s">
        <v>1090</v>
      </c>
      <c r="C2557" s="56">
        <v>46045</v>
      </c>
      <c r="D2557" s="43">
        <v>57</v>
      </c>
      <c r="F2557" s="1427" t="s">
        <v>1594</v>
      </c>
      <c r="G2557" t="s">
        <v>2023</v>
      </c>
    </row>
    <row r="2558" spans="1:7">
      <c r="A2558" s="315" t="s">
        <v>1133</v>
      </c>
      <c r="B2558" s="315" t="s">
        <v>60</v>
      </c>
      <c r="C2558" s="56">
        <v>46045</v>
      </c>
      <c r="D2558" s="43">
        <v>274</v>
      </c>
      <c r="F2558" s="1427"/>
      <c r="G2558" t="s">
        <v>2023</v>
      </c>
    </row>
    <row r="2559" spans="1:7">
      <c r="A2559" s="311" t="s">
        <v>1160</v>
      </c>
      <c r="B2559" s="311" t="s">
        <v>60</v>
      </c>
      <c r="C2559" s="56">
        <v>46045</v>
      </c>
      <c r="D2559" s="43">
        <v>0</v>
      </c>
      <c r="F2559" s="1427" t="s">
        <v>1236</v>
      </c>
      <c r="G2559" t="s">
        <v>2023</v>
      </c>
    </row>
    <row r="2560" spans="1:7">
      <c r="A2560" s="315" t="s">
        <v>1161</v>
      </c>
      <c r="B2560" s="315" t="s">
        <v>1777</v>
      </c>
      <c r="C2560" s="56">
        <v>46045</v>
      </c>
      <c r="D2560" s="155">
        <v>1617</v>
      </c>
      <c r="F2560" s="1427"/>
      <c r="G2560" t="s">
        <v>2023</v>
      </c>
    </row>
    <row r="2561" spans="1:7">
      <c r="A2561" s="315" t="s">
        <v>205</v>
      </c>
      <c r="B2561" s="315" t="s">
        <v>206</v>
      </c>
      <c r="C2561" s="56">
        <v>46045</v>
      </c>
      <c r="D2561" s="43">
        <v>845</v>
      </c>
      <c r="F2561" s="1427" t="s">
        <v>2067</v>
      </c>
      <c r="G2561" t="s">
        <v>2023</v>
      </c>
    </row>
    <row r="2562" spans="1:7">
      <c r="A2562" s="311" t="s">
        <v>418</v>
      </c>
      <c r="B2562" s="311" t="s">
        <v>137</v>
      </c>
      <c r="C2562" s="56">
        <v>46045</v>
      </c>
      <c r="D2562" s="155">
        <v>2651</v>
      </c>
      <c r="F2562" s="1427" t="s">
        <v>2068</v>
      </c>
      <c r="G2562" t="s">
        <v>2023</v>
      </c>
    </row>
    <row r="2563" spans="1:7">
      <c r="A2563" s="315" t="s">
        <v>420</v>
      </c>
      <c r="B2563" s="315" t="s">
        <v>137</v>
      </c>
      <c r="C2563" s="56">
        <v>46045</v>
      </c>
      <c r="D2563" s="43">
        <v>818</v>
      </c>
      <c r="F2563" s="1427"/>
      <c r="G2563" t="s">
        <v>2023</v>
      </c>
    </row>
    <row r="2564" spans="1:7">
      <c r="A2564" s="315" t="s">
        <v>468</v>
      </c>
      <c r="B2564" s="315" t="s">
        <v>1090</v>
      </c>
      <c r="C2564" s="56">
        <v>46045</v>
      </c>
      <c r="E2564" s="321">
        <v>1907</v>
      </c>
      <c r="F2564" s="311" t="s">
        <v>1539</v>
      </c>
      <c r="G2564" t="s">
        <v>2023</v>
      </c>
    </row>
    <row r="2565" spans="1:7">
      <c r="A2565" s="935" t="s">
        <v>1133</v>
      </c>
      <c r="B2565" s="935" t="s">
        <v>60</v>
      </c>
      <c r="C2565" s="56">
        <v>46048</v>
      </c>
      <c r="F2565" s="1317" t="s">
        <v>2069</v>
      </c>
      <c r="G2565" t="s">
        <v>2023</v>
      </c>
    </row>
    <row r="2566" spans="1:7">
      <c r="A2566" s="754" t="s">
        <v>117</v>
      </c>
      <c r="B2566" s="754" t="s">
        <v>137</v>
      </c>
      <c r="C2566" s="56">
        <v>46048</v>
      </c>
      <c r="D2566" s="155">
        <v>1590</v>
      </c>
      <c r="F2566" s="1427" t="s">
        <v>1869</v>
      </c>
      <c r="G2566" t="s">
        <v>2023</v>
      </c>
    </row>
    <row r="2567" spans="1:7">
      <c r="A2567" s="935" t="s">
        <v>124</v>
      </c>
      <c r="B2567" s="935" t="s">
        <v>125</v>
      </c>
      <c r="C2567" s="56">
        <v>46048</v>
      </c>
      <c r="D2567" s="43">
        <v>835</v>
      </c>
      <c r="F2567" s="1427" t="s">
        <v>2070</v>
      </c>
      <c r="G2567" t="s">
        <v>2023</v>
      </c>
    </row>
    <row r="2568" spans="1:7">
      <c r="A2568" s="935" t="s">
        <v>128</v>
      </c>
      <c r="B2568" s="935" t="s">
        <v>137</v>
      </c>
      <c r="C2568" s="56">
        <v>46048</v>
      </c>
      <c r="F2568" s="754" t="s">
        <v>2071</v>
      </c>
      <c r="G2568" t="s">
        <v>2023</v>
      </c>
    </row>
    <row r="2569" spans="1:7">
      <c r="A2569" s="935" t="s">
        <v>173</v>
      </c>
      <c r="B2569" s="935" t="s">
        <v>137</v>
      </c>
      <c r="C2569" s="56">
        <v>46048</v>
      </c>
      <c r="D2569" s="43">
        <v>886</v>
      </c>
      <c r="F2569" s="1427" t="s">
        <v>1219</v>
      </c>
      <c r="G2569" t="s">
        <v>2023</v>
      </c>
    </row>
    <row r="2570" spans="1:7">
      <c r="A2570" s="935" t="s">
        <v>396</v>
      </c>
      <c r="B2570" s="935" t="s">
        <v>1090</v>
      </c>
      <c r="C2570" s="56">
        <v>46048</v>
      </c>
      <c r="E2570" s="139">
        <v>313</v>
      </c>
      <c r="F2570" s="1427" t="s">
        <v>2072</v>
      </c>
      <c r="G2570" t="s">
        <v>2023</v>
      </c>
    </row>
    <row r="2571" spans="1:7">
      <c r="A2571" s="754" t="s">
        <v>1160</v>
      </c>
      <c r="B2571" s="754" t="s">
        <v>60</v>
      </c>
      <c r="C2571" s="56">
        <v>46048</v>
      </c>
      <c r="D2571" s="43">
        <v>376</v>
      </c>
      <c r="F2571" s="1427" t="s">
        <v>1757</v>
      </c>
      <c r="G2571" t="s">
        <v>2023</v>
      </c>
    </row>
    <row r="2572" spans="1:7">
      <c r="A2572" s="935" t="s">
        <v>1161</v>
      </c>
      <c r="B2572" s="935" t="s">
        <v>1777</v>
      </c>
      <c r="C2572" s="56">
        <v>46048</v>
      </c>
      <c r="D2572" s="155">
        <v>1642</v>
      </c>
      <c r="F2572" s="43" t="s">
        <v>2073</v>
      </c>
      <c r="G2572" t="s">
        <v>2023</v>
      </c>
    </row>
    <row r="2573" spans="1:7">
      <c r="A2573" s="935" t="s">
        <v>205</v>
      </c>
      <c r="B2573" s="935" t="s">
        <v>206</v>
      </c>
      <c r="C2573" s="56">
        <v>46048</v>
      </c>
      <c r="D2573" s="155">
        <v>1530</v>
      </c>
      <c r="F2573" s="43" t="s">
        <v>2074</v>
      </c>
      <c r="G2573" t="s">
        <v>2023</v>
      </c>
    </row>
    <row r="2574" spans="1:7">
      <c r="A2574" s="247" t="s">
        <v>420</v>
      </c>
      <c r="B2574" s="935" t="s">
        <v>137</v>
      </c>
      <c r="C2574" s="56">
        <v>46048</v>
      </c>
      <c r="E2574" s="321">
        <v>6116</v>
      </c>
      <c r="F2574" s="43" t="s">
        <v>2075</v>
      </c>
      <c r="G2574" t="s">
        <v>2023</v>
      </c>
    </row>
    <row r="2575" spans="1:7">
      <c r="A2575" s="247" t="s">
        <v>302</v>
      </c>
      <c r="B2575" s="935" t="s">
        <v>137</v>
      </c>
      <c r="C2575" s="56">
        <v>46048</v>
      </c>
      <c r="D2575" s="155">
        <v>1908</v>
      </c>
      <c r="F2575" s="43" t="s">
        <v>2076</v>
      </c>
      <c r="G2575" t="s">
        <v>2023</v>
      </c>
    </row>
    <row r="2576" spans="1:7">
      <c r="A2576" s="777" t="s">
        <v>1133</v>
      </c>
      <c r="B2576" s="777" t="s">
        <v>60</v>
      </c>
      <c r="C2576" s="336">
        <v>46049</v>
      </c>
      <c r="D2576" s="115">
        <v>343</v>
      </c>
      <c r="E2576" s="201"/>
      <c r="F2576" s="115"/>
      <c r="G2576" t="s">
        <v>2023</v>
      </c>
    </row>
    <row r="2577" spans="1:7">
      <c r="A2577" s="751" t="s">
        <v>205</v>
      </c>
      <c r="B2577" s="751" t="s">
        <v>206</v>
      </c>
      <c r="C2577" s="56">
        <v>46049</v>
      </c>
      <c r="D2577" s="43">
        <v>388</v>
      </c>
      <c r="E2577" s="43"/>
      <c r="F2577" s="43" t="s">
        <v>2077</v>
      </c>
      <c r="G2577" t="s">
        <v>2023</v>
      </c>
    </row>
    <row r="2578" spans="1:7">
      <c r="A2578" s="935" t="s">
        <v>385</v>
      </c>
      <c r="B2578" s="935" t="s">
        <v>1090</v>
      </c>
      <c r="C2578" s="344">
        <v>46049</v>
      </c>
      <c r="D2578" s="169"/>
      <c r="E2578" s="253">
        <v>346</v>
      </c>
      <c r="F2578" s="935"/>
      <c r="G2578" t="s">
        <v>2023</v>
      </c>
    </row>
    <row r="2579" spans="1:7">
      <c r="A2579" s="935" t="s">
        <v>117</v>
      </c>
      <c r="B2579" s="935" t="s">
        <v>137</v>
      </c>
      <c r="C2579" s="56">
        <v>46049</v>
      </c>
      <c r="D2579" s="155">
        <v>1230</v>
      </c>
      <c r="F2579" s="43" t="s">
        <v>1752</v>
      </c>
      <c r="G2579" t="s">
        <v>2023</v>
      </c>
    </row>
    <row r="2580" spans="1:7">
      <c r="A2580" s="935" t="s">
        <v>124</v>
      </c>
      <c r="B2580" s="935" t="s">
        <v>125</v>
      </c>
      <c r="C2580" s="56">
        <v>46049</v>
      </c>
      <c r="D2580" s="43">
        <v>858</v>
      </c>
      <c r="F2580" s="43" t="s">
        <v>2078</v>
      </c>
      <c r="G2580" t="s">
        <v>2023</v>
      </c>
    </row>
    <row r="2581" spans="1:7">
      <c r="A2581" s="935" t="s">
        <v>128</v>
      </c>
      <c r="B2581" s="935" t="s">
        <v>137</v>
      </c>
      <c r="C2581" s="56">
        <v>46049</v>
      </c>
      <c r="D2581" s="155">
        <v>1758</v>
      </c>
      <c r="F2581" s="43" t="s">
        <v>2079</v>
      </c>
      <c r="G2581" t="s">
        <v>2023</v>
      </c>
    </row>
    <row r="2582" spans="1:7">
      <c r="A2582" s="754" t="s">
        <v>1160</v>
      </c>
      <c r="B2582" s="754" t="s">
        <v>60</v>
      </c>
      <c r="C2582" s="56">
        <v>46049</v>
      </c>
      <c r="D2582" s="43">
        <v>647</v>
      </c>
      <c r="F2582" s="43" t="s">
        <v>2080</v>
      </c>
      <c r="G2582" t="s">
        <v>2023</v>
      </c>
    </row>
    <row r="2583" spans="1:7">
      <c r="A2583" s="935" t="s">
        <v>1161</v>
      </c>
      <c r="B2583" s="935" t="s">
        <v>1777</v>
      </c>
      <c r="C2583" s="56">
        <v>46049</v>
      </c>
      <c r="D2583" s="43">
        <v>843</v>
      </c>
      <c r="G2583" t="s">
        <v>2023</v>
      </c>
    </row>
    <row r="2584" spans="1:7">
      <c r="A2584" s="935" t="s">
        <v>238</v>
      </c>
      <c r="B2584" s="935" t="s">
        <v>206</v>
      </c>
      <c r="C2584" s="56">
        <v>46049</v>
      </c>
      <c r="D2584" s="43">
        <v>511</v>
      </c>
      <c r="G2584" t="s">
        <v>2023</v>
      </c>
    </row>
    <row r="2585" spans="1:7">
      <c r="A2585" s="754" t="s">
        <v>422</v>
      </c>
      <c r="B2585" s="754" t="s">
        <v>137</v>
      </c>
      <c r="C2585" s="56">
        <v>46049</v>
      </c>
      <c r="E2585" s="321">
        <v>2058</v>
      </c>
      <c r="F2585" s="754" t="s">
        <v>2081</v>
      </c>
      <c r="G2585" t="s">
        <v>2023</v>
      </c>
    </row>
    <row r="2586" spans="1:7">
      <c r="A2586" s="935" t="s">
        <v>411</v>
      </c>
      <c r="B2586" s="935" t="s">
        <v>137</v>
      </c>
      <c r="C2586" s="56">
        <v>46049</v>
      </c>
      <c r="F2586" s="754" t="s">
        <v>1392</v>
      </c>
      <c r="G2586" t="s">
        <v>2023</v>
      </c>
    </row>
    <row r="2587" spans="1:7">
      <c r="A2587" s="935" t="s">
        <v>413</v>
      </c>
      <c r="B2587" s="935" t="s">
        <v>137</v>
      </c>
      <c r="C2587" s="56">
        <v>46049</v>
      </c>
      <c r="F2587" s="754" t="s">
        <v>1392</v>
      </c>
      <c r="G2587" t="s">
        <v>2023</v>
      </c>
    </row>
    <row r="2588" spans="1:7">
      <c r="A2588" s="935" t="s">
        <v>416</v>
      </c>
      <c r="B2588" s="935" t="s">
        <v>137</v>
      </c>
      <c r="C2588" s="56">
        <v>46049</v>
      </c>
      <c r="F2588" s="754" t="s">
        <v>1392</v>
      </c>
      <c r="G2588" t="s">
        <v>2023</v>
      </c>
    </row>
    <row r="2589" spans="1:7">
      <c r="A2589" s="935" t="s">
        <v>305</v>
      </c>
      <c r="B2589" s="935" t="s">
        <v>137</v>
      </c>
      <c r="C2589" s="56">
        <v>46049</v>
      </c>
      <c r="F2589" s="754" t="s">
        <v>1392</v>
      </c>
      <c r="G2589" t="s">
        <v>2023</v>
      </c>
    </row>
    <row r="2590" spans="1:7">
      <c r="A2590" s="935" t="s">
        <v>418</v>
      </c>
      <c r="B2590" s="935" t="s">
        <v>137</v>
      </c>
      <c r="C2590" s="56">
        <v>46049</v>
      </c>
      <c r="F2590" s="311" t="s">
        <v>2082</v>
      </c>
      <c r="G2590" t="s">
        <v>2023</v>
      </c>
    </row>
    <row r="2591" spans="1:7">
      <c r="A2591" s="311" t="s">
        <v>1133</v>
      </c>
      <c r="B2591" s="311" t="s">
        <v>60</v>
      </c>
      <c r="C2591" s="56">
        <v>46050</v>
      </c>
      <c r="G2591" t="s">
        <v>2023</v>
      </c>
    </row>
    <row r="2592" spans="1:7">
      <c r="A2592" s="311" t="s">
        <v>117</v>
      </c>
      <c r="B2592" s="311" t="s">
        <v>137</v>
      </c>
      <c r="C2592" s="56">
        <v>46050</v>
      </c>
      <c r="D2592" s="155">
        <v>1267</v>
      </c>
      <c r="F2592" s="43" t="s">
        <v>2083</v>
      </c>
      <c r="G2592" t="s">
        <v>2023</v>
      </c>
    </row>
    <row r="2593" spans="1:7">
      <c r="A2593" s="315" t="s">
        <v>124</v>
      </c>
      <c r="B2593" s="315" t="s">
        <v>125</v>
      </c>
      <c r="C2593" s="56">
        <v>46050</v>
      </c>
      <c r="G2593" t="s">
        <v>2023</v>
      </c>
    </row>
    <row r="2594" spans="1:7">
      <c r="A2594" s="315" t="s">
        <v>128</v>
      </c>
      <c r="B2594" s="315" t="s">
        <v>137</v>
      </c>
      <c r="C2594" s="56">
        <v>46050</v>
      </c>
      <c r="G2594" t="s">
        <v>2023</v>
      </c>
    </row>
    <row r="2595" spans="1:7">
      <c r="A2595" s="311" t="s">
        <v>1160</v>
      </c>
      <c r="B2595" s="311" t="s">
        <v>60</v>
      </c>
      <c r="C2595" s="56">
        <v>46050</v>
      </c>
      <c r="G2595" t="s">
        <v>2023</v>
      </c>
    </row>
    <row r="2596" spans="1:7">
      <c r="A2596" s="315" t="s">
        <v>1161</v>
      </c>
      <c r="B2596" s="315" t="s">
        <v>1777</v>
      </c>
      <c r="C2596" s="56">
        <v>46050</v>
      </c>
      <c r="G2596" t="s">
        <v>2023</v>
      </c>
    </row>
    <row r="2597" spans="1:7">
      <c r="A2597" s="612" t="s">
        <v>238</v>
      </c>
      <c r="B2597" s="315" t="s">
        <v>206</v>
      </c>
      <c r="C2597" s="56">
        <v>46050</v>
      </c>
      <c r="G2597" t="s">
        <v>2023</v>
      </c>
    </row>
    <row r="2598" spans="1:7">
      <c r="A2598" s="612" t="s">
        <v>254</v>
      </c>
      <c r="B2598" s="315" t="s">
        <v>206</v>
      </c>
      <c r="C2598" s="56">
        <v>46050</v>
      </c>
      <c r="G2598" t="s">
        <v>2023</v>
      </c>
    </row>
    <row r="2599" spans="1:7">
      <c r="A2599" s="311" t="s">
        <v>293</v>
      </c>
      <c r="B2599" s="311" t="s">
        <v>137</v>
      </c>
      <c r="C2599" s="56">
        <v>46050</v>
      </c>
      <c r="F2599" s="754" t="s">
        <v>2084</v>
      </c>
      <c r="G2599" t="s">
        <v>2023</v>
      </c>
    </row>
    <row r="2600" spans="1:7">
      <c r="A2600" s="315" t="s">
        <v>478</v>
      </c>
      <c r="B2600" s="315" t="s">
        <v>137</v>
      </c>
      <c r="C2600" s="56">
        <v>46050</v>
      </c>
      <c r="E2600" s="321">
        <v>2071</v>
      </c>
      <c r="F2600" s="754"/>
      <c r="G2600" t="s">
        <v>2023</v>
      </c>
    </row>
    <row r="2601" spans="1:7">
      <c r="A2601" s="315" t="s">
        <v>296</v>
      </c>
      <c r="B2601" s="315" t="s">
        <v>137</v>
      </c>
      <c r="C2601" s="56">
        <v>46050</v>
      </c>
      <c r="F2601" s="754" t="s">
        <v>2084</v>
      </c>
      <c r="G2601" t="s">
        <v>2023</v>
      </c>
    </row>
    <row r="2602" spans="1:7">
      <c r="A2602" s="315" t="s">
        <v>481</v>
      </c>
      <c r="B2602" s="315" t="s">
        <v>137</v>
      </c>
      <c r="C2602" s="56">
        <v>46050</v>
      </c>
      <c r="E2602" s="321">
        <v>1139</v>
      </c>
      <c r="F2602" s="754"/>
      <c r="G2602" t="s">
        <v>2023</v>
      </c>
    </row>
    <row r="2603" spans="1:7">
      <c r="A2603" s="315" t="s">
        <v>299</v>
      </c>
      <c r="B2603" s="315" t="s">
        <v>137</v>
      </c>
      <c r="C2603" s="56">
        <v>46050</v>
      </c>
      <c r="E2603" s="139">
        <v>901</v>
      </c>
      <c r="F2603" s="754"/>
      <c r="G2603"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2085</v>
      </c>
      <c r="W2" s="3" t="s">
        <v>2086</v>
      </c>
      <c r="X2" s="3" t="s">
        <v>2086</v>
      </c>
      <c r="Y2" s="3" t="s">
        <v>2086</v>
      </c>
      <c r="Z2" s="3" t="s">
        <v>2086</v>
      </c>
      <c r="AA2" s="8" t="s">
        <v>2087</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2088</v>
      </c>
      <c r="T3" s="19" t="s">
        <v>2089</v>
      </c>
      <c r="U3" s="19" t="s">
        <v>2090</v>
      </c>
      <c r="V3" s="5" t="s">
        <v>2091</v>
      </c>
      <c r="W3" s="5" t="s">
        <v>44</v>
      </c>
      <c r="X3" s="5" t="s">
        <v>43</v>
      </c>
      <c r="Y3" s="5" t="s">
        <v>2092</v>
      </c>
      <c r="Z3" s="5" t="s">
        <v>46</v>
      </c>
      <c r="AA3" s="89" t="s">
        <v>646</v>
      </c>
      <c r="AB3" s="68" t="s">
        <v>48</v>
      </c>
    </row>
    <row r="4" spans="1:30" ht="24.75" customHeight="1" thickBot="1">
      <c r="A4" s="440" t="s">
        <v>2093</v>
      </c>
      <c r="B4" s="440" t="s">
        <v>2094</v>
      </c>
      <c r="C4" s="16">
        <v>45717</v>
      </c>
      <c r="D4" s="63" t="s">
        <v>2095</v>
      </c>
      <c r="E4" s="51">
        <v>45707</v>
      </c>
      <c r="F4" s="51" t="s">
        <v>185</v>
      </c>
      <c r="G4" s="382" t="s">
        <v>2096</v>
      </c>
      <c r="H4" s="97">
        <v>0</v>
      </c>
      <c r="I4" s="105"/>
      <c r="J4" s="76" t="s">
        <v>63</v>
      </c>
      <c r="K4" s="76" t="s">
        <v>2097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2098</v>
      </c>
    </row>
    <row r="5" spans="1:30" ht="24.75" customHeight="1" thickBot="1">
      <c r="A5" s="440" t="s">
        <v>2099</v>
      </c>
      <c r="B5" s="440" t="s">
        <v>2094</v>
      </c>
      <c r="C5" s="16">
        <v>45717</v>
      </c>
      <c r="D5" s="63" t="s">
        <v>2095</v>
      </c>
      <c r="E5" s="51">
        <v>45707</v>
      </c>
      <c r="F5" s="381" t="s">
        <v>185</v>
      </c>
      <c r="G5" s="382" t="s">
        <v>2100</v>
      </c>
      <c r="H5" s="97">
        <v>0</v>
      </c>
      <c r="I5" s="105"/>
      <c r="J5" s="76" t="s">
        <v>63</v>
      </c>
      <c r="K5" s="76" t="s">
        <v>2097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2101</v>
      </c>
      <c r="B6" s="440" t="s">
        <v>2094</v>
      </c>
      <c r="C6" s="16">
        <v>45717</v>
      </c>
      <c r="D6" s="63" t="s">
        <v>2095</v>
      </c>
      <c r="E6" s="51">
        <v>45707</v>
      </c>
      <c r="F6" s="381" t="s">
        <v>185</v>
      </c>
      <c r="G6" s="382" t="s">
        <v>2102</v>
      </c>
      <c r="H6" s="97">
        <v>0</v>
      </c>
      <c r="I6" s="105"/>
      <c r="J6" s="76" t="s">
        <v>63</v>
      </c>
      <c r="K6" s="76" t="s">
        <v>2097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184</v>
      </c>
      <c r="E7" s="375"/>
      <c r="F7" s="585" t="s">
        <v>142</v>
      </c>
      <c r="G7" s="384" t="s">
        <v>748</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2103</v>
      </c>
      <c r="B8" s="440" t="s">
        <v>2104</v>
      </c>
      <c r="C8" s="16">
        <v>45748</v>
      </c>
      <c r="D8" s="16" t="s">
        <v>2095</v>
      </c>
      <c r="E8" s="94" t="s">
        <v>52</v>
      </c>
      <c r="F8" s="95" t="s">
        <v>52</v>
      </c>
      <c r="G8" s="616" t="s">
        <v>2105</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2106</v>
      </c>
      <c r="AC8" s="435"/>
      <c r="AD8" s="70"/>
    </row>
    <row r="9" spans="1:30" ht="24.75" customHeight="1">
      <c r="A9" s="449" t="s">
        <v>2107</v>
      </c>
      <c r="B9" s="449" t="s">
        <v>2108</v>
      </c>
      <c r="C9" s="23">
        <v>45741</v>
      </c>
      <c r="D9" s="16" t="s">
        <v>2095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2109</v>
      </c>
    </row>
    <row r="10" spans="1:30" ht="24.75" customHeight="1" thickBot="1">
      <c r="A10" s="26" t="s">
        <v>2110</v>
      </c>
      <c r="B10" s="26" t="s">
        <v>2108</v>
      </c>
      <c r="C10" s="27">
        <v>45741</v>
      </c>
      <c r="D10" s="16" t="s">
        <v>2095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2111</v>
      </c>
      <c r="B11" s="36" t="s">
        <v>2108</v>
      </c>
      <c r="C11" s="37">
        <v>45747</v>
      </c>
      <c r="D11" s="16" t="s">
        <v>2095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2112</v>
      </c>
      <c r="B12" s="26" t="s">
        <v>2108</v>
      </c>
      <c r="C12" s="27">
        <v>45741</v>
      </c>
      <c r="D12" s="16" t="s">
        <v>2095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2109</v>
      </c>
    </row>
    <row r="13" spans="1:30" ht="24.75" customHeight="1" thickBot="1">
      <c r="A13" s="26" t="s">
        <v>2113</v>
      </c>
      <c r="B13" s="26" t="s">
        <v>2108</v>
      </c>
      <c r="C13" s="27">
        <v>45741</v>
      </c>
      <c r="D13" s="27" t="s">
        <v>2095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2109</v>
      </c>
    </row>
    <row r="14" spans="1:30" ht="24.75" customHeight="1" thickBot="1">
      <c r="A14" s="26" t="s">
        <v>2114</v>
      </c>
      <c r="B14" s="26" t="s">
        <v>2108</v>
      </c>
      <c r="C14" s="27">
        <v>45747</v>
      </c>
      <c r="D14" s="27" t="s">
        <v>2095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2115</v>
      </c>
      <c r="B15" s="26" t="s">
        <v>2108</v>
      </c>
      <c r="C15" s="27">
        <v>45741</v>
      </c>
      <c r="D15" s="27" t="s">
        <v>2095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2109</v>
      </c>
    </row>
    <row r="16" spans="1:30" ht="24.75" customHeight="1" thickBot="1">
      <c r="A16" s="26" t="s">
        <v>2116</v>
      </c>
      <c r="B16" s="26" t="s">
        <v>2108</v>
      </c>
      <c r="C16" s="27">
        <v>45741</v>
      </c>
      <c r="D16" s="27" t="s">
        <v>2095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2109</v>
      </c>
    </row>
    <row r="17" spans="1:30" ht="24.75" customHeight="1" thickBot="1">
      <c r="A17" s="36" t="s">
        <v>2117</v>
      </c>
      <c r="B17" s="36" t="s">
        <v>2108</v>
      </c>
      <c r="C17" s="37">
        <v>45747</v>
      </c>
      <c r="D17" s="37" t="s">
        <v>2095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2118</v>
      </c>
      <c r="B18" s="374" t="s">
        <v>2108</v>
      </c>
      <c r="C18" s="51">
        <v>45717</v>
      </c>
      <c r="D18" s="27" t="s">
        <v>2095</v>
      </c>
      <c r="E18" s="85">
        <v>45700</v>
      </c>
      <c r="F18" s="51"/>
      <c r="G18" s="51" t="s">
        <v>2119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2109</v>
      </c>
    </row>
    <row r="19" spans="1:30" ht="24.75" customHeight="1" thickBot="1">
      <c r="A19" s="50" t="s">
        <v>2120</v>
      </c>
      <c r="B19" s="26" t="s">
        <v>2108</v>
      </c>
      <c r="C19" s="51">
        <v>45747</v>
      </c>
      <c r="D19" s="27" t="s">
        <v>2095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2121</v>
      </c>
    </row>
    <row r="20" spans="1:30" ht="24.75" customHeight="1" thickBot="1">
      <c r="A20" s="374" t="s">
        <v>2122</v>
      </c>
      <c r="B20" s="374" t="s">
        <v>2108</v>
      </c>
      <c r="C20" s="375">
        <v>45717</v>
      </c>
      <c r="D20" s="27" t="s">
        <v>2095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2109</v>
      </c>
    </row>
    <row r="21" spans="1:30" ht="24.75" customHeight="1" thickBot="1">
      <c r="A21" s="374" t="s">
        <v>2123</v>
      </c>
      <c r="B21" s="112" t="s">
        <v>50</v>
      </c>
      <c r="C21" s="51">
        <v>45717</v>
      </c>
      <c r="D21" s="27" t="s">
        <v>2124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2125</v>
      </c>
      <c r="B22" s="378" t="s">
        <v>50</v>
      </c>
      <c r="C22" s="51">
        <v>45717</v>
      </c>
      <c r="D22" s="51" t="s">
        <v>2124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2127</v>
      </c>
      <c r="B24" s="378" t="s">
        <v>50</v>
      </c>
      <c r="C24" s="381">
        <v>45688</v>
      </c>
      <c r="D24" s="390" t="s">
        <v>2126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2128</v>
      </c>
      <c r="B25" s="113" t="s">
        <v>50</v>
      </c>
      <c r="C25" s="51">
        <v>45747</v>
      </c>
      <c r="D25" s="51" t="s">
        <v>2124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2129</v>
      </c>
    </row>
    <row r="26" spans="1:30" ht="24.75" customHeight="1">
      <c r="A26" s="101" t="s">
        <v>2130</v>
      </c>
      <c r="B26" s="102" t="s">
        <v>50</v>
      </c>
      <c r="C26" s="77">
        <v>45716</v>
      </c>
      <c r="D26" s="26" t="s">
        <v>2126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2131</v>
      </c>
      <c r="B27" s="102" t="s">
        <v>50</v>
      </c>
      <c r="C27" s="77">
        <v>45716</v>
      </c>
      <c r="D27" s="50" t="s">
        <v>2126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2132</v>
      </c>
      <c r="B28" s="1097" t="s">
        <v>50</v>
      </c>
      <c r="C28" s="1090">
        <v>45991</v>
      </c>
      <c r="D28" s="375" t="s">
        <v>184</v>
      </c>
      <c r="E28" s="77">
        <v>45734</v>
      </c>
      <c r="F28" s="1088" t="s">
        <v>491</v>
      </c>
      <c r="G28" s="1099" t="s">
        <v>2133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2134</v>
      </c>
      <c r="B29" s="1097" t="s">
        <v>50</v>
      </c>
      <c r="C29" s="1090">
        <v>46021</v>
      </c>
      <c r="D29" s="375" t="s">
        <v>184</v>
      </c>
      <c r="E29" s="77">
        <v>45743</v>
      </c>
      <c r="F29" s="1088" t="s">
        <v>491</v>
      </c>
      <c r="G29" s="1098" t="s">
        <v>2135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2136</v>
      </c>
      <c r="AC29" s="1094"/>
      <c r="AD29" s="1096"/>
    </row>
    <row r="30" spans="1:30" ht="24.75" customHeight="1">
      <c r="A30" s="374" t="s">
        <v>2137</v>
      </c>
      <c r="B30" s="665" t="s">
        <v>50</v>
      </c>
      <c r="C30" s="375">
        <v>45991</v>
      </c>
      <c r="D30" s="50" t="s">
        <v>184</v>
      </c>
      <c r="E30" s="51">
        <v>45743</v>
      </c>
      <c r="F30" s="50" t="s">
        <v>491</v>
      </c>
      <c r="G30" s="379" t="s">
        <v>2138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2139</v>
      </c>
      <c r="AC30" s="333"/>
      <c r="AD30" s="115"/>
    </row>
    <row r="31" spans="1:30" ht="24.75" customHeight="1">
      <c r="A31" s="374" t="s">
        <v>1107</v>
      </c>
      <c r="B31" s="665" t="s">
        <v>50</v>
      </c>
      <c r="C31" s="375">
        <v>46021</v>
      </c>
      <c r="D31" s="375" t="s">
        <v>184</v>
      </c>
      <c r="E31" s="51">
        <v>45735</v>
      </c>
      <c r="F31" s="50" t="s">
        <v>491</v>
      </c>
      <c r="G31" s="666" t="s">
        <v>2140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2141</v>
      </c>
      <c r="W31" s="34">
        <v>0</v>
      </c>
      <c r="X31" s="34">
        <v>0</v>
      </c>
      <c r="Y31" s="31">
        <v>0</v>
      </c>
      <c r="Z31" s="34">
        <v>0</v>
      </c>
      <c r="AA31" s="31">
        <v>0</v>
      </c>
      <c r="AB31" s="353" t="s">
        <v>2136</v>
      </c>
    </row>
    <row r="32" spans="1:30" ht="24.75" customHeight="1">
      <c r="A32" s="895" t="s">
        <v>2142</v>
      </c>
      <c r="B32" s="1089" t="s">
        <v>50</v>
      </c>
      <c r="C32" s="972">
        <v>45717</v>
      </c>
      <c r="D32" s="972" t="s">
        <v>2124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2143</v>
      </c>
      <c r="B33" s="976" t="s">
        <v>50</v>
      </c>
      <c r="C33" s="897">
        <v>45989</v>
      </c>
      <c r="D33" s="897" t="s">
        <v>2144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2145</v>
      </c>
    </row>
    <row r="34" spans="1:30" ht="24.75" customHeight="1">
      <c r="A34" s="895" t="s">
        <v>2146</v>
      </c>
      <c r="B34" s="1089" t="s">
        <v>50</v>
      </c>
      <c r="C34" s="972">
        <v>45717</v>
      </c>
      <c r="D34" s="972" t="s">
        <v>2124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2147</v>
      </c>
      <c r="B35" s="1089" t="s">
        <v>50</v>
      </c>
      <c r="C35" s="972">
        <v>45717</v>
      </c>
      <c r="D35" s="972" t="s">
        <v>2124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2148</v>
      </c>
      <c r="B36" s="1089" t="s">
        <v>50</v>
      </c>
      <c r="C36" s="972">
        <v>45717</v>
      </c>
      <c r="D36" s="972" t="s">
        <v>2124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2149</v>
      </c>
      <c r="Q1" s="159" t="s">
        <v>2150</v>
      </c>
      <c r="R1" s="127" t="s">
        <v>2151</v>
      </c>
      <c r="S1" s="127" t="s">
        <v>2152</v>
      </c>
      <c r="T1" s="159" t="s">
        <v>2153</v>
      </c>
      <c r="U1" s="127" t="s">
        <v>1236</v>
      </c>
      <c r="V1" s="160" t="s">
        <v>2154</v>
      </c>
      <c r="W1" s="160" t="s">
        <v>2155</v>
      </c>
      <c r="X1" s="163" t="s">
        <v>2156</v>
      </c>
      <c r="Y1" s="258" t="e" cm="1">
        <f t="array" ref="Y1">VLOOKUP(#REF!,#REF!, FALSE)</f>
        <v>#REF!</v>
      </c>
    </row>
    <row r="2" spans="1:25">
      <c r="A2" s="178" t="s">
        <v>518</v>
      </c>
      <c r="B2" s="180" t="s">
        <v>183</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183</v>
      </c>
      <c r="C3" s="685">
        <v>45742</v>
      </c>
      <c r="D3" s="686" t="s">
        <v>523</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2157</v>
      </c>
      <c r="B4" s="407" t="s">
        <v>183</v>
      </c>
      <c r="C4" s="408">
        <v>45742</v>
      </c>
      <c r="D4" s="692" t="s">
        <v>2158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183</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183</v>
      </c>
      <c r="C6" s="408">
        <v>45747</v>
      </c>
      <c r="D6" s="689" t="s">
        <v>649</v>
      </c>
      <c r="E6" s="190"/>
      <c r="F6" s="137"/>
      <c r="G6" s="137"/>
      <c r="H6" s="185">
        <v>56</v>
      </c>
      <c r="I6" s="181"/>
      <c r="J6" s="188" t="s">
        <v>57</v>
      </c>
      <c r="K6" s="188" t="s">
        <v>57</v>
      </c>
      <c r="L6" s="185" t="s">
        <v>63</v>
      </c>
      <c r="M6" s="195">
        <v>45701</v>
      </c>
      <c r="N6" s="30" t="s">
        <v>122</v>
      </c>
      <c r="O6" s="356">
        <v>45718</v>
      </c>
      <c r="P6" s="30" t="s">
        <v>122</v>
      </c>
      <c r="Q6" s="334" t="s">
        <v>122</v>
      </c>
      <c r="R6" s="43" t="s">
        <v>2159</v>
      </c>
      <c r="S6" s="43" t="s">
        <v>122</v>
      </c>
      <c r="T6" s="43" t="s">
        <v>122</v>
      </c>
      <c r="U6" s="157" t="s">
        <v>122</v>
      </c>
      <c r="V6" s="69" t="s">
        <v>78</v>
      </c>
      <c r="W6" s="79"/>
      <c r="X6" s="69" t="s">
        <v>78</v>
      </c>
      <c r="Y6" t="e">
        <f>VLOOKUP(A6,#REF!,2,FALSE)</f>
        <v>#REF!</v>
      </c>
    </row>
    <row r="7" spans="1:25">
      <c r="A7" s="385" t="s">
        <v>1058</v>
      </c>
      <c r="B7" s="682" t="s">
        <v>183</v>
      </c>
      <c r="C7" s="386">
        <v>45742</v>
      </c>
      <c r="D7" s="411" t="s">
        <v>653</v>
      </c>
      <c r="E7" s="520"/>
      <c r="F7" s="521"/>
      <c r="G7" s="521"/>
      <c r="H7" s="179">
        <v>60</v>
      </c>
      <c r="I7" s="181"/>
      <c r="J7" s="185" t="s">
        <v>57</v>
      </c>
      <c r="K7" s="185" t="s">
        <v>57</v>
      </c>
      <c r="L7" s="185" t="s">
        <v>63</v>
      </c>
      <c r="M7" s="193">
        <v>45716</v>
      </c>
      <c r="N7" s="30" t="s">
        <v>122</v>
      </c>
      <c r="O7" s="79" t="s">
        <v>122</v>
      </c>
      <c r="P7" s="30" t="s">
        <v>122</v>
      </c>
      <c r="Q7" s="334" t="s">
        <v>122</v>
      </c>
      <c r="R7" s="43" t="s">
        <v>2159</v>
      </c>
      <c r="S7" s="43" t="s">
        <v>122</v>
      </c>
      <c r="T7" s="43" t="s">
        <v>122</v>
      </c>
      <c r="U7" s="43" t="s">
        <v>122</v>
      </c>
      <c r="V7" s="69" t="s">
        <v>78</v>
      </c>
      <c r="W7" s="30"/>
      <c r="X7" s="69" t="s">
        <v>78</v>
      </c>
      <c r="Y7" t="e">
        <f>VLOOKUP(A7,#REF!,2,FALSE)</f>
        <v>#REF!</v>
      </c>
    </row>
    <row r="8" spans="1:25">
      <c r="A8" s="175" t="s">
        <v>530</v>
      </c>
      <c r="B8" s="180" t="s">
        <v>183</v>
      </c>
      <c r="C8" s="176">
        <v>45742</v>
      </c>
      <c r="D8" s="185" t="s">
        <v>2160</v>
      </c>
      <c r="E8" s="120"/>
      <c r="F8" s="108"/>
      <c r="G8" s="108"/>
      <c r="H8" s="179">
        <v>84</v>
      </c>
      <c r="I8" s="181"/>
      <c r="J8" s="185" t="s">
        <v>57</v>
      </c>
      <c r="K8" s="185" t="s">
        <v>57</v>
      </c>
      <c r="L8" s="185" t="s">
        <v>63</v>
      </c>
      <c r="M8" s="193">
        <v>45716</v>
      </c>
      <c r="N8" s="30" t="s">
        <v>122</v>
      </c>
      <c r="O8" s="30" t="s">
        <v>122</v>
      </c>
      <c r="P8" s="707" t="s">
        <v>122</v>
      </c>
      <c r="Q8" s="69" t="s">
        <v>122</v>
      </c>
      <c r="R8" s="43" t="s">
        <v>2159</v>
      </c>
      <c r="S8" s="43" t="s">
        <v>122</v>
      </c>
      <c r="T8" s="43" t="s">
        <v>122</v>
      </c>
      <c r="U8" s="43" t="s">
        <v>122</v>
      </c>
      <c r="V8" s="69" t="s">
        <v>78</v>
      </c>
      <c r="W8" s="30"/>
      <c r="X8" s="69" t="s">
        <v>78</v>
      </c>
      <c r="Y8" t="e">
        <f>VLOOKUP(A8,#REF!,2,FALSE)</f>
        <v>#REF!</v>
      </c>
    </row>
    <row r="9" spans="1:25">
      <c r="A9" s="175" t="s">
        <v>1060</v>
      </c>
      <c r="B9" s="180" t="s">
        <v>183</v>
      </c>
      <c r="C9" s="176">
        <v>45742</v>
      </c>
      <c r="D9" s="517" t="s">
        <v>531</v>
      </c>
      <c r="E9" s="191"/>
      <c r="F9" s="138"/>
      <c r="G9" s="138"/>
      <c r="H9" s="185">
        <v>79</v>
      </c>
      <c r="I9" s="181"/>
      <c r="J9" s="185" t="s">
        <v>57</v>
      </c>
      <c r="K9" s="185" t="s">
        <v>57</v>
      </c>
      <c r="L9" s="185" t="s">
        <v>63</v>
      </c>
      <c r="M9" s="193">
        <v>45716</v>
      </c>
      <c r="N9" s="119" t="s">
        <v>122</v>
      </c>
      <c r="O9" s="54">
        <v>45718</v>
      </c>
      <c r="P9" s="119" t="s">
        <v>122</v>
      </c>
      <c r="Q9" s="69" t="s">
        <v>122</v>
      </c>
      <c r="R9" s="43" t="s">
        <v>2159</v>
      </c>
      <c r="S9" s="43" t="s">
        <v>122</v>
      </c>
      <c r="T9" s="43" t="s">
        <v>122</v>
      </c>
      <c r="U9" s="43" t="s">
        <v>122</v>
      </c>
      <c r="V9" s="69" t="s">
        <v>78</v>
      </c>
      <c r="W9" s="30"/>
      <c r="X9" s="69" t="s">
        <v>78</v>
      </c>
      <c r="Y9" t="e">
        <f>VLOOKUP(A9,#REF!,2,FALSE)</f>
        <v>#REF!</v>
      </c>
    </row>
    <row r="10" spans="1:25">
      <c r="A10" s="175" t="s">
        <v>1062</v>
      </c>
      <c r="B10" s="180" t="s">
        <v>183</v>
      </c>
      <c r="C10" s="314">
        <v>45742</v>
      </c>
      <c r="D10" s="410" t="s">
        <v>1061</v>
      </c>
      <c r="E10" s="191"/>
      <c r="F10" s="138"/>
      <c r="G10" s="138"/>
      <c r="H10" s="185">
        <v>83</v>
      </c>
      <c r="I10" s="181"/>
      <c r="J10" s="185" t="s">
        <v>57</v>
      </c>
      <c r="K10" s="185" t="s">
        <v>57</v>
      </c>
      <c r="L10" s="185" t="s">
        <v>63</v>
      </c>
      <c r="M10" s="193">
        <v>45716</v>
      </c>
      <c r="N10" s="30" t="s">
        <v>122</v>
      </c>
      <c r="O10" s="30" t="s">
        <v>122</v>
      </c>
      <c r="P10" s="30" t="s">
        <v>122</v>
      </c>
      <c r="Q10" s="43" t="s">
        <v>122</v>
      </c>
      <c r="R10" s="43" t="s">
        <v>2159</v>
      </c>
      <c r="S10" s="43" t="s">
        <v>122</v>
      </c>
      <c r="T10" s="43" t="s">
        <v>122</v>
      </c>
      <c r="U10" s="161" t="s">
        <v>122</v>
      </c>
      <c r="V10" s="334" t="s">
        <v>78</v>
      </c>
      <c r="W10" s="30"/>
      <c r="X10" s="69" t="s">
        <v>78</v>
      </c>
      <c r="Y10" t="e">
        <f>VLOOKUP(A10,#REF!,2,FALSE)</f>
        <v>#REF!</v>
      </c>
    </row>
    <row r="11" spans="1:25">
      <c r="A11" s="181" t="s">
        <v>651</v>
      </c>
      <c r="B11" s="422" t="s">
        <v>183</v>
      </c>
      <c r="C11" s="176">
        <v>45991</v>
      </c>
      <c r="D11" s="532" t="s">
        <v>653</v>
      </c>
      <c r="E11" s="120">
        <v>31</v>
      </c>
      <c r="F11" s="108"/>
      <c r="G11" s="108"/>
      <c r="H11" s="185">
        <v>31</v>
      </c>
      <c r="I11" s="181"/>
      <c r="J11" s="185" t="s">
        <v>57</v>
      </c>
      <c r="K11" s="185" t="s">
        <v>57</v>
      </c>
      <c r="L11" s="185" t="s">
        <v>63</v>
      </c>
      <c r="M11" s="195">
        <v>45716</v>
      </c>
      <c r="N11" s="30" t="s">
        <v>64</v>
      </c>
      <c r="O11" s="54">
        <v>45716</v>
      </c>
      <c r="P11" s="87" t="s">
        <v>122</v>
      </c>
      <c r="Q11" s="69" t="s">
        <v>122</v>
      </c>
      <c r="R11" s="43" t="s">
        <v>2159</v>
      </c>
      <c r="S11" s="43" t="s">
        <v>122</v>
      </c>
      <c r="T11" s="43" t="s">
        <v>122</v>
      </c>
      <c r="U11" s="334" t="s">
        <v>78</v>
      </c>
      <c r="V11" s="69" t="s">
        <v>78</v>
      </c>
      <c r="W11" s="30"/>
      <c r="X11" s="43"/>
    </row>
    <row r="12" spans="1:25">
      <c r="A12" s="175" t="s">
        <v>347</v>
      </c>
      <c r="B12" s="180" t="s">
        <v>183</v>
      </c>
      <c r="C12" s="176">
        <v>45772</v>
      </c>
      <c r="D12" s="199" t="s">
        <v>653</v>
      </c>
      <c r="E12" s="191"/>
      <c r="F12" s="138"/>
      <c r="G12" s="138"/>
      <c r="H12" s="185">
        <v>31</v>
      </c>
      <c r="I12" s="181"/>
      <c r="J12" s="185" t="s">
        <v>57</v>
      </c>
      <c r="K12" s="185" t="s">
        <v>57</v>
      </c>
      <c r="L12" s="185" t="s">
        <v>63</v>
      </c>
      <c r="M12" s="193">
        <v>45716</v>
      </c>
      <c r="N12" s="30" t="s">
        <v>64</v>
      </c>
      <c r="O12" s="54">
        <v>45716</v>
      </c>
      <c r="P12" s="87" t="s">
        <v>122</v>
      </c>
      <c r="Q12" s="69" t="s">
        <v>122</v>
      </c>
      <c r="R12" s="43" t="s">
        <v>2159</v>
      </c>
      <c r="S12" s="43" t="s">
        <v>122</v>
      </c>
      <c r="T12" s="43" t="s">
        <v>122</v>
      </c>
      <c r="U12" s="69" t="s">
        <v>78</v>
      </c>
      <c r="V12" s="69" t="s">
        <v>78</v>
      </c>
      <c r="W12" s="30"/>
      <c r="X12" s="69" t="s">
        <v>78</v>
      </c>
      <c r="Y12" t="e">
        <f>VLOOKUP(A12,#REF!,2,FALSE)</f>
        <v>#REF!</v>
      </c>
    </row>
    <row r="13" spans="1:25">
      <c r="A13" s="178" t="s">
        <v>238</v>
      </c>
      <c r="B13" s="180" t="s">
        <v>183</v>
      </c>
      <c r="C13" s="409">
        <v>45960</v>
      </c>
      <c r="D13" s="418" t="s">
        <v>2161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183</v>
      </c>
      <c r="C15" s="314">
        <v>45711</v>
      </c>
      <c r="D15" s="631" t="s">
        <v>971</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2162</v>
      </c>
      <c r="Y15" t="e">
        <f>VLOOKUP(A15,#REF!,2,FALSE)</f>
        <v>#REF!</v>
      </c>
    </row>
    <row r="16" spans="1:25">
      <c r="A16" s="175" t="s">
        <v>655</v>
      </c>
      <c r="B16" s="180" t="s">
        <v>183</v>
      </c>
      <c r="C16" s="314">
        <v>45742</v>
      </c>
      <c r="D16" s="695" t="s">
        <v>657</v>
      </c>
      <c r="E16" s="191"/>
      <c r="F16" s="138"/>
      <c r="G16" s="138"/>
      <c r="H16" s="185">
        <v>0</v>
      </c>
      <c r="I16" s="181"/>
      <c r="J16" s="185" t="s">
        <v>57</v>
      </c>
      <c r="K16" s="185" t="s">
        <v>57</v>
      </c>
      <c r="L16" s="185" t="s">
        <v>63</v>
      </c>
      <c r="M16" s="195" t="s">
        <v>2163</v>
      </c>
      <c r="N16" s="30" t="s">
        <v>122</v>
      </c>
      <c r="O16" s="54" t="s">
        <v>2163</v>
      </c>
      <c r="P16" s="30" t="s">
        <v>122</v>
      </c>
      <c r="Q16" s="69" t="s">
        <v>122</v>
      </c>
      <c r="R16" s="43" t="s">
        <v>122</v>
      </c>
      <c r="S16" s="43" t="s">
        <v>56</v>
      </c>
      <c r="T16" s="43" t="s">
        <v>122</v>
      </c>
      <c r="U16" s="69" t="s">
        <v>78</v>
      </c>
      <c r="V16" s="69" t="s">
        <v>78</v>
      </c>
      <c r="W16" s="30"/>
      <c r="X16" s="69" t="s">
        <v>78</v>
      </c>
      <c r="Y16" t="e">
        <f>VLOOKUP(A16,#REF!,2,FALSE)</f>
        <v>#REF!</v>
      </c>
    </row>
    <row r="17" spans="1:25">
      <c r="A17" s="178" t="s">
        <v>532</v>
      </c>
      <c r="B17" s="180" t="s">
        <v>183</v>
      </c>
      <c r="C17" s="177">
        <v>45991</v>
      </c>
      <c r="D17" s="709" t="s">
        <v>533</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534</v>
      </c>
      <c r="B18" s="180" t="s">
        <v>183</v>
      </c>
      <c r="C18" s="409">
        <v>45991</v>
      </c>
      <c r="D18" s="410" t="s">
        <v>535</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2162</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2162</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2162</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2162</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2162</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2162</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2162</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122</v>
      </c>
      <c r="O31" s="54">
        <v>45707</v>
      </c>
      <c r="P31" s="87" t="s">
        <v>122</v>
      </c>
      <c r="Q31" s="43" t="s">
        <v>122</v>
      </c>
      <c r="R31" s="43" t="s">
        <v>2159</v>
      </c>
      <c r="S31" s="43" t="s">
        <v>122</v>
      </c>
      <c r="T31" s="139" t="s">
        <v>122</v>
      </c>
      <c r="U31" s="115" t="s">
        <v>122</v>
      </c>
      <c r="V31" s="69" t="s">
        <v>122</v>
      </c>
      <c r="W31" s="54">
        <v>45779</v>
      </c>
      <c r="X31" s="69" t="s">
        <v>2162</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122</v>
      </c>
      <c r="O32" s="54">
        <v>45756</v>
      </c>
      <c r="P32" s="30" t="s">
        <v>122</v>
      </c>
      <c r="Q32" s="69" t="s">
        <v>122</v>
      </c>
      <c r="R32" s="69" t="s">
        <v>2159</v>
      </c>
      <c r="S32" s="43" t="s">
        <v>122</v>
      </c>
      <c r="T32" s="139" t="s">
        <v>122</v>
      </c>
      <c r="U32" s="43" t="s">
        <v>122</v>
      </c>
      <c r="V32" s="69" t="s">
        <v>122</v>
      </c>
      <c r="W32" s="54">
        <v>45792</v>
      </c>
      <c r="X32" s="69" t="s">
        <v>2162</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122</v>
      </c>
      <c r="O33" s="124">
        <v>45749</v>
      </c>
      <c r="P33" s="30" t="s">
        <v>122</v>
      </c>
      <c r="Q33" s="69" t="s">
        <v>122</v>
      </c>
      <c r="R33" s="69" t="s">
        <v>2159</v>
      </c>
      <c r="S33" s="43" t="s">
        <v>122</v>
      </c>
      <c r="T33" s="139" t="s">
        <v>122</v>
      </c>
      <c r="U33" s="43" t="s">
        <v>122</v>
      </c>
      <c r="V33" s="334" t="s">
        <v>122</v>
      </c>
      <c r="W33" s="54">
        <v>45812</v>
      </c>
      <c r="X33" s="69" t="s">
        <v>2162</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122</v>
      </c>
      <c r="O34" s="124">
        <v>45750</v>
      </c>
      <c r="P34" s="30" t="s">
        <v>122</v>
      </c>
      <c r="Q34" s="69" t="s">
        <v>122</v>
      </c>
      <c r="R34" s="69" t="s">
        <v>2159</v>
      </c>
      <c r="S34" s="43" t="s">
        <v>122</v>
      </c>
      <c r="T34" s="139" t="s">
        <v>122</v>
      </c>
      <c r="U34" s="43" t="s">
        <v>122</v>
      </c>
      <c r="V34" s="404" t="s">
        <v>122</v>
      </c>
      <c r="W34" s="166">
        <v>45797</v>
      </c>
      <c r="X34" s="69" t="s">
        <v>2162</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122</v>
      </c>
      <c r="O35" s="124">
        <v>45659</v>
      </c>
      <c r="P35" s="87" t="s">
        <v>122</v>
      </c>
      <c r="Q35" s="43" t="s">
        <v>122</v>
      </c>
      <c r="R35" s="43" t="s">
        <v>2159</v>
      </c>
      <c r="S35" s="43" t="s">
        <v>122</v>
      </c>
      <c r="T35" s="139" t="s">
        <v>122</v>
      </c>
      <c r="U35" s="169" t="s">
        <v>122</v>
      </c>
      <c r="V35" s="69" t="s">
        <v>122</v>
      </c>
      <c r="W35" s="54">
        <v>45789</v>
      </c>
      <c r="X35" s="334" t="s">
        <v>2162</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122</v>
      </c>
      <c r="O36" s="124">
        <v>45659</v>
      </c>
      <c r="P36" s="87" t="s">
        <v>122</v>
      </c>
      <c r="Q36" s="43" t="s">
        <v>122</v>
      </c>
      <c r="R36" s="43" t="s">
        <v>2159</v>
      </c>
      <c r="S36" s="43" t="s">
        <v>122</v>
      </c>
      <c r="T36" s="139" t="s">
        <v>122</v>
      </c>
      <c r="U36" s="43" t="s">
        <v>122</v>
      </c>
      <c r="V36" s="69" t="s">
        <v>122</v>
      </c>
      <c r="W36" s="54">
        <v>45824</v>
      </c>
      <c r="X36" s="334" t="s">
        <v>2162</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122</v>
      </c>
      <c r="N37" s="30" t="s">
        <v>122</v>
      </c>
      <c r="O37" s="124">
        <v>45672</v>
      </c>
      <c r="P37" s="30" t="s">
        <v>122</v>
      </c>
      <c r="Q37" s="43" t="s">
        <v>122</v>
      </c>
      <c r="R37" s="43" t="s">
        <v>2159</v>
      </c>
      <c r="S37" s="43" t="s">
        <v>122</v>
      </c>
      <c r="T37" s="43" t="s">
        <v>122</v>
      </c>
      <c r="U37" s="169" t="s">
        <v>122</v>
      </c>
      <c r="V37" s="69" t="s">
        <v>122</v>
      </c>
      <c r="W37" s="156">
        <v>45789</v>
      </c>
      <c r="X37" s="69" t="s">
        <v>2162</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122</v>
      </c>
      <c r="O38" s="124">
        <v>45673</v>
      </c>
      <c r="P38" s="30" t="s">
        <v>122</v>
      </c>
      <c r="Q38" s="43" t="s">
        <v>122</v>
      </c>
      <c r="R38" s="43" t="s">
        <v>2159</v>
      </c>
      <c r="S38" s="43" t="s">
        <v>122</v>
      </c>
      <c r="T38" s="43" t="s">
        <v>122</v>
      </c>
      <c r="U38" s="169" t="s">
        <v>122</v>
      </c>
      <c r="V38" s="69" t="s">
        <v>122</v>
      </c>
      <c r="W38" s="54">
        <v>45789</v>
      </c>
      <c r="X38" s="69" t="s">
        <v>2162</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122</v>
      </c>
      <c r="N39" s="30" t="s">
        <v>122</v>
      </c>
      <c r="O39" s="124">
        <v>45672</v>
      </c>
      <c r="P39" s="30" t="s">
        <v>122</v>
      </c>
      <c r="Q39" s="43" t="s">
        <v>122</v>
      </c>
      <c r="R39" s="43" t="s">
        <v>2159</v>
      </c>
      <c r="S39" s="43" t="s">
        <v>122</v>
      </c>
      <c r="T39" s="43" t="s">
        <v>122</v>
      </c>
      <c r="U39" s="169" t="s">
        <v>122</v>
      </c>
      <c r="V39" s="69" t="s">
        <v>122</v>
      </c>
      <c r="W39" s="54">
        <v>45789</v>
      </c>
      <c r="X39" s="69" t="s">
        <v>2162</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2162</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2162</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2162</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2162</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2162</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2162</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2162</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2162</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2162</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2162</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2162</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2162</v>
      </c>
    </row>
    <row r="54" spans="1:56">
      <c r="A54" s="178" t="s">
        <v>730</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122</v>
      </c>
      <c r="O57" s="124">
        <v>45783</v>
      </c>
      <c r="P57" s="328" t="s">
        <v>122</v>
      </c>
      <c r="Q57" s="43" t="s">
        <v>122</v>
      </c>
      <c r="R57" s="43" t="s">
        <v>2159</v>
      </c>
      <c r="S57" s="43" t="s">
        <v>122</v>
      </c>
      <c r="T57" s="43" t="s">
        <v>122</v>
      </c>
      <c r="U57" s="43" t="s">
        <v>122</v>
      </c>
      <c r="V57" s="69" t="s">
        <v>122</v>
      </c>
      <c r="W57" s="54">
        <v>45813</v>
      </c>
      <c r="X57" s="69" t="s">
        <v>2162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122</v>
      </c>
      <c r="O58" s="54">
        <v>45776</v>
      </c>
      <c r="P58" s="328" t="s">
        <v>122</v>
      </c>
      <c r="Q58" s="43" t="s">
        <v>122</v>
      </c>
      <c r="R58" s="43" t="s">
        <v>2159</v>
      </c>
      <c r="S58" s="43" t="s">
        <v>122</v>
      </c>
      <c r="T58" s="43" t="s">
        <v>122</v>
      </c>
      <c r="U58" s="43" t="s">
        <v>122</v>
      </c>
      <c r="V58" s="334" t="s">
        <v>122</v>
      </c>
      <c r="W58" s="54">
        <v>45796</v>
      </c>
      <c r="X58" s="69" t="s">
        <v>2162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122</v>
      </c>
      <c r="O59" s="30" t="s">
        <v>2141</v>
      </c>
      <c r="P59" s="328" t="s">
        <v>122</v>
      </c>
      <c r="Q59" s="43" t="s">
        <v>122</v>
      </c>
      <c r="R59" s="43" t="s">
        <v>2159</v>
      </c>
      <c r="S59" s="43" t="s">
        <v>122</v>
      </c>
      <c r="T59" s="43" t="s">
        <v>122</v>
      </c>
      <c r="U59" s="43" t="s">
        <v>122</v>
      </c>
      <c r="V59" s="334" t="s">
        <v>122</v>
      </c>
      <c r="W59" s="54">
        <v>45796</v>
      </c>
      <c r="X59" s="69" t="s">
        <v>2162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122</v>
      </c>
      <c r="O60" s="54">
        <v>45812</v>
      </c>
      <c r="P60" s="328" t="s">
        <v>122</v>
      </c>
      <c r="Q60" s="43" t="s">
        <v>122</v>
      </c>
      <c r="R60" s="43" t="s">
        <v>2159</v>
      </c>
      <c r="S60" s="43" t="s">
        <v>122</v>
      </c>
      <c r="T60" s="43" t="s">
        <v>122</v>
      </c>
      <c r="U60" s="43" t="s">
        <v>122</v>
      </c>
      <c r="V60" s="334" t="s">
        <v>122</v>
      </c>
      <c r="W60" s="54">
        <v>45824</v>
      </c>
      <c r="X60" s="69" t="s">
        <v>2162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2164</v>
      </c>
      <c r="B81" s="527" t="s">
        <v>96</v>
      </c>
      <c r="C81" s="176">
        <v>45688</v>
      </c>
      <c r="D81" s="615" t="s">
        <v>790</v>
      </c>
      <c r="E81" s="172"/>
      <c r="F81" s="129"/>
      <c r="G81" s="129"/>
      <c r="H81" s="179">
        <v>48</v>
      </c>
      <c r="I81" s="181"/>
      <c r="J81" s="179" t="s">
        <v>57</v>
      </c>
      <c r="K81" s="179" t="s">
        <v>57</v>
      </c>
      <c r="L81" s="179" t="s">
        <v>56</v>
      </c>
      <c r="M81" s="100" t="s">
        <v>122</v>
      </c>
      <c r="N81" s="87" t="s">
        <v>122</v>
      </c>
      <c r="O81" s="124">
        <v>45678</v>
      </c>
      <c r="P81" s="87" t="s">
        <v>122</v>
      </c>
      <c r="Q81" s="43" t="s">
        <v>122</v>
      </c>
      <c r="R81" s="43" t="s">
        <v>2159</v>
      </c>
      <c r="S81" s="43" t="s">
        <v>122</v>
      </c>
      <c r="T81" s="43" t="s">
        <v>122</v>
      </c>
      <c r="U81" s="115" t="s">
        <v>122</v>
      </c>
      <c r="V81" s="69" t="s">
        <v>122</v>
      </c>
      <c r="W81" s="54">
        <v>45789</v>
      </c>
      <c r="X81" s="69" t="s">
        <v>2162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2159</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122</v>
      </c>
      <c r="O84" s="54">
        <v>45728</v>
      </c>
      <c r="P84" s="30" t="s">
        <v>122</v>
      </c>
      <c r="Q84" s="169" t="s">
        <v>122</v>
      </c>
      <c r="R84" s="169" t="s">
        <v>2159</v>
      </c>
      <c r="S84" s="169" t="s">
        <v>122</v>
      </c>
      <c r="T84" s="169" t="s">
        <v>122</v>
      </c>
      <c r="U84" s="91" t="s">
        <v>122</v>
      </c>
      <c r="V84" s="69" t="s">
        <v>122</v>
      </c>
      <c r="W84" s="195">
        <v>45875</v>
      </c>
      <c r="X84" s="69" t="s">
        <v>2162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122</v>
      </c>
      <c r="O85" s="54">
        <v>45719</v>
      </c>
      <c r="P85" s="30" t="s">
        <v>122</v>
      </c>
      <c r="Q85" s="43" t="s">
        <v>122</v>
      </c>
      <c r="R85" s="169" t="s">
        <v>2159</v>
      </c>
      <c r="S85" s="169" t="s">
        <v>122</v>
      </c>
      <c r="T85" s="169" t="s">
        <v>122</v>
      </c>
      <c r="U85" s="91" t="s">
        <v>122</v>
      </c>
      <c r="V85" s="91" t="s">
        <v>122</v>
      </c>
      <c r="W85" s="195">
        <v>45874</v>
      </c>
      <c r="X85" s="69" t="s">
        <v>2162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122</v>
      </c>
      <c r="O86" s="195">
        <v>45728</v>
      </c>
      <c r="P86" s="30" t="s">
        <v>122</v>
      </c>
      <c r="Q86" s="43" t="s">
        <v>122</v>
      </c>
      <c r="R86" s="43" t="s">
        <v>2159</v>
      </c>
      <c r="S86" s="43" t="s">
        <v>122</v>
      </c>
      <c r="T86" s="43" t="s">
        <v>122</v>
      </c>
      <c r="U86" s="69" t="s">
        <v>122</v>
      </c>
      <c r="V86" s="69" t="s">
        <v>122</v>
      </c>
      <c r="W86" s="54">
        <v>45824</v>
      </c>
      <c r="X86" s="69" t="s">
        <v>2162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122</v>
      </c>
      <c r="O87" s="30" t="s">
        <v>122</v>
      </c>
      <c r="P87" s="30" t="s">
        <v>122</v>
      </c>
      <c r="Q87" s="43" t="s">
        <v>122</v>
      </c>
      <c r="R87" s="43" t="s">
        <v>2159</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122</v>
      </c>
      <c r="O88" s="54">
        <v>45728</v>
      </c>
      <c r="P88" s="30" t="s">
        <v>122</v>
      </c>
      <c r="Q88" s="43" t="s">
        <v>122</v>
      </c>
      <c r="R88" s="43" t="s">
        <v>2159</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122</v>
      </c>
      <c r="O89" s="54">
        <v>45722</v>
      </c>
      <c r="P89" s="30" t="s">
        <v>122</v>
      </c>
      <c r="Q89" s="69" t="s">
        <v>122</v>
      </c>
      <c r="R89" s="43" t="s">
        <v>2159</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122</v>
      </c>
      <c r="O90" s="54">
        <v>45727</v>
      </c>
      <c r="P90" s="30" t="s">
        <v>122</v>
      </c>
      <c r="Q90" s="69" t="s">
        <v>122</v>
      </c>
      <c r="R90" s="43" t="s">
        <v>2159</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122</v>
      </c>
      <c r="O91" s="54">
        <v>45723</v>
      </c>
      <c r="P91" s="30" t="s">
        <v>122</v>
      </c>
      <c r="Q91" s="69" t="s">
        <v>122</v>
      </c>
      <c r="R91" s="43" t="s">
        <v>2159</v>
      </c>
      <c r="S91" s="69" t="s">
        <v>122</v>
      </c>
      <c r="T91" s="69" t="s">
        <v>122</v>
      </c>
      <c r="U91" s="69" t="s">
        <v>122</v>
      </c>
      <c r="V91" s="69" t="s">
        <v>122</v>
      </c>
      <c r="W91" s="54">
        <v>45831</v>
      </c>
      <c r="X91" s="69" t="s">
        <v>2162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122</v>
      </c>
      <c r="O92" s="54">
        <v>45726</v>
      </c>
      <c r="P92" s="30" t="s">
        <v>122</v>
      </c>
      <c r="Q92" s="148" t="s">
        <v>122</v>
      </c>
      <c r="R92" s="43" t="s">
        <v>2159</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122</v>
      </c>
      <c r="O93" s="54">
        <v>45727</v>
      </c>
      <c r="P93" s="79" t="s">
        <v>122</v>
      </c>
      <c r="Q93" s="43" t="s">
        <v>122</v>
      </c>
      <c r="R93" s="43" t="s">
        <v>2159</v>
      </c>
      <c r="S93" s="43" t="s">
        <v>122</v>
      </c>
      <c r="T93" s="43" t="s">
        <v>122</v>
      </c>
      <c r="U93" s="334" t="s">
        <v>122</v>
      </c>
      <c r="V93" s="69" t="s">
        <v>122</v>
      </c>
      <c r="W93" s="54">
        <v>45789</v>
      </c>
      <c r="X93" s="69" t="s">
        <v>2162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122</v>
      </c>
      <c r="O94" s="54">
        <v>45693</v>
      </c>
      <c r="P94" s="79" t="s">
        <v>122</v>
      </c>
      <c r="Q94" s="69" t="s">
        <v>122</v>
      </c>
      <c r="R94" s="69" t="s">
        <v>2159</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122</v>
      </c>
      <c r="O95" s="195">
        <v>45694</v>
      </c>
      <c r="P95" s="79" t="s">
        <v>122</v>
      </c>
      <c r="Q95" s="69" t="s">
        <v>122</v>
      </c>
      <c r="R95" s="69" t="s">
        <v>2159</v>
      </c>
      <c r="S95" s="69" t="s">
        <v>122</v>
      </c>
      <c r="T95" s="43" t="s">
        <v>122</v>
      </c>
      <c r="U95" s="69" t="s">
        <v>122</v>
      </c>
      <c r="V95" s="69" t="s">
        <v>122</v>
      </c>
      <c r="W95" s="54">
        <v>45814</v>
      </c>
      <c r="X95" s="69" t="s">
        <v>2162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122</v>
      </c>
      <c r="O96" s="54">
        <v>45694</v>
      </c>
      <c r="P96" s="30" t="s">
        <v>122</v>
      </c>
      <c r="Q96" s="69" t="s">
        <v>122</v>
      </c>
      <c r="R96" s="91" t="s">
        <v>2159</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122</v>
      </c>
      <c r="O97" s="54">
        <v>45688</v>
      </c>
      <c r="P97" s="30" t="s">
        <v>122</v>
      </c>
      <c r="Q97" s="69" t="s">
        <v>122</v>
      </c>
      <c r="R97" s="69" t="s">
        <v>2159</v>
      </c>
      <c r="S97" s="69" t="s">
        <v>122</v>
      </c>
      <c r="T97" s="69" t="s">
        <v>122</v>
      </c>
      <c r="U97" s="69" t="s">
        <v>122</v>
      </c>
      <c r="V97" s="43" t="s">
        <v>122</v>
      </c>
      <c r="W97" s="54">
        <v>45824</v>
      </c>
      <c r="X97" s="69" t="s">
        <v>2162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122</v>
      </c>
      <c r="O98" s="54">
        <v>45692</v>
      </c>
      <c r="P98" s="30" t="s">
        <v>122</v>
      </c>
      <c r="Q98" s="43" t="s">
        <v>122</v>
      </c>
      <c r="R98" s="43" t="s">
        <v>2159</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122</v>
      </c>
      <c r="O99" s="54">
        <v>45692</v>
      </c>
      <c r="P99" s="30" t="s">
        <v>122</v>
      </c>
      <c r="Q99" s="43" t="s">
        <v>122</v>
      </c>
      <c r="R99" s="43" t="s">
        <v>2159</v>
      </c>
      <c r="S99" s="43" t="s">
        <v>122</v>
      </c>
      <c r="T99" s="115" t="s">
        <v>122</v>
      </c>
      <c r="U99" s="148" t="s">
        <v>122</v>
      </c>
      <c r="V99" s="69" t="s">
        <v>122</v>
      </c>
      <c r="W99" s="54">
        <v>45814</v>
      </c>
      <c r="X99" s="69" t="s">
        <v>2162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122</v>
      </c>
      <c r="O100" s="166">
        <v>45691</v>
      </c>
      <c r="P100" s="30" t="s">
        <v>122</v>
      </c>
      <c r="Q100" s="43" t="s">
        <v>122</v>
      </c>
      <c r="R100" s="43" t="s">
        <v>2159</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122</v>
      </c>
      <c r="O101" s="54">
        <v>45695</v>
      </c>
      <c r="P101" s="30" t="s">
        <v>122</v>
      </c>
      <c r="Q101" s="43" t="s">
        <v>122</v>
      </c>
      <c r="R101" s="43" t="s">
        <v>2159</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122</v>
      </c>
      <c r="N102" s="30" t="s">
        <v>122</v>
      </c>
      <c r="O102" s="54">
        <v>45699</v>
      </c>
      <c r="P102" s="87" t="s">
        <v>122</v>
      </c>
      <c r="Q102" s="88" t="s">
        <v>122</v>
      </c>
      <c r="R102" s="43" t="s">
        <v>2159</v>
      </c>
      <c r="S102" s="43" t="s">
        <v>122</v>
      </c>
      <c r="T102" s="43" t="s">
        <v>122</v>
      </c>
      <c r="U102" s="43" t="s">
        <v>122</v>
      </c>
      <c r="V102" s="165" t="s">
        <v>122</v>
      </c>
      <c r="W102" s="54">
        <v>45835</v>
      </c>
      <c r="X102" s="69" t="s">
        <v>2162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122</v>
      </c>
      <c r="O103" s="54">
        <v>45675</v>
      </c>
      <c r="P103" s="87" t="s">
        <v>122</v>
      </c>
      <c r="Q103" s="43" t="s">
        <v>122</v>
      </c>
      <c r="R103" s="43" t="s">
        <v>2159</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2159</v>
      </c>
      <c r="S104" s="43" t="s">
        <v>122</v>
      </c>
      <c r="T104" s="43" t="s">
        <v>122</v>
      </c>
      <c r="U104" s="43" t="s">
        <v>122</v>
      </c>
      <c r="V104" s="139" t="s">
        <v>122</v>
      </c>
      <c r="W104" s="54">
        <v>45820</v>
      </c>
      <c r="X104" s="69" t="s">
        <v>2162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122</v>
      </c>
      <c r="O105" s="54">
        <v>45743</v>
      </c>
      <c r="P105" s="87" t="s">
        <v>122</v>
      </c>
      <c r="Q105" s="157" t="s">
        <v>122</v>
      </c>
      <c r="R105" s="69" t="s">
        <v>2159</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122</v>
      </c>
      <c r="O106" s="54">
        <v>45679</v>
      </c>
      <c r="P106" s="87" t="s">
        <v>122</v>
      </c>
      <c r="Q106" s="43" t="s">
        <v>122</v>
      </c>
      <c r="R106" s="43" t="s">
        <v>2159</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122</v>
      </c>
      <c r="O107" s="54">
        <v>45749</v>
      </c>
      <c r="P107" s="30" t="s">
        <v>122</v>
      </c>
      <c r="Q107" s="43" t="s">
        <v>122</v>
      </c>
      <c r="R107" s="43" t="s">
        <v>2159</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122</v>
      </c>
      <c r="O108" s="54">
        <v>45749</v>
      </c>
      <c r="P108" s="30" t="s">
        <v>122</v>
      </c>
      <c r="Q108" s="43" t="s">
        <v>122</v>
      </c>
      <c r="R108" s="334" t="s">
        <v>2159</v>
      </c>
      <c r="S108" s="43" t="s">
        <v>122</v>
      </c>
      <c r="T108" s="43" t="s">
        <v>122</v>
      </c>
      <c r="U108" s="88" t="s">
        <v>122</v>
      </c>
      <c r="V108" s="481" t="s">
        <v>122</v>
      </c>
      <c r="W108" s="356">
        <v>45798</v>
      </c>
      <c r="X108" s="69" t="s">
        <v>2162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122</v>
      </c>
      <c r="O109" s="54">
        <v>45744</v>
      </c>
      <c r="P109" s="79" t="s">
        <v>122</v>
      </c>
      <c r="Q109" s="43" t="s">
        <v>122</v>
      </c>
      <c r="R109" s="334" t="s">
        <v>2159</v>
      </c>
      <c r="S109" s="43" t="s">
        <v>122</v>
      </c>
      <c r="T109" s="43" t="s">
        <v>122</v>
      </c>
      <c r="U109" s="43" t="s">
        <v>2165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122</v>
      </c>
      <c r="O110" s="54">
        <v>45691</v>
      </c>
      <c r="P110" s="79" t="s">
        <v>122</v>
      </c>
      <c r="Q110" s="43" t="s">
        <v>122</v>
      </c>
      <c r="R110" s="334" t="s">
        <v>2159</v>
      </c>
      <c r="S110" s="43" t="s">
        <v>122</v>
      </c>
      <c r="T110" s="43" t="s">
        <v>122</v>
      </c>
      <c r="U110" s="88" t="s">
        <v>122</v>
      </c>
      <c r="V110" s="481" t="s">
        <v>122</v>
      </c>
      <c r="W110" s="356">
        <v>45902</v>
      </c>
      <c r="X110" s="69" t="s">
        <v>2162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122</v>
      </c>
      <c r="O111" s="54">
        <v>45708</v>
      </c>
      <c r="P111" s="30" t="s">
        <v>122</v>
      </c>
      <c r="Q111" s="169" t="s">
        <v>122</v>
      </c>
      <c r="R111" s="69" t="s">
        <v>2159</v>
      </c>
      <c r="S111" s="43" t="s">
        <v>122</v>
      </c>
      <c r="T111" s="43" t="s">
        <v>122</v>
      </c>
      <c r="U111" s="43" t="s">
        <v>122</v>
      </c>
      <c r="V111" s="201" t="s">
        <v>122</v>
      </c>
      <c r="W111" s="166">
        <v>45790</v>
      </c>
      <c r="X111" s="69" t="s">
        <v>2162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122</v>
      </c>
      <c r="O112" s="166">
        <v>45744</v>
      </c>
      <c r="P112" s="114" t="s">
        <v>122</v>
      </c>
      <c r="Q112" s="115" t="s">
        <v>122</v>
      </c>
      <c r="R112" s="148" t="s">
        <v>2159</v>
      </c>
      <c r="S112" s="43" t="s">
        <v>122</v>
      </c>
      <c r="T112" s="43" t="s">
        <v>122</v>
      </c>
      <c r="U112" s="43" t="s">
        <v>122</v>
      </c>
      <c r="V112" s="201" t="s">
        <v>122</v>
      </c>
      <c r="W112" s="479">
        <v>45791</v>
      </c>
      <c r="X112" s="69" t="s">
        <v>2162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122</v>
      </c>
      <c r="O113" s="166">
        <v>45755</v>
      </c>
      <c r="P113" s="114" t="s">
        <v>122</v>
      </c>
      <c r="Q113" s="115" t="s">
        <v>122</v>
      </c>
      <c r="R113" s="148" t="s">
        <v>2159</v>
      </c>
      <c r="S113" s="115" t="s">
        <v>122</v>
      </c>
      <c r="T113" s="43" t="s">
        <v>122</v>
      </c>
      <c r="U113" s="43" t="s">
        <v>122</v>
      </c>
      <c r="V113" s="201" t="s">
        <v>122</v>
      </c>
      <c r="W113" s="479">
        <v>45791</v>
      </c>
      <c r="X113" s="148" t="s">
        <v>2162</v>
      </c>
    </row>
    <row r="114" spans="1:25">
      <c r="A114" s="178" t="s">
        <v>871</v>
      </c>
      <c r="B114" s="182" t="s">
        <v>50</v>
      </c>
      <c r="C114" s="314">
        <v>45772</v>
      </c>
      <c r="D114" s="410" t="s">
        <v>872</v>
      </c>
      <c r="H114" s="185">
        <v>75</v>
      </c>
      <c r="I114" s="181"/>
      <c r="J114" s="179" t="s">
        <v>57</v>
      </c>
      <c r="K114" s="420" t="s">
        <v>57</v>
      </c>
      <c r="L114" s="179" t="s">
        <v>63</v>
      </c>
      <c r="M114" s="193">
        <v>45741</v>
      </c>
      <c r="N114" s="114" t="s">
        <v>122</v>
      </c>
      <c r="O114" s="54">
        <v>45747</v>
      </c>
      <c r="P114" s="114" t="s">
        <v>122</v>
      </c>
      <c r="Q114" s="115" t="s">
        <v>122</v>
      </c>
      <c r="R114" s="148" t="s">
        <v>2159</v>
      </c>
      <c r="S114" s="115" t="s">
        <v>122</v>
      </c>
      <c r="T114" s="43" t="s">
        <v>122</v>
      </c>
      <c r="U114" s="157" t="s">
        <v>122</v>
      </c>
      <c r="V114" s="201" t="s">
        <v>122</v>
      </c>
      <c r="W114" s="54">
        <v>45798</v>
      </c>
      <c r="X114" s="69" t="s">
        <v>2162</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122</v>
      </c>
      <c r="O115" s="124">
        <v>45757</v>
      </c>
      <c r="P115" s="30" t="s">
        <v>122</v>
      </c>
      <c r="Q115" s="43" t="s">
        <v>122</v>
      </c>
      <c r="R115" s="69" t="s">
        <v>2159</v>
      </c>
      <c r="S115" s="43" t="s">
        <v>122</v>
      </c>
      <c r="T115" s="43" t="s">
        <v>122</v>
      </c>
      <c r="U115" s="43" t="s">
        <v>122</v>
      </c>
      <c r="V115" s="88" t="s">
        <v>122</v>
      </c>
      <c r="W115" s="54">
        <v>45814</v>
      </c>
      <c r="X115" s="69" t="s">
        <v>2162</v>
      </c>
    </row>
    <row r="116" spans="1:25">
      <c r="A116" s="178" t="s">
        <v>875</v>
      </c>
      <c r="B116" s="182" t="s">
        <v>50</v>
      </c>
      <c r="C116" s="314">
        <v>45772</v>
      </c>
      <c r="D116" s="711" t="s">
        <v>877</v>
      </c>
      <c r="H116" s="179">
        <v>50</v>
      </c>
      <c r="I116" s="181"/>
      <c r="J116" s="179" t="s">
        <v>57</v>
      </c>
      <c r="K116" s="420" t="s">
        <v>57</v>
      </c>
      <c r="L116" s="179" t="s">
        <v>63</v>
      </c>
      <c r="M116" s="193">
        <v>45757</v>
      </c>
      <c r="N116" s="30" t="s">
        <v>122</v>
      </c>
      <c r="O116" s="124">
        <v>45757</v>
      </c>
      <c r="P116" s="30" t="s">
        <v>122</v>
      </c>
      <c r="Q116" s="43" t="s">
        <v>122</v>
      </c>
      <c r="R116" s="69" t="s">
        <v>2159</v>
      </c>
      <c r="S116" s="43" t="s">
        <v>122</v>
      </c>
      <c r="T116" s="43" t="s">
        <v>122</v>
      </c>
      <c r="U116" s="43" t="s">
        <v>122</v>
      </c>
      <c r="V116" s="481" t="s">
        <v>122</v>
      </c>
      <c r="W116" s="54">
        <v>45807</v>
      </c>
      <c r="X116" s="69" t="s">
        <v>2162</v>
      </c>
    </row>
    <row r="117" spans="1:25">
      <c r="A117" s="178" t="s">
        <v>879</v>
      </c>
      <c r="B117" s="182" t="s">
        <v>50</v>
      </c>
      <c r="C117" s="314">
        <v>45772</v>
      </c>
      <c r="D117" s="516" t="s">
        <v>880</v>
      </c>
      <c r="H117" s="179">
        <v>76</v>
      </c>
      <c r="I117" s="181"/>
      <c r="J117" s="179" t="s">
        <v>57</v>
      </c>
      <c r="K117" s="420" t="s">
        <v>57</v>
      </c>
      <c r="L117" s="179" t="s">
        <v>63</v>
      </c>
      <c r="M117" s="193">
        <v>45757</v>
      </c>
      <c r="N117" s="87" t="s">
        <v>122</v>
      </c>
      <c r="O117" s="124">
        <v>45757</v>
      </c>
      <c r="P117" s="30" t="s">
        <v>122</v>
      </c>
      <c r="Q117" s="43" t="s">
        <v>122</v>
      </c>
      <c r="R117" s="69" t="s">
        <v>2159</v>
      </c>
      <c r="S117" s="43" t="s">
        <v>122</v>
      </c>
      <c r="T117" s="43" t="s">
        <v>122</v>
      </c>
      <c r="U117" s="43" t="s">
        <v>122</v>
      </c>
      <c r="V117" s="88" t="s">
        <v>122</v>
      </c>
      <c r="W117" s="54">
        <v>45811</v>
      </c>
      <c r="X117" s="69" t="s">
        <v>2162</v>
      </c>
    </row>
    <row r="118" spans="1:25">
      <c r="A118" s="178" t="s">
        <v>881</v>
      </c>
      <c r="B118" s="182" t="s">
        <v>50</v>
      </c>
      <c r="C118" s="314">
        <v>45772</v>
      </c>
      <c r="D118" s="179" t="s">
        <v>883</v>
      </c>
      <c r="H118" s="185">
        <v>88</v>
      </c>
      <c r="I118" s="181"/>
      <c r="J118" s="179" t="s">
        <v>57</v>
      </c>
      <c r="K118" s="420" t="s">
        <v>57</v>
      </c>
      <c r="L118" s="179" t="s">
        <v>63</v>
      </c>
      <c r="M118" s="193">
        <v>45757</v>
      </c>
      <c r="N118" s="87" t="s">
        <v>122</v>
      </c>
      <c r="O118" s="124">
        <v>45757</v>
      </c>
      <c r="P118" s="87" t="s">
        <v>122</v>
      </c>
      <c r="Q118" s="43" t="s">
        <v>122</v>
      </c>
      <c r="R118" s="43" t="s">
        <v>2159</v>
      </c>
      <c r="S118" s="43" t="s">
        <v>122</v>
      </c>
      <c r="T118" s="43" t="s">
        <v>122</v>
      </c>
      <c r="U118" s="157" t="s">
        <v>122</v>
      </c>
      <c r="V118" s="88" t="s">
        <v>122</v>
      </c>
      <c r="W118" s="54">
        <v>45810</v>
      </c>
      <c r="X118" s="69" t="s">
        <v>2162</v>
      </c>
    </row>
    <row r="119" spans="1:25">
      <c r="A119" s="178" t="s">
        <v>885</v>
      </c>
      <c r="B119" s="182" t="s">
        <v>50</v>
      </c>
      <c r="C119" s="314">
        <v>45772</v>
      </c>
      <c r="D119" s="179" t="s">
        <v>886</v>
      </c>
      <c r="H119" s="185">
        <v>86</v>
      </c>
      <c r="I119" s="181"/>
      <c r="J119" s="179" t="s">
        <v>57</v>
      </c>
      <c r="K119" s="420" t="s">
        <v>57</v>
      </c>
      <c r="L119" s="179" t="s">
        <v>63</v>
      </c>
      <c r="M119" s="195">
        <v>45756</v>
      </c>
      <c r="N119" s="30" t="s">
        <v>122</v>
      </c>
      <c r="O119" s="124">
        <v>45757</v>
      </c>
      <c r="P119" s="30" t="s">
        <v>122</v>
      </c>
      <c r="Q119" s="69" t="s">
        <v>122</v>
      </c>
      <c r="R119" s="69" t="s">
        <v>2159</v>
      </c>
      <c r="S119" s="43" t="s">
        <v>122</v>
      </c>
      <c r="T119" s="43" t="s">
        <v>122</v>
      </c>
      <c r="U119" s="157" t="s">
        <v>122</v>
      </c>
      <c r="V119" s="88" t="s">
        <v>122</v>
      </c>
      <c r="W119" s="54">
        <v>45813</v>
      </c>
      <c r="X119" s="69" t="s">
        <v>2162</v>
      </c>
    </row>
    <row r="120" spans="1:25">
      <c r="A120" s="178" t="s">
        <v>887</v>
      </c>
      <c r="B120" s="182" t="s">
        <v>50</v>
      </c>
      <c r="C120" s="314">
        <v>45772</v>
      </c>
      <c r="D120" s="517" t="s">
        <v>888</v>
      </c>
      <c r="H120" s="185">
        <v>84</v>
      </c>
      <c r="I120" s="181"/>
      <c r="J120" s="179" t="s">
        <v>57</v>
      </c>
      <c r="K120" s="420" t="s">
        <v>57</v>
      </c>
      <c r="L120" s="179" t="s">
        <v>63</v>
      </c>
      <c r="M120" s="195">
        <v>45741</v>
      </c>
      <c r="N120" s="30" t="s">
        <v>122</v>
      </c>
      <c r="O120" s="54">
        <v>45748</v>
      </c>
      <c r="P120" s="30" t="s">
        <v>122</v>
      </c>
      <c r="Q120" s="43" t="s">
        <v>122</v>
      </c>
      <c r="R120" s="69" t="s">
        <v>2159</v>
      </c>
      <c r="S120" s="43" t="s">
        <v>122</v>
      </c>
      <c r="T120" s="43" t="s">
        <v>122</v>
      </c>
      <c r="U120" s="43" t="s">
        <v>122</v>
      </c>
      <c r="V120" s="88" t="s">
        <v>122</v>
      </c>
      <c r="W120" s="54">
        <v>45811</v>
      </c>
      <c r="X120" s="69" t="s">
        <v>2162</v>
      </c>
    </row>
    <row r="121" spans="1:25">
      <c r="A121" s="366" t="s">
        <v>889</v>
      </c>
      <c r="B121" s="684" t="s">
        <v>50</v>
      </c>
      <c r="C121" s="685">
        <v>45772</v>
      </c>
      <c r="D121" s="363" t="s">
        <v>890</v>
      </c>
      <c r="H121" s="341">
        <v>87</v>
      </c>
      <c r="I121" s="339"/>
      <c r="J121" s="363" t="s">
        <v>57</v>
      </c>
      <c r="K121" s="705" t="s">
        <v>57</v>
      </c>
      <c r="L121" s="179" t="s">
        <v>63</v>
      </c>
      <c r="M121" s="193">
        <v>45757</v>
      </c>
      <c r="N121" s="30" t="s">
        <v>122</v>
      </c>
      <c r="O121" s="124">
        <v>45757</v>
      </c>
      <c r="P121" s="30" t="s">
        <v>122</v>
      </c>
      <c r="Q121" s="69" t="s">
        <v>122</v>
      </c>
      <c r="R121" s="69" t="s">
        <v>2159</v>
      </c>
      <c r="S121" s="43" t="s">
        <v>122</v>
      </c>
      <c r="T121" s="43" t="s">
        <v>122</v>
      </c>
      <c r="U121" s="43" t="s">
        <v>122</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122</v>
      </c>
      <c r="O122" s="54">
        <v>45747</v>
      </c>
      <c r="P122" s="30" t="s">
        <v>122</v>
      </c>
      <c r="Q122" s="69" t="s">
        <v>122</v>
      </c>
      <c r="R122" s="69" t="s">
        <v>2159</v>
      </c>
      <c r="S122" s="43" t="s">
        <v>122</v>
      </c>
      <c r="T122" s="43" t="s">
        <v>122</v>
      </c>
      <c r="U122" s="157" t="s">
        <v>122</v>
      </c>
      <c r="V122" s="157" t="s">
        <v>122</v>
      </c>
      <c r="W122" s="54">
        <v>45789</v>
      </c>
      <c r="X122" s="69" t="s">
        <v>2162</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122</v>
      </c>
      <c r="O123" s="54">
        <v>45744</v>
      </c>
      <c r="P123" s="30" t="s">
        <v>122</v>
      </c>
      <c r="Q123" s="43" t="s">
        <v>122</v>
      </c>
      <c r="R123" s="69" t="s">
        <v>2159</v>
      </c>
      <c r="S123" s="43" t="s">
        <v>122</v>
      </c>
      <c r="T123" s="43" t="s">
        <v>122</v>
      </c>
      <c r="U123" s="43" t="s">
        <v>122</v>
      </c>
      <c r="V123" s="69" t="s">
        <v>122</v>
      </c>
      <c r="W123" s="54">
        <v>45811</v>
      </c>
      <c r="X123" s="69" t="s">
        <v>2162</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122</v>
      </c>
      <c r="O124" s="54">
        <v>45744</v>
      </c>
      <c r="P124" s="30" t="s">
        <v>122</v>
      </c>
      <c r="Q124" s="43" t="s">
        <v>122</v>
      </c>
      <c r="R124" s="69" t="s">
        <v>2159</v>
      </c>
      <c r="S124" s="43" t="s">
        <v>122</v>
      </c>
      <c r="T124" s="43" t="s">
        <v>122</v>
      </c>
      <c r="U124" s="43" t="s">
        <v>2165</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122</v>
      </c>
      <c r="N125" s="30" t="s">
        <v>122</v>
      </c>
      <c r="O125" s="54">
        <v>45679</v>
      </c>
      <c r="P125" s="30" t="s">
        <v>122</v>
      </c>
      <c r="Q125" s="69" t="s">
        <v>122</v>
      </c>
      <c r="R125" s="43" t="s">
        <v>2159</v>
      </c>
      <c r="S125" s="43" t="s">
        <v>122</v>
      </c>
      <c r="T125" s="43" t="s">
        <v>122</v>
      </c>
      <c r="U125" s="43" t="s">
        <v>122</v>
      </c>
      <c r="V125" s="43" t="s">
        <v>122</v>
      </c>
      <c r="W125" s="54">
        <v>45814</v>
      </c>
      <c r="X125" s="69" t="s">
        <v>2162</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122</v>
      </c>
      <c r="N126" s="30" t="s">
        <v>122</v>
      </c>
      <c r="O126" s="54">
        <v>45720</v>
      </c>
      <c r="P126" s="30" t="s">
        <v>122</v>
      </c>
      <c r="Q126" s="69" t="s">
        <v>122</v>
      </c>
      <c r="R126" s="43" t="s">
        <v>2159</v>
      </c>
      <c r="S126" s="43" t="s">
        <v>122</v>
      </c>
      <c r="T126" s="43" t="s">
        <v>122</v>
      </c>
      <c r="U126" s="43" t="s">
        <v>122</v>
      </c>
      <c r="V126" s="88" t="s">
        <v>122</v>
      </c>
      <c r="W126" s="54">
        <v>45819</v>
      </c>
      <c r="X126" s="69" t="s">
        <v>2162</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122</v>
      </c>
      <c r="O127" s="54">
        <v>45679</v>
      </c>
      <c r="P127" s="30" t="s">
        <v>122</v>
      </c>
      <c r="Q127" s="43" t="s">
        <v>122</v>
      </c>
      <c r="R127" s="43" t="s">
        <v>2159</v>
      </c>
      <c r="S127" s="43" t="s">
        <v>122</v>
      </c>
      <c r="T127" s="43" t="s">
        <v>122</v>
      </c>
      <c r="U127" s="43" t="s">
        <v>122</v>
      </c>
      <c r="V127" s="88" t="s">
        <v>122</v>
      </c>
      <c r="W127" s="54">
        <v>45812</v>
      </c>
      <c r="X127" s="69" t="s">
        <v>2162</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122</v>
      </c>
      <c r="O128" s="347">
        <v>45694</v>
      </c>
      <c r="P128" s="87" t="s">
        <v>122</v>
      </c>
      <c r="Q128" s="43" t="s">
        <v>122</v>
      </c>
      <c r="R128" s="43" t="s">
        <v>2159</v>
      </c>
      <c r="S128" s="43" t="s">
        <v>122</v>
      </c>
      <c r="T128" s="43" t="s">
        <v>122</v>
      </c>
      <c r="U128" s="43" t="s">
        <v>122</v>
      </c>
      <c r="V128" s="88" t="s">
        <v>122</v>
      </c>
      <c r="W128" s="166">
        <v>45883</v>
      </c>
      <c r="X128" s="69" t="s">
        <v>2162</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2159</v>
      </c>
      <c r="S129" s="43" t="s">
        <v>122</v>
      </c>
      <c r="T129" s="115" t="s">
        <v>122</v>
      </c>
      <c r="U129" s="115" t="s">
        <v>122</v>
      </c>
      <c r="V129" s="88" t="s">
        <v>122</v>
      </c>
      <c r="W129" s="166">
        <v>45814</v>
      </c>
      <c r="X129" s="69" t="s">
        <v>2162</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122</v>
      </c>
      <c r="O130" s="54">
        <v>45698</v>
      </c>
      <c r="P130" s="30" t="s">
        <v>122</v>
      </c>
      <c r="Q130" s="69" t="s">
        <v>122</v>
      </c>
      <c r="R130" s="43" t="s">
        <v>2159</v>
      </c>
      <c r="S130" s="43" t="s">
        <v>122</v>
      </c>
      <c r="T130" s="43" t="s">
        <v>122</v>
      </c>
      <c r="U130" s="43" t="s">
        <v>122</v>
      </c>
      <c r="V130" s="88" t="s">
        <v>122</v>
      </c>
      <c r="W130" s="54">
        <v>45798</v>
      </c>
      <c r="X130" s="69" t="s">
        <v>2162</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122</v>
      </c>
      <c r="N131" s="49" t="s">
        <v>122</v>
      </c>
      <c r="O131" s="30" t="s">
        <v>122</v>
      </c>
      <c r="P131" s="30" t="s">
        <v>122</v>
      </c>
      <c r="Q131" s="43" t="s">
        <v>122</v>
      </c>
      <c r="R131" s="43" t="s">
        <v>2159</v>
      </c>
      <c r="S131" s="43" t="s">
        <v>122</v>
      </c>
      <c r="T131" s="157" t="s">
        <v>122</v>
      </c>
      <c r="U131" s="157" t="s">
        <v>122</v>
      </c>
      <c r="V131" s="88" t="s">
        <v>122</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122</v>
      </c>
      <c r="O132" s="54">
        <v>45691</v>
      </c>
      <c r="P132" s="87" t="s">
        <v>122</v>
      </c>
      <c r="Q132" s="43" t="s">
        <v>122</v>
      </c>
      <c r="R132" s="43" t="s">
        <v>2159</v>
      </c>
      <c r="S132" s="43" t="s">
        <v>122</v>
      </c>
      <c r="T132" s="43" t="s">
        <v>122</v>
      </c>
      <c r="U132" s="43" t="s">
        <v>122</v>
      </c>
      <c r="V132" s="43" t="s">
        <v>122</v>
      </c>
      <c r="W132" s="54">
        <v>45820</v>
      </c>
      <c r="X132" s="69" t="s">
        <v>2162</v>
      </c>
      <c r="Y132" t="e">
        <f>VLOOKUP(A132,#REF!,2,FALSE)</f>
        <v>#REF!</v>
      </c>
    </row>
    <row r="133" spans="1:25" ht="15" customHeight="1">
      <c r="A133" s="358" t="s">
        <v>908</v>
      </c>
      <c r="B133" s="406" t="s">
        <v>50</v>
      </c>
      <c r="C133" s="367">
        <v>45742</v>
      </c>
      <c r="D133" s="419" t="s">
        <v>2166</v>
      </c>
      <c r="E133" s="361"/>
      <c r="F133" s="361"/>
      <c r="G133" s="361"/>
      <c r="H133" s="361">
        <v>38</v>
      </c>
      <c r="I133" s="360"/>
      <c r="J133" s="361" t="s">
        <v>57</v>
      </c>
      <c r="K133" s="361" t="s">
        <v>57</v>
      </c>
      <c r="L133" s="361" t="s">
        <v>63</v>
      </c>
      <c r="M133" s="49" t="s">
        <v>122</v>
      </c>
      <c r="N133" s="49" t="s">
        <v>122</v>
      </c>
      <c r="O133" s="54">
        <v>45701</v>
      </c>
      <c r="P133" s="30" t="s">
        <v>122</v>
      </c>
      <c r="Q133" s="69" t="s">
        <v>122</v>
      </c>
      <c r="R133" s="43" t="s">
        <v>2159</v>
      </c>
      <c r="S133" s="43" t="s">
        <v>122</v>
      </c>
      <c r="T133" s="43" t="s">
        <v>122</v>
      </c>
      <c r="U133" s="43" t="s">
        <v>122</v>
      </c>
      <c r="V133" s="69" t="s">
        <v>122</v>
      </c>
      <c r="W133" s="54">
        <v>45821</v>
      </c>
      <c r="X133" s="69" t="s">
        <v>2162</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122</v>
      </c>
      <c r="O134" s="54">
        <v>45709</v>
      </c>
      <c r="P134" s="30" t="s">
        <v>122</v>
      </c>
      <c r="Q134" s="43" t="s">
        <v>122</v>
      </c>
      <c r="R134" s="43" t="s">
        <v>2159</v>
      </c>
      <c r="S134" s="43" t="s">
        <v>122</v>
      </c>
      <c r="T134" s="43" t="s">
        <v>122</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122</v>
      </c>
      <c r="N135" s="49" t="s">
        <v>122</v>
      </c>
      <c r="O135" s="195">
        <v>45720</v>
      </c>
      <c r="P135" s="49" t="s">
        <v>122</v>
      </c>
      <c r="Q135" s="69" t="s">
        <v>122</v>
      </c>
      <c r="R135" s="43" t="s">
        <v>2159</v>
      </c>
      <c r="S135" s="43" t="s">
        <v>122</v>
      </c>
      <c r="T135" s="43" t="s">
        <v>122</v>
      </c>
      <c r="U135" s="157" t="s">
        <v>122</v>
      </c>
      <c r="V135" s="43" t="s">
        <v>122</v>
      </c>
      <c r="W135" s="54">
        <v>45819</v>
      </c>
      <c r="X135" s="69" t="s">
        <v>2162</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122</v>
      </c>
      <c r="O136" s="54">
        <v>45691</v>
      </c>
      <c r="P136" s="30" t="s">
        <v>122</v>
      </c>
      <c r="Q136" s="43" t="s">
        <v>122</v>
      </c>
      <c r="R136" s="43" t="s">
        <v>2159</v>
      </c>
      <c r="S136" s="43" t="s">
        <v>122</v>
      </c>
      <c r="T136" s="43" t="s">
        <v>122</v>
      </c>
      <c r="U136" s="43" t="s">
        <v>122</v>
      </c>
      <c r="V136" s="43" t="s">
        <v>122</v>
      </c>
      <c r="W136" s="54">
        <v>45791</v>
      </c>
      <c r="X136" s="69" t="s">
        <v>2162</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122</v>
      </c>
      <c r="O137" s="30" t="s">
        <v>122</v>
      </c>
      <c r="P137" s="49" t="s">
        <v>122</v>
      </c>
      <c r="Q137" s="69" t="s">
        <v>122</v>
      </c>
      <c r="R137" s="43" t="s">
        <v>2159</v>
      </c>
      <c r="S137" s="43" t="s">
        <v>122</v>
      </c>
      <c r="T137" s="43" t="s">
        <v>122</v>
      </c>
      <c r="U137" s="157" t="s">
        <v>122</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122</v>
      </c>
      <c r="O138" s="124">
        <v>45707</v>
      </c>
      <c r="P138" s="30" t="s">
        <v>122</v>
      </c>
      <c r="Q138" s="43" t="s">
        <v>122</v>
      </c>
      <c r="R138" s="43" t="s">
        <v>2159</v>
      </c>
      <c r="S138" s="43" t="s">
        <v>122</v>
      </c>
      <c r="T138" s="43" t="s">
        <v>122</v>
      </c>
      <c r="U138" s="43" t="s">
        <v>122</v>
      </c>
      <c r="V138" s="43" t="s">
        <v>122</v>
      </c>
      <c r="W138" s="54">
        <v>45790</v>
      </c>
      <c r="X138" s="69" t="s">
        <v>2162</v>
      </c>
      <c r="Y138" t="e">
        <f>VLOOKUP(A138,#REF!,2,FALSE)</f>
        <v>#REF!</v>
      </c>
    </row>
    <row r="139" spans="1:25" ht="15" customHeight="1">
      <c r="A139" s="358" t="s">
        <v>2167</v>
      </c>
      <c r="B139" s="182" t="s">
        <v>50</v>
      </c>
      <c r="C139" s="408">
        <v>45742</v>
      </c>
      <c r="D139" s="361" t="s">
        <v>2168</v>
      </c>
      <c r="E139" s="519"/>
      <c r="F139" s="361"/>
      <c r="G139" s="361"/>
      <c r="H139" s="361">
        <v>87</v>
      </c>
      <c r="I139" s="360"/>
      <c r="J139" s="361" t="s">
        <v>57</v>
      </c>
      <c r="K139" s="361" t="s">
        <v>57</v>
      </c>
      <c r="L139" s="361" t="s">
        <v>63</v>
      </c>
      <c r="M139" s="49" t="s">
        <v>122</v>
      </c>
      <c r="N139" s="30" t="s">
        <v>122</v>
      </c>
      <c r="O139" s="30" t="s">
        <v>122</v>
      </c>
      <c r="P139" s="30" t="s">
        <v>122</v>
      </c>
      <c r="Q139" s="43" t="s">
        <v>122</v>
      </c>
      <c r="R139" s="43" t="s">
        <v>2159</v>
      </c>
      <c r="S139" s="43" t="s">
        <v>122</v>
      </c>
      <c r="T139" s="43" t="s">
        <v>122</v>
      </c>
      <c r="U139" s="157" t="s">
        <v>122</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122</v>
      </c>
      <c r="O140" s="54">
        <v>45743</v>
      </c>
      <c r="P140" s="87" t="s">
        <v>122</v>
      </c>
      <c r="Q140" s="88" t="s">
        <v>122</v>
      </c>
      <c r="R140" s="43" t="s">
        <v>2159</v>
      </c>
      <c r="S140" s="43" t="s">
        <v>122</v>
      </c>
      <c r="T140" s="43" t="s">
        <v>122</v>
      </c>
      <c r="U140" s="88" t="s">
        <v>122</v>
      </c>
      <c r="V140" s="69" t="s">
        <v>122</v>
      </c>
      <c r="W140" s="54">
        <v>45819</v>
      </c>
      <c r="X140" s="69" t="s">
        <v>2162</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122</v>
      </c>
      <c r="O141" s="195">
        <v>45743</v>
      </c>
      <c r="P141" s="87" t="s">
        <v>122</v>
      </c>
      <c r="Q141" s="88" t="s">
        <v>122</v>
      </c>
      <c r="R141" s="43" t="s">
        <v>2159</v>
      </c>
      <c r="S141" s="43" t="s">
        <v>122</v>
      </c>
      <c r="T141" s="43" t="s">
        <v>122</v>
      </c>
      <c r="U141" s="88" t="s">
        <v>122</v>
      </c>
      <c r="V141" s="88" t="s">
        <v>122</v>
      </c>
      <c r="W141" s="54">
        <v>45811</v>
      </c>
      <c r="X141" s="69" t="s">
        <v>2162</v>
      </c>
      <c r="Y141" t="e">
        <f>VLOOKUP(A141,#REF!,2,FALSE)</f>
        <v>#REF!</v>
      </c>
    </row>
    <row r="142" spans="1:25" ht="15" customHeight="1">
      <c r="A142" s="358" t="s">
        <v>2169</v>
      </c>
      <c r="B142" s="406" t="s">
        <v>50</v>
      </c>
      <c r="C142" s="408">
        <v>45742</v>
      </c>
      <c r="D142" s="361" t="s">
        <v>2170</v>
      </c>
      <c r="E142" s="519"/>
      <c r="F142" s="361"/>
      <c r="G142" s="361"/>
      <c r="H142" s="361">
        <v>87</v>
      </c>
      <c r="I142" s="360"/>
      <c r="J142" s="361" t="s">
        <v>57</v>
      </c>
      <c r="K142" s="361" t="s">
        <v>57</v>
      </c>
      <c r="L142" s="361" t="s">
        <v>63</v>
      </c>
      <c r="M142" s="49" t="s">
        <v>122</v>
      </c>
      <c r="N142" s="49" t="s">
        <v>122</v>
      </c>
      <c r="O142" s="195">
        <v>45691</v>
      </c>
      <c r="P142" s="30" t="s">
        <v>122</v>
      </c>
      <c r="Q142" s="69" t="s">
        <v>122</v>
      </c>
      <c r="R142" s="43" t="s">
        <v>2159</v>
      </c>
      <c r="S142" s="43" t="s">
        <v>122</v>
      </c>
      <c r="T142" s="43" t="s">
        <v>122</v>
      </c>
      <c r="U142" s="157" t="s">
        <v>122</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122</v>
      </c>
      <c r="N143" s="49" t="s">
        <v>122</v>
      </c>
      <c r="O143" s="195">
        <v>45675</v>
      </c>
      <c r="P143" s="30" t="s">
        <v>122</v>
      </c>
      <c r="Q143" s="69" t="s">
        <v>122</v>
      </c>
      <c r="R143" s="43" t="s">
        <v>2159</v>
      </c>
      <c r="S143" s="43" t="s">
        <v>122</v>
      </c>
      <c r="T143" s="43" t="s">
        <v>122</v>
      </c>
      <c r="U143" s="157" t="s">
        <v>122</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2162</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2132</v>
      </c>
      <c r="B146" s="406" t="s">
        <v>50</v>
      </c>
      <c r="C146" s="359">
        <v>45991</v>
      </c>
      <c r="D146" s="418" t="s">
        <v>2133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2159</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2159</v>
      </c>
      <c r="S150" s="43" t="s">
        <v>122</v>
      </c>
      <c r="T150" s="43" t="s">
        <v>122</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2159</v>
      </c>
      <c r="S151" s="43" t="s">
        <v>122</v>
      </c>
      <c r="T151" s="43" t="s">
        <v>122</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122</v>
      </c>
      <c r="O153" s="195">
        <v>45696</v>
      </c>
      <c r="P153" s="30" t="s">
        <v>122</v>
      </c>
      <c r="Q153" s="69" t="s">
        <v>122</v>
      </c>
      <c r="R153" s="43" t="s">
        <v>2159</v>
      </c>
      <c r="S153" s="43" t="s">
        <v>122</v>
      </c>
      <c r="T153" s="157" t="s">
        <v>122</v>
      </c>
      <c r="U153" s="157" t="s">
        <v>122</v>
      </c>
      <c r="V153" s="43" t="s">
        <v>122</v>
      </c>
      <c r="W153" s="54">
        <v>45807</v>
      </c>
      <c r="X153" s="69" t="s">
        <v>2162</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122</v>
      </c>
      <c r="O154" s="347">
        <v>45696</v>
      </c>
      <c r="P154" s="30" t="s">
        <v>122</v>
      </c>
      <c r="Q154" s="69" t="s">
        <v>122</v>
      </c>
      <c r="R154" s="43" t="s">
        <v>2159</v>
      </c>
      <c r="S154" s="43" t="s">
        <v>122</v>
      </c>
      <c r="T154" s="157" t="s">
        <v>122</v>
      </c>
      <c r="U154" s="157" t="s">
        <v>122</v>
      </c>
      <c r="V154" s="43" t="s">
        <v>122</v>
      </c>
      <c r="W154" s="166">
        <v>45792</v>
      </c>
      <c r="X154" s="148" t="s">
        <v>2162</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122</v>
      </c>
      <c r="O155" s="54">
        <v>45699</v>
      </c>
      <c r="P155" s="49" t="s">
        <v>122</v>
      </c>
      <c r="Q155" s="69" t="s">
        <v>122</v>
      </c>
      <c r="R155" s="43" t="s">
        <v>2159</v>
      </c>
      <c r="S155" s="43" t="s">
        <v>122</v>
      </c>
      <c r="T155" s="43" t="s">
        <v>122</v>
      </c>
      <c r="U155" s="157" t="s">
        <v>122</v>
      </c>
      <c r="V155" s="43" t="s">
        <v>122</v>
      </c>
      <c r="W155" s="356">
        <v>45821</v>
      </c>
      <c r="X155" s="69" t="s">
        <v>2162</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122</v>
      </c>
      <c r="O156" s="54">
        <v>45699</v>
      </c>
      <c r="P156" s="49" t="s">
        <v>122</v>
      </c>
      <c r="Q156" s="69" t="s">
        <v>122</v>
      </c>
      <c r="R156" s="43" t="s">
        <v>2159</v>
      </c>
      <c r="S156" s="43" t="s">
        <v>122</v>
      </c>
      <c r="T156" s="43" t="s">
        <v>122</v>
      </c>
      <c r="U156" s="69" t="s">
        <v>122</v>
      </c>
      <c r="V156" s="69" t="s">
        <v>78</v>
      </c>
      <c r="W156" s="356">
        <v>45747</v>
      </c>
      <c r="X156" s="69" t="s">
        <v>78</v>
      </c>
      <c r="Y156" t="e">
        <f>VLOOKUP(A156,#REF!,2,FALSE)</f>
        <v>#REF!</v>
      </c>
    </row>
    <row r="157" spans="1:25" ht="15" customHeight="1">
      <c r="A157" s="365" t="s">
        <v>1107</v>
      </c>
      <c r="B157" s="406" t="s">
        <v>50</v>
      </c>
      <c r="C157" s="400">
        <v>45991</v>
      </c>
      <c r="D157" s="418" t="s">
        <v>2140</v>
      </c>
      <c r="E157" s="700"/>
      <c r="F157" s="419"/>
      <c r="G157" s="419"/>
      <c r="H157" s="419">
        <v>79</v>
      </c>
      <c r="I157" s="360"/>
      <c r="J157" s="361" t="s">
        <v>57</v>
      </c>
      <c r="K157" s="549" t="s">
        <v>57</v>
      </c>
      <c r="L157" s="361" t="s">
        <v>63</v>
      </c>
      <c r="M157" s="195">
        <v>45735</v>
      </c>
      <c r="N157" s="30" t="s">
        <v>64</v>
      </c>
      <c r="O157" s="54">
        <v>45737</v>
      </c>
      <c r="P157" s="49" t="s">
        <v>64</v>
      </c>
      <c r="Q157" s="69" t="s">
        <v>64</v>
      </c>
      <c r="R157" s="69" t="s">
        <v>2159</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122</v>
      </c>
      <c r="O158" s="54">
        <v>45736</v>
      </c>
      <c r="P158" s="49" t="s">
        <v>122</v>
      </c>
      <c r="Q158" s="69" t="s">
        <v>122</v>
      </c>
      <c r="R158" s="43" t="s">
        <v>2159</v>
      </c>
      <c r="S158" s="43" t="s">
        <v>122</v>
      </c>
      <c r="T158" s="43" t="s">
        <v>122</v>
      </c>
      <c r="U158" s="157" t="s">
        <v>122</v>
      </c>
      <c r="V158" s="157" t="s">
        <v>122</v>
      </c>
      <c r="W158" s="356">
        <v>45817</v>
      </c>
      <c r="X158" s="69" t="s">
        <v>2162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2162</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2162</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2162</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2162</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2172</v>
      </c>
      <c r="C1" s="1485"/>
      <c r="D1" s="554"/>
      <c r="E1" s="1485" t="s">
        <v>2173</v>
      </c>
      <c r="F1" s="1485"/>
    </row>
    <row r="2" spans="1:25">
      <c r="B2" s="44" t="s">
        <v>2174</v>
      </c>
      <c r="E2" s="44" t="s">
        <v>22</v>
      </c>
      <c r="F2" t="s">
        <v>1078</v>
      </c>
      <c r="P2" s="44" t="s">
        <v>27</v>
      </c>
      <c r="Q2" t="s">
        <v>2175</v>
      </c>
    </row>
    <row r="3" spans="1:25">
      <c r="B3" s="44" t="s">
        <v>22</v>
      </c>
      <c r="C3" t="s">
        <v>1084</v>
      </c>
      <c r="K3" s="44" t="s">
        <v>2176</v>
      </c>
      <c r="L3" t="s">
        <v>2177</v>
      </c>
      <c r="P3" s="44" t="s">
        <v>2176</v>
      </c>
      <c r="Q3" t="s">
        <v>2177</v>
      </c>
    </row>
    <row r="4" spans="1:25">
      <c r="B4" t="s">
        <v>137</v>
      </c>
      <c r="C4">
        <v>36706</v>
      </c>
      <c r="E4" s="44" t="s">
        <v>2174</v>
      </c>
      <c r="F4" t="s">
        <v>1084</v>
      </c>
      <c r="W4" t="s">
        <v>2178</v>
      </c>
      <c r="X4">
        <v>22</v>
      </c>
    </row>
    <row r="5" spans="1:25">
      <c r="B5" t="s">
        <v>184</v>
      </c>
      <c r="C5">
        <v>17860</v>
      </c>
      <c r="E5" t="s">
        <v>1084</v>
      </c>
      <c r="F5">
        <v>75584</v>
      </c>
      <c r="K5" s="44" t="s">
        <v>2179</v>
      </c>
      <c r="P5" s="44" t="s">
        <v>2179</v>
      </c>
      <c r="W5" t="s">
        <v>2180</v>
      </c>
      <c r="X5">
        <v>13</v>
      </c>
    </row>
    <row r="6" spans="1:25">
      <c r="B6" t="s">
        <v>1111</v>
      </c>
      <c r="C6">
        <v>172178</v>
      </c>
      <c r="K6" s="44" t="s">
        <v>27</v>
      </c>
      <c r="L6" s="44" t="s">
        <v>2181</v>
      </c>
      <c r="M6" t="s">
        <v>1084</v>
      </c>
      <c r="P6" s="44" t="s">
        <v>2182</v>
      </c>
      <c r="Q6" s="44" t="s">
        <v>2181</v>
      </c>
      <c r="R6" t="s">
        <v>1084</v>
      </c>
    </row>
    <row r="7" spans="1:25">
      <c r="B7" t="s">
        <v>51</v>
      </c>
      <c r="C7">
        <v>446</v>
      </c>
      <c r="K7" t="s">
        <v>2175</v>
      </c>
      <c r="L7" t="s">
        <v>658</v>
      </c>
      <c r="M7">
        <v>1</v>
      </c>
      <c r="P7" t="s">
        <v>2183</v>
      </c>
      <c r="R7">
        <v>1</v>
      </c>
      <c r="X7" t="s">
        <v>2184</v>
      </c>
      <c r="Y7" t="s">
        <v>2185</v>
      </c>
    </row>
    <row r="8" spans="1:25">
      <c r="B8" t="s">
        <v>22</v>
      </c>
      <c r="C8">
        <v>0</v>
      </c>
      <c r="L8" t="s">
        <v>660</v>
      </c>
      <c r="M8">
        <v>1</v>
      </c>
      <c r="P8" t="s">
        <v>2186</v>
      </c>
      <c r="R8">
        <v>1</v>
      </c>
      <c r="V8" t="s">
        <v>2187</v>
      </c>
      <c r="W8" s="257">
        <v>203521</v>
      </c>
      <c r="X8" s="313">
        <f>X5/X4</f>
        <v>0.59090909090909094</v>
      </c>
      <c r="Y8" s="313">
        <f>W9/W8</f>
        <v>0.31446386367991508</v>
      </c>
    </row>
    <row r="9" spans="1:25">
      <c r="B9" t="s">
        <v>195</v>
      </c>
      <c r="C9">
        <v>10811</v>
      </c>
      <c r="L9" t="s">
        <v>2188</v>
      </c>
      <c r="M9">
        <v>1</v>
      </c>
      <c r="P9" t="s">
        <v>2189</v>
      </c>
      <c r="Q9" t="s">
        <v>2188</v>
      </c>
      <c r="R9">
        <v>1</v>
      </c>
      <c r="V9" t="s">
        <v>2190</v>
      </c>
      <c r="W9">
        <v>64000</v>
      </c>
    </row>
    <row r="10" spans="1:25">
      <c r="B10" t="s">
        <v>206</v>
      </c>
      <c r="C10">
        <v>30887</v>
      </c>
      <c r="L10" t="s">
        <v>852</v>
      </c>
      <c r="M10">
        <v>1</v>
      </c>
      <c r="Q10" t="s">
        <v>856</v>
      </c>
      <c r="R10">
        <v>1</v>
      </c>
    </row>
    <row r="11" spans="1:25">
      <c r="B11" t="s">
        <v>118</v>
      </c>
      <c r="C11">
        <v>9611</v>
      </c>
      <c r="L11" t="s">
        <v>856</v>
      </c>
      <c r="M11">
        <v>1</v>
      </c>
      <c r="Q11" t="s">
        <v>859</v>
      </c>
      <c r="R11">
        <v>1</v>
      </c>
    </row>
    <row r="12" spans="1:25">
      <c r="B12" t="s">
        <v>125</v>
      </c>
      <c r="C12">
        <v>7441</v>
      </c>
      <c r="L12" t="s">
        <v>859</v>
      </c>
      <c r="M12">
        <v>1</v>
      </c>
      <c r="Q12" t="s">
        <v>2191</v>
      </c>
      <c r="R12">
        <v>1</v>
      </c>
    </row>
    <row r="13" spans="1:25">
      <c r="B13" t="s">
        <v>155</v>
      </c>
      <c r="C13">
        <v>3</v>
      </c>
      <c r="L13" t="s">
        <v>2192</v>
      </c>
      <c r="M13">
        <v>1</v>
      </c>
      <c r="Q13" t="s">
        <v>1038</v>
      </c>
      <c r="R13">
        <v>1</v>
      </c>
    </row>
    <row r="14" spans="1:25">
      <c r="B14" t="s">
        <v>239</v>
      </c>
      <c r="C14">
        <v>8622</v>
      </c>
      <c r="L14" t="s">
        <v>873</v>
      </c>
      <c r="M14">
        <v>1</v>
      </c>
      <c r="P14" t="s">
        <v>2193</v>
      </c>
      <c r="R14">
        <v>5</v>
      </c>
    </row>
    <row r="15" spans="1:25">
      <c r="B15" t="s">
        <v>266</v>
      </c>
      <c r="C15">
        <v>8189</v>
      </c>
      <c r="L15" t="s">
        <v>2191</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2194</v>
      </c>
      <c r="M21">
        <v>1</v>
      </c>
    </row>
    <row r="22" spans="2:13">
      <c r="L22" t="s">
        <v>1038</v>
      </c>
      <c r="M22">
        <v>1</v>
      </c>
    </row>
    <row r="23" spans="2:13">
      <c r="L23" t="s">
        <v>921</v>
      </c>
      <c r="M23">
        <v>1</v>
      </c>
    </row>
    <row r="24" spans="2:13">
      <c r="L24" t="s">
        <v>950</v>
      </c>
      <c r="M24">
        <v>1</v>
      </c>
    </row>
    <row r="25" spans="2:13">
      <c r="L25" t="s">
        <v>151</v>
      </c>
      <c r="M25">
        <v>1</v>
      </c>
    </row>
    <row r="26" spans="2:13">
      <c r="K26" t="s">
        <v>2195</v>
      </c>
      <c r="M26">
        <v>19</v>
      </c>
    </row>
    <row r="27" spans="2:13">
      <c r="K27" t="s">
        <v>2196</v>
      </c>
      <c r="L27" t="s">
        <v>867</v>
      </c>
      <c r="M27">
        <v>1</v>
      </c>
    </row>
    <row r="28" spans="2:13">
      <c r="L28" t="s">
        <v>869</v>
      </c>
      <c r="M28">
        <v>1</v>
      </c>
    </row>
    <row r="29" spans="2:13">
      <c r="L29" t="s">
        <v>871</v>
      </c>
      <c r="M29">
        <v>1</v>
      </c>
    </row>
    <row r="30" spans="2:13">
      <c r="L30" t="s">
        <v>887</v>
      </c>
      <c r="M30">
        <v>1</v>
      </c>
    </row>
    <row r="31" spans="2:13">
      <c r="L31" t="s">
        <v>891</v>
      </c>
      <c r="M31">
        <v>1</v>
      </c>
    </row>
    <row r="32" spans="2:13">
      <c r="L32" t="s">
        <v>2197</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2198</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2200</v>
      </c>
      <c r="S2" s="3" t="s">
        <v>2085</v>
      </c>
      <c r="T2" s="264" t="s">
        <v>2086</v>
      </c>
      <c r="U2" s="264" t="s">
        <v>2086</v>
      </c>
      <c r="V2" s="264" t="s">
        <v>2086</v>
      </c>
      <c r="W2" s="264" t="s">
        <v>2086</v>
      </c>
      <c r="X2" s="264" t="s">
        <v>2087</v>
      </c>
      <c r="Y2" s="264" t="s">
        <v>2201</v>
      </c>
    </row>
    <row r="3" spans="1:26" ht="15.75" thickBot="1">
      <c r="A3" s="263" t="s">
        <v>2181</v>
      </c>
      <c r="B3" s="259" t="s">
        <v>20</v>
      </c>
      <c r="C3" s="259" t="s">
        <v>2202</v>
      </c>
      <c r="D3" s="259" t="s">
        <v>26</v>
      </c>
      <c r="E3" s="259" t="s">
        <v>2176</v>
      </c>
      <c r="F3" s="259" t="s">
        <v>2203</v>
      </c>
      <c r="G3" s="259" t="s">
        <v>27</v>
      </c>
      <c r="H3" s="207" t="s">
        <v>28</v>
      </c>
      <c r="I3" s="207" t="s">
        <v>2204</v>
      </c>
      <c r="J3" s="207" t="s">
        <v>2205</v>
      </c>
      <c r="K3" s="207" t="s">
        <v>2206</v>
      </c>
      <c r="L3" s="207" t="s">
        <v>2162</v>
      </c>
      <c r="M3" s="207" t="s">
        <v>2207</v>
      </c>
      <c r="N3" s="207" t="s">
        <v>2208</v>
      </c>
      <c r="O3" s="206" t="s">
        <v>2090</v>
      </c>
      <c r="P3" s="260" t="s">
        <v>2182</v>
      </c>
      <c r="Q3" s="261" t="s">
        <v>34</v>
      </c>
      <c r="R3" s="261" t="s">
        <v>2204</v>
      </c>
      <c r="S3" s="5" t="s">
        <v>2091</v>
      </c>
      <c r="T3" s="261" t="s">
        <v>2209</v>
      </c>
      <c r="U3" s="261" t="s">
        <v>43</v>
      </c>
      <c r="V3" s="261" t="s">
        <v>2092</v>
      </c>
      <c r="W3" s="261" t="s">
        <v>46</v>
      </c>
      <c r="X3" s="261" t="s">
        <v>646</v>
      </c>
      <c r="Y3" s="261" t="s">
        <v>2210</v>
      </c>
      <c r="Z3" s="312" t="s">
        <v>2211</v>
      </c>
    </row>
    <row r="4" spans="1:26" ht="15.75" thickBot="1">
      <c r="A4" s="121" t="s">
        <v>72</v>
      </c>
      <c r="B4" s="102" t="s">
        <v>50</v>
      </c>
      <c r="C4" s="77">
        <v>45807</v>
      </c>
      <c r="D4" s="268"/>
      <c r="E4" s="269" t="s">
        <v>2212</v>
      </c>
      <c r="F4" s="268"/>
      <c r="G4" s="270" t="s">
        <v>2175</v>
      </c>
      <c r="H4" s="268"/>
      <c r="I4" s="268"/>
      <c r="J4" s="271"/>
      <c r="K4" s="205"/>
      <c r="L4" s="205"/>
      <c r="M4" s="205"/>
      <c r="N4" s="272"/>
      <c r="O4" s="273"/>
      <c r="P4" s="274" t="s">
        <v>2213</v>
      </c>
      <c r="Q4" s="275" t="s">
        <v>88</v>
      </c>
      <c r="R4" s="131" t="s">
        <v>2214</v>
      </c>
      <c r="S4" s="131"/>
      <c r="T4" s="276"/>
      <c r="U4" s="277"/>
      <c r="V4" s="277"/>
      <c r="W4" s="277"/>
      <c r="X4" s="277"/>
      <c r="Y4" s="277"/>
      <c r="Z4" t="e">
        <f>VLOOKUP(A4,#REF!,9,FALSE)</f>
        <v>#REF!</v>
      </c>
    </row>
    <row r="5" spans="1:26" ht="15.75" thickBot="1">
      <c r="A5" s="278" t="s">
        <v>2132</v>
      </c>
      <c r="B5" s="102" t="s">
        <v>50</v>
      </c>
      <c r="C5" s="215">
        <v>45807</v>
      </c>
      <c r="D5" s="268"/>
      <c r="E5" s="269" t="s">
        <v>2212</v>
      </c>
      <c r="F5" s="268"/>
      <c r="G5" s="270" t="s">
        <v>2175</v>
      </c>
      <c r="H5" s="268"/>
      <c r="I5" s="268"/>
      <c r="J5" s="279"/>
      <c r="K5" s="205"/>
      <c r="L5" s="205"/>
      <c r="M5" s="205"/>
      <c r="N5" s="272"/>
      <c r="O5" s="273"/>
      <c r="P5" s="274" t="s">
        <v>2213</v>
      </c>
      <c r="Q5" s="275" t="s">
        <v>88</v>
      </c>
      <c r="R5" s="131" t="s">
        <v>2214</v>
      </c>
      <c r="S5" s="131"/>
      <c r="T5" s="276"/>
      <c r="U5" s="277"/>
      <c r="V5" s="277"/>
      <c r="W5" s="277"/>
      <c r="X5" s="277"/>
      <c r="Y5" s="277"/>
      <c r="Z5" t="e">
        <f>VLOOKUP(A5,#REF!,9,FALSE)</f>
        <v>#REF!</v>
      </c>
    </row>
    <row r="6" spans="1:26" ht="15.75" thickBot="1">
      <c r="A6" s="121" t="s">
        <v>1108</v>
      </c>
      <c r="B6" s="102" t="s">
        <v>50</v>
      </c>
      <c r="C6" s="215">
        <v>45807</v>
      </c>
      <c r="D6" s="268"/>
      <c r="E6" s="269" t="s">
        <v>2212</v>
      </c>
      <c r="F6" s="268"/>
      <c r="G6" s="270" t="s">
        <v>2175</v>
      </c>
      <c r="H6" s="268"/>
      <c r="I6" s="268"/>
      <c r="J6" s="279"/>
      <c r="K6" s="205"/>
      <c r="L6" s="205"/>
      <c r="M6" s="205"/>
      <c r="N6" s="272"/>
      <c r="O6" s="273"/>
      <c r="P6" s="274" t="s">
        <v>2213</v>
      </c>
      <c r="Q6" s="275" t="s">
        <v>88</v>
      </c>
      <c r="R6" s="131" t="s">
        <v>2214</v>
      </c>
      <c r="S6" s="131"/>
      <c r="T6" s="276"/>
      <c r="U6" s="277"/>
      <c r="V6" s="277"/>
      <c r="W6" s="277"/>
      <c r="X6" s="277"/>
      <c r="Y6" s="277"/>
      <c r="Z6" t="e">
        <f>VLOOKUP(A6,#REF!,9,FALSE)</f>
        <v>#REF!</v>
      </c>
    </row>
    <row r="7" spans="1:26" ht="15.75" thickBot="1">
      <c r="A7" s="121" t="s">
        <v>1125</v>
      </c>
      <c r="B7" s="102" t="s">
        <v>50</v>
      </c>
      <c r="C7" s="215">
        <v>45807</v>
      </c>
      <c r="D7" s="268"/>
      <c r="E7" s="269" t="s">
        <v>2212</v>
      </c>
      <c r="F7" s="268"/>
      <c r="G7" s="270" t="s">
        <v>2175</v>
      </c>
      <c r="H7" s="268"/>
      <c r="I7" s="268"/>
      <c r="J7" s="279"/>
      <c r="K7" s="205"/>
      <c r="L7" s="205"/>
      <c r="M7" s="205"/>
      <c r="N7" s="272"/>
      <c r="O7" s="273"/>
      <c r="P7" s="274" t="s">
        <v>2213</v>
      </c>
      <c r="Q7" s="275" t="s">
        <v>88</v>
      </c>
      <c r="R7" s="131" t="s">
        <v>2214</v>
      </c>
      <c r="S7" s="131"/>
      <c r="T7" s="276"/>
      <c r="U7" s="277"/>
      <c r="V7" s="277"/>
      <c r="W7" s="277"/>
      <c r="X7" s="277"/>
      <c r="Y7" s="277"/>
      <c r="Z7" t="e">
        <f>VLOOKUP(A7,#REF!,9,FALSE)</f>
        <v>#REF!</v>
      </c>
    </row>
    <row r="8" spans="1:26" ht="15.75" thickBot="1">
      <c r="A8" s="278" t="s">
        <v>2215</v>
      </c>
      <c r="B8" s="102" t="s">
        <v>50</v>
      </c>
      <c r="C8" s="215">
        <v>45807</v>
      </c>
      <c r="D8" s="268"/>
      <c r="E8" s="269" t="s">
        <v>2212</v>
      </c>
      <c r="F8" s="268"/>
      <c r="G8" s="270" t="s">
        <v>2175</v>
      </c>
      <c r="H8" s="268"/>
      <c r="I8" s="268"/>
      <c r="J8" s="279"/>
      <c r="K8" s="205"/>
      <c r="L8" s="205"/>
      <c r="M8" s="205"/>
      <c r="N8" s="272"/>
      <c r="O8" s="273"/>
      <c r="P8" s="274" t="s">
        <v>2186</v>
      </c>
      <c r="Q8" s="275" t="s">
        <v>2216</v>
      </c>
      <c r="R8" s="131" t="s">
        <v>2217</v>
      </c>
      <c r="S8" s="131"/>
      <c r="T8" s="276"/>
      <c r="U8" s="277"/>
      <c r="V8" s="277"/>
      <c r="W8" s="277"/>
      <c r="X8" s="277"/>
      <c r="Y8" s="277"/>
      <c r="Z8" t="e">
        <f>VLOOKUP(A8,#REF!,9,FALSE)</f>
        <v>#REF!</v>
      </c>
    </row>
    <row r="9" spans="1:26" ht="15.75" thickBot="1">
      <c r="A9" s="121" t="s">
        <v>1133</v>
      </c>
      <c r="B9" s="102" t="s">
        <v>50</v>
      </c>
      <c r="C9" s="215">
        <v>45807</v>
      </c>
      <c r="D9" s="280"/>
      <c r="E9" s="269" t="s">
        <v>2212</v>
      </c>
      <c r="F9" s="280"/>
      <c r="G9" s="281" t="s">
        <v>2175</v>
      </c>
      <c r="H9" s="268"/>
      <c r="I9" s="268"/>
      <c r="J9" s="279"/>
      <c r="K9" s="205"/>
      <c r="L9" s="205"/>
      <c r="M9" s="205"/>
      <c r="N9" s="272"/>
      <c r="O9" s="273"/>
      <c r="P9" s="274" t="s">
        <v>2213</v>
      </c>
      <c r="Q9" s="275" t="s">
        <v>88</v>
      </c>
      <c r="R9" s="131" t="s">
        <v>2214</v>
      </c>
      <c r="S9" s="131"/>
      <c r="T9" s="276"/>
      <c r="U9" s="277"/>
      <c r="V9" s="277"/>
      <c r="W9" s="277"/>
      <c r="X9" s="277"/>
      <c r="Y9" s="277"/>
      <c r="Z9" t="e">
        <f>VLOOKUP(A9,#REF!,9,FALSE)</f>
        <v>#REF!</v>
      </c>
    </row>
    <row r="10" spans="1:26" ht="15.75" thickBot="1">
      <c r="A10" s="121" t="s">
        <v>1110</v>
      </c>
      <c r="B10" s="102" t="s">
        <v>50</v>
      </c>
      <c r="C10" s="215" t="e">
        <v>#N/A</v>
      </c>
      <c r="D10" s="282"/>
      <c r="E10" s="269" t="s">
        <v>2212</v>
      </c>
      <c r="F10" s="282"/>
      <c r="G10" s="283" t="s">
        <v>2175</v>
      </c>
      <c r="H10" s="230"/>
      <c r="I10" s="230"/>
      <c r="J10" s="45"/>
      <c r="K10" s="204"/>
      <c r="L10" s="204"/>
      <c r="M10" s="204"/>
      <c r="N10" s="284"/>
      <c r="O10" s="285"/>
      <c r="P10" s="274" t="s">
        <v>2213</v>
      </c>
      <c r="Q10" s="275" t="s">
        <v>58</v>
      </c>
      <c r="R10" s="131" t="s">
        <v>2214</v>
      </c>
      <c r="S10" s="131"/>
      <c r="T10" s="276"/>
      <c r="U10" s="277"/>
      <c r="V10" s="277"/>
      <c r="W10" s="277"/>
      <c r="X10" s="277"/>
      <c r="Y10" s="277"/>
      <c r="Z10" t="e">
        <f>VLOOKUP(A10,#REF!,9,FALSE)</f>
        <v>#REF!</v>
      </c>
    </row>
    <row r="11" spans="1:26" ht="15.75" thickBot="1">
      <c r="A11" s="121" t="s">
        <v>502</v>
      </c>
      <c r="B11" s="102" t="s">
        <v>50</v>
      </c>
      <c r="C11" s="215">
        <v>45807</v>
      </c>
      <c r="D11" s="282"/>
      <c r="E11" s="269" t="s">
        <v>2212</v>
      </c>
      <c r="F11" s="282"/>
      <c r="G11" s="283" t="s">
        <v>2175</v>
      </c>
      <c r="H11" s="230"/>
      <c r="I11" s="230"/>
      <c r="J11" s="45"/>
      <c r="K11" s="204"/>
      <c r="L11" s="204"/>
      <c r="M11" s="204"/>
      <c r="N11" s="284"/>
      <c r="O11" s="285"/>
      <c r="P11" s="274" t="s">
        <v>2213</v>
      </c>
      <c r="Q11" s="275" t="s">
        <v>88</v>
      </c>
      <c r="R11" s="131" t="s">
        <v>2214</v>
      </c>
      <c r="S11" s="131"/>
      <c r="T11" s="276"/>
      <c r="U11" s="277"/>
      <c r="V11" s="277"/>
      <c r="W11" s="277"/>
      <c r="X11" s="277"/>
      <c r="Y11" s="277"/>
      <c r="Z11" t="e">
        <f>VLOOKUP(A11,#REF!,9,FALSE)</f>
        <v>#REF!</v>
      </c>
    </row>
    <row r="12" spans="1:26" ht="15.75" thickBot="1">
      <c r="A12" s="121" t="s">
        <v>1105</v>
      </c>
      <c r="B12" s="102" t="s">
        <v>50</v>
      </c>
      <c r="C12" s="215" t="e">
        <v>#N/A</v>
      </c>
      <c r="D12" s="282"/>
      <c r="E12" s="269" t="s">
        <v>2212</v>
      </c>
      <c r="F12" s="282"/>
      <c r="G12" s="283" t="s">
        <v>2175</v>
      </c>
      <c r="H12" s="230"/>
      <c r="I12" s="230"/>
      <c r="J12" s="45"/>
      <c r="K12" s="204"/>
      <c r="L12" s="204"/>
      <c r="M12" s="204"/>
      <c r="N12" s="284"/>
      <c r="O12" s="285"/>
      <c r="P12" s="274" t="s">
        <v>2213</v>
      </c>
      <c r="Q12" s="275" t="s">
        <v>88</v>
      </c>
      <c r="R12" s="131" t="s">
        <v>2214</v>
      </c>
      <c r="S12" s="131"/>
      <c r="T12" s="276"/>
      <c r="U12" s="277"/>
      <c r="V12" s="277"/>
      <c r="W12" s="277"/>
      <c r="X12" s="277"/>
      <c r="Y12" s="277"/>
      <c r="Z12" t="e">
        <f>VLOOKUP(A12,#REF!,9,FALSE)</f>
        <v>#REF!</v>
      </c>
    </row>
    <row r="13" spans="1:26" ht="15.75" thickBot="1">
      <c r="A13" s="121" t="s">
        <v>1131</v>
      </c>
      <c r="B13" s="102" t="s">
        <v>50</v>
      </c>
      <c r="C13" s="215" t="e">
        <v>#N/A</v>
      </c>
      <c r="D13" s="282"/>
      <c r="E13" s="269" t="s">
        <v>2212</v>
      </c>
      <c r="F13" s="282"/>
      <c r="G13" s="283" t="s">
        <v>2175</v>
      </c>
      <c r="H13" s="230"/>
      <c r="I13" s="230"/>
      <c r="J13" s="45"/>
      <c r="K13" s="204"/>
      <c r="L13" s="204"/>
      <c r="M13" s="204"/>
      <c r="N13" s="284"/>
      <c r="O13" s="285"/>
      <c r="P13" s="274" t="s">
        <v>2213</v>
      </c>
      <c r="Q13" s="275" t="s">
        <v>88</v>
      </c>
      <c r="R13" s="131" t="s">
        <v>2214</v>
      </c>
      <c r="S13" s="131"/>
      <c r="T13" s="276"/>
      <c r="U13" s="277"/>
      <c r="V13" s="277"/>
      <c r="W13" s="277"/>
      <c r="X13" s="277"/>
      <c r="Y13" s="277"/>
      <c r="Z13" t="e">
        <f>VLOOKUP(A13,#REF!,9,FALSE)</f>
        <v>#REF!</v>
      </c>
    </row>
    <row r="14" spans="1:26" ht="15.75" thickBot="1">
      <c r="A14" s="278" t="s">
        <v>498</v>
      </c>
      <c r="B14" s="102" t="s">
        <v>50</v>
      </c>
      <c r="C14" s="215">
        <v>45807</v>
      </c>
      <c r="D14" s="282"/>
      <c r="E14" s="269" t="s">
        <v>2212</v>
      </c>
      <c r="F14" s="282"/>
      <c r="G14" s="283" t="s">
        <v>2175</v>
      </c>
      <c r="H14" s="230"/>
      <c r="I14" s="230"/>
      <c r="J14" s="45"/>
      <c r="K14" s="204"/>
      <c r="L14" s="204"/>
      <c r="M14" s="204"/>
      <c r="N14" s="284"/>
      <c r="O14" s="285"/>
      <c r="P14" s="274" t="s">
        <v>2213</v>
      </c>
      <c r="Q14" s="275" t="s">
        <v>88</v>
      </c>
      <c r="R14" s="131" t="s">
        <v>2214</v>
      </c>
      <c r="S14" s="131"/>
      <c r="T14" s="276"/>
      <c r="U14" s="277"/>
      <c r="V14" s="277"/>
      <c r="W14" s="277"/>
      <c r="X14" s="277"/>
      <c r="Y14" s="277"/>
      <c r="Z14" t="e">
        <f>VLOOKUP(A14,#REF!,9,FALSE)</f>
        <v>#REF!</v>
      </c>
    </row>
    <row r="15" spans="1:26" ht="15.75" thickBot="1">
      <c r="A15" s="121" t="s">
        <v>1109</v>
      </c>
      <c r="B15" s="102" t="s">
        <v>50</v>
      </c>
      <c r="C15" s="215" t="e">
        <v>#N/A</v>
      </c>
      <c r="D15" s="282"/>
      <c r="E15" s="269" t="s">
        <v>2212</v>
      </c>
      <c r="F15" s="282"/>
      <c r="G15" s="283" t="s">
        <v>2175</v>
      </c>
      <c r="H15" s="230"/>
      <c r="I15" s="230"/>
      <c r="J15" s="45"/>
      <c r="K15" s="204"/>
      <c r="L15" s="204"/>
      <c r="M15" s="204"/>
      <c r="N15" s="284"/>
      <c r="O15" s="285"/>
      <c r="P15" s="274" t="s">
        <v>2213</v>
      </c>
      <c r="Q15" s="275" t="s">
        <v>88</v>
      </c>
      <c r="R15" s="131" t="s">
        <v>2214</v>
      </c>
      <c r="S15" s="131"/>
      <c r="T15" s="276"/>
      <c r="U15" s="277"/>
      <c r="V15" s="277"/>
      <c r="W15" s="277"/>
      <c r="X15" s="277"/>
      <c r="Y15" s="277"/>
      <c r="Z15" t="e">
        <f>VLOOKUP(A15,#REF!,9,FALSE)</f>
        <v>#REF!</v>
      </c>
    </row>
    <row r="16" spans="1:26" ht="15.75" thickBot="1">
      <c r="A16" s="286" t="s">
        <v>2218</v>
      </c>
      <c r="B16" s="102" t="s">
        <v>50</v>
      </c>
      <c r="C16" s="215" t="e">
        <v>#N/A</v>
      </c>
      <c r="D16" s="282"/>
      <c r="E16" s="269" t="s">
        <v>2212</v>
      </c>
      <c r="F16" s="282"/>
      <c r="G16" s="283" t="s">
        <v>2175</v>
      </c>
      <c r="H16" s="230"/>
      <c r="I16" s="230"/>
      <c r="J16" s="45"/>
      <c r="K16" s="204"/>
      <c r="L16" s="204"/>
      <c r="M16" s="204"/>
      <c r="N16" s="284"/>
      <c r="O16" s="285"/>
      <c r="P16" s="274" t="s">
        <v>2213</v>
      </c>
      <c r="Q16" s="275" t="s">
        <v>88</v>
      </c>
      <c r="R16" s="131" t="s">
        <v>2214</v>
      </c>
      <c r="S16" s="131"/>
      <c r="T16" s="276"/>
      <c r="U16" s="277"/>
      <c r="V16" s="277"/>
      <c r="W16" s="277"/>
      <c r="X16" s="277"/>
      <c r="Y16" s="277"/>
      <c r="Z16" t="e">
        <f>VLOOKUP(A16,#REF!,9,FALSE)</f>
        <v>#REF!</v>
      </c>
    </row>
    <row r="17" spans="1:26" ht="15.75" thickBot="1">
      <c r="A17" s="275" t="s">
        <v>950</v>
      </c>
      <c r="B17" s="102" t="s">
        <v>50</v>
      </c>
      <c r="C17" s="215" t="e">
        <v>#N/A</v>
      </c>
      <c r="D17" s="282"/>
      <c r="E17" s="269" t="s">
        <v>2177</v>
      </c>
      <c r="F17" s="282"/>
      <c r="G17" s="283" t="s">
        <v>2175</v>
      </c>
      <c r="H17" s="230"/>
      <c r="I17" s="230"/>
      <c r="J17" s="45"/>
      <c r="K17" s="204"/>
      <c r="L17" s="204"/>
      <c r="M17" s="204"/>
      <c r="N17" s="284"/>
      <c r="O17" s="285"/>
      <c r="P17" s="274"/>
      <c r="Q17" s="275" t="s">
        <v>88</v>
      </c>
      <c r="R17" s="131" t="s">
        <v>2214</v>
      </c>
      <c r="S17" s="131"/>
      <c r="T17" s="276"/>
      <c r="U17" s="277"/>
      <c r="V17" s="277"/>
      <c r="W17" s="277"/>
      <c r="X17" s="277"/>
      <c r="Y17" s="277"/>
      <c r="Z17" t="e">
        <f>VLOOKUP(A17,#REF!,9,FALSE)</f>
        <v>#REF!</v>
      </c>
    </row>
    <row r="18" spans="1:26" ht="15.75" thickBot="1">
      <c r="A18" s="275" t="s">
        <v>921</v>
      </c>
      <c r="B18" s="102" t="s">
        <v>50</v>
      </c>
      <c r="C18" s="215">
        <v>45807</v>
      </c>
      <c r="D18" s="282"/>
      <c r="E18" s="269" t="s">
        <v>2177</v>
      </c>
      <c r="F18" s="282"/>
      <c r="G18" s="283" t="s">
        <v>2175</v>
      </c>
      <c r="H18" s="230"/>
      <c r="I18" s="230"/>
      <c r="J18" s="45"/>
      <c r="K18" s="204"/>
      <c r="L18" s="204"/>
      <c r="M18" s="204"/>
      <c r="N18" s="284"/>
      <c r="O18" s="285"/>
      <c r="P18" s="274" t="s">
        <v>2183</v>
      </c>
      <c r="Q18" s="275"/>
      <c r="R18" s="131" t="s">
        <v>2214</v>
      </c>
      <c r="S18" s="131"/>
      <c r="T18" s="276"/>
      <c r="U18" s="277"/>
      <c r="V18" s="277"/>
      <c r="W18" s="277"/>
      <c r="X18" s="277"/>
      <c r="Y18" s="277"/>
      <c r="Z18" t="e">
        <f>VLOOKUP(A18,#REF!,9,FALSE)</f>
        <v>#REF!</v>
      </c>
    </row>
    <row r="19" spans="1:26" ht="15.75" thickBot="1">
      <c r="A19" s="275" t="s">
        <v>924</v>
      </c>
      <c r="B19" s="102" t="s">
        <v>50</v>
      </c>
      <c r="C19" s="215" t="e">
        <v>#N/A</v>
      </c>
      <c r="D19" s="282"/>
      <c r="E19" s="269" t="s">
        <v>2177</v>
      </c>
      <c r="F19" s="282"/>
      <c r="G19" s="283" t="s">
        <v>2196</v>
      </c>
      <c r="H19" s="230"/>
      <c r="I19" s="230"/>
      <c r="J19" s="45"/>
      <c r="K19" s="204"/>
      <c r="L19" s="204"/>
      <c r="M19" s="204"/>
      <c r="N19" s="284"/>
      <c r="O19" s="285"/>
      <c r="P19" s="274"/>
      <c r="Q19" s="275" t="s">
        <v>2196</v>
      </c>
      <c r="R19" s="131" t="s">
        <v>2214</v>
      </c>
      <c r="S19" s="131"/>
      <c r="T19" s="276"/>
      <c r="U19" s="277"/>
      <c r="V19" s="277"/>
      <c r="W19" s="277"/>
      <c r="X19" s="277"/>
      <c r="Y19" s="277"/>
      <c r="Z19" t="e">
        <f>VLOOKUP(A19,#REF!,9,FALSE)</f>
        <v>#REF!</v>
      </c>
    </row>
    <row r="20" spans="1:26" ht="15.75" thickBot="1">
      <c r="A20" s="275" t="s">
        <v>867</v>
      </c>
      <c r="B20" s="102" t="s">
        <v>50</v>
      </c>
      <c r="C20" s="215" t="e">
        <v>#N/A</v>
      </c>
      <c r="D20" s="282"/>
      <c r="E20" s="269" t="s">
        <v>2177</v>
      </c>
      <c r="F20" s="282"/>
      <c r="G20" s="283" t="s">
        <v>2196</v>
      </c>
      <c r="H20" s="230"/>
      <c r="I20" s="230"/>
      <c r="J20" s="45"/>
      <c r="K20" s="204"/>
      <c r="L20" s="204"/>
      <c r="M20" s="204"/>
      <c r="N20" s="284"/>
      <c r="O20" s="285"/>
      <c r="P20" s="274"/>
      <c r="Q20" s="275" t="s">
        <v>2196</v>
      </c>
      <c r="R20" s="131" t="s">
        <v>2214</v>
      </c>
      <c r="S20" s="131"/>
      <c r="T20" s="276"/>
      <c r="U20" s="277"/>
      <c r="V20" s="277"/>
      <c r="W20" s="277"/>
      <c r="X20" s="277"/>
      <c r="Y20" s="277"/>
      <c r="Z20" t="e">
        <f>VLOOKUP(A20,#REF!,9,FALSE)</f>
        <v>#REF!</v>
      </c>
    </row>
    <row r="21" spans="1:26" s="214" customFormat="1" ht="15.75" thickBot="1">
      <c r="A21" s="262" t="s">
        <v>2192</v>
      </c>
      <c r="B21" s="102" t="e">
        <v>#N/A</v>
      </c>
      <c r="C21" s="231">
        <v>45807</v>
      </c>
      <c r="D21" s="282"/>
      <c r="E21" s="269" t="s">
        <v>2177</v>
      </c>
      <c r="F21" s="282"/>
      <c r="G21" s="283" t="s">
        <v>2175</v>
      </c>
      <c r="H21" s="230"/>
      <c r="I21" s="230"/>
      <c r="J21" s="230"/>
      <c r="K21" s="229"/>
      <c r="L21" s="229"/>
      <c r="M21" s="229"/>
      <c r="N21" s="284"/>
      <c r="O21" s="285"/>
      <c r="P21" s="274"/>
      <c r="Q21" s="225" t="s">
        <v>64</v>
      </c>
      <c r="R21" s="131" t="s">
        <v>2214</v>
      </c>
      <c r="S21" s="228"/>
      <c r="T21" s="227"/>
      <c r="U21" s="226"/>
      <c r="V21" s="226"/>
      <c r="W21" s="226"/>
      <c r="X21" s="226"/>
      <c r="Y21" s="226" t="s">
        <v>2219</v>
      </c>
      <c r="Z21" t="e">
        <f>VLOOKUP(A21,#REF!,9,FALSE)</f>
        <v>#REF!</v>
      </c>
    </row>
    <row r="22" spans="1:26" ht="15.75" thickBot="1">
      <c r="A22" s="275" t="s">
        <v>869</v>
      </c>
      <c r="B22" s="102" t="s">
        <v>50</v>
      </c>
      <c r="C22" s="215" t="e">
        <v>#N/A</v>
      </c>
      <c r="D22" s="282"/>
      <c r="E22" s="269" t="s">
        <v>2177</v>
      </c>
      <c r="F22" s="282"/>
      <c r="G22" s="283" t="s">
        <v>2196</v>
      </c>
      <c r="H22" s="230"/>
      <c r="I22" s="230"/>
      <c r="J22" s="45"/>
      <c r="K22" s="204"/>
      <c r="L22" s="204"/>
      <c r="M22" s="204"/>
      <c r="N22" s="284"/>
      <c r="O22" s="285"/>
      <c r="P22" s="274"/>
      <c r="Q22" s="275" t="s">
        <v>2196</v>
      </c>
      <c r="R22" s="131" t="s">
        <v>2214</v>
      </c>
      <c r="S22" s="131"/>
      <c r="T22" s="276"/>
      <c r="U22" s="277"/>
      <c r="V22" s="277"/>
      <c r="W22" s="277"/>
      <c r="X22" s="277"/>
      <c r="Y22" s="277"/>
      <c r="Z22" t="e">
        <f>VLOOKUP(A22,#REF!,9,FALSE)</f>
        <v>#REF!</v>
      </c>
    </row>
    <row r="23" spans="1:26" ht="15.75" thickBot="1">
      <c r="A23" s="275" t="s">
        <v>852</v>
      </c>
      <c r="B23" s="102" t="s">
        <v>50</v>
      </c>
      <c r="C23" s="215" t="e">
        <v>#N/A</v>
      </c>
      <c r="D23" s="282"/>
      <c r="E23" s="269" t="s">
        <v>2177</v>
      </c>
      <c r="F23" s="282"/>
      <c r="G23" s="283" t="s">
        <v>2175</v>
      </c>
      <c r="H23" s="230"/>
      <c r="I23" s="230"/>
      <c r="J23" s="45"/>
      <c r="K23" s="204"/>
      <c r="L23" s="204"/>
      <c r="M23" s="204"/>
      <c r="N23" s="284"/>
      <c r="O23" s="285"/>
      <c r="P23" s="274"/>
      <c r="Q23" s="275" t="s">
        <v>64</v>
      </c>
      <c r="R23" s="131" t="s">
        <v>2214</v>
      </c>
      <c r="S23" s="131"/>
      <c r="T23" s="276"/>
      <c r="U23" s="277"/>
      <c r="V23" s="277"/>
      <c r="W23" s="277"/>
      <c r="X23" s="277"/>
      <c r="Y23" s="277" t="s">
        <v>2220</v>
      </c>
      <c r="Z23" t="e">
        <f>VLOOKUP(A23,#REF!,9,FALSE)</f>
        <v>#REF!</v>
      </c>
    </row>
    <row r="24" spans="1:26" s="214" customFormat="1" ht="69.599999999999994" customHeight="1" thickBot="1">
      <c r="A24" s="225" t="s">
        <v>2188</v>
      </c>
      <c r="B24" s="232" t="e">
        <v>#N/A</v>
      </c>
      <c r="C24" s="231">
        <v>45716</v>
      </c>
      <c r="D24" s="282"/>
      <c r="E24" s="269" t="s">
        <v>2177</v>
      </c>
      <c r="F24" s="282"/>
      <c r="G24" s="283" t="s">
        <v>2175</v>
      </c>
      <c r="H24" s="230"/>
      <c r="I24" s="230"/>
      <c r="J24" s="230"/>
      <c r="K24" s="229"/>
      <c r="L24" s="229"/>
      <c r="M24" s="229"/>
      <c r="N24" s="284"/>
      <c r="O24" s="285"/>
      <c r="P24" s="274" t="s">
        <v>2189</v>
      </c>
      <c r="Q24" s="225" t="s">
        <v>64</v>
      </c>
      <c r="R24" s="131" t="s">
        <v>2214</v>
      </c>
      <c r="S24" s="228"/>
      <c r="T24" s="227"/>
      <c r="U24" s="226"/>
      <c r="V24" s="226"/>
      <c r="W24" s="226"/>
      <c r="X24" s="226"/>
      <c r="Y24" s="226" t="s">
        <v>2220</v>
      </c>
      <c r="Z24" t="e">
        <f>VLOOKUP(A24,#REF!,9,FALSE)</f>
        <v>#REF!</v>
      </c>
    </row>
    <row r="25" spans="1:26" ht="15.75" thickBot="1">
      <c r="A25" s="275" t="s">
        <v>856</v>
      </c>
      <c r="B25" s="102" t="s">
        <v>50</v>
      </c>
      <c r="C25" s="215">
        <v>45772</v>
      </c>
      <c r="D25" s="282"/>
      <c r="E25" s="269" t="s">
        <v>2177</v>
      </c>
      <c r="F25" s="282"/>
      <c r="G25" s="283" t="s">
        <v>2175</v>
      </c>
      <c r="H25" s="230"/>
      <c r="I25" s="230"/>
      <c r="J25" s="45"/>
      <c r="K25" s="204"/>
      <c r="L25" s="204"/>
      <c r="M25" s="204"/>
      <c r="N25" s="284"/>
      <c r="O25" s="285"/>
      <c r="P25" s="274" t="s">
        <v>2189</v>
      </c>
      <c r="Q25" s="275" t="s">
        <v>64</v>
      </c>
      <c r="R25" s="131" t="s">
        <v>2214</v>
      </c>
      <c r="S25" s="131"/>
      <c r="T25" s="276"/>
      <c r="U25" s="277"/>
      <c r="V25" s="277"/>
      <c r="W25" s="277"/>
      <c r="X25" s="277"/>
      <c r="Y25" s="277"/>
      <c r="Z25" t="e">
        <f>VLOOKUP(A25,#REF!,9,FALSE)</f>
        <v>#REF!</v>
      </c>
    </row>
    <row r="26" spans="1:26" ht="15.75" thickBot="1">
      <c r="A26" s="275" t="s">
        <v>859</v>
      </c>
      <c r="B26" s="102" t="s">
        <v>50</v>
      </c>
      <c r="C26" s="215">
        <v>45772</v>
      </c>
      <c r="D26" s="282"/>
      <c r="E26" s="269" t="s">
        <v>2177</v>
      </c>
      <c r="F26" s="282"/>
      <c r="G26" s="283" t="s">
        <v>2175</v>
      </c>
      <c r="H26" s="230"/>
      <c r="I26" s="230"/>
      <c r="J26" s="45"/>
      <c r="K26" s="204"/>
      <c r="L26" s="204"/>
      <c r="M26" s="204"/>
      <c r="N26" s="284"/>
      <c r="O26" s="285"/>
      <c r="P26" s="274" t="s">
        <v>2189</v>
      </c>
      <c r="Q26" s="275" t="s">
        <v>64</v>
      </c>
      <c r="R26" s="131" t="s">
        <v>2214</v>
      </c>
      <c r="S26" s="131"/>
      <c r="T26" s="276"/>
      <c r="U26" s="277"/>
      <c r="V26" s="277"/>
      <c r="W26" s="277"/>
      <c r="X26" s="277"/>
      <c r="Y26" s="277"/>
      <c r="Z26" t="e">
        <f>VLOOKUP(A26,#REF!,9,FALSE)</f>
        <v>#REF!</v>
      </c>
    </row>
    <row r="27" spans="1:26" ht="15.75" thickBot="1">
      <c r="A27" s="275" t="s">
        <v>1038</v>
      </c>
      <c r="B27" s="102" t="s">
        <v>50</v>
      </c>
      <c r="C27" s="215">
        <v>45772</v>
      </c>
      <c r="D27" s="282"/>
      <c r="E27" s="269" t="s">
        <v>2177</v>
      </c>
      <c r="F27" s="282"/>
      <c r="G27" s="283" t="s">
        <v>2175</v>
      </c>
      <c r="H27" s="230"/>
      <c r="I27" s="230"/>
      <c r="J27" s="45"/>
      <c r="K27" s="204"/>
      <c r="L27" s="204"/>
      <c r="M27" s="204"/>
      <c r="N27" s="284"/>
      <c r="O27" s="285"/>
      <c r="P27" s="274" t="s">
        <v>2189</v>
      </c>
      <c r="Q27" s="275" t="s">
        <v>64</v>
      </c>
      <c r="R27" s="131" t="s">
        <v>2214</v>
      </c>
      <c r="S27" s="131"/>
      <c r="T27" s="276"/>
      <c r="U27" s="277"/>
      <c r="V27" s="277"/>
      <c r="W27" s="277"/>
      <c r="X27" s="277"/>
      <c r="Y27" s="277"/>
      <c r="Z27" t="e">
        <f>VLOOKUP(A27,#REF!,9,FALSE)</f>
        <v>#REF!</v>
      </c>
    </row>
    <row r="28" spans="1:26" ht="70.150000000000006" customHeight="1" thickBot="1">
      <c r="A28" s="225" t="s">
        <v>2191</v>
      </c>
      <c r="B28" s="232"/>
      <c r="C28" s="231"/>
      <c r="D28" s="282"/>
      <c r="E28" s="269" t="s">
        <v>2177</v>
      </c>
      <c r="F28" s="282"/>
      <c r="G28" s="283" t="s">
        <v>2175</v>
      </c>
      <c r="H28" s="230"/>
      <c r="I28" s="230"/>
      <c r="J28" s="230"/>
      <c r="K28" s="229"/>
      <c r="L28" s="229"/>
      <c r="M28" s="229"/>
      <c r="N28" s="284"/>
      <c r="O28" s="285"/>
      <c r="P28" s="274" t="s">
        <v>2189</v>
      </c>
      <c r="Q28" s="225" t="s">
        <v>64</v>
      </c>
      <c r="R28" s="131" t="s">
        <v>2214</v>
      </c>
      <c r="S28" s="228"/>
      <c r="T28" s="227"/>
      <c r="U28" s="226"/>
      <c r="V28" s="226"/>
      <c r="W28" s="226"/>
      <c r="X28" s="226"/>
      <c r="Y28" s="288" t="s">
        <v>2221</v>
      </c>
      <c r="Z28" t="e">
        <f>VLOOKUP(A28,#REF!,9,FALSE)</f>
        <v>#REF!</v>
      </c>
    </row>
    <row r="29" spans="1:26" s="214" customFormat="1" ht="69.599999999999994" customHeight="1" thickBot="1">
      <c r="A29" s="225" t="s">
        <v>2194</v>
      </c>
      <c r="B29" s="232" t="e">
        <v>#N/A</v>
      </c>
      <c r="C29" s="231" t="e">
        <v>#N/A</v>
      </c>
      <c r="D29" s="282"/>
      <c r="E29" s="269" t="s">
        <v>2177</v>
      </c>
      <c r="F29" s="282"/>
      <c r="G29" s="283" t="s">
        <v>2175</v>
      </c>
      <c r="H29" s="230"/>
      <c r="I29" s="230"/>
      <c r="J29" s="230"/>
      <c r="K29" s="229"/>
      <c r="L29" s="229"/>
      <c r="M29" s="229"/>
      <c r="N29" s="284"/>
      <c r="O29" s="285"/>
      <c r="P29" s="274"/>
      <c r="Q29" s="220" t="s">
        <v>64</v>
      </c>
      <c r="R29" s="131" t="s">
        <v>2214</v>
      </c>
      <c r="S29" s="228"/>
      <c r="T29" s="227"/>
      <c r="U29" s="226"/>
      <c r="V29" s="226"/>
      <c r="W29" s="226"/>
      <c r="X29" s="226"/>
      <c r="Y29" s="226" t="s">
        <v>2221</v>
      </c>
      <c r="Z29" t="e">
        <f>VLOOKUP(A29,#REF!,9,FALSE)</f>
        <v>#REF!</v>
      </c>
    </row>
    <row r="30" spans="1:26" ht="15.75" thickBot="1">
      <c r="A30" s="275" t="s">
        <v>887</v>
      </c>
      <c r="B30" s="102" t="s">
        <v>50</v>
      </c>
      <c r="C30" s="215">
        <v>45772</v>
      </c>
      <c r="D30" s="282"/>
      <c r="E30" s="269" t="s">
        <v>2177</v>
      </c>
      <c r="F30" s="282"/>
      <c r="G30" s="283" t="s">
        <v>2196</v>
      </c>
      <c r="H30" s="230"/>
      <c r="I30" s="230"/>
      <c r="J30" s="45"/>
      <c r="K30" s="204"/>
      <c r="L30" s="204"/>
      <c r="M30" s="204"/>
      <c r="N30" s="284"/>
      <c r="O30" s="285"/>
      <c r="P30" s="274"/>
      <c r="Q30" s="275" t="s">
        <v>2196</v>
      </c>
      <c r="R30" s="131" t="s">
        <v>2214</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2177</v>
      </c>
      <c r="F31" s="289"/>
      <c r="G31" s="290" t="s">
        <v>2196</v>
      </c>
      <c r="H31" s="222"/>
      <c r="I31" s="222"/>
      <c r="J31" s="236"/>
      <c r="K31" s="237"/>
      <c r="L31" s="237"/>
      <c r="M31" s="237"/>
      <c r="N31" s="222"/>
      <c r="O31" s="291"/>
      <c r="P31" s="274"/>
      <c r="Q31" s="233" t="s">
        <v>2196</v>
      </c>
      <c r="R31" s="131" t="s">
        <v>2214</v>
      </c>
      <c r="S31" s="238"/>
      <c r="T31" s="239"/>
      <c r="U31" s="240"/>
      <c r="V31" s="240"/>
      <c r="W31" s="240"/>
      <c r="X31" s="240"/>
      <c r="Y31" s="240" t="s">
        <v>2222</v>
      </c>
      <c r="Z31" t="e">
        <f>VLOOKUP(A31,#REF!,9,FALSE)</f>
        <v>#REF!</v>
      </c>
    </row>
    <row r="32" spans="1:26" ht="15.75" thickBot="1">
      <c r="A32" s="275" t="s">
        <v>891</v>
      </c>
      <c r="B32" s="102" t="s">
        <v>50</v>
      </c>
      <c r="C32" s="215">
        <v>45772</v>
      </c>
      <c r="D32" s="282"/>
      <c r="E32" s="269" t="s">
        <v>2177</v>
      </c>
      <c r="F32" s="282"/>
      <c r="G32" s="283" t="s">
        <v>2196</v>
      </c>
      <c r="H32" s="230"/>
      <c r="I32" s="230"/>
      <c r="J32" s="45"/>
      <c r="K32" s="204"/>
      <c r="L32" s="204"/>
      <c r="M32" s="204"/>
      <c r="N32" s="284"/>
      <c r="O32" s="285"/>
      <c r="P32" s="274"/>
      <c r="Q32" s="275" t="s">
        <v>2196</v>
      </c>
      <c r="R32" s="131" t="s">
        <v>2214</v>
      </c>
      <c r="S32" s="131"/>
      <c r="T32" s="276"/>
      <c r="U32" s="277"/>
      <c r="V32" s="277"/>
      <c r="W32" s="277"/>
      <c r="X32" s="277"/>
      <c r="Y32" s="277"/>
      <c r="Z32" t="e">
        <f>VLOOKUP(A32,#REF!,9,FALSE)</f>
        <v>#REF!</v>
      </c>
    </row>
    <row r="33" spans="1:26" ht="15.75" thickBot="1">
      <c r="A33" s="275" t="s">
        <v>879</v>
      </c>
      <c r="B33" s="102" t="s">
        <v>50</v>
      </c>
      <c r="C33" s="215">
        <v>45831</v>
      </c>
      <c r="D33" s="282"/>
      <c r="E33" s="269" t="s">
        <v>2177</v>
      </c>
      <c r="F33" s="282"/>
      <c r="G33" s="283" t="s">
        <v>2175</v>
      </c>
      <c r="H33" s="230"/>
      <c r="I33" s="230"/>
      <c r="J33" s="45"/>
      <c r="K33" s="204"/>
      <c r="L33" s="204"/>
      <c r="M33" s="204"/>
      <c r="N33" s="284"/>
      <c r="O33" s="285"/>
      <c r="P33" s="274"/>
      <c r="Q33" s="225" t="s">
        <v>64</v>
      </c>
      <c r="R33" s="131" t="s">
        <v>2214</v>
      </c>
      <c r="S33" s="131"/>
      <c r="T33" s="276"/>
      <c r="U33" s="277"/>
      <c r="V33" s="277"/>
      <c r="W33" s="277"/>
      <c r="X33" s="277"/>
      <c r="Y33" s="277"/>
      <c r="Z33" t="e">
        <f>VLOOKUP(A33,#REF!,9,FALSE)</f>
        <v>#REF!</v>
      </c>
    </row>
    <row r="34" spans="1:26" ht="15.75" thickBot="1">
      <c r="A34" s="275" t="s">
        <v>873</v>
      </c>
      <c r="B34" s="102" t="s">
        <v>50</v>
      </c>
      <c r="C34" s="215">
        <v>45831</v>
      </c>
      <c r="D34" s="282"/>
      <c r="E34" s="269" t="s">
        <v>2177</v>
      </c>
      <c r="F34" s="282"/>
      <c r="G34" s="283" t="s">
        <v>2175</v>
      </c>
      <c r="H34" s="230"/>
      <c r="I34" s="230"/>
      <c r="J34" s="45"/>
      <c r="K34" s="204"/>
      <c r="L34" s="204"/>
      <c r="M34" s="204"/>
      <c r="N34" s="284"/>
      <c r="O34" s="285"/>
      <c r="P34" s="274"/>
      <c r="Q34" s="275" t="s">
        <v>64</v>
      </c>
      <c r="R34" s="131" t="s">
        <v>2214</v>
      </c>
      <c r="S34" s="131"/>
      <c r="T34" s="276"/>
      <c r="U34" s="277"/>
      <c r="V34" s="277"/>
      <c r="W34" s="277"/>
      <c r="X34" s="277"/>
      <c r="Y34" s="277"/>
      <c r="Z34" t="e">
        <f>VLOOKUP(A34,#REF!,9,FALSE)</f>
        <v>#REF!</v>
      </c>
    </row>
    <row r="35" spans="1:26" ht="15.75" thickBot="1">
      <c r="A35" s="275" t="s">
        <v>875</v>
      </c>
      <c r="B35" s="102" t="s">
        <v>50</v>
      </c>
      <c r="C35" s="215">
        <v>45831</v>
      </c>
      <c r="D35" s="282"/>
      <c r="E35" s="269" t="s">
        <v>2177</v>
      </c>
      <c r="F35" s="282"/>
      <c r="G35" s="283" t="s">
        <v>2175</v>
      </c>
      <c r="H35" s="230"/>
      <c r="I35" s="230"/>
      <c r="J35" s="45"/>
      <c r="K35" s="204"/>
      <c r="L35" s="204"/>
      <c r="M35" s="204"/>
      <c r="N35" s="284"/>
      <c r="O35" s="285"/>
      <c r="P35" s="274"/>
      <c r="Q35" s="275" t="s">
        <v>64</v>
      </c>
      <c r="R35" s="131" t="s">
        <v>2214</v>
      </c>
      <c r="S35" s="131"/>
      <c r="T35" s="276"/>
      <c r="U35" s="277"/>
      <c r="V35" s="277"/>
      <c r="W35" s="277"/>
      <c r="X35" s="277"/>
      <c r="Y35" s="277"/>
      <c r="Z35" t="e">
        <f>VLOOKUP(A35,#REF!,9,FALSE)</f>
        <v>#REF!</v>
      </c>
    </row>
    <row r="36" spans="1:26" ht="15.75" thickBot="1">
      <c r="A36" s="275" t="s">
        <v>871</v>
      </c>
      <c r="B36" s="102" t="s">
        <v>50</v>
      </c>
      <c r="C36" s="215">
        <v>45772</v>
      </c>
      <c r="D36" s="282"/>
      <c r="E36" s="269" t="s">
        <v>2177</v>
      </c>
      <c r="F36" s="282"/>
      <c r="G36" s="283" t="s">
        <v>2196</v>
      </c>
      <c r="H36" s="230"/>
      <c r="I36" s="230"/>
      <c r="J36" s="45"/>
      <c r="K36" s="204"/>
      <c r="L36" s="204"/>
      <c r="M36" s="204"/>
      <c r="N36" s="284"/>
      <c r="O36" s="285"/>
      <c r="P36" s="274"/>
      <c r="Q36" s="275" t="s">
        <v>2196</v>
      </c>
      <c r="R36" s="131" t="s">
        <v>2214</v>
      </c>
      <c r="S36" s="131"/>
      <c r="T36" s="276"/>
      <c r="U36" s="277"/>
      <c r="V36" s="277"/>
      <c r="W36" s="277"/>
      <c r="X36" s="277"/>
      <c r="Y36" s="277"/>
      <c r="Z36" t="e">
        <f>VLOOKUP(A36,#REF!,9,FALSE)</f>
        <v>#REF!</v>
      </c>
    </row>
    <row r="37" spans="1:26" ht="15.75" thickBot="1">
      <c r="A37" s="275" t="s">
        <v>881</v>
      </c>
      <c r="B37" s="102" t="s">
        <v>50</v>
      </c>
      <c r="C37" s="215">
        <v>45831</v>
      </c>
      <c r="D37" s="282"/>
      <c r="E37" s="269" t="s">
        <v>2177</v>
      </c>
      <c r="F37" s="282"/>
      <c r="G37" s="283" t="s">
        <v>2175</v>
      </c>
      <c r="H37" s="230"/>
      <c r="I37" s="230"/>
      <c r="J37" s="45"/>
      <c r="K37" s="204"/>
      <c r="L37" s="204"/>
      <c r="M37" s="204"/>
      <c r="N37" s="284"/>
      <c r="O37" s="285"/>
      <c r="P37" s="274"/>
      <c r="Q37" s="275" t="s">
        <v>64</v>
      </c>
      <c r="R37" s="131" t="s">
        <v>2214</v>
      </c>
      <c r="S37" s="131"/>
      <c r="T37" s="276"/>
      <c r="U37" s="277"/>
      <c r="V37" s="277"/>
      <c r="W37" s="277"/>
      <c r="X37" s="277"/>
      <c r="Y37" s="277"/>
      <c r="Z37" t="e">
        <f>VLOOKUP(A37,#REF!,9,FALSE)</f>
        <v>#REF!</v>
      </c>
    </row>
    <row r="38" spans="1:26" ht="15.75" thickBot="1">
      <c r="A38" s="275" t="s">
        <v>885</v>
      </c>
      <c r="B38" s="102" t="s">
        <v>50</v>
      </c>
      <c r="C38" s="215">
        <v>45831</v>
      </c>
      <c r="D38" s="282"/>
      <c r="E38" s="269" t="s">
        <v>2177</v>
      </c>
      <c r="F38" s="282"/>
      <c r="G38" s="283" t="s">
        <v>2175</v>
      </c>
      <c r="H38" s="230"/>
      <c r="I38" s="230"/>
      <c r="J38" s="45"/>
      <c r="K38" s="204"/>
      <c r="L38" s="204"/>
      <c r="M38" s="204"/>
      <c r="N38" s="284"/>
      <c r="O38" s="285"/>
      <c r="P38" s="274"/>
      <c r="Q38" s="275" t="s">
        <v>64</v>
      </c>
      <c r="R38" s="131" t="s">
        <v>2214</v>
      </c>
      <c r="S38" s="131"/>
      <c r="T38" s="276"/>
      <c r="U38" s="277"/>
      <c r="V38" s="277"/>
      <c r="W38" s="277"/>
      <c r="X38" s="277"/>
      <c r="Y38" s="277"/>
      <c r="Z38" t="e">
        <f>VLOOKUP(A38,#REF!,9,FALSE)</f>
        <v>#REF!</v>
      </c>
    </row>
    <row r="39" spans="1:26" s="216" customFormat="1" ht="70.150000000000006" customHeight="1" thickBot="1">
      <c r="A39" s="220" t="s">
        <v>2197</v>
      </c>
      <c r="B39" s="224" t="e">
        <v>#N/A</v>
      </c>
      <c r="C39" s="223" t="e">
        <v>#N/A</v>
      </c>
      <c r="D39" s="289"/>
      <c r="E39" s="269" t="s">
        <v>2177</v>
      </c>
      <c r="F39" s="289"/>
      <c r="G39" s="290" t="s">
        <v>2196</v>
      </c>
      <c r="H39" s="222"/>
      <c r="I39" s="222"/>
      <c r="J39" s="222"/>
      <c r="K39" s="221"/>
      <c r="L39" s="221"/>
      <c r="M39" s="221"/>
      <c r="N39" s="222"/>
      <c r="O39" s="291"/>
      <c r="P39" s="274"/>
      <c r="Q39" s="220" t="s">
        <v>2196</v>
      </c>
      <c r="R39" s="131" t="s">
        <v>2214</v>
      </c>
      <c r="S39" s="219"/>
      <c r="T39" s="218"/>
      <c r="U39" s="217"/>
      <c r="V39" s="217"/>
      <c r="W39" s="217"/>
      <c r="X39" s="217"/>
      <c r="Y39" s="217" t="s">
        <v>2221</v>
      </c>
      <c r="Z39" t="e">
        <f>VLOOKUP(A39,#REF!,9,FALSE)</f>
        <v>#REF!</v>
      </c>
    </row>
    <row r="40" spans="1:26" ht="15.75" thickBot="1">
      <c r="A40" s="275" t="s">
        <v>889</v>
      </c>
      <c r="B40" s="102" t="s">
        <v>50</v>
      </c>
      <c r="C40" s="215">
        <v>45831</v>
      </c>
      <c r="D40" s="282"/>
      <c r="E40" s="269" t="s">
        <v>2177</v>
      </c>
      <c r="F40" s="282"/>
      <c r="G40" s="283" t="s">
        <v>2175</v>
      </c>
      <c r="H40" s="230"/>
      <c r="I40" s="230"/>
      <c r="J40" s="45"/>
      <c r="K40" s="204"/>
      <c r="L40" s="204"/>
      <c r="M40" s="204"/>
      <c r="N40" s="284"/>
      <c r="O40" s="285"/>
      <c r="P40" s="274"/>
      <c r="Q40" s="275" t="s">
        <v>64</v>
      </c>
      <c r="R40" s="131" t="s">
        <v>2214</v>
      </c>
      <c r="S40" s="131"/>
      <c r="T40" s="276"/>
      <c r="U40" s="277"/>
      <c r="V40" s="277"/>
      <c r="W40" s="277"/>
      <c r="X40" s="277"/>
      <c r="Y40" s="277"/>
      <c r="Z40" t="e">
        <f>VLOOKUP(A40,#REF!,9,FALSE)</f>
        <v>#REF!</v>
      </c>
    </row>
    <row r="41" spans="1:26" ht="15.75" thickBot="1">
      <c r="A41" s="275" t="s">
        <v>75</v>
      </c>
      <c r="B41" s="102" t="s">
        <v>50</v>
      </c>
      <c r="C41" s="215">
        <v>45807</v>
      </c>
      <c r="D41" s="282"/>
      <c r="E41" s="269" t="s">
        <v>2212</v>
      </c>
      <c r="F41" s="282"/>
      <c r="G41" s="283" t="s">
        <v>2175</v>
      </c>
      <c r="H41" s="230"/>
      <c r="I41" s="230"/>
      <c r="J41" s="45"/>
      <c r="K41" s="204"/>
      <c r="L41" s="204"/>
      <c r="M41" s="204"/>
      <c r="N41" s="284"/>
      <c r="O41" s="285"/>
      <c r="P41" s="274" t="s">
        <v>2213</v>
      </c>
      <c r="Q41" s="275" t="s">
        <v>58</v>
      </c>
      <c r="R41" s="131" t="s">
        <v>2214</v>
      </c>
      <c r="S41" s="131"/>
      <c r="T41" s="276"/>
      <c r="U41" s="277"/>
      <c r="V41" s="277"/>
      <c r="W41" s="277"/>
      <c r="X41" s="277"/>
      <c r="Y41" s="277"/>
      <c r="Z41" t="e">
        <f>VLOOKUP(A41,#REF!,9,FALSE)</f>
        <v>#REF!</v>
      </c>
    </row>
    <row r="42" spans="1:26" ht="15.75" thickBot="1">
      <c r="A42" s="275" t="s">
        <v>511</v>
      </c>
      <c r="B42" s="102" t="s">
        <v>50</v>
      </c>
      <c r="C42" s="215">
        <v>45807</v>
      </c>
      <c r="D42" s="282"/>
      <c r="E42" s="269" t="s">
        <v>2212</v>
      </c>
      <c r="F42" s="282"/>
      <c r="G42" s="283" t="s">
        <v>2175</v>
      </c>
      <c r="H42" s="230"/>
      <c r="I42" s="230"/>
      <c r="J42" s="45"/>
      <c r="K42" s="204"/>
      <c r="L42" s="204"/>
      <c r="M42" s="204"/>
      <c r="N42" s="284"/>
      <c r="O42" s="285"/>
      <c r="P42" s="274" t="s">
        <v>2213</v>
      </c>
      <c r="Q42" s="275" t="s">
        <v>64</v>
      </c>
      <c r="R42" s="131" t="s">
        <v>2214</v>
      </c>
      <c r="S42" s="131"/>
      <c r="T42" s="276"/>
      <c r="U42" s="277"/>
      <c r="V42" s="277"/>
      <c r="W42" s="277"/>
      <c r="X42" s="277"/>
      <c r="Y42" s="277"/>
      <c r="Z42" t="e">
        <f>VLOOKUP(A42,#REF!,9,FALSE)</f>
        <v>#REF!</v>
      </c>
    </row>
    <row r="43" spans="1:26" ht="15.75" thickBot="1">
      <c r="A43" s="275" t="s">
        <v>508</v>
      </c>
      <c r="B43" s="102" t="s">
        <v>50</v>
      </c>
      <c r="C43" s="215">
        <v>45807</v>
      </c>
      <c r="D43" s="282"/>
      <c r="E43" s="269" t="s">
        <v>2212</v>
      </c>
      <c r="F43" s="282"/>
      <c r="G43" s="283" t="s">
        <v>2175</v>
      </c>
      <c r="H43" s="230"/>
      <c r="I43" s="230"/>
      <c r="J43" s="45"/>
      <c r="K43" s="204"/>
      <c r="L43" s="204"/>
      <c r="M43" s="204"/>
      <c r="N43" s="284"/>
      <c r="O43" s="285"/>
      <c r="P43" s="274" t="s">
        <v>2213</v>
      </c>
      <c r="Q43" s="275" t="s">
        <v>58</v>
      </c>
      <c r="R43" s="131" t="s">
        <v>2214</v>
      </c>
      <c r="S43" s="131"/>
      <c r="T43" s="276"/>
      <c r="U43" s="277"/>
      <c r="V43" s="277"/>
      <c r="W43" s="277"/>
      <c r="X43" s="277"/>
      <c r="Y43" s="277"/>
      <c r="Z43" t="e">
        <f>VLOOKUP(A43,#REF!,9,FALSE)</f>
        <v>#REF!</v>
      </c>
    </row>
    <row r="44" spans="1:26" ht="15.75" thickBot="1">
      <c r="A44" s="275" t="s">
        <v>505</v>
      </c>
      <c r="B44" s="102" t="s">
        <v>50</v>
      </c>
      <c r="C44" s="215">
        <v>45807</v>
      </c>
      <c r="D44" s="282"/>
      <c r="E44" s="269" t="s">
        <v>2212</v>
      </c>
      <c r="F44" s="282"/>
      <c r="G44" s="283" t="s">
        <v>2175</v>
      </c>
      <c r="H44" s="230"/>
      <c r="I44" s="230"/>
      <c r="J44" s="45"/>
      <c r="K44" s="204"/>
      <c r="L44" s="204"/>
      <c r="M44" s="204"/>
      <c r="N44" s="284"/>
      <c r="O44" s="285"/>
      <c r="P44" s="274" t="s">
        <v>2183</v>
      </c>
      <c r="Q44" s="275" t="s">
        <v>64</v>
      </c>
      <c r="R44" s="131" t="s">
        <v>2214</v>
      </c>
      <c r="S44" s="131"/>
      <c r="T44" s="276"/>
      <c r="U44" s="277"/>
      <c r="V44" s="277"/>
      <c r="W44" s="277"/>
      <c r="X44" s="277"/>
      <c r="Y44" s="277"/>
      <c r="Z44" t="e">
        <f>VLOOKUP(A44,#REF!,9,FALSE)</f>
        <v>#REF!</v>
      </c>
    </row>
    <row r="45" spans="1:26" ht="15.75" thickBot="1">
      <c r="A45" s="335" t="s">
        <v>658</v>
      </c>
      <c r="B45" s="102" t="s">
        <v>50</v>
      </c>
      <c r="C45" s="215">
        <v>45807</v>
      </c>
      <c r="D45" s="282"/>
      <c r="E45" s="269" t="s">
        <v>2177</v>
      </c>
      <c r="F45" s="282"/>
      <c r="G45" s="283" t="s">
        <v>2175</v>
      </c>
      <c r="H45" s="230"/>
      <c r="I45" s="230"/>
      <c r="J45" s="45"/>
      <c r="K45" s="204"/>
      <c r="L45" s="204"/>
      <c r="M45" s="204"/>
      <c r="N45" s="284"/>
      <c r="O45" s="285"/>
      <c r="P45" s="274"/>
      <c r="Q45" s="275" t="s">
        <v>58</v>
      </c>
      <c r="R45" s="131" t="s">
        <v>2214</v>
      </c>
      <c r="S45" s="131"/>
      <c r="T45" s="276"/>
      <c r="U45" s="277"/>
      <c r="V45" s="277"/>
      <c r="W45" s="277"/>
      <c r="X45" s="277"/>
      <c r="Y45" s="277"/>
      <c r="Z45" t="e">
        <f>VLOOKUP(A45,#REF!,9,FALSE)</f>
        <v>#REF!</v>
      </c>
    </row>
    <row r="46" spans="1:26" ht="15.75" thickBot="1">
      <c r="A46" s="292" t="s">
        <v>660</v>
      </c>
      <c r="B46" s="102" t="s">
        <v>50</v>
      </c>
      <c r="C46" s="215">
        <v>45807</v>
      </c>
      <c r="D46" s="282"/>
      <c r="E46" s="269" t="s">
        <v>2177</v>
      </c>
      <c r="F46" s="282"/>
      <c r="G46" s="290" t="s">
        <v>2175</v>
      </c>
      <c r="H46" s="230"/>
      <c r="I46" s="230"/>
      <c r="J46" s="45"/>
      <c r="K46" s="204"/>
      <c r="L46" s="204"/>
      <c r="M46" s="204"/>
      <c r="N46" s="284"/>
      <c r="O46" s="285"/>
      <c r="P46" s="274"/>
      <c r="Q46" s="275" t="s">
        <v>58</v>
      </c>
      <c r="R46" s="131" t="s">
        <v>2214</v>
      </c>
      <c r="S46" s="131"/>
      <c r="T46" s="276"/>
      <c r="U46" s="277"/>
      <c r="V46" s="277"/>
      <c r="W46" s="277"/>
      <c r="X46" s="277"/>
      <c r="Y46" s="277"/>
      <c r="Z46" t="e">
        <f>VLOOKUP(A46,#REF!,9,FALSE)</f>
        <v>#REF!</v>
      </c>
    </row>
    <row r="47" spans="1:26" ht="15.75" thickBot="1">
      <c r="A47" s="293" t="s">
        <v>151</v>
      </c>
      <c r="B47" s="102" t="s">
        <v>50</v>
      </c>
      <c r="C47" s="215">
        <v>45807</v>
      </c>
      <c r="D47" s="282"/>
      <c r="E47" s="269" t="s">
        <v>2177</v>
      </c>
      <c r="F47" s="282"/>
      <c r="G47" s="283" t="s">
        <v>2175</v>
      </c>
      <c r="H47" s="230"/>
      <c r="I47" s="230"/>
      <c r="J47" s="45"/>
      <c r="K47" s="204"/>
      <c r="L47" s="204"/>
      <c r="M47" s="204"/>
      <c r="N47" s="284"/>
      <c r="O47" s="285"/>
      <c r="P47" s="274" t="s">
        <v>2186</v>
      </c>
      <c r="Q47" s="275" t="s">
        <v>58</v>
      </c>
      <c r="R47" s="131" t="s">
        <v>2217</v>
      </c>
      <c r="S47" s="131"/>
      <c r="T47" s="276"/>
      <c r="U47" s="277"/>
      <c r="V47" s="277"/>
      <c r="W47" s="277"/>
      <c r="X47" s="277"/>
      <c r="Y47" s="277"/>
      <c r="Z47" t="e">
        <f>VLOOKUP(A47,#REF!,9,FALSE)</f>
        <v>#REF!</v>
      </c>
    </row>
    <row r="48" spans="1:26" ht="15.75" thickBot="1">
      <c r="A48" s="292" t="s">
        <v>709</v>
      </c>
      <c r="B48" s="102" t="s">
        <v>50</v>
      </c>
      <c r="C48" s="215">
        <v>45807</v>
      </c>
      <c r="D48" s="282"/>
      <c r="E48" s="269" t="s">
        <v>2177</v>
      </c>
      <c r="F48" s="282"/>
      <c r="G48" s="290" t="s">
        <v>2196</v>
      </c>
      <c r="H48" s="230"/>
      <c r="I48" s="230"/>
      <c r="J48" s="45"/>
      <c r="K48" s="204"/>
      <c r="L48" s="204"/>
      <c r="M48" s="204"/>
      <c r="N48" s="284"/>
      <c r="O48" s="285"/>
      <c r="P48" s="274" t="s">
        <v>2223</v>
      </c>
      <c r="Q48" s="275" t="s">
        <v>2196</v>
      </c>
      <c r="R48" s="131" t="s">
        <v>2214</v>
      </c>
      <c r="S48" s="131"/>
      <c r="T48" s="276"/>
      <c r="U48" s="277"/>
      <c r="V48" s="277"/>
      <c r="W48" s="277"/>
      <c r="X48" s="277"/>
      <c r="Y48" s="277"/>
      <c r="Z48" t="e">
        <f>VLOOKUP(A48,#REF!,9,FALSE)</f>
        <v>#REF!</v>
      </c>
    </row>
    <row r="49" spans="1:26" ht="15.75" thickBot="1">
      <c r="A49" s="292" t="s">
        <v>703</v>
      </c>
      <c r="B49" s="102" t="s">
        <v>96</v>
      </c>
      <c r="C49" s="215">
        <v>45772</v>
      </c>
      <c r="D49" s="282"/>
      <c r="E49" s="269" t="s">
        <v>2177</v>
      </c>
      <c r="F49" s="282"/>
      <c r="G49" s="290" t="s">
        <v>2196</v>
      </c>
      <c r="H49" s="230"/>
      <c r="I49" s="230"/>
      <c r="J49" s="45"/>
      <c r="K49" s="204"/>
      <c r="L49" s="204"/>
      <c r="M49" s="204"/>
      <c r="N49" s="284"/>
      <c r="O49" s="285"/>
      <c r="P49" s="274" t="s">
        <v>2223</v>
      </c>
      <c r="Q49" s="275" t="s">
        <v>2196</v>
      </c>
      <c r="R49" s="131" t="s">
        <v>2214</v>
      </c>
      <c r="S49" s="131"/>
      <c r="T49" s="276"/>
      <c r="U49" s="277"/>
      <c r="V49" s="277"/>
      <c r="W49" s="277"/>
      <c r="X49" s="277"/>
      <c r="Y49" s="277"/>
      <c r="Z49" t="e">
        <f>VLOOKUP(A49,#REF!,9,FALSE)</f>
        <v>#REF!</v>
      </c>
    </row>
    <row r="50" spans="1:26" ht="15.75" thickBot="1">
      <c r="A50" s="292" t="s">
        <v>701</v>
      </c>
      <c r="B50" s="102" t="s">
        <v>96</v>
      </c>
      <c r="C50" s="215">
        <v>45772</v>
      </c>
      <c r="D50" s="282"/>
      <c r="E50" s="269" t="s">
        <v>2177</v>
      </c>
      <c r="F50" s="282"/>
      <c r="G50" s="290" t="s">
        <v>2196</v>
      </c>
      <c r="H50" s="230"/>
      <c r="I50" s="230"/>
      <c r="J50" s="45"/>
      <c r="K50" s="204"/>
      <c r="L50" s="204"/>
      <c r="M50" s="204"/>
      <c r="N50" s="284"/>
      <c r="O50" s="285"/>
      <c r="P50" s="274" t="s">
        <v>2223</v>
      </c>
      <c r="Q50" s="275" t="s">
        <v>2196</v>
      </c>
      <c r="R50" s="131" t="s">
        <v>2214</v>
      </c>
      <c r="S50" s="131"/>
      <c r="T50" s="276"/>
      <c r="U50" s="277"/>
      <c r="V50" s="277"/>
      <c r="W50" s="277"/>
      <c r="X50" s="277"/>
      <c r="Y50" s="277"/>
      <c r="Z50" t="e">
        <f>VLOOKUP(A50,#REF!,9,FALSE)</f>
        <v>#REF!</v>
      </c>
    </row>
    <row r="51" spans="1:26" ht="15.75" thickBot="1">
      <c r="A51" s="292" t="s">
        <v>707</v>
      </c>
      <c r="B51" s="102" t="e">
        <v>#N/A</v>
      </c>
      <c r="C51" s="215" t="e">
        <v>#N/A</v>
      </c>
      <c r="D51" s="282"/>
      <c r="E51" s="269" t="s">
        <v>2177</v>
      </c>
      <c r="F51" s="282"/>
      <c r="G51" s="290" t="s">
        <v>2196</v>
      </c>
      <c r="H51" s="230"/>
      <c r="I51" s="230"/>
      <c r="J51" s="45"/>
      <c r="K51" s="204"/>
      <c r="L51" s="204"/>
      <c r="M51" s="204"/>
      <c r="N51" s="284"/>
      <c r="O51" s="285"/>
      <c r="P51" s="274" t="s">
        <v>2223</v>
      </c>
      <c r="Q51" s="275" t="s">
        <v>2196</v>
      </c>
      <c r="R51" s="131" t="s">
        <v>2214</v>
      </c>
      <c r="S51" s="131"/>
      <c r="T51" s="276"/>
      <c r="U51" s="277"/>
      <c r="V51" s="277"/>
      <c r="W51" s="277"/>
      <c r="X51" s="277"/>
      <c r="Y51" s="277"/>
      <c r="Z51" t="e">
        <f>VLOOKUP(A51,#REF!,9,FALSE)</f>
        <v>#REF!</v>
      </c>
    </row>
    <row r="52" spans="1:26" ht="13.9" customHeight="1" thickBot="1">
      <c r="A52" s="292" t="s">
        <v>683</v>
      </c>
      <c r="B52" s="102" t="s">
        <v>96</v>
      </c>
      <c r="C52" s="215">
        <v>45925</v>
      </c>
      <c r="D52" s="282"/>
      <c r="E52" s="269" t="s">
        <v>2212</v>
      </c>
      <c r="F52" s="282"/>
      <c r="G52" s="283" t="s">
        <v>2175</v>
      </c>
      <c r="H52" s="230"/>
      <c r="I52" s="230"/>
      <c r="J52" s="45"/>
      <c r="K52" s="204"/>
      <c r="L52" s="204"/>
      <c r="M52" s="204"/>
      <c r="N52" s="284"/>
      <c r="O52" s="285"/>
      <c r="P52" s="274" t="s">
        <v>2213</v>
      </c>
      <c r="Q52" s="275" t="s">
        <v>64</v>
      </c>
      <c r="R52" s="131" t="s">
        <v>2214</v>
      </c>
      <c r="S52" s="131"/>
      <c r="T52" s="276"/>
      <c r="U52" s="277"/>
      <c r="V52" s="277"/>
      <c r="W52" s="277"/>
      <c r="X52" s="277"/>
      <c r="Y52" s="277"/>
      <c r="Z52" t="e">
        <f>VLOOKUP(A52,#REF!,9,FALSE)</f>
        <v>#REF!</v>
      </c>
    </row>
    <row r="53" spans="1:26" ht="15.75" thickBot="1">
      <c r="A53" s="292" t="s">
        <v>685</v>
      </c>
      <c r="B53" s="102" t="s">
        <v>96</v>
      </c>
      <c r="C53" s="215">
        <v>45925</v>
      </c>
      <c r="D53" s="282"/>
      <c r="E53" s="269" t="s">
        <v>2212</v>
      </c>
      <c r="F53" s="282"/>
      <c r="G53" s="283" t="s">
        <v>2175</v>
      </c>
      <c r="H53" s="230"/>
      <c r="I53" s="230"/>
      <c r="J53" s="45"/>
      <c r="K53" s="204"/>
      <c r="L53" s="204"/>
      <c r="M53" s="204"/>
      <c r="N53" s="284"/>
      <c r="O53" s="285"/>
      <c r="P53" s="274" t="s">
        <v>2213</v>
      </c>
      <c r="Q53" s="275" t="s">
        <v>64</v>
      </c>
      <c r="R53" s="131" t="s">
        <v>2214</v>
      </c>
      <c r="S53" s="131"/>
      <c r="T53" s="276"/>
      <c r="U53" s="277"/>
      <c r="V53" s="277"/>
      <c r="W53" s="277"/>
      <c r="X53" s="277"/>
      <c r="Y53" s="277"/>
      <c r="Z53" t="e">
        <f>VLOOKUP(A53,#REF!,9,FALSE)</f>
        <v>#REF!</v>
      </c>
    </row>
    <row r="54" spans="1:26" ht="15.75" thickBot="1">
      <c r="A54" s="292" t="s">
        <v>681</v>
      </c>
      <c r="B54" s="102" t="s">
        <v>96</v>
      </c>
      <c r="C54" s="215">
        <v>45925</v>
      </c>
      <c r="D54" s="282"/>
      <c r="E54" s="269" t="s">
        <v>2212</v>
      </c>
      <c r="F54" s="282"/>
      <c r="G54" s="283" t="s">
        <v>2175</v>
      </c>
      <c r="H54" s="230"/>
      <c r="I54" s="230"/>
      <c r="J54" s="45"/>
      <c r="K54" s="204"/>
      <c r="L54" s="204"/>
      <c r="M54" s="204"/>
      <c r="N54" s="284"/>
      <c r="O54" s="285"/>
      <c r="P54" s="274" t="s">
        <v>2213</v>
      </c>
      <c r="Q54" s="275" t="s">
        <v>64</v>
      </c>
      <c r="R54" s="131" t="s">
        <v>2214</v>
      </c>
      <c r="S54" s="131"/>
      <c r="T54" s="276"/>
      <c r="U54" s="277"/>
      <c r="V54" s="277"/>
      <c r="W54" s="277"/>
      <c r="X54" s="277"/>
      <c r="Y54" s="277"/>
      <c r="Z54" t="e">
        <f>VLOOKUP(A54,#REF!,9,FALSE)</f>
        <v>#REF!</v>
      </c>
    </row>
    <row r="55" spans="1:26" ht="15.75" thickBot="1">
      <c r="A55" s="292" t="s">
        <v>739</v>
      </c>
      <c r="B55" s="102" t="s">
        <v>96</v>
      </c>
      <c r="C55" s="215">
        <v>45862</v>
      </c>
      <c r="D55" s="282"/>
      <c r="E55" s="269" t="s">
        <v>2212</v>
      </c>
      <c r="F55" s="282"/>
      <c r="G55" s="283" t="s">
        <v>2175</v>
      </c>
      <c r="H55" s="230"/>
      <c r="I55" s="230"/>
      <c r="J55" s="45"/>
      <c r="K55" s="204"/>
      <c r="L55" s="204"/>
      <c r="M55" s="204"/>
      <c r="N55" s="284"/>
      <c r="O55" s="285"/>
      <c r="P55" s="274" t="s">
        <v>2186</v>
      </c>
      <c r="Q55" s="275" t="s">
        <v>58</v>
      </c>
      <c r="R55" s="131" t="s">
        <v>2217</v>
      </c>
      <c r="S55" s="131"/>
      <c r="T55" s="276"/>
      <c r="U55" s="277"/>
      <c r="V55" s="277"/>
      <c r="W55" s="277"/>
      <c r="X55" s="277"/>
      <c r="Y55" s="277"/>
      <c r="Z55" t="e">
        <f>VLOOKUP(A55,#REF!,9,FALSE)</f>
        <v>#REF!</v>
      </c>
    </row>
    <row r="56" spans="1:26" ht="15.75" thickBot="1">
      <c r="A56" s="292" t="s">
        <v>113</v>
      </c>
      <c r="B56" s="102"/>
      <c r="C56" s="215" t="e">
        <v>#N/A</v>
      </c>
      <c r="D56" s="282"/>
      <c r="E56" s="269" t="s">
        <v>2212</v>
      </c>
      <c r="F56" s="282"/>
      <c r="G56" s="283" t="s">
        <v>2175</v>
      </c>
      <c r="H56" s="230"/>
      <c r="I56" s="230"/>
      <c r="J56" s="45"/>
      <c r="K56" s="204"/>
      <c r="L56" s="204"/>
      <c r="M56" s="204"/>
      <c r="N56" s="284"/>
      <c r="O56" s="285"/>
      <c r="P56" s="274" t="s">
        <v>2224</v>
      </c>
      <c r="Q56" s="275" t="s">
        <v>58</v>
      </c>
      <c r="R56" s="131" t="s">
        <v>2217</v>
      </c>
      <c r="S56" s="131"/>
      <c r="T56" s="276"/>
      <c r="U56" s="277"/>
      <c r="V56" s="277"/>
      <c r="W56" s="277"/>
      <c r="X56" s="277"/>
      <c r="Y56" s="277"/>
      <c r="Z56" t="e">
        <f>VLOOKUP(A56,#REF!,9,FALSE)</f>
        <v>#REF!</v>
      </c>
    </row>
    <row r="57" spans="1:26" ht="15.75" thickBot="1">
      <c r="A57" s="162" t="s">
        <v>2225</v>
      </c>
      <c r="B57" s="102" t="s">
        <v>96</v>
      </c>
      <c r="C57" s="294">
        <v>45787</v>
      </c>
      <c r="D57" s="282"/>
      <c r="E57" s="269" t="s">
        <v>2212</v>
      </c>
      <c r="F57" s="282"/>
      <c r="G57" s="283" t="s">
        <v>2175</v>
      </c>
      <c r="H57" s="230"/>
      <c r="I57" s="230"/>
      <c r="J57" s="45"/>
      <c r="K57" s="204"/>
      <c r="L57" s="204"/>
      <c r="M57" s="204"/>
      <c r="N57" s="284"/>
      <c r="O57" s="285"/>
      <c r="P57" s="274" t="s">
        <v>2186</v>
      </c>
      <c r="Q57" s="275" t="s">
        <v>2226</v>
      </c>
      <c r="R57" s="131" t="s">
        <v>2217</v>
      </c>
      <c r="S57" s="131"/>
      <c r="T57" s="276"/>
      <c r="U57" s="277"/>
      <c r="V57" s="277"/>
      <c r="W57" s="277"/>
      <c r="X57" s="277"/>
      <c r="Y57" s="277"/>
      <c r="Z57" t="e">
        <f>VLOOKUP(A57,#REF!,9,FALSE)</f>
        <v>#REF!</v>
      </c>
    </row>
    <row r="58" spans="1:26" ht="15.75" thickBot="1">
      <c r="A58" s="618" t="s">
        <v>681</v>
      </c>
      <c r="B58" s="102" t="s">
        <v>50</v>
      </c>
      <c r="C58" s="296">
        <v>45807</v>
      </c>
      <c r="D58" s="282"/>
      <c r="E58" s="269" t="s">
        <v>2177</v>
      </c>
      <c r="F58" s="282"/>
      <c r="G58" s="283" t="s">
        <v>2175</v>
      </c>
      <c r="H58" s="230"/>
      <c r="I58" s="230"/>
      <c r="J58" s="45"/>
      <c r="K58" s="204"/>
      <c r="L58" s="204"/>
      <c r="M58" s="204"/>
      <c r="N58" s="284"/>
      <c r="O58" s="285"/>
      <c r="P58" s="287"/>
      <c r="Q58" s="275" t="s">
        <v>64</v>
      </c>
      <c r="R58" s="131" t="s">
        <v>2214</v>
      </c>
      <c r="S58" s="131"/>
      <c r="T58" s="276"/>
      <c r="U58" s="277"/>
      <c r="V58" s="277"/>
      <c r="W58" s="277"/>
      <c r="X58" s="277"/>
      <c r="Y58" s="277"/>
    </row>
    <row r="59" spans="1:26" ht="15.75" thickBot="1">
      <c r="A59" s="618" t="s">
        <v>683</v>
      </c>
      <c r="B59" s="102" t="s">
        <v>96</v>
      </c>
      <c r="C59" s="296">
        <v>45772</v>
      </c>
      <c r="D59" s="282"/>
      <c r="E59" s="269" t="s">
        <v>2177</v>
      </c>
      <c r="F59" s="282"/>
      <c r="G59" s="283" t="s">
        <v>2175</v>
      </c>
      <c r="H59" s="230"/>
      <c r="I59" s="230"/>
      <c r="J59" s="45"/>
      <c r="K59" s="204"/>
      <c r="L59" s="204"/>
      <c r="M59" s="204"/>
      <c r="N59" s="284"/>
      <c r="O59" s="285"/>
      <c r="P59" s="287"/>
      <c r="Q59" s="275" t="s">
        <v>64</v>
      </c>
      <c r="R59" s="131" t="s">
        <v>2214</v>
      </c>
      <c r="S59" s="131"/>
      <c r="T59" s="276"/>
      <c r="U59" s="277"/>
      <c r="V59" s="277"/>
      <c r="W59" s="277"/>
      <c r="X59" s="277"/>
      <c r="Y59" s="277"/>
    </row>
    <row r="60" spans="1:26" ht="15.75" thickBot="1">
      <c r="A60" s="619" t="s">
        <v>685</v>
      </c>
      <c r="B60" s="102" t="s">
        <v>96</v>
      </c>
      <c r="C60" s="296">
        <v>45772</v>
      </c>
      <c r="D60" s="282"/>
      <c r="E60" s="269" t="s">
        <v>2177</v>
      </c>
      <c r="F60" s="282"/>
      <c r="G60" s="283" t="s">
        <v>2175</v>
      </c>
      <c r="H60" s="230"/>
      <c r="I60" s="230"/>
      <c r="J60" s="45"/>
      <c r="K60" s="204"/>
      <c r="L60" s="204"/>
      <c r="M60" s="204"/>
      <c r="N60" s="284"/>
      <c r="O60" s="285"/>
      <c r="P60" s="287"/>
      <c r="Q60" s="275" t="s">
        <v>64</v>
      </c>
      <c r="R60" s="131" t="s">
        <v>2214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2206</v>
      </c>
      <c r="B70" s="301">
        <f>SUM(K4:K9)</f>
        <v>0</v>
      </c>
      <c r="C70" s="302" t="e">
        <f>B70/B73</f>
        <v>#DIV/0!</v>
      </c>
    </row>
    <row r="71" spans="1:25">
      <c r="A71" s="300" t="s">
        <v>2162</v>
      </c>
      <c r="B71" s="301">
        <f>SUM(L4:L9)</f>
        <v>0</v>
      </c>
      <c r="C71" s="302" t="e">
        <f>B71/B73</f>
        <v>#DIV/0!</v>
      </c>
    </row>
    <row r="72" spans="1:25">
      <c r="A72" s="300" t="s">
        <v>2207</v>
      </c>
      <c r="B72" s="301">
        <f>SUM(M4:M9)</f>
        <v>0</v>
      </c>
      <c r="C72" s="302" t="e">
        <f>B72/B73</f>
        <v>#DIV/0!</v>
      </c>
    </row>
    <row r="73" spans="1:25">
      <c r="A73" s="300" t="s">
        <v>1084</v>
      </c>
      <c r="B73" s="301">
        <f>SUM(B70:B72)</f>
        <v>0</v>
      </c>
      <c r="C73" s="279"/>
    </row>
    <row r="80" spans="1:25">
      <c r="A80" t="s">
        <v>2227</v>
      </c>
    </row>
    <row r="81" spans="1:1">
      <c r="A81" t="s">
        <v>2228</v>
      </c>
    </row>
    <row r="82" spans="1:1">
      <c r="A82" t="s">
        <v>2213</v>
      </c>
    </row>
    <row r="83" spans="1:1">
      <c r="A83" t="s">
        <v>2229</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81DFED-53C1-421F-97AC-B808D3D633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2026-01-28T20:15:12Z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