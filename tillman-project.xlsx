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760" documentId="8_{E14B221E-02E2-46A3-8CEC-C736815F2DD5}" xr6:coauthVersionLast="47" xr6:coauthVersionMax="47" xr10:uidLastSave="{E1B243B7-5836-46EF-B139-686DEC67961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41" r:id="rId12"/>
    <pivotCache cacheId="444" r:id="rId13"/>
    <pivotCache cacheId="447" r:id="rId14"/>
    <pivotCache cacheId="450" r:id="rId15"/>
    <pivotCache cacheId="4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<sst xmlns="http://schemas.openxmlformats.org/spreadsheetml/2006/main" count="15383" uniqueCount="1976">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</sst>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18" borderId="9" xfId="0" applyNumberFormat="1" applyFill="1" applyBorder="1" applyAlignment="1">
      <alignment horizontal="center"/>
    </xf>
    <xf numFmtId="3" fontId="0" fillId="18" borderId="20" xfId="0" applyNumberFormat="1" applyFill="1" applyBorder="1" applyAlignment="1">
      <alignment horizontal="center"/>
    </xf>
    <xf numFmtId="9" fontId="5" fillId="18" borderId="15"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Border="1" applyAlignment="1">
      <alignment horizontal="center" wrapText="1"/>
    </xf>
    <xf numFmtId="0" fontId="0" fillId="0" borderId="100" xfId="0" applyBorder="1"/>
    <xf numFmtId="0" fontId="16" fillId="4" borderId="0" xfId="0" applyFont="1" applyFill="1" applyBorder="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0" fillId="0" borderId="0" xfId="0" applyBorder="1" applyAlignment="1">
      <alignment horizontal="left"/>
    </xf>
    <xf numFmtId="0" fontId="12" fillId="18" borderId="9" xfId="0" applyFont="1" applyFill="1" applyBorder="1" applyAlignment="1">
      <alignment horizontal="left"/>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4" borderId="81" xfId="0" applyFont="1" applyFill="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14" fontId="2" fillId="18" borderId="69" xfId="0" applyNumberFormat="1" applyFont="1" applyFill="1" applyBorder="1" applyAlignment="1">
      <alignment horizontal="center"/>
    </xf>
    <xf numFmtId="0" fontId="32" fillId="0" borderId="15" xfId="0" applyFont="1" applyBorder="1"/>
    <xf numFmtId="0" fontId="32" fillId="0" borderId="26" xfId="0" applyFont="1" applyBorder="1"/>
    <xf numFmtId="0" fontId="32" fillId="0" borderId="20"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B4" activePane="topRight" state="frozen"/>
      <selection pane="topRight" activeCell="A11" sqref="A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46053</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1222">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1222">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1222">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1222">
        <v>45478</v>
      </c>
      <c r="D6" s="488" t="s">
        <v>51</v>
      </c>
      <c r="E6" s="488" t="s">
        <v>52</v>
      </c>
      <c r="F6" s="488" t="s">
        <v>53</v>
      </c>
      <c r="G6" s="849" t="s">
        <v>75</v>
      </c>
      <c r="H6" s="491">
        <v>0</v>
      </c>
      <c r="I6" s="491" t="s">
        <v>55</v>
      </c>
      <c r="J6" s="491" t="s">
        <v>63</v>
      </c>
      <c r="K6" s="491"/>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76</v>
      </c>
      <c r="B7" s="848" t="s">
        <v>50</v>
      </c>
      <c r="C7" s="1222">
        <v>46008</v>
      </c>
      <c r="D7" s="480" t="s">
        <v>71</v>
      </c>
      <c r="E7" s="489">
        <v>45748</v>
      </c>
      <c r="F7" s="488" t="s">
        <v>61</v>
      </c>
      <c r="G7" s="849" t="s">
        <v>77</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78</v>
      </c>
    </row>
    <row r="8" spans="1:121" customFormat="1" ht="24.75" customHeight="1">
      <c r="A8" s="902" t="s">
        <v>79</v>
      </c>
      <c r="B8" s="848" t="s">
        <v>50</v>
      </c>
      <c r="C8" s="1222">
        <v>46008</v>
      </c>
      <c r="D8" s="480" t="s">
        <v>71</v>
      </c>
      <c r="E8" s="489">
        <v>45748</v>
      </c>
      <c r="F8" s="488" t="s">
        <v>61</v>
      </c>
      <c r="G8" s="849" t="s">
        <v>80</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78</v>
      </c>
      <c r="AE8" s="163"/>
    </row>
    <row r="9" spans="1:121" customFormat="1" ht="24.75" customHeight="1">
      <c r="A9" s="902" t="s">
        <v>81</v>
      </c>
      <c r="B9" s="848" t="s">
        <v>50</v>
      </c>
      <c r="C9" s="1222">
        <v>46044</v>
      </c>
      <c r="D9" s="480" t="s">
        <v>71</v>
      </c>
      <c r="E9" s="489">
        <v>45700</v>
      </c>
      <c r="F9" s="489" t="s">
        <v>61</v>
      </c>
      <c r="G9" s="853" t="s">
        <v>82</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78</v>
      </c>
    </row>
    <row r="10" spans="1:121" ht="24.75" customHeight="1">
      <c r="A10" s="902" t="s">
        <v>83</v>
      </c>
      <c r="B10" s="848" t="s">
        <v>50</v>
      </c>
      <c r="C10" s="1222">
        <v>46044</v>
      </c>
      <c r="D10" s="480" t="s">
        <v>71</v>
      </c>
      <c r="E10" s="489">
        <v>45748</v>
      </c>
      <c r="F10" s="488" t="s">
        <v>61</v>
      </c>
      <c r="G10" s="856" t="s">
        <v>84</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85</v>
      </c>
      <c r="B11" s="848" t="s">
        <v>50</v>
      </c>
      <c r="C11" s="480">
        <v>46021</v>
      </c>
      <c r="D11" s="480"/>
      <c r="E11" s="489"/>
      <c r="F11" s="488"/>
      <c r="G11" s="481"/>
      <c r="H11" s="491">
        <v>0</v>
      </c>
      <c r="I11" s="854" t="s">
        <v>55</v>
      </c>
      <c r="J11" s="491" t="s">
        <v>86</v>
      </c>
      <c r="K11" s="502"/>
      <c r="L11" s="489"/>
      <c r="M11" s="491" t="s">
        <v>87</v>
      </c>
      <c r="N11" s="559"/>
      <c r="O11" s="491" t="s">
        <v>87</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88</v>
      </c>
      <c r="B12" s="848" t="s">
        <v>50</v>
      </c>
      <c r="C12" s="480">
        <v>46203</v>
      </c>
      <c r="D12" s="480"/>
      <c r="E12" s="489"/>
      <c r="F12" s="488"/>
      <c r="G12" s="490"/>
      <c r="H12" s="491">
        <v>89</v>
      </c>
      <c r="I12" s="854" t="s">
        <v>55</v>
      </c>
      <c r="J12" s="491" t="s">
        <v>86</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89</v>
      </c>
      <c r="AE12" s="344"/>
    </row>
    <row r="13" spans="1:121" s="167" customFormat="1" ht="24.75" customHeight="1">
      <c r="A13" s="903" t="s">
        <v>90</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89</v>
      </c>
      <c r="AE13" s="344"/>
    </row>
    <row r="14" spans="1:121" s="167" customFormat="1" ht="24.75" customHeight="1">
      <c r="A14" s="903" t="s">
        <v>91</v>
      </c>
      <c r="B14" s="848" t="s">
        <v>50</v>
      </c>
      <c r="C14" s="480">
        <v>46233</v>
      </c>
      <c r="D14" s="480"/>
      <c r="E14" s="489"/>
      <c r="F14" s="488"/>
      <c r="G14" s="490"/>
      <c r="H14" s="491">
        <v>51</v>
      </c>
      <c r="I14" s="854" t="s">
        <v>55</v>
      </c>
      <c r="J14" s="491" t="s">
        <v>86</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89</v>
      </c>
      <c r="AE14" s="344"/>
    </row>
    <row r="15" spans="1:121" s="167" customFormat="1" ht="24.75" customHeight="1">
      <c r="A15" s="902" t="s">
        <v>92</v>
      </c>
      <c r="B15" s="848" t="s">
        <v>50</v>
      </c>
      <c r="C15" s="480">
        <v>46008</v>
      </c>
      <c r="D15" s="480" t="s">
        <v>93</v>
      </c>
      <c r="E15" s="489">
        <v>45958</v>
      </c>
      <c r="F15" s="488" t="s">
        <v>94</v>
      </c>
      <c r="G15" s="849" t="s">
        <v>95</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96</v>
      </c>
      <c r="B16" s="848" t="s">
        <v>50</v>
      </c>
      <c r="C16" s="480">
        <v>46010</v>
      </c>
      <c r="D16" s="480"/>
      <c r="E16" s="489"/>
      <c r="F16" s="488"/>
      <c r="G16" s="490"/>
      <c r="H16" s="491">
        <v>29</v>
      </c>
      <c r="I16" s="680" t="s">
        <v>55</v>
      </c>
      <c r="J16" s="482" t="s">
        <v>56</v>
      </c>
      <c r="K16" s="482" t="s">
        <v>97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97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87</v>
      </c>
      <c r="N18" s="559"/>
      <c r="O18" s="491" t="s">
        <v>87</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58</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0">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46052</v>
      </c>
      <c r="D24" s="480"/>
      <c r="E24" s="489"/>
      <c r="F24" s="478" t="s">
        <v>109</v>
      </c>
      <c r="G24" s="490" t="s">
        <v>110</v>
      </c>
      <c r="H24" s="482">
        <v>67</v>
      </c>
      <c r="I24" s="680" t="s">
        <v>55</v>
      </c>
      <c r="J24" s="482" t="s">
        <v>86</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46024</v>
      </c>
      <c r="D25" s="480"/>
      <c r="E25" s="480"/>
      <c r="F25" s="478"/>
      <c r="G25" s="481" t="s">
        <v>114</v>
      </c>
      <c r="H25" s="482">
        <v>65</v>
      </c>
      <c r="I25" s="680" t="s">
        <v>55</v>
      </c>
      <c r="J25" s="482" t="s">
        <v>86</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46013</v>
      </c>
      <c r="D26" s="480"/>
      <c r="E26" s="480"/>
      <c r="F26" s="478"/>
      <c r="G26" s="481" t="s">
        <v>117</v>
      </c>
      <c r="H26" s="482">
        <v>79</v>
      </c>
      <c r="I26" s="680" t="s">
        <v>55</v>
      </c>
      <c r="J26" s="482" t="s">
        <v>86</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46015</v>
      </c>
      <c r="D27" s="480"/>
      <c r="E27" s="480"/>
      <c r="F27" s="478"/>
      <c r="G27" s="481" t="s">
        <v>120</v>
      </c>
      <c r="H27" s="482">
        <v>87</v>
      </c>
      <c r="I27" s="680" t="s">
        <v>55</v>
      </c>
      <c r="J27" s="482" t="s">
        <v>86</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46052</v>
      </c>
      <c r="D28" s="480"/>
      <c r="E28" s="489"/>
      <c r="F28" s="478" t="s">
        <v>109</v>
      </c>
      <c r="G28" s="490" t="s">
        <v>123</v>
      </c>
      <c r="H28" s="482">
        <v>55</v>
      </c>
      <c r="I28" s="680" t="s">
        <v>55</v>
      </c>
      <c r="J28" s="482" t="s">
        <v>86</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46052</v>
      </c>
      <c r="D29" s="480"/>
      <c r="E29" s="480"/>
      <c r="F29" s="478"/>
      <c r="G29" s="481" t="s">
        <v>126</v>
      </c>
      <c r="H29" s="482">
        <v>43</v>
      </c>
      <c r="I29" s="680" t="s">
        <v>55</v>
      </c>
      <c r="J29" s="482" t="s">
        <v>86</v>
      </c>
      <c r="K29" s="482" t="s">
        <v>97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9">
        <v>45976</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9">
        <v>45976</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9">
        <v>45976</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485">
        <v>2027</v>
      </c>
      <c r="W32" s="485"/>
      <c r="X32" s="485">
        <f t="shared" si="3"/>
        <v>2027</v>
      </c>
      <c r="Y32" s="681">
        <f t="shared" si="1"/>
        <v>0</v>
      </c>
      <c r="Z32" s="363"/>
      <c r="AA32" s="366">
        <v>0</v>
      </c>
      <c r="AB32" s="366">
        <v>0</v>
      </c>
      <c r="AC32" s="661">
        <v>0</v>
      </c>
      <c r="AD32" s="487" t="s">
        <v>135</v>
      </c>
      <c r="AE32" s="122"/>
    </row>
    <row r="33" spans="1:31" ht="24.75" customHeight="1">
      <c r="A33" s="903" t="s">
        <v>136</v>
      </c>
      <c r="B33" s="478" t="s">
        <v>108</v>
      </c>
      <c r="C33" s="489">
        <v>45976</v>
      </c>
      <c r="D33" s="480"/>
      <c r="E33" s="480"/>
      <c r="F33" s="478" t="s">
        <v>137</v>
      </c>
      <c r="G33" s="701" t="s">
        <v>138</v>
      </c>
      <c r="H33" s="482">
        <v>87</v>
      </c>
      <c r="I33" s="680" t="s">
        <v>55</v>
      </c>
      <c r="J33" s="482" t="s">
        <v>86</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9">
        <v>45976</v>
      </c>
      <c r="D34" s="480"/>
      <c r="E34" s="480"/>
      <c r="F34" s="478" t="s">
        <v>137</v>
      </c>
      <c r="G34" s="701" t="s">
        <v>141</v>
      </c>
      <c r="H34" s="482">
        <v>28</v>
      </c>
      <c r="I34" s="680" t="s">
        <v>55</v>
      </c>
      <c r="J34" s="482" t="s">
        <v>86</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9">
        <v>45976</v>
      </c>
      <c r="D35" s="480"/>
      <c r="E35" s="480"/>
      <c r="F35" s="478" t="s">
        <v>137</v>
      </c>
      <c r="G35" s="701" t="s">
        <v>144</v>
      </c>
      <c r="H35" s="482">
        <v>21</v>
      </c>
      <c r="I35" s="680" t="s">
        <v>55</v>
      </c>
      <c r="J35" s="482" t="s">
        <v>86</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46011</v>
      </c>
      <c r="D36" s="480"/>
      <c r="E36" s="480"/>
      <c r="F36" s="478"/>
      <c r="G36" s="481" t="s">
        <v>147</v>
      </c>
      <c r="H36" s="482">
        <v>26</v>
      </c>
      <c r="I36" s="680" t="s">
        <v>55</v>
      </c>
      <c r="J36" s="482" t="s">
        <v>86</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480">
        <v>46006</v>
      </c>
      <c r="D37" s="480"/>
      <c r="E37" s="480"/>
      <c r="F37" s="478" t="s">
        <v>149</v>
      </c>
      <c r="G37" s="701" t="s">
        <v>150</v>
      </c>
      <c r="H37" s="482">
        <v>85</v>
      </c>
      <c r="I37" s="680" t="s">
        <v>55</v>
      </c>
      <c r="J37" s="482" t="s">
        <v>86</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480">
        <v>46006</v>
      </c>
      <c r="D38" s="480"/>
      <c r="E38" s="480"/>
      <c r="F38" s="478" t="s">
        <v>149</v>
      </c>
      <c r="G38" s="701" t="s">
        <v>153</v>
      </c>
      <c r="H38" s="482">
        <v>87</v>
      </c>
      <c r="I38" s="680" t="s">
        <v>55</v>
      </c>
      <c r="J38" s="482" t="s">
        <v>86</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86</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86</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86</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86</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86</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86</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46004</v>
      </c>
      <c r="D45" s="480"/>
      <c r="E45" s="480"/>
      <c r="F45" s="478"/>
      <c r="G45" s="481" t="s">
        <v>173</v>
      </c>
      <c r="H45" s="482">
        <v>11</v>
      </c>
      <c r="I45" s="680" t="s">
        <v>55</v>
      </c>
      <c r="J45" s="482" t="s">
        <v>86</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45991</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9">
        <v>46010</v>
      </c>
      <c r="D47" s="480"/>
      <c r="E47" s="480"/>
      <c r="F47" s="658" t="s">
        <v>137</v>
      </c>
      <c r="G47" s="701" t="s">
        <v>180</v>
      </c>
      <c r="H47" s="482">
        <v>0</v>
      </c>
      <c r="I47" s="680" t="s">
        <v>55</v>
      </c>
      <c r="J47" s="482" t="s">
        <v>86</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v>46021</v>
      </c>
      <c r="D48" s="480"/>
      <c r="E48" s="480"/>
      <c r="F48" s="658" t="s">
        <v>137</v>
      </c>
      <c r="G48" s="701" t="s">
        <v>182</v>
      </c>
      <c r="H48" s="482">
        <v>0</v>
      </c>
      <c r="I48" s="680" t="s">
        <v>55</v>
      </c>
      <c r="J48" s="482" t="s">
        <v>86</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v>46031</v>
      </c>
      <c r="D49" s="480"/>
      <c r="E49" s="480"/>
      <c r="F49" s="658" t="s">
        <v>137</v>
      </c>
      <c r="G49" s="701" t="s">
        <v>185</v>
      </c>
      <c r="H49" s="482">
        <v>0</v>
      </c>
      <c r="I49" s="482" t="s">
        <v>55</v>
      </c>
      <c r="J49" s="482" t="s">
        <v>86</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45687</v>
      </c>
      <c r="D50" s="480"/>
      <c r="E50" s="480"/>
      <c r="F50" s="478" t="s">
        <v>149</v>
      </c>
      <c r="G50" s="481" t="s">
        <v>188</v>
      </c>
      <c r="H50" s="482">
        <v>0</v>
      </c>
      <c r="I50" s="482" t="s">
        <v>55</v>
      </c>
      <c r="J50" s="482" t="s">
        <v>86</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c r="D51" s="480"/>
      <c r="E51" s="480"/>
      <c r="F51" s="478"/>
      <c r="G51" s="481" t="s">
        <v>190</v>
      </c>
      <c r="H51" s="482">
        <v>0</v>
      </c>
      <c r="I51" s="482" t="s">
        <v>55</v>
      </c>
      <c r="J51" s="482" t="s">
        <v>86</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480"/>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9">
        <v>46021</v>
      </c>
      <c r="D53" s="480"/>
      <c r="E53" s="480"/>
      <c r="F53" s="478" t="s">
        <v>109</v>
      </c>
      <c r="G53" s="701" t="s">
        <v>197</v>
      </c>
      <c r="H53" s="482">
        <v>0</v>
      </c>
      <c r="I53" s="482" t="s">
        <v>55</v>
      </c>
      <c r="J53" s="482" t="s">
        <v>86</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9">
        <v>46052</v>
      </c>
      <c r="D54" s="480"/>
      <c r="E54" s="480">
        <v>45866</v>
      </c>
      <c r="F54" s="478" t="s">
        <v>109</v>
      </c>
      <c r="G54" s="701" t="s">
        <v>200</v>
      </c>
      <c r="H54" s="482">
        <v>0</v>
      </c>
      <c r="I54" s="680" t="s">
        <v>55</v>
      </c>
      <c r="J54" s="482" t="s">
        <v>86</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v>45991</v>
      </c>
      <c r="D55" s="480"/>
      <c r="E55" s="480"/>
      <c r="F55" s="478" t="s">
        <v>109</v>
      </c>
      <c r="G55" s="701" t="s">
        <v>203</v>
      </c>
      <c r="H55" s="482">
        <v>0</v>
      </c>
      <c r="I55" s="680" t="s">
        <v>55</v>
      </c>
      <c r="J55" s="482" t="s">
        <v>86</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9">
        <v>45991</v>
      </c>
      <c r="D56" s="480"/>
      <c r="E56" s="480"/>
      <c r="F56" s="478" t="s">
        <v>109</v>
      </c>
      <c r="G56" s="701" t="s">
        <v>206</v>
      </c>
      <c r="H56" s="482">
        <v>0</v>
      </c>
      <c r="I56" s="680" t="s">
        <v>55</v>
      </c>
      <c r="J56" s="482" t="s">
        <v>86</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9">
        <v>46012</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9">
        <v>46052</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46030</v>
      </c>
      <c r="D59" s="480"/>
      <c r="E59" s="480"/>
      <c r="F59" s="478"/>
      <c r="G59" s="481" t="s">
        <v>216</v>
      </c>
      <c r="H59" s="482">
        <v>0</v>
      </c>
      <c r="I59" s="680" t="s">
        <v>55</v>
      </c>
      <c r="J59" s="482" t="s">
        <v>86</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9">
        <v>46010</v>
      </c>
      <c r="D60" s="480"/>
      <c r="E60" s="480"/>
      <c r="F60" s="478"/>
      <c r="G60" s="481" t="s">
        <v>219</v>
      </c>
      <c r="H60" s="482">
        <v>0</v>
      </c>
      <c r="I60" s="482" t="s">
        <v>55</v>
      </c>
      <c r="J60" s="482" t="s">
        <v>86</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9">
        <v>45991</v>
      </c>
      <c r="D61" s="480"/>
      <c r="E61" s="480"/>
      <c r="F61" s="478"/>
      <c r="G61" s="481"/>
      <c r="H61" s="482">
        <v>0</v>
      </c>
      <c r="I61" s="482" t="s">
        <v>55</v>
      </c>
      <c r="J61" s="482" t="s">
        <v>86</v>
      </c>
      <c r="K61" s="482" t="s">
        <v>100</v>
      </c>
      <c r="L61" s="480"/>
      <c r="M61" s="482" t="s">
        <v>87</v>
      </c>
      <c r="N61" s="558"/>
      <c r="O61" s="482" t="s">
        <v>87</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9">
        <v>46004</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9">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1696</v>
      </c>
      <c r="X63" s="485">
        <f>SUM(V63-W63)</f>
        <v>6369</v>
      </c>
      <c r="Y63" s="891">
        <f t="shared" si="4"/>
        <v>0.21029138251704899</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485">
        <v>13786</v>
      </c>
      <c r="X64" s="485">
        <f t="shared" si="3"/>
        <v>2504</v>
      </c>
      <c r="Y64" s="681">
        <f t="shared" ref="Y64:Y107" si="5">IFERROR($W64/$V64, 0)</f>
        <v>0.84628606507059545</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9">
        <v>45991</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1222">
        <v>46021</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1222">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1222">
        <v>45999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1222">
        <v>45999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1222">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1222">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1222">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1222">
        <v>46204</v>
      </c>
      <c r="D76" s="489"/>
      <c r="E76" s="489"/>
      <c r="F76" s="488"/>
      <c r="G76" s="980"/>
      <c r="H76" s="491">
        <v>52</v>
      </c>
      <c r="I76" s="854" t="s">
        <v>55</v>
      </c>
      <c r="J76" s="858" t="s">
        <v>63</v>
      </c>
      <c r="K76" s="482" t="s">
        <v>97</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97</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97</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97</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97</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97</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97</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1222">
        <v>45997</v>
      </c>
      <c r="D83" s="489"/>
      <c r="E83" s="489"/>
      <c r="F83" s="488"/>
      <c r="G83" s="980"/>
      <c r="H83" s="491">
        <v>20</v>
      </c>
      <c r="I83" s="854" t="s">
        <v>55</v>
      </c>
      <c r="J83" s="858" t="s">
        <v>63</v>
      </c>
      <c r="K83" s="482" t="s">
        <v>97</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1222">
        <v>46108</v>
      </c>
      <c r="D84" s="489"/>
      <c r="E84" s="489"/>
      <c r="F84" s="488"/>
      <c r="G84" s="853" t="s">
        <v>282</v>
      </c>
      <c r="H84" s="491">
        <v>0</v>
      </c>
      <c r="I84" s="482" t="s">
        <v>55</v>
      </c>
      <c r="J84" s="482" t="s">
        <v>86</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1222">
        <v>46108</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1222">
        <v>46010</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1222">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1222">
        <v>45992</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1222">
        <v>45992</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1222">
        <v>45991</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1222">
        <v>46006</v>
      </c>
      <c r="D91" s="488"/>
      <c r="E91" s="489"/>
      <c r="F91" s="488"/>
      <c r="G91" s="490"/>
      <c r="H91" s="491">
        <v>0</v>
      </c>
      <c r="I91" s="854" t="s">
        <v>55</v>
      </c>
      <c r="J91" s="491" t="s">
        <v>63</v>
      </c>
      <c r="K91" s="1216"/>
      <c r="L91" s="489"/>
      <c r="M91" s="491" t="s">
        <v>57</v>
      </c>
      <c r="N91" s="1217">
        <v>45312.55</v>
      </c>
      <c r="O91" s="491" t="s">
        <v>57</v>
      </c>
      <c r="P91" s="1218" t="s">
        <v>58</v>
      </c>
      <c r="Q91" s="1219"/>
      <c r="R91" s="1219"/>
      <c r="S91" s="1219"/>
      <c r="T91" s="1219"/>
      <c r="U91" s="1219"/>
      <c r="V91" s="1220">
        <v>3683</v>
      </c>
      <c r="W91" s="1221"/>
      <c r="X91" s="1221">
        <f>SUM(V91-W91)</f>
        <v>3683</v>
      </c>
      <c r="Y91" s="681">
        <f>IFERROR($W91/$V91, 0)</f>
        <v>0</v>
      </c>
      <c r="Z91" s="1219"/>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1222">
        <v>46171</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1222">
        <v>46108</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97</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46006</v>
      </c>
      <c r="D104" s="488"/>
      <c r="E104" s="489"/>
      <c r="F104" s="488"/>
      <c r="G104" s="490"/>
      <c r="H104" s="491">
        <v>86</v>
      </c>
      <c r="I104" s="854" t="s">
        <v>55</v>
      </c>
      <c r="J104" s="858" t="s">
        <v>63</v>
      </c>
      <c r="K104" s="482" t="s">
        <v>97</v>
      </c>
      <c r="L104" s="489"/>
      <c r="M104" s="491" t="s">
        <v>87</v>
      </c>
      <c r="N104" s="559"/>
      <c r="O104" s="491" t="s">
        <v>87</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46006</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45989</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84">
        <v>6752</v>
      </c>
      <c r="W114" s="1184">
        <v>4307</v>
      </c>
      <c r="X114" s="1185">
        <f t="shared" ref="X114:X130" si="9">SUM(V114-W114)</f>
        <v>2445</v>
      </c>
      <c r="Y114" s="1186">
        <f t="shared" ref="Y114:Y130" si="10">IFERROR($W114/$V114, 0)</f>
        <v>0.63788507109004744</v>
      </c>
      <c r="Z114" s="125">
        <v>45992</v>
      </c>
      <c r="AA114" s="617">
        <v>0</v>
      </c>
      <c r="AB114" s="617">
        <v>0</v>
      </c>
      <c r="AC114" s="1030">
        <v>0</v>
      </c>
      <c r="AD114" s="121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94</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94</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87</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94</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93</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87</v>
      </c>
      <c r="N156" s="950">
        <v>0</v>
      </c>
      <c r="O156" s="947" t="s">
        <v>87</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87</v>
      </c>
      <c r="N157" s="888">
        <v>0</v>
      </c>
      <c r="O157" s="887" t="s">
        <v>87</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81</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83</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76</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76</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76</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92</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81</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81</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81</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92</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4" activePane="bottomLeft" state="frozen"/>
      <selection pane="bottomLeft" activeCell="D2198" sqref="D21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93</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81</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81</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83</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76</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76</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76</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76</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76</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76</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92</v>
      </c>
      <c r="B1942" s="149" t="s">
        <v>1526</v>
      </c>
      <c r="C1942" s="56">
        <v>45965</v>
      </c>
      <c r="D1942" s="43">
        <v>363</v>
      </c>
      <c r="G1942" t="s">
        <v>1735</v>
      </c>
    </row>
    <row r="1943" spans="1:7">
      <c r="A1943" s="149" t="s">
        <v>92</v>
      </c>
      <c r="B1943" s="149" t="s">
        <v>258</v>
      </c>
      <c r="C1943" s="56">
        <v>45965</v>
      </c>
      <c r="D1943" s="43">
        <v>778</v>
      </c>
      <c r="G1943" t="s">
        <v>1735</v>
      </c>
    </row>
    <row r="1944" spans="1:7">
      <c r="A1944" s="149" t="s">
        <v>92</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92</v>
      </c>
      <c r="B1956" s="309" t="s">
        <v>1526</v>
      </c>
      <c r="C1956" s="56">
        <v>45966</v>
      </c>
      <c r="D1956" s="156">
        <v>1113</v>
      </c>
      <c r="E1956" s="257"/>
      <c r="F1956" s="171"/>
      <c r="G1956" t="s">
        <v>1735</v>
      </c>
    </row>
    <row r="1957" spans="1:7">
      <c r="A1957" s="315" t="s">
        <v>92</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92</v>
      </c>
      <c r="B1971" s="149" t="s">
        <v>1526</v>
      </c>
      <c r="C1971" s="56">
        <v>45967</v>
      </c>
      <c r="D1971" s="140"/>
      <c r="E1971" s="43"/>
      <c r="F1971" s="142" t="s">
        <v>1751</v>
      </c>
      <c r="G1971" t="s">
        <v>1735</v>
      </c>
    </row>
    <row r="1972" spans="1:7">
      <c r="A1972" s="149" t="s">
        <v>92</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92</v>
      </c>
      <c r="B1981" s="310" t="s">
        <v>1526</v>
      </c>
      <c r="C1981" s="56">
        <v>45968</v>
      </c>
      <c r="D1981" s="43">
        <v>923</v>
      </c>
      <c r="G1981" t="s">
        <v>1735</v>
      </c>
    </row>
    <row r="1982" spans="1:7">
      <c r="A1982" s="142" t="s">
        <v>92</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81</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81</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81</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81</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92</v>
      </c>
      <c r="B2174" s="310" t="s">
        <v>1526</v>
      </c>
      <c r="C2174" s="56">
        <v>45992</v>
      </c>
      <c r="D2174" s="43">
        <v>602</v>
      </c>
      <c r="F2174" s="43" t="s">
        <v>1821</v>
      </c>
      <c r="G2174" t="s">
        <v>1820</v>
      </c>
    </row>
    <row r="2175" spans="1:7">
      <c r="A2175" s="310" t="s">
        <v>92</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92</v>
      </c>
      <c r="B2188" s="310" t="s">
        <v>1526</v>
      </c>
      <c r="C2188" s="56">
        <v>45993</v>
      </c>
      <c r="D2188" s="43">
        <v>581</v>
      </c>
      <c r="G2188" t="s">
        <v>1820</v>
      </c>
    </row>
    <row r="2189" spans="1:7">
      <c r="A2189" s="315" t="s">
        <v>92</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92</v>
      </c>
      <c r="B2198" s="990" t="s">
        <v>1526</v>
      </c>
      <c r="C2198" s="56">
        <v>45994</v>
      </c>
      <c r="G2198" t="s">
        <v>1820</v>
      </c>
    </row>
    <row r="2199" spans="1:7">
      <c r="A2199" s="990" t="s">
        <v>92</v>
      </c>
      <c r="B2199" s="990" t="s">
        <v>1616</v>
      </c>
      <c r="C2199" s="56">
        <v>45994</v>
      </c>
      <c r="G2199" t="s">
        <v>1820</v>
      </c>
    </row>
    <row r="2200" spans="1:7">
      <c r="A2200" s="779" t="s">
        <v>92</v>
      </c>
      <c r="B2200" s="779" t="s">
        <v>1752</v>
      </c>
      <c r="C2200" s="56">
        <v>45994</v>
      </c>
      <c r="G2200" t="s">
        <v>1820</v>
      </c>
    </row>
    <row r="2201" spans="1:7">
      <c r="A2201" s="776" t="s">
        <v>1067</v>
      </c>
      <c r="B2201" s="776" t="s">
        <v>228</v>
      </c>
      <c r="C2201" s="56">
        <v>45994</v>
      </c>
      <c r="G2201" t="s">
        <v>1820</v>
      </c>
    </row>
    <row r="2202" spans="1:7">
      <c r="A2202" s="1167" t="s">
        <v>133</v>
      </c>
      <c r="B2202" s="1223" t="s">
        <v>128</v>
      </c>
      <c r="C2202" s="56">
        <v>45994</v>
      </c>
      <c r="G2202" t="s">
        <v>1820</v>
      </c>
    </row>
    <row r="2203" spans="1:7">
      <c r="A2203" s="776" t="s">
        <v>1068</v>
      </c>
      <c r="B2203" s="1223" t="s">
        <v>232</v>
      </c>
      <c r="C2203" s="56">
        <v>45994</v>
      </c>
      <c r="G2203" t="s">
        <v>1820</v>
      </c>
    </row>
    <row r="2204" spans="1:7">
      <c r="A2204" s="776" t="s">
        <v>318</v>
      </c>
      <c r="B2204" s="776" t="s">
        <v>1660</v>
      </c>
      <c r="C2204" s="56">
        <v>45994</v>
      </c>
      <c r="G2204" t="s">
        <v>1820</v>
      </c>
    </row>
    <row r="2205" spans="1:7">
      <c r="A2205" s="1224" t="s">
        <v>350</v>
      </c>
      <c r="B2205" s="1225"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86</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6" t="s">
        <v>1851</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1852</v>
      </c>
      <c r="AC8" s="448"/>
      <c r="AD8" s="1214"/>
    </row>
    <row r="9" spans="1:30" ht="24.75" customHeight="1">
      <c r="A9" s="462" t="s">
        <v>1853</v>
      </c>
      <c r="B9" s="462" t="s">
        <v>1854</v>
      </c>
      <c r="C9" s="23">
        <v>45741</v>
      </c>
      <c r="D9" s="16" t="s">
        <v>1841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1872</v>
      </c>
      <c r="E23" s="454"/>
      <c r="F23" s="97"/>
      <c r="G23" s="97"/>
      <c r="H23" s="391">
        <v>90</v>
      </c>
      <c r="I23" s="97"/>
      <c r="J23" s="97"/>
      <c r="K23" s="97"/>
      <c r="L23" s="97"/>
      <c r="M23" s="391" t="s">
        <v>57</v>
      </c>
      <c r="N23" s="403">
        <v>69076</v>
      </c>
      <c r="O23" s="391" t="s">
        <v>87</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87</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86</v>
      </c>
      <c r="K25" s="52"/>
      <c r="L25" s="50" t="s">
        <v>52</v>
      </c>
      <c r="M25" s="391" t="s">
        <v>57</v>
      </c>
      <c r="N25" s="53">
        <v>31560</v>
      </c>
      <c r="O25" s="391" t="s">
        <v>87</v>
      </c>
      <c r="P25" s="49" t="s">
        <v>58</v>
      </c>
      <c r="Q25" s="49"/>
      <c r="R25" s="31">
        <v>2064</v>
      </c>
      <c r="S25" s="14">
        <v>0</v>
      </c>
      <c r="T25" s="17">
        <v>0</v>
      </c>
      <c r="U25" s="84">
        <v>0</v>
      </c>
      <c r="V25" s="30"/>
      <c r="W25" s="91">
        <v>0</v>
      </c>
      <c r="X25" s="34">
        <v>0</v>
      </c>
      <c r="Y25" s="34">
        <v>0</v>
      </c>
      <c r="Z25" s="34">
        <v>0</v>
      </c>
      <c r="AA25" s="61">
        <v>0</v>
      </c>
      <c r="AB25" s="461"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87</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87</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203" t="s">
        <v>50</v>
      </c>
      <c r="C28" s="1196">
        <v>45991</v>
      </c>
      <c r="D28" s="386" t="s">
        <v>71</v>
      </c>
      <c r="E28" s="77">
        <v>45734</v>
      </c>
      <c r="F28" s="1194" t="s">
        <v>61</v>
      </c>
      <c r="G28" s="1205" t="s">
        <v>1879</v>
      </c>
      <c r="H28" s="76">
        <v>85</v>
      </c>
      <c r="I28" s="1206" t="s">
        <v>55</v>
      </c>
      <c r="J28" s="76" t="s">
        <v>63</v>
      </c>
      <c r="K28" s="76"/>
      <c r="L28" s="77">
        <v>45735</v>
      </c>
      <c r="M28" s="76" t="s">
        <v>57</v>
      </c>
      <c r="N28" s="121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203" t="s">
        <v>50</v>
      </c>
      <c r="C29" s="1196">
        <v>46021</v>
      </c>
      <c r="D29" s="386" t="s">
        <v>71</v>
      </c>
      <c r="E29" s="77">
        <v>45743</v>
      </c>
      <c r="F29" s="1194" t="s">
        <v>61</v>
      </c>
      <c r="G29" s="1204" t="s">
        <v>1881</v>
      </c>
      <c r="H29" s="76">
        <v>85</v>
      </c>
      <c r="I29" s="1206" t="s">
        <v>55</v>
      </c>
      <c r="J29" s="106" t="s">
        <v>63</v>
      </c>
      <c r="K29" s="1207"/>
      <c r="L29" s="77">
        <v>45741</v>
      </c>
      <c r="M29" s="106" t="s">
        <v>57</v>
      </c>
      <c r="N29" s="1210">
        <v>84226.5</v>
      </c>
      <c r="O29" s="130" t="s">
        <v>57</v>
      </c>
      <c r="P29" s="458" t="s">
        <v>64</v>
      </c>
      <c r="Q29" s="198">
        <v>45749</v>
      </c>
      <c r="R29" s="75">
        <v>7020</v>
      </c>
      <c r="S29" s="456">
        <v>386</v>
      </c>
      <c r="T29" s="107">
        <f>SUM(R29-S29)</f>
        <v>6634</v>
      </c>
      <c r="U29" s="830">
        <f>IFERROR($W29/$V29, 0)</f>
        <v>0</v>
      </c>
      <c r="V29" s="168">
        <v>45888</v>
      </c>
      <c r="W29" s="354">
        <v>0</v>
      </c>
      <c r="X29" s="354">
        <v>0</v>
      </c>
      <c r="Y29" s="1213">
        <v>0</v>
      </c>
      <c r="Z29" s="354">
        <v>0</v>
      </c>
      <c r="AA29" s="366">
        <v>0</v>
      </c>
      <c r="AB29" s="364" t="s">
        <v>1882</v>
      </c>
      <c r="AC29" s="1200"/>
      <c r="AD29" s="1202"/>
    </row>
    <row r="30" spans="1:30" ht="24.75" customHeight="1">
      <c r="A30" s="385" t="s">
        <v>1883</v>
      </c>
      <c r="B30" s="688" t="s">
        <v>50</v>
      </c>
      <c r="C30" s="386">
        <v>45991</v>
      </c>
      <c r="D30" s="50" t="s">
        <v>71</v>
      </c>
      <c r="E30" s="51">
        <v>45743</v>
      </c>
      <c r="F30" s="50" t="s">
        <v>61</v>
      </c>
      <c r="G30" s="390" t="s">
        <v>1884</v>
      </c>
      <c r="H30" s="52">
        <v>87</v>
      </c>
      <c r="I30" s="686" t="s">
        <v>55</v>
      </c>
      <c r="J30" s="387" t="s">
        <v>63</v>
      </c>
      <c r="K30" s="1208"/>
      <c r="L30" s="77">
        <v>45741</v>
      </c>
      <c r="M30" s="1209" t="s">
        <v>57</v>
      </c>
      <c r="N30" s="1211">
        <v>75191.5</v>
      </c>
      <c r="O30" s="387" t="s">
        <v>57</v>
      </c>
      <c r="P30" s="58" t="s">
        <v>68</v>
      </c>
      <c r="Q30" s="492">
        <v>45748</v>
      </c>
      <c r="R30" s="42">
        <v>6387</v>
      </c>
      <c r="S30" s="1052">
        <v>0</v>
      </c>
      <c r="T30" s="334">
        <v>0</v>
      </c>
      <c r="U30" s="22">
        <v>0</v>
      </c>
      <c r="V30" s="30"/>
      <c r="W30" s="34">
        <v>0</v>
      </c>
      <c r="X30" s="34">
        <v>0</v>
      </c>
      <c r="Y30" s="34">
        <v>0</v>
      </c>
      <c r="Z30" s="34">
        <v>0</v>
      </c>
      <c r="AA30" s="34">
        <v>0</v>
      </c>
      <c r="AB30" s="212" t="s">
        <v>1885</v>
      </c>
      <c r="AC30" s="344"/>
      <c r="AD30" s="116"/>
    </row>
    <row r="31" spans="1:30" ht="24.75" customHeight="1">
      <c r="A31" s="385" t="s">
        <v>1021</v>
      </c>
      <c r="B31" s="688" t="s">
        <v>50</v>
      </c>
      <c r="C31" s="386">
        <v>46021</v>
      </c>
      <c r="D31" s="386" t="s">
        <v>71</v>
      </c>
      <c r="E31" s="51">
        <v>45735</v>
      </c>
      <c r="F31" s="50" t="s">
        <v>61</v>
      </c>
      <c r="G31" s="689" t="s">
        <v>1886</v>
      </c>
      <c r="H31" s="52">
        <v>79</v>
      </c>
      <c r="I31" s="686" t="s">
        <v>55</v>
      </c>
      <c r="J31" s="52" t="s">
        <v>63</v>
      </c>
      <c r="K31" s="52"/>
      <c r="L31" s="51">
        <v>45735</v>
      </c>
      <c r="M31" s="52" t="s">
        <v>57</v>
      </c>
      <c r="N31" s="1211">
        <v>67925</v>
      </c>
      <c r="O31" s="52" t="s">
        <v>57</v>
      </c>
      <c r="P31" s="40" t="s">
        <v>64</v>
      </c>
      <c r="Q31" s="367">
        <v>45736</v>
      </c>
      <c r="R31" s="31">
        <v>5825</v>
      </c>
      <c r="S31" s="107">
        <v>1257</v>
      </c>
      <c r="T31" s="1212">
        <f>SUM(R31-S31)</f>
        <v>4568</v>
      </c>
      <c r="U31" s="676">
        <f>IFERROR($W31/$V31, 0)</f>
        <v>0</v>
      </c>
      <c r="V31" s="30" t="s">
        <v>1887</v>
      </c>
      <c r="W31" s="34">
        <v>0</v>
      </c>
      <c r="X31" s="34">
        <v>0</v>
      </c>
      <c r="Y31" s="31">
        <v>0</v>
      </c>
      <c r="Z31" s="34">
        <v>0</v>
      </c>
      <c r="AA31" s="31">
        <v>0</v>
      </c>
      <c r="AB31" s="364" t="s">
        <v>1882</v>
      </c>
    </row>
    <row r="32" spans="1:30" ht="24.75" customHeight="1">
      <c r="A32" s="943" t="s">
        <v>1888</v>
      </c>
      <c r="B32" s="1195" t="s">
        <v>50</v>
      </c>
      <c r="C32" s="1040">
        <v>45717</v>
      </c>
      <c r="D32" s="1040" t="s">
        <v>1870</v>
      </c>
      <c r="E32" s="1040">
        <v>45695</v>
      </c>
      <c r="F32" s="1040"/>
      <c r="G32" s="1040"/>
      <c r="H32" s="1029">
        <v>25</v>
      </c>
      <c r="I32" s="1029"/>
      <c r="J32" s="1029" t="s">
        <v>56</v>
      </c>
      <c r="K32" s="1029"/>
      <c r="L32" s="1029"/>
      <c r="M32" s="1029" t="s">
        <v>57</v>
      </c>
      <c r="N32" s="119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1889</v>
      </c>
      <c r="B33" s="1048" t="s">
        <v>50</v>
      </c>
      <c r="C33" s="945">
        <v>45989</v>
      </c>
      <c r="D33" s="945" t="s">
        <v>1890</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98">
        <v>0</v>
      </c>
      <c r="U33" s="34">
        <v>0</v>
      </c>
      <c r="V33" s="34"/>
      <c r="W33" s="34">
        <v>0</v>
      </c>
      <c r="X33" s="34">
        <v>0</v>
      </c>
      <c r="Y33" s="34">
        <v>0</v>
      </c>
      <c r="Z33" s="34">
        <v>0</v>
      </c>
      <c r="AA33" s="61">
        <v>0</v>
      </c>
      <c r="AB33" s="938" t="s">
        <v>1891</v>
      </c>
    </row>
    <row r="34" spans="1:30" ht="24.75" customHeight="1">
      <c r="A34" s="943" t="s">
        <v>1892</v>
      </c>
      <c r="B34" s="1195" t="s">
        <v>50</v>
      </c>
      <c r="C34" s="1040">
        <v>45717</v>
      </c>
      <c r="D34" s="1040" t="s">
        <v>1870</v>
      </c>
      <c r="E34" s="1040">
        <v>45695</v>
      </c>
      <c r="F34" s="1040"/>
      <c r="G34" s="1040"/>
      <c r="H34" s="1029">
        <v>52</v>
      </c>
      <c r="I34" s="1029"/>
      <c r="J34" s="1029" t="s">
        <v>56</v>
      </c>
      <c r="K34" s="1029"/>
      <c r="L34" s="1029"/>
      <c r="M34" s="1029" t="s">
        <v>57</v>
      </c>
      <c r="N34" s="119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1893</v>
      </c>
      <c r="B35" s="1195" t="s">
        <v>50</v>
      </c>
      <c r="C35" s="1040">
        <v>45717</v>
      </c>
      <c r="D35" s="1040" t="s">
        <v>1870</v>
      </c>
      <c r="E35" s="1040">
        <v>45695</v>
      </c>
      <c r="F35" s="1040"/>
      <c r="G35" s="1040"/>
      <c r="H35" s="1029">
        <v>305</v>
      </c>
      <c r="I35" s="1029"/>
      <c r="J35" s="1029" t="s">
        <v>56</v>
      </c>
      <c r="K35" s="1029"/>
      <c r="L35" s="1029"/>
      <c r="M35" s="1029" t="s">
        <v>57</v>
      </c>
      <c r="N35" s="1197">
        <v>91420.91</v>
      </c>
      <c r="O35" s="1029" t="s">
        <v>57</v>
      </c>
      <c r="P35" s="1050" t="s">
        <v>58</v>
      </c>
      <c r="Q35" s="952"/>
      <c r="R35" s="1193">
        <v>8225</v>
      </c>
      <c r="S35" s="619">
        <v>0</v>
      </c>
      <c r="T35" s="620">
        <v>0</v>
      </c>
      <c r="U35" s="620">
        <v>0</v>
      </c>
      <c r="V35" s="1199"/>
      <c r="W35" s="617">
        <v>0</v>
      </c>
      <c r="X35" s="617">
        <v>0</v>
      </c>
      <c r="Y35" s="617">
        <v>0</v>
      </c>
      <c r="Z35" s="34">
        <v>0</v>
      </c>
      <c r="AA35" s="61">
        <v>0</v>
      </c>
      <c r="AB35" s="1129"/>
      <c r="AC35" s="1201"/>
      <c r="AD35" s="610"/>
    </row>
    <row r="36" spans="1:30" ht="24.75" customHeight="1">
      <c r="A36" s="943" t="s">
        <v>1894</v>
      </c>
      <c r="B36" s="1195" t="s">
        <v>50</v>
      </c>
      <c r="C36" s="1040">
        <v>45717</v>
      </c>
      <c r="D36" s="1040" t="s">
        <v>1870</v>
      </c>
      <c r="E36" s="1040">
        <v>45695</v>
      </c>
      <c r="F36" s="1040"/>
      <c r="G36" s="1040"/>
      <c r="H36" s="1029">
        <v>91</v>
      </c>
      <c r="I36" s="1029"/>
      <c r="J36" s="1029" t="s">
        <v>56</v>
      </c>
      <c r="K36" s="1029"/>
      <c r="L36" s="1029"/>
      <c r="M36" s="1029" t="s">
        <v>57</v>
      </c>
      <c r="N36" s="119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86</v>
      </c>
      <c r="V2" s="69" t="s">
        <v>86</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86</v>
      </c>
      <c r="W3" s="79"/>
      <c r="X3" s="69" t="s">
        <v>86</v>
      </c>
      <c r="Y3" t="e">
        <f>VLOOKUP(A3,#REF!,2,FALSE)</f>
        <v>#REF!</v>
      </c>
    </row>
    <row r="4" spans="1:25">
      <c r="A4" s="376" t="s">
        <v>1903</v>
      </c>
      <c r="B4" s="420" t="s">
        <v>237</v>
      </c>
      <c r="C4" s="421">
        <v>45742</v>
      </c>
      <c r="D4" s="715"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86</v>
      </c>
      <c r="V4" s="69" t="s">
        <v>86</v>
      </c>
      <c r="W4" s="79"/>
      <c r="X4" s="69" t="s">
        <v>86</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86</v>
      </c>
      <c r="V5" s="69" t="s">
        <v>86</v>
      </c>
      <c r="W5" s="79"/>
      <c r="X5" s="69" t="s">
        <v>86</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86</v>
      </c>
      <c r="W6" s="79"/>
      <c r="X6" s="69" t="s">
        <v>86</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86</v>
      </c>
      <c r="W7" s="30"/>
      <c r="X7" s="69" t="s">
        <v>86</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30" t="s">
        <v>399</v>
      </c>
      <c r="Q8" s="69" t="s">
        <v>399</v>
      </c>
      <c r="R8" s="43" t="s">
        <v>1905</v>
      </c>
      <c r="S8" s="43" t="s">
        <v>399</v>
      </c>
      <c r="T8" s="43" t="s">
        <v>399</v>
      </c>
      <c r="U8" s="43" t="s">
        <v>399</v>
      </c>
      <c r="V8" s="69" t="s">
        <v>86</v>
      </c>
      <c r="W8" s="30"/>
      <c r="X8" s="69" t="s">
        <v>86</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86</v>
      </c>
      <c r="W9" s="30"/>
      <c r="X9" s="69" t="s">
        <v>86</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86</v>
      </c>
      <c r="W10" s="30"/>
      <c r="X10" s="69" t="s">
        <v>86</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86</v>
      </c>
      <c r="V11" s="69" t="s">
        <v>86</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86</v>
      </c>
      <c r="V12" s="69" t="s">
        <v>86</v>
      </c>
      <c r="W12" s="30"/>
      <c r="X12" s="69" t="s">
        <v>86</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86</v>
      </c>
      <c r="V13" s="69" t="s">
        <v>86</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86</v>
      </c>
      <c r="V14" s="69" t="s">
        <v>86</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86</v>
      </c>
      <c r="V16" s="69" t="s">
        <v>86</v>
      </c>
      <c r="W16" s="30"/>
      <c r="X16" s="69" t="s">
        <v>86</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86</v>
      </c>
      <c r="V17" s="69" t="s">
        <v>86</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86</v>
      </c>
      <c r="V18" s="69" t="s">
        <v>86</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86</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86</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86</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86</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86</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86</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86</v>
      </c>
      <c r="V63" s="345" t="s">
        <v>86</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86</v>
      </c>
      <c r="V65" s="69" t="s">
        <v>86</v>
      </c>
      <c r="W65" s="30"/>
      <c r="X65" s="69" t="s">
        <v>86</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86</v>
      </c>
      <c r="V67" s="417" t="s">
        <v>86</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87</v>
      </c>
      <c r="K68" s="182" t="s">
        <v>87</v>
      </c>
      <c r="L68" s="182" t="s">
        <v>63</v>
      </c>
      <c r="M68" s="49" t="s">
        <v>399</v>
      </c>
      <c r="N68" s="87" t="s">
        <v>399</v>
      </c>
      <c r="O68" s="87" t="s">
        <v>399</v>
      </c>
      <c r="P68" s="332" t="s">
        <v>399</v>
      </c>
      <c r="Q68" s="43" t="s">
        <v>399</v>
      </c>
      <c r="R68" s="43" t="s">
        <v>399</v>
      </c>
      <c r="S68" s="43" t="s">
        <v>56</v>
      </c>
      <c r="T68" s="43" t="s">
        <v>399</v>
      </c>
      <c r="U68" s="43" t="s">
        <v>399</v>
      </c>
      <c r="V68" s="345" t="s">
        <v>399</v>
      </c>
      <c r="W68" s="49"/>
      <c r="X68" s="69" t="s">
        <v>86</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86</v>
      </c>
      <c r="V69" s="345" t="s">
        <v>86</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86</v>
      </c>
      <c r="V71" s="345" t="s">
        <v>86</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86</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86</v>
      </c>
      <c r="V74" s="345" t="s">
        <v>86</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86</v>
      </c>
      <c r="V77" s="345" t="s">
        <v>86</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86</v>
      </c>
      <c r="V78" s="345" t="s">
        <v>86</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86</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1910</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86</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86</v>
      </c>
      <c r="W87" s="30"/>
      <c r="X87" s="69" t="s">
        <v>86</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86</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86</v>
      </c>
      <c r="V89" s="69" t="s">
        <v>86</v>
      </c>
      <c r="W89" s="54">
        <v>45825</v>
      </c>
      <c r="X89" s="69" t="s">
        <v>86</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86</v>
      </c>
      <c r="V90" s="69" t="s">
        <v>86</v>
      </c>
      <c r="W90" s="54">
        <v>45828</v>
      </c>
      <c r="X90" s="69" t="s">
        <v>86</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86</v>
      </c>
      <c r="W92" s="30"/>
      <c r="X92" s="69" t="s">
        <v>86</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86</v>
      </c>
      <c r="V94" s="69" t="s">
        <v>86</v>
      </c>
      <c r="W94" s="30"/>
      <c r="X94" s="69" t="s">
        <v>86</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86</v>
      </c>
      <c r="V96" s="69" t="s">
        <v>86</v>
      </c>
      <c r="W96" s="30"/>
      <c r="X96" s="69" t="s">
        <v>86</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86</v>
      </c>
      <c r="V98" s="69" t="s">
        <v>86</v>
      </c>
      <c r="W98" s="54">
        <v>45840</v>
      </c>
      <c r="X98" s="69" t="s">
        <v>86</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1905</v>
      </c>
      <c r="S100" s="43" t="s">
        <v>399</v>
      </c>
      <c r="T100" s="43" t="s">
        <v>399</v>
      </c>
      <c r="U100" s="69" t="s">
        <v>399</v>
      </c>
      <c r="V100" s="158" t="s">
        <v>399</v>
      </c>
      <c r="W100" s="54">
        <v>45789</v>
      </c>
      <c r="X100" s="69" t="s">
        <v>86</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86</v>
      </c>
      <c r="V101" s="205" t="s">
        <v>86</v>
      </c>
      <c r="W101" s="54">
        <v>45810</v>
      </c>
      <c r="X101" s="69" t="s">
        <v>86</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86</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86</v>
      </c>
      <c r="V105" s="166" t="s">
        <v>86</v>
      </c>
      <c r="W105" s="30"/>
      <c r="X105" s="69" t="s">
        <v>86</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86</v>
      </c>
      <c r="W106" s="54">
        <v>45820</v>
      </c>
      <c r="X106" s="69" t="s">
        <v>86</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86</v>
      </c>
      <c r="W107" s="30"/>
      <c r="X107" s="69" t="s">
        <v>86</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4"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86</v>
      </c>
      <c r="W109" s="509">
        <v>45804</v>
      </c>
      <c r="X109" s="69" t="s">
        <v>86</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4"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2">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2">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4" t="s">
        <v>399</v>
      </c>
      <c r="W116" s="54">
        <v>45807</v>
      </c>
      <c r="X116" s="69" t="s">
        <v>1908</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1905</v>
      </c>
      <c r="S121" s="43" t="s">
        <v>399</v>
      </c>
      <c r="T121" s="43" t="s">
        <v>399</v>
      </c>
      <c r="U121" s="43" t="s">
        <v>399</v>
      </c>
      <c r="V121" s="69" t="s">
        <v>86</v>
      </c>
      <c r="W121" s="54">
        <v>45838</v>
      </c>
      <c r="X121" s="69" t="s">
        <v>86</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86</v>
      </c>
      <c r="W124" s="54">
        <v>45832</v>
      </c>
      <c r="X124" s="69" t="s">
        <v>86</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86</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1905</v>
      </c>
      <c r="S134" s="43" t="s">
        <v>399</v>
      </c>
      <c r="T134" s="43" t="s">
        <v>399</v>
      </c>
      <c r="U134" s="69" t="s">
        <v>86</v>
      </c>
      <c r="V134" s="69" t="s">
        <v>86</v>
      </c>
      <c r="W134" s="54">
        <v>45825</v>
      </c>
      <c r="X134" s="69" t="s">
        <v>86</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86</v>
      </c>
      <c r="W137" s="30"/>
      <c r="X137" s="69" t="s">
        <v>86</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7"/>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86</v>
      </c>
      <c r="W139" s="30"/>
      <c r="X139" s="69" t="s">
        <v>86</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7"/>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86</v>
      </c>
      <c r="W142" s="30"/>
      <c r="X142" s="69" t="s">
        <v>86</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1905</v>
      </c>
      <c r="S143" s="43" t="s">
        <v>399</v>
      </c>
      <c r="T143" s="43" t="s">
        <v>399</v>
      </c>
      <c r="U143" s="158" t="s">
        <v>399</v>
      </c>
      <c r="V143" s="69" t="s">
        <v>86</v>
      </c>
      <c r="W143" s="30"/>
      <c r="X143" s="69" t="s">
        <v>86</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86</v>
      </c>
      <c r="V145" s="69" t="s">
        <v>86</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86</v>
      </c>
      <c r="Y146" t="e">
        <f>VLOOKUP(A146,#REF!,2,FALSE)</f>
        <v>#REF!</v>
      </c>
    </row>
    <row r="147" spans="1:25" ht="15" customHeight="1">
      <c r="A147" s="741" t="s">
        <v>1046</v>
      </c>
      <c r="B147" s="706" t="s">
        <v>50</v>
      </c>
      <c r="C147" s="595">
        <v>45991</v>
      </c>
      <c r="D147" s="423" t="s">
        <v>1881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86</v>
      </c>
      <c r="V147" s="69" t="s">
        <v>86</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86</v>
      </c>
      <c r="V148" s="69" t="s">
        <v>86</v>
      </c>
      <c r="W148" s="30"/>
      <c r="X148" s="69" t="s">
        <v>86</v>
      </c>
      <c r="Y148" t="e">
        <f>VLOOKUP(A148,#REF!,2,FALSE)</f>
        <v>#REF!</v>
      </c>
    </row>
    <row r="149" spans="1:25" ht="15" customHeight="1">
      <c r="A149" s="376" t="s">
        <v>1917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1905</v>
      </c>
      <c r="S149" s="69" t="s">
        <v>64</v>
      </c>
      <c r="T149" s="69" t="s">
        <v>64</v>
      </c>
      <c r="U149" s="69" t="s">
        <v>86</v>
      </c>
      <c r="V149" s="69" t="s">
        <v>86</v>
      </c>
      <c r="W149" s="30"/>
      <c r="X149" s="69" t="s">
        <v>86</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86</v>
      </c>
      <c r="V150" s="69" t="s">
        <v>86</v>
      </c>
      <c r="W150" s="30"/>
      <c r="X150" s="69" t="s">
        <v>86</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1905</v>
      </c>
      <c r="S151" s="43" t="s">
        <v>399</v>
      </c>
      <c r="T151" s="43" t="s">
        <v>399</v>
      </c>
      <c r="U151" s="69" t="s">
        <v>86</v>
      </c>
      <c r="V151" s="69" t="s">
        <v>86</v>
      </c>
      <c r="W151" s="54">
        <v>45818</v>
      </c>
      <c r="X151" s="69" t="s">
        <v>86</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86</v>
      </c>
      <c r="V152" s="69" t="s">
        <v>86</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1905</v>
      </c>
      <c r="S156" s="43" t="s">
        <v>399</v>
      </c>
      <c r="T156" s="43" t="s">
        <v>399</v>
      </c>
      <c r="U156" s="69" t="s">
        <v>399</v>
      </c>
      <c r="V156" s="69" t="s">
        <v>86</v>
      </c>
      <c r="W156" s="367">
        <v>45747</v>
      </c>
      <c r="X156" s="69" t="s">
        <v>86</v>
      </c>
      <c r="Y156" t="e">
        <f>VLOOKUP(A156,#REF!,2,FALSE)</f>
        <v>#REF!</v>
      </c>
    </row>
    <row r="157" spans="1:25" ht="15" customHeight="1">
      <c r="A157" s="376" t="s">
        <v>1021</v>
      </c>
      <c r="B157" s="419" t="s">
        <v>50</v>
      </c>
      <c r="C157" s="413">
        <v>45991</v>
      </c>
      <c r="D157" s="431" t="s">
        <v>1886</v>
      </c>
      <c r="E157" s="723"/>
      <c r="F157" s="432"/>
      <c r="G157" s="432"/>
      <c r="H157" s="432">
        <v>79</v>
      </c>
      <c r="I157" s="371"/>
      <c r="J157" s="372" t="s">
        <v>57</v>
      </c>
      <c r="K157" s="569" t="s">
        <v>57</v>
      </c>
      <c r="L157" s="372" t="s">
        <v>63</v>
      </c>
      <c r="M157" s="198">
        <v>45735</v>
      </c>
      <c r="N157" s="30" t="s">
        <v>64</v>
      </c>
      <c r="O157" s="54">
        <v>45737</v>
      </c>
      <c r="P157" s="49" t="s">
        <v>64</v>
      </c>
      <c r="Q157" s="69" t="s">
        <v>64</v>
      </c>
      <c r="R157" s="69" t="s">
        <v>1905</v>
      </c>
      <c r="S157" s="69" t="s">
        <v>64</v>
      </c>
      <c r="T157" s="69" t="s">
        <v>64</v>
      </c>
      <c r="U157" s="69" t="s">
        <v>86</v>
      </c>
      <c r="V157" s="69"/>
      <c r="W157" s="79"/>
      <c r="X157" s="69" t="s">
        <v>86</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86</v>
      </c>
      <c r="W159" s="79"/>
      <c r="X159" s="69" t="s">
        <v>86</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86</v>
      </c>
      <c r="W163" s="79"/>
      <c r="X163" s="69" t="s">
        <v>86</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86</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1908</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86</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76</v>
      </c>
      <c r="B168" s="419" t="s">
        <v>50</v>
      </c>
      <c r="C168" s="600">
        <v>45742</v>
      </c>
      <c r="D168" s="423" t="s">
        <v>77</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86</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86</v>
      </c>
      <c r="V169" s="69" t="s">
        <v>86</v>
      </c>
      <c r="W169" s="166"/>
      <c r="X169" s="43"/>
    </row>
    <row r="170" spans="1:25" ht="15" customHeight="1">
      <c r="A170" s="376" t="s">
        <v>81</v>
      </c>
      <c r="B170" s="419" t="s">
        <v>50</v>
      </c>
      <c r="C170" s="600">
        <v>45777</v>
      </c>
      <c r="D170" s="548" t="s">
        <v>82</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86</v>
      </c>
      <c r="V170" s="69" t="s">
        <v>86</v>
      </c>
      <c r="W170" s="79"/>
      <c r="X170" s="69" t="s">
        <v>86</v>
      </c>
      <c r="Y170" t="e">
        <f>VLOOKUP(A170,#REF!,2,FALSE)</f>
        <v>#REF!</v>
      </c>
    </row>
    <row r="171" spans="1:25" ht="15" customHeight="1">
      <c r="A171" s="376" t="s">
        <v>83</v>
      </c>
      <c r="B171" s="419" t="s">
        <v>50</v>
      </c>
      <c r="C171" s="600">
        <v>45772</v>
      </c>
      <c r="D171" s="745" t="s">
        <v>84</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86</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86</v>
      </c>
      <c r="V172" s="69" t="s">
        <v>86</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189" t="s">
        <v>1918</v>
      </c>
      <c r="C1" s="1189"/>
      <c r="D1" s="574"/>
      <c r="E1" s="1189" t="s">
        <v>1919</v>
      </c>
      <c r="F1" s="1189"/>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v>149219</v>
      </c>
      <c r="E4" s="44" t="s">
        <v>1920</v>
      </c>
      <c r="F4" t="s">
        <v>998</v>
      </c>
      <c r="W4" t="s">
        <v>1924</v>
      </c>
      <c r="X4">
        <v>22</v>
      </c>
    </row>
    <row r="5" spans="1:25">
      <c r="B5" t="s">
        <v>71</v>
      </c>
      <c r="C5">
        <v>32354</v>
      </c>
      <c r="E5" t="s">
        <v>998</v>
      </c>
      <c r="F5">
        <v>211615</v>
      </c>
      <c r="K5" s="44" t="s">
        <v>1925</v>
      </c>
      <c r="P5" s="44" t="s">
        <v>1925</v>
      </c>
      <c r="W5" t="s">
        <v>1926</v>
      </c>
      <c r="X5">
        <v>13</v>
      </c>
    </row>
    <row r="6" spans="1:25">
      <c r="B6" t="s">
        <v>93</v>
      </c>
      <c r="C6">
        <v>22387</v>
      </c>
      <c r="K6" s="44" t="s">
        <v>27</v>
      </c>
      <c r="L6" s="44" t="s">
        <v>1927</v>
      </c>
      <c r="M6" t="s">
        <v>998</v>
      </c>
      <c r="P6" s="44" t="s">
        <v>1928</v>
      </c>
      <c r="Q6" s="44" t="s">
        <v>1927</v>
      </c>
      <c r="R6" t="s">
        <v>998</v>
      </c>
    </row>
    <row r="7" spans="1:25">
      <c r="B7" t="s">
        <v>1025</v>
      </c>
      <c r="C7">
        <v>238064</v>
      </c>
      <c r="K7" t="s">
        <v>1921</v>
      </c>
      <c r="L7" t="s">
        <v>628</v>
      </c>
      <c r="M7">
        <v>1</v>
      </c>
      <c r="P7" t="s">
        <v>1929</v>
      </c>
      <c r="R7">
        <v>1</v>
      </c>
      <c r="X7" t="s">
        <v>1930</v>
      </c>
      <c r="Y7" t="s">
        <v>1931</v>
      </c>
    </row>
    <row r="8" spans="1:25">
      <c r="B8" t="s">
        <v>51</v>
      </c>
      <c r="C8">
        <v>446</v>
      </c>
      <c r="L8" t="s">
        <v>630</v>
      </c>
      <c r="M8">
        <v>1</v>
      </c>
      <c r="P8" t="s">
        <v>1932</v>
      </c>
      <c r="R8">
        <v>1</v>
      </c>
      <c r="V8" t="s">
        <v>1933</v>
      </c>
      <c r="W8" s="261">
        <v>203521</v>
      </c>
      <c r="X8" s="317">
        <f>X5/X4</f>
        <v>0.59090909090909094</v>
      </c>
      <c r="Y8" s="317">
        <f>W9/W8</f>
        <v>0.31446386367991508</v>
      </c>
    </row>
    <row r="9" spans="1:25">
      <c r="B9" t="s">
        <v>22</v>
      </c>
      <c r="C9">
        <v>0</v>
      </c>
      <c r="L9" t="s">
        <v>1934</v>
      </c>
      <c r="M9">
        <v>1</v>
      </c>
      <c r="P9" t="s">
        <v>1935</v>
      </c>
      <c r="Q9" t="s">
        <v>1934</v>
      </c>
      <c r="R9">
        <v>1</v>
      </c>
      <c r="V9" t="s">
        <v>1936</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1937</v>
      </c>
      <c r="R12">
        <v>1</v>
      </c>
    </row>
    <row r="13" spans="1:25">
      <c r="B13" t="s">
        <v>232</v>
      </c>
      <c r="C13">
        <v>16290</v>
      </c>
      <c r="L13" t="s">
        <v>1938</v>
      </c>
      <c r="M13">
        <v>1</v>
      </c>
      <c r="Q13" t="s">
        <v>948</v>
      </c>
      <c r="R13">
        <v>1</v>
      </c>
    </row>
    <row r="14" spans="1:25">
      <c r="B14" t="s">
        <v>228</v>
      </c>
      <c r="C14">
        <v>8065</v>
      </c>
      <c r="L14" t="s">
        <v>751</v>
      </c>
      <c r="M14">
        <v>1</v>
      </c>
      <c r="P14" t="s">
        <v>1939</v>
      </c>
      <c r="R14">
        <v>5</v>
      </c>
    </row>
    <row r="15" spans="1:25">
      <c r="B15" t="s">
        <v>128</v>
      </c>
      <c r="C15">
        <v>7655</v>
      </c>
      <c r="L15" t="s">
        <v>1937</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1940</v>
      </c>
      <c r="M21">
        <v>1</v>
      </c>
    </row>
    <row r="22" spans="2:13">
      <c r="L22" t="s">
        <v>948</v>
      </c>
      <c r="M22">
        <v>1</v>
      </c>
    </row>
    <row r="23" spans="2:13">
      <c r="L23" t="s">
        <v>794</v>
      </c>
      <c r="M23">
        <v>1</v>
      </c>
    </row>
    <row r="24" spans="2:13">
      <c r="L24" t="s">
        <v>812</v>
      </c>
      <c r="M24">
        <v>1</v>
      </c>
    </row>
    <row r="25" spans="2:13">
      <c r="L25" t="s">
        <v>187</v>
      </c>
      <c r="M25">
        <v>1</v>
      </c>
    </row>
    <row r="26" spans="2:13">
      <c r="K26" t="s">
        <v>1941</v>
      </c>
      <c r="M26">
        <v>19</v>
      </c>
    </row>
    <row r="27" spans="2:13">
      <c r="K27" t="s">
        <v>1942</v>
      </c>
      <c r="L27" t="s">
        <v>745</v>
      </c>
      <c r="M27">
        <v>1</v>
      </c>
    </row>
    <row r="28" spans="2:13">
      <c r="L28" t="s">
        <v>747</v>
      </c>
      <c r="M28">
        <v>1</v>
      </c>
    </row>
    <row r="29" spans="2:13">
      <c r="L29" t="s">
        <v>749</v>
      </c>
      <c r="M29">
        <v>1</v>
      </c>
    </row>
    <row r="30" spans="2:13">
      <c r="L30" t="s">
        <v>765</v>
      </c>
      <c r="M30">
        <v>1</v>
      </c>
    </row>
    <row r="31" spans="2:13">
      <c r="L31" t="s">
        <v>767</v>
      </c>
      <c r="M31">
        <v>1</v>
      </c>
    </row>
    <row r="32" spans="2:13">
      <c r="L32" t="s">
        <v>1943</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1944</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1945</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76</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83</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81</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79</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8"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8"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9"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69DE18-364E-4C8A-907A-0425624D51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2025-12-03T17:27:01Z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