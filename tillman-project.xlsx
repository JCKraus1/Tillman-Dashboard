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3" documentId="8_{E14B221E-02E2-46A3-8CEC-C736815F2DD5}" xr6:coauthVersionLast="47" xr6:coauthVersionMax="47" xr10:uidLastSave="{F3279726-7541-4C20-9523-086B24E06EBA}"/>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33" r:id="rId12"/>
    <pivotCache cacheId="3337" r:id="rId13"/>
    <pivotCache cacheId="3342" r:id="rId14"/>
    <pivotCache cacheId="3349" r:id="rId15"/>
    <pivotCache cacheId="33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<sst xmlns="http://schemas.openxmlformats.org/spreadsheetml/2006/main" count="14613" uniqueCount="1797">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</sst>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abSelected="1"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t="s">
        <v>874</v>
      </c>
    </row>
    <row r="968" spans="1:7">
      <c r="A968" t="s">
        <v>272</v>
      </c>
      <c r="B968" s="1158">
        <v>446</v>
      </c>
      <c r="C968" s="1158">
        <v>120</v>
      </c>
      <c r="D968" s="1158">
        <v>550</v>
      </c>
      <c r="E968" s="1158">
        <v>1116</v>
      </c>
    </row>
    <row r="969" spans="1:7">
      <c r="A969" t="s">
        <v>417</v>
      </c>
      <c r="B969" s="1158"/>
      <c r="C969" s="1158">
        <v>17</v>
      </c>
      <c r="D969" s="1158"/>
      <c r="E969" s="1158">
        <v>17</v>
      </c>
    </row>
    <row r="970" spans="1:7">
      <c r="A970" t="s">
        <v>386</v>
      </c>
      <c r="B970" s="1158"/>
      <c r="C970" s="1158"/>
      <c r="D970" s="1158"/>
      <c r="E970" s="1158"/>
    </row>
    <row r="971" spans="1:7">
      <c r="A971" t="s">
        <v>394</v>
      </c>
      <c r="B971" s="1158">
        <v>127</v>
      </c>
      <c r="C971" s="1158"/>
      <c r="D971" s="1158"/>
      <c r="E971" s="1158">
        <v>127</v>
      </c>
    </row>
    <row r="972" spans="1:7">
      <c r="A972" t="s">
        <v>238</v>
      </c>
      <c r="B972" s="1158">
        <v>420</v>
      </c>
      <c r="C972" s="1158"/>
      <c r="D972" s="1158"/>
      <c r="E972" s="1158">
        <v>420</v>
      </c>
    </row>
    <row r="973" spans="1:7">
      <c r="A973" t="s">
        <v>397</v>
      </c>
      <c r="B973" s="1158"/>
      <c r="C973" s="1158"/>
      <c r="D973" s="1158"/>
      <c r="E973" s="1158"/>
    </row>
    <row r="974" spans="1:7">
      <c r="A974" t="s">
        <v>241</v>
      </c>
      <c r="B974" s="1158"/>
      <c r="C974" s="1158">
        <v>1917</v>
      </c>
      <c r="D974" s="1158"/>
      <c r="E974" s="1158">
        <v>1917</v>
      </c>
    </row>
    <row r="975" spans="1:7">
      <c r="A975" t="s">
        <v>140</v>
      </c>
      <c r="B975" s="1158">
        <v>956</v>
      </c>
      <c r="C975" s="1158"/>
      <c r="D975" s="1158"/>
      <c r="E975" s="1158">
        <v>956</v>
      </c>
    </row>
    <row r="976" spans="1:7">
      <c r="A976" t="s">
        <v>290</v>
      </c>
      <c r="B976" s="1158">
        <v>1449</v>
      </c>
      <c r="C976" s="1158"/>
      <c r="D976" s="1158"/>
      <c r="E976" s="1158">
        <v>1449</v>
      </c>
    </row>
    <row r="977" spans="1:5">
      <c r="A977" t="s">
        <v>318</v>
      </c>
      <c r="B977" s="1158">
        <v>1662</v>
      </c>
      <c r="C977" s="1158">
        <v>2401</v>
      </c>
      <c r="D977" s="1158"/>
      <c r="E977" s="1158">
        <v>4063</v>
      </c>
    </row>
    <row r="978" spans="1:5">
      <c r="A978" t="s">
        <v>325</v>
      </c>
      <c r="B978" s="1158">
        <v>5466</v>
      </c>
      <c r="C978" s="1158"/>
      <c r="D978" s="1158"/>
      <c r="E978" s="1158">
        <v>5466</v>
      </c>
    </row>
    <row r="979" spans="1:5">
      <c r="A979" t="s">
        <v>941</v>
      </c>
      <c r="B979" s="1158">
        <v>907</v>
      </c>
      <c r="C979" s="1158"/>
      <c r="D979" s="1158"/>
      <c r="E979" s="1158">
        <v>907</v>
      </c>
    </row>
    <row r="980" spans="1:5">
      <c r="A980" t="s">
        <v>329</v>
      </c>
      <c r="B980" s="1158">
        <v>1498</v>
      </c>
      <c r="C980" s="1158">
        <v>3613</v>
      </c>
      <c r="D980" s="1158"/>
      <c r="E980" s="1158">
        <v>5111</v>
      </c>
    </row>
    <row r="981" spans="1:5">
      <c r="A981" t="s">
        <v>942</v>
      </c>
      <c r="B981" s="1158">
        <v>1505</v>
      </c>
      <c r="C981" s="1158">
        <v>1518</v>
      </c>
      <c r="D981" s="1158">
        <v>1968</v>
      </c>
      <c r="E981" s="1158">
        <v>4991</v>
      </c>
    </row>
    <row r="982" spans="1:5">
      <c r="A982" t="s">
        <v>158</v>
      </c>
      <c r="B982" s="1158">
        <v>1471</v>
      </c>
      <c r="C982" s="1158"/>
      <c r="D982" s="1158"/>
      <c r="E982" s="1158">
        <v>1471</v>
      </c>
    </row>
    <row r="983" spans="1:5">
      <c r="A983" t="s">
        <v>154</v>
      </c>
      <c r="B983" s="1158">
        <v>762</v>
      </c>
      <c r="C983" s="1158">
        <v>1530</v>
      </c>
      <c r="D983" s="1158">
        <v>954</v>
      </c>
      <c r="E983" s="1158">
        <v>3246</v>
      </c>
    </row>
    <row r="984" spans="1:5">
      <c r="A984" t="s">
        <v>156</v>
      </c>
      <c r="B984" s="1158"/>
      <c r="C984" s="1158">
        <v>1679</v>
      </c>
      <c r="D984" s="1158">
        <v>1429</v>
      </c>
      <c r="E984" s="1158">
        <v>3108</v>
      </c>
    </row>
    <row r="985" spans="1:5">
      <c r="A985" t="s">
        <v>292</v>
      </c>
      <c r="B985" s="1158"/>
      <c r="C985" s="1158">
        <v>2351</v>
      </c>
      <c r="D985" s="1158">
        <v>1835</v>
      </c>
      <c r="E985" s="1158">
        <v>4186</v>
      </c>
    </row>
    <row r="986" spans="1:5">
      <c r="A986" t="s">
        <v>943</v>
      </c>
      <c r="B986" s="1158"/>
      <c r="C986" s="1158">
        <v>12</v>
      </c>
      <c r="D986" s="1158"/>
      <c r="E986" s="1158">
        <v>12</v>
      </c>
    </row>
    <row r="987" spans="1:5">
      <c r="A987" t="s">
        <v>944</v>
      </c>
      <c r="B987" s="1158"/>
      <c r="C987" s="1158"/>
      <c r="D987" s="1158">
        <v>480</v>
      </c>
      <c r="E987" s="1158">
        <v>480</v>
      </c>
    </row>
    <row r="988" spans="1:5">
      <c r="A988" t="s">
        <v>228</v>
      </c>
      <c r="B988" s="1158"/>
      <c r="C988" s="1158">
        <v>136</v>
      </c>
      <c r="D988" s="1158">
        <v>170</v>
      </c>
      <c r="E988" s="1158">
        <v>306</v>
      </c>
    </row>
    <row r="989" spans="1:5">
      <c r="A989" t="s">
        <v>874</v>
      </c>
      <c r="B989" s="1158">
        <v>16669</v>
      </c>
      <c r="C989" s="1158">
        <v>15294</v>
      </c>
      <c r="D989" s="1158">
        <v>7386</v>
      </c>
      <c r="E989" s="1158">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8">
        <v>223696</v>
      </c>
      <c r="E4" s="44" t="s">
        <v>1741</v>
      </c>
      <c r="F4" t="s">
        <v>877</v>
      </c>
      <c r="W4" t="s">
        <v>1745</v>
      </c>
      <c r="X4">
        <v>22</v>
      </c>
    </row>
    <row r="5" spans="1:25">
      <c r="B5" t="s">
        <v>71</v>
      </c>
      <c r="C5" s="1158">
        <v>47789</v>
      </c>
      <c r="E5" t="s">
        <v>877</v>
      </c>
      <c r="F5" s="1158">
        <v>301527</v>
      </c>
      <c r="K5" s="44" t="s">
        <v>1746</v>
      </c>
      <c r="P5" s="44" t="s">
        <v>1746</v>
      </c>
      <c r="W5" t="s">
        <v>1747</v>
      </c>
      <c r="X5">
        <v>13</v>
      </c>
    </row>
    <row r="6" spans="1:25">
      <c r="B6" t="s">
        <v>102</v>
      </c>
      <c r="C6" s="1158">
        <v>22387</v>
      </c>
      <c r="K6" s="44" t="s">
        <v>27</v>
      </c>
      <c r="L6" s="44" t="s">
        <v>1748</v>
      </c>
      <c r="M6" t="s">
        <v>877</v>
      </c>
      <c r="P6" s="44" t="s">
        <v>1749</v>
      </c>
      <c r="Q6" s="44" t="s">
        <v>1748</v>
      </c>
      <c r="R6" t="s">
        <v>877</v>
      </c>
    </row>
    <row r="7" spans="1:25">
      <c r="B7" t="s">
        <v>903</v>
      </c>
      <c r="C7" s="1158">
        <v>228287</v>
      </c>
      <c r="K7" t="s">
        <v>1742</v>
      </c>
      <c r="L7" t="s">
        <v>508</v>
      </c>
      <c r="M7" s="1158">
        <v>1</v>
      </c>
      <c r="P7" t="s">
        <v>1750</v>
      </c>
      <c r="R7" s="1158">
        <v>1</v>
      </c>
      <c r="X7" t="s">
        <v>1751</v>
      </c>
      <c r="Y7" t="s">
        <v>1752</v>
      </c>
    </row>
    <row r="8" spans="1:25">
      <c r="B8" t="s">
        <v>51</v>
      </c>
      <c r="C8" s="1158">
        <v>446</v>
      </c>
      <c r="L8" t="s">
        <v>510</v>
      </c>
      <c r="M8" s="1158">
        <v>1</v>
      </c>
      <c r="P8" t="s">
        <v>1753</v>
      </c>
      <c r="R8" s="1158">
        <v>1</v>
      </c>
      <c r="V8" t="s">
        <v>1754</v>
      </c>
      <c r="W8" s="261">
        <v>203521</v>
      </c>
      <c r="X8" s="317">
        <f>X5/X4</f>
        <v>0.59090909090909094</v>
      </c>
      <c r="Y8" s="317">
        <f>W9/W8</f>
        <v>0.31446386367991508</v>
      </c>
    </row>
    <row r="9" spans="1:25">
      <c r="B9" t="s">
        <v>22</v>
      </c>
      <c r="C9" s="1158">
        <v>0</v>
      </c>
      <c r="L9" t="s">
        <v>1755</v>
      </c>
      <c r="M9" s="1158">
        <v>1</v>
      </c>
      <c r="P9" t="s">
        <v>1756</v>
      </c>
      <c r="Q9" t="s">
        <v>1755</v>
      </c>
      <c r="R9" s="1158">
        <v>1</v>
      </c>
      <c r="V9" t="s">
        <v>1757</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1758</v>
      </c>
      <c r="R12" s="1158">
        <v>1</v>
      </c>
    </row>
    <row r="13" spans="1:25">
      <c r="B13" t="s">
        <v>213</v>
      </c>
      <c r="C13" s="1158">
        <v>16290</v>
      </c>
      <c r="L13" t="s">
        <v>1759</v>
      </c>
      <c r="M13" s="1158">
        <v>1</v>
      </c>
      <c r="Q13" t="s">
        <v>827</v>
      </c>
      <c r="R13" s="1158">
        <v>1</v>
      </c>
    </row>
    <row r="14" spans="1:25">
      <c r="B14" t="s">
        <v>216</v>
      </c>
      <c r="C14" s="1158">
        <v>4725</v>
      </c>
      <c r="L14" t="s">
        <v>627</v>
      </c>
      <c r="M14" s="1158">
        <v>1</v>
      </c>
      <c r="P14" t="s">
        <v>1760</v>
      </c>
      <c r="R14" s="1158">
        <v>5</v>
      </c>
    </row>
    <row r="15" spans="1:25">
      <c r="B15" t="s">
        <v>128</v>
      </c>
      <c r="C15" s="1158">
        <v>7655</v>
      </c>
      <c r="L15" t="s">
        <v>1758</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1761</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1762</v>
      </c>
      <c r="M26" s="1158">
        <v>19</v>
      </c>
    </row>
    <row r="27" spans="2:13">
      <c r="K27" t="s">
        <v>1763</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1764</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1765</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31ECE3E-3C99-43FC-A6D8-406D9F2E0E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