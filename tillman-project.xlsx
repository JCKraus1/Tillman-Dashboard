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865" documentId="8_{E14B221E-02E2-46A3-8CEC-C736815F2DD5}" xr6:coauthVersionLast="47" xr6:coauthVersionMax="47" xr10:uidLastSave="{1BAF9136-2448-48EC-85CB-A372EF0F5C4B}"/>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796" r:id="rId12"/>
    <pivotCache cacheId="2797" r:id="rId13"/>
    <pivotCache cacheId="2798" r:id="rId14"/>
    <pivotCache cacheId="2799" r:id="rId15"/>
    <pivotCache cacheId="2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<sst xmlns="http://schemas.openxmlformats.org/spreadsheetml/2006/main" count="15383" uniqueCount="1976">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</sst>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1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14" fontId="2" fillId="18" borderId="69" xfId="0" applyNumberFormat="1" applyFont="1" applyFill="1" applyBorder="1" applyAlignment="1">
      <alignment horizontal="center"/>
    </xf>
    <xf numFmtId="0" fontId="32" fillId="0" borderId="15" xfId="0" applyFont="1" applyBorder="1"/>
    <xf numFmtId="0" fontId="32" fillId="0" borderId="26"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B49" activePane="topRight" state="frozen"/>
      <selection pane="topRight" activeCell="D63" sqref="D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1206">
        <v>45910</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1206">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1206">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1206">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1206">
        <v>45478</v>
      </c>
      <c r="D6" s="488" t="s">
        <v>51</v>
      </c>
      <c r="E6" s="488" t="s">
        <v>52</v>
      </c>
      <c r="F6" s="488" t="s">
        <v>53</v>
      </c>
      <c r="G6" s="849" t="s">
        <v>75</v>
      </c>
      <c r="H6" s="491">
        <v>0</v>
      </c>
      <c r="I6" s="491" t="s">
        <v>55</v>
      </c>
      <c r="J6" s="491" t="s">
        <v>63</v>
      </c>
      <c r="K6" s="491"/>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76</v>
      </c>
      <c r="B7" s="848" t="s">
        <v>50</v>
      </c>
      <c r="C7" s="1206">
        <v>46008</v>
      </c>
      <c r="D7" s="480" t="s">
        <v>71</v>
      </c>
      <c r="E7" s="489">
        <v>45748</v>
      </c>
      <c r="F7" s="488" t="s">
        <v>61</v>
      </c>
      <c r="G7" s="849" t="s">
        <v>77</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78</v>
      </c>
    </row>
    <row r="8" spans="1:121" customFormat="1" ht="24.75" customHeight="1">
      <c r="A8" s="902" t="s">
        <v>79</v>
      </c>
      <c r="B8" s="848" t="s">
        <v>50</v>
      </c>
      <c r="C8" s="1206">
        <v>46008</v>
      </c>
      <c r="D8" s="480" t="s">
        <v>71</v>
      </c>
      <c r="E8" s="489">
        <v>45748</v>
      </c>
      <c r="F8" s="488" t="s">
        <v>61</v>
      </c>
      <c r="G8" s="849" t="s">
        <v>80</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78</v>
      </c>
      <c r="AE8" s="163"/>
    </row>
    <row r="9" spans="1:121" customFormat="1" ht="24.75" customHeight="1">
      <c r="A9" s="902" t="s">
        <v>81</v>
      </c>
      <c r="B9" s="848" t="s">
        <v>50</v>
      </c>
      <c r="C9" s="1206">
        <v>46044</v>
      </c>
      <c r="D9" s="480" t="s">
        <v>71</v>
      </c>
      <c r="E9" s="489">
        <v>45700</v>
      </c>
      <c r="F9" s="489" t="s">
        <v>61</v>
      </c>
      <c r="G9" s="853" t="s">
        <v>82</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78</v>
      </c>
    </row>
    <row r="10" spans="1:121" ht="24.75" customHeight="1">
      <c r="A10" s="902" t="s">
        <v>83</v>
      </c>
      <c r="B10" s="848" t="s">
        <v>50</v>
      </c>
      <c r="C10" s="1206">
        <v>46044</v>
      </c>
      <c r="D10" s="480" t="s">
        <v>71</v>
      </c>
      <c r="E10" s="489">
        <v>45748</v>
      </c>
      <c r="F10" s="488" t="s">
        <v>61</v>
      </c>
      <c r="G10" s="856" t="s">
        <v>84</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85</v>
      </c>
      <c r="B11" s="848" t="s">
        <v>50</v>
      </c>
      <c r="C11" s="1206">
        <v>46001</v>
      </c>
      <c r="D11" s="480"/>
      <c r="E11" s="489"/>
      <c r="F11" s="488"/>
      <c r="G11" s="481"/>
      <c r="H11" s="491">
        <v>0</v>
      </c>
      <c r="I11" s="854" t="s">
        <v>55</v>
      </c>
      <c r="J11" s="491" t="s">
        <v>86</v>
      </c>
      <c r="K11" s="502"/>
      <c r="L11" s="489"/>
      <c r="M11" s="491" t="s">
        <v>87</v>
      </c>
      <c r="N11" s="559"/>
      <c r="O11" s="491" t="s">
        <v>87</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88</v>
      </c>
      <c r="B12" s="848" t="s">
        <v>50</v>
      </c>
      <c r="C12" s="1206">
        <v>46016</v>
      </c>
      <c r="D12" s="480"/>
      <c r="E12" s="489"/>
      <c r="F12" s="488"/>
      <c r="G12" s="490"/>
      <c r="H12" s="491">
        <v>89</v>
      </c>
      <c r="I12" s="854" t="s">
        <v>55</v>
      </c>
      <c r="J12" s="491" t="s">
        <v>86</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89</v>
      </c>
      <c r="AE12" s="344"/>
    </row>
    <row r="13" spans="1:121" s="167" customFormat="1" ht="24.75" customHeight="1">
      <c r="A13" s="903" t="s">
        <v>90</v>
      </c>
      <c r="B13" s="848" t="s">
        <v>50</v>
      </c>
      <c r="C13" s="1206">
        <v>46016</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89</v>
      </c>
      <c r="AE13" s="344"/>
    </row>
    <row r="14" spans="1:121" s="167" customFormat="1" ht="24.75" customHeight="1">
      <c r="A14" s="903" t="s">
        <v>91</v>
      </c>
      <c r="B14" s="848" t="s">
        <v>50</v>
      </c>
      <c r="C14" s="1206">
        <v>46050</v>
      </c>
      <c r="D14" s="480"/>
      <c r="E14" s="489"/>
      <c r="F14" s="488"/>
      <c r="G14" s="490"/>
      <c r="H14" s="491">
        <v>51</v>
      </c>
      <c r="I14" s="854" t="s">
        <v>55</v>
      </c>
      <c r="J14" s="491" t="s">
        <v>86</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89</v>
      </c>
      <c r="AE14" s="344"/>
    </row>
    <row r="15" spans="1:121" s="167" customFormat="1" ht="24.75" customHeight="1">
      <c r="A15" s="902" t="s">
        <v>92</v>
      </c>
      <c r="B15" s="848" t="s">
        <v>50</v>
      </c>
      <c r="C15" s="489">
        <v>46008</v>
      </c>
      <c r="D15" s="480" t="s">
        <v>93</v>
      </c>
      <c r="E15" s="489">
        <v>45958</v>
      </c>
      <c r="F15" s="488" t="s">
        <v>94</v>
      </c>
      <c r="G15" s="849" t="s">
        <v>95</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16790</v>
      </c>
      <c r="X15" s="485">
        <f t="shared" si="0"/>
        <v>5597</v>
      </c>
      <c r="Y15" s="681">
        <f t="shared" si="1"/>
        <v>0.7499888328047527</v>
      </c>
      <c r="Z15" s="492">
        <v>45965</v>
      </c>
      <c r="AA15" s="366">
        <v>0</v>
      </c>
      <c r="AB15" s="366">
        <v>0</v>
      </c>
      <c r="AC15" s="661">
        <v>0</v>
      </c>
      <c r="AD15" s="173"/>
      <c r="AE15" s="344"/>
    </row>
    <row r="16" spans="1:121" s="167" customFormat="1" ht="24.75" customHeight="1">
      <c r="A16" s="903" t="s">
        <v>96</v>
      </c>
      <c r="B16" s="848" t="s">
        <v>50</v>
      </c>
      <c r="C16" s="489">
        <v>46010</v>
      </c>
      <c r="D16" s="480"/>
      <c r="E16" s="489"/>
      <c r="F16" s="488"/>
      <c r="G16" s="490"/>
      <c r="H16" s="491">
        <v>29</v>
      </c>
      <c r="I16" s="680" t="s">
        <v>55</v>
      </c>
      <c r="J16" s="482" t="s">
        <v>56</v>
      </c>
      <c r="K16" s="482" t="s">
        <v>97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9">
        <v>46031</v>
      </c>
      <c r="D17" s="480"/>
      <c r="E17" s="489"/>
      <c r="F17" s="488"/>
      <c r="G17" s="490"/>
      <c r="H17" s="491">
        <v>262</v>
      </c>
      <c r="I17" s="680" t="s">
        <v>55</v>
      </c>
      <c r="J17" s="482" t="s">
        <v>56</v>
      </c>
      <c r="K17" s="482" t="s">
        <v>97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9">
        <v>45747</v>
      </c>
      <c r="D18" s="480"/>
      <c r="E18" s="489"/>
      <c r="F18" s="488"/>
      <c r="G18" s="490"/>
      <c r="H18" s="491">
        <v>156</v>
      </c>
      <c r="I18" s="680" t="s">
        <v>55</v>
      </c>
      <c r="J18" s="482" t="s">
        <v>56</v>
      </c>
      <c r="K18" s="491" t="s">
        <v>100</v>
      </c>
      <c r="L18" s="489"/>
      <c r="M18" s="491" t="s">
        <v>87</v>
      </c>
      <c r="N18" s="559"/>
      <c r="O18" s="491" t="s">
        <v>87</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9">
        <v>45987</v>
      </c>
      <c r="D19" s="480"/>
      <c r="E19" s="489"/>
      <c r="F19" s="488"/>
      <c r="G19" s="490"/>
      <c r="H19" s="491">
        <v>380</v>
      </c>
      <c r="I19" s="680" t="s">
        <v>55</v>
      </c>
      <c r="J19" s="482" t="s">
        <v>56</v>
      </c>
      <c r="K19" s="502"/>
      <c r="L19" s="489">
        <v>45964</v>
      </c>
      <c r="M19" s="491" t="s">
        <v>57</v>
      </c>
      <c r="N19" s="559">
        <v>117414</v>
      </c>
      <c r="O19" s="491" t="s">
        <v>57</v>
      </c>
      <c r="P19" s="803" t="s">
        <v>58</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1206">
        <v>45991</v>
      </c>
      <c r="D24" s="480"/>
      <c r="E24" s="489"/>
      <c r="F24" s="478" t="s">
        <v>109</v>
      </c>
      <c r="G24" s="490" t="s">
        <v>110</v>
      </c>
      <c r="H24" s="482">
        <v>67</v>
      </c>
      <c r="I24" s="680" t="s">
        <v>55</v>
      </c>
      <c r="J24" s="482" t="s">
        <v>86</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1206">
        <v>46025</v>
      </c>
      <c r="D25" s="480"/>
      <c r="E25" s="480"/>
      <c r="F25" s="478"/>
      <c r="G25" s="481" t="s">
        <v>114</v>
      </c>
      <c r="H25" s="482">
        <v>65</v>
      </c>
      <c r="I25" s="680" t="s">
        <v>55</v>
      </c>
      <c r="J25" s="482" t="s">
        <v>86</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1206">
        <v>46016</v>
      </c>
      <c r="D26" s="480"/>
      <c r="E26" s="480"/>
      <c r="F26" s="478"/>
      <c r="G26" s="481" t="s">
        <v>117</v>
      </c>
      <c r="H26" s="482">
        <v>79</v>
      </c>
      <c r="I26" s="680" t="s">
        <v>55</v>
      </c>
      <c r="J26" s="482" t="s">
        <v>86</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1206">
        <v>46022</v>
      </c>
      <c r="D27" s="480"/>
      <c r="E27" s="480"/>
      <c r="F27" s="478"/>
      <c r="G27" s="481" t="s">
        <v>120</v>
      </c>
      <c r="H27" s="482">
        <v>87</v>
      </c>
      <c r="I27" s="680" t="s">
        <v>55</v>
      </c>
      <c r="J27" s="482" t="s">
        <v>86</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1206">
        <v>45995</v>
      </c>
      <c r="D28" s="480"/>
      <c r="E28" s="489"/>
      <c r="F28" s="478" t="s">
        <v>109</v>
      </c>
      <c r="G28" s="490" t="s">
        <v>123</v>
      </c>
      <c r="H28" s="482">
        <v>55</v>
      </c>
      <c r="I28" s="680" t="s">
        <v>55</v>
      </c>
      <c r="J28" s="482" t="s">
        <v>86</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1206">
        <v>46016</v>
      </c>
      <c r="D29" s="480"/>
      <c r="E29" s="480"/>
      <c r="F29" s="478"/>
      <c r="G29" s="481" t="s">
        <v>126</v>
      </c>
      <c r="H29" s="482">
        <v>43</v>
      </c>
      <c r="I29" s="680" t="s">
        <v>55</v>
      </c>
      <c r="J29" s="482" t="s">
        <v>86</v>
      </c>
      <c r="K29" s="482" t="s">
        <v>97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1206">
        <v>46010</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1206">
        <v>46010</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1206">
        <v>46010</v>
      </c>
      <c r="D32" s="480" t="s">
        <v>128</v>
      </c>
      <c r="E32" s="480"/>
      <c r="F32" s="478" t="s">
        <v>109</v>
      </c>
      <c r="G32" s="701" t="s">
        <v>134</v>
      </c>
      <c r="H32" s="482">
        <v>28</v>
      </c>
      <c r="I32" s="680" t="s">
        <v>55</v>
      </c>
      <c r="J32" s="482" t="s">
        <v>63</v>
      </c>
      <c r="K32" s="482"/>
      <c r="L32" s="480">
        <v>45972</v>
      </c>
      <c r="M32" s="482" t="s">
        <v>57</v>
      </c>
      <c r="N32" s="558">
        <v>27615.5</v>
      </c>
      <c r="O32" s="482" t="s">
        <v>57</v>
      </c>
      <c r="P32" s="806" t="s">
        <v>58</v>
      </c>
      <c r="Q32" s="125"/>
      <c r="R32" s="1063"/>
      <c r="S32" s="568"/>
      <c r="T32" s="568"/>
      <c r="U32" s="568"/>
      <c r="V32" s="485">
        <v>2027</v>
      </c>
      <c r="W32" s="485"/>
      <c r="X32" s="485">
        <f t="shared" si="3"/>
        <v>2027</v>
      </c>
      <c r="Y32" s="681">
        <f t="shared" si="1"/>
        <v>0</v>
      </c>
      <c r="Z32" s="363"/>
      <c r="AA32" s="366">
        <v>0</v>
      </c>
      <c r="AB32" s="366">
        <v>0</v>
      </c>
      <c r="AC32" s="661">
        <v>0</v>
      </c>
      <c r="AD32" s="487" t="s">
        <v>135</v>
      </c>
      <c r="AE32" s="122"/>
    </row>
    <row r="33" spans="1:31" ht="24.75" customHeight="1">
      <c r="A33" s="903" t="s">
        <v>136</v>
      </c>
      <c r="B33" s="478" t="s">
        <v>108</v>
      </c>
      <c r="C33" s="1206">
        <v>45975</v>
      </c>
      <c r="D33" s="480"/>
      <c r="E33" s="480"/>
      <c r="F33" s="478" t="s">
        <v>137</v>
      </c>
      <c r="G33" s="701" t="s">
        <v>138</v>
      </c>
      <c r="H33" s="482">
        <v>87</v>
      </c>
      <c r="I33" s="680" t="s">
        <v>55</v>
      </c>
      <c r="J33" s="482" t="s">
        <v>86</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1206">
        <v>45975</v>
      </c>
      <c r="D34" s="480"/>
      <c r="E34" s="480"/>
      <c r="F34" s="478" t="s">
        <v>137</v>
      </c>
      <c r="G34" s="701" t="s">
        <v>141</v>
      </c>
      <c r="H34" s="482">
        <v>28</v>
      </c>
      <c r="I34" s="680" t="s">
        <v>55</v>
      </c>
      <c r="J34" s="482" t="s">
        <v>86</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1206">
        <v>45975</v>
      </c>
      <c r="D35" s="480"/>
      <c r="E35" s="480"/>
      <c r="F35" s="478" t="s">
        <v>137</v>
      </c>
      <c r="G35" s="701" t="s">
        <v>144</v>
      </c>
      <c r="H35" s="482">
        <v>21</v>
      </c>
      <c r="I35" s="680" t="s">
        <v>55</v>
      </c>
      <c r="J35" s="482" t="s">
        <v>86</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661">
        <v>0</v>
      </c>
      <c r="AD35" s="487" t="s">
        <v>145</v>
      </c>
      <c r="AE35" s="122"/>
    </row>
    <row r="36" spans="1:31" ht="24.75" customHeight="1">
      <c r="A36" s="903" t="s">
        <v>146</v>
      </c>
      <c r="B36" s="478" t="s">
        <v>108</v>
      </c>
      <c r="C36" s="489">
        <v>46011</v>
      </c>
      <c r="D36" s="480"/>
      <c r="E36" s="480"/>
      <c r="F36" s="478"/>
      <c r="G36" s="481" t="s">
        <v>147</v>
      </c>
      <c r="H36" s="482">
        <v>26</v>
      </c>
      <c r="I36" s="680" t="s">
        <v>55</v>
      </c>
      <c r="J36" s="482" t="s">
        <v>86</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661">
        <v>0</v>
      </c>
      <c r="AD36" s="1134" t="s">
        <v>121</v>
      </c>
      <c r="AE36" s="122"/>
    </row>
    <row r="37" spans="1:31" ht="24.75" customHeight="1">
      <c r="A37" s="903" t="s">
        <v>148</v>
      </c>
      <c r="B37" s="478" t="s">
        <v>108</v>
      </c>
      <c r="C37" s="1206">
        <v>46001</v>
      </c>
      <c r="D37" s="480"/>
      <c r="E37" s="480"/>
      <c r="F37" s="478" t="s">
        <v>149</v>
      </c>
      <c r="G37" s="701" t="s">
        <v>150</v>
      </c>
      <c r="H37" s="482">
        <v>85</v>
      </c>
      <c r="I37" s="680" t="s">
        <v>55</v>
      </c>
      <c r="J37" s="482" t="s">
        <v>86</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808">
        <v>0</v>
      </c>
      <c r="AD37" s="487" t="s">
        <v>151</v>
      </c>
      <c r="AE37" s="122"/>
    </row>
    <row r="38" spans="1:31" ht="24.75" customHeight="1">
      <c r="A38" s="903" t="s">
        <v>152</v>
      </c>
      <c r="B38" s="478" t="s">
        <v>108</v>
      </c>
      <c r="C38" s="1206">
        <v>46001</v>
      </c>
      <c r="D38" s="480"/>
      <c r="E38" s="480"/>
      <c r="F38" s="478" t="s">
        <v>149</v>
      </c>
      <c r="G38" s="701" t="s">
        <v>153</v>
      </c>
      <c r="H38" s="482">
        <v>87</v>
      </c>
      <c r="I38" s="680" t="s">
        <v>55</v>
      </c>
      <c r="J38" s="482" t="s">
        <v>86</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1206">
        <v>46001</v>
      </c>
      <c r="D39" s="480"/>
      <c r="E39" s="480"/>
      <c r="F39" s="478" t="s">
        <v>149</v>
      </c>
      <c r="G39" s="701" t="s">
        <v>155</v>
      </c>
      <c r="H39" s="482">
        <v>88</v>
      </c>
      <c r="I39" s="680" t="s">
        <v>55</v>
      </c>
      <c r="J39" s="482" t="s">
        <v>86</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1206">
        <v>46001</v>
      </c>
      <c r="D40" s="480"/>
      <c r="E40" s="480"/>
      <c r="F40" s="478" t="s">
        <v>149</v>
      </c>
      <c r="G40" s="701" t="s">
        <v>158</v>
      </c>
      <c r="H40" s="482">
        <v>58</v>
      </c>
      <c r="I40" s="680" t="s">
        <v>55</v>
      </c>
      <c r="J40" s="482" t="s">
        <v>86</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1206">
        <v>46001</v>
      </c>
      <c r="D41" s="480"/>
      <c r="E41" s="480"/>
      <c r="F41" s="478" t="s">
        <v>149</v>
      </c>
      <c r="G41" s="701" t="s">
        <v>160</v>
      </c>
      <c r="H41" s="482">
        <v>69</v>
      </c>
      <c r="I41" s="680" t="s">
        <v>55</v>
      </c>
      <c r="J41" s="482" t="s">
        <v>86</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86</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86</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86</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1206">
        <v>46003</v>
      </c>
      <c r="D45" s="480"/>
      <c r="E45" s="480"/>
      <c r="F45" s="478"/>
      <c r="G45" s="481" t="s">
        <v>173</v>
      </c>
      <c r="H45" s="482">
        <v>11</v>
      </c>
      <c r="I45" s="680" t="s">
        <v>55</v>
      </c>
      <c r="J45" s="482" t="s">
        <v>86</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1206">
        <v>45975</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1206">
        <v>46006</v>
      </c>
      <c r="D47" s="480"/>
      <c r="E47" s="480"/>
      <c r="F47" s="658" t="s">
        <v>137</v>
      </c>
      <c r="G47" s="701" t="s">
        <v>180</v>
      </c>
      <c r="H47" s="482">
        <v>0</v>
      </c>
      <c r="I47" s="680" t="s">
        <v>55</v>
      </c>
      <c r="J47" s="482" t="s">
        <v>86</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1206">
        <v>45960</v>
      </c>
      <c r="D48" s="480"/>
      <c r="E48" s="480"/>
      <c r="F48" s="658" t="s">
        <v>137</v>
      </c>
      <c r="G48" s="701" t="s">
        <v>182</v>
      </c>
      <c r="H48" s="482">
        <v>0</v>
      </c>
      <c r="I48" s="680" t="s">
        <v>55</v>
      </c>
      <c r="J48" s="482" t="s">
        <v>86</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1206">
        <v>45933</v>
      </c>
      <c r="D49" s="480"/>
      <c r="E49" s="480"/>
      <c r="F49" s="658" t="s">
        <v>137</v>
      </c>
      <c r="G49" s="701" t="s">
        <v>185</v>
      </c>
      <c r="H49" s="482">
        <v>0</v>
      </c>
      <c r="I49" s="482" t="s">
        <v>55</v>
      </c>
      <c r="J49" s="482" t="s">
        <v>86</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1206">
        <v>45991</v>
      </c>
      <c r="D50" s="480"/>
      <c r="E50" s="480"/>
      <c r="F50" s="478" t="s">
        <v>149</v>
      </c>
      <c r="G50" s="481" t="s">
        <v>188</v>
      </c>
      <c r="H50" s="482">
        <v>0</v>
      </c>
      <c r="I50" s="482" t="s">
        <v>55</v>
      </c>
      <c r="J50" s="482" t="s">
        <v>86</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1206">
        <v>46022</v>
      </c>
      <c r="D51" s="480"/>
      <c r="E51" s="480"/>
      <c r="F51" s="478"/>
      <c r="G51" s="481" t="s">
        <v>190</v>
      </c>
      <c r="H51" s="482">
        <v>0</v>
      </c>
      <c r="I51" s="482" t="s">
        <v>55</v>
      </c>
      <c r="J51" s="482" t="s">
        <v>86</v>
      </c>
      <c r="K51" s="482" t="s">
        <v>111</v>
      </c>
      <c r="L51" s="480"/>
      <c r="M51" s="482" t="s">
        <v>57</v>
      </c>
      <c r="N51" s="558">
        <v>23475.5</v>
      </c>
      <c r="O51" s="482" t="s">
        <v>57</v>
      </c>
      <c r="P51" s="806" t="s">
        <v>58</v>
      </c>
      <c r="Q51" s="484"/>
      <c r="R51" s="484"/>
      <c r="S51" s="484"/>
      <c r="T51" s="484"/>
      <c r="U51" s="1060"/>
      <c r="V51" s="1164">
        <v>1890</v>
      </c>
      <c r="W51" s="1165"/>
      <c r="X51" s="485">
        <f>SUM(V51-W51)</f>
        <v>1890</v>
      </c>
      <c r="Y51" s="681">
        <f t="shared" si="4"/>
        <v>0</v>
      </c>
      <c r="Z51" s="363"/>
      <c r="AA51" s="366">
        <v>0</v>
      </c>
      <c r="AB51" s="366">
        <v>0</v>
      </c>
      <c r="AC51" s="661">
        <v>0</v>
      </c>
      <c r="AD51" s="487" t="s">
        <v>191</v>
      </c>
    </row>
    <row r="52" spans="1:32" ht="24.75" customHeight="1">
      <c r="A52" s="902" t="s">
        <v>192</v>
      </c>
      <c r="B52" s="478" t="s">
        <v>108</v>
      </c>
      <c r="C52" s="1206">
        <v>46022</v>
      </c>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1206">
        <v>46006</v>
      </c>
      <c r="D53" s="480"/>
      <c r="E53" s="480"/>
      <c r="F53" s="478" t="s">
        <v>109</v>
      </c>
      <c r="G53" s="701" t="s">
        <v>197</v>
      </c>
      <c r="H53" s="482">
        <v>0</v>
      </c>
      <c r="I53" s="482" t="s">
        <v>55</v>
      </c>
      <c r="J53" s="482" t="s">
        <v>86</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1206">
        <v>45906</v>
      </c>
      <c r="D54" s="480"/>
      <c r="E54" s="480">
        <v>45866</v>
      </c>
      <c r="F54" s="478" t="s">
        <v>109</v>
      </c>
      <c r="G54" s="701" t="s">
        <v>200</v>
      </c>
      <c r="H54" s="482">
        <v>0</v>
      </c>
      <c r="I54" s="680" t="s">
        <v>55</v>
      </c>
      <c r="J54" s="482" t="s">
        <v>86</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1206">
        <v>45937</v>
      </c>
      <c r="D55" s="480"/>
      <c r="E55" s="480"/>
      <c r="F55" s="478" t="s">
        <v>109</v>
      </c>
      <c r="G55" s="701" t="s">
        <v>203</v>
      </c>
      <c r="H55" s="482">
        <v>0</v>
      </c>
      <c r="I55" s="680" t="s">
        <v>55</v>
      </c>
      <c r="J55" s="482" t="s">
        <v>86</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1206">
        <v>46010</v>
      </c>
      <c r="D56" s="480"/>
      <c r="E56" s="480"/>
      <c r="F56" s="478" t="s">
        <v>109</v>
      </c>
      <c r="G56" s="701" t="s">
        <v>206</v>
      </c>
      <c r="H56" s="482">
        <v>0</v>
      </c>
      <c r="I56" s="680" t="s">
        <v>55</v>
      </c>
      <c r="J56" s="482" t="s">
        <v>86</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1206">
        <v>46003</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1206">
        <v>46031</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46030</v>
      </c>
      <c r="D59" s="480"/>
      <c r="E59" s="480"/>
      <c r="F59" s="478"/>
      <c r="G59" s="481" t="s">
        <v>216</v>
      </c>
      <c r="H59" s="482">
        <v>0</v>
      </c>
      <c r="I59" s="680" t="s">
        <v>55</v>
      </c>
      <c r="J59" s="482" t="s">
        <v>86</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1206">
        <v>45975</v>
      </c>
      <c r="D60" s="480"/>
      <c r="E60" s="480"/>
      <c r="F60" s="478"/>
      <c r="G60" s="481" t="s">
        <v>219</v>
      </c>
      <c r="H60" s="482">
        <v>0</v>
      </c>
      <c r="I60" s="482" t="s">
        <v>55</v>
      </c>
      <c r="J60" s="482" t="s">
        <v>86</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1206">
        <v>46001</v>
      </c>
      <c r="D61" s="480"/>
      <c r="E61" s="480"/>
      <c r="F61" s="478"/>
      <c r="G61" s="481"/>
      <c r="H61" s="482">
        <v>0</v>
      </c>
      <c r="I61" s="482" t="s">
        <v>55</v>
      </c>
      <c r="J61" s="482" t="s">
        <v>86</v>
      </c>
      <c r="K61" s="482" t="s">
        <v>100</v>
      </c>
      <c r="L61" s="480"/>
      <c r="M61" s="482" t="s">
        <v>87</v>
      </c>
      <c r="N61" s="558"/>
      <c r="O61" s="482" t="s">
        <v>87</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1206">
        <v>46015</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1206">
        <v>46040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1696</v>
      </c>
      <c r="X63" s="485">
        <f>SUM(V63-W63)</f>
        <v>6369</v>
      </c>
      <c r="Y63" s="891">
        <f t="shared" si="4"/>
        <v>0.21029138251704899</v>
      </c>
      <c r="Z63" s="492">
        <v>45985</v>
      </c>
      <c r="AA63" s="366">
        <v>0</v>
      </c>
      <c r="AB63" s="366">
        <v>0</v>
      </c>
      <c r="AC63" s="485">
        <v>0</v>
      </c>
      <c r="AD63" s="487" t="s">
        <v>230</v>
      </c>
      <c r="AE63" s="172"/>
      <c r="AF63" s="400"/>
    </row>
    <row r="64" spans="1:32" ht="24.75" customHeight="1">
      <c r="A64" s="902" t="s">
        <v>231</v>
      </c>
      <c r="B64" s="478" t="s">
        <v>108</v>
      </c>
      <c r="C64" s="1206">
        <v>46050</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485">
        <v>13786</v>
      </c>
      <c r="X64" s="485">
        <f t="shared" si="3"/>
        <v>2504</v>
      </c>
      <c r="Y64" s="681">
        <f t="shared" ref="Y64:Y107" si="5">IFERROR($W64/$V64, 0)</f>
        <v>0.84628606507059545</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9">
        <v>45991</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1206">
        <v>46021</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1206">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1206">
        <v>45999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1206">
        <v>45999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1206">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1206">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1206">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1206">
        <v>46204</v>
      </c>
      <c r="D76" s="489"/>
      <c r="E76" s="489"/>
      <c r="F76" s="488"/>
      <c r="G76" s="980"/>
      <c r="H76" s="491">
        <v>52</v>
      </c>
      <c r="I76" s="854" t="s">
        <v>55</v>
      </c>
      <c r="J76" s="858" t="s">
        <v>63</v>
      </c>
      <c r="K76" s="482" t="s">
        <v>97</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97</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97</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97</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97</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97</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97</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1206">
        <v>45997</v>
      </c>
      <c r="D83" s="489"/>
      <c r="E83" s="489"/>
      <c r="F83" s="488"/>
      <c r="G83" s="980"/>
      <c r="H83" s="491">
        <v>20</v>
      </c>
      <c r="I83" s="854" t="s">
        <v>55</v>
      </c>
      <c r="J83" s="858" t="s">
        <v>63</v>
      </c>
      <c r="K83" s="482" t="s">
        <v>97</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1206">
        <v>46108</v>
      </c>
      <c r="D84" s="489"/>
      <c r="E84" s="489"/>
      <c r="F84" s="488"/>
      <c r="G84" s="853" t="s">
        <v>282</v>
      </c>
      <c r="H84" s="491">
        <v>0</v>
      </c>
      <c r="I84" s="482" t="s">
        <v>55</v>
      </c>
      <c r="J84" s="482" t="s">
        <v>86</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1206">
        <v>46108</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1206">
        <v>46010</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1206">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1206">
        <v>45992</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1206">
        <v>45992</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1206">
        <v>45991</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5">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1206">
        <v>46006</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1206">
        <v>46171</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1206">
        <v>46108</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97</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c r="E101" s="489"/>
      <c r="F101" s="488"/>
      <c r="G101" s="490" t="s">
        <v>325</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326</v>
      </c>
      <c r="AE101" s="101"/>
    </row>
    <row r="102" spans="1:31" ht="24.75" customHeight="1">
      <c r="A102" s="902" t="s">
        <v>327</v>
      </c>
      <c r="B102" s="506" t="s">
        <v>313</v>
      </c>
      <c r="C102" s="480">
        <v>46006</v>
      </c>
      <c r="D102" s="488"/>
      <c r="E102" s="489"/>
      <c r="F102" s="488"/>
      <c r="G102" s="490" t="s">
        <v>328</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326</v>
      </c>
      <c r="AE102" s="101"/>
    </row>
    <row r="103" spans="1:31" ht="24.75" customHeight="1">
      <c r="A103" s="902" t="s">
        <v>329</v>
      </c>
      <c r="B103" s="506" t="s">
        <v>313</v>
      </c>
      <c r="C103" s="480">
        <v>46006</v>
      </c>
      <c r="D103" s="488"/>
      <c r="E103" s="489"/>
      <c r="F103" s="488"/>
      <c r="G103" s="490" t="s">
        <v>330</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331</v>
      </c>
      <c r="B104" s="506" t="s">
        <v>313</v>
      </c>
      <c r="C104" s="480">
        <v>46053</v>
      </c>
      <c r="D104" s="488"/>
      <c r="E104" s="489"/>
      <c r="F104" s="488"/>
      <c r="G104" s="490"/>
      <c r="H104" s="491">
        <v>86</v>
      </c>
      <c r="I104" s="854" t="s">
        <v>55</v>
      </c>
      <c r="J104" s="858" t="s">
        <v>63</v>
      </c>
      <c r="K104" s="482" t="s">
        <v>97</v>
      </c>
      <c r="L104" s="489"/>
      <c r="M104" s="491" t="s">
        <v>87</v>
      </c>
      <c r="N104" s="559"/>
      <c r="O104" s="491" t="s">
        <v>87</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332</v>
      </c>
      <c r="B105" s="506" t="s">
        <v>313</v>
      </c>
      <c r="C105" s="480">
        <v>46006</v>
      </c>
      <c r="D105" s="488" t="s">
        <v>258</v>
      </c>
      <c r="E105" s="489">
        <v>45980</v>
      </c>
      <c r="F105" s="488" t="s">
        <v>249</v>
      </c>
      <c r="G105" s="490" t="s">
        <v>333</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334</v>
      </c>
      <c r="B106" s="506" t="s">
        <v>313</v>
      </c>
      <c r="C106" s="480">
        <v>46006</v>
      </c>
      <c r="D106" s="488"/>
      <c r="E106" s="489"/>
      <c r="F106" s="488"/>
      <c r="G106" s="490" t="s">
        <v>335</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336</v>
      </c>
      <c r="B107" s="1039" t="s">
        <v>313</v>
      </c>
      <c r="C107" s="480">
        <v>46171</v>
      </c>
      <c r="D107" s="949"/>
      <c r="E107" s="1040"/>
      <c r="F107" s="949"/>
      <c r="G107" s="1041" t="s">
        <v>337</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338</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339</v>
      </c>
      <c r="B111" s="463" t="s">
        <v>340</v>
      </c>
      <c r="C111" s="386">
        <v>45989</v>
      </c>
      <c r="D111" s="1024" t="s">
        <v>162</v>
      </c>
      <c r="E111" s="386">
        <v>45959</v>
      </c>
      <c r="F111" s="385" t="s">
        <v>341</v>
      </c>
      <c r="G111" s="653" t="s">
        <v>342</v>
      </c>
      <c r="H111" s="1135">
        <v>89</v>
      </c>
      <c r="I111" s="1028" t="s">
        <v>55</v>
      </c>
      <c r="J111" s="1029" t="s">
        <v>63</v>
      </c>
      <c r="K111" s="1068"/>
      <c r="L111" s="386">
        <v>45964</v>
      </c>
      <c r="M111" s="1029" t="s">
        <v>57</v>
      </c>
      <c r="N111" s="1136">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343</v>
      </c>
      <c r="AE111" s="400"/>
    </row>
    <row r="112" spans="1:31" ht="24.75" customHeight="1">
      <c r="A112" s="1067" t="s">
        <v>344</v>
      </c>
      <c r="B112" s="463" t="s">
        <v>340</v>
      </c>
      <c r="C112" s="386">
        <v>45989</v>
      </c>
      <c r="D112" s="1024" t="s">
        <v>162</v>
      </c>
      <c r="E112" s="386">
        <v>45959</v>
      </c>
      <c r="F112" s="385" t="s">
        <v>341</v>
      </c>
      <c r="G112" s="653" t="s">
        <v>345</v>
      </c>
      <c r="H112" s="1135">
        <v>83</v>
      </c>
      <c r="I112" s="1028" t="s">
        <v>55</v>
      </c>
      <c r="J112" s="1029" t="s">
        <v>63</v>
      </c>
      <c r="K112" s="1068"/>
      <c r="L112" s="386"/>
      <c r="M112" s="1029" t="s">
        <v>57</v>
      </c>
      <c r="N112" s="1136">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346</v>
      </c>
      <c r="AE112" s="400"/>
    </row>
    <row r="113" spans="1:31" ht="24.75" customHeight="1">
      <c r="A113" s="1067" t="s">
        <v>347</v>
      </c>
      <c r="B113" s="463" t="s">
        <v>340</v>
      </c>
      <c r="C113" s="386">
        <v>46010</v>
      </c>
      <c r="D113" s="1024" t="s">
        <v>162</v>
      </c>
      <c r="E113" s="386">
        <v>45993</v>
      </c>
      <c r="F113" s="385" t="s">
        <v>137</v>
      </c>
      <c r="G113" s="653" t="s">
        <v>348</v>
      </c>
      <c r="H113" s="1135">
        <v>89</v>
      </c>
      <c r="I113" s="1028" t="s">
        <v>55</v>
      </c>
      <c r="J113" s="1029" t="s">
        <v>63</v>
      </c>
      <c r="K113" s="1068"/>
      <c r="L113" s="386">
        <v>45993</v>
      </c>
      <c r="M113" s="1029" t="s">
        <v>57</v>
      </c>
      <c r="N113" s="1136">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349</v>
      </c>
      <c r="AE113" s="400"/>
    </row>
    <row r="114" spans="1:31" ht="24.75" customHeight="1">
      <c r="A114" s="1067" t="s">
        <v>350</v>
      </c>
      <c r="B114" s="463" t="s">
        <v>340</v>
      </c>
      <c r="C114" s="386">
        <v>46010</v>
      </c>
      <c r="D114" s="1024" t="s">
        <v>162</v>
      </c>
      <c r="E114" s="386">
        <v>45959</v>
      </c>
      <c r="F114" s="385" t="s">
        <v>137</v>
      </c>
      <c r="G114" s="653" t="s">
        <v>351</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4">
        <v>6752</v>
      </c>
      <c r="W114" s="107">
        <v>4307</v>
      </c>
      <c r="X114" s="485">
        <f t="shared" ref="X114:X130" si="9">SUM(V114-W114)</f>
        <v>2445</v>
      </c>
      <c r="Y114" s="900">
        <f t="shared" ref="Y114:Y130" si="10">IFERROR($W114/$V114, 0)</f>
        <v>0.63788507109004744</v>
      </c>
      <c r="Z114" s="125">
        <v>45992</v>
      </c>
      <c r="AA114" s="617">
        <v>0</v>
      </c>
      <c r="AB114" s="617">
        <v>0</v>
      </c>
      <c r="AC114" s="1030">
        <v>0</v>
      </c>
      <c r="AD114" s="1205" t="s">
        <v>352</v>
      </c>
      <c r="AE114" s="400"/>
    </row>
    <row r="115" spans="1:31" ht="24.75" customHeight="1">
      <c r="A115" s="1067" t="s">
        <v>353</v>
      </c>
      <c r="B115" s="463" t="s">
        <v>340</v>
      </c>
      <c r="C115" s="386">
        <v>45989</v>
      </c>
      <c r="D115" s="1024" t="s">
        <v>162</v>
      </c>
      <c r="E115" s="386">
        <v>45959</v>
      </c>
      <c r="F115" s="385" t="s">
        <v>137</v>
      </c>
      <c r="G115" s="653" t="s">
        <v>354</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355</v>
      </c>
      <c r="AE115" s="400"/>
    </row>
    <row r="116" spans="1:31" ht="24.75" customHeight="1">
      <c r="A116" s="1046" t="s">
        <v>356</v>
      </c>
      <c r="B116" s="463" t="s">
        <v>340</v>
      </c>
      <c r="C116" s="386">
        <v>45989</v>
      </c>
      <c r="D116" s="1024" t="s">
        <v>162</v>
      </c>
      <c r="E116" s="386">
        <v>45959</v>
      </c>
      <c r="F116" s="385" t="s">
        <v>137</v>
      </c>
      <c r="G116" s="653" t="s">
        <v>357</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358</v>
      </c>
      <c r="AE116" s="400"/>
    </row>
    <row r="117" spans="1:31" ht="24.75" customHeight="1">
      <c r="A117" s="1046" t="s">
        <v>359</v>
      </c>
      <c r="B117" s="463" t="s">
        <v>340</v>
      </c>
      <c r="C117" s="386">
        <v>45989</v>
      </c>
      <c r="D117" s="1024" t="s">
        <v>162</v>
      </c>
      <c r="E117" s="386">
        <v>45959</v>
      </c>
      <c r="F117" s="385" t="s">
        <v>137</v>
      </c>
      <c r="G117" s="653" t="s">
        <v>360</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361</v>
      </c>
      <c r="AE117" s="400"/>
    </row>
    <row r="118" spans="1:31" ht="24.75" customHeight="1">
      <c r="A118" s="1046" t="s">
        <v>362</v>
      </c>
      <c r="B118" s="463" t="s">
        <v>340</v>
      </c>
      <c r="C118" s="386">
        <v>45989</v>
      </c>
      <c r="D118" s="1024" t="s">
        <v>162</v>
      </c>
      <c r="E118" s="386">
        <v>45959</v>
      </c>
      <c r="F118" s="385" t="s">
        <v>137</v>
      </c>
      <c r="G118" s="653" t="s">
        <v>363</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364</v>
      </c>
      <c r="AE118" s="400"/>
    </row>
    <row r="119" spans="1:31" ht="24.75" customHeight="1">
      <c r="A119" s="1046" t="s">
        <v>365</v>
      </c>
      <c r="B119" s="463" t="s">
        <v>340</v>
      </c>
      <c r="C119" s="386">
        <v>46021</v>
      </c>
      <c r="D119" s="1024" t="s">
        <v>162</v>
      </c>
      <c r="E119" s="386">
        <v>45959</v>
      </c>
      <c r="F119" s="385" t="s">
        <v>137</v>
      </c>
      <c r="G119" s="653" t="s">
        <v>366</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367</v>
      </c>
      <c r="AE119" s="400"/>
    </row>
    <row r="120" spans="1:31" ht="24.75" customHeight="1">
      <c r="A120" s="1046" t="s">
        <v>368</v>
      </c>
      <c r="B120" s="463" t="s">
        <v>340</v>
      </c>
      <c r="C120" s="386">
        <v>46021</v>
      </c>
      <c r="D120" s="1024" t="s">
        <v>162</v>
      </c>
      <c r="E120" s="386">
        <v>45959</v>
      </c>
      <c r="F120" s="385" t="s">
        <v>137</v>
      </c>
      <c r="G120" s="653" t="s">
        <v>369</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367</v>
      </c>
      <c r="AE120" s="400"/>
    </row>
    <row r="121" spans="1:31" ht="24.75" customHeight="1">
      <c r="A121" s="1046" t="s">
        <v>370</v>
      </c>
      <c r="B121" s="463" t="s">
        <v>340</v>
      </c>
      <c r="C121" s="386">
        <v>46021</v>
      </c>
      <c r="D121" s="1024" t="s">
        <v>162</v>
      </c>
      <c r="E121" s="386">
        <v>45959</v>
      </c>
      <c r="F121" s="385" t="s">
        <v>137</v>
      </c>
      <c r="G121" s="653" t="s">
        <v>371</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372</v>
      </c>
      <c r="AE121" s="400"/>
    </row>
    <row r="122" spans="1:31" ht="24.75" customHeight="1">
      <c r="A122" s="1046" t="s">
        <v>373</v>
      </c>
      <c r="B122" s="463" t="s">
        <v>340</v>
      </c>
      <c r="C122" s="386">
        <v>46021</v>
      </c>
      <c r="D122" s="1024" t="s">
        <v>162</v>
      </c>
      <c r="E122" s="386">
        <v>45959</v>
      </c>
      <c r="F122" s="385" t="s">
        <v>137</v>
      </c>
      <c r="G122" s="653" t="s">
        <v>374</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367</v>
      </c>
      <c r="AE122" s="400"/>
    </row>
    <row r="123" spans="1:31" ht="24.75" customHeight="1">
      <c r="A123" s="1046" t="s">
        <v>375</v>
      </c>
      <c r="B123" s="463" t="s">
        <v>340</v>
      </c>
      <c r="C123" s="386">
        <v>45989</v>
      </c>
      <c r="D123" s="1024" t="s">
        <v>162</v>
      </c>
      <c r="E123" s="386">
        <v>45959</v>
      </c>
      <c r="F123" s="385" t="s">
        <v>137</v>
      </c>
      <c r="G123" s="653" t="s">
        <v>376</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377</v>
      </c>
      <c r="AE123" s="400"/>
    </row>
    <row r="124" spans="1:31" ht="24.75" customHeight="1">
      <c r="A124" s="1046" t="s">
        <v>378</v>
      </c>
      <c r="B124" s="463" t="s">
        <v>340</v>
      </c>
      <c r="C124" s="386">
        <v>46021</v>
      </c>
      <c r="D124" s="1024" t="s">
        <v>162</v>
      </c>
      <c r="E124" s="386">
        <v>45987</v>
      </c>
      <c r="F124" s="385" t="s">
        <v>137</v>
      </c>
      <c r="G124" s="653" t="s">
        <v>379</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380</v>
      </c>
      <c r="AE124" s="400"/>
    </row>
    <row r="125" spans="1:31" ht="24.75" customHeight="1">
      <c r="A125" s="1046" t="s">
        <v>381</v>
      </c>
      <c r="B125" s="463" t="s">
        <v>340</v>
      </c>
      <c r="C125" s="386">
        <v>46021</v>
      </c>
      <c r="D125" s="1024" t="s">
        <v>162</v>
      </c>
      <c r="E125" s="386">
        <v>45987</v>
      </c>
      <c r="F125" s="385" t="s">
        <v>137</v>
      </c>
      <c r="G125" s="653" t="s">
        <v>382</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380</v>
      </c>
      <c r="AE125" s="400"/>
    </row>
    <row r="126" spans="1:31" ht="24.75" customHeight="1">
      <c r="A126" s="1046" t="s">
        <v>383</v>
      </c>
      <c r="B126" s="463" t="s">
        <v>340</v>
      </c>
      <c r="C126" s="386">
        <v>46021</v>
      </c>
      <c r="D126" s="1024" t="s">
        <v>162</v>
      </c>
      <c r="E126" s="386">
        <v>45987</v>
      </c>
      <c r="F126" s="385" t="s">
        <v>137</v>
      </c>
      <c r="G126" s="653" t="s">
        <v>384</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380</v>
      </c>
      <c r="AE126" s="400"/>
    </row>
    <row r="127" spans="1:31" ht="24.75" customHeight="1">
      <c r="A127" s="1046" t="s">
        <v>385</v>
      </c>
      <c r="B127" s="463" t="s">
        <v>340</v>
      </c>
      <c r="C127" s="386">
        <v>46021</v>
      </c>
      <c r="D127" s="1024" t="s">
        <v>162</v>
      </c>
      <c r="E127" s="386">
        <v>45987</v>
      </c>
      <c r="F127" s="385" t="s">
        <v>137</v>
      </c>
      <c r="G127" s="653" t="s">
        <v>386</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380</v>
      </c>
      <c r="AE127" s="400"/>
    </row>
    <row r="128" spans="1:31" ht="24.75" customHeight="1">
      <c r="A128" s="1046" t="s">
        <v>387</v>
      </c>
      <c r="B128" s="463" t="s">
        <v>340</v>
      </c>
      <c r="C128" s="386">
        <v>46021</v>
      </c>
      <c r="D128" s="1024" t="s">
        <v>162</v>
      </c>
      <c r="E128" s="386">
        <v>45987</v>
      </c>
      <c r="F128" s="385" t="s">
        <v>137</v>
      </c>
      <c r="G128" s="653" t="s">
        <v>388</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380</v>
      </c>
      <c r="AE128" s="400"/>
    </row>
    <row r="129" spans="1:31" ht="24.75" customHeight="1">
      <c r="A129" s="1047" t="s">
        <v>389</v>
      </c>
      <c r="B129" s="463" t="s">
        <v>340</v>
      </c>
      <c r="C129" s="386">
        <v>45989</v>
      </c>
      <c r="D129" s="1024" t="s">
        <v>162</v>
      </c>
      <c r="E129" s="386">
        <v>45959</v>
      </c>
      <c r="F129" s="385" t="s">
        <v>137</v>
      </c>
      <c r="G129" s="653" t="s">
        <v>390</v>
      </c>
      <c r="H129" s="387">
        <v>0</v>
      </c>
      <c r="I129" s="1028" t="s">
        <v>55</v>
      </c>
      <c r="J129" s="1029" t="s">
        <v>63</v>
      </c>
      <c r="K129" s="666"/>
      <c r="L129" s="51">
        <v>45961</v>
      </c>
      <c r="M129" s="1029" t="s">
        <v>57</v>
      </c>
      <c r="N129" s="865">
        <v>64985.65</v>
      </c>
      <c r="O129" s="52" t="s">
        <v>57</v>
      </c>
      <c r="P129" s="1182" t="s">
        <v>64</v>
      </c>
      <c r="Q129" s="54">
        <v>45964</v>
      </c>
      <c r="R129" s="669"/>
      <c r="S129" s="669"/>
      <c r="T129" s="669"/>
      <c r="U129" s="669"/>
      <c r="V129" s="107">
        <v>10855</v>
      </c>
      <c r="W129" s="1174">
        <v>4131</v>
      </c>
      <c r="X129" s="107">
        <f t="shared" si="11"/>
        <v>6724</v>
      </c>
      <c r="Y129" s="900">
        <f t="shared" si="12"/>
        <v>0.38056195301704282</v>
      </c>
      <c r="Z129" s="125">
        <v>45992</v>
      </c>
      <c r="AA129" s="617">
        <v>0</v>
      </c>
      <c r="AB129" s="617">
        <v>0</v>
      </c>
      <c r="AC129" s="1030">
        <v>0</v>
      </c>
      <c r="AD129" s="449" t="s">
        <v>391</v>
      </c>
      <c r="AE129" s="400"/>
    </row>
    <row r="130" spans="1:31" ht="24.75" customHeight="1">
      <c r="A130" s="1047" t="s">
        <v>392</v>
      </c>
      <c r="B130" s="463" t="s">
        <v>340</v>
      </c>
      <c r="C130" s="386">
        <v>45989</v>
      </c>
      <c r="D130" s="1024" t="s">
        <v>162</v>
      </c>
      <c r="E130" s="386">
        <v>45959</v>
      </c>
      <c r="F130" s="385" t="s">
        <v>137</v>
      </c>
      <c r="G130" s="653" t="s">
        <v>393</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25"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237</v>
      </c>
      <c r="C2" s="480">
        <v>45960</v>
      </c>
      <c r="D2" s="480" t="s">
        <v>397</v>
      </c>
      <c r="E2" s="480">
        <v>45897</v>
      </c>
      <c r="F2" s="478" t="s">
        <v>259</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237</v>
      </c>
      <c r="C3" s="480">
        <v>45960</v>
      </c>
      <c r="D3" s="480" t="s">
        <v>402</v>
      </c>
      <c r="E3" s="480">
        <v>45909</v>
      </c>
      <c r="F3" s="480" t="s">
        <v>238</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50" t="s">
        <v>403</v>
      </c>
    </row>
    <row r="4" spans="1:30" ht="39.75" customHeight="1">
      <c r="A4" s="964" t="s">
        <v>404</v>
      </c>
      <c r="B4" s="857" t="s">
        <v>237</v>
      </c>
      <c r="C4" s="480">
        <v>45960</v>
      </c>
      <c r="D4" s="480" t="s">
        <v>71</v>
      </c>
      <c r="E4" s="480">
        <v>45905</v>
      </c>
      <c r="F4" s="480" t="s">
        <v>238</v>
      </c>
      <c r="G4" s="701"/>
      <c r="H4" s="482">
        <v>0</v>
      </c>
      <c r="I4" s="680" t="s">
        <v>398</v>
      </c>
      <c r="J4" s="482" t="s">
        <v>63</v>
      </c>
      <c r="K4" s="491"/>
      <c r="L4" s="386">
        <v>45943</v>
      </c>
      <c r="M4" s="1179"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237</v>
      </c>
      <c r="C5" s="480">
        <v>45999</v>
      </c>
      <c r="D5" s="488" t="s">
        <v>71</v>
      </c>
      <c r="E5" s="489">
        <v>45975</v>
      </c>
      <c r="F5" s="488" t="s">
        <v>238</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237</v>
      </c>
      <c r="C6" s="480">
        <v>45991</v>
      </c>
      <c r="D6" s="489" t="s">
        <v>248</v>
      </c>
      <c r="E6" s="489">
        <v>45950</v>
      </c>
      <c r="F6" s="488" t="s">
        <v>249</v>
      </c>
      <c r="G6" s="853"/>
      <c r="H6" s="858">
        <v>82</v>
      </c>
      <c r="I6" s="854" t="s">
        <v>398</v>
      </c>
      <c r="J6" s="858" t="s">
        <v>63</v>
      </c>
      <c r="K6" s="502"/>
      <c r="L6" s="51">
        <v>45902</v>
      </c>
      <c r="M6" s="1180"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1" t="s">
        <v>411</v>
      </c>
    </row>
    <row r="7" spans="1:30" ht="39.75" customHeight="1">
      <c r="A7" s="964" t="s">
        <v>412</v>
      </c>
      <c r="B7" s="857" t="s">
        <v>237</v>
      </c>
      <c r="C7" s="480">
        <v>45989</v>
      </c>
      <c r="D7" s="489" t="s">
        <v>248</v>
      </c>
      <c r="E7" s="489">
        <v>45964</v>
      </c>
      <c r="F7" s="488" t="s">
        <v>249</v>
      </c>
      <c r="G7" s="853" t="s">
        <v>413</v>
      </c>
      <c r="H7" s="858">
        <v>74</v>
      </c>
      <c r="I7" s="482" t="s">
        <v>398</v>
      </c>
      <c r="J7" s="482" t="s">
        <v>63</v>
      </c>
      <c r="K7" s="482"/>
      <c r="L7" s="51">
        <v>45932</v>
      </c>
      <c r="M7" s="1180"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414</v>
      </c>
      <c r="B8" s="857" t="s">
        <v>237</v>
      </c>
      <c r="C8" s="480">
        <v>45960</v>
      </c>
      <c r="D8" s="489" t="s">
        <v>248</v>
      </c>
      <c r="E8" s="489">
        <v>45930</v>
      </c>
      <c r="F8" s="488" t="s">
        <v>249</v>
      </c>
      <c r="G8" s="853"/>
      <c r="H8" s="858">
        <v>80</v>
      </c>
      <c r="I8" s="854" t="s">
        <v>398</v>
      </c>
      <c r="J8" s="858" t="s">
        <v>63</v>
      </c>
      <c r="K8" s="854"/>
      <c r="L8" s="51">
        <v>45902</v>
      </c>
      <c r="M8" s="1180"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237</v>
      </c>
      <c r="C9" s="480">
        <v>45960</v>
      </c>
      <c r="D9" s="489" t="s">
        <v>258</v>
      </c>
      <c r="E9" s="489">
        <v>45950</v>
      </c>
      <c r="F9" s="488" t="s">
        <v>259</v>
      </c>
      <c r="G9" s="853"/>
      <c r="H9" s="858">
        <v>80</v>
      </c>
      <c r="I9" s="854" t="s">
        <v>398</v>
      </c>
      <c r="J9" s="858" t="s">
        <v>63</v>
      </c>
      <c r="K9" s="854"/>
      <c r="L9" s="1181">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237</v>
      </c>
      <c r="C10" s="480">
        <v>45960</v>
      </c>
      <c r="D10" s="489" t="s">
        <v>258</v>
      </c>
      <c r="E10" s="489">
        <v>45937</v>
      </c>
      <c r="F10" s="488" t="s">
        <v>259</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7">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237</v>
      </c>
      <c r="C11" s="480">
        <v>45991</v>
      </c>
      <c r="D11" s="488" t="s">
        <v>419</v>
      </c>
      <c r="E11" s="489">
        <v>45716</v>
      </c>
      <c r="F11" s="488" t="s">
        <v>249</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237</v>
      </c>
      <c r="C12" s="480">
        <v>45991</v>
      </c>
      <c r="D12" s="488" t="s">
        <v>248</v>
      </c>
      <c r="E12" s="489">
        <v>45880</v>
      </c>
      <c r="F12" s="488" t="s">
        <v>249</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237</v>
      </c>
      <c r="C13" s="480">
        <v>45991</v>
      </c>
      <c r="D13" s="488" t="s">
        <v>248</v>
      </c>
      <c r="E13" s="489">
        <v>45880</v>
      </c>
      <c r="F13" s="488" t="s">
        <v>249</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8">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237</v>
      </c>
      <c r="C14" s="480">
        <v>45960</v>
      </c>
      <c r="D14" s="488" t="s">
        <v>258</v>
      </c>
      <c r="E14" s="489">
        <v>45966</v>
      </c>
      <c r="F14" s="488" t="s">
        <v>259</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427</v>
      </c>
      <c r="B15" s="857" t="s">
        <v>237</v>
      </c>
      <c r="C15" s="480">
        <v>45960</v>
      </c>
      <c r="D15" s="488" t="s">
        <v>258</v>
      </c>
      <c r="E15" s="489">
        <v>45944</v>
      </c>
      <c r="F15" s="488" t="s">
        <v>259</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237</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432</v>
      </c>
      <c r="B17" s="506" t="s">
        <v>313</v>
      </c>
      <c r="C17" s="480">
        <v>46053</v>
      </c>
      <c r="D17" s="488" t="s">
        <v>258</v>
      </c>
      <c r="E17" s="489">
        <v>45964</v>
      </c>
      <c r="F17" s="488" t="s">
        <v>249</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433</v>
      </c>
      <c r="B18" s="506" t="s">
        <v>313</v>
      </c>
      <c r="C18" s="480">
        <v>46053</v>
      </c>
      <c r="D18" s="488" t="s">
        <v>258</v>
      </c>
      <c r="E18" s="489">
        <v>45974</v>
      </c>
      <c r="F18" s="488" t="s">
        <v>249</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435</v>
      </c>
      <c r="B19" s="478" t="s">
        <v>108</v>
      </c>
      <c r="C19" s="480">
        <v>45868</v>
      </c>
      <c r="D19" s="480" t="s">
        <v>71</v>
      </c>
      <c r="E19" s="480">
        <v>45793</v>
      </c>
      <c r="F19" s="503" t="s">
        <v>109</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108</v>
      </c>
      <c r="C20" s="489">
        <v>45976</v>
      </c>
      <c r="D20" s="480" t="s">
        <v>162</v>
      </c>
      <c r="E20" s="480">
        <v>45959</v>
      </c>
      <c r="F20" s="478" t="s">
        <v>149</v>
      </c>
      <c r="G20" s="701"/>
      <c r="H20" s="482">
        <v>61</v>
      </c>
      <c r="I20" s="680" t="s">
        <v>398</v>
      </c>
      <c r="J20" s="482" t="s">
        <v>63</v>
      </c>
      <c r="K20" s="482"/>
      <c r="L20" s="480">
        <v>45962</v>
      </c>
      <c r="M20" s="482" t="s">
        <v>57</v>
      </c>
      <c r="N20" s="558">
        <v>35050</v>
      </c>
      <c r="O20" s="482" t="s">
        <v>57</v>
      </c>
      <c r="P20" s="642" t="s">
        <v>399</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440</v>
      </c>
    </row>
    <row r="21" spans="1:30" ht="39.75" customHeight="1">
      <c r="A21" s="964" t="s">
        <v>441</v>
      </c>
      <c r="B21" s="478" t="s">
        <v>108</v>
      </c>
      <c r="C21" s="489">
        <v>45976</v>
      </c>
      <c r="D21" s="480" t="s">
        <v>162</v>
      </c>
      <c r="E21" s="480">
        <v>45959</v>
      </c>
      <c r="F21" s="478" t="s">
        <v>163</v>
      </c>
      <c r="G21" s="701"/>
      <c r="H21" s="482">
        <v>69</v>
      </c>
      <c r="I21" s="680" t="s">
        <v>398</v>
      </c>
      <c r="J21" s="482" t="s">
        <v>63</v>
      </c>
      <c r="K21" s="482"/>
      <c r="L21" s="480">
        <v>45962</v>
      </c>
      <c r="M21" s="482" t="s">
        <v>57</v>
      </c>
      <c r="N21" s="558">
        <v>37418</v>
      </c>
      <c r="O21" s="482" t="s">
        <v>57</v>
      </c>
      <c r="P21" s="642" t="s">
        <v>399</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442</v>
      </c>
    </row>
    <row r="22" spans="1:30" ht="39.75" customHeight="1">
      <c r="A22" s="964" t="s">
        <v>443</v>
      </c>
      <c r="B22" s="478" t="s">
        <v>108</v>
      </c>
      <c r="C22" s="480">
        <v>45991</v>
      </c>
      <c r="D22" s="480" t="s">
        <v>162</v>
      </c>
      <c r="E22" s="480">
        <v>45966</v>
      </c>
      <c r="F22" s="478" t="s">
        <v>109</v>
      </c>
      <c r="G22" s="481" t="s">
        <v>444</v>
      </c>
      <c r="H22" s="482">
        <v>69</v>
      </c>
      <c r="I22" s="680" t="s">
        <v>398</v>
      </c>
      <c r="J22" s="482" t="s">
        <v>63</v>
      </c>
      <c r="K22" s="482"/>
      <c r="L22" s="480">
        <v>45969</v>
      </c>
      <c r="M22" s="482" t="s">
        <v>57</v>
      </c>
      <c r="N22" s="558">
        <v>75672.100000000006</v>
      </c>
      <c r="O22" s="482" t="s">
        <v>57</v>
      </c>
      <c r="P22" s="642" t="s">
        <v>399</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445</v>
      </c>
    </row>
    <row r="23" spans="1:30" ht="39.75" customHeight="1">
      <c r="A23" s="964" t="s">
        <v>446</v>
      </c>
      <c r="B23" s="478" t="s">
        <v>108</v>
      </c>
      <c r="C23" s="480">
        <v>46001</v>
      </c>
      <c r="D23" s="480" t="s">
        <v>162</v>
      </c>
      <c r="E23" s="480">
        <v>45966</v>
      </c>
      <c r="F23" s="478" t="s">
        <v>109</v>
      </c>
      <c r="G23" s="701" t="s">
        <v>447</v>
      </c>
      <c r="H23" s="482">
        <v>88</v>
      </c>
      <c r="I23" s="680" t="s">
        <v>398</v>
      </c>
      <c r="J23" s="482" t="s">
        <v>63</v>
      </c>
      <c r="K23" s="482"/>
      <c r="L23" s="480">
        <v>45967</v>
      </c>
      <c r="M23" s="482" t="s">
        <v>57</v>
      </c>
      <c r="N23" s="558">
        <v>76565.850000000006</v>
      </c>
      <c r="O23" s="482" t="s">
        <v>57</v>
      </c>
      <c r="P23" s="642" t="s">
        <v>399</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108</v>
      </c>
      <c r="C24" s="480">
        <v>45991</v>
      </c>
      <c r="D24" s="480" t="s">
        <v>162</v>
      </c>
      <c r="E24" s="480">
        <v>45966</v>
      </c>
      <c r="F24" s="478" t="s">
        <v>109</v>
      </c>
      <c r="G24" s="701" t="s">
        <v>450</v>
      </c>
      <c r="H24" s="482">
        <v>83</v>
      </c>
      <c r="I24" s="680" t="s">
        <v>398</v>
      </c>
      <c r="J24" s="482" t="s">
        <v>63</v>
      </c>
      <c r="K24" s="482"/>
      <c r="L24" s="480">
        <v>45969</v>
      </c>
      <c r="M24" s="482" t="s">
        <v>57</v>
      </c>
      <c r="N24" s="558">
        <v>66402</v>
      </c>
      <c r="O24" s="482" t="s">
        <v>57</v>
      </c>
      <c r="P24" s="642" t="s">
        <v>399</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451</v>
      </c>
    </row>
    <row r="25" spans="1:30" ht="39.75" customHeight="1">
      <c r="A25" s="964" t="s">
        <v>452</v>
      </c>
      <c r="B25" s="478" t="s">
        <v>108</v>
      </c>
      <c r="C25" s="480">
        <v>45991</v>
      </c>
      <c r="D25" s="480" t="s">
        <v>162</v>
      </c>
      <c r="E25" s="480">
        <v>45966</v>
      </c>
      <c r="F25" s="478" t="s">
        <v>149</v>
      </c>
      <c r="G25" s="701" t="s">
        <v>453</v>
      </c>
      <c r="H25" s="482">
        <v>75</v>
      </c>
      <c r="I25" s="680" t="s">
        <v>398</v>
      </c>
      <c r="J25" s="482" t="s">
        <v>63</v>
      </c>
      <c r="K25" s="482"/>
      <c r="L25" s="480">
        <v>45967</v>
      </c>
      <c r="M25" s="482" t="s">
        <v>57</v>
      </c>
      <c r="N25" s="558">
        <v>60620</v>
      </c>
      <c r="O25" s="482" t="s">
        <v>57</v>
      </c>
      <c r="P25" s="642" t="s">
        <v>399</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108</v>
      </c>
      <c r="C26" s="480">
        <v>45975</v>
      </c>
      <c r="D26" s="480" t="s">
        <v>167</v>
      </c>
      <c r="E26" s="480">
        <v>45982</v>
      </c>
      <c r="F26" s="658" t="s">
        <v>109</v>
      </c>
      <c r="G26" s="701" t="s">
        <v>456</v>
      </c>
      <c r="H26" s="482">
        <v>0</v>
      </c>
      <c r="I26" s="482" t="s">
        <v>398</v>
      </c>
      <c r="J26" s="482" t="s">
        <v>63</v>
      </c>
      <c r="K26" s="482"/>
      <c r="L26" s="480">
        <v>45968</v>
      </c>
      <c r="M26" s="482" t="s">
        <v>57</v>
      </c>
      <c r="N26" s="558">
        <v>12840.7</v>
      </c>
      <c r="O26" s="482" t="s">
        <v>57</v>
      </c>
      <c r="P26" s="642" t="s">
        <v>399</v>
      </c>
      <c r="Q26" s="125">
        <v>45937</v>
      </c>
      <c r="R26" s="671"/>
      <c r="S26" s="484"/>
      <c r="T26" s="484"/>
      <c r="U26" s="125"/>
      <c r="V26" s="1100">
        <v>911</v>
      </c>
      <c r="W26" s="1169">
        <v>974</v>
      </c>
      <c r="X26" s="662">
        <f>SUM(V26-W26)</f>
        <v>-63</v>
      </c>
      <c r="Y26" s="681">
        <f>IFERROR($W26/$V26, 0)</f>
        <v>1.0691547749725576</v>
      </c>
      <c r="Z26" s="492">
        <v>45985</v>
      </c>
      <c r="AA26" s="366">
        <v>1</v>
      </c>
      <c r="AB26" s="366">
        <v>0</v>
      </c>
      <c r="AC26" s="1003">
        <v>0</v>
      </c>
      <c r="AD26" s="777" t="s">
        <v>457</v>
      </c>
    </row>
    <row r="27" spans="1:30" ht="39.75" customHeight="1">
      <c r="A27" s="964" t="s">
        <v>458</v>
      </c>
      <c r="B27" s="478" t="s">
        <v>108</v>
      </c>
      <c r="C27" s="489">
        <v>45991</v>
      </c>
      <c r="D27" s="480" t="s">
        <v>224</v>
      </c>
      <c r="E27" s="480">
        <v>45953</v>
      </c>
      <c r="F27" s="478" t="s">
        <v>149</v>
      </c>
      <c r="G27" s="701" t="s">
        <v>459</v>
      </c>
      <c r="H27" s="482">
        <v>0</v>
      </c>
      <c r="I27" s="482" t="s">
        <v>398</v>
      </c>
      <c r="J27" s="482" t="s">
        <v>63</v>
      </c>
      <c r="K27" s="482"/>
      <c r="L27" s="480" t="s">
        <v>177</v>
      </c>
      <c r="M27" s="482" t="s">
        <v>57</v>
      </c>
      <c r="N27" s="558">
        <v>51970</v>
      </c>
      <c r="O27" s="482" t="s">
        <v>57</v>
      </c>
      <c r="P27" s="642" t="s">
        <v>399</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460</v>
      </c>
    </row>
    <row r="28" spans="1:30" ht="39.75" customHeight="1">
      <c r="A28" s="964" t="s">
        <v>461</v>
      </c>
      <c r="B28" s="478" t="s">
        <v>108</v>
      </c>
      <c r="C28" s="503">
        <v>45838</v>
      </c>
      <c r="D28" s="503" t="s">
        <v>162</v>
      </c>
      <c r="E28" s="489">
        <v>45786</v>
      </c>
      <c r="F28" s="503" t="s">
        <v>137</v>
      </c>
      <c r="G28" s="975" t="s">
        <v>462</v>
      </c>
      <c r="H28" s="482">
        <v>0</v>
      </c>
      <c r="I28" s="483" t="s">
        <v>398</v>
      </c>
      <c r="J28" s="482" t="s">
        <v>63</v>
      </c>
      <c r="K28" s="482"/>
      <c r="L28" s="480">
        <v>45790</v>
      </c>
      <c r="M28" s="482" t="s">
        <v>57</v>
      </c>
      <c r="N28" s="558">
        <v>63283</v>
      </c>
      <c r="O28" s="482" t="s">
        <v>57</v>
      </c>
      <c r="P28" s="642" t="s">
        <v>399</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108</v>
      </c>
      <c r="C29" s="489">
        <v>45991</v>
      </c>
      <c r="D29" s="478" t="s">
        <v>465</v>
      </c>
      <c r="E29" s="480">
        <v>45936</v>
      </c>
      <c r="F29" s="478" t="s">
        <v>109</v>
      </c>
      <c r="G29" s="701"/>
      <c r="H29" s="482">
        <v>0</v>
      </c>
      <c r="I29" s="482" t="s">
        <v>398</v>
      </c>
      <c r="J29" s="482" t="s">
        <v>63</v>
      </c>
      <c r="K29" s="482"/>
      <c r="L29" s="480" t="s">
        <v>177</v>
      </c>
      <c r="M29" s="482" t="s">
        <v>57</v>
      </c>
      <c r="N29" s="558">
        <v>74164.05</v>
      </c>
      <c r="O29" s="482" t="s">
        <v>57</v>
      </c>
      <c r="P29" s="1130" t="s">
        <v>399</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108</v>
      </c>
      <c r="C30" s="489">
        <v>45960</v>
      </c>
      <c r="D30" s="480" t="s">
        <v>232</v>
      </c>
      <c r="E30" s="480">
        <v>45939</v>
      </c>
      <c r="F30" s="478" t="s">
        <v>137</v>
      </c>
      <c r="G30" s="701"/>
      <c r="H30" s="482">
        <v>385</v>
      </c>
      <c r="I30" s="680" t="s">
        <v>398</v>
      </c>
      <c r="J30" s="482" t="s">
        <v>56</v>
      </c>
      <c r="K30" s="482"/>
      <c r="L30" s="480">
        <v>45937</v>
      </c>
      <c r="M30" s="482" t="s">
        <v>57</v>
      </c>
      <c r="N30" s="558">
        <v>210533.1</v>
      </c>
      <c r="O30" s="482" t="s">
        <v>57</v>
      </c>
      <c r="P30" s="642" t="s">
        <v>399</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108</v>
      </c>
      <c r="C31" s="480">
        <v>46017</v>
      </c>
      <c r="D31" s="480" t="s">
        <v>228</v>
      </c>
      <c r="E31" s="480">
        <v>45936</v>
      </c>
      <c r="F31" s="478" t="s">
        <v>109</v>
      </c>
      <c r="G31" s="481"/>
      <c r="H31" s="482">
        <v>157</v>
      </c>
      <c r="I31" s="680" t="s">
        <v>398</v>
      </c>
      <c r="J31" s="482" t="s">
        <v>56</v>
      </c>
      <c r="K31" s="482"/>
      <c r="L31" s="480">
        <v>45943</v>
      </c>
      <c r="M31" s="482" t="s">
        <v>57</v>
      </c>
      <c r="N31" s="558">
        <v>64059.5</v>
      </c>
      <c r="O31" s="482" t="s">
        <v>57</v>
      </c>
      <c r="P31" s="642" t="s">
        <v>399</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470</v>
      </c>
    </row>
    <row r="32" spans="1:30" ht="39.75" customHeight="1">
      <c r="A32" s="1154" t="s">
        <v>471</v>
      </c>
      <c r="B32" s="1031" t="s">
        <v>340</v>
      </c>
      <c r="C32" s="480">
        <v>46045</v>
      </c>
      <c r="D32" s="658" t="s">
        <v>162</v>
      </c>
      <c r="E32" s="480"/>
      <c r="F32" s="478"/>
      <c r="G32" s="481"/>
      <c r="H32" s="1143">
        <v>77</v>
      </c>
      <c r="I32" s="854" t="s">
        <v>398</v>
      </c>
      <c r="J32" s="491" t="s">
        <v>63</v>
      </c>
      <c r="K32" s="1144"/>
      <c r="L32" s="489" t="s">
        <v>52</v>
      </c>
      <c r="M32" s="491" t="s">
        <v>57</v>
      </c>
      <c r="N32" s="1145">
        <v>4046.5</v>
      </c>
      <c r="O32" s="491" t="s">
        <v>57</v>
      </c>
      <c r="P32" s="642" t="s">
        <v>399</v>
      </c>
      <c r="Q32" s="484" t="s">
        <v>52</v>
      </c>
      <c r="R32" s="568"/>
      <c r="S32" s="568"/>
      <c r="T32" s="568"/>
      <c r="U32" s="568"/>
      <c r="V32" s="1149">
        <v>5136</v>
      </c>
      <c r="W32" s="643">
        <v>5136</v>
      </c>
      <c r="X32" s="1070">
        <f t="shared" si="10"/>
        <v>0</v>
      </c>
      <c r="Y32" s="71">
        <f t="shared" si="11"/>
        <v>1</v>
      </c>
      <c r="Z32" s="671">
        <v>45964</v>
      </c>
      <c r="AA32" s="366">
        <v>1</v>
      </c>
      <c r="AB32" s="366">
        <v>0</v>
      </c>
      <c r="AC32" s="41">
        <v>0</v>
      </c>
      <c r="AD32" s="907" t="s">
        <v>472</v>
      </c>
    </row>
    <row r="33" spans="1:30" ht="39.75" customHeight="1">
      <c r="A33" s="1140" t="s">
        <v>473</v>
      </c>
      <c r="B33" s="1031" t="s">
        <v>340</v>
      </c>
      <c r="C33" s="480">
        <v>46045</v>
      </c>
      <c r="D33" s="658" t="s">
        <v>162</v>
      </c>
      <c r="E33" s="480"/>
      <c r="F33" s="478"/>
      <c r="G33" s="481"/>
      <c r="H33" s="1143">
        <v>85</v>
      </c>
      <c r="I33" s="854" t="s">
        <v>398</v>
      </c>
      <c r="J33" s="491" t="s">
        <v>63</v>
      </c>
      <c r="K33" s="1144"/>
      <c r="L33" s="489" t="s">
        <v>52</v>
      </c>
      <c r="M33" s="491" t="s">
        <v>57</v>
      </c>
      <c r="N33" s="1145">
        <v>29180.45</v>
      </c>
      <c r="O33" s="491" t="s">
        <v>57</v>
      </c>
      <c r="P33" s="642" t="s">
        <v>399</v>
      </c>
      <c r="Q33" s="484" t="s">
        <v>52</v>
      </c>
      <c r="R33" s="568"/>
      <c r="S33" s="568"/>
      <c r="T33" s="568"/>
      <c r="U33" s="568"/>
      <c r="V33" s="1149">
        <v>6249</v>
      </c>
      <c r="W33" s="643">
        <v>6183</v>
      </c>
      <c r="X33" s="1070">
        <f t="shared" si="10"/>
        <v>66</v>
      </c>
      <c r="Y33" s="71">
        <f t="shared" si="11"/>
        <v>0.98943831012962069</v>
      </c>
      <c r="Z33" s="671">
        <v>45964</v>
      </c>
      <c r="AA33" s="366">
        <v>1</v>
      </c>
      <c r="AB33" s="366">
        <v>0</v>
      </c>
      <c r="AC33" s="41">
        <v>0</v>
      </c>
      <c r="AD33" s="1150" t="s">
        <v>474</v>
      </c>
    </row>
    <row r="34" spans="1:30" ht="39.75" customHeight="1">
      <c r="A34" s="1155" t="s">
        <v>475</v>
      </c>
      <c r="B34" s="1031" t="s">
        <v>340</v>
      </c>
      <c r="C34" s="480">
        <v>46045</v>
      </c>
      <c r="D34" s="658" t="s">
        <v>162</v>
      </c>
      <c r="E34" s="480"/>
      <c r="F34" s="478"/>
      <c r="G34" s="481"/>
      <c r="H34" s="1143">
        <v>62</v>
      </c>
      <c r="I34" s="854" t="s">
        <v>398</v>
      </c>
      <c r="J34" s="491" t="s">
        <v>63</v>
      </c>
      <c r="K34" s="1144"/>
      <c r="L34" s="489" t="s">
        <v>52</v>
      </c>
      <c r="M34" s="491" t="s">
        <v>57</v>
      </c>
      <c r="N34" s="1145">
        <v>170</v>
      </c>
      <c r="O34" s="491" t="s">
        <v>57</v>
      </c>
      <c r="P34" s="731" t="s">
        <v>399</v>
      </c>
      <c r="Q34" s="484" t="s">
        <v>52</v>
      </c>
      <c r="R34" s="568"/>
      <c r="S34" s="568"/>
      <c r="T34" s="568"/>
      <c r="U34" s="568"/>
      <c r="V34" s="1159">
        <v>4095</v>
      </c>
      <c r="W34" s="643">
        <v>4088</v>
      </c>
      <c r="X34" s="1070">
        <f t="shared" si="10"/>
        <v>7</v>
      </c>
      <c r="Y34" s="71">
        <f t="shared" si="11"/>
        <v>0.9982905982905983</v>
      </c>
      <c r="Z34" s="671">
        <v>45964</v>
      </c>
      <c r="AA34" s="366">
        <v>1</v>
      </c>
      <c r="AB34" s="366">
        <v>0</v>
      </c>
      <c r="AC34" s="41">
        <v>0</v>
      </c>
      <c r="AD34" s="907" t="s">
        <v>476</v>
      </c>
    </row>
    <row r="35" spans="1:30" ht="39.75" customHeight="1">
      <c r="A35" s="1140" t="s">
        <v>477</v>
      </c>
      <c r="B35" s="1031" t="s">
        <v>340</v>
      </c>
      <c r="C35" s="480">
        <v>46045</v>
      </c>
      <c r="D35" s="658" t="s">
        <v>162</v>
      </c>
      <c r="E35" s="480"/>
      <c r="F35" s="478" t="s">
        <v>341</v>
      </c>
      <c r="G35" s="481"/>
      <c r="H35" s="1143">
        <v>80</v>
      </c>
      <c r="I35" s="854" t="s">
        <v>398</v>
      </c>
      <c r="J35" s="491" t="s">
        <v>63</v>
      </c>
      <c r="K35" s="1144"/>
      <c r="L35" s="489" t="s">
        <v>52</v>
      </c>
      <c r="M35" s="491" t="s">
        <v>57</v>
      </c>
      <c r="N35" s="1145">
        <v>170</v>
      </c>
      <c r="O35" s="491" t="s">
        <v>57</v>
      </c>
      <c r="P35" s="1015" t="s">
        <v>399</v>
      </c>
      <c r="Q35" s="484" t="s">
        <v>52</v>
      </c>
      <c r="R35" s="568"/>
      <c r="S35" s="568"/>
      <c r="T35" s="568"/>
      <c r="U35" s="568"/>
      <c r="V35" s="1149">
        <v>7137</v>
      </c>
      <c r="W35" s="643">
        <v>7141</v>
      </c>
      <c r="X35" s="1070">
        <f t="shared" si="10"/>
        <v>-4</v>
      </c>
      <c r="Y35" s="71">
        <f t="shared" si="11"/>
        <v>1.0005604595768529</v>
      </c>
      <c r="Z35" s="671">
        <v>45964</v>
      </c>
      <c r="AA35" s="366">
        <v>1</v>
      </c>
      <c r="AB35" s="366">
        <v>0</v>
      </c>
      <c r="AC35" s="41">
        <v>0</v>
      </c>
      <c r="AD35" s="1161" t="s">
        <v>478</v>
      </c>
    </row>
    <row r="36" spans="1:30" ht="39.75" customHeight="1">
      <c r="A36" s="1140" t="s">
        <v>479</v>
      </c>
      <c r="B36" s="1031" t="s">
        <v>340</v>
      </c>
      <c r="C36" s="480">
        <v>46045</v>
      </c>
      <c r="D36" s="658" t="s">
        <v>162</v>
      </c>
      <c r="E36" s="480"/>
      <c r="F36" s="478" t="s">
        <v>341</v>
      </c>
      <c r="G36" s="481"/>
      <c r="H36" s="1143">
        <v>89</v>
      </c>
      <c r="I36" s="854" t="s">
        <v>398</v>
      </c>
      <c r="J36" s="491" t="s">
        <v>63</v>
      </c>
      <c r="K36" s="1144"/>
      <c r="L36" s="489" t="s">
        <v>52</v>
      </c>
      <c r="M36" s="491" t="s">
        <v>57</v>
      </c>
      <c r="N36" s="1145">
        <v>26696</v>
      </c>
      <c r="O36" s="491" t="s">
        <v>57</v>
      </c>
      <c r="P36" s="642" t="s">
        <v>399</v>
      </c>
      <c r="Q36" s="484" t="s">
        <v>52</v>
      </c>
      <c r="R36" s="568"/>
      <c r="S36" s="568"/>
      <c r="T36" s="568"/>
      <c r="U36" s="568"/>
      <c r="V36" s="1149">
        <v>8153</v>
      </c>
      <c r="W36" s="643">
        <v>8114</v>
      </c>
      <c r="X36" s="1149">
        <f t="shared" si="10"/>
        <v>39</v>
      </c>
      <c r="Y36" s="514">
        <f t="shared" si="11"/>
        <v>0.99521648472954738</v>
      </c>
      <c r="Z36" s="484">
        <v>45964</v>
      </c>
      <c r="AA36" s="366">
        <v>1</v>
      </c>
      <c r="AB36" s="366">
        <v>0</v>
      </c>
      <c r="AC36" s="41">
        <v>0</v>
      </c>
      <c r="AD36" s="907" t="s">
        <v>480</v>
      </c>
    </row>
    <row r="37" spans="1:30" ht="39.75" customHeight="1">
      <c r="A37" s="1140" t="s">
        <v>481</v>
      </c>
      <c r="B37" s="1031" t="s">
        <v>340</v>
      </c>
      <c r="C37" s="480">
        <v>46045</v>
      </c>
      <c r="D37" s="658" t="s">
        <v>162</v>
      </c>
      <c r="E37" s="480">
        <v>45959</v>
      </c>
      <c r="F37" s="478" t="s">
        <v>341</v>
      </c>
      <c r="G37" s="481" t="s">
        <v>482</v>
      </c>
      <c r="H37" s="1143">
        <v>78</v>
      </c>
      <c r="I37" s="854" t="s">
        <v>398</v>
      </c>
      <c r="J37" s="491" t="s">
        <v>63</v>
      </c>
      <c r="K37" s="1144"/>
      <c r="L37" s="480">
        <v>45964</v>
      </c>
      <c r="M37" s="491" t="s">
        <v>57</v>
      </c>
      <c r="N37" s="1145">
        <v>170</v>
      </c>
      <c r="O37" s="491" t="s">
        <v>57</v>
      </c>
      <c r="P37" s="642" t="s">
        <v>399</v>
      </c>
      <c r="Q37" s="484">
        <v>45964</v>
      </c>
      <c r="R37" s="568"/>
      <c r="S37" s="568"/>
      <c r="T37" s="568"/>
      <c r="U37" s="568"/>
      <c r="V37" s="1149">
        <v>7522</v>
      </c>
      <c r="W37" s="643">
        <v>7522</v>
      </c>
      <c r="X37" s="1149">
        <f t="shared" si="10"/>
        <v>0</v>
      </c>
      <c r="Y37" s="514">
        <f t="shared" si="11"/>
        <v>1</v>
      </c>
      <c r="Z37" s="484">
        <v>45964</v>
      </c>
      <c r="AA37" s="366">
        <v>1</v>
      </c>
      <c r="AB37" s="366">
        <v>1</v>
      </c>
      <c r="AC37" s="41">
        <v>0</v>
      </c>
      <c r="AD37" s="487" t="s">
        <v>483</v>
      </c>
    </row>
    <row r="38" spans="1:30" ht="39.75" customHeight="1">
      <c r="A38" s="1139" t="s">
        <v>484</v>
      </c>
      <c r="B38" s="463" t="s">
        <v>340</v>
      </c>
      <c r="C38" s="386">
        <v>46045</v>
      </c>
      <c r="D38" s="1024" t="s">
        <v>162</v>
      </c>
      <c r="E38" s="386"/>
      <c r="F38" s="385"/>
      <c r="G38" s="653"/>
      <c r="H38" s="1135">
        <v>80</v>
      </c>
      <c r="I38" s="1028" t="s">
        <v>398</v>
      </c>
      <c r="J38" s="1029" t="s">
        <v>63</v>
      </c>
      <c r="K38" s="1068"/>
      <c r="L38" s="489" t="s">
        <v>52</v>
      </c>
      <c r="M38" s="1029" t="s">
        <v>57</v>
      </c>
      <c r="N38" s="1136">
        <v>25891</v>
      </c>
      <c r="O38" s="52" t="s">
        <v>57</v>
      </c>
      <c r="P38" s="1138" t="s">
        <v>399</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9" t="s">
        <v>485</v>
      </c>
      <c r="B39" s="463" t="s">
        <v>340</v>
      </c>
      <c r="C39" s="386">
        <v>46045</v>
      </c>
      <c r="D39" s="1024" t="s">
        <v>162</v>
      </c>
      <c r="E39" s="386"/>
      <c r="F39" s="385"/>
      <c r="G39" s="653"/>
      <c r="H39" s="1135">
        <v>83</v>
      </c>
      <c r="I39" s="1028" t="s">
        <v>398</v>
      </c>
      <c r="J39" s="1029" t="s">
        <v>63</v>
      </c>
      <c r="K39" s="1068"/>
      <c r="L39" s="489" t="s">
        <v>52</v>
      </c>
      <c r="M39" s="1029" t="s">
        <v>57</v>
      </c>
      <c r="N39" s="1136">
        <v>170</v>
      </c>
      <c r="O39" s="52" t="s">
        <v>57</v>
      </c>
      <c r="P39" s="1138" t="s">
        <v>399</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9" t="s">
        <v>487</v>
      </c>
      <c r="B40" s="463" t="s">
        <v>340</v>
      </c>
      <c r="C40" s="386">
        <v>46045</v>
      </c>
      <c r="D40" s="1024" t="s">
        <v>162</v>
      </c>
      <c r="E40" s="386"/>
      <c r="F40" s="385"/>
      <c r="G40" s="653"/>
      <c r="H40" s="1135">
        <v>85</v>
      </c>
      <c r="I40" s="1028" t="s">
        <v>398</v>
      </c>
      <c r="J40" s="1029" t="s">
        <v>63</v>
      </c>
      <c r="K40" s="1068"/>
      <c r="L40" s="489" t="s">
        <v>52</v>
      </c>
      <c r="M40" s="1029" t="s">
        <v>57</v>
      </c>
      <c r="N40" s="1136">
        <v>30788</v>
      </c>
      <c r="O40" s="52" t="s">
        <v>57</v>
      </c>
      <c r="P40" s="1138" t="s">
        <v>399</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9" t="s">
        <v>489</v>
      </c>
      <c r="B41" s="463" t="s">
        <v>340</v>
      </c>
      <c r="C41" s="386">
        <v>46045</v>
      </c>
      <c r="D41" s="1024" t="s">
        <v>162</v>
      </c>
      <c r="E41" s="386"/>
      <c r="F41" s="385"/>
      <c r="G41" s="653"/>
      <c r="H41" s="1135">
        <v>88</v>
      </c>
      <c r="I41" s="1028" t="s">
        <v>398</v>
      </c>
      <c r="J41" s="1029" t="s">
        <v>63</v>
      </c>
      <c r="K41" s="1068"/>
      <c r="L41" s="489" t="s">
        <v>52</v>
      </c>
      <c r="M41" s="1029" t="s">
        <v>57</v>
      </c>
      <c r="N41" s="1136">
        <v>5668</v>
      </c>
      <c r="O41" s="52" t="s">
        <v>57</v>
      </c>
      <c r="P41" s="1138" t="s">
        <v>399</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9" t="s">
        <v>490</v>
      </c>
      <c r="B42" s="463" t="s">
        <v>340</v>
      </c>
      <c r="C42" s="386">
        <v>46045</v>
      </c>
      <c r="D42" s="1024" t="s">
        <v>162</v>
      </c>
      <c r="E42" s="386"/>
      <c r="F42" s="385"/>
      <c r="G42" s="653"/>
      <c r="H42" s="1135">
        <v>30</v>
      </c>
      <c r="I42" s="1028" t="s">
        <v>398</v>
      </c>
      <c r="J42" s="1029" t="s">
        <v>63</v>
      </c>
      <c r="K42" s="1068"/>
      <c r="L42" s="489" t="s">
        <v>52</v>
      </c>
      <c r="M42" s="1029" t="s">
        <v>57</v>
      </c>
      <c r="N42" s="1136">
        <v>170</v>
      </c>
      <c r="O42" s="52" t="s">
        <v>57</v>
      </c>
      <c r="P42" s="1138" t="s">
        <v>399</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9" t="s">
        <v>491</v>
      </c>
      <c r="B43" s="463" t="s">
        <v>340</v>
      </c>
      <c r="C43" s="386">
        <v>46045</v>
      </c>
      <c r="D43" s="1024" t="s">
        <v>162</v>
      </c>
      <c r="E43" s="386">
        <v>45959</v>
      </c>
      <c r="F43" s="385" t="s">
        <v>137</v>
      </c>
      <c r="G43" s="653"/>
      <c r="H43" s="387">
        <v>89</v>
      </c>
      <c r="I43" s="1028" t="s">
        <v>398</v>
      </c>
      <c r="J43" s="1029" t="s">
        <v>63</v>
      </c>
      <c r="K43" s="666"/>
      <c r="L43" s="51">
        <v>45964</v>
      </c>
      <c r="M43" s="52" t="s">
        <v>57</v>
      </c>
      <c r="N43" s="865">
        <v>84750.5</v>
      </c>
      <c r="O43" s="52" t="s">
        <v>57</v>
      </c>
      <c r="P43" s="1138" t="s">
        <v>399</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9" t="s">
        <v>493</v>
      </c>
      <c r="B44" s="463" t="s">
        <v>340</v>
      </c>
      <c r="C44" s="386">
        <v>45989</v>
      </c>
      <c r="D44" s="1024" t="s">
        <v>162</v>
      </c>
      <c r="E44" s="386">
        <v>45959</v>
      </c>
      <c r="F44" s="385" t="s">
        <v>137</v>
      </c>
      <c r="G44" s="653" t="s">
        <v>494</v>
      </c>
      <c r="H44" s="387">
        <v>59</v>
      </c>
      <c r="I44" s="1028" t="s">
        <v>398</v>
      </c>
      <c r="J44" s="1029" t="s">
        <v>63</v>
      </c>
      <c r="K44" s="666"/>
      <c r="L44" s="51">
        <v>45964</v>
      </c>
      <c r="M44" s="1029" t="s">
        <v>57</v>
      </c>
      <c r="N44" s="865">
        <v>65066.5</v>
      </c>
      <c r="O44" s="52" t="s">
        <v>57</v>
      </c>
      <c r="P44" s="1138" t="s">
        <v>399</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9" t="s">
        <v>496</v>
      </c>
      <c r="B45" s="463" t="s">
        <v>340</v>
      </c>
      <c r="C45" s="386">
        <v>46045</v>
      </c>
      <c r="D45" s="1024" t="s">
        <v>162</v>
      </c>
      <c r="E45" s="386">
        <v>45959</v>
      </c>
      <c r="F45" s="385" t="s">
        <v>137</v>
      </c>
      <c r="G45" s="653"/>
      <c r="H45" s="387">
        <v>88</v>
      </c>
      <c r="I45" s="1028" t="s">
        <v>398</v>
      </c>
      <c r="J45" s="1029" t="s">
        <v>63</v>
      </c>
      <c r="K45" s="666"/>
      <c r="L45" s="51">
        <v>45961</v>
      </c>
      <c r="M45" s="52" t="s">
        <v>57</v>
      </c>
      <c r="N45" s="865">
        <v>88231.9</v>
      </c>
      <c r="O45" s="52" t="s">
        <v>57</v>
      </c>
      <c r="P45" s="1138"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497</v>
      </c>
    </row>
    <row r="46" spans="1:30" ht="39.75" customHeight="1">
      <c r="A46" s="1139" t="s">
        <v>498</v>
      </c>
      <c r="B46" s="463" t="s">
        <v>340</v>
      </c>
      <c r="C46" s="386">
        <v>46045</v>
      </c>
      <c r="D46" s="1024" t="s">
        <v>162</v>
      </c>
      <c r="E46" s="386">
        <v>45959</v>
      </c>
      <c r="F46" s="385" t="s">
        <v>137</v>
      </c>
      <c r="G46" s="653"/>
      <c r="H46" s="387">
        <v>90</v>
      </c>
      <c r="I46" s="1028" t="s">
        <v>398</v>
      </c>
      <c r="J46" s="1029" t="s">
        <v>63</v>
      </c>
      <c r="K46" s="666"/>
      <c r="L46" s="51">
        <v>45964</v>
      </c>
      <c r="M46" s="52" t="s">
        <v>57</v>
      </c>
      <c r="N46" s="865">
        <v>84896</v>
      </c>
      <c r="O46" s="52" t="s">
        <v>57</v>
      </c>
      <c r="P46" s="1138"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499</v>
      </c>
    </row>
    <row r="47" spans="1:30" ht="39.75" customHeight="1">
      <c r="A47" s="1139" t="s">
        <v>500</v>
      </c>
      <c r="B47" s="463" t="s">
        <v>340</v>
      </c>
      <c r="C47" s="386">
        <v>46021</v>
      </c>
      <c r="D47" s="1024" t="s">
        <v>162</v>
      </c>
      <c r="E47" s="386">
        <v>45959</v>
      </c>
      <c r="F47" s="385" t="s">
        <v>137</v>
      </c>
      <c r="G47" s="653" t="s">
        <v>501</v>
      </c>
      <c r="H47" s="387">
        <v>89</v>
      </c>
      <c r="I47" s="1028" t="s">
        <v>398</v>
      </c>
      <c r="J47" s="1029" t="s">
        <v>63</v>
      </c>
      <c r="K47" s="666"/>
      <c r="L47" s="51">
        <v>45961</v>
      </c>
      <c r="M47" s="1029" t="s">
        <v>57</v>
      </c>
      <c r="N47" s="865">
        <v>83615</v>
      </c>
      <c r="O47" s="52" t="s">
        <v>57</v>
      </c>
      <c r="P47" s="1138"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502</v>
      </c>
    </row>
    <row r="48" spans="1:30" ht="39.75" customHeight="1">
      <c r="A48" s="1141" t="s">
        <v>503</v>
      </c>
      <c r="B48" s="809" t="s">
        <v>50</v>
      </c>
      <c r="C48" s="925">
        <v>45991</v>
      </c>
      <c r="D48" s="1157" t="s">
        <v>71</v>
      </c>
      <c r="E48" s="57">
        <v>45743</v>
      </c>
      <c r="F48" s="791" t="s">
        <v>61</v>
      </c>
      <c r="G48" s="810" t="s">
        <v>504</v>
      </c>
      <c r="H48" s="795">
        <v>69</v>
      </c>
      <c r="I48" s="680" t="s">
        <v>398</v>
      </c>
      <c r="J48" s="482" t="s">
        <v>63</v>
      </c>
      <c r="K48" s="941"/>
      <c r="L48" s="51">
        <v>45741</v>
      </c>
      <c r="M48" s="387" t="s">
        <v>57</v>
      </c>
      <c r="N48" s="865">
        <v>67734.5</v>
      </c>
      <c r="O48" s="387" t="s">
        <v>57</v>
      </c>
      <c r="P48" s="1138"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505</v>
      </c>
    </row>
    <row r="49" spans="1:30" ht="39.75" customHeight="1">
      <c r="A49" s="1141" t="s">
        <v>506</v>
      </c>
      <c r="B49" s="790" t="s">
        <v>50</v>
      </c>
      <c r="C49" s="925">
        <v>45991</v>
      </c>
      <c r="D49" s="1142" t="s">
        <v>507</v>
      </c>
      <c r="E49" s="792">
        <v>45735</v>
      </c>
      <c r="F49" s="791" t="s">
        <v>61</v>
      </c>
      <c r="G49" s="794" t="s">
        <v>508</v>
      </c>
      <c r="H49" s="795">
        <v>70</v>
      </c>
      <c r="I49" s="483" t="s">
        <v>398</v>
      </c>
      <c r="J49" s="491" t="s">
        <v>63</v>
      </c>
      <c r="K49" s="52"/>
      <c r="L49" s="386">
        <v>45716</v>
      </c>
      <c r="M49" s="52" t="s">
        <v>57</v>
      </c>
      <c r="N49" s="1146">
        <v>56262.5</v>
      </c>
      <c r="O49" s="52" t="s">
        <v>57</v>
      </c>
      <c r="P49" s="1138"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509</v>
      </c>
    </row>
    <row r="50" spans="1:30" ht="39.75" customHeight="1">
      <c r="A50" s="964" t="s">
        <v>510</v>
      </c>
      <c r="B50" s="848" t="s">
        <v>50</v>
      </c>
      <c r="C50" s="480">
        <v>45991</v>
      </c>
      <c r="D50" s="480" t="s">
        <v>71</v>
      </c>
      <c r="E50" s="489">
        <v>45748</v>
      </c>
      <c r="F50" s="488" t="s">
        <v>61</v>
      </c>
      <c r="G50" s="849" t="s">
        <v>511</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512</v>
      </c>
    </row>
    <row r="51" spans="1:30" ht="39.75" customHeight="1">
      <c r="A51" s="1141" t="s">
        <v>513</v>
      </c>
      <c r="B51" s="809" t="s">
        <v>50</v>
      </c>
      <c r="C51" s="925">
        <v>45991</v>
      </c>
      <c r="D51" s="1157" t="s">
        <v>71</v>
      </c>
      <c r="E51" s="57">
        <v>45779</v>
      </c>
      <c r="F51" s="791" t="s">
        <v>61</v>
      </c>
      <c r="G51" s="810" t="s">
        <v>514</v>
      </c>
      <c r="H51" s="795">
        <v>0</v>
      </c>
      <c r="I51" s="491" t="s">
        <v>398</v>
      </c>
      <c r="J51" s="482" t="s">
        <v>63</v>
      </c>
      <c r="K51" s="941"/>
      <c r="L51" s="51">
        <v>45742</v>
      </c>
      <c r="M51" s="947" t="s">
        <v>57</v>
      </c>
      <c r="N51" s="1146">
        <v>23800.25</v>
      </c>
      <c r="O51" s="387" t="s">
        <v>57</v>
      </c>
      <c r="P51" s="1138" t="s">
        <v>399</v>
      </c>
      <c r="Q51" s="54">
        <v>45743</v>
      </c>
      <c r="R51" s="198"/>
      <c r="S51" s="54"/>
      <c r="T51" s="54"/>
      <c r="U51" s="54"/>
      <c r="V51" s="31">
        <v>1697</v>
      </c>
      <c r="W51" s="1071">
        <v>1815</v>
      </c>
      <c r="X51" s="485">
        <f t="shared" si="10"/>
        <v>-118</v>
      </c>
      <c r="Y51" s="890">
        <f t="shared" si="11"/>
        <v>1.0695344725987035</v>
      </c>
      <c r="Z51" s="54">
        <v>45791</v>
      </c>
      <c r="AA51" s="617">
        <v>1</v>
      </c>
      <c r="AB51" s="617">
        <v>0</v>
      </c>
      <c r="AC51" s="1160">
        <v>0</v>
      </c>
      <c r="AD51" s="1086" t="s">
        <v>515</v>
      </c>
    </row>
    <row r="52" spans="1:30" ht="39.75" customHeight="1">
      <c r="A52" s="1141" t="s">
        <v>516</v>
      </c>
      <c r="B52" s="809" t="s">
        <v>50</v>
      </c>
      <c r="C52" s="925">
        <v>46008</v>
      </c>
      <c r="D52" s="1157" t="s">
        <v>517</v>
      </c>
      <c r="E52" s="57">
        <v>45952</v>
      </c>
      <c r="F52" s="791" t="s">
        <v>94</v>
      </c>
      <c r="G52" s="810"/>
      <c r="H52" s="795">
        <v>139</v>
      </c>
      <c r="I52" s="680" t="s">
        <v>398</v>
      </c>
      <c r="J52" s="482" t="s">
        <v>56</v>
      </c>
      <c r="K52" s="52"/>
      <c r="L52" s="51" t="s">
        <v>52</v>
      </c>
      <c r="M52" s="1029" t="s">
        <v>57</v>
      </c>
      <c r="N52" s="1146">
        <v>42766.5</v>
      </c>
      <c r="O52" s="52" t="s">
        <v>57</v>
      </c>
      <c r="P52" s="1138" t="s">
        <v>399</v>
      </c>
      <c r="Q52" s="54">
        <v>45939</v>
      </c>
      <c r="R52" s="198"/>
      <c r="S52" s="54"/>
      <c r="T52" s="54"/>
      <c r="U52" s="54"/>
      <c r="V52" s="31">
        <v>6699</v>
      </c>
      <c r="W52" s="1071">
        <v>7067</v>
      </c>
      <c r="X52" s="485">
        <f t="shared" si="10"/>
        <v>-368</v>
      </c>
      <c r="Y52" s="1034">
        <f t="shared" si="11"/>
        <v>1.0549335721749515</v>
      </c>
      <c r="Z52" s="54">
        <v>45954</v>
      </c>
      <c r="AA52" s="617">
        <v>1</v>
      </c>
      <c r="AB52" s="617">
        <v>1</v>
      </c>
      <c r="AC52" s="1160">
        <v>0</v>
      </c>
      <c r="AD52" s="150"/>
    </row>
    <row r="53" spans="1:30" ht="39.75" customHeight="1">
      <c r="A53" s="1141" t="s">
        <v>518</v>
      </c>
      <c r="B53" s="809" t="s">
        <v>50</v>
      </c>
      <c r="C53" s="925">
        <v>46008</v>
      </c>
      <c r="D53" s="1157" t="s">
        <v>519</v>
      </c>
      <c r="E53" s="57">
        <v>45938</v>
      </c>
      <c r="F53" s="791" t="s">
        <v>94</v>
      </c>
      <c r="G53" s="810"/>
      <c r="H53" s="795">
        <v>193</v>
      </c>
      <c r="I53" s="680" t="s">
        <v>398</v>
      </c>
      <c r="J53" s="482" t="s">
        <v>56</v>
      </c>
      <c r="K53" s="97"/>
      <c r="L53" s="51" t="s">
        <v>52</v>
      </c>
      <c r="M53" s="1029" t="s">
        <v>57</v>
      </c>
      <c r="N53" s="1146">
        <v>86136</v>
      </c>
      <c r="O53" s="52" t="s">
        <v>57</v>
      </c>
      <c r="P53" s="1138" t="s">
        <v>399</v>
      </c>
      <c r="Q53" s="54">
        <v>45938</v>
      </c>
      <c r="R53" s="198"/>
      <c r="S53" s="54"/>
      <c r="T53" s="54"/>
      <c r="U53" s="54"/>
      <c r="V53" s="31">
        <v>7655</v>
      </c>
      <c r="W53" s="1071">
        <v>8289</v>
      </c>
      <c r="X53" s="485">
        <f t="shared" si="10"/>
        <v>-634</v>
      </c>
      <c r="Y53" s="1034">
        <f t="shared" si="11"/>
        <v>1.0828216851730894</v>
      </c>
      <c r="Z53" s="54">
        <v>45943</v>
      </c>
      <c r="AA53" s="617">
        <v>1</v>
      </c>
      <c r="AB53" s="617">
        <v>1</v>
      </c>
      <c r="AC53" s="1160">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520</v>
      </c>
      <c r="B2" s="857" t="s">
        <v>237</v>
      </c>
      <c r="C2" s="480">
        <v>45960</v>
      </c>
      <c r="D2" s="480" t="s">
        <v>248</v>
      </c>
      <c r="E2" s="480">
        <v>45852</v>
      </c>
      <c r="F2" s="658" t="s">
        <v>249</v>
      </c>
      <c r="G2" s="701" t="s">
        <v>521</v>
      </c>
      <c r="H2" s="482">
        <v>0</v>
      </c>
      <c r="I2" s="482" t="s">
        <v>398</v>
      </c>
      <c r="J2" s="482" t="s">
        <v>63</v>
      </c>
      <c r="K2" s="482"/>
      <c r="L2" s="480">
        <v>45852</v>
      </c>
      <c r="M2" s="482" t="s">
        <v>57</v>
      </c>
      <c r="N2" s="558">
        <v>42837.2</v>
      </c>
      <c r="O2" s="482" t="s">
        <v>57</v>
      </c>
      <c r="P2" s="827" t="s">
        <v>399</v>
      </c>
      <c r="Q2" s="484">
        <v>45852</v>
      </c>
      <c r="R2" s="898"/>
      <c r="S2" s="898"/>
      <c r="T2" s="898"/>
      <c r="U2" s="87" t="s">
        <v>522</v>
      </c>
      <c r="V2" s="505">
        <v>3432</v>
      </c>
      <c r="W2" s="761">
        <v>3519</v>
      </c>
      <c r="X2" s="107">
        <f>SUM(V2-W2)</f>
        <v>-87</v>
      </c>
      <c r="Y2" s="676">
        <f>IFERROR($W2/$V2, 0)</f>
        <v>1.0253496503496504</v>
      </c>
      <c r="Z2" s="697">
        <v>45866</v>
      </c>
      <c r="AA2" s="366">
        <v>1</v>
      </c>
      <c r="AB2" s="366">
        <v>1</v>
      </c>
      <c r="AC2" s="1061">
        <v>0</v>
      </c>
      <c r="AD2" s="557"/>
    </row>
    <row r="3" spans="1:30" ht="39.75" customHeight="1">
      <c r="A3" s="869" t="s">
        <v>523</v>
      </c>
      <c r="B3" s="506" t="s">
        <v>237</v>
      </c>
      <c r="C3" s="480">
        <v>45868</v>
      </c>
      <c r="D3" s="488" t="s">
        <v>524</v>
      </c>
      <c r="E3" s="489">
        <v>45716</v>
      </c>
      <c r="F3" s="488" t="s">
        <v>249</v>
      </c>
      <c r="G3" s="613" t="s">
        <v>525</v>
      </c>
      <c r="H3" s="491">
        <v>0</v>
      </c>
      <c r="I3" s="497" t="s">
        <v>398</v>
      </c>
      <c r="J3" s="491" t="s">
        <v>63</v>
      </c>
      <c r="K3" s="502"/>
      <c r="L3" s="480">
        <v>45716</v>
      </c>
      <c r="M3" s="491" t="s">
        <v>57</v>
      </c>
      <c r="N3" s="559">
        <v>64932.55</v>
      </c>
      <c r="O3" s="491" t="s">
        <v>57</v>
      </c>
      <c r="P3" s="827" t="s">
        <v>399</v>
      </c>
      <c r="Q3" s="492">
        <v>45721</v>
      </c>
      <c r="R3" s="54"/>
      <c r="S3" s="54"/>
      <c r="T3" s="54"/>
      <c r="U3" s="87" t="s">
        <v>522</v>
      </c>
      <c r="V3" s="1176">
        <v>5151</v>
      </c>
      <c r="W3" s="762">
        <v>5207</v>
      </c>
      <c r="X3" s="107">
        <f>SUM(V3-W3)</f>
        <v>-56</v>
      </c>
      <c r="Y3" s="22">
        <f>IFERROR($W3/$V3, 0)</f>
        <v>1.0108716754028344</v>
      </c>
      <c r="Z3" s="697">
        <v>45748</v>
      </c>
      <c r="AA3" s="366">
        <v>1</v>
      </c>
      <c r="AB3" s="366">
        <v>1</v>
      </c>
      <c r="AC3" s="41">
        <v>0</v>
      </c>
      <c r="AD3" s="905"/>
    </row>
    <row r="4" spans="1:30" ht="39.75" customHeight="1">
      <c r="A4" s="915" t="s">
        <v>526</v>
      </c>
      <c r="B4" s="506" t="s">
        <v>237</v>
      </c>
      <c r="C4" s="480">
        <v>45991</v>
      </c>
      <c r="D4" s="489" t="s">
        <v>419</v>
      </c>
      <c r="E4" s="441">
        <v>45707</v>
      </c>
      <c r="F4" s="488" t="s">
        <v>249</v>
      </c>
      <c r="G4" s="507" t="s">
        <v>527</v>
      </c>
      <c r="H4" s="497">
        <v>0</v>
      </c>
      <c r="I4" s="497" t="s">
        <v>398</v>
      </c>
      <c r="J4" s="497" t="s">
        <v>63</v>
      </c>
      <c r="K4" s="497"/>
      <c r="L4" s="489">
        <v>45708</v>
      </c>
      <c r="M4" s="497" t="s">
        <v>57</v>
      </c>
      <c r="N4" s="560">
        <v>87944.4</v>
      </c>
      <c r="O4" s="497" t="s">
        <v>57</v>
      </c>
      <c r="P4" s="827" t="s">
        <v>399</v>
      </c>
      <c r="Q4" s="492">
        <v>45709</v>
      </c>
      <c r="R4" s="1177"/>
      <c r="S4" s="1177"/>
      <c r="T4" s="1177"/>
      <c r="U4" s="1178" t="s">
        <v>522</v>
      </c>
      <c r="V4" s="508">
        <v>7008</v>
      </c>
      <c r="W4" s="761">
        <v>7258</v>
      </c>
      <c r="X4" s="107">
        <f t="shared" ref="X4" si="0">SUM(V4-W4)</f>
        <v>-250</v>
      </c>
      <c r="Y4" s="22">
        <f t="shared" ref="Y4" si="1">IFERROR($W4/$V4, 0)</f>
        <v>1.0356735159817352</v>
      </c>
      <c r="Z4" s="697">
        <v>45747</v>
      </c>
      <c r="AA4" s="486">
        <v>1</v>
      </c>
      <c r="AB4" s="486">
        <v>1</v>
      </c>
      <c r="AC4" s="836">
        <v>0</v>
      </c>
      <c r="AD4" s="906" t="s">
        <v>528</v>
      </c>
    </row>
    <row r="5" spans="1:30" ht="39.75" customHeight="1">
      <c r="A5" s="869" t="s">
        <v>529</v>
      </c>
      <c r="B5" s="857" t="s">
        <v>237</v>
      </c>
      <c r="C5" s="489">
        <v>45807</v>
      </c>
      <c r="D5" s="478" t="s">
        <v>524</v>
      </c>
      <c r="E5" s="488" t="s">
        <v>52</v>
      </c>
      <c r="F5" s="478" t="s">
        <v>249</v>
      </c>
      <c r="G5" s="849" t="s">
        <v>530</v>
      </c>
      <c r="H5" s="482">
        <v>84</v>
      </c>
      <c r="I5" s="854" t="s">
        <v>398</v>
      </c>
      <c r="J5" s="491" t="s">
        <v>63</v>
      </c>
      <c r="K5" s="870"/>
      <c r="L5" s="480">
        <v>45716</v>
      </c>
      <c r="M5" s="491" t="s">
        <v>57</v>
      </c>
      <c r="N5" s="558">
        <v>2812.95</v>
      </c>
      <c r="O5" s="491" t="s">
        <v>57</v>
      </c>
      <c r="P5" s="827" t="s">
        <v>399</v>
      </c>
      <c r="Q5" s="492">
        <v>45792</v>
      </c>
      <c r="R5" s="492">
        <v>45947</v>
      </c>
      <c r="S5" s="363"/>
      <c r="T5" s="363"/>
      <c r="U5" s="500" t="s">
        <v>522</v>
      </c>
      <c r="V5" s="41">
        <v>285</v>
      </c>
      <c r="W5" s="871">
        <v>285</v>
      </c>
      <c r="X5" s="485">
        <f>SUM(V5-W5)</f>
        <v>0</v>
      </c>
      <c r="Y5" s="681">
        <f>IFERROR($W5/$V5, 0)</f>
        <v>1</v>
      </c>
      <c r="Z5" s="492">
        <v>45798</v>
      </c>
      <c r="AA5" s="681">
        <v>1</v>
      </c>
      <c r="AB5" s="681">
        <v>1</v>
      </c>
      <c r="AC5" s="485">
        <v>3451</v>
      </c>
      <c r="AD5" s="683"/>
    </row>
    <row r="6" spans="1:30" ht="39.75" customHeight="1">
      <c r="A6" s="967" t="s">
        <v>531</v>
      </c>
      <c r="B6" s="506" t="s">
        <v>237</v>
      </c>
      <c r="C6" s="480">
        <v>45991</v>
      </c>
      <c r="D6" s="488" t="s">
        <v>532</v>
      </c>
      <c r="E6" s="489">
        <v>45716</v>
      </c>
      <c r="F6" s="488" t="s">
        <v>238</v>
      </c>
      <c r="G6" s="490" t="s">
        <v>533</v>
      </c>
      <c r="H6" s="491">
        <v>31</v>
      </c>
      <c r="I6" s="497" t="s">
        <v>398</v>
      </c>
      <c r="J6" s="491" t="s">
        <v>63</v>
      </c>
      <c r="K6" s="502"/>
      <c r="L6" s="480">
        <v>45716</v>
      </c>
      <c r="M6" s="491" t="s">
        <v>57</v>
      </c>
      <c r="N6" s="559">
        <v>28777</v>
      </c>
      <c r="O6" s="491" t="s">
        <v>57</v>
      </c>
      <c r="P6" s="827" t="s">
        <v>399</v>
      </c>
      <c r="Q6" s="492">
        <v>45716</v>
      </c>
      <c r="R6" s="492">
        <v>45992</v>
      </c>
      <c r="S6" s="492"/>
      <c r="T6" s="492"/>
      <c r="U6" s="500" t="s">
        <v>522</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534</v>
      </c>
      <c r="B7" s="506" t="s">
        <v>237</v>
      </c>
      <c r="C7" s="480">
        <v>45991</v>
      </c>
      <c r="D7" s="488" t="s">
        <v>419</v>
      </c>
      <c r="E7" s="489">
        <v>45866</v>
      </c>
      <c r="F7" s="488" t="s">
        <v>249</v>
      </c>
      <c r="G7" s="490" t="s">
        <v>535</v>
      </c>
      <c r="H7" s="491">
        <v>0</v>
      </c>
      <c r="I7" s="497" t="s">
        <v>398</v>
      </c>
      <c r="J7" s="491" t="s">
        <v>63</v>
      </c>
      <c r="K7" s="502"/>
      <c r="L7" s="489">
        <v>45863</v>
      </c>
      <c r="M7" s="491" t="s">
        <v>57</v>
      </c>
      <c r="N7" s="559">
        <v>143407.25</v>
      </c>
      <c r="O7" s="491" t="s">
        <v>57</v>
      </c>
      <c r="P7" s="827" t="s">
        <v>399</v>
      </c>
      <c r="Q7" s="492">
        <v>45863</v>
      </c>
      <c r="R7" s="492"/>
      <c r="S7" s="492"/>
      <c r="T7" s="492"/>
      <c r="U7" s="500" t="s">
        <v>522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536</v>
      </c>
      <c r="B8" s="506" t="s">
        <v>237</v>
      </c>
      <c r="C8" s="480">
        <v>45991</v>
      </c>
      <c r="D8" s="488" t="s">
        <v>71</v>
      </c>
      <c r="E8" s="489">
        <v>45880</v>
      </c>
      <c r="F8" s="488" t="s">
        <v>238</v>
      </c>
      <c r="G8" s="490" t="s">
        <v>537</v>
      </c>
      <c r="H8" s="491">
        <v>0</v>
      </c>
      <c r="I8" s="497" t="s">
        <v>398</v>
      </c>
      <c r="J8" s="491" t="s">
        <v>63</v>
      </c>
      <c r="K8" s="502"/>
      <c r="L8" s="489">
        <v>45881</v>
      </c>
      <c r="M8" s="491" t="s">
        <v>57</v>
      </c>
      <c r="N8" s="559">
        <v>4815.6499999999996</v>
      </c>
      <c r="O8" s="491" t="s">
        <v>57</v>
      </c>
      <c r="P8" s="827" t="s">
        <v>399</v>
      </c>
      <c r="Q8" s="492">
        <v>45881</v>
      </c>
      <c r="R8" s="492">
        <v>45947</v>
      </c>
      <c r="S8" s="492"/>
      <c r="T8" s="492"/>
      <c r="U8" s="500" t="s">
        <v>522</v>
      </c>
      <c r="V8" s="41">
        <v>321</v>
      </c>
      <c r="W8" s="762">
        <v>367</v>
      </c>
      <c r="X8" s="107">
        <f>SUM(V8-W8)</f>
        <v>-46</v>
      </c>
      <c r="Y8" s="22">
        <f>IFERROR($W8/$V8, 0)</f>
        <v>1.1433021806853583</v>
      </c>
      <c r="Z8" s="697">
        <v>45905</v>
      </c>
      <c r="AA8" s="366">
        <v>0</v>
      </c>
      <c r="AB8" s="366">
        <v>0</v>
      </c>
      <c r="AC8" s="41">
        <v>0</v>
      </c>
      <c r="AD8" s="531"/>
    </row>
    <row r="9" spans="1:30" ht="39.75" customHeight="1">
      <c r="A9" s="978" t="s">
        <v>538</v>
      </c>
      <c r="B9" s="860" t="s">
        <v>237</v>
      </c>
      <c r="C9" s="861">
        <v>45955</v>
      </c>
      <c r="D9" s="862" t="s">
        <v>162</v>
      </c>
      <c r="E9" s="862">
        <v>45919</v>
      </c>
      <c r="F9" s="862" t="s">
        <v>259</v>
      </c>
      <c r="G9" s="863" t="s">
        <v>539</v>
      </c>
      <c r="H9" s="405">
        <v>0</v>
      </c>
      <c r="I9" s="864" t="s">
        <v>398</v>
      </c>
      <c r="J9" s="405" t="s">
        <v>63</v>
      </c>
      <c r="K9" s="405"/>
      <c r="L9" s="862" t="s">
        <v>52</v>
      </c>
      <c r="M9" s="405" t="s">
        <v>57</v>
      </c>
      <c r="N9" s="865">
        <v>4646.75</v>
      </c>
      <c r="O9" s="405" t="s">
        <v>87</v>
      </c>
      <c r="P9" s="951" t="s">
        <v>399</v>
      </c>
      <c r="Q9" s="614"/>
      <c r="R9" s="614">
        <v>45947</v>
      </c>
      <c r="S9" s="614"/>
      <c r="T9" s="614"/>
      <c r="U9" s="500" t="s">
        <v>522</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540</v>
      </c>
      <c r="B10" s="478" t="s">
        <v>108</v>
      </c>
      <c r="C10" s="489">
        <v>45960</v>
      </c>
      <c r="D10" s="480" t="s">
        <v>71</v>
      </c>
      <c r="E10" s="489">
        <v>45918</v>
      </c>
      <c r="F10" s="478" t="s">
        <v>109</v>
      </c>
      <c r="G10" s="50" t="s">
        <v>541</v>
      </c>
      <c r="H10" s="1055">
        <v>0</v>
      </c>
      <c r="I10" s="680" t="s">
        <v>398</v>
      </c>
      <c r="J10" s="482" t="s">
        <v>63</v>
      </c>
      <c r="K10" s="482"/>
      <c r="L10" s="489">
        <v>45918</v>
      </c>
      <c r="M10" s="491" t="s">
        <v>57</v>
      </c>
      <c r="N10" s="559">
        <v>9611.9500000000007</v>
      </c>
      <c r="O10" s="491" t="s">
        <v>57</v>
      </c>
      <c r="P10" s="827" t="s">
        <v>399</v>
      </c>
      <c r="Q10" s="492">
        <v>45918</v>
      </c>
      <c r="R10" s="492"/>
      <c r="S10" s="492"/>
      <c r="T10" s="492"/>
      <c r="U10" s="500" t="s">
        <v>522</v>
      </c>
      <c r="V10" s="41">
        <v>807</v>
      </c>
      <c r="W10" s="762">
        <v>896</v>
      </c>
      <c r="X10" s="107">
        <f t="shared" si="6"/>
        <v>-89</v>
      </c>
      <c r="Y10" s="676">
        <f t="shared" si="7"/>
        <v>1.110285006195787</v>
      </c>
      <c r="Z10" s="697">
        <v>45938</v>
      </c>
      <c r="AA10" s="681">
        <v>1</v>
      </c>
      <c r="AB10" s="681">
        <v>1</v>
      </c>
      <c r="AC10" s="661">
        <v>0</v>
      </c>
      <c r="AD10" s="487" t="s">
        <v>542</v>
      </c>
    </row>
    <row r="11" spans="1:30" ht="39.75" customHeight="1">
      <c r="A11" s="872" t="s">
        <v>543</v>
      </c>
      <c r="B11" s="478" t="s">
        <v>108</v>
      </c>
      <c r="C11" s="489">
        <v>45899</v>
      </c>
      <c r="D11" s="527" t="s">
        <v>128</v>
      </c>
      <c r="E11" s="489">
        <v>45889</v>
      </c>
      <c r="F11" s="503" t="s">
        <v>137</v>
      </c>
      <c r="G11" s="490"/>
      <c r="H11" s="491">
        <v>76</v>
      </c>
      <c r="I11" s="497" t="s">
        <v>398</v>
      </c>
      <c r="J11" s="491" t="s">
        <v>63</v>
      </c>
      <c r="K11" s="502"/>
      <c r="L11" s="489">
        <v>45888</v>
      </c>
      <c r="M11" s="491" t="s">
        <v>57</v>
      </c>
      <c r="N11" s="559">
        <v>53902</v>
      </c>
      <c r="O11" s="491" t="s">
        <v>57</v>
      </c>
      <c r="P11" s="827" t="s">
        <v>399</v>
      </c>
      <c r="Q11" s="492">
        <v>45887</v>
      </c>
      <c r="R11" s="492"/>
      <c r="S11" s="492"/>
      <c r="T11" s="492"/>
      <c r="U11" s="500" t="s">
        <v>522</v>
      </c>
      <c r="V11" s="41">
        <v>3566</v>
      </c>
      <c r="W11" s="762">
        <v>3704</v>
      </c>
      <c r="X11" s="107">
        <f t="shared" si="6"/>
        <v>-138</v>
      </c>
      <c r="Y11" s="22">
        <f t="shared" si="7"/>
        <v>1.0386988222097588</v>
      </c>
      <c r="Z11" s="697">
        <v>45904</v>
      </c>
      <c r="AA11" s="366">
        <v>1</v>
      </c>
      <c r="AB11" s="366">
        <v>1</v>
      </c>
      <c r="AC11" s="661">
        <v>0</v>
      </c>
      <c r="AD11" s="531" t="s">
        <v>544</v>
      </c>
    </row>
    <row r="12" spans="1:30" ht="39.75" customHeight="1">
      <c r="A12" s="872" t="s">
        <v>545</v>
      </c>
      <c r="B12" s="478" t="s">
        <v>108</v>
      </c>
      <c r="C12" s="489">
        <v>45930</v>
      </c>
      <c r="D12" s="480" t="s">
        <v>162</v>
      </c>
      <c r="E12" s="480">
        <v>45896</v>
      </c>
      <c r="F12" s="478" t="s">
        <v>137</v>
      </c>
      <c r="G12" s="478" t="s">
        <v>546</v>
      </c>
      <c r="H12" s="482">
        <v>66</v>
      </c>
      <c r="I12" s="482" t="s">
        <v>398</v>
      </c>
      <c r="J12" s="482" t="s">
        <v>63</v>
      </c>
      <c r="K12" s="482"/>
      <c r="L12" s="480">
        <v>45897</v>
      </c>
      <c r="M12" s="482" t="s">
        <v>57</v>
      </c>
      <c r="N12" s="558">
        <v>44896.1</v>
      </c>
      <c r="O12" s="482" t="s">
        <v>57</v>
      </c>
      <c r="P12" s="827" t="s">
        <v>399</v>
      </c>
      <c r="Q12" s="484">
        <v>45897</v>
      </c>
      <c r="R12" s="495"/>
      <c r="S12" s="495"/>
      <c r="T12" s="495"/>
      <c r="U12" s="500" t="s">
        <v>522</v>
      </c>
      <c r="V12" s="485">
        <v>2385</v>
      </c>
      <c r="W12" s="762">
        <v>2385</v>
      </c>
      <c r="X12" s="107">
        <f t="shared" si="6"/>
        <v>0</v>
      </c>
      <c r="Y12" s="22">
        <f t="shared" si="7"/>
        <v>1</v>
      </c>
      <c r="Z12" s="697">
        <v>45918</v>
      </c>
      <c r="AA12" s="366">
        <v>1</v>
      </c>
      <c r="AB12" s="366">
        <v>1</v>
      </c>
      <c r="AC12" s="661">
        <v>0</v>
      </c>
      <c r="AD12" s="426" t="s">
        <v>547</v>
      </c>
    </row>
    <row r="13" spans="1:30" ht="39.75" customHeight="1">
      <c r="A13" s="872" t="s">
        <v>548</v>
      </c>
      <c r="B13" s="478" t="s">
        <v>108</v>
      </c>
      <c r="C13" s="489">
        <v>45930</v>
      </c>
      <c r="D13" s="480" t="s">
        <v>162</v>
      </c>
      <c r="E13" s="658">
        <v>45910</v>
      </c>
      <c r="F13" s="478" t="s">
        <v>109</v>
      </c>
      <c r="G13" s="478" t="s">
        <v>549</v>
      </c>
      <c r="H13" s="482">
        <v>80</v>
      </c>
      <c r="I13" s="482" t="s">
        <v>398</v>
      </c>
      <c r="J13" s="482" t="s">
        <v>63</v>
      </c>
      <c r="K13" s="482"/>
      <c r="L13" s="480">
        <v>45903</v>
      </c>
      <c r="M13" s="482" t="s">
        <v>57</v>
      </c>
      <c r="N13" s="558">
        <v>59116.7</v>
      </c>
      <c r="O13" s="482" t="s">
        <v>57</v>
      </c>
      <c r="P13" s="827" t="s">
        <v>399</v>
      </c>
      <c r="Q13" s="484">
        <v>45903</v>
      </c>
      <c r="R13" s="495"/>
      <c r="S13" s="495"/>
      <c r="T13" s="484"/>
      <c r="U13" s="500" t="s">
        <v>522</v>
      </c>
      <c r="V13" s="485">
        <v>4833</v>
      </c>
      <c r="W13" s="762">
        <v>4446</v>
      </c>
      <c r="X13" s="107">
        <f t="shared" si="6"/>
        <v>387</v>
      </c>
      <c r="Y13" s="22">
        <f t="shared" si="7"/>
        <v>0.91992551210428308</v>
      </c>
      <c r="Z13" s="697">
        <v>45923</v>
      </c>
      <c r="AA13" s="366">
        <v>1</v>
      </c>
      <c r="AB13" s="366">
        <v>1</v>
      </c>
      <c r="AC13" s="661">
        <v>0</v>
      </c>
      <c r="AD13" s="426" t="s">
        <v>550</v>
      </c>
    </row>
    <row r="14" spans="1:30" ht="39.75" customHeight="1">
      <c r="A14" s="869" t="s">
        <v>551</v>
      </c>
      <c r="B14" s="478" t="s">
        <v>108</v>
      </c>
      <c r="C14" s="489">
        <v>45930</v>
      </c>
      <c r="D14" s="480" t="s">
        <v>162</v>
      </c>
      <c r="E14" s="658">
        <v>45910</v>
      </c>
      <c r="F14" s="658" t="s">
        <v>137</v>
      </c>
      <c r="G14" s="701" t="s">
        <v>552</v>
      </c>
      <c r="H14" s="482">
        <v>67</v>
      </c>
      <c r="I14" s="680" t="s">
        <v>398</v>
      </c>
      <c r="J14" s="482" t="s">
        <v>63</v>
      </c>
      <c r="K14" s="482"/>
      <c r="L14" s="480">
        <v>45903</v>
      </c>
      <c r="M14" s="482" t="s">
        <v>57</v>
      </c>
      <c r="N14" s="558">
        <v>40406</v>
      </c>
      <c r="O14" s="482" t="s">
        <v>57</v>
      </c>
      <c r="P14" s="827" t="s">
        <v>399</v>
      </c>
      <c r="Q14" s="484">
        <v>45903</v>
      </c>
      <c r="R14" s="568"/>
      <c r="S14" s="568"/>
      <c r="T14" s="568"/>
      <c r="U14" s="500" t="s">
        <v>522</v>
      </c>
      <c r="V14" s="485">
        <v>3895</v>
      </c>
      <c r="W14" s="762">
        <v>3809</v>
      </c>
      <c r="X14" s="107">
        <f t="shared" si="6"/>
        <v>86</v>
      </c>
      <c r="Y14" s="676">
        <f t="shared" si="7"/>
        <v>0.97792041078305525</v>
      </c>
      <c r="Z14" s="697">
        <v>45924</v>
      </c>
      <c r="AA14" s="366">
        <v>1</v>
      </c>
      <c r="AB14" s="366">
        <v>1</v>
      </c>
      <c r="AC14" s="661">
        <v>0</v>
      </c>
      <c r="AD14" s="907" t="s">
        <v>553</v>
      </c>
    </row>
    <row r="15" spans="1:30" ht="39.75" customHeight="1">
      <c r="A15" s="967" t="s">
        <v>554</v>
      </c>
      <c r="B15" s="478" t="s">
        <v>108</v>
      </c>
      <c r="C15" s="489">
        <v>45960</v>
      </c>
      <c r="D15" s="480" t="s">
        <v>162</v>
      </c>
      <c r="E15" s="480">
        <v>45936</v>
      </c>
      <c r="F15" s="478" t="s">
        <v>149</v>
      </c>
      <c r="G15" s="701"/>
      <c r="H15" s="482">
        <v>35</v>
      </c>
      <c r="I15" s="680" t="s">
        <v>398</v>
      </c>
      <c r="J15" s="482" t="s">
        <v>63</v>
      </c>
      <c r="K15" s="482"/>
      <c r="L15" s="480">
        <v>45933</v>
      </c>
      <c r="M15" s="482" t="s">
        <v>57</v>
      </c>
      <c r="N15" s="558">
        <v>26026</v>
      </c>
      <c r="O15" s="482" t="s">
        <v>57</v>
      </c>
      <c r="P15" s="827" t="s">
        <v>399</v>
      </c>
      <c r="Q15" s="484">
        <v>45933</v>
      </c>
      <c r="R15" s="568"/>
      <c r="S15" s="568"/>
      <c r="T15" s="568"/>
      <c r="U15" s="500" t="s">
        <v>522</v>
      </c>
      <c r="V15" s="485">
        <v>2071</v>
      </c>
      <c r="W15" s="762">
        <v>2072</v>
      </c>
      <c r="X15" s="485">
        <f>SUM(V15-W15)</f>
        <v>-1</v>
      </c>
      <c r="Y15" s="681">
        <f t="shared" ref="Y15" si="8">IFERROR($W15/$V15, 0)</f>
        <v>1.000482858522453</v>
      </c>
      <c r="Z15" s="492">
        <v>45958</v>
      </c>
      <c r="AA15" s="366">
        <v>1</v>
      </c>
      <c r="AB15" s="366">
        <v>1</v>
      </c>
      <c r="AC15" s="808">
        <v>0</v>
      </c>
      <c r="AD15" s="487" t="s">
        <v>555</v>
      </c>
    </row>
    <row r="16" spans="1:30" ht="39.75" customHeight="1">
      <c r="A16" s="872" t="s">
        <v>556</v>
      </c>
      <c r="B16" s="478" t="s">
        <v>108</v>
      </c>
      <c r="C16" s="489">
        <v>45960</v>
      </c>
      <c r="D16" s="480" t="s">
        <v>162</v>
      </c>
      <c r="E16" s="480">
        <v>45915</v>
      </c>
      <c r="F16" s="658" t="s">
        <v>137</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522</v>
      </c>
      <c r="V16" s="485">
        <v>5653</v>
      </c>
      <c r="W16" s="762">
        <v>5653</v>
      </c>
      <c r="X16" s="107">
        <f t="shared" si="6"/>
        <v>0</v>
      </c>
      <c r="Y16" s="676">
        <f t="shared" si="7"/>
        <v>1</v>
      </c>
      <c r="Z16" s="697">
        <v>45932</v>
      </c>
      <c r="AA16" s="366">
        <v>1</v>
      </c>
      <c r="AB16" s="366">
        <v>1</v>
      </c>
      <c r="AC16" s="808">
        <v>0</v>
      </c>
      <c r="AD16" s="907" t="s">
        <v>557</v>
      </c>
    </row>
    <row r="17" spans="1:30" ht="39.75" customHeight="1">
      <c r="A17" s="869" t="s">
        <v>558</v>
      </c>
      <c r="B17" s="478" t="s">
        <v>108</v>
      </c>
      <c r="C17" s="489">
        <v>45945</v>
      </c>
      <c r="D17" s="480" t="s">
        <v>162</v>
      </c>
      <c r="E17" s="480">
        <v>45932</v>
      </c>
      <c r="F17" s="478" t="s">
        <v>137</v>
      </c>
      <c r="G17" s="701"/>
      <c r="H17" s="482">
        <v>34</v>
      </c>
      <c r="I17" s="680" t="s">
        <v>398</v>
      </c>
      <c r="J17" s="482" t="s">
        <v>63</v>
      </c>
      <c r="K17" s="482"/>
      <c r="L17" s="480">
        <v>45933</v>
      </c>
      <c r="M17" s="482" t="s">
        <v>57</v>
      </c>
      <c r="N17" s="558">
        <v>29646</v>
      </c>
      <c r="O17" s="482" t="s">
        <v>57</v>
      </c>
      <c r="P17" s="827" t="s">
        <v>399</v>
      </c>
      <c r="Q17" s="484">
        <v>45933</v>
      </c>
      <c r="R17" s="568"/>
      <c r="S17" s="568"/>
      <c r="T17" s="568"/>
      <c r="U17" s="500" t="s">
        <v>522</v>
      </c>
      <c r="V17" s="485">
        <v>2188</v>
      </c>
      <c r="W17" s="762">
        <v>2278</v>
      </c>
      <c r="X17" s="107">
        <f>SUM(V17-W17)</f>
        <v>-90</v>
      </c>
      <c r="Y17" s="676">
        <f>IFERROR($W17/$V17, 0)</f>
        <v>1.0411334552102376</v>
      </c>
      <c r="Z17" s="697">
        <v>45931</v>
      </c>
      <c r="AA17" s="366">
        <v>1</v>
      </c>
      <c r="AB17" s="366">
        <v>1</v>
      </c>
      <c r="AC17" s="808">
        <v>0</v>
      </c>
      <c r="AD17" s="907" t="s">
        <v>559</v>
      </c>
    </row>
    <row r="18" spans="1:30" ht="39.75" customHeight="1">
      <c r="A18" s="967" t="s">
        <v>560</v>
      </c>
      <c r="B18" s="478" t="s">
        <v>108</v>
      </c>
      <c r="C18" s="489">
        <v>45960</v>
      </c>
      <c r="D18" s="480" t="s">
        <v>224</v>
      </c>
      <c r="E18" s="480">
        <v>45932</v>
      </c>
      <c r="F18" s="478" t="s">
        <v>109</v>
      </c>
      <c r="G18" s="701"/>
      <c r="H18" s="482">
        <v>79</v>
      </c>
      <c r="I18" s="680" t="s">
        <v>398</v>
      </c>
      <c r="J18" s="482" t="s">
        <v>63</v>
      </c>
      <c r="K18" s="482"/>
      <c r="L18" s="480">
        <v>45933</v>
      </c>
      <c r="M18" s="482" t="s">
        <v>57</v>
      </c>
      <c r="N18" s="558">
        <v>45014</v>
      </c>
      <c r="O18" s="482" t="s">
        <v>57</v>
      </c>
      <c r="P18" s="827" t="s">
        <v>399</v>
      </c>
      <c r="Q18" s="484">
        <v>45933</v>
      </c>
      <c r="R18" s="568"/>
      <c r="S18" s="568"/>
      <c r="T18" s="568"/>
      <c r="U18" s="500" t="s">
        <v>522</v>
      </c>
      <c r="V18" s="485">
        <v>3378</v>
      </c>
      <c r="W18" s="762">
        <v>3372</v>
      </c>
      <c r="X18" s="485">
        <f>SUM(V18-W18)</f>
        <v>6</v>
      </c>
      <c r="Y18" s="681">
        <f t="shared" ref="Y18" si="9">IFERROR($W18/$V18, 0)</f>
        <v>0.9982238010657194</v>
      </c>
      <c r="Z18" s="492">
        <v>45958</v>
      </c>
      <c r="AA18" s="366">
        <v>1</v>
      </c>
      <c r="AB18" s="366">
        <v>1</v>
      </c>
      <c r="AC18" s="808">
        <v>0</v>
      </c>
      <c r="AD18" s="992" t="s">
        <v>561</v>
      </c>
    </row>
    <row r="19" spans="1:30" ht="39.75" customHeight="1">
      <c r="A19" s="967" t="s">
        <v>562</v>
      </c>
      <c r="B19" s="478" t="s">
        <v>108</v>
      </c>
      <c r="C19" s="489">
        <v>45960</v>
      </c>
      <c r="D19" s="480" t="s">
        <v>162</v>
      </c>
      <c r="E19" s="480">
        <v>45936</v>
      </c>
      <c r="F19" s="478" t="s">
        <v>109</v>
      </c>
      <c r="G19" s="701"/>
      <c r="H19" s="482">
        <v>75</v>
      </c>
      <c r="I19" s="680" t="s">
        <v>398</v>
      </c>
      <c r="J19" s="482" t="s">
        <v>63</v>
      </c>
      <c r="K19" s="482"/>
      <c r="L19" s="480">
        <v>45936</v>
      </c>
      <c r="M19" s="482" t="s">
        <v>57</v>
      </c>
      <c r="N19" s="558">
        <v>38796</v>
      </c>
      <c r="O19" s="482" t="s">
        <v>57</v>
      </c>
      <c r="P19" s="827" t="s">
        <v>399</v>
      </c>
      <c r="Q19" s="484">
        <v>45936</v>
      </c>
      <c r="R19" s="568"/>
      <c r="S19" s="568"/>
      <c r="T19" s="568"/>
      <c r="U19" s="500" t="s">
        <v>522</v>
      </c>
      <c r="V19" s="429">
        <v>2874</v>
      </c>
      <c r="W19" s="991">
        <v>2875</v>
      </c>
      <c r="X19" s="107">
        <f t="shared" ref="X19:X21" si="10">SUM(V19-W19)</f>
        <v>-1</v>
      </c>
      <c r="Y19" s="676">
        <f t="shared" ref="Y19:Y21" si="11">IFERROR($W19/$V19, 0)</f>
        <v>1.0003479471120389</v>
      </c>
      <c r="Z19" s="697">
        <v>45944</v>
      </c>
      <c r="AA19" s="366">
        <v>1</v>
      </c>
      <c r="AB19" s="366">
        <v>1</v>
      </c>
      <c r="AC19" s="485">
        <v>0</v>
      </c>
      <c r="AD19" s="173" t="s">
        <v>563</v>
      </c>
    </row>
    <row r="20" spans="1:30" ht="39.75" customHeight="1">
      <c r="A20" s="967" t="s">
        <v>564</v>
      </c>
      <c r="B20" s="478" t="s">
        <v>108</v>
      </c>
      <c r="C20" s="489">
        <v>45976</v>
      </c>
      <c r="D20" s="480" t="s">
        <v>162</v>
      </c>
      <c r="E20" s="480">
        <v>45958</v>
      </c>
      <c r="F20" s="478" t="s">
        <v>149</v>
      </c>
      <c r="G20" s="701"/>
      <c r="H20" s="482">
        <v>48</v>
      </c>
      <c r="I20" s="680" t="s">
        <v>398</v>
      </c>
      <c r="J20" s="482" t="s">
        <v>63</v>
      </c>
      <c r="K20" s="482"/>
      <c r="L20" s="480">
        <v>45954</v>
      </c>
      <c r="M20" s="482" t="s">
        <v>57</v>
      </c>
      <c r="N20" s="558">
        <v>54228.7</v>
      </c>
      <c r="O20" s="482" t="s">
        <v>57</v>
      </c>
      <c r="P20" s="827" t="s">
        <v>399</v>
      </c>
      <c r="Q20" s="484">
        <v>45953</v>
      </c>
      <c r="R20" s="568"/>
      <c r="S20" s="568"/>
      <c r="T20" s="568"/>
      <c r="U20" s="500" t="s">
        <v>522</v>
      </c>
      <c r="V20" s="485">
        <v>4141</v>
      </c>
      <c r="W20" s="762">
        <v>4141</v>
      </c>
      <c r="X20" s="485">
        <f t="shared" si="10"/>
        <v>0</v>
      </c>
      <c r="Y20" s="681">
        <f t="shared" si="11"/>
        <v>1</v>
      </c>
      <c r="Z20" s="492">
        <v>45964</v>
      </c>
      <c r="AA20" s="366">
        <v>1</v>
      </c>
      <c r="AB20" s="366">
        <v>1</v>
      </c>
      <c r="AC20" s="808">
        <v>0</v>
      </c>
      <c r="AD20" s="449" t="s">
        <v>565</v>
      </c>
    </row>
    <row r="21" spans="1:30" ht="39.75" customHeight="1">
      <c r="A21" s="967" t="s">
        <v>566</v>
      </c>
      <c r="B21" s="478" t="s">
        <v>108</v>
      </c>
      <c r="C21" s="489">
        <v>45991</v>
      </c>
      <c r="D21" s="480" t="s">
        <v>224</v>
      </c>
      <c r="E21" s="480">
        <v>45936</v>
      </c>
      <c r="F21" s="478" t="s">
        <v>149</v>
      </c>
      <c r="G21" s="701"/>
      <c r="H21" s="482">
        <v>83</v>
      </c>
      <c r="I21" s="680" t="s">
        <v>398</v>
      </c>
      <c r="J21" s="482" t="s">
        <v>63</v>
      </c>
      <c r="K21" s="482"/>
      <c r="L21" s="480">
        <v>45936</v>
      </c>
      <c r="M21" s="482" t="s">
        <v>57</v>
      </c>
      <c r="N21" s="558">
        <v>96748</v>
      </c>
      <c r="O21" s="482" t="s">
        <v>57</v>
      </c>
      <c r="P21" s="827" t="s">
        <v>399</v>
      </c>
      <c r="Q21" s="484">
        <v>45936</v>
      </c>
      <c r="R21" s="568"/>
      <c r="S21" s="568"/>
      <c r="T21" s="568"/>
      <c r="U21" s="500" t="s">
        <v>522</v>
      </c>
      <c r="V21" s="485">
        <v>6240</v>
      </c>
      <c r="W21" s="762">
        <v>6203</v>
      </c>
      <c r="X21" s="485">
        <f t="shared" si="10"/>
        <v>37</v>
      </c>
      <c r="Y21" s="681">
        <f t="shared" si="11"/>
        <v>0.99407051282051284</v>
      </c>
      <c r="Z21" s="492">
        <v>45951</v>
      </c>
      <c r="AA21" s="366">
        <v>1</v>
      </c>
      <c r="AB21" s="366">
        <v>0</v>
      </c>
      <c r="AC21" s="661">
        <v>0</v>
      </c>
      <c r="AD21" s="1137" t="s">
        <v>567</v>
      </c>
    </row>
    <row r="22" spans="1:30" ht="39.75" customHeight="1">
      <c r="A22" s="869" t="s">
        <v>568</v>
      </c>
      <c r="B22" s="700" t="s">
        <v>108</v>
      </c>
      <c r="C22" s="489">
        <v>45930</v>
      </c>
      <c r="D22" s="658" t="s">
        <v>71</v>
      </c>
      <c r="E22" s="480">
        <v>45902</v>
      </c>
      <c r="F22" s="478" t="s">
        <v>109</v>
      </c>
      <c r="G22" s="778"/>
      <c r="H22" s="482">
        <v>0</v>
      </c>
      <c r="I22" s="680" t="s">
        <v>398</v>
      </c>
      <c r="J22" s="482" t="s">
        <v>63</v>
      </c>
      <c r="K22" s="482"/>
      <c r="L22" s="489">
        <v>45902</v>
      </c>
      <c r="M22" s="482" t="s">
        <v>57</v>
      </c>
      <c r="N22" s="558">
        <v>5604.6</v>
      </c>
      <c r="O22" s="482" t="s">
        <v>57</v>
      </c>
      <c r="P22" s="827" t="s">
        <v>399</v>
      </c>
      <c r="Q22" s="492">
        <v>45902</v>
      </c>
      <c r="R22" s="484"/>
      <c r="S22" s="484"/>
      <c r="T22" s="484"/>
      <c r="U22" s="500" t="s">
        <v>522</v>
      </c>
      <c r="V22" s="485">
        <v>328</v>
      </c>
      <c r="W22" s="762">
        <v>335</v>
      </c>
      <c r="X22" s="485">
        <f t="shared" si="6"/>
        <v>-7</v>
      </c>
      <c r="Y22" s="486">
        <f t="shared" si="7"/>
        <v>1.0213414634146341</v>
      </c>
      <c r="Z22" s="492">
        <v>45922</v>
      </c>
      <c r="AA22" s="366">
        <v>1</v>
      </c>
      <c r="AB22" s="366">
        <v>1</v>
      </c>
      <c r="AC22" s="485">
        <v>0</v>
      </c>
      <c r="AD22" s="777" t="s">
        <v>569</v>
      </c>
    </row>
    <row r="23" spans="1:30" ht="39.75" customHeight="1">
      <c r="A23" s="967" t="s">
        <v>570</v>
      </c>
      <c r="B23" s="700" t="s">
        <v>108</v>
      </c>
      <c r="C23" s="489">
        <v>45991</v>
      </c>
      <c r="D23" s="480" t="s">
        <v>224</v>
      </c>
      <c r="E23" s="480">
        <v>45961</v>
      </c>
      <c r="F23" s="478" t="s">
        <v>109</v>
      </c>
      <c r="G23" s="701"/>
      <c r="H23" s="482">
        <v>0</v>
      </c>
      <c r="I23" s="482" t="s">
        <v>398</v>
      </c>
      <c r="J23" s="482" t="s">
        <v>63</v>
      </c>
      <c r="K23" s="482"/>
      <c r="L23" s="480" t="s">
        <v>177</v>
      </c>
      <c r="M23" s="482" t="s">
        <v>57</v>
      </c>
      <c r="N23" s="558">
        <v>39221.800000000003</v>
      </c>
      <c r="O23" s="482" t="s">
        <v>57</v>
      </c>
      <c r="P23" s="1183" t="s">
        <v>399</v>
      </c>
      <c r="Q23" s="1060">
        <v>45950</v>
      </c>
      <c r="R23" s="484"/>
      <c r="S23" s="484"/>
      <c r="T23" s="484"/>
      <c r="U23" s="500" t="s">
        <v>522</v>
      </c>
      <c r="V23" s="429">
        <v>3078</v>
      </c>
      <c r="W23" s="991">
        <v>3272</v>
      </c>
      <c r="X23" s="485">
        <f t="shared" si="6"/>
        <v>-194</v>
      </c>
      <c r="Y23" s="681">
        <f t="shared" si="7"/>
        <v>1.0630279402209226</v>
      </c>
      <c r="Z23" s="492">
        <v>45966</v>
      </c>
      <c r="AA23" s="366">
        <v>1</v>
      </c>
      <c r="AB23" s="366">
        <v>1</v>
      </c>
      <c r="AC23" s="485">
        <v>0</v>
      </c>
      <c r="AD23" s="173" t="s">
        <v>571</v>
      </c>
    </row>
    <row r="24" spans="1:30" ht="39.75" customHeight="1">
      <c r="A24" s="869" t="s">
        <v>572</v>
      </c>
      <c r="B24" s="478" t="s">
        <v>108</v>
      </c>
      <c r="C24" s="489">
        <v>45960</v>
      </c>
      <c r="D24" s="480" t="s">
        <v>573</v>
      </c>
      <c r="E24" s="480">
        <v>45915</v>
      </c>
      <c r="F24" s="478" t="s">
        <v>574</v>
      </c>
      <c r="G24" s="701"/>
      <c r="H24" s="482">
        <v>384</v>
      </c>
      <c r="I24" s="680" t="s">
        <v>398</v>
      </c>
      <c r="J24" s="482" t="s">
        <v>56</v>
      </c>
      <c r="K24" s="482"/>
      <c r="L24" s="480">
        <v>45905</v>
      </c>
      <c r="M24" s="482" t="s">
        <v>57</v>
      </c>
      <c r="N24" s="558">
        <v>145985.5</v>
      </c>
      <c r="O24" s="482" t="s">
        <v>57</v>
      </c>
      <c r="P24" s="827" t="s">
        <v>399</v>
      </c>
      <c r="Q24" s="484">
        <v>45906</v>
      </c>
      <c r="R24" s="484"/>
      <c r="S24" s="484"/>
      <c r="T24" s="484"/>
      <c r="U24" s="500" t="s">
        <v>522</v>
      </c>
      <c r="V24" s="808">
        <v>14150</v>
      </c>
      <c r="W24" s="916">
        <v>15469</v>
      </c>
      <c r="X24" s="107">
        <f t="shared" si="6"/>
        <v>-1319</v>
      </c>
      <c r="Y24" s="676">
        <f t="shared" si="7"/>
        <v>1.0932155477031802</v>
      </c>
      <c r="Z24" s="697">
        <v>45926</v>
      </c>
      <c r="AA24" s="366">
        <v>1</v>
      </c>
      <c r="AB24" s="366">
        <v>1</v>
      </c>
      <c r="AC24" s="485">
        <v>0</v>
      </c>
      <c r="AD24" s="905" t="s">
        <v>575</v>
      </c>
    </row>
    <row r="25" spans="1:30" ht="39.75" customHeight="1">
      <c r="A25" s="967" t="s">
        <v>576</v>
      </c>
      <c r="B25" s="478" t="s">
        <v>108</v>
      </c>
      <c r="C25" s="489">
        <v>45930</v>
      </c>
      <c r="D25" s="480" t="s">
        <v>577</v>
      </c>
      <c r="E25" s="480">
        <v>45916</v>
      </c>
      <c r="F25" s="478" t="s">
        <v>109</v>
      </c>
      <c r="G25" s="701"/>
      <c r="H25" s="482">
        <v>84</v>
      </c>
      <c r="I25" s="680" t="s">
        <v>398</v>
      </c>
      <c r="J25" s="482" t="s">
        <v>56</v>
      </c>
      <c r="K25" s="482"/>
      <c r="L25" s="478" t="s">
        <v>399</v>
      </c>
      <c r="M25" s="482" t="s">
        <v>57</v>
      </c>
      <c r="N25" s="558">
        <v>30892</v>
      </c>
      <c r="O25" s="482" t="s">
        <v>57</v>
      </c>
      <c r="P25" s="827" t="s">
        <v>399</v>
      </c>
      <c r="Q25" s="484">
        <v>45911</v>
      </c>
      <c r="R25" s="484"/>
      <c r="S25" s="484"/>
      <c r="T25" s="484"/>
      <c r="U25" s="500" t="s">
        <v>522</v>
      </c>
      <c r="V25" s="808">
        <v>2811</v>
      </c>
      <c r="W25" s="916">
        <v>2732</v>
      </c>
      <c r="X25" s="107">
        <f>SUM(V25-W25)</f>
        <v>79</v>
      </c>
      <c r="Y25" s="22">
        <f>IFERROR($W25/$V25, 0)</f>
        <v>0.97189612237637857</v>
      </c>
      <c r="Z25" s="697">
        <v>45922</v>
      </c>
      <c r="AA25" s="366">
        <v>1</v>
      </c>
      <c r="AB25" s="366">
        <v>1</v>
      </c>
      <c r="AC25" s="485">
        <v>0</v>
      </c>
      <c r="AD25" s="683" t="s">
        <v>578</v>
      </c>
    </row>
    <row r="26" spans="1:30" ht="39.75" customHeight="1">
      <c r="A26" s="869" t="s">
        <v>579</v>
      </c>
      <c r="B26" s="848" t="s">
        <v>50</v>
      </c>
      <c r="C26" s="658">
        <v>45838</v>
      </c>
      <c r="D26" s="488" t="s">
        <v>580</v>
      </c>
      <c r="E26" s="489">
        <v>45727</v>
      </c>
      <c r="F26" s="488" t="s">
        <v>61</v>
      </c>
      <c r="G26" s="873" t="s">
        <v>581</v>
      </c>
      <c r="H26" s="491">
        <v>71</v>
      </c>
      <c r="I26" s="854" t="s">
        <v>398</v>
      </c>
      <c r="J26" s="491" t="s">
        <v>63</v>
      </c>
      <c r="K26" s="502"/>
      <c r="L26" s="489">
        <v>45728</v>
      </c>
      <c r="M26" s="491" t="s">
        <v>57</v>
      </c>
      <c r="N26" s="559">
        <v>60843.5</v>
      </c>
      <c r="O26" s="491" t="s">
        <v>57</v>
      </c>
      <c r="P26" s="827" t="s">
        <v>399</v>
      </c>
      <c r="Q26" s="492">
        <v>45722</v>
      </c>
      <c r="R26" s="492">
        <v>45917</v>
      </c>
      <c r="S26" s="492">
        <v>45939</v>
      </c>
      <c r="T26" s="492"/>
      <c r="U26" s="500" t="s">
        <v>522</v>
      </c>
      <c r="V26" s="874">
        <v>4979</v>
      </c>
      <c r="W26" s="762">
        <v>5020</v>
      </c>
      <c r="X26" s="485">
        <f t="shared" si="6"/>
        <v>-41</v>
      </c>
      <c r="Y26" s="681">
        <f t="shared" si="7"/>
        <v>1.0082345852580838</v>
      </c>
      <c r="Z26" s="492">
        <v>45741</v>
      </c>
      <c r="AA26" s="681">
        <v>1</v>
      </c>
      <c r="AB26" s="681">
        <v>1</v>
      </c>
      <c r="AC26" s="363">
        <v>0</v>
      </c>
      <c r="AD26" s="683" t="s">
        <v>582</v>
      </c>
    </row>
    <row r="27" spans="1:30" ht="39.75" customHeight="1">
      <c r="A27" s="965" t="s">
        <v>583</v>
      </c>
      <c r="B27" s="526" t="s">
        <v>50</v>
      </c>
      <c r="C27" s="512">
        <v>45772</v>
      </c>
      <c r="D27" s="527" t="s">
        <v>584</v>
      </c>
      <c r="E27" s="527">
        <v>45693</v>
      </c>
      <c r="F27" s="517" t="s">
        <v>61</v>
      </c>
      <c r="G27" s="528" t="s">
        <v>585</v>
      </c>
      <c r="H27" s="520">
        <v>86</v>
      </c>
      <c r="I27" s="522" t="s">
        <v>398</v>
      </c>
      <c r="J27" s="520" t="s">
        <v>63</v>
      </c>
      <c r="K27" s="520"/>
      <c r="L27" s="527">
        <v>45714</v>
      </c>
      <c r="M27" s="520" t="s">
        <v>57</v>
      </c>
      <c r="N27" s="561">
        <v>94170.5</v>
      </c>
      <c r="O27" s="520" t="s">
        <v>57</v>
      </c>
      <c r="P27" s="966" t="s">
        <v>399</v>
      </c>
      <c r="Q27" s="492">
        <v>45693</v>
      </c>
      <c r="R27" s="492">
        <v>45869</v>
      </c>
      <c r="S27" s="492">
        <v>45903</v>
      </c>
      <c r="T27" s="492"/>
      <c r="U27" s="500" t="s">
        <v>522</v>
      </c>
      <c r="V27" s="508">
        <v>7980</v>
      </c>
      <c r="W27" s="761">
        <v>7901</v>
      </c>
      <c r="X27" s="107">
        <f t="shared" si="6"/>
        <v>79</v>
      </c>
      <c r="Y27" s="22">
        <f t="shared" si="7"/>
        <v>0.99010025062656637</v>
      </c>
      <c r="Z27" s="697">
        <v>45713</v>
      </c>
      <c r="AA27" s="486">
        <v>1</v>
      </c>
      <c r="AB27" s="486">
        <v>1</v>
      </c>
      <c r="AC27" s="836">
        <v>0</v>
      </c>
      <c r="AD27" s="176" t="s">
        <v>586</v>
      </c>
    </row>
    <row r="28" spans="1:30" ht="39.75" customHeight="1">
      <c r="A28" s="965" t="s">
        <v>587</v>
      </c>
      <c r="B28" s="526" t="s">
        <v>50</v>
      </c>
      <c r="C28" s="512">
        <v>45772</v>
      </c>
      <c r="D28" s="527" t="s">
        <v>584</v>
      </c>
      <c r="E28" s="527">
        <v>45698</v>
      </c>
      <c r="F28" s="512" t="s">
        <v>61</v>
      </c>
      <c r="G28" s="528" t="s">
        <v>588</v>
      </c>
      <c r="H28" s="520">
        <v>89</v>
      </c>
      <c r="I28" s="520" t="s">
        <v>398</v>
      </c>
      <c r="J28" s="520" t="s">
        <v>63</v>
      </c>
      <c r="K28" s="520"/>
      <c r="L28" s="527">
        <v>45695</v>
      </c>
      <c r="M28" s="520" t="s">
        <v>57</v>
      </c>
      <c r="N28" s="562">
        <v>89698.5</v>
      </c>
      <c r="O28" s="520" t="s">
        <v>57</v>
      </c>
      <c r="P28" s="966" t="s">
        <v>399</v>
      </c>
      <c r="Q28" s="492">
        <v>45694</v>
      </c>
      <c r="R28" s="492">
        <v>45917</v>
      </c>
      <c r="S28" s="492">
        <v>45936</v>
      </c>
      <c r="T28" s="492"/>
      <c r="U28" s="500" t="s">
        <v>522</v>
      </c>
      <c r="V28" s="508">
        <v>7562</v>
      </c>
      <c r="W28" s="761">
        <v>7556</v>
      </c>
      <c r="X28" s="107">
        <f t="shared" si="6"/>
        <v>6</v>
      </c>
      <c r="Y28" s="22">
        <f t="shared" si="7"/>
        <v>0.99920655911134626</v>
      </c>
      <c r="Z28" s="697">
        <v>45709</v>
      </c>
      <c r="AA28" s="486">
        <v>1</v>
      </c>
      <c r="AB28" s="486">
        <v>1</v>
      </c>
      <c r="AC28" s="836">
        <v>0</v>
      </c>
      <c r="AD28" s="204" t="s">
        <v>589</v>
      </c>
    </row>
    <row r="29" spans="1:30" ht="39.75" customHeight="1">
      <c r="A29" s="875" t="s">
        <v>590</v>
      </c>
      <c r="B29" s="848" t="s">
        <v>50</v>
      </c>
      <c r="C29" s="489">
        <v>45772</v>
      </c>
      <c r="D29" s="489" t="s">
        <v>580</v>
      </c>
      <c r="E29" s="851">
        <v>45686</v>
      </c>
      <c r="F29" s="488" t="s">
        <v>61</v>
      </c>
      <c r="G29" s="876" t="s">
        <v>591</v>
      </c>
      <c r="H29" s="854">
        <v>77</v>
      </c>
      <c r="I29" s="680" t="s">
        <v>398</v>
      </c>
      <c r="J29" s="854" t="s">
        <v>63</v>
      </c>
      <c r="K29" s="854"/>
      <c r="L29" s="851">
        <v>45686</v>
      </c>
      <c r="M29" s="854" t="s">
        <v>57</v>
      </c>
      <c r="N29" s="877">
        <v>61924</v>
      </c>
      <c r="O29" s="854" t="s">
        <v>57</v>
      </c>
      <c r="P29" s="827" t="s">
        <v>399</v>
      </c>
      <c r="Q29" s="492">
        <v>45692</v>
      </c>
      <c r="R29" s="492">
        <v>45847</v>
      </c>
      <c r="S29" s="492">
        <v>45852</v>
      </c>
      <c r="T29" s="492"/>
      <c r="U29" s="500" t="s">
        <v>522</v>
      </c>
      <c r="V29" s="878">
        <v>5005</v>
      </c>
      <c r="W29" s="879">
        <v>4996</v>
      </c>
      <c r="X29" s="485">
        <f t="shared" si="6"/>
        <v>9</v>
      </c>
      <c r="Y29" s="681">
        <f t="shared" si="7"/>
        <v>0.99820179820179822</v>
      </c>
      <c r="Z29" s="492">
        <v>45708</v>
      </c>
      <c r="AA29" s="681">
        <v>1</v>
      </c>
      <c r="AB29" s="681">
        <v>1</v>
      </c>
      <c r="AC29" s="836">
        <v>0</v>
      </c>
      <c r="AD29" s="882" t="s">
        <v>592</v>
      </c>
    </row>
    <row r="30" spans="1:30" ht="39.75" customHeight="1">
      <c r="A30" s="875" t="s">
        <v>593</v>
      </c>
      <c r="B30" s="848" t="s">
        <v>50</v>
      </c>
      <c r="C30" s="489">
        <v>45772</v>
      </c>
      <c r="D30" s="851" t="s">
        <v>594</v>
      </c>
      <c r="E30" s="851">
        <v>45694</v>
      </c>
      <c r="F30" s="851" t="s">
        <v>61</v>
      </c>
      <c r="G30" s="876" t="s">
        <v>595</v>
      </c>
      <c r="H30" s="854">
        <v>84</v>
      </c>
      <c r="I30" s="680" t="s">
        <v>398</v>
      </c>
      <c r="J30" s="854" t="s">
        <v>63</v>
      </c>
      <c r="K30" s="854"/>
      <c r="L30" s="851">
        <v>45698</v>
      </c>
      <c r="M30" s="854" t="s">
        <v>57</v>
      </c>
      <c r="N30" s="877">
        <v>63402.5</v>
      </c>
      <c r="O30" s="854" t="s">
        <v>57</v>
      </c>
      <c r="P30" s="827" t="s">
        <v>399</v>
      </c>
      <c r="Q30" s="492">
        <v>45695</v>
      </c>
      <c r="R30" s="492">
        <v>45847</v>
      </c>
      <c r="S30" s="492">
        <v>45852</v>
      </c>
      <c r="T30" s="492"/>
      <c r="U30" s="500" t="s">
        <v>522</v>
      </c>
      <c r="V30" s="874">
        <v>4979</v>
      </c>
      <c r="W30" s="879">
        <v>4984</v>
      </c>
      <c r="X30" s="485">
        <f t="shared" si="6"/>
        <v>-5</v>
      </c>
      <c r="Y30" s="681">
        <f t="shared" si="7"/>
        <v>1.0010042177144005</v>
      </c>
      <c r="Z30" s="492">
        <v>45714</v>
      </c>
      <c r="AA30" s="681">
        <v>1</v>
      </c>
      <c r="AB30" s="681">
        <v>1</v>
      </c>
      <c r="AC30" s="836">
        <v>0</v>
      </c>
      <c r="AD30" s="149" t="s">
        <v>596</v>
      </c>
    </row>
    <row r="31" spans="1:30" ht="39.75" customHeight="1">
      <c r="A31" s="869" t="s">
        <v>597</v>
      </c>
      <c r="B31" s="880" t="s">
        <v>50</v>
      </c>
      <c r="C31" s="658">
        <v>45688</v>
      </c>
      <c r="D31" s="658" t="s">
        <v>584</v>
      </c>
      <c r="E31" s="658">
        <v>45695</v>
      </c>
      <c r="F31" s="480" t="s">
        <v>61</v>
      </c>
      <c r="G31" s="881" t="s">
        <v>598</v>
      </c>
      <c r="H31" s="482">
        <v>88</v>
      </c>
      <c r="I31" s="680" t="s">
        <v>599</v>
      </c>
      <c r="J31" s="482" t="s">
        <v>63</v>
      </c>
      <c r="K31" s="854"/>
      <c r="L31" s="478" t="s">
        <v>399</v>
      </c>
      <c r="M31" s="680" t="s">
        <v>57</v>
      </c>
      <c r="N31" s="558">
        <v>43130</v>
      </c>
      <c r="O31" s="680" t="s">
        <v>57</v>
      </c>
      <c r="P31" s="827" t="s">
        <v>399</v>
      </c>
      <c r="Q31" s="484">
        <v>45691</v>
      </c>
      <c r="R31" s="484">
        <v>45870</v>
      </c>
      <c r="S31" s="484">
        <v>45908</v>
      </c>
      <c r="T31" s="484"/>
      <c r="U31" s="500" t="s">
        <v>522</v>
      </c>
      <c r="V31" s="485">
        <v>2931</v>
      </c>
      <c r="W31" s="762">
        <v>3257</v>
      </c>
      <c r="X31" s="485">
        <f t="shared" si="6"/>
        <v>-326</v>
      </c>
      <c r="Y31" s="681">
        <f t="shared" si="7"/>
        <v>1.11122483793927</v>
      </c>
      <c r="Z31" s="484">
        <v>45750</v>
      </c>
      <c r="AA31" s="514">
        <v>1</v>
      </c>
      <c r="AB31" s="514">
        <v>1</v>
      </c>
      <c r="AC31" s="661">
        <v>0</v>
      </c>
      <c r="AD31" s="918" t="s">
        <v>600</v>
      </c>
    </row>
    <row r="32" spans="1:30" ht="39.75" customHeight="1">
      <c r="A32" s="869" t="s">
        <v>601</v>
      </c>
      <c r="B32" s="848" t="s">
        <v>50</v>
      </c>
      <c r="C32" s="851">
        <v>45688</v>
      </c>
      <c r="D32" s="489" t="s">
        <v>71</v>
      </c>
      <c r="E32" s="851">
        <v>45686</v>
      </c>
      <c r="F32" s="851" t="s">
        <v>61</v>
      </c>
      <c r="G32" s="876" t="s">
        <v>602</v>
      </c>
      <c r="H32" s="491">
        <v>88</v>
      </c>
      <c r="I32" s="854" t="s">
        <v>599</v>
      </c>
      <c r="J32" s="491" t="s">
        <v>63</v>
      </c>
      <c r="K32" s="491"/>
      <c r="L32" s="855">
        <v>45706</v>
      </c>
      <c r="M32" s="854" t="s">
        <v>57</v>
      </c>
      <c r="N32" s="559">
        <v>69212.5</v>
      </c>
      <c r="O32" s="854" t="s">
        <v>57</v>
      </c>
      <c r="P32" s="827" t="s">
        <v>399</v>
      </c>
      <c r="Q32" s="492">
        <v>45679</v>
      </c>
      <c r="R32" s="492">
        <v>45917</v>
      </c>
      <c r="S32" s="492">
        <v>45918</v>
      </c>
      <c r="T32" s="492"/>
      <c r="U32" s="500" t="s">
        <v>522</v>
      </c>
      <c r="V32" s="41">
        <v>5661</v>
      </c>
      <c r="W32" s="762">
        <v>5752</v>
      </c>
      <c r="X32" s="485">
        <f t="shared" si="6"/>
        <v>-91</v>
      </c>
      <c r="Y32" s="681">
        <f t="shared" si="7"/>
        <v>1.0160748984278396</v>
      </c>
      <c r="Z32" s="492">
        <v>45681</v>
      </c>
      <c r="AA32" s="681">
        <v>1</v>
      </c>
      <c r="AB32" s="681">
        <v>1</v>
      </c>
      <c r="AC32" s="836">
        <v>0</v>
      </c>
      <c r="AD32" s="149" t="s">
        <v>603</v>
      </c>
    </row>
    <row r="33" spans="1:30" ht="39.75" customHeight="1">
      <c r="A33" s="869" t="s">
        <v>604</v>
      </c>
      <c r="B33" s="848" t="s">
        <v>50</v>
      </c>
      <c r="C33" s="489">
        <v>45772</v>
      </c>
      <c r="D33" s="488" t="s">
        <v>594</v>
      </c>
      <c r="E33" s="489">
        <v>45743</v>
      </c>
      <c r="F33" s="488" t="s">
        <v>61</v>
      </c>
      <c r="G33" s="849" t="s">
        <v>605</v>
      </c>
      <c r="H33" s="491">
        <v>57</v>
      </c>
      <c r="I33" s="854" t="s">
        <v>398</v>
      </c>
      <c r="J33" s="482" t="s">
        <v>63</v>
      </c>
      <c r="K33" s="850"/>
      <c r="L33" s="489">
        <v>45741</v>
      </c>
      <c r="M33" s="482" t="s">
        <v>57</v>
      </c>
      <c r="N33" s="559">
        <v>49071</v>
      </c>
      <c r="O33" s="482" t="s">
        <v>57</v>
      </c>
      <c r="P33" s="827" t="s">
        <v>399</v>
      </c>
      <c r="Q33" s="492">
        <v>45745</v>
      </c>
      <c r="R33" s="492">
        <v>45832</v>
      </c>
      <c r="S33" s="492">
        <v>45839</v>
      </c>
      <c r="T33" s="492"/>
      <c r="U33" s="500" t="s">
        <v>522</v>
      </c>
      <c r="V33" s="41">
        <v>3967</v>
      </c>
      <c r="W33" s="762">
        <v>3936</v>
      </c>
      <c r="X33" s="107">
        <f t="shared" si="6"/>
        <v>31</v>
      </c>
      <c r="Y33" s="676">
        <f t="shared" si="7"/>
        <v>0.99218553062767834</v>
      </c>
      <c r="Z33" s="697">
        <v>45756</v>
      </c>
      <c r="AA33" s="681">
        <v>1</v>
      </c>
      <c r="AB33" s="681">
        <v>1</v>
      </c>
      <c r="AC33" s="661">
        <v>0</v>
      </c>
      <c r="AD33" s="917" t="s">
        <v>606</v>
      </c>
    </row>
    <row r="34" spans="1:30" ht="39.75" customHeight="1">
      <c r="A34" s="1171" t="s">
        <v>607</v>
      </c>
      <c r="B34" s="389" t="s">
        <v>50</v>
      </c>
      <c r="C34" s="51">
        <v>45742</v>
      </c>
      <c r="D34" s="1156" t="s">
        <v>608</v>
      </c>
      <c r="E34" s="392">
        <v>45680</v>
      </c>
      <c r="F34" s="50" t="s">
        <v>61</v>
      </c>
      <c r="G34" s="588" t="s">
        <v>609</v>
      </c>
      <c r="H34" s="52">
        <v>79</v>
      </c>
      <c r="I34" s="1158" t="s">
        <v>599</v>
      </c>
      <c r="J34" s="1029" t="s">
        <v>63</v>
      </c>
      <c r="K34" s="52"/>
      <c r="L34" s="385" t="s">
        <v>399</v>
      </c>
      <c r="M34" s="391" t="s">
        <v>57</v>
      </c>
      <c r="N34" s="1146">
        <v>64790.5</v>
      </c>
      <c r="O34" s="391" t="s">
        <v>57</v>
      </c>
      <c r="P34" s="1172" t="s">
        <v>399</v>
      </c>
      <c r="Q34" s="54">
        <v>45675</v>
      </c>
      <c r="R34" s="54">
        <v>45917</v>
      </c>
      <c r="S34" s="54">
        <v>45931</v>
      </c>
      <c r="T34" s="54"/>
      <c r="U34" s="500" t="s">
        <v>522</v>
      </c>
      <c r="V34" s="31">
        <v>4975</v>
      </c>
      <c r="W34" s="1173">
        <v>4975</v>
      </c>
      <c r="X34" s="107">
        <f t="shared" si="6"/>
        <v>0</v>
      </c>
      <c r="Y34" s="22">
        <f t="shared" si="7"/>
        <v>1</v>
      </c>
      <c r="Z34" s="198">
        <v>45680</v>
      </c>
      <c r="AA34" s="366">
        <v>0</v>
      </c>
      <c r="AB34" s="366">
        <v>0</v>
      </c>
      <c r="AC34" s="836">
        <v>0</v>
      </c>
      <c r="AD34" s="69" t="s">
        <v>610</v>
      </c>
    </row>
    <row r="35" spans="1:30" ht="39.75" customHeight="1">
      <c r="A35" s="869" t="s">
        <v>611</v>
      </c>
      <c r="B35" s="848" t="s">
        <v>50</v>
      </c>
      <c r="C35" s="480">
        <v>45960</v>
      </c>
      <c r="D35" s="478" t="s">
        <v>258</v>
      </c>
      <c r="E35" s="480">
        <v>45927</v>
      </c>
      <c r="F35" s="478" t="s">
        <v>94</v>
      </c>
      <c r="G35" s="701" t="s">
        <v>612</v>
      </c>
      <c r="H35" s="482">
        <v>86</v>
      </c>
      <c r="I35" s="680" t="s">
        <v>398</v>
      </c>
      <c r="J35" s="482" t="s">
        <v>63</v>
      </c>
      <c r="K35" s="491"/>
      <c r="L35" s="480">
        <v>45917</v>
      </c>
      <c r="M35" s="482" t="s">
        <v>57</v>
      </c>
      <c r="N35" s="558">
        <v>45500</v>
      </c>
      <c r="O35" s="482" t="s">
        <v>57</v>
      </c>
      <c r="P35" s="827" t="s">
        <v>399</v>
      </c>
      <c r="Q35" s="484">
        <v>45917</v>
      </c>
      <c r="R35" s="484">
        <v>45944</v>
      </c>
      <c r="S35" s="484">
        <v>45951</v>
      </c>
      <c r="T35" s="484"/>
      <c r="U35" s="500" t="s">
        <v>522</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613</v>
      </c>
      <c r="B36" s="848" t="s">
        <v>50</v>
      </c>
      <c r="C36" s="480">
        <v>45991</v>
      </c>
      <c r="D36" s="480" t="s">
        <v>71</v>
      </c>
      <c r="E36" s="489">
        <v>45743</v>
      </c>
      <c r="F36" s="488" t="s">
        <v>61</v>
      </c>
      <c r="G36" s="849" t="s">
        <v>614</v>
      </c>
      <c r="H36" s="491">
        <v>70</v>
      </c>
      <c r="I36" s="680" t="s">
        <v>398</v>
      </c>
      <c r="J36" s="482" t="s">
        <v>63</v>
      </c>
      <c r="K36" s="850"/>
      <c r="L36" s="489">
        <v>45741</v>
      </c>
      <c r="M36" s="482" t="s">
        <v>57</v>
      </c>
      <c r="N36" s="559">
        <v>67735.5</v>
      </c>
      <c r="O36" s="482" t="s">
        <v>57</v>
      </c>
      <c r="P36" s="827" t="s">
        <v>399</v>
      </c>
      <c r="Q36" s="492">
        <v>45779</v>
      </c>
      <c r="R36" s="492"/>
      <c r="S36" s="492"/>
      <c r="T36" s="492"/>
      <c r="U36" s="500" t="s">
        <v>522</v>
      </c>
      <c r="V36" s="41">
        <v>6152</v>
      </c>
      <c r="W36" s="762">
        <v>5723</v>
      </c>
      <c r="X36" s="107">
        <f>SUM(V36-W36)</f>
        <v>429</v>
      </c>
      <c r="Y36" s="676">
        <f>IFERROR($W36/$V36, 0)</f>
        <v>0.9302665799739922</v>
      </c>
      <c r="Z36" s="697">
        <v>45792</v>
      </c>
      <c r="AA36" s="366">
        <v>0</v>
      </c>
      <c r="AB36" s="366">
        <v>0</v>
      </c>
      <c r="AC36" s="661">
        <v>0</v>
      </c>
      <c r="AD36" s="364" t="s">
        <v>615</v>
      </c>
    </row>
    <row r="37" spans="1:30" ht="39.75" customHeight="1">
      <c r="A37" s="915" t="s">
        <v>616</v>
      </c>
      <c r="B37" s="848" t="s">
        <v>50</v>
      </c>
      <c r="C37" s="851">
        <v>45716</v>
      </c>
      <c r="D37" s="851" t="s">
        <v>71</v>
      </c>
      <c r="E37" s="851">
        <v>45701</v>
      </c>
      <c r="F37" s="488" t="s">
        <v>61</v>
      </c>
      <c r="G37" s="876" t="s">
        <v>527</v>
      </c>
      <c r="H37" s="854">
        <v>0</v>
      </c>
      <c r="I37" s="854" t="s">
        <v>399</v>
      </c>
      <c r="J37" s="854" t="s">
        <v>63</v>
      </c>
      <c r="K37" s="854"/>
      <c r="L37" s="851">
        <v>45705</v>
      </c>
      <c r="M37" s="854" t="s">
        <v>57</v>
      </c>
      <c r="N37" s="877">
        <v>1295</v>
      </c>
      <c r="O37" s="854" t="s">
        <v>57</v>
      </c>
      <c r="P37" s="827" t="s">
        <v>399</v>
      </c>
      <c r="Q37" s="529">
        <v>45706</v>
      </c>
      <c r="R37" s="529">
        <v>45826</v>
      </c>
      <c r="S37" s="529"/>
      <c r="T37" s="529"/>
      <c r="U37" s="500" t="s">
        <v>522</v>
      </c>
      <c r="V37" s="878">
        <v>153</v>
      </c>
      <c r="W37" s="761">
        <v>153</v>
      </c>
      <c r="X37" s="107">
        <f t="shared" si="6"/>
        <v>0</v>
      </c>
      <c r="Y37" s="676">
        <f t="shared" si="7"/>
        <v>1</v>
      </c>
      <c r="Z37" s="697">
        <v>45754</v>
      </c>
      <c r="AA37" s="486">
        <v>1</v>
      </c>
      <c r="AB37" s="486">
        <v>1</v>
      </c>
      <c r="AC37" s="836">
        <v>0</v>
      </c>
      <c r="AD37" s="176" t="s">
        <v>617</v>
      </c>
    </row>
    <row r="38" spans="1:30" ht="39.75" customHeight="1">
      <c r="A38" s="910"/>
      <c r="B38" s="908"/>
      <c r="C38" s="908"/>
      <c r="D38" s="908"/>
      <c r="E38" s="908"/>
      <c r="F38" s="910"/>
      <c r="G38" s="910"/>
      <c r="H38" s="908"/>
      <c r="I38" s="908"/>
      <c r="J38" s="908"/>
      <c r="K38" s="908"/>
      <c r="L38" s="910"/>
      <c r="M38" s="908"/>
      <c r="N38" s="1166"/>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5"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628</v>
      </c>
      <c r="B4" s="50" t="s">
        <v>108</v>
      </c>
      <c r="C4" s="51">
        <v>45772</v>
      </c>
      <c r="D4" s="51" t="s">
        <v>71</v>
      </c>
      <c r="E4" s="677">
        <v>45691</v>
      </c>
      <c r="F4" s="677" t="s">
        <v>109</v>
      </c>
      <c r="G4" s="689" t="s">
        <v>629</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108</v>
      </c>
      <c r="C5" s="386">
        <v>45772</v>
      </c>
      <c r="D5" s="665" t="s">
        <v>631</v>
      </c>
      <c r="E5" s="386">
        <v>45735</v>
      </c>
      <c r="F5" s="665" t="s">
        <v>109</v>
      </c>
      <c r="G5" s="589" t="s">
        <v>632</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108</v>
      </c>
      <c r="C6" s="386">
        <v>45807</v>
      </c>
      <c r="D6" s="665" t="s">
        <v>162</v>
      </c>
      <c r="E6" s="386">
        <v>45778</v>
      </c>
      <c r="F6" s="385" t="s">
        <v>109</v>
      </c>
      <c r="G6" s="690" t="s">
        <v>635</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636</v>
      </c>
    </row>
    <row r="7" spans="1:27" ht="39.75" customHeight="1">
      <c r="A7" s="384" t="s">
        <v>637</v>
      </c>
      <c r="B7" s="50" t="s">
        <v>108</v>
      </c>
      <c r="C7" s="51">
        <v>45787</v>
      </c>
      <c r="D7" s="677" t="s">
        <v>162</v>
      </c>
      <c r="E7" s="51">
        <v>45715</v>
      </c>
      <c r="F7" s="50" t="s">
        <v>109</v>
      </c>
      <c r="G7" s="689" t="s">
        <v>638</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108</v>
      </c>
      <c r="C8" s="386">
        <v>45711</v>
      </c>
      <c r="D8" s="386" t="s">
        <v>640</v>
      </c>
      <c r="E8" s="386">
        <v>45693</v>
      </c>
      <c r="F8" s="665" t="s">
        <v>137</v>
      </c>
      <c r="G8" s="691" t="s">
        <v>72</v>
      </c>
      <c r="H8" s="387">
        <v>54</v>
      </c>
      <c r="I8" s="686" t="s">
        <v>599</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108</v>
      </c>
      <c r="C9" s="51">
        <v>45711</v>
      </c>
      <c r="D9" s="677" t="s">
        <v>162</v>
      </c>
      <c r="E9" s="51">
        <v>45712</v>
      </c>
      <c r="F9" s="677" t="s">
        <v>109</v>
      </c>
      <c r="G9" s="685" t="s">
        <v>642</v>
      </c>
      <c r="H9" s="52">
        <v>49</v>
      </c>
      <c r="I9" s="52" t="s">
        <v>599</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108</v>
      </c>
      <c r="C10" s="51">
        <v>45716</v>
      </c>
      <c r="D10" s="677" t="s">
        <v>162</v>
      </c>
      <c r="E10" s="51">
        <v>45706</v>
      </c>
      <c r="F10" s="677" t="s">
        <v>137</v>
      </c>
      <c r="G10" s="689" t="s">
        <v>644</v>
      </c>
      <c r="H10" s="52">
        <v>56</v>
      </c>
      <c r="I10" s="679" t="s">
        <v>599</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108</v>
      </c>
      <c r="C11" s="51">
        <v>45925</v>
      </c>
      <c r="D11" s="677" t="s">
        <v>162</v>
      </c>
      <c r="E11" s="51">
        <v>45755</v>
      </c>
      <c r="F11" s="677" t="s">
        <v>137</v>
      </c>
      <c r="G11" s="589" t="s">
        <v>646</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108</v>
      </c>
      <c r="C12" s="51">
        <v>45925</v>
      </c>
      <c r="D12" s="677" t="s">
        <v>631</v>
      </c>
      <c r="E12" s="51">
        <v>45749</v>
      </c>
      <c r="F12" s="677" t="s">
        <v>137</v>
      </c>
      <c r="G12" s="689" t="s">
        <v>648</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108</v>
      </c>
      <c r="C13" s="51">
        <v>45925</v>
      </c>
      <c r="D13" s="677" t="s">
        <v>162</v>
      </c>
      <c r="E13" s="51">
        <v>45749</v>
      </c>
      <c r="F13" s="677" t="s">
        <v>109</v>
      </c>
      <c r="G13" s="689" t="s">
        <v>650</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108</v>
      </c>
      <c r="C14" s="51">
        <v>45688</v>
      </c>
      <c r="D14" s="51" t="s">
        <v>652</v>
      </c>
      <c r="E14" s="51">
        <v>45666</v>
      </c>
      <c r="F14" s="677" t="s">
        <v>109</v>
      </c>
      <c r="G14" s="685" t="s">
        <v>653</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108</v>
      </c>
      <c r="C15" s="51">
        <v>45688</v>
      </c>
      <c r="D15" s="51" t="s">
        <v>71</v>
      </c>
      <c r="E15" s="51">
        <v>45679</v>
      </c>
      <c r="F15" s="677" t="s">
        <v>109</v>
      </c>
      <c r="G15" s="685" t="s">
        <v>655</v>
      </c>
      <c r="H15" s="52">
        <v>70</v>
      </c>
      <c r="I15" s="679" t="s">
        <v>599</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108</v>
      </c>
      <c r="C16" s="51">
        <v>45688</v>
      </c>
      <c r="D16" s="51" t="s">
        <v>162</v>
      </c>
      <c r="E16" s="51">
        <v>45685</v>
      </c>
      <c r="F16" s="677" t="s">
        <v>109</v>
      </c>
      <c r="G16" s="685" t="s">
        <v>657</v>
      </c>
      <c r="H16" s="52">
        <v>75</v>
      </c>
      <c r="I16" s="679" t="s">
        <v>599</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108</v>
      </c>
      <c r="C17" s="51">
        <v>45688</v>
      </c>
      <c r="D17" s="51" t="s">
        <v>659</v>
      </c>
      <c r="E17" s="51">
        <v>45693</v>
      </c>
      <c r="F17" s="677" t="s">
        <v>137</v>
      </c>
      <c r="G17" s="685" t="s">
        <v>660</v>
      </c>
      <c r="H17" s="52">
        <v>65</v>
      </c>
      <c r="I17" s="679" t="s">
        <v>599</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108</v>
      </c>
      <c r="C18" s="51">
        <v>45688</v>
      </c>
      <c r="D18" s="51" t="s">
        <v>162</v>
      </c>
      <c r="E18" s="51">
        <v>45685</v>
      </c>
      <c r="F18" s="677" t="s">
        <v>109</v>
      </c>
      <c r="G18" s="685" t="s">
        <v>662</v>
      </c>
      <c r="H18" s="52">
        <v>81</v>
      </c>
      <c r="I18" s="679" t="s">
        <v>599</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108</v>
      </c>
      <c r="C19" s="51">
        <v>45742</v>
      </c>
      <c r="D19" s="677" t="s">
        <v>162</v>
      </c>
      <c r="E19" s="51">
        <v>45708</v>
      </c>
      <c r="F19" s="677" t="s">
        <v>137</v>
      </c>
      <c r="G19" s="689" t="s">
        <v>664</v>
      </c>
      <c r="H19" s="52">
        <v>50</v>
      </c>
      <c r="I19" s="52" t="s">
        <v>599</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108</v>
      </c>
      <c r="C20" s="51">
        <v>45742</v>
      </c>
      <c r="D20" s="677" t="s">
        <v>162</v>
      </c>
      <c r="E20" s="51">
        <v>45729</v>
      </c>
      <c r="F20" s="50" t="s">
        <v>137</v>
      </c>
      <c r="G20" s="689" t="s">
        <v>666</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108</v>
      </c>
      <c r="C21" s="51">
        <v>45772</v>
      </c>
      <c r="D21" s="677" t="s">
        <v>162</v>
      </c>
      <c r="E21" s="51">
        <v>45735</v>
      </c>
      <c r="F21" s="677" t="s">
        <v>109</v>
      </c>
      <c r="G21" s="689" t="s">
        <v>668</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108</v>
      </c>
      <c r="C22" s="51">
        <v>45716</v>
      </c>
      <c r="D22" s="677" t="s">
        <v>162</v>
      </c>
      <c r="E22" s="51">
        <v>45712</v>
      </c>
      <c r="F22" s="677" t="s">
        <v>137</v>
      </c>
      <c r="G22" s="689" t="s">
        <v>670</v>
      </c>
      <c r="H22" s="52">
        <v>51</v>
      </c>
      <c r="I22" s="679" t="s">
        <v>599</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7" t="s">
        <v>162</v>
      </c>
      <c r="E23" s="51">
        <v>45735</v>
      </c>
      <c r="F23" s="677" t="s">
        <v>137</v>
      </c>
      <c r="G23" s="689" t="s">
        <v>672</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7" t="s">
        <v>162</v>
      </c>
      <c r="E24" s="51">
        <v>45735</v>
      </c>
      <c r="F24" s="677" t="s">
        <v>109</v>
      </c>
      <c r="G24" s="689" t="s">
        <v>674</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8" t="s">
        <v>676</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7" t="s">
        <v>162</v>
      </c>
      <c r="E26" s="51">
        <v>45758</v>
      </c>
      <c r="F26" s="677" t="s">
        <v>109</v>
      </c>
      <c r="G26" s="589" t="s">
        <v>678</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108</v>
      </c>
      <c r="C27" s="51">
        <v>45862</v>
      </c>
      <c r="D27" s="392" t="s">
        <v>162</v>
      </c>
      <c r="E27" s="51">
        <v>45758</v>
      </c>
      <c r="F27" s="392" t="s">
        <v>109</v>
      </c>
      <c r="G27" s="589" t="s">
        <v>680</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9" t="s">
        <v>682</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5" t="s">
        <v>162</v>
      </c>
      <c r="E29" s="51">
        <v>45786</v>
      </c>
      <c r="F29" s="605" t="s">
        <v>109</v>
      </c>
      <c r="G29" s="653" t="s">
        <v>684</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108</v>
      </c>
      <c r="C30" s="512">
        <v>45688</v>
      </c>
      <c r="D30" s="512" t="s">
        <v>687</v>
      </c>
      <c r="E30" s="512">
        <v>45684</v>
      </c>
      <c r="F30" s="527" t="s">
        <v>137</v>
      </c>
      <c r="G30" s="800" t="s">
        <v>688</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108</v>
      </c>
      <c r="C31" s="665">
        <v>45805</v>
      </c>
      <c r="D31" s="665" t="s">
        <v>162</v>
      </c>
      <c r="E31" s="665">
        <v>45695</v>
      </c>
      <c r="F31" s="665" t="s">
        <v>137</v>
      </c>
      <c r="G31" s="793" t="s">
        <v>690</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5" t="s">
        <v>162</v>
      </c>
      <c r="E33" s="51">
        <v>45763</v>
      </c>
      <c r="F33" s="665" t="s">
        <v>137</v>
      </c>
      <c r="G33" s="589" t="s">
        <v>695</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108</v>
      </c>
      <c r="C34" s="51">
        <v>45688</v>
      </c>
      <c r="D34" s="51" t="s">
        <v>652</v>
      </c>
      <c r="E34" s="51">
        <v>45682</v>
      </c>
      <c r="F34" s="677" t="s">
        <v>109</v>
      </c>
      <c r="G34" s="589" t="s">
        <v>697</v>
      </c>
      <c r="H34" s="52">
        <v>48</v>
      </c>
      <c r="I34" s="679" t="s">
        <v>599</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702</v>
      </c>
      <c r="B36" s="389" t="s">
        <v>50</v>
      </c>
      <c r="C36" s="51">
        <v>45807</v>
      </c>
      <c r="D36" s="50" t="s">
        <v>524</v>
      </c>
      <c r="E36" s="51">
        <v>45727</v>
      </c>
      <c r="F36" s="50" t="s">
        <v>703</v>
      </c>
      <c r="G36" s="604" t="s">
        <v>704</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4" t="s">
        <v>706</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707</v>
      </c>
    </row>
    <row r="38" spans="1:27" ht="39.75" customHeight="1">
      <c r="A38" s="384" t="s">
        <v>708</v>
      </c>
      <c r="B38" s="688" t="s">
        <v>50</v>
      </c>
      <c r="C38" s="51">
        <v>45742</v>
      </c>
      <c r="D38" s="50" t="s">
        <v>580</v>
      </c>
      <c r="E38" s="51">
        <v>45716</v>
      </c>
      <c r="F38" s="50" t="s">
        <v>709</v>
      </c>
      <c r="G38" s="687" t="s">
        <v>710</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162</v>
      </c>
      <c r="E40" s="677">
        <v>45685</v>
      </c>
      <c r="F40" s="677" t="s">
        <v>61</v>
      </c>
      <c r="G40" s="678" t="s">
        <v>714</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715</v>
      </c>
    </row>
    <row r="41" spans="1:27" ht="39.75" customHeight="1">
      <c r="A41" s="695" t="s">
        <v>716</v>
      </c>
      <c r="B41" s="389" t="s">
        <v>50</v>
      </c>
      <c r="C41" s="51">
        <v>45772</v>
      </c>
      <c r="D41" s="51" t="s">
        <v>580</v>
      </c>
      <c r="E41" s="677">
        <v>45695</v>
      </c>
      <c r="F41" s="50" t="s">
        <v>709</v>
      </c>
      <c r="G41" s="588" t="s">
        <v>588</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128</v>
      </c>
      <c r="E42" s="392">
        <v>45686</v>
      </c>
      <c r="F42" s="392" t="s">
        <v>700</v>
      </c>
      <c r="G42" s="588" t="s">
        <v>718</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162</v>
      </c>
      <c r="E43" s="392">
        <v>45685</v>
      </c>
      <c r="F43" s="50" t="s">
        <v>61</v>
      </c>
      <c r="G43" s="588" t="s">
        <v>721</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722</v>
      </c>
    </row>
    <row r="44" spans="1:27" ht="39.75" customHeight="1">
      <c r="A44" s="384" t="s">
        <v>723</v>
      </c>
      <c r="B44" s="389" t="s">
        <v>50</v>
      </c>
      <c r="C44" s="392">
        <v>45688</v>
      </c>
      <c r="D44" s="392" t="s">
        <v>584</v>
      </c>
      <c r="E44" s="392">
        <v>45692</v>
      </c>
      <c r="F44" s="51" t="s">
        <v>703</v>
      </c>
      <c r="G44" s="588" t="s">
        <v>724</v>
      </c>
      <c r="H44" s="391">
        <v>90</v>
      </c>
      <c r="I44" s="391" t="s">
        <v>599</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81" t="s">
        <v>729</v>
      </c>
      <c r="H45" s="795">
        <v>86</v>
      </c>
      <c r="I45" s="811" t="s">
        <v>599</v>
      </c>
      <c r="J45" s="795" t="s">
        <v>63</v>
      </c>
      <c r="K45" s="512">
        <v>45677</v>
      </c>
      <c r="L45" s="1000" t="s">
        <v>57</v>
      </c>
      <c r="M45" s="796">
        <v>78075.5</v>
      </c>
      <c r="N45" s="655">
        <v>75360</v>
      </c>
      <c r="O45" s="1000" t="s">
        <v>57</v>
      </c>
      <c r="P45" s="1170"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730</v>
      </c>
      <c r="B46" s="688" t="s">
        <v>50</v>
      </c>
      <c r="C46" s="677">
        <v>45688</v>
      </c>
      <c r="D46" s="677" t="s">
        <v>608</v>
      </c>
      <c r="E46" s="677">
        <v>45692</v>
      </c>
      <c r="F46" s="677" t="s">
        <v>238</v>
      </c>
      <c r="G46" s="678" t="s">
        <v>731</v>
      </c>
      <c r="H46" s="52">
        <v>86</v>
      </c>
      <c r="I46" s="679" t="s">
        <v>599</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608</v>
      </c>
      <c r="E49" s="677">
        <v>45691</v>
      </c>
      <c r="F49" s="677" t="s">
        <v>238</v>
      </c>
      <c r="G49" s="678" t="s">
        <v>741</v>
      </c>
      <c r="H49" s="52">
        <v>73</v>
      </c>
      <c r="I49" s="686" t="s">
        <v>599</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238</v>
      </c>
      <c r="G50" s="588" t="s">
        <v>744</v>
      </c>
      <c r="H50" s="52">
        <v>65</v>
      </c>
      <c r="I50" s="391" t="s">
        <v>599</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580</v>
      </c>
      <c r="E52" s="51">
        <v>45743</v>
      </c>
      <c r="F52" s="50" t="s">
        <v>709</v>
      </c>
      <c r="G52" s="689" t="s">
        <v>748</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128</v>
      </c>
      <c r="E59" s="51">
        <v>45743</v>
      </c>
      <c r="F59" s="50" t="s">
        <v>700</v>
      </c>
      <c r="G59" s="390" t="s">
        <v>766</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162</v>
      </c>
      <c r="E60" s="51">
        <v>45743</v>
      </c>
      <c r="F60" s="50" t="s">
        <v>61</v>
      </c>
      <c r="G60" s="689" t="s">
        <v>768</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580</v>
      </c>
      <c r="E62" s="677">
        <v>45684</v>
      </c>
      <c r="F62" s="50" t="s">
        <v>709</v>
      </c>
      <c r="G62" s="678" t="s">
        <v>772</v>
      </c>
      <c r="H62" s="52">
        <v>90</v>
      </c>
      <c r="I62" s="679" t="s">
        <v>599</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584</v>
      </c>
      <c r="E63" s="51">
        <v>45716</v>
      </c>
      <c r="F63" s="50" t="s">
        <v>703</v>
      </c>
      <c r="G63" s="689" t="s">
        <v>774</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128</v>
      </c>
      <c r="E64" s="677">
        <v>45686</v>
      </c>
      <c r="F64" s="677" t="s">
        <v>700</v>
      </c>
      <c r="G64" s="678" t="s">
        <v>776</v>
      </c>
      <c r="H64" s="52">
        <v>90</v>
      </c>
      <c r="I64" s="686" t="s">
        <v>599</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783</v>
      </c>
    </row>
    <row r="67" spans="1:30" ht="39.75" customHeight="1">
      <c r="A67" s="384" t="s">
        <v>784</v>
      </c>
      <c r="B67" s="688" t="s">
        <v>50</v>
      </c>
      <c r="C67" s="51">
        <v>45772</v>
      </c>
      <c r="D67" s="677" t="s">
        <v>584</v>
      </c>
      <c r="E67" s="677">
        <v>45692</v>
      </c>
      <c r="F67" s="677" t="s">
        <v>703</v>
      </c>
      <c r="G67" s="678" t="s">
        <v>785</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128</v>
      </c>
      <c r="E68" s="51">
        <v>45716</v>
      </c>
      <c r="F68" s="50" t="s">
        <v>700</v>
      </c>
      <c r="G68" s="689" t="s">
        <v>787</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599</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5">
        <v>45706</v>
      </c>
      <c r="F70" s="57" t="s">
        <v>238</v>
      </c>
      <c r="G70" s="815" t="s">
        <v>792</v>
      </c>
      <c r="H70" s="795">
        <v>85</v>
      </c>
      <c r="I70" s="801" t="s">
        <v>398</v>
      </c>
      <c r="J70" s="795" t="s">
        <v>63</v>
      </c>
      <c r="K70" s="57">
        <v>45707</v>
      </c>
      <c r="L70" s="795" t="s">
        <v>57</v>
      </c>
      <c r="M70" s="439" t="s">
        <v>793</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238</v>
      </c>
      <c r="G73" s="815" t="s">
        <v>800</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8" t="s">
        <v>238</v>
      </c>
      <c r="G74" s="1109" t="s">
        <v>802</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803</v>
      </c>
      <c r="B75" s="103" t="s">
        <v>50</v>
      </c>
      <c r="C75" s="77">
        <v>45747</v>
      </c>
      <c r="D75" s="1108" t="s">
        <v>584</v>
      </c>
      <c r="E75" s="77">
        <v>45700</v>
      </c>
      <c r="F75" s="77" t="s">
        <v>703</v>
      </c>
      <c r="G75" s="1109" t="s">
        <v>804</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128</v>
      </c>
      <c r="E76" s="57">
        <v>45736</v>
      </c>
      <c r="F76" s="791" t="s">
        <v>700</v>
      </c>
      <c r="G76" s="810" t="s">
        <v>806</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599</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580</v>
      </c>
      <c r="E78" s="57">
        <v>45695</v>
      </c>
      <c r="F78" s="791" t="s">
        <v>709</v>
      </c>
      <c r="G78" s="815" t="s">
        <v>811</v>
      </c>
      <c r="H78" s="795">
        <v>0</v>
      </c>
      <c r="I78" s="811" t="s">
        <v>599</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812</v>
      </c>
      <c r="B79" s="790" t="s">
        <v>50</v>
      </c>
      <c r="C79" s="57">
        <v>45833</v>
      </c>
      <c r="D79" s="792" t="s">
        <v>93</v>
      </c>
      <c r="E79" s="792" t="s">
        <v>52</v>
      </c>
      <c r="F79" s="792" t="s">
        <v>813</v>
      </c>
      <c r="G79" s="825" t="s">
        <v>814</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819</v>
      </c>
      <c r="AB80" s="515">
        <v>1</v>
      </c>
      <c r="AC80" s="485">
        <v>2266</v>
      </c>
      <c r="AD80" s="683"/>
    </row>
    <row r="81" spans="1:27" ht="39.75" customHeight="1">
      <c r="A81" s="1057" t="s">
        <v>820</v>
      </c>
      <c r="B81" s="479" t="s">
        <v>50</v>
      </c>
      <c r="C81" s="480">
        <v>45862</v>
      </c>
      <c r="D81" s="489" t="s">
        <v>781</v>
      </c>
      <c r="E81" s="489">
        <v>45694</v>
      </c>
      <c r="F81" s="488" t="s">
        <v>238</v>
      </c>
      <c r="G81" s="980" t="s">
        <v>821</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624</v>
      </c>
    </row>
    <row r="83" spans="1:27" ht="39.75" customHeight="1">
      <c r="A83" s="384" t="s">
        <v>825</v>
      </c>
      <c r="B83" s="389" t="s">
        <v>50</v>
      </c>
      <c r="C83" s="51">
        <v>45772</v>
      </c>
      <c r="D83" s="51" t="s">
        <v>580</v>
      </c>
      <c r="E83" s="392">
        <v>45686</v>
      </c>
      <c r="F83" s="50" t="s">
        <v>709</v>
      </c>
      <c r="G83" s="588" t="s">
        <v>826</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827</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828</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829</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618</v>
      </c>
      <c r="O89" s="583" t="s">
        <v>33</v>
      </c>
      <c r="P89" s="583" t="s">
        <v>34</v>
      </c>
      <c r="Q89" s="583" t="s">
        <v>35</v>
      </c>
      <c r="R89" s="583" t="s">
        <v>40</v>
      </c>
      <c r="S89" s="583" t="s">
        <v>41</v>
      </c>
      <c r="T89" s="583" t="s">
        <v>47</v>
      </c>
      <c r="U89" s="583" t="s">
        <v>43</v>
      </c>
      <c r="V89" s="583" t="s">
        <v>44</v>
      </c>
      <c r="W89" s="593" t="s">
        <v>45</v>
      </c>
      <c r="X89" s="583" t="s">
        <v>46</v>
      </c>
      <c r="Y89" s="583" t="s">
        <v>619</v>
      </c>
      <c r="Z89" s="476" t="s">
        <v>39</v>
      </c>
      <c r="AA89" s="601"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834</v>
      </c>
      <c r="B91" s="385" t="s">
        <v>108</v>
      </c>
      <c r="C91" s="51">
        <v>45899</v>
      </c>
      <c r="D91" s="386" t="s">
        <v>162</v>
      </c>
      <c r="E91" s="386">
        <v>45873</v>
      </c>
      <c r="F91" s="605" t="s">
        <v>137</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835</v>
      </c>
      <c r="B92" s="385" t="s">
        <v>108</v>
      </c>
      <c r="C92" s="386">
        <v>45868</v>
      </c>
      <c r="D92" s="605" t="s">
        <v>162</v>
      </c>
      <c r="E92" s="386">
        <v>45813</v>
      </c>
      <c r="F92" s="605" t="s">
        <v>137</v>
      </c>
      <c r="G92" s="589" t="s">
        <v>836</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837</v>
      </c>
    </row>
    <row r="93" spans="1:27" ht="39.75" customHeight="1" thickBot="1">
      <c r="A93" s="1057" t="s">
        <v>838</v>
      </c>
      <c r="B93" s="478" t="s">
        <v>108</v>
      </c>
      <c r="C93" s="480">
        <v>45868</v>
      </c>
      <c r="D93" s="503" t="s">
        <v>162</v>
      </c>
      <c r="E93" s="480">
        <v>45786</v>
      </c>
      <c r="F93" s="503" t="s">
        <v>109</v>
      </c>
      <c r="G93" s="478" t="s">
        <v>839</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843</v>
      </c>
    </row>
    <row r="95" spans="1:27" ht="39.75" customHeight="1" thickBot="1">
      <c r="A95" s="384" t="s">
        <v>844</v>
      </c>
      <c r="B95" s="50" t="s">
        <v>108</v>
      </c>
      <c r="C95" s="51">
        <v>45930</v>
      </c>
      <c r="D95" s="51" t="s">
        <v>71</v>
      </c>
      <c r="E95" s="51">
        <v>45918</v>
      </c>
      <c r="F95" s="50" t="s">
        <v>109</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850</v>
      </c>
    </row>
    <row r="98" spans="1:27" ht="39.75" customHeight="1" thickBot="1">
      <c r="A98" s="384" t="s">
        <v>851</v>
      </c>
      <c r="B98" s="385" t="s">
        <v>108</v>
      </c>
      <c r="C98" s="51">
        <v>45868</v>
      </c>
      <c r="D98" s="605" t="s">
        <v>162</v>
      </c>
      <c r="E98" s="386">
        <v>45796</v>
      </c>
      <c r="F98" s="605" t="s">
        <v>137</v>
      </c>
      <c r="G98" s="385" t="s">
        <v>852</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853</v>
      </c>
    </row>
    <row r="99" spans="1:27" ht="39.75" customHeight="1" thickBot="1">
      <c r="A99" s="1057" t="s">
        <v>854</v>
      </c>
      <c r="B99" s="488" t="s">
        <v>108</v>
      </c>
      <c r="C99" s="489">
        <v>45930</v>
      </c>
      <c r="D99" s="489" t="s">
        <v>162</v>
      </c>
      <c r="E99" s="851">
        <v>45880</v>
      </c>
      <c r="F99" s="441" t="s">
        <v>137</v>
      </c>
      <c r="G99" s="488" t="s">
        <v>855</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856</v>
      </c>
    </row>
    <row r="100" spans="1:27" ht="39.75" customHeight="1" thickBot="1">
      <c r="A100" s="384" t="s">
        <v>857</v>
      </c>
      <c r="B100" s="385" t="s">
        <v>108</v>
      </c>
      <c r="C100" s="51">
        <v>45930</v>
      </c>
      <c r="D100" s="386" t="s">
        <v>162</v>
      </c>
      <c r="E100" s="665">
        <v>45882</v>
      </c>
      <c r="F100" s="665" t="s">
        <v>137</v>
      </c>
      <c r="G100" s="385" t="s">
        <v>858</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5" t="s">
        <v>137</v>
      </c>
      <c r="G101" s="385" t="s">
        <v>861</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862</v>
      </c>
    </row>
    <row r="102" spans="1:27" ht="39.75" customHeight="1" thickBot="1">
      <c r="A102" s="384" t="s">
        <v>863</v>
      </c>
      <c r="B102" s="385" t="s">
        <v>108</v>
      </c>
      <c r="C102" s="51">
        <v>45868</v>
      </c>
      <c r="D102" s="605" t="s">
        <v>162</v>
      </c>
      <c r="E102" s="605">
        <v>45839</v>
      </c>
      <c r="F102" s="385" t="s">
        <v>109</v>
      </c>
      <c r="G102" s="385" t="s">
        <v>864</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865</v>
      </c>
      <c r="B103" s="385" t="s">
        <v>108</v>
      </c>
      <c r="C103" s="51">
        <v>45930</v>
      </c>
      <c r="D103" s="386" t="s">
        <v>162</v>
      </c>
      <c r="E103" s="665">
        <v>45910</v>
      </c>
      <c r="F103" s="665" t="s">
        <v>137</v>
      </c>
      <c r="G103" s="385" t="s">
        <v>866</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867</v>
      </c>
    </row>
    <row r="104" spans="1:27" ht="39.75" customHeight="1" thickBot="1">
      <c r="A104" s="384" t="s">
        <v>868</v>
      </c>
      <c r="B104" s="385" t="s">
        <v>108</v>
      </c>
      <c r="C104" s="51">
        <v>45868</v>
      </c>
      <c r="D104" s="605" t="s">
        <v>162</v>
      </c>
      <c r="E104" s="605">
        <v>45840</v>
      </c>
      <c r="F104" s="386" t="s">
        <v>109</v>
      </c>
      <c r="G104" s="385" t="s">
        <v>861</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869</v>
      </c>
    </row>
    <row r="105" spans="1:27" ht="39.75" customHeight="1" thickBot="1">
      <c r="A105" s="384" t="s">
        <v>870</v>
      </c>
      <c r="B105" s="385" t="s">
        <v>108</v>
      </c>
      <c r="C105" s="51">
        <v>45868</v>
      </c>
      <c r="D105" s="605" t="s">
        <v>162</v>
      </c>
      <c r="E105" s="605">
        <v>45839</v>
      </c>
      <c r="F105" s="385" t="s">
        <v>109</v>
      </c>
      <c r="G105" s="385" t="s">
        <v>871</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872</v>
      </c>
    </row>
    <row r="106" spans="1:27" ht="39.75" customHeight="1" thickBot="1">
      <c r="A106" s="384" t="s">
        <v>873</v>
      </c>
      <c r="B106" s="385" t="s">
        <v>108</v>
      </c>
      <c r="C106" s="51">
        <v>45868</v>
      </c>
      <c r="D106" s="605" t="s">
        <v>162</v>
      </c>
      <c r="E106" s="605">
        <v>45833</v>
      </c>
      <c r="F106" s="385" t="s">
        <v>137</v>
      </c>
      <c r="G106" s="385" t="s">
        <v>874</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875</v>
      </c>
    </row>
    <row r="107" spans="1:27" ht="39.75" customHeight="1" thickBot="1">
      <c r="A107" s="384" t="s">
        <v>876</v>
      </c>
      <c r="B107" s="385" t="s">
        <v>108</v>
      </c>
      <c r="C107" s="51">
        <v>45868</v>
      </c>
      <c r="D107" s="605" t="s">
        <v>162</v>
      </c>
      <c r="E107" s="605">
        <v>45839</v>
      </c>
      <c r="F107" s="386" t="s">
        <v>109</v>
      </c>
      <c r="G107" s="385" t="s">
        <v>877</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878</v>
      </c>
    </row>
    <row r="108" spans="1:27" ht="39.75" customHeight="1" thickBot="1">
      <c r="A108" s="384" t="s">
        <v>879</v>
      </c>
      <c r="B108" s="385" t="s">
        <v>108</v>
      </c>
      <c r="C108" s="51">
        <v>45930</v>
      </c>
      <c r="D108" s="386" t="s">
        <v>162</v>
      </c>
      <c r="E108" s="665">
        <v>45910</v>
      </c>
      <c r="F108" s="385" t="s">
        <v>109</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880</v>
      </c>
    </row>
    <row r="109" spans="1:27" ht="39.75" customHeight="1" thickBot="1">
      <c r="A109" s="384" t="s">
        <v>881</v>
      </c>
      <c r="B109" s="385" t="s">
        <v>108</v>
      </c>
      <c r="C109" s="51">
        <v>45899</v>
      </c>
      <c r="D109" s="386" t="s">
        <v>162</v>
      </c>
      <c r="E109" s="386">
        <v>45887</v>
      </c>
      <c r="F109" s="605" t="s">
        <v>137</v>
      </c>
      <c r="G109" s="653" t="s">
        <v>882</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891</v>
      </c>
    </row>
    <row r="113" spans="1:27" ht="39.75" customHeight="1" thickBot="1">
      <c r="A113" s="384" t="s">
        <v>892</v>
      </c>
      <c r="B113" s="50" t="s">
        <v>108</v>
      </c>
      <c r="C113" s="51">
        <v>45930</v>
      </c>
      <c r="D113" s="51" t="s">
        <v>162</v>
      </c>
      <c r="E113" s="51">
        <v>45915</v>
      </c>
      <c r="F113" s="677" t="s">
        <v>137</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893</v>
      </c>
    </row>
    <row r="114" spans="1:27" ht="39.75" customHeight="1" thickBot="1">
      <c r="A114" s="384" t="s">
        <v>894</v>
      </c>
      <c r="B114" s="50" t="s">
        <v>108</v>
      </c>
      <c r="C114" s="51">
        <v>45945</v>
      </c>
      <c r="D114" s="51" t="s">
        <v>162</v>
      </c>
      <c r="E114" s="51">
        <v>45945</v>
      </c>
      <c r="F114" s="50" t="s">
        <v>149</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895</v>
      </c>
    </row>
    <row r="115" spans="1:27" ht="39.75" customHeight="1" thickBot="1">
      <c r="A115" s="384" t="s">
        <v>896</v>
      </c>
      <c r="B115" s="50" t="s">
        <v>108</v>
      </c>
      <c r="C115" s="51">
        <v>45960</v>
      </c>
      <c r="D115" s="51" t="s">
        <v>224</v>
      </c>
      <c r="E115" s="51">
        <v>45950</v>
      </c>
      <c r="F115" s="50" t="s">
        <v>149</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897</v>
      </c>
    </row>
    <row r="116" spans="1:27" ht="39.75" customHeight="1" thickBot="1">
      <c r="A116" s="384" t="s">
        <v>898</v>
      </c>
      <c r="B116" s="688" t="s">
        <v>108</v>
      </c>
      <c r="C116" s="51">
        <v>45930</v>
      </c>
      <c r="D116" s="677" t="s">
        <v>71</v>
      </c>
      <c r="E116" s="51">
        <v>45902</v>
      </c>
      <c r="F116" s="50" t="s">
        <v>109</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899</v>
      </c>
    </row>
    <row r="117" spans="1:27" ht="39.75" customHeight="1" thickBot="1">
      <c r="A117" s="767" t="s">
        <v>900</v>
      </c>
      <c r="B117" s="478" t="s">
        <v>108</v>
      </c>
      <c r="C117" s="489">
        <v>45868</v>
      </c>
      <c r="D117" s="480" t="s">
        <v>71</v>
      </c>
      <c r="E117" s="480">
        <v>45849</v>
      </c>
      <c r="F117" s="503" t="s">
        <v>109</v>
      </c>
      <c r="G117" s="481" t="s">
        <v>901</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902</v>
      </c>
    </row>
    <row r="118" spans="1:27" ht="39.75" customHeight="1" thickBot="1">
      <c r="A118" s="516" t="s">
        <v>900</v>
      </c>
      <c r="B118" s="504" t="s">
        <v>108</v>
      </c>
      <c r="C118" s="519">
        <v>45838</v>
      </c>
      <c r="D118" s="1092" t="s">
        <v>162</v>
      </c>
      <c r="E118" s="519">
        <v>45817</v>
      </c>
      <c r="F118" s="1092" t="s">
        <v>109</v>
      </c>
      <c r="G118" s="1098" t="s">
        <v>903</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904</v>
      </c>
    </row>
    <row r="119" spans="1:27" ht="39.75" customHeight="1" thickBot="1">
      <c r="A119" s="767" t="s">
        <v>905</v>
      </c>
      <c r="B119" s="478" t="s">
        <v>108</v>
      </c>
      <c r="C119" s="489">
        <v>45899</v>
      </c>
      <c r="D119" s="503" t="s">
        <v>71</v>
      </c>
      <c r="E119" s="503">
        <v>45882</v>
      </c>
      <c r="F119" s="478" t="s">
        <v>109</v>
      </c>
      <c r="G119" s="1097" t="s">
        <v>906</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907</v>
      </c>
    </row>
    <row r="120" spans="1:27" ht="39.75" customHeight="1" thickBot="1">
      <c r="A120" s="516" t="s">
        <v>908</v>
      </c>
      <c r="B120" s="504" t="s">
        <v>108</v>
      </c>
      <c r="C120" s="512">
        <v>45899</v>
      </c>
      <c r="D120" s="519" t="s">
        <v>71</v>
      </c>
      <c r="E120" s="512">
        <v>45806</v>
      </c>
      <c r="F120" s="504" t="s">
        <v>109</v>
      </c>
      <c r="G120" s="1095" t="s">
        <v>909</v>
      </c>
      <c r="H120" s="518">
        <v>0</v>
      </c>
      <c r="I120" s="976" t="s">
        <v>398</v>
      </c>
      <c r="J120" s="518" t="s">
        <v>63</v>
      </c>
      <c r="K120" s="519" t="s">
        <v>910</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911</v>
      </c>
    </row>
    <row r="121" spans="1:27" ht="39.75" customHeight="1" thickBot="1">
      <c r="A121" s="785" t="s">
        <v>912</v>
      </c>
      <c r="B121" s="1091" t="s">
        <v>108</v>
      </c>
      <c r="C121" s="1010">
        <v>45899</v>
      </c>
      <c r="D121" s="981" t="s">
        <v>71</v>
      </c>
      <c r="E121" s="981">
        <v>45876</v>
      </c>
      <c r="F121" s="981" t="s">
        <v>109</v>
      </c>
      <c r="G121" s="1096" t="s">
        <v>913</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914</v>
      </c>
    </row>
    <row r="122" spans="1:27" ht="39.75" customHeight="1" thickBot="1">
      <c r="A122" s="788" t="s">
        <v>915</v>
      </c>
      <c r="B122" s="1026" t="s">
        <v>108</v>
      </c>
      <c r="C122" s="57">
        <v>45899</v>
      </c>
      <c r="D122" s="791" t="s">
        <v>754</v>
      </c>
      <c r="E122" s="925">
        <v>45876</v>
      </c>
      <c r="F122" s="792" t="s">
        <v>137</v>
      </c>
      <c r="G122" s="1087" t="s">
        <v>916</v>
      </c>
      <c r="H122" s="812">
        <v>0</v>
      </c>
      <c r="I122" s="824" t="s">
        <v>917</v>
      </c>
      <c r="J122" s="812" t="s">
        <v>63</v>
      </c>
      <c r="K122" s="51" t="s">
        <v>52</v>
      </c>
      <c r="L122" s="387" t="s">
        <v>57</v>
      </c>
      <c r="M122" s="442">
        <v>1343</v>
      </c>
      <c r="N122" s="798"/>
      <c r="O122" s="387" t="s">
        <v>57</v>
      </c>
      <c r="P122" s="759" t="s">
        <v>917</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918</v>
      </c>
    </row>
    <row r="123" spans="1:27" ht="39.75" customHeight="1" thickBot="1">
      <c r="A123" s="384" t="s">
        <v>919</v>
      </c>
      <c r="B123" s="504" t="s">
        <v>108</v>
      </c>
      <c r="C123" s="512">
        <v>45899</v>
      </c>
      <c r="D123" s="519" t="s">
        <v>162</v>
      </c>
      <c r="E123" s="519">
        <v>45870</v>
      </c>
      <c r="F123" s="1092" t="s">
        <v>137</v>
      </c>
      <c r="G123" s="1093" t="s">
        <v>920</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921</v>
      </c>
    </row>
    <row r="124" spans="1:27" ht="39.75" customHeight="1" thickBot="1">
      <c r="A124" s="788" t="s">
        <v>922</v>
      </c>
      <c r="B124" s="504" t="s">
        <v>108</v>
      </c>
      <c r="C124" s="512">
        <v>45899</v>
      </c>
      <c r="D124" s="519" t="s">
        <v>162</v>
      </c>
      <c r="E124" s="519">
        <v>45870</v>
      </c>
      <c r="F124" s="1092" t="s">
        <v>137</v>
      </c>
      <c r="G124" s="1093" t="s">
        <v>923</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924</v>
      </c>
    </row>
    <row r="125" spans="1:27" ht="39.75" customHeight="1" thickBot="1">
      <c r="A125" s="788" t="s">
        <v>925</v>
      </c>
      <c r="B125" s="931" t="s">
        <v>108</v>
      </c>
      <c r="C125" s="57">
        <v>45899</v>
      </c>
      <c r="D125" s="925" t="s">
        <v>162</v>
      </c>
      <c r="E125" s="925">
        <v>45882</v>
      </c>
      <c r="F125" s="1080" t="s">
        <v>137</v>
      </c>
      <c r="G125" s="1087" t="s">
        <v>926</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927</v>
      </c>
    </row>
    <row r="126" spans="1:27" ht="39.75" customHeight="1" thickBot="1">
      <c r="A126" s="788" t="s">
        <v>928</v>
      </c>
      <c r="B126" s="931" t="s">
        <v>108</v>
      </c>
      <c r="C126" s="57">
        <v>45930</v>
      </c>
      <c r="D126" s="791" t="s">
        <v>71</v>
      </c>
      <c r="E126" s="925">
        <v>45868</v>
      </c>
      <c r="F126" s="931" t="s">
        <v>109</v>
      </c>
      <c r="G126" s="1087" t="s">
        <v>929</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930</v>
      </c>
    </row>
    <row r="127" spans="1:27" ht="39.75" customHeight="1" thickBot="1">
      <c r="A127" s="788" t="s">
        <v>931</v>
      </c>
      <c r="B127" s="931" t="s">
        <v>108</v>
      </c>
      <c r="C127" s="57">
        <v>45868</v>
      </c>
      <c r="D127" s="791" t="s">
        <v>71</v>
      </c>
      <c r="E127" s="925">
        <v>45853</v>
      </c>
      <c r="F127" s="1079" t="s">
        <v>109</v>
      </c>
      <c r="G127" s="1094" t="s">
        <v>932</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933</v>
      </c>
    </row>
    <row r="128" spans="1:27" ht="39.75" customHeight="1" thickBot="1">
      <c r="A128" s="923" t="s">
        <v>934</v>
      </c>
      <c r="B128" s="478" t="s">
        <v>108</v>
      </c>
      <c r="C128" s="489">
        <v>45868</v>
      </c>
      <c r="D128" s="480" t="s">
        <v>71</v>
      </c>
      <c r="E128" s="503">
        <v>45839</v>
      </c>
      <c r="F128" s="480" t="s">
        <v>109</v>
      </c>
      <c r="G128" s="490" t="s">
        <v>935</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936</v>
      </c>
    </row>
    <row r="129" spans="1:30" ht="39.75" customHeight="1" thickBot="1">
      <c r="A129" s="384" t="s">
        <v>937</v>
      </c>
      <c r="B129" s="1077" t="s">
        <v>108</v>
      </c>
      <c r="C129" s="51">
        <v>45960</v>
      </c>
      <c r="D129" s="51" t="s">
        <v>71</v>
      </c>
      <c r="E129" s="51">
        <v>45945</v>
      </c>
      <c r="F129" s="50" t="s">
        <v>109</v>
      </c>
      <c r="G129" s="689" t="s">
        <v>938</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939</v>
      </c>
    </row>
    <row r="130" spans="1:30" ht="39.75" customHeight="1" thickBot="1">
      <c r="A130" s="788" t="s">
        <v>940</v>
      </c>
      <c r="B130" s="791" t="s">
        <v>108</v>
      </c>
      <c r="C130" s="57">
        <v>45930</v>
      </c>
      <c r="D130" s="792" t="s">
        <v>71</v>
      </c>
      <c r="E130" s="57">
        <v>45902</v>
      </c>
      <c r="F130" s="791" t="s">
        <v>109</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941</v>
      </c>
    </row>
    <row r="131" spans="1:30" ht="39.75" customHeight="1" thickBot="1">
      <c r="A131" s="788" t="s">
        <v>942</v>
      </c>
      <c r="B131" s="791" t="s">
        <v>108</v>
      </c>
      <c r="C131" s="57">
        <v>45930</v>
      </c>
      <c r="D131" s="57" t="s">
        <v>162</v>
      </c>
      <c r="E131" s="57">
        <v>45874</v>
      </c>
      <c r="F131" s="792" t="s">
        <v>137</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943</v>
      </c>
    </row>
    <row r="132" spans="1:30" ht="39.75" customHeight="1" thickBot="1">
      <c r="A132" s="788" t="s">
        <v>944</v>
      </c>
      <c r="B132" s="790" t="s">
        <v>50</v>
      </c>
      <c r="C132" s="925">
        <v>45838</v>
      </c>
      <c r="D132" s="925" t="s">
        <v>128</v>
      </c>
      <c r="E132" s="925">
        <v>45818</v>
      </c>
      <c r="F132" s="931" t="s">
        <v>700</v>
      </c>
      <c r="G132" s="931" t="s">
        <v>945</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946</v>
      </c>
      <c r="B133" s="790" t="s">
        <v>50</v>
      </c>
      <c r="C133" s="57">
        <v>45772</v>
      </c>
      <c r="D133" s="791" t="s">
        <v>580</v>
      </c>
      <c r="E133" s="57">
        <v>45716</v>
      </c>
      <c r="F133" s="791" t="s">
        <v>709</v>
      </c>
      <c r="G133" s="926" t="s">
        <v>947</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948</v>
      </c>
      <c r="B134" s="790" t="s">
        <v>50</v>
      </c>
      <c r="C134" s="57">
        <v>45772</v>
      </c>
      <c r="D134" s="791" t="s">
        <v>594</v>
      </c>
      <c r="E134" s="57">
        <v>45743</v>
      </c>
      <c r="F134" s="791" t="s">
        <v>709</v>
      </c>
      <c r="G134" s="794" t="s">
        <v>949</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950</v>
      </c>
    </row>
    <row r="135" spans="1:30" ht="39.75" customHeight="1">
      <c r="A135" s="788" t="s">
        <v>951</v>
      </c>
      <c r="B135" s="790" t="s">
        <v>50</v>
      </c>
      <c r="C135" s="57">
        <v>45772</v>
      </c>
      <c r="D135" s="792" t="s">
        <v>128</v>
      </c>
      <c r="E135" s="57">
        <v>45708</v>
      </c>
      <c r="F135" s="792" t="s">
        <v>700</v>
      </c>
      <c r="G135" s="799" t="s">
        <v>952</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953</v>
      </c>
      <c r="B136" s="790" t="s">
        <v>50</v>
      </c>
      <c r="C136" s="925">
        <v>45862</v>
      </c>
      <c r="D136" s="791" t="s">
        <v>128</v>
      </c>
      <c r="E136" s="57">
        <v>45743</v>
      </c>
      <c r="F136" s="791" t="s">
        <v>700</v>
      </c>
      <c r="G136" s="794" t="s">
        <v>954</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955</v>
      </c>
      <c r="B137" s="479" t="s">
        <v>50</v>
      </c>
      <c r="C137" s="489">
        <v>45747</v>
      </c>
      <c r="D137" s="489" t="s">
        <v>162</v>
      </c>
      <c r="E137" s="441">
        <v>45698</v>
      </c>
      <c r="F137" s="441" t="s">
        <v>61</v>
      </c>
      <c r="G137" s="980" t="s">
        <v>956</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957</v>
      </c>
    </row>
    <row r="138" spans="1:30" ht="39.75" customHeight="1">
      <c r="A138" s="1057" t="s">
        <v>958</v>
      </c>
      <c r="B138" s="479" t="s">
        <v>50</v>
      </c>
      <c r="C138" s="489">
        <v>45742</v>
      </c>
      <c r="D138" s="488" t="s">
        <v>128</v>
      </c>
      <c r="E138" s="489">
        <v>45708</v>
      </c>
      <c r="F138" s="441" t="s">
        <v>700</v>
      </c>
      <c r="G138" s="490" t="s">
        <v>959</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960</v>
      </c>
      <c r="B139" s="809" t="s">
        <v>50</v>
      </c>
      <c r="C139" s="57">
        <v>45711</v>
      </c>
      <c r="D139" s="57" t="s">
        <v>524</v>
      </c>
      <c r="E139" s="57">
        <v>45694</v>
      </c>
      <c r="F139" s="57" t="s">
        <v>703</v>
      </c>
      <c r="G139" s="815" t="s">
        <v>961</v>
      </c>
      <c r="H139" s="795">
        <v>0</v>
      </c>
      <c r="I139" s="811" t="s">
        <v>599</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965</v>
      </c>
    </row>
    <row r="141" spans="1:30" ht="39.75" customHeight="1">
      <c r="A141" s="788" t="s">
        <v>966</v>
      </c>
      <c r="B141" s="790" t="s">
        <v>50</v>
      </c>
      <c r="C141" s="57">
        <v>45742</v>
      </c>
      <c r="D141" s="791" t="s">
        <v>781</v>
      </c>
      <c r="E141" s="57">
        <v>45708</v>
      </c>
      <c r="F141" s="792" t="s">
        <v>238</v>
      </c>
      <c r="G141" s="794" t="s">
        <v>967</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968</v>
      </c>
      <c r="B142" s="809" t="s">
        <v>50</v>
      </c>
      <c r="C142" s="57">
        <v>45924</v>
      </c>
      <c r="D142" s="813" t="s">
        <v>162</v>
      </c>
      <c r="E142" s="57">
        <v>45772</v>
      </c>
      <c r="F142" s="791" t="s">
        <v>61</v>
      </c>
      <c r="G142" s="791" t="s">
        <v>969</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970</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971</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972</v>
      </c>
      <c r="B147" s="857" t="s">
        <v>237</v>
      </c>
      <c r="C147" s="489">
        <v>45807</v>
      </c>
      <c r="D147" s="478" t="s">
        <v>51</v>
      </c>
      <c r="E147" s="488" t="s">
        <v>52</v>
      </c>
      <c r="F147" s="478" t="s">
        <v>728</v>
      </c>
      <c r="G147" s="701" t="s">
        <v>533</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973</v>
      </c>
    </row>
    <row r="148" spans="1:30" ht="39.75" customHeight="1">
      <c r="A148" s="932" t="s">
        <v>974</v>
      </c>
      <c r="B148" s="857" t="s">
        <v>237</v>
      </c>
      <c r="C148" s="489">
        <v>45807</v>
      </c>
      <c r="D148" s="488" t="s">
        <v>51</v>
      </c>
      <c r="E148" s="488" t="s">
        <v>52</v>
      </c>
      <c r="F148" s="488" t="s">
        <v>728</v>
      </c>
      <c r="G148" s="849" t="s">
        <v>975</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976</v>
      </c>
      <c r="B149" s="857" t="s">
        <v>237</v>
      </c>
      <c r="C149" s="489">
        <v>45807</v>
      </c>
      <c r="D149" s="488" t="s">
        <v>51</v>
      </c>
      <c r="E149" s="488" t="s">
        <v>52</v>
      </c>
      <c r="F149" s="488" t="s">
        <v>728</v>
      </c>
      <c r="G149" s="849" t="s">
        <v>977</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978</v>
      </c>
      <c r="B150" s="848" t="s">
        <v>50</v>
      </c>
      <c r="C150" s="489">
        <v>45807</v>
      </c>
      <c r="D150" s="488" t="s">
        <v>51</v>
      </c>
      <c r="E150" s="488" t="s">
        <v>52</v>
      </c>
      <c r="F150" s="488" t="s">
        <v>53</v>
      </c>
      <c r="G150" s="849" t="s">
        <v>979</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980</v>
      </c>
      <c r="B151" s="848" t="s">
        <v>50</v>
      </c>
      <c r="C151" s="489">
        <v>45772</v>
      </c>
      <c r="D151" s="488" t="s">
        <v>51</v>
      </c>
      <c r="E151" s="488" t="s">
        <v>52</v>
      </c>
      <c r="F151" s="488" t="s">
        <v>53</v>
      </c>
      <c r="G151" s="873" t="s">
        <v>981</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982</v>
      </c>
    </row>
    <row r="152" spans="1:30" ht="39.75" customHeight="1">
      <c r="A152" s="932" t="s">
        <v>983</v>
      </c>
      <c r="B152" s="848" t="s">
        <v>50</v>
      </c>
      <c r="C152" s="489">
        <v>45772</v>
      </c>
      <c r="D152" s="851" t="s">
        <v>584</v>
      </c>
      <c r="E152" s="851">
        <v>45698</v>
      </c>
      <c r="F152" s="489" t="s">
        <v>703</v>
      </c>
      <c r="G152" s="853" t="s">
        <v>984</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985</v>
      </c>
    </row>
    <row r="153" spans="1:30" ht="39.75" customHeight="1">
      <c r="A153" s="932" t="s">
        <v>986</v>
      </c>
      <c r="B153" s="848" t="s">
        <v>50</v>
      </c>
      <c r="C153" s="489">
        <v>45742</v>
      </c>
      <c r="D153" s="488" t="s">
        <v>51</v>
      </c>
      <c r="E153" s="489">
        <v>45715</v>
      </c>
      <c r="F153" s="488" t="s">
        <v>53</v>
      </c>
      <c r="G153" s="849" t="s">
        <v>987</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988</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989</v>
      </c>
      <c r="B156" s="943" t="s">
        <v>108</v>
      </c>
      <c r="C156" s="944"/>
      <c r="D156" s="945" t="s">
        <v>71</v>
      </c>
      <c r="E156" s="945">
        <v>45768</v>
      </c>
      <c r="F156" s="946" t="s">
        <v>137</v>
      </c>
      <c r="G156" s="943"/>
      <c r="H156" s="947">
        <v>0</v>
      </c>
      <c r="I156" s="948" t="s">
        <v>399</v>
      </c>
      <c r="J156" s="947" t="s">
        <v>56</v>
      </c>
      <c r="K156" s="944"/>
      <c r="L156" s="949" t="s">
        <v>56</v>
      </c>
      <c r="M156" s="947" t="s">
        <v>87</v>
      </c>
      <c r="N156" s="950">
        <v>0</v>
      </c>
      <c r="O156" s="947" t="s">
        <v>87</v>
      </c>
      <c r="P156" s="951" t="s">
        <v>399</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990</v>
      </c>
      <c r="B157" s="886" t="s">
        <v>108</v>
      </c>
      <c r="C157" s="892"/>
      <c r="D157" s="885" t="s">
        <v>71</v>
      </c>
      <c r="E157" s="885">
        <v>45768</v>
      </c>
      <c r="F157" s="884" t="s">
        <v>137</v>
      </c>
      <c r="G157" s="886"/>
      <c r="H157" s="887">
        <v>0</v>
      </c>
      <c r="I157" s="893" t="s">
        <v>399</v>
      </c>
      <c r="J157" s="887" t="s">
        <v>56</v>
      </c>
      <c r="K157" s="892"/>
      <c r="L157" s="894" t="s">
        <v>56</v>
      </c>
      <c r="M157" s="887" t="s">
        <v>87</v>
      </c>
      <c r="N157" s="888">
        <v>0</v>
      </c>
      <c r="O157" s="887" t="s">
        <v>87</v>
      </c>
      <c r="P157" s="889" t="s">
        <v>399</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162</v>
      </c>
      <c r="K6">
        <v>22274</v>
      </c>
      <c r="N6" t="s">
        <v>162</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128</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128</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524</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81</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418</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418</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526</v>
      </c>
      <c r="B284">
        <v>2227</v>
      </c>
      <c r="G284">
        <v>2227</v>
      </c>
    </row>
    <row r="285" spans="1:7">
      <c r="A285" t="s">
        <v>597</v>
      </c>
      <c r="C285">
        <v>0</v>
      </c>
      <c r="D285">
        <v>0</v>
      </c>
      <c r="E285">
        <v>344</v>
      </c>
      <c r="G285">
        <v>344</v>
      </c>
    </row>
    <row r="286" spans="1:7">
      <c r="A286" t="s">
        <v>523</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523</v>
      </c>
    </row>
    <row r="311" spans="1:7">
      <c r="A311" t="s">
        <v>797</v>
      </c>
    </row>
    <row r="312" spans="1:7">
      <c r="A312" t="s">
        <v>673</v>
      </c>
      <c r="B312">
        <v>618</v>
      </c>
      <c r="C312">
        <v>700</v>
      </c>
      <c r="G312">
        <v>1318</v>
      </c>
    </row>
    <row r="313" spans="1:7">
      <c r="A313" t="s">
        <v>665</v>
      </c>
    </row>
    <row r="314" spans="1:7">
      <c r="A314" t="s">
        <v>531</v>
      </c>
    </row>
    <row r="315" spans="1:7">
      <c r="A315" t="s">
        <v>794</v>
      </c>
      <c r="B315">
        <v>990</v>
      </c>
      <c r="C315">
        <v>1871</v>
      </c>
      <c r="D315">
        <v>1307</v>
      </c>
      <c r="G315">
        <v>4168</v>
      </c>
    </row>
    <row r="316" spans="1:7">
      <c r="A316" t="s">
        <v>506</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506</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1021</v>
      </c>
      <c r="B420">
        <v>640</v>
      </c>
      <c r="C420">
        <v>490</v>
      </c>
      <c r="D420">
        <v>127</v>
      </c>
      <c r="G420">
        <v>1257</v>
      </c>
    </row>
    <row r="421" spans="1:7">
      <c r="A421" t="s">
        <v>510</v>
      </c>
    </row>
    <row r="422" spans="1:7">
      <c r="A422" t="s">
        <v>681</v>
      </c>
      <c r="B422">
        <v>575</v>
      </c>
      <c r="C422">
        <v>1847</v>
      </c>
      <c r="D422">
        <v>1052</v>
      </c>
      <c r="E422">
        <v>1846</v>
      </c>
      <c r="G422">
        <v>5320</v>
      </c>
    </row>
    <row r="423" spans="1:7">
      <c r="A423" t="s">
        <v>677</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83</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1025</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1023</v>
      </c>
    </row>
    <row r="445" spans="1:7">
      <c r="A445" t="s">
        <v>1024</v>
      </c>
      <c r="C445">
        <v>212</v>
      </c>
      <c r="E445">
        <v>1316</v>
      </c>
      <c r="F445">
        <v>1232</v>
      </c>
      <c r="G445">
        <v>2760</v>
      </c>
    </row>
    <row r="446" spans="1:7">
      <c r="A446" t="s">
        <v>513</v>
      </c>
      <c r="D446">
        <v>153</v>
      </c>
      <c r="G446">
        <v>153</v>
      </c>
    </row>
    <row r="447" spans="1:7">
      <c r="A447" t="s">
        <v>1026</v>
      </c>
    </row>
    <row r="448" spans="1:7">
      <c r="A448" t="s">
        <v>1027</v>
      </c>
    </row>
    <row r="449" spans="1:7">
      <c r="A449" t="s">
        <v>1028</v>
      </c>
      <c r="E449">
        <v>201</v>
      </c>
      <c r="F449">
        <v>30</v>
      </c>
      <c r="G449">
        <v>231</v>
      </c>
    </row>
    <row r="450" spans="1:7">
      <c r="A450" t="s">
        <v>634</v>
      </c>
      <c r="E450">
        <v>1580</v>
      </c>
      <c r="G450">
        <v>1580</v>
      </c>
    </row>
    <row r="451" spans="1:7">
      <c r="A451" t="s">
        <v>1029</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1024</v>
      </c>
      <c r="B468">
        <v>1156</v>
      </c>
      <c r="C468">
        <v>947</v>
      </c>
      <c r="G468">
        <v>2103</v>
      </c>
    </row>
    <row r="469" spans="1:7">
      <c r="A469" t="s">
        <v>634</v>
      </c>
      <c r="B469">
        <v>270</v>
      </c>
      <c r="E469">
        <v>948</v>
      </c>
      <c r="G469">
        <v>1218</v>
      </c>
    </row>
    <row r="470" spans="1:7">
      <c r="A470" t="s">
        <v>461</v>
      </c>
      <c r="B470">
        <v>644</v>
      </c>
      <c r="C470">
        <v>1430</v>
      </c>
      <c r="D470">
        <v>970</v>
      </c>
      <c r="G470">
        <v>3044</v>
      </c>
    </row>
    <row r="471" spans="1:7">
      <c r="A471" t="s">
        <v>529</v>
      </c>
      <c r="F471">
        <v>285</v>
      </c>
      <c r="G471">
        <v>285</v>
      </c>
    </row>
    <row r="472" spans="1:7">
      <c r="A472" t="s">
        <v>1030</v>
      </c>
      <c r="E472">
        <v>260</v>
      </c>
      <c r="F472">
        <v>129</v>
      </c>
      <c r="G472">
        <v>389</v>
      </c>
    </row>
    <row r="473" spans="1:7">
      <c r="A473" t="s">
        <v>1031</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461</v>
      </c>
      <c r="B485">
        <v>948</v>
      </c>
      <c r="D485">
        <v>736</v>
      </c>
      <c r="F485">
        <v>1684</v>
      </c>
    </row>
    <row r="486" spans="1:7">
      <c r="A486" t="s">
        <v>435</v>
      </c>
    </row>
    <row r="487" spans="1:7">
      <c r="A487" t="s">
        <v>1032</v>
      </c>
    </row>
    <row r="488" spans="1:7">
      <c r="A488" t="s">
        <v>1033</v>
      </c>
    </row>
    <row r="489" spans="1:7">
      <c r="A489" t="s">
        <v>1034</v>
      </c>
    </row>
    <row r="490" spans="1:7">
      <c r="A490" t="s">
        <v>1035</v>
      </c>
    </row>
    <row r="491" spans="1:7">
      <c r="A491" t="s">
        <v>1036</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506</v>
      </c>
      <c r="E501">
        <v>341</v>
      </c>
      <c r="G501">
        <v>341</v>
      </c>
    </row>
    <row r="502" spans="1:7">
      <c r="A502" t="s">
        <v>1029</v>
      </c>
    </row>
    <row r="503" spans="1:7">
      <c r="A503" t="s">
        <v>461</v>
      </c>
      <c r="B503">
        <v>1957</v>
      </c>
      <c r="G503">
        <v>1957</v>
      </c>
    </row>
    <row r="504" spans="1:7">
      <c r="A504" t="s">
        <v>435</v>
      </c>
      <c r="B504">
        <v>275</v>
      </c>
      <c r="C504">
        <v>280</v>
      </c>
      <c r="D504">
        <v>310</v>
      </c>
      <c r="G504">
        <v>865</v>
      </c>
    </row>
    <row r="505" spans="1:7">
      <c r="A505" t="s">
        <v>838</v>
      </c>
      <c r="B505">
        <v>800</v>
      </c>
      <c r="C505">
        <v>631</v>
      </c>
      <c r="D505">
        <v>1401</v>
      </c>
      <c r="G505">
        <v>2832</v>
      </c>
    </row>
    <row r="506" spans="1:7">
      <c r="A506" t="s">
        <v>1037</v>
      </c>
      <c r="B506">
        <v>6</v>
      </c>
      <c r="G506">
        <v>6</v>
      </c>
    </row>
    <row r="507" spans="1:7">
      <c r="A507" t="s">
        <v>1038</v>
      </c>
    </row>
    <row r="508" spans="1:7">
      <c r="A508" t="s">
        <v>1039</v>
      </c>
    </row>
    <row r="509" spans="1:7">
      <c r="A509" t="s">
        <v>683</v>
      </c>
      <c r="D509">
        <v>610</v>
      </c>
      <c r="E509">
        <v>2523</v>
      </c>
      <c r="G509">
        <v>3133</v>
      </c>
    </row>
    <row r="510" spans="1:7">
      <c r="A510" t="s">
        <v>1040</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435</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1041</v>
      </c>
      <c r="B523">
        <v>155</v>
      </c>
      <c r="G523">
        <v>155</v>
      </c>
    </row>
    <row r="524" spans="1:7">
      <c r="A524" t="s">
        <v>1042</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523</v>
      </c>
      <c r="E534">
        <v>977</v>
      </c>
      <c r="G534">
        <v>977</v>
      </c>
    </row>
    <row r="535" spans="1:7">
      <c r="A535" t="s">
        <v>1028</v>
      </c>
      <c r="D535">
        <v>81</v>
      </c>
      <c r="F535">
        <v>114</v>
      </c>
      <c r="G535">
        <v>195</v>
      </c>
    </row>
    <row r="536" spans="1:7">
      <c r="A536" t="s">
        <v>634</v>
      </c>
    </row>
    <row r="537" spans="1:7">
      <c r="A537" t="s">
        <v>461</v>
      </c>
    </row>
    <row r="538" spans="1:7">
      <c r="A538" t="s">
        <v>435</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523</v>
      </c>
      <c r="E549">
        <v>676</v>
      </c>
      <c r="F549">
        <v>430</v>
      </c>
      <c r="G549">
        <v>1106</v>
      </c>
    </row>
    <row r="550" spans="1:7">
      <c r="A550" t="s">
        <v>506</v>
      </c>
      <c r="D550">
        <v>649</v>
      </c>
      <c r="G550">
        <v>649</v>
      </c>
    </row>
    <row r="551" spans="1:7">
      <c r="A551" t="s">
        <v>1028</v>
      </c>
      <c r="B551">
        <v>237</v>
      </c>
      <c r="C551">
        <v>322</v>
      </c>
      <c r="D551">
        <v>245</v>
      </c>
      <c r="E551">
        <v>1091</v>
      </c>
      <c r="F551">
        <v>303</v>
      </c>
      <c r="G551">
        <v>2198</v>
      </c>
    </row>
    <row r="552" spans="1:7">
      <c r="A552" t="s">
        <v>435</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1043</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F563">
        <v>0</v>
      </c>
      <c r="G563">
        <v>0</v>
      </c>
    </row>
    <row r="564" spans="1:7">
      <c r="A564" t="s">
        <v>625</v>
      </c>
      <c r="C564">
        <v>282</v>
      </c>
      <c r="G564">
        <v>282</v>
      </c>
    </row>
    <row r="565" spans="1:7">
      <c r="A565" t="s">
        <v>523</v>
      </c>
      <c r="B565">
        <v>885</v>
      </c>
      <c r="C565">
        <v>478</v>
      </c>
      <c r="D565">
        <v>490</v>
      </c>
      <c r="E565">
        <v>372</v>
      </c>
      <c r="G565">
        <v>2225</v>
      </c>
    </row>
    <row r="566" spans="1:7">
      <c r="A566" t="s">
        <v>1021</v>
      </c>
    </row>
    <row r="567" spans="1:7">
      <c r="A567" t="s">
        <v>1028</v>
      </c>
      <c r="B567">
        <v>360</v>
      </c>
      <c r="G567">
        <v>360</v>
      </c>
    </row>
    <row r="568" spans="1:7">
      <c r="A568" t="s">
        <v>461</v>
      </c>
    </row>
    <row r="569" spans="1:7">
      <c r="A569" t="s">
        <v>835</v>
      </c>
    </row>
    <row r="570" spans="1:7">
      <c r="A570" t="s">
        <v>1043</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F578">
        <v>198</v>
      </c>
      <c r="G578">
        <v>198</v>
      </c>
    </row>
    <row r="579" spans="1:7">
      <c r="A579" t="s">
        <v>523</v>
      </c>
    </row>
    <row r="580" spans="1:7">
      <c r="A580" t="s">
        <v>531</v>
      </c>
    </row>
    <row r="581" spans="1:7">
      <c r="A581" t="s">
        <v>1023</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C590">
        <v>403</v>
      </c>
      <c r="D590">
        <v>39</v>
      </c>
      <c r="G590">
        <v>442</v>
      </c>
    </row>
    <row r="591" spans="1:7">
      <c r="A591" t="s">
        <v>526</v>
      </c>
      <c r="B591">
        <v>862</v>
      </c>
      <c r="G591">
        <v>862</v>
      </c>
    </row>
    <row r="592" spans="1:7">
      <c r="A592" t="s">
        <v>1023</v>
      </c>
      <c r="C592">
        <v>203</v>
      </c>
      <c r="D592">
        <v>170</v>
      </c>
      <c r="E592">
        <v>106</v>
      </c>
      <c r="G592">
        <v>479</v>
      </c>
    </row>
    <row r="593" spans="1:7">
      <c r="A593" t="s">
        <v>435</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C604">
        <v>318</v>
      </c>
      <c r="G604">
        <v>318</v>
      </c>
    </row>
    <row r="605" spans="1:7">
      <c r="A605" t="s">
        <v>526</v>
      </c>
      <c r="D605">
        <v>461</v>
      </c>
      <c r="E605">
        <v>880</v>
      </c>
      <c r="F605">
        <v>585</v>
      </c>
      <c r="G605">
        <v>1926</v>
      </c>
    </row>
    <row r="606" spans="1:7">
      <c r="A606" t="s">
        <v>531</v>
      </c>
      <c r="E606">
        <v>868</v>
      </c>
      <c r="G606">
        <v>868</v>
      </c>
    </row>
    <row r="607" spans="1:7">
      <c r="A607" t="s">
        <v>1023</v>
      </c>
      <c r="D607">
        <v>272</v>
      </c>
      <c r="E607">
        <v>79</v>
      </c>
      <c r="G607">
        <v>351</v>
      </c>
    </row>
    <row r="608" spans="1:7">
      <c r="A608" t="s">
        <v>435</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1044</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526</v>
      </c>
      <c r="B625">
        <v>345</v>
      </c>
      <c r="G625">
        <v>345</v>
      </c>
    </row>
    <row r="626" spans="1:7">
      <c r="A626" t="s">
        <v>435</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520</v>
      </c>
      <c r="D632">
        <v>314</v>
      </c>
      <c r="G632">
        <v>314</v>
      </c>
    </row>
    <row r="633" spans="1:7">
      <c r="A633" t="s">
        <v>534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row>
    <row r="640" spans="1:7">
      <c r="A640" t="s">
        <v>841</v>
      </c>
    </row>
    <row r="641" spans="1:7">
      <c r="A641" t="s">
        <v>520</v>
      </c>
    </row>
    <row r="642" spans="1:7">
      <c r="A642" t="s">
        <v>534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C651">
        <v>319</v>
      </c>
      <c r="G651">
        <v>319</v>
      </c>
    </row>
    <row r="652" spans="1:7">
      <c r="A652" t="s">
        <v>1023</v>
      </c>
      <c r="B652">
        <v>376</v>
      </c>
      <c r="C652">
        <v>35</v>
      </c>
      <c r="D652">
        <v>48</v>
      </c>
      <c r="E652">
        <v>144</v>
      </c>
      <c r="F652">
        <v>64</v>
      </c>
      <c r="G652">
        <v>667</v>
      </c>
    </row>
    <row r="653" spans="1:7">
      <c r="A653" t="s">
        <v>534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1045</v>
      </c>
    </row>
    <row r="659" spans="1:7">
      <c r="A659" t="s">
        <v>298</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D665">
        <v>499</v>
      </c>
      <c r="E665">
        <v>231</v>
      </c>
      <c r="F665">
        <v>316</v>
      </c>
      <c r="G665">
        <v>1046</v>
      </c>
    </row>
    <row r="666" spans="1:7">
      <c r="A666" t="s">
        <v>506</v>
      </c>
    </row>
    <row r="667" spans="1:7">
      <c r="A667" t="s">
        <v>1023</v>
      </c>
      <c r="B667">
        <v>141</v>
      </c>
      <c r="D667">
        <v>181</v>
      </c>
      <c r="E667">
        <v>82</v>
      </c>
      <c r="F667">
        <v>96</v>
      </c>
      <c r="G667">
        <v>500</v>
      </c>
    </row>
    <row r="668" spans="1:7">
      <c r="A668" t="s">
        <v>908</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919</v>
      </c>
    </row>
    <row r="672" spans="1:7">
      <c r="A672" t="s">
        <v>922</v>
      </c>
    </row>
    <row r="673" spans="1:7">
      <c r="A673" t="s">
        <v>298</v>
      </c>
      <c r="B673">
        <v>396</v>
      </c>
      <c r="G673">
        <v>396</v>
      </c>
    </row>
    <row r="674" spans="1:7">
      <c r="A674" t="s">
        <v>925</v>
      </c>
      <c r="B674">
        <v>1109</v>
      </c>
      <c r="G674">
        <v>1109</v>
      </c>
    </row>
    <row r="675" spans="1:7">
      <c r="A675" t="s">
        <v>1046</v>
      </c>
      <c r="C675">
        <v>205</v>
      </c>
      <c r="G675">
        <v>205</v>
      </c>
    </row>
    <row r="676" spans="1:7">
      <c r="A676" t="s">
        <v>1047</v>
      </c>
      <c r="C676">
        <v>1456</v>
      </c>
      <c r="D676">
        <v>1420</v>
      </c>
      <c r="E676">
        <v>1170</v>
      </c>
      <c r="F676">
        <v>1081</v>
      </c>
      <c r="G676">
        <v>5127</v>
      </c>
    </row>
    <row r="677" spans="1:7">
      <c r="A677" t="s">
        <v>854</v>
      </c>
      <c r="C677">
        <v>1460</v>
      </c>
      <c r="D677">
        <v>1428</v>
      </c>
      <c r="E677">
        <v>1654</v>
      </c>
      <c r="G677">
        <v>4542</v>
      </c>
    </row>
    <row r="678" spans="1:7">
      <c r="A678" t="s">
        <v>1048</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1023</v>
      </c>
      <c r="B688">
        <v>20</v>
      </c>
      <c r="E688">
        <v>250</v>
      </c>
      <c r="F688">
        <v>177</v>
      </c>
      <c r="G688">
        <v>447</v>
      </c>
    </row>
    <row r="689" spans="1:7">
      <c r="A689" t="s">
        <v>534</v>
      </c>
      <c r="B689">
        <v>639</v>
      </c>
      <c r="G689">
        <v>639</v>
      </c>
    </row>
    <row r="690" spans="1:7">
      <c r="A690" t="s">
        <v>298</v>
      </c>
      <c r="D690">
        <v>400</v>
      </c>
      <c r="E690">
        <v>320</v>
      </c>
      <c r="G690">
        <v>720</v>
      </c>
    </row>
    <row r="691" spans="1:7">
      <c r="A691" t="s">
        <v>1047</v>
      </c>
      <c r="B691">
        <v>809</v>
      </c>
      <c r="C691">
        <v>533</v>
      </c>
      <c r="G691">
        <v>1342</v>
      </c>
    </row>
    <row r="692" spans="1:7">
      <c r="A692" t="s">
        <v>1048</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1049</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row>
    <row r="706" spans="1:7">
      <c r="A706" t="s">
        <v>418</v>
      </c>
      <c r="E706">
        <v>99</v>
      </c>
      <c r="G706">
        <v>99</v>
      </c>
    </row>
    <row r="707" spans="1:7">
      <c r="A707" t="s">
        <v>526</v>
      </c>
    </row>
    <row r="708" spans="1:7">
      <c r="A708" t="s">
        <v>797</v>
      </c>
    </row>
    <row r="709" spans="1:7">
      <c r="A709" t="s">
        <v>531</v>
      </c>
      <c r="C709">
        <v>15</v>
      </c>
      <c r="D709">
        <v>65</v>
      </c>
      <c r="E709">
        <v>6</v>
      </c>
      <c r="G709">
        <v>86</v>
      </c>
    </row>
    <row r="710" spans="1:7">
      <c r="A710" t="s">
        <v>1023</v>
      </c>
    </row>
    <row r="711" spans="1:7">
      <c r="A711" t="s">
        <v>1028</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1050</v>
      </c>
    </row>
    <row r="719" spans="1:7">
      <c r="A719" t="s">
        <v>543</v>
      </c>
      <c r="E719">
        <v>903</v>
      </c>
      <c r="G719">
        <v>903</v>
      </c>
    </row>
    <row r="720" spans="1:7">
      <c r="A720" t="s">
        <v>536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849</v>
      </c>
      <c r="B730">
        <v>918</v>
      </c>
      <c r="G730">
        <v>918</v>
      </c>
    </row>
    <row r="731" spans="1:7">
      <c r="A731" t="s">
        <v>543</v>
      </c>
      <c r="B731">
        <v>254</v>
      </c>
      <c r="C731">
        <v>1686</v>
      </c>
      <c r="D731">
        <v>611</v>
      </c>
      <c r="G731">
        <v>2551</v>
      </c>
    </row>
    <row r="732" spans="1:7">
      <c r="A732" t="s">
        <v>536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396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row>
    <row r="743" spans="1:7">
      <c r="A743" t="s">
        <v>526</v>
      </c>
      <c r="D743">
        <v>139</v>
      </c>
      <c r="G743">
        <v>139</v>
      </c>
    </row>
    <row r="744" spans="1:7">
      <c r="A744" t="s">
        <v>531</v>
      </c>
    </row>
    <row r="745" spans="1:7">
      <c r="A745" t="s">
        <v>513</v>
      </c>
      <c r="E745">
        <v>97</v>
      </c>
      <c r="G745">
        <v>97</v>
      </c>
    </row>
    <row r="746" spans="1:7">
      <c r="A746" t="s">
        <v>1028</v>
      </c>
      <c r="B746">
        <v>42</v>
      </c>
      <c r="C746">
        <v>219</v>
      </c>
      <c r="F746">
        <v>70</v>
      </c>
      <c r="G746">
        <v>331</v>
      </c>
    </row>
    <row r="747" spans="1:7">
      <c r="A747" t="s">
        <v>1047</v>
      </c>
    </row>
    <row r="748" spans="1:7">
      <c r="A748" t="s">
        <v>543</v>
      </c>
      <c r="D748">
        <v>250</v>
      </c>
      <c r="G748">
        <v>250</v>
      </c>
    </row>
    <row r="749" spans="1:7">
      <c r="A749" t="s">
        <v>890</v>
      </c>
      <c r="B749">
        <v>1238</v>
      </c>
      <c r="C749">
        <v>1531</v>
      </c>
      <c r="D749">
        <v>1250</v>
      </c>
      <c r="E749">
        <v>361</v>
      </c>
      <c r="G749">
        <v>4380</v>
      </c>
    </row>
    <row r="750" spans="1:7">
      <c r="A750" t="s">
        <v>898</v>
      </c>
      <c r="B750">
        <v>711</v>
      </c>
      <c r="G750">
        <v>711</v>
      </c>
    </row>
    <row r="751" spans="1:7">
      <c r="A751" t="s">
        <v>1051</v>
      </c>
      <c r="D751">
        <v>75</v>
      </c>
      <c r="G751">
        <v>75</v>
      </c>
    </row>
    <row r="752" spans="1:7">
      <c r="A752" t="s">
        <v>860</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879</v>
      </c>
      <c r="E755">
        <v>754</v>
      </c>
      <c r="G755">
        <v>754</v>
      </c>
    </row>
    <row r="756" spans="1:7">
      <c r="A756" t="s">
        <v>545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row>
    <row r="763" spans="1:7">
      <c r="A763" t="s">
        <v>526</v>
      </c>
      <c r="B763">
        <v>60</v>
      </c>
      <c r="G763">
        <v>60</v>
      </c>
    </row>
    <row r="764" spans="1:7">
      <c r="A764" t="s">
        <v>510</v>
      </c>
      <c r="E764">
        <v>175</v>
      </c>
      <c r="G764">
        <v>175</v>
      </c>
    </row>
    <row r="765" spans="1:7">
      <c r="A765" t="s">
        <v>1028</v>
      </c>
      <c r="C765">
        <v>224</v>
      </c>
      <c r="G765">
        <v>224</v>
      </c>
    </row>
    <row r="766" spans="1:7">
      <c r="A766" t="s">
        <v>520</v>
      </c>
      <c r="D766">
        <v>406</v>
      </c>
      <c r="G766">
        <v>406</v>
      </c>
    </row>
    <row r="767" spans="1:7">
      <c r="A767" t="s">
        <v>298</v>
      </c>
      <c r="D767">
        <v>362</v>
      </c>
      <c r="E767">
        <v>399</v>
      </c>
      <c r="G767">
        <v>761</v>
      </c>
    </row>
    <row r="768" spans="1:7">
      <c r="A768" t="s">
        <v>890</v>
      </c>
    </row>
    <row r="769" spans="1:7">
      <c r="A769" t="s">
        <v>860</v>
      </c>
    </row>
    <row r="770" spans="1:7">
      <c r="A770" t="s">
        <v>421</v>
      </c>
      <c r="C770">
        <v>120</v>
      </c>
      <c r="D770">
        <v>190</v>
      </c>
      <c r="G770">
        <v>310</v>
      </c>
    </row>
    <row r="771" spans="1:7">
      <c r="A771" t="s">
        <v>396</v>
      </c>
      <c r="B771">
        <v>839</v>
      </c>
      <c r="D771">
        <v>616</v>
      </c>
      <c r="E771">
        <v>969</v>
      </c>
      <c r="F771">
        <v>552</v>
      </c>
      <c r="G771">
        <v>2976</v>
      </c>
    </row>
    <row r="772" spans="1:7">
      <c r="A772" t="s">
        <v>879</v>
      </c>
      <c r="B772">
        <v>1285</v>
      </c>
      <c r="G772">
        <v>1285</v>
      </c>
    </row>
    <row r="773" spans="1:7">
      <c r="A773" t="s">
        <v>545</v>
      </c>
      <c r="B773">
        <v>978</v>
      </c>
      <c r="C773">
        <v>675</v>
      </c>
      <c r="D773">
        <v>170</v>
      </c>
      <c r="G773">
        <v>1823</v>
      </c>
    </row>
    <row r="774" spans="1:7">
      <c r="A774" t="s">
        <v>76</v>
      </c>
      <c r="B774">
        <v>153</v>
      </c>
      <c r="D774">
        <v>260</v>
      </c>
      <c r="G774">
        <v>413</v>
      </c>
    </row>
    <row r="775" spans="1:7">
      <c r="A775" t="s">
        <v>1052</v>
      </c>
      <c r="B775">
        <v>329</v>
      </c>
      <c r="C775">
        <v>427</v>
      </c>
      <c r="D775">
        <v>537</v>
      </c>
      <c r="E775">
        <v>646</v>
      </c>
      <c r="F775">
        <v>793</v>
      </c>
      <c r="G775">
        <v>2732</v>
      </c>
    </row>
    <row r="776" spans="1:7">
      <c r="A776" t="s">
        <v>568</v>
      </c>
      <c r="B776">
        <v>335</v>
      </c>
      <c r="G776">
        <v>335</v>
      </c>
    </row>
    <row r="777" spans="1:7">
      <c r="A777" t="s">
        <v>1053</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844</v>
      </c>
      <c r="D780">
        <v>240</v>
      </c>
      <c r="E780">
        <v>504</v>
      </c>
      <c r="G780">
        <v>744</v>
      </c>
    </row>
    <row r="781" spans="1:7">
      <c r="A781" t="s">
        <v>1054</v>
      </c>
      <c r="F781">
        <v>4135</v>
      </c>
      <c r="G781">
        <v>4135</v>
      </c>
    </row>
    <row r="782" spans="1:7">
      <c r="A782" t="s">
        <v>424</v>
      </c>
      <c r="F782">
        <v>551</v>
      </c>
      <c r="G782">
        <v>551</v>
      </c>
    </row>
    <row r="783" spans="1:7">
      <c r="A783" t="s">
        <v>1055</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row>
    <row r="790" spans="1:7">
      <c r="A790" t="s">
        <v>510</v>
      </c>
      <c r="B790">
        <v>229</v>
      </c>
      <c r="G790">
        <v>229</v>
      </c>
    </row>
    <row r="791" spans="1:7">
      <c r="A791" t="s">
        <v>513</v>
      </c>
      <c r="C791">
        <v>134</v>
      </c>
      <c r="E791">
        <v>450</v>
      </c>
      <c r="F791">
        <v>352</v>
      </c>
      <c r="G791">
        <v>936</v>
      </c>
    </row>
    <row r="792" spans="1:7">
      <c r="A792" t="s">
        <v>1028</v>
      </c>
      <c r="D792">
        <v>201</v>
      </c>
      <c r="F792">
        <v>352</v>
      </c>
      <c r="G792">
        <v>553</v>
      </c>
    </row>
    <row r="793" spans="1:7">
      <c r="A793" t="s">
        <v>520</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879</v>
      </c>
    </row>
    <row r="797" spans="1:7">
      <c r="A797" t="s">
        <v>1053</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844</v>
      </c>
      <c r="B800">
        <v>80</v>
      </c>
      <c r="G800">
        <v>80</v>
      </c>
    </row>
    <row r="801" spans="1:7">
      <c r="A801" t="s">
        <v>1054</v>
      </c>
      <c r="B801">
        <v>2251</v>
      </c>
      <c r="C801">
        <v>2014</v>
      </c>
      <c r="D801">
        <v>1868</v>
      </c>
      <c r="E801">
        <v>2157</v>
      </c>
      <c r="F801">
        <v>2953</v>
      </c>
      <c r="G801">
        <v>11243</v>
      </c>
    </row>
    <row r="802" spans="1:7">
      <c r="A802" t="s">
        <v>424</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E813">
        <v>270</v>
      </c>
      <c r="F813">
        <v>268</v>
      </c>
      <c r="G813">
        <v>538</v>
      </c>
    </row>
    <row r="814" spans="1:7">
      <c r="A814" t="s">
        <v>1022</v>
      </c>
      <c r="D814">
        <v>126</v>
      </c>
      <c r="E814">
        <v>229</v>
      </c>
      <c r="G814">
        <v>355</v>
      </c>
    </row>
    <row r="815" spans="1:7">
      <c r="A815" t="s">
        <v>513</v>
      </c>
      <c r="B815">
        <v>175</v>
      </c>
      <c r="C815">
        <v>270</v>
      </c>
      <c r="G815">
        <v>445</v>
      </c>
    </row>
    <row r="816" spans="1:7">
      <c r="A816" t="s">
        <v>1028</v>
      </c>
      <c r="B816">
        <v>65</v>
      </c>
      <c r="C816">
        <v>55</v>
      </c>
      <c r="G816">
        <v>120</v>
      </c>
    </row>
    <row r="817" spans="1:7">
      <c r="A817" t="s">
        <v>520</v>
      </c>
    </row>
    <row r="818" spans="1:7">
      <c r="A818" t="s">
        <v>421</v>
      </c>
      <c r="E818">
        <v>725</v>
      </c>
      <c r="G818">
        <v>725</v>
      </c>
    </row>
    <row r="819" spans="1:7">
      <c r="A819" t="s">
        <v>396</v>
      </c>
      <c r="B819">
        <v>768</v>
      </c>
      <c r="C819">
        <v>1014</v>
      </c>
      <c r="G819">
        <v>1782</v>
      </c>
    </row>
    <row r="820" spans="1:7">
      <c r="A820" t="s">
        <v>1053</v>
      </c>
      <c r="B820">
        <v>225</v>
      </c>
      <c r="C820">
        <v>1287</v>
      </c>
      <c r="D820">
        <v>1185</v>
      </c>
      <c r="E820">
        <v>508</v>
      </c>
      <c r="G820">
        <v>3205</v>
      </c>
    </row>
    <row r="821" spans="1:7">
      <c r="A821" t="s">
        <v>551</v>
      </c>
      <c r="D821">
        <v>334</v>
      </c>
      <c r="G821">
        <v>334</v>
      </c>
    </row>
    <row r="822" spans="1:7">
      <c r="A822" t="s">
        <v>1054</v>
      </c>
      <c r="C822">
        <v>216</v>
      </c>
      <c r="G822">
        <v>216</v>
      </c>
    </row>
    <row r="823" spans="1:7">
      <c r="A823" t="s">
        <v>424</v>
      </c>
      <c r="B823">
        <v>1088</v>
      </c>
      <c r="C823">
        <v>557</v>
      </c>
      <c r="D823">
        <v>512</v>
      </c>
      <c r="E823">
        <v>369</v>
      </c>
      <c r="G823">
        <v>2526</v>
      </c>
    </row>
    <row r="824" spans="1:7">
      <c r="A824" t="s">
        <v>611</v>
      </c>
      <c r="B824">
        <v>192</v>
      </c>
      <c r="G824">
        <v>192</v>
      </c>
    </row>
    <row r="825" spans="1:7">
      <c r="A825" t="s">
        <v>556</v>
      </c>
      <c r="B825">
        <v>1174</v>
      </c>
      <c r="C825">
        <v>1597</v>
      </c>
      <c r="D825">
        <v>308</v>
      </c>
      <c r="G825">
        <v>3079</v>
      </c>
    </row>
    <row r="826" spans="1:7">
      <c r="A826" t="s">
        <v>892</v>
      </c>
      <c r="B826">
        <v>1545</v>
      </c>
      <c r="C826">
        <v>995</v>
      </c>
      <c r="G826">
        <v>2540</v>
      </c>
    </row>
    <row r="827" spans="1:7">
      <c r="A827" t="s">
        <v>540</v>
      </c>
      <c r="D827">
        <v>333</v>
      </c>
      <c r="G827">
        <v>333</v>
      </c>
    </row>
    <row r="828" spans="1:7">
      <c r="A828" t="s">
        <v>1056</v>
      </c>
      <c r="D828">
        <v>160</v>
      </c>
      <c r="G828">
        <v>160</v>
      </c>
    </row>
    <row r="829" spans="1:7">
      <c r="A829" t="s">
        <v>175</v>
      </c>
      <c r="D829">
        <v>1282</v>
      </c>
      <c r="E829">
        <v>980</v>
      </c>
      <c r="G829">
        <v>2262</v>
      </c>
    </row>
    <row r="830" spans="1:7">
      <c r="A830" t="s">
        <v>401</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C836">
        <v>163</v>
      </c>
      <c r="D836">
        <v>535</v>
      </c>
      <c r="E836">
        <v>570</v>
      </c>
      <c r="G836">
        <v>1268</v>
      </c>
    </row>
    <row r="837" spans="1:7">
      <c r="A837" t="s">
        <v>1028</v>
      </c>
    </row>
    <row r="838" spans="1:7">
      <c r="A838" t="s">
        <v>298</v>
      </c>
      <c r="E838">
        <v>170</v>
      </c>
      <c r="G838">
        <v>170</v>
      </c>
    </row>
    <row r="839" spans="1:7">
      <c r="A839" t="s">
        <v>396</v>
      </c>
      <c r="D839">
        <v>986</v>
      </c>
      <c r="G839">
        <v>986</v>
      </c>
    </row>
    <row r="840" spans="1:7">
      <c r="A840" t="s">
        <v>1053</v>
      </c>
      <c r="B840">
        <v>916</v>
      </c>
      <c r="C840">
        <v>144</v>
      </c>
      <c r="G840">
        <v>1060</v>
      </c>
    </row>
    <row r="841" spans="1:7">
      <c r="A841" t="s">
        <v>556</v>
      </c>
    </row>
    <row r="842" spans="1:7">
      <c r="A842" t="s">
        <v>892</v>
      </c>
    </row>
    <row r="843" spans="1:7">
      <c r="A843" t="s">
        <v>175</v>
      </c>
      <c r="B843">
        <v>828</v>
      </c>
      <c r="C843">
        <v>150</v>
      </c>
      <c r="E843">
        <v>688</v>
      </c>
      <c r="G843">
        <v>1666</v>
      </c>
    </row>
    <row r="844" spans="1:7">
      <c r="A844" t="s">
        <v>1057</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404</v>
      </c>
      <c r="B847">
        <v>60</v>
      </c>
      <c r="C847">
        <v>219</v>
      </c>
      <c r="G847">
        <v>279</v>
      </c>
    </row>
    <row r="848" spans="1:7">
      <c r="A848" t="s">
        <v>937</v>
      </c>
      <c r="D848">
        <v>240</v>
      </c>
      <c r="G848">
        <v>240</v>
      </c>
    </row>
    <row r="849" spans="1:7">
      <c r="A849" t="s">
        <v>1058</v>
      </c>
      <c r="C849">
        <v>1603</v>
      </c>
      <c r="D849">
        <v>791</v>
      </c>
      <c r="E849">
        <v>2803</v>
      </c>
      <c r="G849">
        <v>5197</v>
      </c>
    </row>
    <row r="850" spans="1:7">
      <c r="A850" t="s">
        <v>414</v>
      </c>
      <c r="C850">
        <v>927</v>
      </c>
      <c r="D850">
        <v>1221</v>
      </c>
      <c r="E850">
        <v>1023</v>
      </c>
      <c r="G850">
        <v>3171</v>
      </c>
    </row>
    <row r="851" spans="1:7">
      <c r="A851" t="s">
        <v>562</v>
      </c>
      <c r="C851">
        <v>974</v>
      </c>
      <c r="D851">
        <v>1312</v>
      </c>
      <c r="E851">
        <v>359</v>
      </c>
      <c r="G851">
        <v>2645</v>
      </c>
    </row>
    <row r="852" spans="1:7">
      <c r="A852" t="s">
        <v>894</v>
      </c>
      <c r="D852">
        <v>1239</v>
      </c>
      <c r="E852">
        <v>1220</v>
      </c>
      <c r="G852">
        <v>2459</v>
      </c>
    </row>
    <row r="853" spans="1:7">
      <c r="A853" t="s">
        <v>417</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v>92</v>
      </c>
      <c r="E859">
        <v>209</v>
      </c>
      <c r="F859">
        <v>434</v>
      </c>
      <c r="G859">
        <v>735</v>
      </c>
    </row>
    <row r="860" spans="1:7">
      <c r="A860" t="s">
        <v>513</v>
      </c>
      <c r="B860">
        <v>153</v>
      </c>
      <c r="C860">
        <v>244</v>
      </c>
      <c r="E860">
        <v>237</v>
      </c>
      <c r="G860">
        <v>634</v>
      </c>
    </row>
    <row r="861" spans="1:7">
      <c r="A861" t="s">
        <v>1028</v>
      </c>
      <c r="B861">
        <v>455</v>
      </c>
      <c r="G861">
        <v>455</v>
      </c>
    </row>
    <row r="862" spans="1:7">
      <c r="A862" t="s">
        <v>520</v>
      </c>
      <c r="B862">
        <v>151</v>
      </c>
      <c r="C862">
        <v>149</v>
      </c>
      <c r="G862">
        <v>300</v>
      </c>
    </row>
    <row r="863" spans="1:7">
      <c r="A863" t="s">
        <v>76</v>
      </c>
      <c r="D863">
        <v>168</v>
      </c>
      <c r="F863">
        <v>34</v>
      </c>
      <c r="G863">
        <v>202</v>
      </c>
    </row>
    <row r="864" spans="1:7">
      <c r="A864" t="s">
        <v>540</v>
      </c>
    </row>
    <row r="865" spans="1:7">
      <c r="A865" t="s">
        <v>518</v>
      </c>
      <c r="C865">
        <v>413</v>
      </c>
      <c r="D865">
        <v>190</v>
      </c>
      <c r="E865">
        <v>1194</v>
      </c>
      <c r="F865">
        <v>306</v>
      </c>
      <c r="G865">
        <v>2103</v>
      </c>
    </row>
    <row r="866" spans="1:7">
      <c r="A866" t="s">
        <v>1058</v>
      </c>
      <c r="B866">
        <v>3343</v>
      </c>
      <c r="C866">
        <v>714</v>
      </c>
      <c r="D866">
        <v>2013</v>
      </c>
      <c r="E866">
        <v>1500</v>
      </c>
      <c r="F866">
        <v>1933</v>
      </c>
      <c r="G866">
        <v>9503</v>
      </c>
    </row>
    <row r="867" spans="1:7">
      <c r="A867" t="s">
        <v>414</v>
      </c>
      <c r="B867">
        <v>1100</v>
      </c>
      <c r="C867">
        <v>527</v>
      </c>
      <c r="D867">
        <v>553</v>
      </c>
      <c r="G867">
        <v>2180</v>
      </c>
    </row>
    <row r="868" spans="1:7">
      <c r="A868" t="s">
        <v>562</v>
      </c>
      <c r="C868">
        <v>230</v>
      </c>
      <c r="G868">
        <v>230</v>
      </c>
    </row>
    <row r="869" spans="1:7">
      <c r="A869" t="s">
        <v>894</v>
      </c>
      <c r="B869">
        <v>853</v>
      </c>
      <c r="G869">
        <v>853</v>
      </c>
    </row>
    <row r="870" spans="1:7">
      <c r="A870" t="s">
        <v>417</v>
      </c>
      <c r="B870">
        <v>1186</v>
      </c>
      <c r="C870">
        <v>1564</v>
      </c>
      <c r="D870">
        <v>1012</v>
      </c>
      <c r="E870">
        <v>588</v>
      </c>
      <c r="G870">
        <v>4350</v>
      </c>
    </row>
    <row r="871" spans="1:7">
      <c r="A871" t="s">
        <v>896</v>
      </c>
      <c r="C871">
        <v>1007</v>
      </c>
      <c r="D871">
        <v>1672</v>
      </c>
      <c r="E871">
        <v>1544</v>
      </c>
      <c r="G871">
        <v>4223</v>
      </c>
    </row>
    <row r="872" spans="1:7">
      <c r="A872" t="s">
        <v>566</v>
      </c>
      <c r="C872">
        <v>1182</v>
      </c>
      <c r="D872">
        <v>1604</v>
      </c>
      <c r="E872">
        <v>1268</v>
      </c>
      <c r="G872">
        <v>4054</v>
      </c>
    </row>
    <row r="873" spans="1:7">
      <c r="A873" t="s">
        <v>427</v>
      </c>
      <c r="D873">
        <v>1624</v>
      </c>
      <c r="E873">
        <v>551</v>
      </c>
      <c r="G873">
        <v>2175</v>
      </c>
    </row>
    <row r="874" spans="1:7">
      <c r="A874" t="s">
        <v>415</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D880">
        <v>171</v>
      </c>
      <c r="G880">
        <v>171</v>
      </c>
    </row>
    <row r="881" spans="1:7">
      <c r="A881" t="s">
        <v>1022</v>
      </c>
      <c r="B881">
        <v>567</v>
      </c>
      <c r="G881">
        <v>567</v>
      </c>
    </row>
    <row r="882" spans="1:7">
      <c r="A882" t="s">
        <v>520</v>
      </c>
    </row>
    <row r="883" spans="1:7">
      <c r="A883" t="s">
        <v>534</v>
      </c>
      <c r="F883">
        <v>60</v>
      </c>
      <c r="G883">
        <v>60</v>
      </c>
    </row>
    <row r="884" spans="1:7">
      <c r="A884" t="s">
        <v>298</v>
      </c>
    </row>
    <row r="885" spans="1:7">
      <c r="A885" t="s">
        <v>396</v>
      </c>
    </row>
    <row r="886" spans="1:7">
      <c r="A886" t="s">
        <v>76</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1058</v>
      </c>
      <c r="B890">
        <v>820</v>
      </c>
      <c r="C890">
        <v>2077</v>
      </c>
      <c r="D890">
        <v>1096</v>
      </c>
      <c r="G890">
        <v>3993</v>
      </c>
    </row>
    <row r="891" spans="1:7">
      <c r="A891" t="s">
        <v>414</v>
      </c>
      <c r="C891">
        <v>1647</v>
      </c>
      <c r="D891">
        <v>343</v>
      </c>
      <c r="G891">
        <v>1990</v>
      </c>
    </row>
    <row r="892" spans="1:7">
      <c r="A892" t="s">
        <v>896</v>
      </c>
      <c r="B892">
        <v>587</v>
      </c>
      <c r="C892">
        <v>115</v>
      </c>
      <c r="G892">
        <v>702</v>
      </c>
    </row>
    <row r="893" spans="1:7">
      <c r="A893" t="s">
        <v>560</v>
      </c>
      <c r="C893">
        <v>1509</v>
      </c>
      <c r="D893">
        <v>1087</v>
      </c>
      <c r="E893">
        <v>777</v>
      </c>
      <c r="G893">
        <v>3373</v>
      </c>
    </row>
    <row r="894" spans="1:7">
      <c r="A894" t="s">
        <v>566</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1059</v>
      </c>
      <c r="B897">
        <v>1224</v>
      </c>
      <c r="C897">
        <v>988</v>
      </c>
      <c r="D897">
        <v>2316</v>
      </c>
      <c r="E897">
        <v>2066</v>
      </c>
      <c r="G897">
        <v>6594</v>
      </c>
    </row>
    <row r="898" spans="1:7">
      <c r="A898" t="s">
        <v>554</v>
      </c>
      <c r="C898">
        <v>1678</v>
      </c>
      <c r="E898">
        <v>394</v>
      </c>
      <c r="G898">
        <v>2072</v>
      </c>
    </row>
    <row r="899" spans="1:7">
      <c r="A899" t="s">
        <v>410</v>
      </c>
      <c r="D899">
        <v>3179</v>
      </c>
      <c r="G899">
        <v>3179</v>
      </c>
    </row>
    <row r="900" spans="1:7">
      <c r="A900" t="s">
        <v>458</v>
      </c>
      <c r="E900">
        <v>978</v>
      </c>
      <c r="G900">
        <v>978</v>
      </c>
    </row>
    <row r="901" spans="1:7">
      <c r="A901" t="s">
        <v>464</v>
      </c>
      <c r="E901">
        <v>502</v>
      </c>
      <c r="G901">
        <v>502</v>
      </c>
    </row>
    <row r="902" spans="1:7">
      <c r="A902" t="s">
        <v>254</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row>
    <row r="909" spans="1:7">
      <c r="A909" t="s">
        <v>536</v>
      </c>
    </row>
    <row r="910" spans="1:7">
      <c r="A910" t="s">
        <v>396</v>
      </c>
    </row>
    <row r="911" spans="1:7">
      <c r="A911" t="s">
        <v>424</v>
      </c>
      <c r="F911">
        <v>569</v>
      </c>
      <c r="G911">
        <v>569</v>
      </c>
    </row>
    <row r="912" spans="1:7">
      <c r="A912" t="s">
        <v>518</v>
      </c>
    </row>
    <row r="913" spans="1:7">
      <c r="A913" t="s">
        <v>404</v>
      </c>
      <c r="D913">
        <v>150</v>
      </c>
      <c r="G913">
        <v>150</v>
      </c>
    </row>
    <row r="914" spans="1:7">
      <c r="A914" t="s">
        <v>417</v>
      </c>
    </row>
    <row r="915" spans="1:7">
      <c r="A915" t="s">
        <v>566</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254</v>
      </c>
      <c r="C921">
        <v>379</v>
      </c>
      <c r="D921">
        <v>208</v>
      </c>
      <c r="G921">
        <v>587</v>
      </c>
    </row>
    <row r="922" spans="1:7">
      <c r="A922" t="s">
        <v>564</v>
      </c>
      <c r="B922">
        <v>579</v>
      </c>
      <c r="C922">
        <v>1120</v>
      </c>
      <c r="D922">
        <v>1488</v>
      </c>
      <c r="E922">
        <v>954</v>
      </c>
      <c r="G922">
        <v>4141</v>
      </c>
    </row>
    <row r="923" spans="1:7">
      <c r="A923" t="s">
        <v>1060</v>
      </c>
      <c r="B923">
        <v>365</v>
      </c>
      <c r="G923">
        <v>365</v>
      </c>
    </row>
    <row r="924" spans="1:7">
      <c r="A924" t="s">
        <v>429</v>
      </c>
      <c r="B924">
        <v>207</v>
      </c>
      <c r="G924">
        <v>207</v>
      </c>
    </row>
    <row r="925" spans="1:7">
      <c r="A925" t="s">
        <v>92</v>
      </c>
      <c r="C925">
        <v>1691</v>
      </c>
      <c r="D925">
        <v>1998</v>
      </c>
      <c r="E925">
        <v>760</v>
      </c>
      <c r="F925">
        <v>3975</v>
      </c>
      <c r="G925">
        <v>8424</v>
      </c>
    </row>
    <row r="926" spans="1:7">
      <c r="A926" t="s">
        <v>570</v>
      </c>
      <c r="D926">
        <v>1031</v>
      </c>
      <c r="G926">
        <v>1031</v>
      </c>
    </row>
    <row r="927" spans="1:7">
      <c r="A927" t="s">
        <v>426</v>
      </c>
      <c r="E927">
        <v>1063</v>
      </c>
      <c r="F927">
        <v>1263</v>
      </c>
      <c r="G927">
        <v>2326</v>
      </c>
    </row>
    <row r="928" spans="1:7">
      <c r="A928" t="s">
        <v>516</v>
      </c>
      <c r="F928">
        <v>451</v>
      </c>
      <c r="G928">
        <v>451</v>
      </c>
    </row>
    <row r="929" spans="1:7">
      <c r="A929" t="s">
        <v>481</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496</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81</v>
      </c>
    </row>
    <row r="939" spans="1:7">
      <c r="A939" t="s">
        <v>401</v>
      </c>
    </row>
    <row r="940" spans="1:7">
      <c r="A940" t="s">
        <v>518</v>
      </c>
      <c r="B940">
        <v>560</v>
      </c>
      <c r="G940">
        <v>560</v>
      </c>
    </row>
    <row r="941" spans="1:7">
      <c r="A941" t="s">
        <v>417</v>
      </c>
    </row>
    <row r="942" spans="1:7">
      <c r="A942" t="s">
        <v>566</v>
      </c>
      <c r="B942">
        <v>138</v>
      </c>
      <c r="G942">
        <v>138</v>
      </c>
    </row>
    <row r="943" spans="1:7">
      <c r="A943" t="s">
        <v>415</v>
      </c>
    </row>
    <row r="944" spans="1:7">
      <c r="A944" t="s">
        <v>410</v>
      </c>
      <c r="B944">
        <v>96</v>
      </c>
      <c r="G944">
        <v>96</v>
      </c>
    </row>
    <row r="945" spans="1:7">
      <c r="A945" t="s">
        <v>458</v>
      </c>
      <c r="B945">
        <v>632</v>
      </c>
      <c r="G945">
        <v>632</v>
      </c>
    </row>
    <row r="946" spans="1:7">
      <c r="A946" t="s">
        <v>464</v>
      </c>
      <c r="B946">
        <v>558</v>
      </c>
      <c r="G946">
        <v>558</v>
      </c>
    </row>
    <row r="947" spans="1:7">
      <c r="A947" t="s">
        <v>254</v>
      </c>
      <c r="B947">
        <v>562</v>
      </c>
      <c r="D947">
        <v>474</v>
      </c>
      <c r="E947">
        <v>606</v>
      </c>
      <c r="F947">
        <v>322</v>
      </c>
      <c r="G947">
        <v>1964</v>
      </c>
    </row>
    <row r="948" spans="1:7">
      <c r="A948" t="s">
        <v>570</v>
      </c>
      <c r="B948">
        <v>1351</v>
      </c>
      <c r="D948">
        <v>890</v>
      </c>
      <c r="G948">
        <v>2241</v>
      </c>
    </row>
    <row r="949" spans="1:7">
      <c r="A949" t="s">
        <v>496</v>
      </c>
      <c r="B949">
        <v>4084</v>
      </c>
      <c r="D949">
        <v>242</v>
      </c>
      <c r="G949">
        <v>4326</v>
      </c>
    </row>
    <row r="950" spans="1:7">
      <c r="A950" t="s">
        <v>1061</v>
      </c>
      <c r="B950">
        <v>748</v>
      </c>
      <c r="C950">
        <v>1062</v>
      </c>
      <c r="G950">
        <v>1810</v>
      </c>
    </row>
    <row r="951" spans="1:7">
      <c r="A951" t="s">
        <v>412</v>
      </c>
      <c r="B951">
        <v>435</v>
      </c>
      <c r="E951">
        <v>1123</v>
      </c>
      <c r="G951">
        <v>1558</v>
      </c>
    </row>
    <row r="952" spans="1:7">
      <c r="A952" t="s">
        <v>441</v>
      </c>
      <c r="D952">
        <v>1580</v>
      </c>
      <c r="E952">
        <v>1258</v>
      </c>
      <c r="G952">
        <v>2838</v>
      </c>
    </row>
    <row r="953" spans="1:7">
      <c r="A953" t="s">
        <v>439</v>
      </c>
      <c r="D953">
        <v>877</v>
      </c>
      <c r="E953">
        <v>814</v>
      </c>
      <c r="G953">
        <v>1691</v>
      </c>
    </row>
    <row r="954" spans="1:7">
      <c r="A954" t="s">
        <v>241</v>
      </c>
      <c r="D954">
        <v>711</v>
      </c>
      <c r="E954">
        <v>325</v>
      </c>
      <c r="F954">
        <v>430</v>
      </c>
      <c r="G954">
        <v>1466</v>
      </c>
    </row>
    <row r="955" spans="1:7">
      <c r="A955" t="s">
        <v>432</v>
      </c>
      <c r="D955">
        <v>1486</v>
      </c>
      <c r="E955">
        <v>2912</v>
      </c>
      <c r="F955">
        <v>2125</v>
      </c>
      <c r="G955">
        <v>6523</v>
      </c>
    </row>
    <row r="956" spans="1:7">
      <c r="A956" t="s">
        <v>491</v>
      </c>
      <c r="D956">
        <v>1264</v>
      </c>
      <c r="E956">
        <v>1281</v>
      </c>
      <c r="G956">
        <v>2545</v>
      </c>
    </row>
    <row r="957" spans="1:7">
      <c r="A957" t="s">
        <v>1062</v>
      </c>
    </row>
    <row r="958" spans="1:7">
      <c r="A958" t="s">
        <v>498</v>
      </c>
      <c r="D958">
        <v>3678</v>
      </c>
      <c r="E958">
        <v>3382</v>
      </c>
      <c r="G958">
        <v>7060</v>
      </c>
    </row>
    <row r="959" spans="1:7">
      <c r="A959" t="s">
        <v>1063</v>
      </c>
      <c r="F959">
        <v>1505</v>
      </c>
      <c r="G959">
        <v>1505</v>
      </c>
    </row>
    <row r="960" spans="1:7">
      <c r="A960" t="s">
        <v>392</v>
      </c>
      <c r="E960">
        <v>424</v>
      </c>
      <c r="G960">
        <v>424</v>
      </c>
    </row>
    <row r="961" spans="1:7">
      <c r="A961" t="s">
        <v>356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81</v>
      </c>
      <c r="E968">
        <v>170</v>
      </c>
      <c r="F968">
        <v>271</v>
      </c>
      <c r="G968">
        <v>441</v>
      </c>
    </row>
    <row r="969" spans="1:7">
      <c r="A969" t="s">
        <v>298</v>
      </c>
      <c r="B969">
        <v>446</v>
      </c>
      <c r="C969">
        <v>120</v>
      </c>
      <c r="D969">
        <v>550</v>
      </c>
      <c r="G969">
        <v>1116</v>
      </c>
    </row>
    <row r="970" spans="1:7">
      <c r="A970" t="s">
        <v>518</v>
      </c>
      <c r="C970">
        <v>17</v>
      </c>
      <c r="G970">
        <v>17</v>
      </c>
    </row>
    <row r="971" spans="1:7">
      <c r="A971" t="s">
        <v>566</v>
      </c>
    </row>
    <row r="972" spans="1:7">
      <c r="A972" t="s">
        <v>464</v>
      </c>
      <c r="B972">
        <v>127</v>
      </c>
      <c r="G972">
        <v>127</v>
      </c>
    </row>
    <row r="973" spans="1:7">
      <c r="A973" t="s">
        <v>254</v>
      </c>
      <c r="B973">
        <v>420</v>
      </c>
      <c r="G973">
        <v>420</v>
      </c>
    </row>
    <row r="974" spans="1:7">
      <c r="A974" t="s">
        <v>570</v>
      </c>
    </row>
    <row r="975" spans="1:7">
      <c r="A975" t="s">
        <v>412</v>
      </c>
      <c r="C975">
        <v>1917</v>
      </c>
      <c r="E975">
        <v>272</v>
      </c>
      <c r="G975">
        <v>2189</v>
      </c>
    </row>
    <row r="976" spans="1:7">
      <c r="A976" t="s">
        <v>439</v>
      </c>
      <c r="B976">
        <v>956</v>
      </c>
      <c r="G976">
        <v>956</v>
      </c>
    </row>
    <row r="977" spans="1:7">
      <c r="A977" t="s">
        <v>241</v>
      </c>
      <c r="E977">
        <v>195</v>
      </c>
      <c r="G977">
        <v>195</v>
      </c>
    </row>
    <row r="978" spans="1:7">
      <c r="A978" t="s">
        <v>432</v>
      </c>
      <c r="B978">
        <v>1449</v>
      </c>
      <c r="G978">
        <v>1449</v>
      </c>
    </row>
    <row r="979" spans="1:7">
      <c r="A979" t="s">
        <v>491</v>
      </c>
      <c r="B979">
        <v>1662</v>
      </c>
      <c r="C979">
        <v>2684</v>
      </c>
      <c r="F979">
        <v>51</v>
      </c>
      <c r="G979">
        <v>4397</v>
      </c>
    </row>
    <row r="980" spans="1:7">
      <c r="A980" t="s">
        <v>353</v>
      </c>
      <c r="B980">
        <v>5466</v>
      </c>
      <c r="E980">
        <v>2252</v>
      </c>
      <c r="G980">
        <v>7718</v>
      </c>
    </row>
    <row r="981" spans="1:7">
      <c r="A981" t="s">
        <v>1063</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1064</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433</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477</v>
      </c>
    </row>
    <row r="992" spans="1:7">
      <c r="A992" t="s">
        <v>479</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332</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row>
    <row r="1004" spans="1:7">
      <c r="A1004" t="s">
        <v>81</v>
      </c>
    </row>
    <row r="1005" spans="1:7">
      <c r="A1005" t="s">
        <v>510</v>
      </c>
      <c r="C1005">
        <v>68</v>
      </c>
      <c r="G1005">
        <v>68</v>
      </c>
    </row>
    <row r="1006" spans="1:7">
      <c r="A1006" t="s">
        <v>1048</v>
      </c>
    </row>
    <row r="1007" spans="1:7">
      <c r="A1007" t="s">
        <v>401</v>
      </c>
    </row>
    <row r="1008" spans="1:7">
      <c r="A1008" t="s">
        <v>427</v>
      </c>
    </row>
    <row r="1009" spans="1:7">
      <c r="A1009" t="s">
        <v>415</v>
      </c>
    </row>
    <row r="1010" spans="1:7">
      <c r="A1010" t="s">
        <v>410</v>
      </c>
    </row>
    <row r="1011" spans="1:7">
      <c r="A1011" t="s">
        <v>254</v>
      </c>
      <c r="D1011">
        <v>426</v>
      </c>
      <c r="G1011">
        <v>426</v>
      </c>
    </row>
    <row r="1012" spans="1:7">
      <c r="A1012" t="s">
        <v>426</v>
      </c>
    </row>
    <row r="1013" spans="1:7">
      <c r="A1013" t="s">
        <v>481</v>
      </c>
    </row>
    <row r="1014" spans="1:7">
      <c r="A1014" t="s">
        <v>344</v>
      </c>
      <c r="C1014">
        <v>1175</v>
      </c>
      <c r="G1014">
        <v>1175</v>
      </c>
    </row>
    <row r="1015" spans="1:7">
      <c r="A1015" t="s">
        <v>339</v>
      </c>
      <c r="C1015">
        <v>996</v>
      </c>
      <c r="G1015">
        <v>996</v>
      </c>
    </row>
    <row r="1016" spans="1:7">
      <c r="A1016" t="s">
        <v>412</v>
      </c>
      <c r="B1016">
        <v>900</v>
      </c>
      <c r="G1016">
        <v>900</v>
      </c>
    </row>
    <row r="1017" spans="1:7">
      <c r="A1017" t="s">
        <v>441</v>
      </c>
    </row>
    <row r="1018" spans="1:7">
      <c r="A1018" t="s">
        <v>439</v>
      </c>
    </row>
    <row r="1019" spans="1:7">
      <c r="A1019" t="s">
        <v>1064</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1066</v>
      </c>
      <c r="B1023">
        <v>1718</v>
      </c>
      <c r="C1023">
        <v>2478</v>
      </c>
      <c r="D1023">
        <v>1567</v>
      </c>
      <c r="G1023">
        <v>5763</v>
      </c>
    </row>
    <row r="1024" spans="1:7">
      <c r="A1024" t="s">
        <v>359</v>
      </c>
      <c r="C1024">
        <v>3411</v>
      </c>
      <c r="G1024">
        <v>3411</v>
      </c>
    </row>
    <row r="1025" spans="1:7">
      <c r="A1025" t="s">
        <v>223</v>
      </c>
      <c r="B1025">
        <v>82</v>
      </c>
      <c r="G1025">
        <v>82</v>
      </c>
    </row>
    <row r="1026" spans="1:7">
      <c r="A1026" t="s">
        <v>362</v>
      </c>
      <c r="C1026">
        <v>3311</v>
      </c>
      <c r="G1026">
        <v>3311</v>
      </c>
    </row>
    <row r="1027" spans="1:7">
      <c r="A1027" t="s">
        <v>471</v>
      </c>
    </row>
    <row r="1028" spans="1:7">
      <c r="A1028" t="s">
        <v>332</v>
      </c>
      <c r="C1028">
        <v>2568</v>
      </c>
      <c r="G1028">
        <v>2568</v>
      </c>
    </row>
    <row r="1029" spans="1:7">
      <c r="A1029" t="s">
        <v>455</v>
      </c>
      <c r="B1029">
        <v>286</v>
      </c>
      <c r="C1029">
        <v>357</v>
      </c>
      <c r="D1029">
        <v>331</v>
      </c>
      <c r="G1029">
        <v>974</v>
      </c>
    </row>
    <row r="1030" spans="1:7">
      <c r="A1030" t="s">
        <v>318</v>
      </c>
      <c r="B1030">
        <v>1655</v>
      </c>
      <c r="C1030">
        <v>2537</v>
      </c>
      <c r="G1030">
        <v>4192</v>
      </c>
    </row>
    <row r="1031" spans="1:7">
      <c r="A1031" t="s">
        <v>493</v>
      </c>
      <c r="C1031">
        <v>2382</v>
      </c>
      <c r="G1031">
        <v>2382</v>
      </c>
    </row>
    <row r="1032" spans="1:7">
      <c r="A1032" t="s">
        <v>452</v>
      </c>
      <c r="C1032">
        <v>1100</v>
      </c>
      <c r="D1032">
        <v>855</v>
      </c>
      <c r="G1032">
        <v>1955</v>
      </c>
    </row>
    <row r="1033" spans="1:7">
      <c r="A1033" t="s">
        <v>1067</v>
      </c>
      <c r="C1033">
        <v>486</v>
      </c>
      <c r="G1033">
        <v>486</v>
      </c>
    </row>
    <row r="1034" spans="1:7">
      <c r="A1034" t="s">
        <v>500</v>
      </c>
      <c r="C1034">
        <v>3634</v>
      </c>
      <c r="G1034">
        <v>3634</v>
      </c>
    </row>
    <row r="1035" spans="1:7">
      <c r="A1035" t="s">
        <v>1068</v>
      </c>
      <c r="D1035">
        <v>955</v>
      </c>
      <c r="G1035">
        <v>955</v>
      </c>
    </row>
    <row r="1036" spans="1:7">
      <c r="A1036" t="s">
        <v>1069</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s="112">
        <v>45994</v>
      </c>
      <c r="E1048" t="s">
        <v>995</v>
      </c>
    </row>
    <row r="1049" spans="1:7">
      <c r="A1049" t="s">
        <v>1048</v>
      </c>
      <c r="B1049">
        <v>523</v>
      </c>
      <c r="E1049">
        <v>523</v>
      </c>
    </row>
    <row r="1050" spans="1:7">
      <c r="A1050" t="s">
        <v>564</v>
      </c>
      <c r="C1050">
        <v>175</v>
      </c>
      <c r="E1050">
        <v>175</v>
      </c>
    </row>
    <row r="1051" spans="1:7">
      <c r="A1051" t="s">
        <v>92</v>
      </c>
      <c r="B1051">
        <v>602</v>
      </c>
      <c r="C1051">
        <v>1069</v>
      </c>
      <c r="E1051">
        <v>1671</v>
      </c>
    </row>
    <row r="1052" spans="1:7">
      <c r="A1052" t="s">
        <v>344</v>
      </c>
      <c r="B1052">
        <v>1515</v>
      </c>
      <c r="E1052">
        <v>1515</v>
      </c>
    </row>
    <row r="1053" spans="1:7">
      <c r="A1053" t="s">
        <v>446</v>
      </c>
      <c r="B1053">
        <v>1610</v>
      </c>
      <c r="E1053">
        <v>1610</v>
      </c>
    </row>
    <row r="1054" spans="1:7">
      <c r="A1054" t="s">
        <v>318</v>
      </c>
      <c r="B1054">
        <v>2113</v>
      </c>
      <c r="E1054">
        <v>2113</v>
      </c>
    </row>
    <row r="1055" spans="1:7">
      <c r="A1055" t="s">
        <v>493</v>
      </c>
      <c r="B1055">
        <v>3084</v>
      </c>
      <c r="E1055">
        <v>3084</v>
      </c>
    </row>
    <row r="1056" spans="1:7">
      <c r="A1056" t="s">
        <v>452</v>
      </c>
      <c r="B1056">
        <v>1622</v>
      </c>
      <c r="C1056">
        <v>1131</v>
      </c>
      <c r="E1056">
        <v>2753</v>
      </c>
    </row>
    <row r="1057" spans="1:5">
      <c r="A1057" t="s">
        <v>1067</v>
      </c>
      <c r="B1057">
        <v>600</v>
      </c>
      <c r="C1057">
        <v>610</v>
      </c>
      <c r="E1057">
        <v>1210</v>
      </c>
    </row>
    <row r="1058" spans="1:5">
      <c r="A1058" t="s">
        <v>500</v>
      </c>
      <c r="B1058">
        <v>3376</v>
      </c>
      <c r="E1058">
        <v>3376</v>
      </c>
    </row>
    <row r="1059" spans="1:5">
      <c r="A1059" t="s">
        <v>1068</v>
      </c>
      <c r="B1059">
        <v>1765</v>
      </c>
      <c r="C1059">
        <v>1153</v>
      </c>
      <c r="E1059">
        <v>2918</v>
      </c>
    </row>
    <row r="1060" spans="1:5">
      <c r="A1060" t="s">
        <v>1070</v>
      </c>
      <c r="B1060">
        <v>545</v>
      </c>
      <c r="C1060">
        <v>1172</v>
      </c>
      <c r="E1060">
        <v>1717</v>
      </c>
    </row>
    <row r="1061" spans="1:5">
      <c r="A1061" t="s">
        <v>389</v>
      </c>
      <c r="B1061">
        <v>1829</v>
      </c>
      <c r="C1061">
        <v>2302</v>
      </c>
      <c r="E1061">
        <v>4131</v>
      </c>
    </row>
    <row r="1062" spans="1:5">
      <c r="A1062" t="s">
        <v>350</v>
      </c>
      <c r="B1062">
        <v>1391</v>
      </c>
      <c r="C1062">
        <v>2916</v>
      </c>
      <c r="E1062">
        <v>4307</v>
      </c>
    </row>
    <row r="1063" spans="1:5">
      <c r="A1063" t="s">
        <v>133</v>
      </c>
    </row>
    <row r="1064" spans="1:5">
      <c r="A1064" t="s">
        <v>995</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4" activePane="bottomLeft" state="frozen"/>
      <selection pane="bottomLeft" activeCell="D2198" sqref="D21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93</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81</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81</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1"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83</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2" t="s">
        <v>812</v>
      </c>
      <c r="B1115" s="308" t="s">
        <v>1004</v>
      </c>
      <c r="C1115" s="56">
        <v>45790</v>
      </c>
      <c r="F1115" s="43" t="s">
        <v>1410</v>
      </c>
      <c r="G1115" t="str">
        <f t="shared" si="20"/>
        <v>May</v>
      </c>
    </row>
    <row r="1116" spans="1:7">
      <c r="A1116" s="632"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3" t="s">
        <v>526</v>
      </c>
      <c r="B1331" s="158" t="s">
        <v>419</v>
      </c>
      <c r="C1331" s="56">
        <v>45849</v>
      </c>
      <c r="D1331" s="43">
        <v>198</v>
      </c>
      <c r="G1331" t="s">
        <v>1482</v>
      </c>
    </row>
    <row r="1332" spans="1:7">
      <c r="A1332" s="251" t="s">
        <v>934</v>
      </c>
      <c r="B1332" s="411" t="s">
        <v>1004</v>
      </c>
      <c r="C1332" s="56">
        <v>45852</v>
      </c>
      <c r="F1332" s="43" t="s">
        <v>1145</v>
      </c>
      <c r="G1332" t="s">
        <v>1482</v>
      </c>
    </row>
    <row r="1333" spans="1:7">
      <c r="A1333" s="633"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4"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4"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4"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40"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5" t="s">
        <v>534</v>
      </c>
      <c r="B1418" s="315" t="s">
        <v>419</v>
      </c>
      <c r="C1418" s="56">
        <v>45875</v>
      </c>
      <c r="D1418" s="43">
        <v>840</v>
      </c>
      <c r="G1418" t="s">
        <v>1521</v>
      </c>
    </row>
    <row r="1419" spans="1:7">
      <c r="A1419" s="142" t="s">
        <v>520</v>
      </c>
      <c r="B1419" s="566"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1" t="s">
        <v>162</v>
      </c>
      <c r="C1422" s="56">
        <v>45876</v>
      </c>
      <c r="D1422" s="43">
        <v>674</v>
      </c>
      <c r="G1422" t="s">
        <v>1521</v>
      </c>
    </row>
    <row r="1423" spans="1:7">
      <c r="A1423" s="541" t="s">
        <v>534</v>
      </c>
      <c r="B1423" s="541"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7" t="s">
        <v>534</v>
      </c>
      <c r="B1426" s="315" t="s">
        <v>419</v>
      </c>
      <c r="C1426" s="56">
        <v>45877</v>
      </c>
      <c r="D1426" s="43">
        <v>718</v>
      </c>
      <c r="G1426" t="s">
        <v>1521</v>
      </c>
    </row>
    <row r="1427" spans="1:7">
      <c r="A1427" s="540"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7"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7"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7" t="s">
        <v>534</v>
      </c>
      <c r="B1447" s="315" t="s">
        <v>419</v>
      </c>
      <c r="C1447" s="56">
        <v>45883</v>
      </c>
      <c r="D1447" s="43">
        <v>554</v>
      </c>
      <c r="G1447" t="s">
        <v>1521</v>
      </c>
    </row>
    <row r="1448" spans="1:7">
      <c r="A1448" s="43" t="s">
        <v>298</v>
      </c>
      <c r="B1448" s="411" t="s">
        <v>1004</v>
      </c>
      <c r="C1448" s="56">
        <v>45883</v>
      </c>
      <c r="F1448" s="43" t="s">
        <v>1278</v>
      </c>
      <c r="G1448" t="s">
        <v>1521</v>
      </c>
    </row>
    <row r="1449" spans="1:7">
      <c r="A1449" s="540"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7" t="s">
        <v>534</v>
      </c>
      <c r="B1453" s="315" t="s">
        <v>419</v>
      </c>
      <c r="C1453" s="56">
        <v>45884</v>
      </c>
      <c r="D1453" s="43">
        <v>89</v>
      </c>
      <c r="G1453" t="s">
        <v>1521</v>
      </c>
    </row>
    <row r="1454" spans="1:7">
      <c r="A1454" s="308" t="s">
        <v>298</v>
      </c>
      <c r="B1454" s="308" t="s">
        <v>1004</v>
      </c>
      <c r="C1454" s="56">
        <v>45884</v>
      </c>
      <c r="D1454" s="43">
        <v>391</v>
      </c>
      <c r="G1454" t="s">
        <v>1521</v>
      </c>
    </row>
    <row r="1455" spans="1:7">
      <c r="A1455" s="540"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6" t="s">
        <v>925</v>
      </c>
      <c r="B1459" s="326" t="s">
        <v>162</v>
      </c>
      <c r="C1459" s="56">
        <v>45887</v>
      </c>
      <c r="D1459" s="156">
        <v>1109</v>
      </c>
      <c r="F1459" s="43" t="s">
        <v>1534</v>
      </c>
      <c r="G1459" t="s">
        <v>1521</v>
      </c>
    </row>
    <row r="1460" spans="1:7">
      <c r="A1460" s="567"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1" t="s">
        <v>854</v>
      </c>
      <c r="B1465" s="315" t="s">
        <v>162</v>
      </c>
      <c r="C1465" s="56">
        <v>45888</v>
      </c>
      <c r="D1465" s="156">
        <v>1460</v>
      </c>
      <c r="F1465" s="43" t="s">
        <v>1535</v>
      </c>
      <c r="G1465" t="s">
        <v>1521</v>
      </c>
    </row>
    <row r="1466" spans="1:7">
      <c r="A1466" s="567" t="s">
        <v>534</v>
      </c>
      <c r="B1466" s="315" t="s">
        <v>419</v>
      </c>
      <c r="C1466" s="56">
        <v>45888</v>
      </c>
      <c r="D1466" s="43">
        <v>408</v>
      </c>
      <c r="F1466" s="116"/>
      <c r="G1466" t="s">
        <v>1521</v>
      </c>
    </row>
    <row r="1467" spans="1:7">
      <c r="A1467" s="599"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6" t="s">
        <v>854</v>
      </c>
      <c r="B1473" s="326" t="s">
        <v>162</v>
      </c>
      <c r="C1473" s="56">
        <v>45889</v>
      </c>
      <c r="D1473" s="156">
        <v>1428</v>
      </c>
      <c r="F1473" s="43" t="s">
        <v>1442</v>
      </c>
      <c r="G1473" t="s">
        <v>1521</v>
      </c>
    </row>
    <row r="1474" spans="1:7">
      <c r="A1474" s="567" t="s">
        <v>534</v>
      </c>
      <c r="B1474" s="315" t="s">
        <v>419</v>
      </c>
      <c r="C1474" s="56">
        <v>45889</v>
      </c>
      <c r="D1474" s="43">
        <v>607</v>
      </c>
      <c r="F1474" s="43" t="s">
        <v>1537</v>
      </c>
      <c r="G1474" t="s">
        <v>1521</v>
      </c>
    </row>
    <row r="1475" spans="1:7">
      <c r="A1475" s="599"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6"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7" t="s">
        <v>534</v>
      </c>
      <c r="B1482" s="315" t="s">
        <v>419</v>
      </c>
      <c r="C1482" s="56">
        <v>45890</v>
      </c>
      <c r="D1482" s="156">
        <v>1022</v>
      </c>
      <c r="G1482" t="s">
        <v>1521</v>
      </c>
    </row>
    <row r="1483" spans="1:7">
      <c r="A1483" s="599"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7" t="s">
        <v>534</v>
      </c>
      <c r="B1488" s="315" t="s">
        <v>419</v>
      </c>
      <c r="C1488" s="56">
        <v>45891</v>
      </c>
      <c r="E1488" s="325">
        <v>6090</v>
      </c>
      <c r="F1488" s="43" t="s">
        <v>1541</v>
      </c>
      <c r="G1488" t="s">
        <v>1521</v>
      </c>
    </row>
    <row r="1489" spans="1:7">
      <c r="A1489" s="599"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6" t="s">
        <v>857</v>
      </c>
      <c r="B1494" s="326" t="s">
        <v>162</v>
      </c>
      <c r="C1494" s="56">
        <v>45894</v>
      </c>
      <c r="D1494" s="43">
        <v>735</v>
      </c>
      <c r="F1494" s="43" t="s">
        <v>1543</v>
      </c>
      <c r="G1494" t="s">
        <v>1521</v>
      </c>
    </row>
    <row r="1495" spans="1:7">
      <c r="A1495" s="567" t="s">
        <v>534</v>
      </c>
      <c r="B1495" s="315" t="s">
        <v>419</v>
      </c>
      <c r="C1495" s="56">
        <v>45894</v>
      </c>
      <c r="D1495" s="43">
        <v>639</v>
      </c>
      <c r="G1495" t="s">
        <v>1521</v>
      </c>
    </row>
    <row r="1496" spans="1:7">
      <c r="A1496" s="599"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6"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4" t="s">
        <v>881</v>
      </c>
      <c r="B1503" s="43" t="s">
        <v>162</v>
      </c>
      <c r="C1503" s="56">
        <v>45895</v>
      </c>
      <c r="D1503" s="156">
        <v>1224</v>
      </c>
      <c r="F1503" s="43" t="s">
        <v>1545</v>
      </c>
      <c r="G1503" t="s">
        <v>1521</v>
      </c>
    </row>
    <row r="1504" spans="1:7">
      <c r="A1504" s="599" t="s">
        <v>531</v>
      </c>
      <c r="B1504" s="647" t="s">
        <v>1004</v>
      </c>
      <c r="C1504" s="56">
        <v>45895</v>
      </c>
      <c r="D1504" s="43">
        <v>295</v>
      </c>
      <c r="G1504" t="s">
        <v>1521</v>
      </c>
    </row>
    <row r="1505" spans="1:7">
      <c r="A1505" s="644"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6"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4" t="s">
        <v>881</v>
      </c>
      <c r="B1510" s="43" t="s">
        <v>162</v>
      </c>
      <c r="C1510" s="56">
        <v>45896</v>
      </c>
      <c r="D1510" s="43">
        <v>967</v>
      </c>
      <c r="F1510" s="43" t="s">
        <v>1549</v>
      </c>
      <c r="G1510" t="s">
        <v>1521</v>
      </c>
    </row>
    <row r="1511" spans="1:7">
      <c r="A1511" s="599" t="s">
        <v>298</v>
      </c>
      <c r="B1511" s="647" t="s">
        <v>1004</v>
      </c>
      <c r="C1511" s="56">
        <v>45896</v>
      </c>
      <c r="D1511" s="43">
        <v>400</v>
      </c>
      <c r="G1511" t="s">
        <v>1521</v>
      </c>
    </row>
    <row r="1512" spans="1:7">
      <c r="A1512" s="644" t="s">
        <v>418</v>
      </c>
      <c r="B1512" s="359" t="s">
        <v>419</v>
      </c>
      <c r="C1512" s="56">
        <v>45896</v>
      </c>
      <c r="D1512" s="43">
        <v>358</v>
      </c>
      <c r="F1512" s="43" t="s">
        <v>1550</v>
      </c>
      <c r="G1512" t="s">
        <v>1521</v>
      </c>
    </row>
    <row r="1513" spans="1:7">
      <c r="A1513" s="659"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4"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7" t="s">
        <v>534</v>
      </c>
      <c r="B1518" s="315" t="s">
        <v>419</v>
      </c>
      <c r="C1518" s="56">
        <v>45897</v>
      </c>
      <c r="F1518" s="43" t="s">
        <v>1140</v>
      </c>
      <c r="G1518" t="s">
        <v>1521</v>
      </c>
    </row>
    <row r="1519" spans="1:7">
      <c r="A1519" s="599" t="s">
        <v>298</v>
      </c>
      <c r="B1519" s="647" t="s">
        <v>1004</v>
      </c>
      <c r="C1519" s="56">
        <v>45897</v>
      </c>
      <c r="D1519" s="43">
        <v>320</v>
      </c>
      <c r="G1519" t="s">
        <v>1521</v>
      </c>
    </row>
    <row r="1520" spans="1:7">
      <c r="A1520" s="644"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9" t="s">
        <v>1048</v>
      </c>
      <c r="B1523" s="319" t="s">
        <v>1555</v>
      </c>
      <c r="C1523" s="56">
        <v>45898</v>
      </c>
      <c r="D1523" s="156">
        <v>1131</v>
      </c>
      <c r="G1523" t="s">
        <v>1521</v>
      </c>
    </row>
    <row r="1524" spans="1:7">
      <c r="A1524" s="660"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1" t="s">
        <v>1004</v>
      </c>
      <c r="C1527" s="56">
        <v>45898</v>
      </c>
      <c r="E1527" s="325">
        <v>390</v>
      </c>
      <c r="F1527" s="43" t="s">
        <v>1558</v>
      </c>
      <c r="G1527" t="s">
        <v>1559</v>
      </c>
    </row>
    <row r="1528" spans="1:7">
      <c r="A1528" s="142"/>
      <c r="B1528" s="541"/>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3"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3" t="s">
        <v>884</v>
      </c>
      <c r="B1537" s="319" t="s">
        <v>1555</v>
      </c>
      <c r="C1537" s="56">
        <v>45903</v>
      </c>
      <c r="D1537" s="156">
        <v>2819</v>
      </c>
      <c r="F1537" s="43" t="s">
        <v>1567</v>
      </c>
      <c r="G1537" t="s">
        <v>1559</v>
      </c>
    </row>
    <row r="1538" spans="1:7">
      <c r="A1538" s="672" t="s">
        <v>863</v>
      </c>
      <c r="B1538" s="319" t="s">
        <v>1004</v>
      </c>
      <c r="C1538" s="56">
        <v>45903</v>
      </c>
      <c r="D1538" s="43">
        <v>130</v>
      </c>
      <c r="F1538" s="43" t="s">
        <v>1568</v>
      </c>
      <c r="G1538" t="s">
        <v>1559</v>
      </c>
    </row>
    <row r="1539" spans="1:7">
      <c r="A1539" s="599" t="s">
        <v>531</v>
      </c>
      <c r="B1539" s="322" t="s">
        <v>1004</v>
      </c>
      <c r="C1539" s="56">
        <v>45903</v>
      </c>
      <c r="D1539" s="43">
        <v>65</v>
      </c>
      <c r="F1539" s="142" t="s">
        <v>1569</v>
      </c>
      <c r="G1539" t="s">
        <v>1559</v>
      </c>
    </row>
    <row r="1540" spans="1:7">
      <c r="A1540" s="664"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4" t="s">
        <v>543</v>
      </c>
      <c r="B1544" s="43" t="s">
        <v>162</v>
      </c>
      <c r="C1544" s="56">
        <v>45904</v>
      </c>
      <c r="D1544" s="43">
        <v>903</v>
      </c>
      <c r="F1544" s="43" t="s">
        <v>1572</v>
      </c>
      <c r="G1544" t="s">
        <v>1559</v>
      </c>
    </row>
    <row r="1545" spans="1:7">
      <c r="A1545" s="672"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9" t="s">
        <v>531</v>
      </c>
      <c r="B1547" s="322" t="s">
        <v>1004</v>
      </c>
      <c r="C1547" s="56">
        <v>45904</v>
      </c>
      <c r="D1547" s="43">
        <v>6</v>
      </c>
      <c r="F1547" s="43" t="s">
        <v>1574</v>
      </c>
      <c r="G1547" t="s">
        <v>1559</v>
      </c>
    </row>
    <row r="1548" spans="1:7">
      <c r="A1548" s="382" t="s">
        <v>1028</v>
      </c>
      <c r="B1548" s="674" t="s">
        <v>1004</v>
      </c>
      <c r="C1548" s="56">
        <v>45905</v>
      </c>
      <c r="D1548" s="43">
        <v>125</v>
      </c>
      <c r="G1548" t="s">
        <v>1559</v>
      </c>
    </row>
    <row r="1549" spans="1:7">
      <c r="A1549" s="251" t="s">
        <v>536</v>
      </c>
      <c r="B1549" s="674" t="s">
        <v>1004</v>
      </c>
      <c r="C1549" s="56">
        <v>45905</v>
      </c>
      <c r="D1549" s="43">
        <v>285</v>
      </c>
      <c r="G1549" t="s">
        <v>1559</v>
      </c>
    </row>
    <row r="1550" spans="1:7">
      <c r="A1550" s="251" t="s">
        <v>854</v>
      </c>
      <c r="B1550" s="750" t="s">
        <v>162</v>
      </c>
      <c r="C1550" s="56">
        <v>45905</v>
      </c>
      <c r="D1550" s="43">
        <v>128</v>
      </c>
      <c r="E1550" s="140">
        <v>2000</v>
      </c>
      <c r="F1550" s="43" t="s">
        <v>1575</v>
      </c>
      <c r="G1550" t="s">
        <v>1559</v>
      </c>
    </row>
    <row r="1551" spans="1:7">
      <c r="A1551" s="251" t="s">
        <v>884</v>
      </c>
      <c r="B1551" s="674" t="s">
        <v>1004</v>
      </c>
      <c r="C1551" s="56">
        <v>45905</v>
      </c>
      <c r="E1551" s="325">
        <v>2062</v>
      </c>
      <c r="G1551" t="s">
        <v>1559</v>
      </c>
    </row>
    <row r="1552" spans="1:7">
      <c r="A1552" s="751" t="s">
        <v>543</v>
      </c>
      <c r="B1552" s="232" t="s">
        <v>128</v>
      </c>
      <c r="C1552" s="56">
        <v>45908</v>
      </c>
      <c r="D1552" s="43">
        <v>254</v>
      </c>
      <c r="F1552" s="43" t="s">
        <v>1576</v>
      </c>
      <c r="G1552" t="s">
        <v>1559</v>
      </c>
    </row>
    <row r="1553" spans="1:7">
      <c r="A1553" s="702" t="s">
        <v>1047</v>
      </c>
      <c r="B1553" s="132" t="s">
        <v>162</v>
      </c>
      <c r="C1553" s="56">
        <v>45908</v>
      </c>
      <c r="D1553" s="156">
        <v>2498</v>
      </c>
      <c r="G1553" t="s">
        <v>1559</v>
      </c>
    </row>
    <row r="1554" spans="1:7">
      <c r="A1554" s="69" t="s">
        <v>849</v>
      </c>
      <c r="B1554" s="703"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2" t="s">
        <v>1047</v>
      </c>
      <c r="B1556" s="132" t="s">
        <v>162</v>
      </c>
      <c r="C1556" s="56">
        <v>45909</v>
      </c>
      <c r="D1556" s="156">
        <v>1192</v>
      </c>
      <c r="F1556" s="43" t="s">
        <v>1579</v>
      </c>
      <c r="G1556" t="s">
        <v>1559</v>
      </c>
    </row>
    <row r="1557" spans="1:7">
      <c r="A1557" s="69" t="s">
        <v>940</v>
      </c>
      <c r="B1557" s="703"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2" t="s">
        <v>1047</v>
      </c>
      <c r="B1560" s="132" t="s">
        <v>162</v>
      </c>
      <c r="C1560" s="56">
        <v>45910</v>
      </c>
      <c r="D1560" s="156">
        <v>1925</v>
      </c>
      <c r="G1560" t="s">
        <v>1559</v>
      </c>
    </row>
    <row r="1561" spans="1:7">
      <c r="A1561" s="69" t="s">
        <v>940</v>
      </c>
      <c r="B1561" s="703" t="s">
        <v>1440</v>
      </c>
      <c r="C1561" s="56">
        <v>45910</v>
      </c>
      <c r="D1561" s="43">
        <v>333</v>
      </c>
      <c r="G1561" t="s">
        <v>1559</v>
      </c>
    </row>
    <row r="1562" spans="1:7">
      <c r="A1562" s="732" t="s">
        <v>890</v>
      </c>
      <c r="B1562" s="132" t="s">
        <v>162</v>
      </c>
      <c r="C1562" s="56">
        <v>45910</v>
      </c>
      <c r="D1562" s="43">
        <v>740</v>
      </c>
      <c r="F1562" s="43" t="s">
        <v>1581</v>
      </c>
      <c r="G1562" t="s">
        <v>1559</v>
      </c>
    </row>
    <row r="1563" spans="1:7">
      <c r="A1563" s="644" t="s">
        <v>396</v>
      </c>
      <c r="B1563" s="647" t="s">
        <v>397</v>
      </c>
      <c r="C1563" s="56">
        <v>45910</v>
      </c>
      <c r="D1563" s="43">
        <v>307</v>
      </c>
      <c r="G1563" t="s">
        <v>1559</v>
      </c>
    </row>
    <row r="1564" spans="1:7">
      <c r="A1564" s="158" t="s">
        <v>536</v>
      </c>
      <c r="B1564" s="703"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3" t="s">
        <v>1440</v>
      </c>
      <c r="C1568" s="56">
        <v>45911</v>
      </c>
      <c r="E1568" s="140">
        <v>662</v>
      </c>
      <c r="F1568" s="43" t="s">
        <v>1162</v>
      </c>
      <c r="G1568" t="s">
        <v>1559</v>
      </c>
    </row>
    <row r="1569" spans="1:7">
      <c r="A1569" s="702"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3" t="s">
        <v>1440</v>
      </c>
      <c r="C1573" s="56">
        <v>45912</v>
      </c>
      <c r="F1573" s="749"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9" t="s">
        <v>1145</v>
      </c>
      <c r="G1575" t="s">
        <v>1559</v>
      </c>
    </row>
    <row r="1576" spans="1:7">
      <c r="A1576" s="88" t="s">
        <v>1028</v>
      </c>
      <c r="B1576" s="411" t="s">
        <v>1004</v>
      </c>
      <c r="C1576" s="56">
        <v>45915</v>
      </c>
      <c r="D1576" s="43">
        <v>42</v>
      </c>
      <c r="F1576" s="69"/>
      <c r="G1576" t="s">
        <v>1559</v>
      </c>
    </row>
    <row r="1577" spans="1:7">
      <c r="A1577" s="69" t="s">
        <v>890</v>
      </c>
      <c r="B1577" s="703" t="s">
        <v>162</v>
      </c>
      <c r="C1577" s="56">
        <v>45915</v>
      </c>
      <c r="D1577" s="156">
        <v>1238</v>
      </c>
      <c r="F1577" s="69"/>
      <c r="G1577" t="s">
        <v>1559</v>
      </c>
    </row>
    <row r="1578" spans="1:7">
      <c r="A1578" s="702"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2" t="s">
        <v>1475</v>
      </c>
      <c r="G1580" t="s">
        <v>1559</v>
      </c>
    </row>
    <row r="1581" spans="1:7">
      <c r="A1581" s="88" t="s">
        <v>1028</v>
      </c>
      <c r="B1581" s="132" t="s">
        <v>1004</v>
      </c>
      <c r="C1581" s="56">
        <v>45916</v>
      </c>
      <c r="D1581" s="43">
        <v>219</v>
      </c>
      <c r="F1581" s="753" t="s">
        <v>1584</v>
      </c>
      <c r="G1581" t="s">
        <v>1559</v>
      </c>
    </row>
    <row r="1582" spans="1:7">
      <c r="A1582" s="69" t="s">
        <v>890</v>
      </c>
      <c r="B1582" s="703" t="s">
        <v>162</v>
      </c>
      <c r="C1582" s="56">
        <v>45916</v>
      </c>
      <c r="D1582" s="156">
        <v>1531</v>
      </c>
      <c r="F1582" s="753"/>
      <c r="G1582" t="s">
        <v>1559</v>
      </c>
    </row>
    <row r="1583" spans="1:7">
      <c r="A1583" s="702" t="s">
        <v>898</v>
      </c>
      <c r="B1583" s="132" t="s">
        <v>1004</v>
      </c>
      <c r="C1583" s="56">
        <v>45916</v>
      </c>
      <c r="E1583" s="325"/>
      <c r="F1583" s="753" t="s">
        <v>1585</v>
      </c>
      <c r="G1583" t="s">
        <v>1559</v>
      </c>
    </row>
    <row r="1584" spans="1:7">
      <c r="A1584" s="69" t="s">
        <v>860</v>
      </c>
      <c r="B1584" s="703" t="s">
        <v>162</v>
      </c>
      <c r="C1584" s="56">
        <v>45916</v>
      </c>
      <c r="D1584" s="156">
        <v>1808</v>
      </c>
      <c r="F1584" s="753"/>
      <c r="G1584" t="s">
        <v>1559</v>
      </c>
    </row>
    <row r="1585" spans="1:7">
      <c r="A1585" s="135" t="s">
        <v>396</v>
      </c>
      <c r="B1585" s="251" t="s">
        <v>397</v>
      </c>
      <c r="C1585" s="56">
        <v>45916</v>
      </c>
      <c r="F1585" s="753" t="s">
        <v>1128</v>
      </c>
      <c r="G1585" t="s">
        <v>1559</v>
      </c>
    </row>
    <row r="1586" spans="1:7">
      <c r="A1586" s="158" t="s">
        <v>418</v>
      </c>
      <c r="B1586" s="251" t="s">
        <v>1004</v>
      </c>
      <c r="C1586" s="56">
        <v>45916</v>
      </c>
      <c r="F1586" s="754" t="s">
        <v>1586</v>
      </c>
      <c r="G1586" t="s">
        <v>1559</v>
      </c>
    </row>
    <row r="1587" spans="1:7">
      <c r="A1587" s="116" t="s">
        <v>531</v>
      </c>
      <c r="B1587" s="382" t="s">
        <v>1004</v>
      </c>
      <c r="C1587" s="56">
        <v>45916</v>
      </c>
      <c r="F1587" s="752" t="s">
        <v>1586</v>
      </c>
      <c r="G1587" t="s">
        <v>1559</v>
      </c>
    </row>
    <row r="1588" spans="1:7">
      <c r="A1588" s="664" t="s">
        <v>421</v>
      </c>
      <c r="B1588" s="142" t="s">
        <v>248</v>
      </c>
      <c r="C1588" s="56">
        <v>45916</v>
      </c>
      <c r="D1588" s="43">
        <v>251</v>
      </c>
      <c r="F1588" s="753"/>
      <c r="G1588" t="s">
        <v>1559</v>
      </c>
    </row>
    <row r="1589" spans="1:7">
      <c r="A1589" s="135" t="s">
        <v>1051</v>
      </c>
      <c r="B1589" s="315" t="s">
        <v>1004</v>
      </c>
      <c r="C1589" s="56">
        <v>45917</v>
      </c>
      <c r="D1589" s="43">
        <v>75</v>
      </c>
      <c r="F1589" s="753"/>
      <c r="G1589" t="s">
        <v>1559</v>
      </c>
    </row>
    <row r="1590" spans="1:7">
      <c r="A1590" s="142" t="s">
        <v>890</v>
      </c>
      <c r="B1590" s="362" t="s">
        <v>162</v>
      </c>
      <c r="C1590" s="56">
        <v>45917</v>
      </c>
      <c r="D1590" s="156">
        <v>1250</v>
      </c>
      <c r="F1590" s="753" t="s">
        <v>1587</v>
      </c>
      <c r="G1590" t="s">
        <v>1559</v>
      </c>
    </row>
    <row r="1591" spans="1:7">
      <c r="A1591" s="756" t="s">
        <v>543</v>
      </c>
      <c r="B1591" s="319" t="s">
        <v>128</v>
      </c>
      <c r="C1591" s="56">
        <v>45917</v>
      </c>
      <c r="D1591" s="43">
        <v>250</v>
      </c>
      <c r="F1591" s="753" t="s">
        <v>1588</v>
      </c>
      <c r="G1591" t="s">
        <v>1559</v>
      </c>
    </row>
    <row r="1592" spans="1:7">
      <c r="A1592" s="142" t="s">
        <v>860</v>
      </c>
      <c r="B1592" s="758" t="s">
        <v>162</v>
      </c>
      <c r="C1592" s="56">
        <v>45917</v>
      </c>
      <c r="F1592" s="753" t="s">
        <v>1589</v>
      </c>
      <c r="G1592" t="s">
        <v>1559</v>
      </c>
    </row>
    <row r="1593" spans="1:7">
      <c r="A1593" s="135" t="s">
        <v>396</v>
      </c>
      <c r="B1593" s="142" t="s">
        <v>397</v>
      </c>
      <c r="C1593" s="56">
        <v>45917</v>
      </c>
      <c r="D1593" s="43">
        <v>863</v>
      </c>
      <c r="F1593" s="753"/>
      <c r="G1593" t="s">
        <v>1559</v>
      </c>
    </row>
    <row r="1594" spans="1:7">
      <c r="A1594" s="757" t="s">
        <v>421</v>
      </c>
      <c r="B1594" s="309" t="s">
        <v>248</v>
      </c>
      <c r="C1594" s="56">
        <v>45917</v>
      </c>
      <c r="D1594" s="43">
        <v>253</v>
      </c>
      <c r="F1594" s="753"/>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3"/>
      <c r="G1596" t="s">
        <v>1559</v>
      </c>
    </row>
    <row r="1597" spans="1:7">
      <c r="A1597" s="88" t="s">
        <v>513</v>
      </c>
      <c r="B1597" s="411" t="s">
        <v>1004</v>
      </c>
      <c r="C1597" s="56">
        <v>45918</v>
      </c>
      <c r="D1597" s="43">
        <v>97</v>
      </c>
      <c r="F1597" s="753" t="s">
        <v>1590</v>
      </c>
      <c r="G1597" t="s">
        <v>1559</v>
      </c>
    </row>
    <row r="1598" spans="1:7">
      <c r="A1598" s="88" t="s">
        <v>1028</v>
      </c>
      <c r="B1598" s="411" t="s">
        <v>1004</v>
      </c>
      <c r="C1598" s="56">
        <v>45918</v>
      </c>
      <c r="F1598" s="753" t="s">
        <v>1591</v>
      </c>
      <c r="G1598" t="s">
        <v>1559</v>
      </c>
    </row>
    <row r="1599" spans="1:7">
      <c r="A1599" s="69" t="s">
        <v>890</v>
      </c>
      <c r="B1599" s="703" t="s">
        <v>162</v>
      </c>
      <c r="C1599" s="56">
        <v>45918</v>
      </c>
      <c r="D1599" s="43">
        <v>361</v>
      </c>
      <c r="F1599" s="753" t="s">
        <v>1592</v>
      </c>
      <c r="G1599" t="s">
        <v>1559</v>
      </c>
    </row>
    <row r="1600" spans="1:7">
      <c r="A1600" s="69" t="s">
        <v>860</v>
      </c>
      <c r="B1600" s="703" t="s">
        <v>162</v>
      </c>
      <c r="C1600" s="56">
        <v>45918</v>
      </c>
      <c r="D1600" s="156">
        <v>1204</v>
      </c>
      <c r="F1600" s="753" t="s">
        <v>1593</v>
      </c>
      <c r="G1600" t="s">
        <v>1559</v>
      </c>
    </row>
    <row r="1601" spans="1:7">
      <c r="A1601" s="69" t="s">
        <v>545</v>
      </c>
      <c r="B1601" s="703" t="s">
        <v>162</v>
      </c>
      <c r="C1601" s="56">
        <v>45918</v>
      </c>
      <c r="D1601" s="156">
        <v>562</v>
      </c>
      <c r="F1601" s="753"/>
      <c r="G1601" t="s">
        <v>1559</v>
      </c>
    </row>
    <row r="1602" spans="1:7">
      <c r="A1602" s="69" t="s">
        <v>879</v>
      </c>
      <c r="B1602" s="703" t="s">
        <v>162</v>
      </c>
      <c r="C1602" s="56">
        <v>45918</v>
      </c>
      <c r="D1602" s="156">
        <v>754</v>
      </c>
      <c r="F1602" s="753" t="s">
        <v>1594</v>
      </c>
      <c r="G1602" t="s">
        <v>1559</v>
      </c>
    </row>
    <row r="1603" spans="1:7">
      <c r="A1603" s="135" t="s">
        <v>396</v>
      </c>
      <c r="B1603" s="251" t="s">
        <v>397</v>
      </c>
      <c r="C1603" s="56">
        <v>45918</v>
      </c>
      <c r="D1603" s="43">
        <v>499</v>
      </c>
      <c r="F1603" s="753"/>
      <c r="G1603" t="s">
        <v>1559</v>
      </c>
    </row>
    <row r="1604" spans="1:7">
      <c r="A1604" s="664" t="s">
        <v>421</v>
      </c>
      <c r="B1604" s="142" t="s">
        <v>248</v>
      </c>
      <c r="C1604" s="56">
        <v>45918</v>
      </c>
      <c r="D1604" s="156">
        <v>1076</v>
      </c>
      <c r="F1604" s="753"/>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3"/>
      <c r="G1606" t="s">
        <v>1559</v>
      </c>
    </row>
    <row r="1607" spans="1:7">
      <c r="A1607" s="763" t="s">
        <v>898</v>
      </c>
      <c r="B1607" s="411" t="s">
        <v>1004</v>
      </c>
      <c r="C1607" s="56">
        <v>45919</v>
      </c>
      <c r="E1607" s="325">
        <v>1210</v>
      </c>
      <c r="F1607" s="753" t="s">
        <v>1595</v>
      </c>
      <c r="G1607" t="s">
        <v>1559</v>
      </c>
    </row>
    <row r="1608" spans="1:7">
      <c r="A1608" s="135" t="s">
        <v>396</v>
      </c>
      <c r="B1608" s="251" t="s">
        <v>397</v>
      </c>
      <c r="C1608" s="56">
        <v>45919</v>
      </c>
      <c r="D1608" s="43">
        <v>475</v>
      </c>
      <c r="F1608" s="753"/>
      <c r="G1608" t="s">
        <v>1559</v>
      </c>
    </row>
    <row r="1609" spans="1:7">
      <c r="A1609" s="664" t="s">
        <v>421</v>
      </c>
      <c r="B1609" s="142" t="s">
        <v>248</v>
      </c>
      <c r="C1609" s="56">
        <v>45919</v>
      </c>
      <c r="F1609" s="348" t="s">
        <v>1278</v>
      </c>
      <c r="G1609" t="s">
        <v>1559</v>
      </c>
    </row>
    <row r="1610" spans="1:7">
      <c r="A1610" s="702" t="s">
        <v>1047</v>
      </c>
      <c r="B1610" s="132" t="s">
        <v>162</v>
      </c>
      <c r="C1610" s="56">
        <v>45919</v>
      </c>
      <c r="F1610" s="142" t="s">
        <v>1596</v>
      </c>
      <c r="G1610" t="s">
        <v>1559</v>
      </c>
    </row>
    <row r="1611" spans="1:7">
      <c r="A1611" s="330" t="s">
        <v>76</v>
      </c>
      <c r="B1611" s="411" t="s">
        <v>1004</v>
      </c>
      <c r="C1611" s="56">
        <v>45922</v>
      </c>
      <c r="D1611" s="43">
        <v>153</v>
      </c>
      <c r="F1611" s="784"/>
      <c r="G1611" t="s">
        <v>1559</v>
      </c>
    </row>
    <row r="1612" spans="1:7">
      <c r="A1612" s="322" t="s">
        <v>1052</v>
      </c>
      <c r="B1612" s="142" t="s">
        <v>228</v>
      </c>
      <c r="C1612" s="56">
        <v>45922</v>
      </c>
      <c r="D1612" s="43">
        <v>329</v>
      </c>
      <c r="F1612" s="753"/>
      <c r="G1612" t="s">
        <v>1559</v>
      </c>
    </row>
    <row r="1613" spans="1:7">
      <c r="A1613" s="308" t="s">
        <v>545</v>
      </c>
      <c r="B1613" s="758" t="s">
        <v>162</v>
      </c>
      <c r="C1613" s="56">
        <v>45922</v>
      </c>
      <c r="D1613" s="43">
        <v>978</v>
      </c>
      <c r="F1613" s="753" t="s">
        <v>1597</v>
      </c>
      <c r="G1613" t="s">
        <v>1559</v>
      </c>
    </row>
    <row r="1614" spans="1:7">
      <c r="A1614" s="309" t="s">
        <v>879</v>
      </c>
      <c r="B1614" s="765" t="s">
        <v>162</v>
      </c>
      <c r="C1614" s="56">
        <v>45922</v>
      </c>
      <c r="D1614" s="43">
        <v>1285</v>
      </c>
      <c r="F1614" s="753" t="s">
        <v>1598</v>
      </c>
      <c r="G1614" t="s">
        <v>1559</v>
      </c>
    </row>
    <row r="1615" spans="1:7">
      <c r="A1615" s="764" t="s">
        <v>568</v>
      </c>
      <c r="B1615" s="315" t="s">
        <v>1004</v>
      </c>
      <c r="C1615" s="56">
        <v>45922</v>
      </c>
      <c r="D1615" s="43">
        <v>335</v>
      </c>
      <c r="F1615" s="753" t="s">
        <v>1442</v>
      </c>
      <c r="G1615" t="s">
        <v>1559</v>
      </c>
    </row>
    <row r="1616" spans="1:7">
      <c r="A1616" s="135" t="s">
        <v>396</v>
      </c>
      <c r="B1616" s="142" t="s">
        <v>397</v>
      </c>
      <c r="C1616" s="56">
        <v>45922</v>
      </c>
      <c r="D1616" s="43">
        <v>839</v>
      </c>
      <c r="F1616" s="753"/>
      <c r="G1616" t="s">
        <v>1559</v>
      </c>
    </row>
    <row r="1617" spans="1:7">
      <c r="A1617" s="766" t="s">
        <v>421</v>
      </c>
      <c r="B1617" s="308" t="s">
        <v>248</v>
      </c>
      <c r="C1617" s="56">
        <v>45922</v>
      </c>
      <c r="F1617" s="315" t="s">
        <v>1599</v>
      </c>
      <c r="G1617" t="s">
        <v>1559</v>
      </c>
    </row>
    <row r="1618" spans="1:7">
      <c r="A1618" s="329" t="s">
        <v>526</v>
      </c>
      <c r="B1618" s="309" t="s">
        <v>71</v>
      </c>
      <c r="C1618" s="56">
        <v>45922</v>
      </c>
      <c r="D1618" s="43">
        <v>60</v>
      </c>
      <c r="E1618" s="140">
        <v>1005</v>
      </c>
      <c r="F1618" s="753"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3" t="s">
        <v>1052</v>
      </c>
      <c r="B1621" s="776" t="s">
        <v>228</v>
      </c>
      <c r="C1621" s="56">
        <v>45923</v>
      </c>
      <c r="D1621" s="43">
        <v>427</v>
      </c>
      <c r="F1621" s="69"/>
      <c r="G1621" t="s">
        <v>1559</v>
      </c>
    </row>
    <row r="1622" spans="1:7">
      <c r="A1622" s="69" t="s">
        <v>545</v>
      </c>
      <c r="B1622" s="771" t="s">
        <v>162</v>
      </c>
      <c r="C1622" s="56">
        <v>45923</v>
      </c>
      <c r="D1622" s="43">
        <v>675</v>
      </c>
      <c r="F1622" s="69"/>
      <c r="G1622" t="s">
        <v>1559</v>
      </c>
    </row>
    <row r="1623" spans="1:7">
      <c r="A1623" s="69" t="s">
        <v>548</v>
      </c>
      <c r="B1623" s="772" t="s">
        <v>162</v>
      </c>
      <c r="C1623" s="56">
        <v>45923</v>
      </c>
      <c r="D1623" s="156">
        <v>1231</v>
      </c>
      <c r="F1623" s="69" t="s">
        <v>1602</v>
      </c>
      <c r="G1623" t="s">
        <v>1559</v>
      </c>
    </row>
    <row r="1624" spans="1:7">
      <c r="A1624" s="770" t="s">
        <v>568</v>
      </c>
      <c r="B1624" s="773" t="s">
        <v>1004</v>
      </c>
      <c r="C1624" s="56">
        <v>45923</v>
      </c>
      <c r="E1624" s="140">
        <v>335</v>
      </c>
      <c r="F1624" s="69" t="s">
        <v>1603</v>
      </c>
      <c r="G1624" t="s">
        <v>1559</v>
      </c>
    </row>
    <row r="1625" spans="1:7">
      <c r="A1625" s="774" t="s">
        <v>396</v>
      </c>
      <c r="B1625" s="251" t="s">
        <v>397</v>
      </c>
      <c r="C1625" s="56">
        <v>45923</v>
      </c>
      <c r="F1625" s="779" t="s">
        <v>1604</v>
      </c>
      <c r="G1625" t="s">
        <v>1559</v>
      </c>
    </row>
    <row r="1626" spans="1:7">
      <c r="A1626" s="664" t="s">
        <v>421</v>
      </c>
      <c r="B1626" s="776" t="s">
        <v>248</v>
      </c>
      <c r="C1626" s="56">
        <v>45923</v>
      </c>
      <c r="D1626" s="43">
        <v>120</v>
      </c>
      <c r="F1626" s="69"/>
      <c r="G1626" t="s">
        <v>1559</v>
      </c>
    </row>
    <row r="1627" spans="1:7">
      <c r="A1627" s="158" t="s">
        <v>418</v>
      </c>
      <c r="B1627" s="251" t="s">
        <v>71</v>
      </c>
      <c r="C1627" s="56">
        <v>45923</v>
      </c>
      <c r="F1627" s="142" t="s">
        <v>1475</v>
      </c>
      <c r="G1627" t="s">
        <v>1559</v>
      </c>
    </row>
    <row r="1628" spans="1:7">
      <c r="A1628" s="775" t="s">
        <v>1053</v>
      </c>
      <c r="B1628" s="445" t="s">
        <v>760</v>
      </c>
      <c r="C1628" s="56">
        <v>45923</v>
      </c>
      <c r="D1628" s="43">
        <v>291</v>
      </c>
      <c r="F1628" s="69"/>
      <c r="G1628" t="s">
        <v>1559</v>
      </c>
    </row>
    <row r="1629" spans="1:7">
      <c r="A1629" s="88" t="s">
        <v>76</v>
      </c>
      <c r="B1629" s="411" t="s">
        <v>1004</v>
      </c>
      <c r="C1629" s="56">
        <v>45924</v>
      </c>
      <c r="D1629" s="43">
        <v>260</v>
      </c>
      <c r="F1629" s="69"/>
      <c r="G1629" t="s">
        <v>1559</v>
      </c>
    </row>
    <row r="1630" spans="1:7">
      <c r="A1630" s="763" t="s">
        <v>1052</v>
      </c>
      <c r="B1630" s="142" t="s">
        <v>228</v>
      </c>
      <c r="C1630" s="56">
        <v>45924</v>
      </c>
      <c r="D1630" s="43">
        <v>537</v>
      </c>
      <c r="F1630" s="69"/>
      <c r="G1630" t="s">
        <v>1559</v>
      </c>
    </row>
    <row r="1631" spans="1:7">
      <c r="A1631" s="149" t="s">
        <v>551</v>
      </c>
      <c r="B1631" s="781" t="s">
        <v>162</v>
      </c>
      <c r="C1631" s="347">
        <v>45924</v>
      </c>
      <c r="D1631" s="156">
        <v>1205</v>
      </c>
      <c r="F1631" s="69" t="s">
        <v>1605</v>
      </c>
      <c r="G1631" t="s">
        <v>1559</v>
      </c>
    </row>
    <row r="1632" spans="1:7">
      <c r="A1632" s="69" t="s">
        <v>548</v>
      </c>
      <c r="B1632" s="408" t="s">
        <v>162</v>
      </c>
      <c r="C1632" s="56">
        <v>45924</v>
      </c>
      <c r="D1632" s="783">
        <v>1538</v>
      </c>
      <c r="F1632" s="69" t="s">
        <v>1606</v>
      </c>
      <c r="G1632" t="s">
        <v>1559</v>
      </c>
    </row>
    <row r="1633" spans="1:7">
      <c r="A1633" s="780" t="s">
        <v>844</v>
      </c>
      <c r="B1633" s="408" t="s">
        <v>1004</v>
      </c>
      <c r="C1633" s="56">
        <v>45924</v>
      </c>
      <c r="D1633" s="162">
        <v>240</v>
      </c>
      <c r="F1633" s="69"/>
      <c r="G1633" t="s">
        <v>1559</v>
      </c>
    </row>
    <row r="1634" spans="1:7">
      <c r="A1634" s="780" t="s">
        <v>890</v>
      </c>
      <c r="B1634" s="408" t="s">
        <v>162</v>
      </c>
      <c r="C1634" s="56">
        <v>45924</v>
      </c>
      <c r="D1634" s="162"/>
      <c r="F1634" s="348" t="s">
        <v>1607</v>
      </c>
      <c r="G1634" t="s">
        <v>1559</v>
      </c>
    </row>
    <row r="1635" spans="1:7">
      <c r="A1635" s="69" t="s">
        <v>545</v>
      </c>
      <c r="B1635" s="771" t="s">
        <v>162</v>
      </c>
      <c r="C1635" s="56">
        <v>45924</v>
      </c>
      <c r="D1635" s="162">
        <v>170</v>
      </c>
      <c r="F1635" s="142" t="s">
        <v>1608</v>
      </c>
      <c r="G1635" t="s">
        <v>1559</v>
      </c>
    </row>
    <row r="1636" spans="1:7">
      <c r="A1636" s="782" t="s">
        <v>396</v>
      </c>
      <c r="B1636" s="412" t="s">
        <v>397</v>
      </c>
      <c r="C1636" s="355">
        <v>45924</v>
      </c>
      <c r="D1636" s="43">
        <v>616</v>
      </c>
      <c r="F1636" s="92"/>
      <c r="G1636" t="s">
        <v>1559</v>
      </c>
    </row>
    <row r="1637" spans="1:7">
      <c r="A1637" s="664" t="s">
        <v>421</v>
      </c>
      <c r="B1637" s="776" t="s">
        <v>248</v>
      </c>
      <c r="C1637" s="56">
        <v>45924</v>
      </c>
      <c r="D1637" s="43">
        <v>190</v>
      </c>
      <c r="F1637" s="69"/>
      <c r="G1637" t="s">
        <v>1559</v>
      </c>
    </row>
    <row r="1638" spans="1:7">
      <c r="A1638" s="158" t="s">
        <v>298</v>
      </c>
      <c r="B1638" s="251" t="s">
        <v>1004</v>
      </c>
      <c r="C1638" s="56">
        <v>45924</v>
      </c>
      <c r="D1638" s="43">
        <v>362</v>
      </c>
      <c r="F1638" s="30"/>
      <c r="G1638" t="s">
        <v>1559</v>
      </c>
    </row>
    <row r="1639" spans="1:7">
      <c r="A1639" s="775" t="s">
        <v>1053</v>
      </c>
      <c r="B1639" s="445" t="s">
        <v>760</v>
      </c>
      <c r="C1639" s="56">
        <v>45924</v>
      </c>
      <c r="F1639" s="315" t="s">
        <v>1609</v>
      </c>
      <c r="G1639" t="s">
        <v>1559</v>
      </c>
    </row>
    <row r="1640" spans="1:7">
      <c r="A1640" s="802" t="s">
        <v>520</v>
      </c>
      <c r="B1640" s="132" t="s">
        <v>248</v>
      </c>
      <c r="C1640" s="56">
        <v>45924</v>
      </c>
      <c r="D1640" s="43">
        <v>406</v>
      </c>
      <c r="F1640" s="30"/>
      <c r="G1640" t="s">
        <v>1559</v>
      </c>
    </row>
    <row r="1641" spans="1:7">
      <c r="A1641" s="776" t="s">
        <v>890</v>
      </c>
      <c r="B1641" s="647" t="s">
        <v>1004</v>
      </c>
      <c r="C1641" s="56">
        <v>45924</v>
      </c>
      <c r="E1641" s="325">
        <v>1837</v>
      </c>
      <c r="F1641" s="69" t="s">
        <v>1610</v>
      </c>
      <c r="G1641" t="s">
        <v>1559</v>
      </c>
    </row>
    <row r="1642" spans="1:7">
      <c r="A1642" s="776" t="s">
        <v>860</v>
      </c>
      <c r="B1642" s="647" t="s">
        <v>1004</v>
      </c>
      <c r="C1642" s="56">
        <v>45924</v>
      </c>
      <c r="E1642" s="140">
        <v>731</v>
      </c>
      <c r="F1642" s="69" t="s">
        <v>1610</v>
      </c>
      <c r="G1642" t="s">
        <v>1559</v>
      </c>
    </row>
    <row r="1643" spans="1:7">
      <c r="A1643" s="776" t="s">
        <v>545</v>
      </c>
      <c r="B1643" s="647" t="s">
        <v>1004</v>
      </c>
      <c r="C1643" s="56">
        <v>45924</v>
      </c>
      <c r="E1643" s="140">
        <v>178</v>
      </c>
      <c r="F1643" s="69" t="s">
        <v>1610</v>
      </c>
      <c r="G1643" t="s">
        <v>1559</v>
      </c>
    </row>
    <row r="1644" spans="1:7">
      <c r="A1644" s="776" t="s">
        <v>1055</v>
      </c>
      <c r="B1644" s="647"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3" t="s">
        <v>1052</v>
      </c>
      <c r="B1646" s="142" t="s">
        <v>228</v>
      </c>
      <c r="C1646" s="56">
        <v>45925</v>
      </c>
      <c r="D1646" s="43">
        <v>646</v>
      </c>
      <c r="F1646" s="69" t="s">
        <v>1231</v>
      </c>
      <c r="G1646" t="s">
        <v>1559</v>
      </c>
    </row>
    <row r="1647" spans="1:7">
      <c r="A1647" s="69" t="s">
        <v>551</v>
      </c>
      <c r="B1647" s="771" t="s">
        <v>162</v>
      </c>
      <c r="C1647" s="56">
        <v>45925</v>
      </c>
      <c r="D1647" s="156">
        <v>1000</v>
      </c>
      <c r="F1647" s="30"/>
      <c r="G1647" t="s">
        <v>1559</v>
      </c>
    </row>
    <row r="1648" spans="1:7">
      <c r="A1648" s="69" t="s">
        <v>548</v>
      </c>
      <c r="B1648" s="772" t="s">
        <v>162</v>
      </c>
      <c r="C1648" s="56">
        <v>45925</v>
      </c>
      <c r="D1648" s="156">
        <v>1377</v>
      </c>
      <c r="F1648" s="69" t="s">
        <v>1611</v>
      </c>
      <c r="G1648" t="s">
        <v>1559</v>
      </c>
    </row>
    <row r="1649" spans="1:7">
      <c r="A1649" s="770" t="s">
        <v>844</v>
      </c>
      <c r="B1649" s="773" t="s">
        <v>1004</v>
      </c>
      <c r="C1649" s="56">
        <v>45925</v>
      </c>
      <c r="D1649" s="43">
        <v>504</v>
      </c>
      <c r="F1649" s="30"/>
      <c r="G1649" t="s">
        <v>1559</v>
      </c>
    </row>
    <row r="1650" spans="1:7">
      <c r="A1650" s="242" t="s">
        <v>1054</v>
      </c>
      <c r="B1650" s="242" t="s">
        <v>1612</v>
      </c>
      <c r="C1650" s="56">
        <v>45925</v>
      </c>
      <c r="F1650" s="315" t="s">
        <v>1613</v>
      </c>
      <c r="G1650" t="s">
        <v>1559</v>
      </c>
    </row>
    <row r="1651" spans="1:7">
      <c r="A1651" s="774" t="s">
        <v>396</v>
      </c>
      <c r="B1651" s="251" t="s">
        <v>397</v>
      </c>
      <c r="C1651" s="56">
        <v>45925</v>
      </c>
      <c r="D1651" s="43">
        <v>969</v>
      </c>
      <c r="G1651" t="s">
        <v>1559</v>
      </c>
    </row>
    <row r="1652" spans="1:7">
      <c r="A1652" s="664" t="s">
        <v>421</v>
      </c>
      <c r="B1652" s="776" t="s">
        <v>248</v>
      </c>
      <c r="C1652" s="56">
        <v>45925</v>
      </c>
      <c r="F1652" s="142" t="s">
        <v>1145</v>
      </c>
      <c r="G1652" t="s">
        <v>1559</v>
      </c>
    </row>
    <row r="1653" spans="1:7">
      <c r="A1653" s="158" t="s">
        <v>298</v>
      </c>
      <c r="B1653" s="251" t="s">
        <v>1004</v>
      </c>
      <c r="C1653" s="56">
        <v>45925</v>
      </c>
      <c r="D1653" s="43">
        <v>399</v>
      </c>
      <c r="G1653" t="s">
        <v>1559</v>
      </c>
    </row>
    <row r="1654" spans="1:7">
      <c r="A1654" s="775"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8" t="s">
        <v>1615</v>
      </c>
      <c r="C1656" s="56">
        <v>45926</v>
      </c>
      <c r="D1656" s="156">
        <v>3471</v>
      </c>
      <c r="G1656" t="s">
        <v>1559</v>
      </c>
    </row>
    <row r="1657" spans="1:7">
      <c r="A1657" s="308" t="s">
        <v>1054</v>
      </c>
      <c r="B1657" s="758" t="s">
        <v>397</v>
      </c>
      <c r="C1657" s="56">
        <v>45926</v>
      </c>
      <c r="D1657" s="43">
        <v>300</v>
      </c>
      <c r="G1657" t="s">
        <v>1559</v>
      </c>
    </row>
    <row r="1658" spans="1:7">
      <c r="A1658" s="308" t="s">
        <v>1054</v>
      </c>
      <c r="B1658" s="758" t="s">
        <v>1616</v>
      </c>
      <c r="C1658" s="56">
        <v>45926</v>
      </c>
      <c r="D1658" s="43">
        <v>364</v>
      </c>
      <c r="G1658" t="s">
        <v>1559</v>
      </c>
    </row>
    <row r="1659" spans="1:7">
      <c r="A1659" s="135" t="s">
        <v>396</v>
      </c>
      <c r="B1659" s="142" t="s">
        <v>397</v>
      </c>
      <c r="C1659" s="56">
        <v>45926</v>
      </c>
      <c r="D1659" s="43">
        <v>552</v>
      </c>
      <c r="G1659" t="s">
        <v>1559</v>
      </c>
    </row>
    <row r="1660" spans="1:7">
      <c r="A1660" s="766"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8" t="s">
        <v>1615</v>
      </c>
      <c r="C1665" s="56">
        <v>45929</v>
      </c>
      <c r="D1665" s="156">
        <v>1491</v>
      </c>
      <c r="G1665" t="s">
        <v>1559</v>
      </c>
    </row>
    <row r="1666" spans="1:7">
      <c r="A1666" s="308" t="s">
        <v>1054</v>
      </c>
      <c r="B1666" s="758" t="s">
        <v>1616</v>
      </c>
      <c r="C1666" s="56">
        <v>45929</v>
      </c>
      <c r="D1666" s="43">
        <v>760</v>
      </c>
      <c r="G1666" t="s">
        <v>1559</v>
      </c>
    </row>
    <row r="1667" spans="1:7">
      <c r="A1667" s="807" t="s">
        <v>548</v>
      </c>
      <c r="B1667" s="756"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6"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1"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2" t="s">
        <v>879</v>
      </c>
      <c r="B1680" s="142" t="s">
        <v>1004</v>
      </c>
      <c r="C1680" s="314">
        <v>45930</v>
      </c>
      <c r="E1680" s="140">
        <v>536</v>
      </c>
      <c r="G1680" t="s">
        <v>1559</v>
      </c>
    </row>
    <row r="1681" spans="1:7">
      <c r="A1681" s="822" t="s">
        <v>548</v>
      </c>
      <c r="B1681" s="142" t="s">
        <v>1004</v>
      </c>
      <c r="C1681" s="314">
        <v>45930</v>
      </c>
      <c r="E1681" s="140">
        <v>886</v>
      </c>
      <c r="G1681" t="s">
        <v>1559</v>
      </c>
    </row>
    <row r="1682" spans="1:7">
      <c r="A1682" s="135" t="s">
        <v>396</v>
      </c>
      <c r="B1682" s="308" t="s">
        <v>397</v>
      </c>
      <c r="C1682" s="56">
        <v>45930</v>
      </c>
      <c r="D1682" s="156">
        <v>1016</v>
      </c>
      <c r="G1682" t="s">
        <v>1559</v>
      </c>
    </row>
    <row r="1683" spans="1:7">
      <c r="A1683" s="822"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1"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3"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7" t="s">
        <v>556</v>
      </c>
      <c r="B1692" s="756" t="s">
        <v>162</v>
      </c>
      <c r="C1692" s="56">
        <v>45931</v>
      </c>
      <c r="D1692" s="156">
        <v>1118</v>
      </c>
      <c r="G1692" t="s">
        <v>1625</v>
      </c>
    </row>
    <row r="1693" spans="1:7">
      <c r="A1693" s="135" t="s">
        <v>396</v>
      </c>
      <c r="B1693" s="142" t="s">
        <v>397</v>
      </c>
      <c r="C1693" s="56">
        <v>45931</v>
      </c>
      <c r="D1693" s="43">
        <v>312</v>
      </c>
      <c r="G1693" t="s">
        <v>1625</v>
      </c>
    </row>
    <row r="1694" spans="1:7">
      <c r="A1694" s="567"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3"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7" t="s">
        <v>556</v>
      </c>
      <c r="B1701" s="756" t="s">
        <v>162</v>
      </c>
      <c r="C1701" s="56">
        <v>45932</v>
      </c>
      <c r="D1701" s="156">
        <v>1472</v>
      </c>
      <c r="F1701" s="43" t="s">
        <v>1580</v>
      </c>
      <c r="G1701" t="s">
        <v>1625</v>
      </c>
    </row>
    <row r="1702" spans="1:7">
      <c r="A1702" s="823"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7"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9" t="s">
        <v>513</v>
      </c>
      <c r="B1718" s="315" t="s">
        <v>1004</v>
      </c>
      <c r="C1718" s="56">
        <v>45936</v>
      </c>
      <c r="D1718" s="43">
        <v>175</v>
      </c>
      <c r="G1718" t="s">
        <v>1625</v>
      </c>
    </row>
    <row r="1719" spans="1:7">
      <c r="A1719" s="599"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6"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5"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6"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6" t="s">
        <v>556</v>
      </c>
      <c r="B1743" s="142" t="s">
        <v>162</v>
      </c>
      <c r="C1743" s="56">
        <v>45938</v>
      </c>
      <c r="D1743" s="43">
        <v>308</v>
      </c>
      <c r="F1743" s="43" t="s">
        <v>1641</v>
      </c>
      <c r="G1743" t="s">
        <v>1625</v>
      </c>
    </row>
    <row r="1744" spans="1:7">
      <c r="A1744" s="663"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9" t="s">
        <v>510</v>
      </c>
      <c r="B1749" s="411" t="s">
        <v>1004</v>
      </c>
      <c r="C1749" s="56">
        <v>45939</v>
      </c>
      <c r="D1749" s="43">
        <v>270</v>
      </c>
      <c r="G1749" t="s">
        <v>1625</v>
      </c>
    </row>
    <row r="1750" spans="1:7">
      <c r="A1750" s="88" t="s">
        <v>1022</v>
      </c>
      <c r="B1750" s="411" t="s">
        <v>1004</v>
      </c>
      <c r="C1750" s="56">
        <v>45939</v>
      </c>
      <c r="D1750" s="43">
        <v>229</v>
      </c>
      <c r="G1750" t="s">
        <v>1625</v>
      </c>
    </row>
    <row r="1751" spans="1:7">
      <c r="A1751" s="702" t="s">
        <v>175</v>
      </c>
      <c r="B1751" s="702" t="s">
        <v>162</v>
      </c>
      <c r="C1751" s="56">
        <v>45939</v>
      </c>
      <c r="D1751" s="43">
        <v>980</v>
      </c>
      <c r="F1751" s="43" t="s">
        <v>1447</v>
      </c>
      <c r="G1751" t="s">
        <v>1625</v>
      </c>
    </row>
    <row r="1752" spans="1:7">
      <c r="A1752" s="345" t="s">
        <v>1054</v>
      </c>
      <c r="B1752" s="408" t="s">
        <v>1643</v>
      </c>
      <c r="C1752" s="56">
        <v>45939</v>
      </c>
      <c r="F1752" s="749" t="s">
        <v>1315</v>
      </c>
      <c r="G1752" t="s">
        <v>1625</v>
      </c>
    </row>
    <row r="1753" spans="1:7">
      <c r="A1753" s="780" t="s">
        <v>556</v>
      </c>
      <c r="B1753" s="408" t="s">
        <v>162</v>
      </c>
      <c r="C1753" s="56">
        <v>45939</v>
      </c>
      <c r="F1753" s="634"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2" t="s">
        <v>1053</v>
      </c>
      <c r="B1756" s="411" t="s">
        <v>1004</v>
      </c>
      <c r="C1756" s="56">
        <v>45939</v>
      </c>
      <c r="D1756" s="43">
        <v>508</v>
      </c>
      <c r="G1756" t="s">
        <v>1625</v>
      </c>
    </row>
    <row r="1757" spans="1:7">
      <c r="A1757" s="775" t="s">
        <v>1053</v>
      </c>
      <c r="B1757" s="162" t="s">
        <v>760</v>
      </c>
      <c r="C1757" s="56">
        <v>45939</v>
      </c>
      <c r="F1757" s="634"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9"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3"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9" t="s">
        <v>1028</v>
      </c>
      <c r="B1769" s="319" t="s">
        <v>1004</v>
      </c>
      <c r="C1769" s="56">
        <v>45943</v>
      </c>
      <c r="F1769" s="961" t="s">
        <v>1649</v>
      </c>
      <c r="G1769" t="s">
        <v>1625</v>
      </c>
    </row>
    <row r="1770" spans="1:7">
      <c r="A1770" s="960" t="s">
        <v>518</v>
      </c>
      <c r="B1770" s="756"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7" t="s">
        <v>558</v>
      </c>
      <c r="B1773" s="309" t="s">
        <v>162</v>
      </c>
      <c r="C1773" s="56">
        <v>45943</v>
      </c>
      <c r="D1773" s="156">
        <v>1768</v>
      </c>
      <c r="G1773" t="s">
        <v>1625</v>
      </c>
    </row>
    <row r="1774" spans="1:7">
      <c r="A1774" s="962"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1" t="s">
        <v>1004</v>
      </c>
      <c r="C1776" s="56">
        <v>45943</v>
      </c>
      <c r="D1776" s="43">
        <v>60</v>
      </c>
      <c r="G1776" t="s">
        <v>1625</v>
      </c>
    </row>
    <row r="1777" spans="1:7">
      <c r="A1777" s="124" t="s">
        <v>1022</v>
      </c>
      <c r="B1777" s="315" t="s">
        <v>1004</v>
      </c>
      <c r="C1777" s="56">
        <v>45944</v>
      </c>
      <c r="D1777" s="43">
        <v>163</v>
      </c>
      <c r="G1777" t="s">
        <v>1625</v>
      </c>
    </row>
    <row r="1778" spans="1:7">
      <c r="A1778" s="632" t="s">
        <v>518</v>
      </c>
      <c r="B1778" s="319" t="s">
        <v>1616</v>
      </c>
      <c r="C1778" s="56">
        <v>45944</v>
      </c>
      <c r="D1778" s="43">
        <v>435</v>
      </c>
      <c r="G1778" t="s">
        <v>1625</v>
      </c>
    </row>
    <row r="1779" spans="1:7">
      <c r="A1779" s="88" t="s">
        <v>1028</v>
      </c>
      <c r="B1779" s="315" t="s">
        <v>1004</v>
      </c>
      <c r="C1779" s="56">
        <v>45944</v>
      </c>
      <c r="F1779" s="963"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6" t="s">
        <v>558</v>
      </c>
      <c r="B1782" s="142" t="s">
        <v>162</v>
      </c>
      <c r="C1782" s="314">
        <v>45944</v>
      </c>
      <c r="D1782" s="43">
        <v>510</v>
      </c>
      <c r="F1782" s="43" t="s">
        <v>1652</v>
      </c>
      <c r="G1782" t="s">
        <v>1625</v>
      </c>
    </row>
    <row r="1783" spans="1:7">
      <c r="A1783" s="826"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2" t="s">
        <v>518</v>
      </c>
      <c r="B1789" s="319" t="s">
        <v>1616</v>
      </c>
      <c r="C1789" s="56">
        <v>45945</v>
      </c>
      <c r="D1789" s="43">
        <v>227</v>
      </c>
      <c r="F1789" s="43" t="s">
        <v>1655</v>
      </c>
      <c r="G1789" t="s">
        <v>1625</v>
      </c>
    </row>
    <row r="1790" spans="1:7">
      <c r="A1790" s="632"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8"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9" t="s">
        <v>1022</v>
      </c>
      <c r="B1797" s="142" t="s">
        <v>1004</v>
      </c>
      <c r="C1797" s="314">
        <v>45946</v>
      </c>
      <c r="D1797" s="43">
        <v>570</v>
      </c>
      <c r="G1797" t="s">
        <v>1625</v>
      </c>
    </row>
    <row r="1798" spans="1:7">
      <c r="A1798" s="970" t="s">
        <v>1028</v>
      </c>
      <c r="B1798" s="142" t="s">
        <v>1004</v>
      </c>
      <c r="C1798" s="314">
        <v>45946</v>
      </c>
      <c r="F1798" s="320" t="s">
        <v>1649</v>
      </c>
      <c r="G1798" t="s">
        <v>1625</v>
      </c>
    </row>
    <row r="1799" spans="1:7">
      <c r="A1799" s="971" t="s">
        <v>518</v>
      </c>
      <c r="B1799" s="142" t="s">
        <v>1616</v>
      </c>
      <c r="C1799" s="314">
        <v>45946</v>
      </c>
      <c r="D1799" s="43">
        <v>487</v>
      </c>
      <c r="F1799" s="43" t="s">
        <v>1663</v>
      </c>
      <c r="G1799" t="s">
        <v>1625</v>
      </c>
    </row>
    <row r="1800" spans="1:7">
      <c r="A1800" s="972" t="s">
        <v>562</v>
      </c>
      <c r="B1800" s="142" t="s">
        <v>162</v>
      </c>
      <c r="C1800" s="314">
        <v>45946</v>
      </c>
      <c r="D1800" s="43">
        <v>359</v>
      </c>
      <c r="F1800" s="43" t="s">
        <v>1664</v>
      </c>
      <c r="G1800" t="s">
        <v>1625</v>
      </c>
    </row>
    <row r="1801" spans="1:7">
      <c r="A1801" s="973"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9"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9"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2" t="s">
        <v>556</v>
      </c>
      <c r="B1810" s="702" t="s">
        <v>1004</v>
      </c>
      <c r="C1810" s="56">
        <v>45947</v>
      </c>
      <c r="F1810" s="43" t="s">
        <v>1669</v>
      </c>
      <c r="G1810" t="s">
        <v>1625</v>
      </c>
    </row>
    <row r="1811" spans="1:7">
      <c r="A1811" s="149" t="s">
        <v>1058</v>
      </c>
      <c r="B1811" s="116" t="s">
        <v>232</v>
      </c>
      <c r="C1811" s="56">
        <v>45947</v>
      </c>
      <c r="F1811" s="43" t="s">
        <v>1670</v>
      </c>
      <c r="G1811" t="s">
        <v>1625</v>
      </c>
    </row>
    <row r="1812" spans="1:7">
      <c r="A1812" s="634" t="s">
        <v>417</v>
      </c>
      <c r="B1812" s="43" t="s">
        <v>1660</v>
      </c>
      <c r="C1812" s="56">
        <v>45947</v>
      </c>
      <c r="D1812" s="43">
        <v>945</v>
      </c>
      <c r="F1812" s="43" t="s">
        <v>1671</v>
      </c>
      <c r="G1812" t="s">
        <v>1625</v>
      </c>
    </row>
    <row r="1813" spans="1:7">
      <c r="A1813" s="984" t="s">
        <v>1022</v>
      </c>
      <c r="B1813" s="802" t="s">
        <v>1004</v>
      </c>
      <c r="C1813" s="56">
        <v>45950</v>
      </c>
      <c r="D1813" s="43">
        <v>92</v>
      </c>
      <c r="F1813" s="43" t="s">
        <v>1568</v>
      </c>
      <c r="G1813" t="s">
        <v>1625</v>
      </c>
    </row>
    <row r="1814" spans="1:7">
      <c r="A1814" s="985" t="s">
        <v>513</v>
      </c>
      <c r="B1814" s="779" t="s">
        <v>1004</v>
      </c>
      <c r="C1814" s="56">
        <v>45950</v>
      </c>
      <c r="D1814" s="43">
        <v>153</v>
      </c>
      <c r="F1814" s="988"/>
      <c r="G1814" t="s">
        <v>1625</v>
      </c>
    </row>
    <row r="1815" spans="1:7">
      <c r="A1815" s="986" t="s">
        <v>518</v>
      </c>
      <c r="B1815" s="987" t="s">
        <v>1616</v>
      </c>
      <c r="C1815" s="56">
        <v>45950</v>
      </c>
      <c r="F1815" s="988" t="s">
        <v>1672</v>
      </c>
      <c r="G1815" t="s">
        <v>1625</v>
      </c>
    </row>
    <row r="1816" spans="1:7">
      <c r="A1816" s="986" t="s">
        <v>1028</v>
      </c>
      <c r="B1816" s="987" t="s">
        <v>1004</v>
      </c>
      <c r="C1816" s="56">
        <v>45950</v>
      </c>
      <c r="D1816" s="43">
        <v>455</v>
      </c>
      <c r="G1816" t="s">
        <v>1625</v>
      </c>
    </row>
    <row r="1817" spans="1:7">
      <c r="A1817" s="779" t="s">
        <v>894</v>
      </c>
      <c r="B1817" s="779" t="s">
        <v>162</v>
      </c>
      <c r="C1817" s="56">
        <v>45950</v>
      </c>
      <c r="D1817" s="43">
        <v>853</v>
      </c>
      <c r="F1817" s="43" t="s">
        <v>1673</v>
      </c>
      <c r="G1817" t="s">
        <v>1625</v>
      </c>
    </row>
    <row r="1818" spans="1:7">
      <c r="A1818" s="987" t="s">
        <v>1058</v>
      </c>
      <c r="B1818" s="987" t="s">
        <v>232</v>
      </c>
      <c r="C1818" s="56">
        <v>45950</v>
      </c>
      <c r="D1818" s="156">
        <v>3343</v>
      </c>
      <c r="F1818" s="43" t="s">
        <v>1674</v>
      </c>
      <c r="G1818" t="s">
        <v>1625</v>
      </c>
    </row>
    <row r="1819" spans="1:7">
      <c r="A1819" s="989" t="s">
        <v>520</v>
      </c>
      <c r="B1819" s="990" t="s">
        <v>1004</v>
      </c>
      <c r="C1819" s="56">
        <v>45950</v>
      </c>
      <c r="D1819" s="43">
        <v>151</v>
      </c>
      <c r="G1819" t="s">
        <v>1625</v>
      </c>
    </row>
    <row r="1820" spans="1:7">
      <c r="A1820" s="779" t="s">
        <v>417</v>
      </c>
      <c r="B1820" s="779" t="s">
        <v>1660</v>
      </c>
      <c r="C1820" s="56">
        <v>45950</v>
      </c>
      <c r="D1820" s="156">
        <v>1186</v>
      </c>
      <c r="F1820" s="43" t="s">
        <v>1500</v>
      </c>
      <c r="G1820" t="s">
        <v>1625</v>
      </c>
    </row>
    <row r="1821" spans="1:7">
      <c r="A1821" s="987" t="s">
        <v>414</v>
      </c>
      <c r="B1821" s="987" t="s">
        <v>248</v>
      </c>
      <c r="C1821" s="56">
        <v>45950</v>
      </c>
      <c r="D1821" s="156">
        <v>1100</v>
      </c>
      <c r="G1821" t="s">
        <v>1625</v>
      </c>
    </row>
    <row r="1822" spans="1:7">
      <c r="A1822" s="1006" t="s">
        <v>513</v>
      </c>
      <c r="B1822" s="998" t="s">
        <v>1004</v>
      </c>
      <c r="C1822" s="56">
        <v>45951</v>
      </c>
      <c r="D1822" s="156">
        <v>244</v>
      </c>
      <c r="G1822" t="s">
        <v>1625</v>
      </c>
    </row>
    <row r="1823" spans="1:7">
      <c r="A1823" s="88" t="s">
        <v>518</v>
      </c>
      <c r="B1823" s="993" t="s">
        <v>1616</v>
      </c>
      <c r="C1823" s="56">
        <v>45951</v>
      </c>
      <c r="D1823" s="43">
        <v>413</v>
      </c>
      <c r="F1823" s="43" t="s">
        <v>1094</v>
      </c>
      <c r="G1823" t="s">
        <v>1625</v>
      </c>
    </row>
    <row r="1824" spans="1:7">
      <c r="A1824" s="994" t="s">
        <v>562</v>
      </c>
      <c r="B1824" s="702"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6" t="s">
        <v>896</v>
      </c>
      <c r="B1826" s="997"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8" t="s">
        <v>1004</v>
      </c>
      <c r="C1828" s="56">
        <v>45951</v>
      </c>
      <c r="D1828" s="43">
        <v>149</v>
      </c>
      <c r="G1828" t="s">
        <v>1625</v>
      </c>
    </row>
    <row r="1829" spans="1:7">
      <c r="A1829" s="752"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5" t="s">
        <v>1660</v>
      </c>
      <c r="C1831" s="56">
        <v>45951</v>
      </c>
      <c r="D1831" s="156"/>
      <c r="F1831" s="324" t="s">
        <v>1679</v>
      </c>
      <c r="G1831" t="s">
        <v>1625</v>
      </c>
    </row>
    <row r="1832" spans="1:7">
      <c r="A1832" s="88" t="s">
        <v>76</v>
      </c>
      <c r="B1832" s="411" t="s">
        <v>1004</v>
      </c>
      <c r="C1832" s="56">
        <v>45952</v>
      </c>
      <c r="D1832" s="43">
        <v>168</v>
      </c>
      <c r="G1832" t="s">
        <v>1625</v>
      </c>
    </row>
    <row r="1833" spans="1:7">
      <c r="A1833" s="88" t="s">
        <v>518</v>
      </c>
      <c r="B1833" s="993" t="s">
        <v>1616</v>
      </c>
      <c r="C1833" s="56">
        <v>45952</v>
      </c>
      <c r="D1833" s="43">
        <v>190</v>
      </c>
      <c r="G1833" t="s">
        <v>1625</v>
      </c>
    </row>
    <row r="1834" spans="1:7">
      <c r="A1834" s="826" t="s">
        <v>1058</v>
      </c>
      <c r="B1834" s="826" t="s">
        <v>232</v>
      </c>
      <c r="C1834" s="56">
        <v>45952</v>
      </c>
      <c r="D1834" s="156">
        <v>2013</v>
      </c>
      <c r="F1834" s="324" t="s">
        <v>1680</v>
      </c>
      <c r="G1834" t="s">
        <v>1625</v>
      </c>
    </row>
    <row r="1835" spans="1:7">
      <c r="A1835" s="826" t="s">
        <v>566</v>
      </c>
      <c r="B1835" s="826" t="s">
        <v>162</v>
      </c>
      <c r="C1835" s="56">
        <v>45952</v>
      </c>
      <c r="D1835" s="156">
        <v>1604</v>
      </c>
      <c r="F1835" s="43" t="s">
        <v>1681</v>
      </c>
      <c r="G1835" t="s">
        <v>1625</v>
      </c>
    </row>
    <row r="1836" spans="1:7">
      <c r="A1836" s="996" t="s">
        <v>896</v>
      </c>
      <c r="B1836" s="408" t="s">
        <v>162</v>
      </c>
      <c r="C1836" s="56">
        <v>45952</v>
      </c>
      <c r="D1836" s="156">
        <v>1672</v>
      </c>
      <c r="F1836" s="43" t="s">
        <v>1682</v>
      </c>
      <c r="G1836" t="s">
        <v>1625</v>
      </c>
    </row>
    <row r="1837" spans="1:7">
      <c r="A1837" s="969" t="s">
        <v>520</v>
      </c>
      <c r="B1837" s="1007" t="s">
        <v>1004</v>
      </c>
      <c r="C1837" s="56">
        <v>45952</v>
      </c>
      <c r="F1837" s="310" t="s">
        <v>1683</v>
      </c>
      <c r="G1837" t="s">
        <v>1625</v>
      </c>
    </row>
    <row r="1838" spans="1:7">
      <c r="A1838" s="634"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9" t="s">
        <v>1022</v>
      </c>
      <c r="B1841" s="411" t="s">
        <v>1004</v>
      </c>
      <c r="C1841" s="56">
        <v>45953</v>
      </c>
      <c r="D1841" s="43">
        <v>209</v>
      </c>
      <c r="F1841" s="43" t="s">
        <v>1685</v>
      </c>
      <c r="G1841" t="s">
        <v>1625</v>
      </c>
    </row>
    <row r="1842" spans="1:7">
      <c r="A1842" s="88" t="s">
        <v>513</v>
      </c>
      <c r="B1842" s="1014"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8"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9" t="s">
        <v>520</v>
      </c>
      <c r="B1849" s="1007" t="s">
        <v>1004</v>
      </c>
      <c r="C1849" s="56">
        <v>45953</v>
      </c>
      <c r="F1849" s="310" t="s">
        <v>1278</v>
      </c>
      <c r="G1849" t="s">
        <v>1625</v>
      </c>
    </row>
    <row r="1850" spans="1:7">
      <c r="A1850" s="634"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9" t="s">
        <v>1022</v>
      </c>
      <c r="B1852" s="411" t="s">
        <v>1004</v>
      </c>
      <c r="C1852" s="56">
        <v>45954</v>
      </c>
      <c r="D1852" s="43">
        <v>434</v>
      </c>
      <c r="F1852" s="43" t="s">
        <v>1692</v>
      </c>
      <c r="G1852" t="s">
        <v>1625</v>
      </c>
    </row>
    <row r="1853" spans="1:7">
      <c r="A1853" s="88" t="s">
        <v>76</v>
      </c>
      <c r="B1853" s="1014"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9" t="s">
        <v>520</v>
      </c>
      <c r="B1857" s="1007" t="s">
        <v>1004</v>
      </c>
      <c r="C1857" s="56">
        <v>45954</v>
      </c>
      <c r="F1857" s="43" t="s">
        <v>1695</v>
      </c>
      <c r="G1857" t="s">
        <v>1625</v>
      </c>
    </row>
    <row r="1858" spans="1:7">
      <c r="A1858" s="634" t="s">
        <v>415</v>
      </c>
      <c r="B1858" s="162" t="s">
        <v>1660</v>
      </c>
      <c r="C1858" s="56">
        <v>45954</v>
      </c>
      <c r="D1858" s="43">
        <v>408</v>
      </c>
      <c r="G1858" t="s">
        <v>1625</v>
      </c>
    </row>
    <row r="1859" spans="1:7">
      <c r="A1859" s="609" t="s">
        <v>1022</v>
      </c>
      <c r="B1859" s="411" t="s">
        <v>1004</v>
      </c>
      <c r="C1859" s="56">
        <v>45957</v>
      </c>
      <c r="D1859" s="43">
        <v>567</v>
      </c>
      <c r="F1859" s="43" t="s">
        <v>1696</v>
      </c>
      <c r="G1859" t="s">
        <v>1625</v>
      </c>
    </row>
    <row r="1860" spans="1:7">
      <c r="A1860" s="88" t="s">
        <v>76</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8"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9" t="s">
        <v>298</v>
      </c>
      <c r="B1869" s="1007" t="s">
        <v>1004</v>
      </c>
      <c r="C1869" s="56">
        <v>45957</v>
      </c>
      <c r="F1869" s="324" t="s">
        <v>1524</v>
      </c>
      <c r="G1869" t="s">
        <v>1625</v>
      </c>
    </row>
    <row r="1870" spans="1:7">
      <c r="A1870" s="634"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9" t="s">
        <v>1022</v>
      </c>
      <c r="B1872" s="411" t="s">
        <v>1004</v>
      </c>
      <c r="C1872" s="56">
        <v>45958</v>
      </c>
      <c r="F1872" s="324" t="s">
        <v>1704</v>
      </c>
      <c r="G1872" t="s">
        <v>1625</v>
      </c>
    </row>
    <row r="1873" spans="1:7">
      <c r="A1873" s="88" t="s">
        <v>76</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8" t="s">
        <v>554</v>
      </c>
      <c r="B1880" s="408" t="s">
        <v>162</v>
      </c>
      <c r="C1880" s="56">
        <v>45958</v>
      </c>
      <c r="D1880" s="156">
        <v>1678</v>
      </c>
      <c r="F1880" s="43" t="s">
        <v>1708</v>
      </c>
      <c r="G1880" t="s">
        <v>1625</v>
      </c>
    </row>
    <row r="1881" spans="1:7">
      <c r="A1881" s="1008"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4"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4"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6" t="s">
        <v>1058</v>
      </c>
      <c r="B1892" s="674" t="s">
        <v>232</v>
      </c>
      <c r="C1892" s="56">
        <v>45959</v>
      </c>
      <c r="D1892" s="156">
        <v>1096</v>
      </c>
      <c r="F1892" s="43" t="s">
        <v>1715</v>
      </c>
      <c r="G1892" t="s">
        <v>1625</v>
      </c>
    </row>
    <row r="1893" spans="1:7">
      <c r="A1893" s="776" t="s">
        <v>560</v>
      </c>
      <c r="B1893" s="674" t="s">
        <v>162</v>
      </c>
      <c r="C1893" s="56">
        <v>45959</v>
      </c>
      <c r="D1893" s="156">
        <v>1087</v>
      </c>
      <c r="F1893" s="43" t="s">
        <v>1716</v>
      </c>
      <c r="G1893" t="s">
        <v>1625</v>
      </c>
    </row>
    <row r="1894" spans="1:7">
      <c r="A1894" s="1032" t="s">
        <v>415</v>
      </c>
      <c r="B1894" s="162" t="s">
        <v>1660</v>
      </c>
      <c r="C1894" s="56">
        <v>45959</v>
      </c>
      <c r="D1894" s="43">
        <v>790</v>
      </c>
      <c r="F1894" s="43" t="s">
        <v>1717</v>
      </c>
      <c r="G1894" t="s">
        <v>1625</v>
      </c>
    </row>
    <row r="1895" spans="1:7">
      <c r="A1895" s="43" t="s">
        <v>414</v>
      </c>
      <c r="B1895" s="674"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3" t="s">
        <v>162</v>
      </c>
      <c r="C1905" s="56">
        <v>45960</v>
      </c>
      <c r="D1905" s="43">
        <v>394</v>
      </c>
      <c r="E1905" s="325">
        <v>1275</v>
      </c>
      <c r="F1905" s="43" t="s">
        <v>1726</v>
      </c>
      <c r="G1905" t="s">
        <v>1625</v>
      </c>
    </row>
    <row r="1906" spans="1:7">
      <c r="A1906" s="1054"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1" t="s">
        <v>1315</v>
      </c>
      <c r="G1910" t="s">
        <v>1625</v>
      </c>
    </row>
    <row r="1911" spans="1:7">
      <c r="A1911" s="634"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3"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4" t="s">
        <v>1448</v>
      </c>
      <c r="G1921" t="s">
        <v>1625</v>
      </c>
    </row>
    <row r="1922" spans="1:7">
      <c r="A1922" s="43" t="s">
        <v>534</v>
      </c>
      <c r="B1922" s="171" t="s">
        <v>1004</v>
      </c>
      <c r="C1922" s="56">
        <v>45961</v>
      </c>
      <c r="D1922" s="43">
        <v>60</v>
      </c>
      <c r="G1922" t="s">
        <v>1625</v>
      </c>
    </row>
    <row r="1923" spans="1:7">
      <c r="A1923" s="634"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2"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1" t="s">
        <v>1741</v>
      </c>
      <c r="G1937" t="s">
        <v>1735</v>
      </c>
    </row>
    <row r="1938" spans="1:7">
      <c r="A1938" s="142" t="s">
        <v>429</v>
      </c>
      <c r="B1938" s="1062"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3" t="s">
        <v>1730</v>
      </c>
      <c r="G1940" t="s">
        <v>1735</v>
      </c>
    </row>
    <row r="1941" spans="1:7">
      <c r="A1941" s="88" t="s">
        <v>518</v>
      </c>
      <c r="B1941" s="993" t="s">
        <v>1712</v>
      </c>
      <c r="C1941" s="56">
        <v>45965</v>
      </c>
      <c r="F1941" s="963" t="s">
        <v>1385</v>
      </c>
      <c r="G1941" t="s">
        <v>1735</v>
      </c>
    </row>
    <row r="1942" spans="1:7">
      <c r="A1942" s="149" t="s">
        <v>92</v>
      </c>
      <c r="B1942" s="149" t="s">
        <v>1526</v>
      </c>
      <c r="C1942" s="56">
        <v>45965</v>
      </c>
      <c r="D1942" s="43">
        <v>363</v>
      </c>
      <c r="G1942" t="s">
        <v>1735</v>
      </c>
    </row>
    <row r="1943" spans="1:7">
      <c r="A1943" s="149" t="s">
        <v>92</v>
      </c>
      <c r="B1943" s="149" t="s">
        <v>258</v>
      </c>
      <c r="C1943" s="56">
        <v>45965</v>
      </c>
      <c r="D1943" s="43">
        <v>778</v>
      </c>
      <c r="G1943" t="s">
        <v>1735</v>
      </c>
    </row>
    <row r="1944" spans="1:7">
      <c r="A1944" s="149" t="s">
        <v>92</v>
      </c>
      <c r="B1944" s="43" t="s">
        <v>1616</v>
      </c>
      <c r="C1944" s="56">
        <v>45965</v>
      </c>
      <c r="D1944" s="43">
        <v>550</v>
      </c>
      <c r="G1944" t="s">
        <v>1735</v>
      </c>
    </row>
    <row r="1945" spans="1:7">
      <c r="A1945" s="1008"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4"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4" t="s">
        <v>417</v>
      </c>
      <c r="B1952" s="776" t="s">
        <v>1660</v>
      </c>
      <c r="C1952" s="56">
        <v>45965</v>
      </c>
      <c r="F1952" s="961" t="s">
        <v>1159</v>
      </c>
      <c r="G1952" t="s">
        <v>1735</v>
      </c>
    </row>
    <row r="1953" spans="1:7">
      <c r="A1953" s="382" t="s">
        <v>536</v>
      </c>
      <c r="B1953" s="116" t="s">
        <v>1004</v>
      </c>
      <c r="C1953" s="56">
        <v>45965</v>
      </c>
      <c r="E1953" s="204"/>
      <c r="F1953" s="961"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92</v>
      </c>
      <c r="B1956" s="309" t="s">
        <v>1526</v>
      </c>
      <c r="C1956" s="56">
        <v>45966</v>
      </c>
      <c r="D1956" s="156">
        <v>1113</v>
      </c>
      <c r="E1956" s="257"/>
      <c r="F1956" s="171"/>
      <c r="G1956" t="s">
        <v>1735</v>
      </c>
    </row>
    <row r="1957" spans="1:7">
      <c r="A1957" s="315" t="s">
        <v>92</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5" t="s">
        <v>1440</v>
      </c>
      <c r="C1966" s="56">
        <v>45966</v>
      </c>
      <c r="D1966" s="43">
        <v>150</v>
      </c>
      <c r="G1966" t="s">
        <v>1735</v>
      </c>
    </row>
    <row r="1967" spans="1:7">
      <c r="A1967" s="251" t="s">
        <v>396</v>
      </c>
      <c r="B1967" s="158" t="s">
        <v>1739</v>
      </c>
      <c r="C1967" s="56">
        <v>45966</v>
      </c>
      <c r="E1967" s="1072">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92</v>
      </c>
      <c r="B1971" s="149" t="s">
        <v>1526</v>
      </c>
      <c r="C1971" s="56">
        <v>45967</v>
      </c>
      <c r="D1971" s="140"/>
      <c r="E1971" s="43"/>
      <c r="F1971" s="142" t="s">
        <v>1751</v>
      </c>
      <c r="G1971" t="s">
        <v>1735</v>
      </c>
    </row>
    <row r="1972" spans="1:7">
      <c r="A1972" s="149" t="s">
        <v>92</v>
      </c>
      <c r="B1972" s="149" t="s">
        <v>1752</v>
      </c>
      <c r="C1972" s="56">
        <v>45967</v>
      </c>
      <c r="D1972" s="43">
        <v>760</v>
      </c>
      <c r="E1972" s="257"/>
      <c r="F1972" s="171"/>
      <c r="G1972" t="s">
        <v>1735</v>
      </c>
    </row>
    <row r="1973" spans="1:7">
      <c r="A1973" s="1008"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4"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4" t="s">
        <v>426</v>
      </c>
      <c r="B1979" s="776" t="s">
        <v>1660</v>
      </c>
      <c r="C1979" s="56">
        <v>45967</v>
      </c>
      <c r="D1979" s="156">
        <v>1063</v>
      </c>
      <c r="G1979" t="s">
        <v>1735</v>
      </c>
    </row>
    <row r="1980" spans="1:7">
      <c r="A1980" s="752" t="s">
        <v>339</v>
      </c>
      <c r="B1980" s="43" t="s">
        <v>162</v>
      </c>
      <c r="C1980" s="56">
        <v>45967</v>
      </c>
      <c r="D1980" s="156">
        <v>2373</v>
      </c>
      <c r="F1980" s="43" t="s">
        <v>1756</v>
      </c>
      <c r="G1980" t="s">
        <v>1735</v>
      </c>
    </row>
    <row r="1981" spans="1:7">
      <c r="A1981" s="310" t="s">
        <v>92</v>
      </c>
      <c r="B1981" s="310" t="s">
        <v>1526</v>
      </c>
      <c r="C1981" s="56">
        <v>45968</v>
      </c>
      <c r="D1981" s="43">
        <v>923</v>
      </c>
      <c r="G1981" t="s">
        <v>1735</v>
      </c>
    </row>
    <row r="1982" spans="1:7">
      <c r="A1982" s="142" t="s">
        <v>92</v>
      </c>
      <c r="B1982" s="567"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6"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6"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3"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3" t="s">
        <v>248</v>
      </c>
      <c r="C1998" s="56">
        <v>45971</v>
      </c>
      <c r="D1998" s="43">
        <v>96</v>
      </c>
      <c r="G1998" t="s">
        <v>1735</v>
      </c>
    </row>
    <row r="1999" spans="1:7">
      <c r="A1999" s="308" t="s">
        <v>254</v>
      </c>
      <c r="B1999" s="360" t="s">
        <v>1734</v>
      </c>
      <c r="C1999" s="56">
        <v>45971</v>
      </c>
      <c r="D1999" s="43">
        <v>562</v>
      </c>
      <c r="G1999" t="s">
        <v>1735</v>
      </c>
    </row>
    <row r="2000" spans="1:7">
      <c r="A2000" s="142" t="s">
        <v>412</v>
      </c>
      <c r="B2000" s="823" t="s">
        <v>248</v>
      </c>
      <c r="C2000" s="56">
        <v>45971</v>
      </c>
      <c r="D2000" s="43">
        <v>435</v>
      </c>
      <c r="F2000" s="43" t="s">
        <v>1759</v>
      </c>
      <c r="G2000" t="s">
        <v>1735</v>
      </c>
    </row>
    <row r="2001" spans="1:7">
      <c r="A2001" s="1073"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81</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4"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4" t="s">
        <v>432</v>
      </c>
      <c r="B2015" s="43" t="s">
        <v>1660</v>
      </c>
      <c r="C2015" s="56">
        <v>45973</v>
      </c>
      <c r="D2015" s="156">
        <v>1486</v>
      </c>
      <c r="F2015" s="43" t="s">
        <v>1767</v>
      </c>
      <c r="G2015" t="s">
        <v>1735</v>
      </c>
    </row>
    <row r="2016" spans="1:7">
      <c r="A2016" s="634"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4"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1" t="s">
        <v>412</v>
      </c>
      <c r="B2026" s="1132" t="s">
        <v>248</v>
      </c>
      <c r="C2026" s="56">
        <v>45974</v>
      </c>
      <c r="D2026" s="156">
        <v>1123</v>
      </c>
      <c r="F2026" s="43" t="s">
        <v>1771</v>
      </c>
      <c r="G2026" t="s">
        <v>1735</v>
      </c>
    </row>
    <row r="2027" spans="1:7">
      <c r="A2027" s="634" t="s">
        <v>432</v>
      </c>
      <c r="B2027" s="43" t="s">
        <v>1660</v>
      </c>
      <c r="C2027" s="56">
        <v>45974</v>
      </c>
      <c r="D2027" s="156">
        <v>2912</v>
      </c>
      <c r="G2027" t="s">
        <v>1735</v>
      </c>
    </row>
    <row r="2028" spans="1:7">
      <c r="A2028" s="634"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2">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2"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4" t="s">
        <v>412</v>
      </c>
      <c r="B2062" s="674"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2"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81</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2"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3">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81</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2"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81</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4"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3" t="s">
        <v>162</v>
      </c>
      <c r="C2111" s="56">
        <v>45985</v>
      </c>
      <c r="D2111" s="43">
        <v>805</v>
      </c>
      <c r="F2111" s="69" t="s">
        <v>1799</v>
      </c>
      <c r="G2111" t="s">
        <v>1735</v>
      </c>
    </row>
    <row r="2112" spans="1:7">
      <c r="A2112" s="43" t="s">
        <v>446</v>
      </c>
      <c r="B2112" s="1163" t="s">
        <v>162</v>
      </c>
      <c r="C2112" s="56">
        <v>45985</v>
      </c>
      <c r="D2112" s="43">
        <v>665</v>
      </c>
      <c r="F2112" s="69"/>
      <c r="G2112" t="s">
        <v>1735</v>
      </c>
    </row>
    <row r="2113" spans="1:7">
      <c r="A2113" s="43" t="s">
        <v>449</v>
      </c>
      <c r="B2113" s="1163"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2" t="s">
        <v>1802</v>
      </c>
      <c r="G2118" t="s">
        <v>1735</v>
      </c>
    </row>
    <row r="2119" spans="1:7">
      <c r="A2119" s="443" t="s">
        <v>426</v>
      </c>
      <c r="B2119" s="251" t="s">
        <v>1660</v>
      </c>
      <c r="C2119" s="56">
        <v>45985</v>
      </c>
      <c r="D2119" s="140"/>
      <c r="E2119" s="43"/>
      <c r="F2119" s="1162" t="s">
        <v>1803</v>
      </c>
      <c r="G2119" t="s">
        <v>1735</v>
      </c>
    </row>
    <row r="2120" spans="1:7">
      <c r="A2120" s="43" t="s">
        <v>415</v>
      </c>
      <c r="B2120" s="251" t="s">
        <v>1660</v>
      </c>
      <c r="C2120" s="56">
        <v>45985</v>
      </c>
      <c r="D2120" s="140"/>
      <c r="E2120" s="43"/>
      <c r="F2120" s="1162"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6" t="s">
        <v>455</v>
      </c>
      <c r="B2126" s="826"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6" t="s">
        <v>1808</v>
      </c>
      <c r="G2131" t="s">
        <v>1735</v>
      </c>
    </row>
    <row r="2132" spans="1:7">
      <c r="A2132" s="443" t="s">
        <v>426</v>
      </c>
      <c r="B2132" s="251" t="s">
        <v>1660</v>
      </c>
      <c r="C2132" s="56">
        <v>45986</v>
      </c>
      <c r="D2132" s="140"/>
      <c r="E2132" s="43"/>
      <c r="F2132" s="776" t="s">
        <v>1808</v>
      </c>
      <c r="G2132" t="s">
        <v>1735</v>
      </c>
    </row>
    <row r="2133" spans="1:7">
      <c r="A2133" s="43" t="s">
        <v>415</v>
      </c>
      <c r="B2133" s="251" t="s">
        <v>1660</v>
      </c>
      <c r="C2133" s="56">
        <v>45986</v>
      </c>
      <c r="D2133" s="140"/>
      <c r="E2133" s="43"/>
      <c r="F2133" s="776"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2"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2" t="s">
        <v>1278</v>
      </c>
      <c r="G2145" t="s">
        <v>1735</v>
      </c>
    </row>
    <row r="2146" spans="1:7">
      <c r="A2146" s="826" t="s">
        <v>455</v>
      </c>
      <c r="B2146" s="826" t="s">
        <v>1004</v>
      </c>
      <c r="C2146" s="56">
        <v>45987</v>
      </c>
      <c r="D2146" s="43">
        <v>331</v>
      </c>
      <c r="E2146" s="325">
        <v>1063</v>
      </c>
      <c r="F2146" s="43" t="s">
        <v>1809</v>
      </c>
      <c r="G2146" t="s">
        <v>1735</v>
      </c>
    </row>
    <row r="2147" spans="1:7">
      <c r="A2147" s="1167"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6" t="s">
        <v>1808</v>
      </c>
      <c r="G2151" t="s">
        <v>1735</v>
      </c>
    </row>
    <row r="2152" spans="1:7">
      <c r="A2152" s="142" t="s">
        <v>426</v>
      </c>
      <c r="B2152" s="142" t="s">
        <v>1660</v>
      </c>
      <c r="C2152" s="56">
        <v>45987</v>
      </c>
      <c r="D2152" s="140"/>
      <c r="E2152" s="43"/>
      <c r="F2152" s="776" t="s">
        <v>1808</v>
      </c>
      <c r="G2152" t="s">
        <v>1735</v>
      </c>
    </row>
    <row r="2153" spans="1:7">
      <c r="A2153" s="309" t="s">
        <v>415</v>
      </c>
      <c r="B2153" s="309" t="s">
        <v>1660</v>
      </c>
      <c r="C2153" s="347">
        <v>45987</v>
      </c>
      <c r="D2153" s="140"/>
      <c r="E2153" s="43"/>
      <c r="F2153" s="776"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8">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6"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1" t="s">
        <v>1004</v>
      </c>
      <c r="C2172" s="56">
        <v>45992</v>
      </c>
      <c r="D2172" s="43">
        <v>523</v>
      </c>
      <c r="G2172" t="s">
        <v>1820</v>
      </c>
    </row>
    <row r="2173" spans="1:7">
      <c r="A2173" s="310" t="s">
        <v>1070</v>
      </c>
      <c r="B2173" s="310" t="s">
        <v>1687</v>
      </c>
      <c r="C2173" s="56">
        <v>45992</v>
      </c>
      <c r="D2173" s="43">
        <v>545</v>
      </c>
      <c r="G2173" t="s">
        <v>1820</v>
      </c>
    </row>
    <row r="2174" spans="1:7">
      <c r="A2174" s="310" t="s">
        <v>92</v>
      </c>
      <c r="B2174" s="310" t="s">
        <v>1526</v>
      </c>
      <c r="C2174" s="56">
        <v>45992</v>
      </c>
      <c r="D2174" s="43">
        <v>602</v>
      </c>
      <c r="F2174" s="43" t="s">
        <v>1821</v>
      </c>
      <c r="G2174" t="s">
        <v>1820</v>
      </c>
    </row>
    <row r="2175" spans="1:7">
      <c r="A2175" s="310" t="s">
        <v>92</v>
      </c>
      <c r="B2175" s="310" t="s">
        <v>1616</v>
      </c>
      <c r="C2175" s="56">
        <v>45992</v>
      </c>
      <c r="F2175" s="348" t="s">
        <v>1822</v>
      </c>
      <c r="G2175" t="s">
        <v>1820</v>
      </c>
    </row>
    <row r="2176" spans="1:7">
      <c r="A2176" s="826" t="s">
        <v>446</v>
      </c>
      <c r="B2176" s="826" t="s">
        <v>162</v>
      </c>
      <c r="C2176" s="56">
        <v>45992</v>
      </c>
      <c r="D2176" s="156">
        <v>1610</v>
      </c>
      <c r="F2176" s="43" t="s">
        <v>1823</v>
      </c>
      <c r="G2176" t="s">
        <v>1820</v>
      </c>
    </row>
    <row r="2177" spans="1:7">
      <c r="A2177" s="1167"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9"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92</v>
      </c>
      <c r="B2188" s="310" t="s">
        <v>1526</v>
      </c>
      <c r="C2188" s="56">
        <v>45993</v>
      </c>
      <c r="D2188" s="43">
        <v>581</v>
      </c>
      <c r="G2188" t="s">
        <v>1820</v>
      </c>
    </row>
    <row r="2189" spans="1:7">
      <c r="A2189" s="315" t="s">
        <v>92</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7"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990" t="s">
        <v>1070</v>
      </c>
      <c r="B2196" s="990" t="s">
        <v>1687</v>
      </c>
      <c r="C2196" s="56">
        <v>45994</v>
      </c>
      <c r="G2196" t="s">
        <v>1820</v>
      </c>
    </row>
    <row r="2197" spans="1:7">
      <c r="A2197" s="990" t="s">
        <v>1070</v>
      </c>
      <c r="B2197" s="990" t="s">
        <v>1004</v>
      </c>
      <c r="C2197" s="56">
        <v>45994</v>
      </c>
      <c r="G2197" t="s">
        <v>1820</v>
      </c>
    </row>
    <row r="2198" spans="1:7">
      <c r="A2198" s="990" t="s">
        <v>92</v>
      </c>
      <c r="B2198" s="990" t="s">
        <v>1526</v>
      </c>
      <c r="C2198" s="56">
        <v>45994</v>
      </c>
      <c r="G2198" t="s">
        <v>1820</v>
      </c>
    </row>
    <row r="2199" spans="1:7">
      <c r="A2199" s="990" t="s">
        <v>92</v>
      </c>
      <c r="B2199" s="990" t="s">
        <v>1616</v>
      </c>
      <c r="C2199" s="56">
        <v>45994</v>
      </c>
      <c r="G2199" t="s">
        <v>1820</v>
      </c>
    </row>
    <row r="2200" spans="1:7">
      <c r="A2200" s="779" t="s">
        <v>92</v>
      </c>
      <c r="B2200" s="779" t="s">
        <v>1752</v>
      </c>
      <c r="C2200" s="56">
        <v>45994</v>
      </c>
      <c r="G2200" t="s">
        <v>1820</v>
      </c>
    </row>
    <row r="2201" spans="1:7">
      <c r="A2201" s="776" t="s">
        <v>1067</v>
      </c>
      <c r="B2201" s="776" t="s">
        <v>228</v>
      </c>
      <c r="C2201" s="56">
        <v>45994</v>
      </c>
      <c r="G2201" t="s">
        <v>1820</v>
      </c>
    </row>
    <row r="2202" spans="1:7">
      <c r="A2202" s="1167" t="s">
        <v>133</v>
      </c>
      <c r="B2202" s="1207" t="s">
        <v>128</v>
      </c>
      <c r="C2202" s="56">
        <v>45994</v>
      </c>
      <c r="G2202" t="s">
        <v>1820</v>
      </c>
    </row>
    <row r="2203" spans="1:7">
      <c r="A2203" s="776" t="s">
        <v>1068</v>
      </c>
      <c r="B2203" s="1207" t="s">
        <v>232</v>
      </c>
      <c r="C2203" s="56">
        <v>45994</v>
      </c>
      <c r="G2203" t="s">
        <v>1820</v>
      </c>
    </row>
    <row r="2204" spans="1:7">
      <c r="A2204" s="776" t="s">
        <v>318</v>
      </c>
      <c r="B2204" s="776" t="s">
        <v>1660</v>
      </c>
      <c r="C2204" s="56">
        <v>45994</v>
      </c>
      <c r="G2204" t="s">
        <v>1820</v>
      </c>
    </row>
    <row r="2205" spans="1:7">
      <c r="A2205" s="1208" t="s">
        <v>350</v>
      </c>
      <c r="B2205" s="1209" t="s">
        <v>162</v>
      </c>
      <c r="C2205" s="56">
        <v>45994</v>
      </c>
      <c r="G2205" t="s">
        <v>1820</v>
      </c>
    </row>
    <row r="2206" spans="1:7">
      <c r="A2206" s="779" t="s">
        <v>389</v>
      </c>
      <c r="B2206" s="779"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0"/>
      <c r="B1" s="1210"/>
      <c r="C1" s="1210"/>
      <c r="D1" s="1210"/>
      <c r="E1" s="1210"/>
      <c r="F1" s="1210"/>
      <c r="G1" s="1210"/>
      <c r="H1" s="1210"/>
      <c r="I1" s="1210"/>
      <c r="J1" s="1"/>
      <c r="K1" s="1"/>
      <c r="L1" s="1"/>
      <c r="M1" s="1"/>
      <c r="N1" s="1"/>
      <c r="O1" s="1"/>
      <c r="P1" s="1211" t="s">
        <v>34</v>
      </c>
      <c r="Q1" s="1211"/>
      <c r="R1" s="1211"/>
      <c r="S1" s="1211"/>
      <c r="T1" s="1211"/>
      <c r="U1" s="1211"/>
      <c r="V1" s="1211"/>
      <c r="W1" s="1211"/>
      <c r="X1" s="1211"/>
      <c r="Y1" s="1211"/>
      <c r="Z1" s="1211"/>
      <c r="AA1" s="1211"/>
      <c r="AB1" s="66"/>
    </row>
    <row r="2" spans="1:30" ht="15.75" thickBot="1">
      <c r="A2" s="2"/>
      <c r="B2" s="2"/>
      <c r="C2" s="2"/>
      <c r="D2" s="2"/>
      <c r="E2" s="2"/>
      <c r="F2" s="2"/>
      <c r="G2" s="2"/>
      <c r="H2" s="2"/>
      <c r="I2" s="2"/>
      <c r="J2" s="6"/>
      <c r="K2" s="6"/>
      <c r="L2" s="6"/>
      <c r="M2" s="6"/>
      <c r="N2" s="6"/>
      <c r="O2" s="6"/>
      <c r="P2" s="8"/>
      <c r="Q2" s="8"/>
      <c r="R2" s="3"/>
      <c r="S2" s="3"/>
      <c r="T2" s="3"/>
      <c r="U2" s="3"/>
      <c r="V2" s="3" t="s">
        <v>1831</v>
      </c>
      <c r="W2" s="3" t="s">
        <v>1832</v>
      </c>
      <c r="X2" s="3" t="s">
        <v>1832</v>
      </c>
      <c r="Y2" s="3" t="s">
        <v>1832</v>
      </c>
      <c r="Z2" s="3" t="s">
        <v>1832</v>
      </c>
      <c r="AA2" s="8" t="s">
        <v>1833</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1834</v>
      </c>
      <c r="T3" s="19" t="s">
        <v>1835</v>
      </c>
      <c r="U3" s="19" t="s">
        <v>1836</v>
      </c>
      <c r="V3" s="5" t="s">
        <v>1837</v>
      </c>
      <c r="W3" s="5" t="s">
        <v>44</v>
      </c>
      <c r="X3" s="5" t="s">
        <v>43</v>
      </c>
      <c r="Y3" s="5" t="s">
        <v>1838</v>
      </c>
      <c r="Z3" s="5" t="s">
        <v>46</v>
      </c>
      <c r="AA3" s="90" t="s">
        <v>619</v>
      </c>
      <c r="AB3" s="68" t="s">
        <v>48</v>
      </c>
    </row>
    <row r="4" spans="1:30" ht="24.75" customHeight="1" thickBot="1">
      <c r="A4" s="453" t="s">
        <v>1839</v>
      </c>
      <c r="B4" s="453" t="s">
        <v>1840</v>
      </c>
      <c r="C4" s="16">
        <v>45717</v>
      </c>
      <c r="D4" s="63" t="s">
        <v>1841</v>
      </c>
      <c r="E4" s="51">
        <v>45707</v>
      </c>
      <c r="F4" s="51" t="s">
        <v>238</v>
      </c>
      <c r="G4" s="393" t="s">
        <v>1842</v>
      </c>
      <c r="H4" s="98">
        <v>0</v>
      </c>
      <c r="I4" s="106"/>
      <c r="J4" s="76" t="s">
        <v>63</v>
      </c>
      <c r="K4" s="76" t="s">
        <v>1843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1844</v>
      </c>
    </row>
    <row r="5" spans="1:30" ht="24.75" customHeight="1" thickBot="1">
      <c r="A5" s="453" t="s">
        <v>1845</v>
      </c>
      <c r="B5" s="453" t="s">
        <v>1840</v>
      </c>
      <c r="C5" s="16">
        <v>45717</v>
      </c>
      <c r="D5" s="63" t="s">
        <v>1841</v>
      </c>
      <c r="E5" s="51">
        <v>45707</v>
      </c>
      <c r="F5" s="392" t="s">
        <v>238</v>
      </c>
      <c r="G5" s="393" t="s">
        <v>1846</v>
      </c>
      <c r="H5" s="98">
        <v>0</v>
      </c>
      <c r="I5" s="106"/>
      <c r="J5" s="76" t="s">
        <v>63</v>
      </c>
      <c r="K5" s="76" t="s">
        <v>1843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1847</v>
      </c>
      <c r="B6" s="453" t="s">
        <v>1840</v>
      </c>
      <c r="C6" s="16">
        <v>45717</v>
      </c>
      <c r="D6" s="63" t="s">
        <v>1841</v>
      </c>
      <c r="E6" s="51">
        <v>45707</v>
      </c>
      <c r="F6" s="392" t="s">
        <v>238</v>
      </c>
      <c r="G6" s="393" t="s">
        <v>1848</v>
      </c>
      <c r="H6" s="98">
        <v>0</v>
      </c>
      <c r="I6" s="106"/>
      <c r="J6" s="76" t="s">
        <v>63</v>
      </c>
      <c r="K6" s="76" t="s">
        <v>1843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915</v>
      </c>
      <c r="B7" s="385" t="s">
        <v>108</v>
      </c>
      <c r="C7" s="51">
        <v>45930</v>
      </c>
      <c r="D7" s="605" t="s">
        <v>71</v>
      </c>
      <c r="E7" s="386"/>
      <c r="F7" s="605" t="s">
        <v>137</v>
      </c>
      <c r="G7" s="395" t="s">
        <v>916</v>
      </c>
      <c r="H7" s="387">
        <v>0</v>
      </c>
      <c r="I7" s="388"/>
      <c r="J7" s="387" t="s">
        <v>86</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924</v>
      </c>
    </row>
    <row r="8" spans="1:30" ht="24.75" customHeight="1">
      <c r="A8" s="33" t="s">
        <v>1849</v>
      </c>
      <c r="B8" s="453" t="s">
        <v>1850</v>
      </c>
      <c r="C8" s="16">
        <v>45748</v>
      </c>
      <c r="D8" s="16" t="s">
        <v>1841</v>
      </c>
      <c r="E8" s="95" t="s">
        <v>52</v>
      </c>
      <c r="F8" s="96" t="s">
        <v>52</v>
      </c>
      <c r="G8" s="636" t="s">
        <v>1851</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1852</v>
      </c>
      <c r="AC8" s="448"/>
      <c r="AD8" s="70"/>
    </row>
    <row r="9" spans="1:30" ht="24.75" customHeight="1">
      <c r="A9" s="462" t="s">
        <v>1853</v>
      </c>
      <c r="B9" s="462" t="s">
        <v>1854</v>
      </c>
      <c r="C9" s="23">
        <v>45741</v>
      </c>
      <c r="D9" s="16" t="s">
        <v>1841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1855</v>
      </c>
    </row>
    <row r="10" spans="1:30" ht="24.75" customHeight="1" thickBot="1">
      <c r="A10" s="26" t="s">
        <v>1856</v>
      </c>
      <c r="B10" s="26" t="s">
        <v>1854</v>
      </c>
      <c r="C10" s="27">
        <v>45741</v>
      </c>
      <c r="D10" s="16" t="s">
        <v>1841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1857</v>
      </c>
      <c r="B11" s="36" t="s">
        <v>1854</v>
      </c>
      <c r="C11" s="37">
        <v>45747</v>
      </c>
      <c r="D11" s="16" t="s">
        <v>1841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1858</v>
      </c>
      <c r="B12" s="26" t="s">
        <v>1854</v>
      </c>
      <c r="C12" s="27">
        <v>45741</v>
      </c>
      <c r="D12" s="16" t="s">
        <v>1841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1855</v>
      </c>
    </row>
    <row r="13" spans="1:30" ht="24.75" customHeight="1" thickBot="1">
      <c r="A13" s="26" t="s">
        <v>1859</v>
      </c>
      <c r="B13" s="26" t="s">
        <v>1854</v>
      </c>
      <c r="C13" s="27">
        <v>45741</v>
      </c>
      <c r="D13" s="27" t="s">
        <v>1841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1855</v>
      </c>
    </row>
    <row r="14" spans="1:30" ht="24.75" customHeight="1" thickBot="1">
      <c r="A14" s="26" t="s">
        <v>1860</v>
      </c>
      <c r="B14" s="26" t="s">
        <v>1854</v>
      </c>
      <c r="C14" s="27">
        <v>45747</v>
      </c>
      <c r="D14" s="27" t="s">
        <v>1841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1861</v>
      </c>
      <c r="B15" s="26" t="s">
        <v>1854</v>
      </c>
      <c r="C15" s="27">
        <v>45741</v>
      </c>
      <c r="D15" s="27" t="s">
        <v>1841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1855</v>
      </c>
    </row>
    <row r="16" spans="1:30" ht="24.75" customHeight="1" thickBot="1">
      <c r="A16" s="26" t="s">
        <v>1862</v>
      </c>
      <c r="B16" s="26" t="s">
        <v>1854</v>
      </c>
      <c r="C16" s="27">
        <v>45741</v>
      </c>
      <c r="D16" s="27" t="s">
        <v>1841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1855</v>
      </c>
    </row>
    <row r="17" spans="1:30" ht="24.75" customHeight="1" thickBot="1">
      <c r="A17" s="36" t="s">
        <v>1863</v>
      </c>
      <c r="B17" s="36" t="s">
        <v>1854</v>
      </c>
      <c r="C17" s="37">
        <v>45747</v>
      </c>
      <c r="D17" s="37" t="s">
        <v>1841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1864</v>
      </c>
      <c r="B18" s="385" t="s">
        <v>1854</v>
      </c>
      <c r="C18" s="51">
        <v>45717</v>
      </c>
      <c r="D18" s="27" t="s">
        <v>1841</v>
      </c>
      <c r="E18" s="85">
        <v>45700</v>
      </c>
      <c r="F18" s="51"/>
      <c r="G18" s="51" t="s">
        <v>1865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1855</v>
      </c>
    </row>
    <row r="19" spans="1:30" ht="24.75" customHeight="1" thickBot="1">
      <c r="A19" s="50" t="s">
        <v>1866</v>
      </c>
      <c r="B19" s="26" t="s">
        <v>1854</v>
      </c>
      <c r="C19" s="51">
        <v>45747</v>
      </c>
      <c r="D19" s="27" t="s">
        <v>1841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1867</v>
      </c>
    </row>
    <row r="20" spans="1:30" ht="24.75" customHeight="1" thickBot="1">
      <c r="A20" s="385" t="s">
        <v>1868</v>
      </c>
      <c r="B20" s="385" t="s">
        <v>1854</v>
      </c>
      <c r="C20" s="386">
        <v>45717</v>
      </c>
      <c r="D20" s="27" t="s">
        <v>1841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1855</v>
      </c>
    </row>
    <row r="21" spans="1:30" ht="24.75" customHeight="1" thickBot="1">
      <c r="A21" s="385" t="s">
        <v>1869</v>
      </c>
      <c r="B21" s="113" t="s">
        <v>50</v>
      </c>
      <c r="C21" s="51">
        <v>45717</v>
      </c>
      <c r="D21" s="27" t="s">
        <v>1870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1871</v>
      </c>
      <c r="B22" s="389" t="s">
        <v>50</v>
      </c>
      <c r="C22" s="51">
        <v>45717</v>
      </c>
      <c r="D22" s="51" t="s">
        <v>1870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1015</v>
      </c>
      <c r="B23" s="389" t="s">
        <v>50</v>
      </c>
      <c r="C23" s="392">
        <v>45716</v>
      </c>
      <c r="D23" s="402" t="s">
        <v>1872</v>
      </c>
      <c r="E23" s="454"/>
      <c r="F23" s="97"/>
      <c r="G23" s="97"/>
      <c r="H23" s="391">
        <v>90</v>
      </c>
      <c r="I23" s="97"/>
      <c r="J23" s="97"/>
      <c r="K23" s="97"/>
      <c r="L23" s="97"/>
      <c r="M23" s="391" t="s">
        <v>57</v>
      </c>
      <c r="N23" s="403">
        <v>69076</v>
      </c>
      <c r="O23" s="391" t="s">
        <v>87</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1873</v>
      </c>
      <c r="B24" s="389" t="s">
        <v>50</v>
      </c>
      <c r="C24" s="392">
        <v>45688</v>
      </c>
      <c r="D24" s="402" t="s">
        <v>1872</v>
      </c>
      <c r="E24" s="454"/>
      <c r="F24" s="97"/>
      <c r="G24" s="97"/>
      <c r="H24" s="52">
        <v>65</v>
      </c>
      <c r="I24" s="97"/>
      <c r="J24" s="97"/>
      <c r="K24" s="97"/>
      <c r="L24" s="97"/>
      <c r="M24" s="391" t="s">
        <v>57</v>
      </c>
      <c r="N24" s="53">
        <v>28762</v>
      </c>
      <c r="O24" s="391" t="s">
        <v>87</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1874</v>
      </c>
      <c r="B25" s="114" t="s">
        <v>50</v>
      </c>
      <c r="C25" s="51">
        <v>45747</v>
      </c>
      <c r="D25" s="51" t="s">
        <v>1870</v>
      </c>
      <c r="E25" s="27" t="s">
        <v>52</v>
      </c>
      <c r="F25" s="57" t="s">
        <v>52</v>
      </c>
      <c r="G25" s="51"/>
      <c r="H25" s="52">
        <v>61</v>
      </c>
      <c r="I25" s="52"/>
      <c r="J25" s="52" t="s">
        <v>86</v>
      </c>
      <c r="K25" s="52"/>
      <c r="L25" s="50" t="s">
        <v>52</v>
      </c>
      <c r="M25" s="391" t="s">
        <v>57</v>
      </c>
      <c r="N25" s="53">
        <v>31560</v>
      </c>
      <c r="O25" s="391" t="s">
        <v>87</v>
      </c>
      <c r="P25" s="49" t="s">
        <v>58</v>
      </c>
      <c r="Q25" s="49"/>
      <c r="R25" s="31">
        <v>2064</v>
      </c>
      <c r="S25" s="14">
        <v>0</v>
      </c>
      <c r="T25" s="17">
        <v>0</v>
      </c>
      <c r="U25" s="84">
        <v>0</v>
      </c>
      <c r="V25" s="30"/>
      <c r="W25" s="91">
        <v>0</v>
      </c>
      <c r="X25" s="34">
        <v>0</v>
      </c>
      <c r="Y25" s="34">
        <v>0</v>
      </c>
      <c r="Z25" s="34">
        <v>0</v>
      </c>
      <c r="AA25" s="61">
        <v>0</v>
      </c>
      <c r="AB25" s="461" t="s">
        <v>1875</v>
      </c>
    </row>
    <row r="26" spans="1:30" ht="24.75" customHeight="1">
      <c r="A26" s="102" t="s">
        <v>1876</v>
      </c>
      <c r="B26" s="103" t="s">
        <v>50</v>
      </c>
      <c r="C26" s="77">
        <v>45716</v>
      </c>
      <c r="D26" s="26" t="s">
        <v>1872</v>
      </c>
      <c r="E26" s="100"/>
      <c r="F26" s="100"/>
      <c r="G26" s="100"/>
      <c r="H26" s="76">
        <v>48</v>
      </c>
      <c r="I26" s="100"/>
      <c r="J26" s="100"/>
      <c r="K26" s="100"/>
      <c r="L26" s="100"/>
      <c r="M26" s="104" t="s">
        <v>57</v>
      </c>
      <c r="N26" s="105">
        <v>29812</v>
      </c>
      <c r="O26" s="104" t="s">
        <v>87</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1877</v>
      </c>
      <c r="B27" s="103" t="s">
        <v>50</v>
      </c>
      <c r="C27" s="77">
        <v>45716</v>
      </c>
      <c r="D27" s="50" t="s">
        <v>1872</v>
      </c>
      <c r="E27" s="100"/>
      <c r="F27" s="100"/>
      <c r="G27" s="100"/>
      <c r="H27" s="76">
        <v>48</v>
      </c>
      <c r="I27" s="100"/>
      <c r="J27" s="100"/>
      <c r="K27" s="100"/>
      <c r="L27" s="100"/>
      <c r="M27" s="104" t="s">
        <v>57</v>
      </c>
      <c r="N27" s="105">
        <v>26964</v>
      </c>
      <c r="O27" s="104" t="s">
        <v>87</v>
      </c>
      <c r="P27" s="40" t="s">
        <v>58</v>
      </c>
      <c r="Q27" s="31"/>
      <c r="R27" s="75">
        <v>1838</v>
      </c>
      <c r="S27" s="14">
        <v>0</v>
      </c>
      <c r="T27" s="22">
        <v>0</v>
      </c>
      <c r="U27" s="34">
        <v>0</v>
      </c>
      <c r="V27" s="30"/>
      <c r="W27" s="34">
        <v>0</v>
      </c>
      <c r="X27" s="34">
        <v>0</v>
      </c>
      <c r="Y27" s="34">
        <v>0</v>
      </c>
      <c r="Z27" s="354">
        <v>0</v>
      </c>
      <c r="AA27" s="366">
        <v>0</v>
      </c>
      <c r="AB27" s="43"/>
    </row>
    <row r="28" spans="1:30" ht="24.75" customHeight="1">
      <c r="A28" s="102" t="s">
        <v>1878</v>
      </c>
      <c r="B28" s="1194" t="s">
        <v>50</v>
      </c>
      <c r="C28" s="1187">
        <v>45991</v>
      </c>
      <c r="D28" s="386" t="s">
        <v>71</v>
      </c>
      <c r="E28" s="77">
        <v>45734</v>
      </c>
      <c r="F28" s="1185" t="s">
        <v>61</v>
      </c>
      <c r="G28" s="1196" t="s">
        <v>1879</v>
      </c>
      <c r="H28" s="76">
        <v>85</v>
      </c>
      <c r="I28" s="1197" t="s">
        <v>55</v>
      </c>
      <c r="J28" s="76" t="s">
        <v>63</v>
      </c>
      <c r="K28" s="76"/>
      <c r="L28" s="77">
        <v>45735</v>
      </c>
      <c r="M28" s="76" t="s">
        <v>57</v>
      </c>
      <c r="N28" s="1201">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1880</v>
      </c>
      <c r="B29" s="1194" t="s">
        <v>50</v>
      </c>
      <c r="C29" s="1187">
        <v>46021</v>
      </c>
      <c r="D29" s="386" t="s">
        <v>71</v>
      </c>
      <c r="E29" s="77">
        <v>45743</v>
      </c>
      <c r="F29" s="1185" t="s">
        <v>61</v>
      </c>
      <c r="G29" s="1195" t="s">
        <v>1881</v>
      </c>
      <c r="H29" s="76">
        <v>85</v>
      </c>
      <c r="I29" s="1197" t="s">
        <v>55</v>
      </c>
      <c r="J29" s="106" t="s">
        <v>63</v>
      </c>
      <c r="K29" s="1198"/>
      <c r="L29" s="77">
        <v>45741</v>
      </c>
      <c r="M29" s="106" t="s">
        <v>57</v>
      </c>
      <c r="N29" s="1201">
        <v>84226.5</v>
      </c>
      <c r="O29" s="130" t="s">
        <v>57</v>
      </c>
      <c r="P29" s="458" t="s">
        <v>64</v>
      </c>
      <c r="Q29" s="198">
        <v>45749</v>
      </c>
      <c r="R29" s="75">
        <v>7020</v>
      </c>
      <c r="S29" s="456">
        <v>386</v>
      </c>
      <c r="T29" s="107">
        <f>SUM(R29-S29)</f>
        <v>6634</v>
      </c>
      <c r="U29" s="830">
        <f>IFERROR($W29/$V29, 0)</f>
        <v>0</v>
      </c>
      <c r="V29" s="168">
        <v>45888</v>
      </c>
      <c r="W29" s="354">
        <v>0</v>
      </c>
      <c r="X29" s="354">
        <v>0</v>
      </c>
      <c r="Y29" s="1204">
        <v>0</v>
      </c>
      <c r="Z29" s="354">
        <v>0</v>
      </c>
      <c r="AA29" s="366">
        <v>0</v>
      </c>
      <c r="AB29" s="364" t="s">
        <v>1882</v>
      </c>
      <c r="AC29" s="1191"/>
      <c r="AD29" s="1193"/>
    </row>
    <row r="30" spans="1:30" ht="24.75" customHeight="1">
      <c r="A30" s="385" t="s">
        <v>1883</v>
      </c>
      <c r="B30" s="688" t="s">
        <v>50</v>
      </c>
      <c r="C30" s="386">
        <v>45991</v>
      </c>
      <c r="D30" s="50" t="s">
        <v>71</v>
      </c>
      <c r="E30" s="51">
        <v>45743</v>
      </c>
      <c r="F30" s="50" t="s">
        <v>61</v>
      </c>
      <c r="G30" s="390" t="s">
        <v>1884</v>
      </c>
      <c r="H30" s="52">
        <v>87</v>
      </c>
      <c r="I30" s="686" t="s">
        <v>55</v>
      </c>
      <c r="J30" s="387" t="s">
        <v>63</v>
      </c>
      <c r="K30" s="1199"/>
      <c r="L30" s="77">
        <v>45741</v>
      </c>
      <c r="M30" s="1200" t="s">
        <v>57</v>
      </c>
      <c r="N30" s="1202">
        <v>75191.5</v>
      </c>
      <c r="O30" s="387" t="s">
        <v>57</v>
      </c>
      <c r="P30" s="58" t="s">
        <v>68</v>
      </c>
      <c r="Q30" s="492">
        <v>45748</v>
      </c>
      <c r="R30" s="42">
        <v>6387</v>
      </c>
      <c r="S30" s="1052">
        <v>0</v>
      </c>
      <c r="T30" s="334">
        <v>0</v>
      </c>
      <c r="U30" s="22">
        <v>0</v>
      </c>
      <c r="V30" s="30"/>
      <c r="W30" s="34">
        <v>0</v>
      </c>
      <c r="X30" s="34">
        <v>0</v>
      </c>
      <c r="Y30" s="34">
        <v>0</v>
      </c>
      <c r="Z30" s="34">
        <v>0</v>
      </c>
      <c r="AA30" s="34">
        <v>0</v>
      </c>
      <c r="AB30" s="212" t="s">
        <v>1885</v>
      </c>
      <c r="AC30" s="344"/>
      <c r="AD30" s="116"/>
    </row>
    <row r="31" spans="1:30" ht="24.75" customHeight="1">
      <c r="A31" s="385" t="s">
        <v>1021</v>
      </c>
      <c r="B31" s="688" t="s">
        <v>50</v>
      </c>
      <c r="C31" s="386">
        <v>46021</v>
      </c>
      <c r="D31" s="386" t="s">
        <v>71</v>
      </c>
      <c r="E31" s="51">
        <v>45735</v>
      </c>
      <c r="F31" s="50" t="s">
        <v>61</v>
      </c>
      <c r="G31" s="689" t="s">
        <v>1886</v>
      </c>
      <c r="H31" s="52">
        <v>79</v>
      </c>
      <c r="I31" s="686" t="s">
        <v>55</v>
      </c>
      <c r="J31" s="52" t="s">
        <v>63</v>
      </c>
      <c r="K31" s="52"/>
      <c r="L31" s="51">
        <v>45735</v>
      </c>
      <c r="M31" s="52" t="s">
        <v>57</v>
      </c>
      <c r="N31" s="1202">
        <v>67925</v>
      </c>
      <c r="O31" s="52" t="s">
        <v>57</v>
      </c>
      <c r="P31" s="40" t="s">
        <v>64</v>
      </c>
      <c r="Q31" s="367">
        <v>45736</v>
      </c>
      <c r="R31" s="31">
        <v>5825</v>
      </c>
      <c r="S31" s="107">
        <v>1257</v>
      </c>
      <c r="T31" s="1203">
        <f>SUM(R31-S31)</f>
        <v>4568</v>
      </c>
      <c r="U31" s="676">
        <f>IFERROR($W31/$V31, 0)</f>
        <v>0</v>
      </c>
      <c r="V31" s="30" t="s">
        <v>1887</v>
      </c>
      <c r="W31" s="34">
        <v>0</v>
      </c>
      <c r="X31" s="34">
        <v>0</v>
      </c>
      <c r="Y31" s="31">
        <v>0</v>
      </c>
      <c r="Z31" s="34">
        <v>0</v>
      </c>
      <c r="AA31" s="31">
        <v>0</v>
      </c>
      <c r="AB31" s="364" t="s">
        <v>1882</v>
      </c>
    </row>
    <row r="32" spans="1:30" ht="24.75" customHeight="1">
      <c r="A32" s="943" t="s">
        <v>1888</v>
      </c>
      <c r="B32" s="1186" t="s">
        <v>50</v>
      </c>
      <c r="C32" s="1040">
        <v>45717</v>
      </c>
      <c r="D32" s="1040" t="s">
        <v>1870</v>
      </c>
      <c r="E32" s="1040">
        <v>45695</v>
      </c>
      <c r="F32" s="1040"/>
      <c r="G32" s="1040"/>
      <c r="H32" s="1029">
        <v>25</v>
      </c>
      <c r="I32" s="1029"/>
      <c r="J32" s="1029" t="s">
        <v>56</v>
      </c>
      <c r="K32" s="1029"/>
      <c r="L32" s="1029"/>
      <c r="M32" s="1029" t="s">
        <v>57</v>
      </c>
      <c r="N32" s="1188">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1889</v>
      </c>
      <c r="B33" s="1048" t="s">
        <v>50</v>
      </c>
      <c r="C33" s="945">
        <v>45989</v>
      </c>
      <c r="D33" s="945" t="s">
        <v>1890</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9">
        <v>0</v>
      </c>
      <c r="U33" s="34">
        <v>0</v>
      </c>
      <c r="V33" s="34"/>
      <c r="W33" s="34">
        <v>0</v>
      </c>
      <c r="X33" s="34">
        <v>0</v>
      </c>
      <c r="Y33" s="34">
        <v>0</v>
      </c>
      <c r="Z33" s="34">
        <v>0</v>
      </c>
      <c r="AA33" s="61">
        <v>0</v>
      </c>
      <c r="AB33" s="938" t="s">
        <v>1891</v>
      </c>
    </row>
    <row r="34" spans="1:30" ht="24.75" customHeight="1">
      <c r="A34" s="943" t="s">
        <v>1892</v>
      </c>
      <c r="B34" s="1186" t="s">
        <v>50</v>
      </c>
      <c r="C34" s="1040">
        <v>45717</v>
      </c>
      <c r="D34" s="1040" t="s">
        <v>1870</v>
      </c>
      <c r="E34" s="1040">
        <v>45695</v>
      </c>
      <c r="F34" s="1040"/>
      <c r="G34" s="1040"/>
      <c r="H34" s="1029">
        <v>52</v>
      </c>
      <c r="I34" s="1029"/>
      <c r="J34" s="1029" t="s">
        <v>56</v>
      </c>
      <c r="K34" s="1029"/>
      <c r="L34" s="1029"/>
      <c r="M34" s="1029" t="s">
        <v>57</v>
      </c>
      <c r="N34" s="1188">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1893</v>
      </c>
      <c r="B35" s="1186" t="s">
        <v>50</v>
      </c>
      <c r="C35" s="1040">
        <v>45717</v>
      </c>
      <c r="D35" s="1040" t="s">
        <v>1870</v>
      </c>
      <c r="E35" s="1040">
        <v>45695</v>
      </c>
      <c r="F35" s="1040"/>
      <c r="G35" s="1040"/>
      <c r="H35" s="1029">
        <v>305</v>
      </c>
      <c r="I35" s="1029"/>
      <c r="J35" s="1029" t="s">
        <v>56</v>
      </c>
      <c r="K35" s="1029"/>
      <c r="L35" s="1029"/>
      <c r="M35" s="1029" t="s">
        <v>57</v>
      </c>
      <c r="N35" s="1188">
        <v>91420.91</v>
      </c>
      <c r="O35" s="1029" t="s">
        <v>57</v>
      </c>
      <c r="P35" s="1050" t="s">
        <v>58</v>
      </c>
      <c r="Q35" s="952"/>
      <c r="R35" s="1184">
        <v>8225</v>
      </c>
      <c r="S35" s="619">
        <v>0</v>
      </c>
      <c r="T35" s="620">
        <v>0</v>
      </c>
      <c r="U35" s="620">
        <v>0</v>
      </c>
      <c r="V35" s="1190"/>
      <c r="W35" s="617">
        <v>0</v>
      </c>
      <c r="X35" s="617">
        <v>0</v>
      </c>
      <c r="Y35" s="617">
        <v>0</v>
      </c>
      <c r="Z35" s="34">
        <v>0</v>
      </c>
      <c r="AA35" s="61">
        <v>0</v>
      </c>
      <c r="AB35" s="1129"/>
      <c r="AC35" s="1192"/>
      <c r="AD35" s="610"/>
    </row>
    <row r="36" spans="1:30" ht="24.75" customHeight="1">
      <c r="A36" s="943" t="s">
        <v>1894</v>
      </c>
      <c r="B36" s="1186" t="s">
        <v>50</v>
      </c>
      <c r="C36" s="1040">
        <v>45717</v>
      </c>
      <c r="D36" s="1040" t="s">
        <v>1870</v>
      </c>
      <c r="E36" s="1040">
        <v>45695</v>
      </c>
      <c r="F36" s="1040"/>
      <c r="G36" s="1040"/>
      <c r="H36" s="1029">
        <v>91</v>
      </c>
      <c r="I36" s="1029"/>
      <c r="J36" s="1029" t="s">
        <v>56</v>
      </c>
      <c r="K36" s="1029"/>
      <c r="L36" s="1029"/>
      <c r="M36" s="1029" t="s">
        <v>57</v>
      </c>
      <c r="N36" s="1188">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1895</v>
      </c>
      <c r="Q1" s="160" t="s">
        <v>1896</v>
      </c>
      <c r="R1" s="128" t="s">
        <v>1897</v>
      </c>
      <c r="S1" s="128" t="s">
        <v>1898</v>
      </c>
      <c r="T1" s="160" t="s">
        <v>1899</v>
      </c>
      <c r="U1" s="128" t="s">
        <v>1145</v>
      </c>
      <c r="V1" s="161" t="s">
        <v>1900</v>
      </c>
      <c r="W1" s="161" t="s">
        <v>1901</v>
      </c>
      <c r="X1" s="164" t="s">
        <v>1902</v>
      </c>
      <c r="Y1" s="262" t="e" cm="1">
        <f t="array" ref="Y1">VLOOKUP(#REF!,#REF!, FALSE)</f>
        <v>#REF!</v>
      </c>
    </row>
    <row r="2" spans="1:25">
      <c r="A2" s="181" t="s">
        <v>520</v>
      </c>
      <c r="B2" s="183" t="s">
        <v>237</v>
      </c>
      <c r="C2" s="180">
        <v>45991</v>
      </c>
      <c r="D2" s="640"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86</v>
      </c>
      <c r="V2" s="69" t="s">
        <v>86</v>
      </c>
      <c r="W2" s="30"/>
      <c r="X2" s="43"/>
    </row>
    <row r="3" spans="1:25">
      <c r="A3" s="349" t="s">
        <v>523</v>
      </c>
      <c r="B3" s="546" t="s">
        <v>237</v>
      </c>
      <c r="C3" s="708">
        <v>45742</v>
      </c>
      <c r="D3" s="709"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86</v>
      </c>
      <c r="W3" s="79"/>
      <c r="X3" s="69" t="s">
        <v>86</v>
      </c>
      <c r="Y3" t="e">
        <f>VLOOKUP(A3,#REF!,2,FALSE)</f>
        <v>#REF!</v>
      </c>
    </row>
    <row r="4" spans="1:25">
      <c r="A4" s="376" t="s">
        <v>1903</v>
      </c>
      <c r="B4" s="420" t="s">
        <v>237</v>
      </c>
      <c r="C4" s="421">
        <v>45742</v>
      </c>
      <c r="D4" s="715" t="s">
        <v>1904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86</v>
      </c>
      <c r="V4" s="69" t="s">
        <v>86</v>
      </c>
      <c r="W4" s="79"/>
      <c r="X4" s="69" t="s">
        <v>86</v>
      </c>
      <c r="Y4" t="e">
        <f>VLOOKUP(A4,#REF!,2,FALSE)</f>
        <v>#REF!</v>
      </c>
    </row>
    <row r="5" spans="1:25">
      <c r="A5" s="369" t="s">
        <v>526</v>
      </c>
      <c r="B5" s="420" t="s">
        <v>237</v>
      </c>
      <c r="C5" s="413">
        <v>45991</v>
      </c>
      <c r="D5" s="551"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86</v>
      </c>
      <c r="V5" s="69" t="s">
        <v>86</v>
      </c>
      <c r="W5" s="79"/>
      <c r="X5" s="69" t="s">
        <v>86</v>
      </c>
    </row>
    <row r="6" spans="1:25">
      <c r="A6" s="376" t="s">
        <v>621</v>
      </c>
      <c r="B6" s="420" t="s">
        <v>237</v>
      </c>
      <c r="C6" s="421">
        <v>45747</v>
      </c>
      <c r="D6" s="712" t="s">
        <v>623</v>
      </c>
      <c r="E6" s="193"/>
      <c r="F6" s="138"/>
      <c r="G6" s="138"/>
      <c r="H6" s="188">
        <v>56</v>
      </c>
      <c r="I6" s="184"/>
      <c r="J6" s="191" t="s">
        <v>57</v>
      </c>
      <c r="K6" s="191" t="s">
        <v>57</v>
      </c>
      <c r="L6" s="188" t="s">
        <v>63</v>
      </c>
      <c r="M6" s="198">
        <v>45701</v>
      </c>
      <c r="N6" s="30" t="s">
        <v>399</v>
      </c>
      <c r="O6" s="367">
        <v>45718</v>
      </c>
      <c r="P6" s="30" t="s">
        <v>399</v>
      </c>
      <c r="Q6" s="345" t="s">
        <v>399</v>
      </c>
      <c r="R6" s="43" t="s">
        <v>1905</v>
      </c>
      <c r="S6" s="43" t="s">
        <v>399</v>
      </c>
      <c r="T6" s="43" t="s">
        <v>399</v>
      </c>
      <c r="U6" s="158" t="s">
        <v>399</v>
      </c>
      <c r="V6" s="69" t="s">
        <v>86</v>
      </c>
      <c r="W6" s="79"/>
      <c r="X6" s="69" t="s">
        <v>86</v>
      </c>
      <c r="Y6" t="e">
        <f>VLOOKUP(A6,#REF!,2,FALSE)</f>
        <v>#REF!</v>
      </c>
    </row>
    <row r="7" spans="1:25">
      <c r="A7" s="396" t="s">
        <v>972</v>
      </c>
      <c r="B7" s="705" t="s">
        <v>237</v>
      </c>
      <c r="C7" s="397">
        <v>45742</v>
      </c>
      <c r="D7" s="424" t="s">
        <v>533</v>
      </c>
      <c r="E7" s="538"/>
      <c r="F7" s="539"/>
      <c r="G7" s="539"/>
      <c r="H7" s="182">
        <v>60</v>
      </c>
      <c r="I7" s="184"/>
      <c r="J7" s="188" t="s">
        <v>57</v>
      </c>
      <c r="K7" s="188" t="s">
        <v>57</v>
      </c>
      <c r="L7" s="188" t="s">
        <v>63</v>
      </c>
      <c r="M7" s="196">
        <v>45716</v>
      </c>
      <c r="N7" s="30" t="s">
        <v>399</v>
      </c>
      <c r="O7" s="79" t="s">
        <v>399</v>
      </c>
      <c r="P7" s="30" t="s">
        <v>399</v>
      </c>
      <c r="Q7" s="345" t="s">
        <v>399</v>
      </c>
      <c r="R7" s="43" t="s">
        <v>1905</v>
      </c>
      <c r="S7" s="43" t="s">
        <v>399</v>
      </c>
      <c r="T7" s="43" t="s">
        <v>399</v>
      </c>
      <c r="U7" s="43" t="s">
        <v>399</v>
      </c>
      <c r="V7" s="69" t="s">
        <v>86</v>
      </c>
      <c r="W7" s="30"/>
      <c r="X7" s="69" t="s">
        <v>86</v>
      </c>
      <c r="Y7" t="e">
        <f>VLOOKUP(A7,#REF!,2,FALSE)</f>
        <v>#REF!</v>
      </c>
    </row>
    <row r="8" spans="1:25">
      <c r="A8" s="178" t="s">
        <v>529</v>
      </c>
      <c r="B8" s="183" t="s">
        <v>237</v>
      </c>
      <c r="C8" s="179">
        <v>45742</v>
      </c>
      <c r="D8" s="188" t="s">
        <v>1906</v>
      </c>
      <c r="E8" s="121"/>
      <c r="F8" s="109"/>
      <c r="G8" s="109"/>
      <c r="H8" s="182">
        <v>84</v>
      </c>
      <c r="I8" s="184"/>
      <c r="J8" s="188" t="s">
        <v>57</v>
      </c>
      <c r="K8" s="188" t="s">
        <v>57</v>
      </c>
      <c r="L8" s="188" t="s">
        <v>63</v>
      </c>
      <c r="M8" s="196">
        <v>45716</v>
      </c>
      <c r="N8" s="30" t="s">
        <v>399</v>
      </c>
      <c r="O8" s="30" t="s">
        <v>399</v>
      </c>
      <c r="P8" s="730" t="s">
        <v>399</v>
      </c>
      <c r="Q8" s="69" t="s">
        <v>399</v>
      </c>
      <c r="R8" s="43" t="s">
        <v>1905</v>
      </c>
      <c r="S8" s="43" t="s">
        <v>399</v>
      </c>
      <c r="T8" s="43" t="s">
        <v>399</v>
      </c>
      <c r="U8" s="43" t="s">
        <v>399</v>
      </c>
      <c r="V8" s="69" t="s">
        <v>86</v>
      </c>
      <c r="W8" s="30"/>
      <c r="X8" s="69" t="s">
        <v>86</v>
      </c>
      <c r="Y8" t="e">
        <f>VLOOKUP(A8,#REF!,2,FALSE)</f>
        <v>#REF!</v>
      </c>
    </row>
    <row r="9" spans="1:25">
      <c r="A9" s="178" t="s">
        <v>974</v>
      </c>
      <c r="B9" s="183" t="s">
        <v>237</v>
      </c>
      <c r="C9" s="179">
        <v>45742</v>
      </c>
      <c r="D9" s="535" t="s">
        <v>530</v>
      </c>
      <c r="E9" s="194"/>
      <c r="F9" s="139"/>
      <c r="G9" s="139"/>
      <c r="H9" s="188">
        <v>79</v>
      </c>
      <c r="I9" s="184"/>
      <c r="J9" s="188" t="s">
        <v>57</v>
      </c>
      <c r="K9" s="188" t="s">
        <v>57</v>
      </c>
      <c r="L9" s="188" t="s">
        <v>63</v>
      </c>
      <c r="M9" s="196">
        <v>45716</v>
      </c>
      <c r="N9" s="120" t="s">
        <v>399</v>
      </c>
      <c r="O9" s="54">
        <v>45718</v>
      </c>
      <c r="P9" s="120" t="s">
        <v>399</v>
      </c>
      <c r="Q9" s="69" t="s">
        <v>399</v>
      </c>
      <c r="R9" s="43" t="s">
        <v>1905</v>
      </c>
      <c r="S9" s="43" t="s">
        <v>399</v>
      </c>
      <c r="T9" s="43" t="s">
        <v>399</v>
      </c>
      <c r="U9" s="43" t="s">
        <v>399</v>
      </c>
      <c r="V9" s="69" t="s">
        <v>86</v>
      </c>
      <c r="W9" s="30"/>
      <c r="X9" s="69" t="s">
        <v>86</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1905</v>
      </c>
      <c r="S10" s="43" t="s">
        <v>399</v>
      </c>
      <c r="T10" s="43" t="s">
        <v>399</v>
      </c>
      <c r="U10" s="162" t="s">
        <v>399</v>
      </c>
      <c r="V10" s="345" t="s">
        <v>86</v>
      </c>
      <c r="W10" s="30"/>
      <c r="X10" s="69" t="s">
        <v>86</v>
      </c>
      <c r="Y10" t="e">
        <f>VLOOKUP(A10,#REF!,2,FALSE)</f>
        <v>#REF!</v>
      </c>
    </row>
    <row r="11" spans="1:25">
      <c r="A11" s="184" t="s">
        <v>531</v>
      </c>
      <c r="B11" s="435" t="s">
        <v>237</v>
      </c>
      <c r="C11" s="179">
        <v>45991</v>
      </c>
      <c r="D11" s="550" t="s">
        <v>533</v>
      </c>
      <c r="E11" s="121">
        <v>31</v>
      </c>
      <c r="F11" s="109"/>
      <c r="G11" s="109"/>
      <c r="H11" s="188">
        <v>31</v>
      </c>
      <c r="I11" s="184"/>
      <c r="J11" s="188" t="s">
        <v>57</v>
      </c>
      <c r="K11" s="188" t="s">
        <v>57</v>
      </c>
      <c r="L11" s="188" t="s">
        <v>63</v>
      </c>
      <c r="M11" s="198">
        <v>45716</v>
      </c>
      <c r="N11" s="30" t="s">
        <v>64</v>
      </c>
      <c r="O11" s="54">
        <v>45716</v>
      </c>
      <c r="P11" s="87" t="s">
        <v>399</v>
      </c>
      <c r="Q11" s="69" t="s">
        <v>399</v>
      </c>
      <c r="R11" s="43" t="s">
        <v>1905</v>
      </c>
      <c r="S11" s="43" t="s">
        <v>399</v>
      </c>
      <c r="T11" s="43" t="s">
        <v>399</v>
      </c>
      <c r="U11" s="345" t="s">
        <v>86</v>
      </c>
      <c r="V11" s="69" t="s">
        <v>86</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1905</v>
      </c>
      <c r="S12" s="43" t="s">
        <v>399</v>
      </c>
      <c r="T12" s="43" t="s">
        <v>399</v>
      </c>
      <c r="U12" s="69" t="s">
        <v>86</v>
      </c>
      <c r="V12" s="69" t="s">
        <v>86</v>
      </c>
      <c r="W12" s="30"/>
      <c r="X12" s="69" t="s">
        <v>86</v>
      </c>
      <c r="Y12" t="e">
        <f>VLOOKUP(A12,#REF!,2,FALSE)</f>
        <v>#REF!</v>
      </c>
    </row>
    <row r="13" spans="1:25">
      <c r="A13" s="181" t="s">
        <v>298</v>
      </c>
      <c r="B13" s="183" t="s">
        <v>237</v>
      </c>
      <c r="C13" s="422">
        <v>45960</v>
      </c>
      <c r="D13" s="431" t="s">
        <v>1907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86</v>
      </c>
      <c r="V13" s="69" t="s">
        <v>86</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86</v>
      </c>
      <c r="V14" s="69" t="s">
        <v>86</v>
      </c>
      <c r="W14" s="69"/>
      <c r="X14" s="43"/>
    </row>
    <row r="15" spans="1:25">
      <c r="A15" s="178" t="s">
        <v>831</v>
      </c>
      <c r="B15" s="183" t="s">
        <v>237</v>
      </c>
      <c r="C15" s="318">
        <v>45711</v>
      </c>
      <c r="D15" s="651"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1908</v>
      </c>
      <c r="Y15" t="e">
        <f>VLOOKUP(A15,#REF!,2,FALSE)</f>
        <v>#REF!</v>
      </c>
    </row>
    <row r="16" spans="1:25">
      <c r="A16" s="178" t="s">
        <v>625</v>
      </c>
      <c r="B16" s="183" t="s">
        <v>237</v>
      </c>
      <c r="C16" s="318">
        <v>45742</v>
      </c>
      <c r="D16" s="718" t="s">
        <v>627</v>
      </c>
      <c r="E16" s="194"/>
      <c r="F16" s="139"/>
      <c r="G16" s="139"/>
      <c r="H16" s="188">
        <v>0</v>
      </c>
      <c r="I16" s="184"/>
      <c r="J16" s="188" t="s">
        <v>57</v>
      </c>
      <c r="K16" s="188" t="s">
        <v>57</v>
      </c>
      <c r="L16" s="188" t="s">
        <v>63</v>
      </c>
      <c r="M16" s="198" t="s">
        <v>1909</v>
      </c>
      <c r="N16" s="30" t="s">
        <v>399</v>
      </c>
      <c r="O16" s="54" t="s">
        <v>1909</v>
      </c>
      <c r="P16" s="30" t="s">
        <v>399</v>
      </c>
      <c r="Q16" s="69" t="s">
        <v>399</v>
      </c>
      <c r="R16" s="43" t="s">
        <v>399</v>
      </c>
      <c r="S16" s="43" t="s">
        <v>56</v>
      </c>
      <c r="T16" s="43" t="s">
        <v>399</v>
      </c>
      <c r="U16" s="69" t="s">
        <v>86</v>
      </c>
      <c r="V16" s="69" t="s">
        <v>86</v>
      </c>
      <c r="W16" s="30"/>
      <c r="X16" s="69" t="s">
        <v>86</v>
      </c>
      <c r="Y16" t="e">
        <f>VLOOKUP(A16,#REF!,2,FALSE)</f>
        <v>#REF!</v>
      </c>
    </row>
    <row r="17" spans="1:25">
      <c r="A17" s="181" t="s">
        <v>534</v>
      </c>
      <c r="B17" s="183" t="s">
        <v>237</v>
      </c>
      <c r="C17" s="180">
        <v>45991</v>
      </c>
      <c r="D17" s="733"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86</v>
      </c>
      <c r="V17" s="69" t="s">
        <v>86</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86</v>
      </c>
      <c r="V18" s="69" t="s">
        <v>86</v>
      </c>
      <c r="W18" s="30"/>
      <c r="X18" s="43"/>
    </row>
    <row r="19" spans="1:25">
      <c r="A19" s="181" t="s">
        <v>834</v>
      </c>
      <c r="B19" s="545" t="s">
        <v>108</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86</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1908</v>
      </c>
      <c r="Y20" t="e">
        <f>VLOOKUP(A20,#REF!,2,FALSE)</f>
        <v>#REF!</v>
      </c>
    </row>
    <row r="21" spans="1:25">
      <c r="A21" s="181" t="s">
        <v>630</v>
      </c>
      <c r="B21" s="178" t="s">
        <v>108</v>
      </c>
      <c r="C21" s="179">
        <v>45772</v>
      </c>
      <c r="D21" s="635"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1908</v>
      </c>
      <c r="Y21" t="e">
        <f>VLOOKUP(A21,#REF!,2,FALSE)</f>
        <v>#REF!</v>
      </c>
    </row>
    <row r="22" spans="1:25">
      <c r="A22" s="178" t="s">
        <v>835</v>
      </c>
      <c r="B22" s="178" t="s">
        <v>108</v>
      </c>
      <c r="C22" s="179">
        <v>45868</v>
      </c>
      <c r="D22" s="635"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1908</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1908</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1908</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1908</v>
      </c>
      <c r="Y29" t="e">
        <f>VLOOKUP(A29,#REF!,2,FALSE)</f>
        <v>#REF!</v>
      </c>
    </row>
    <row r="30" spans="1:25">
      <c r="A30" s="178" t="s">
        <v>641</v>
      </c>
      <c r="B30" s="178" t="s">
        <v>108</v>
      </c>
      <c r="C30" s="179">
        <v>45711</v>
      </c>
      <c r="D30" s="179" t="s">
        <v>642</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1908</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1905</v>
      </c>
      <c r="S31" s="43" t="s">
        <v>399</v>
      </c>
      <c r="T31" s="140" t="s">
        <v>399</v>
      </c>
      <c r="U31" s="116" t="s">
        <v>399</v>
      </c>
      <c r="V31" s="69" t="s">
        <v>399</v>
      </c>
      <c r="W31" s="54">
        <v>45779</v>
      </c>
      <c r="X31" s="69" t="s">
        <v>1908</v>
      </c>
      <c r="Y31" t="e">
        <f>VLOOKUP(A31,#REF!,2,FALSE)</f>
        <v>#REF!</v>
      </c>
    </row>
    <row r="32" spans="1:25">
      <c r="A32" s="181" t="s">
        <v>645</v>
      </c>
      <c r="B32" s="178" t="s">
        <v>108</v>
      </c>
      <c r="C32" s="179">
        <v>45772</v>
      </c>
      <c r="D32" s="635" t="s">
        <v>646</v>
      </c>
      <c r="E32" s="175"/>
      <c r="F32" s="130"/>
      <c r="G32" s="130"/>
      <c r="H32" s="182">
        <v>82</v>
      </c>
      <c r="I32" s="184"/>
      <c r="J32" s="182" t="s">
        <v>57</v>
      </c>
      <c r="K32" s="182" t="s">
        <v>57</v>
      </c>
      <c r="L32" s="182" t="s">
        <v>63</v>
      </c>
      <c r="M32" s="198">
        <v>45756</v>
      </c>
      <c r="N32" s="30" t="s">
        <v>399</v>
      </c>
      <c r="O32" s="54">
        <v>45756</v>
      </c>
      <c r="P32" s="30" t="s">
        <v>399</v>
      </c>
      <c r="Q32" s="69" t="s">
        <v>399</v>
      </c>
      <c r="R32" s="69" t="s">
        <v>1905</v>
      </c>
      <c r="S32" s="43" t="s">
        <v>399</v>
      </c>
      <c r="T32" s="140" t="s">
        <v>399</v>
      </c>
      <c r="U32" s="43" t="s">
        <v>399</v>
      </c>
      <c r="V32" s="69" t="s">
        <v>399</v>
      </c>
      <c r="W32" s="54">
        <v>45792</v>
      </c>
      <c r="X32" s="69" t="s">
        <v>1908</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1905</v>
      </c>
      <c r="S33" s="43" t="s">
        <v>399</v>
      </c>
      <c r="T33" s="140" t="s">
        <v>399</v>
      </c>
      <c r="U33" s="43" t="s">
        <v>399</v>
      </c>
      <c r="V33" s="345" t="s">
        <v>399</v>
      </c>
      <c r="W33" s="54">
        <v>45812</v>
      </c>
      <c r="X33" s="69" t="s">
        <v>1908</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1905</v>
      </c>
      <c r="S34" s="43" t="s">
        <v>399</v>
      </c>
      <c r="T34" s="140" t="s">
        <v>399</v>
      </c>
      <c r="U34" s="43" t="s">
        <v>399</v>
      </c>
      <c r="V34" s="417" t="s">
        <v>399</v>
      </c>
      <c r="W34" s="168">
        <v>45797</v>
      </c>
      <c r="X34" s="69" t="s">
        <v>1908</v>
      </c>
    </row>
    <row r="35" spans="1:25">
      <c r="A35" s="181" t="s">
        <v>651</v>
      </c>
      <c r="B35" s="178" t="s">
        <v>108</v>
      </c>
      <c r="C35" s="179">
        <v>45688</v>
      </c>
      <c r="D35" s="179" t="s">
        <v>653</v>
      </c>
      <c r="E35" s="720"/>
      <c r="F35" s="724"/>
      <c r="G35" s="724"/>
      <c r="H35" s="182">
        <v>23</v>
      </c>
      <c r="I35" s="184"/>
      <c r="J35" s="192" t="s">
        <v>57</v>
      </c>
      <c r="K35" s="192" t="s">
        <v>57</v>
      </c>
      <c r="L35" s="182" t="s">
        <v>63</v>
      </c>
      <c r="M35" s="198">
        <v>45659</v>
      </c>
      <c r="N35" s="30" t="s">
        <v>399</v>
      </c>
      <c r="O35" s="125">
        <v>45659</v>
      </c>
      <c r="P35" s="87" t="s">
        <v>399</v>
      </c>
      <c r="Q35" s="43" t="s">
        <v>399</v>
      </c>
      <c r="R35" s="43" t="s">
        <v>1905</v>
      </c>
      <c r="S35" s="43" t="s">
        <v>399</v>
      </c>
      <c r="T35" s="140" t="s">
        <v>399</v>
      </c>
      <c r="U35" s="171" t="s">
        <v>399</v>
      </c>
      <c r="V35" s="69" t="s">
        <v>399</v>
      </c>
      <c r="W35" s="54">
        <v>45789</v>
      </c>
      <c r="X35" s="345" t="s">
        <v>1908</v>
      </c>
      <c r="Y35" t="e">
        <f>VLOOKUP(A35,#REF!,2,FALSE)</f>
        <v>#REF!</v>
      </c>
    </row>
    <row r="36" spans="1:25">
      <c r="A36" s="181" t="s">
        <v>654</v>
      </c>
      <c r="B36" s="178" t="s">
        <v>108</v>
      </c>
      <c r="C36" s="179">
        <v>45688</v>
      </c>
      <c r="D36" s="179" t="s">
        <v>655</v>
      </c>
      <c r="E36" s="720"/>
      <c r="F36" s="724"/>
      <c r="G36" s="724"/>
      <c r="H36" s="182">
        <v>70</v>
      </c>
      <c r="I36" s="184"/>
      <c r="J36" s="192" t="s">
        <v>57</v>
      </c>
      <c r="K36" s="192" t="s">
        <v>57</v>
      </c>
      <c r="L36" s="182" t="s">
        <v>63</v>
      </c>
      <c r="M36" s="198">
        <v>45659</v>
      </c>
      <c r="N36" s="30" t="s">
        <v>399</v>
      </c>
      <c r="O36" s="125">
        <v>45659</v>
      </c>
      <c r="P36" s="87" t="s">
        <v>399</v>
      </c>
      <c r="Q36" s="43" t="s">
        <v>399</v>
      </c>
      <c r="R36" s="43" t="s">
        <v>1905</v>
      </c>
      <c r="S36" s="43" t="s">
        <v>399</v>
      </c>
      <c r="T36" s="140" t="s">
        <v>399</v>
      </c>
      <c r="U36" s="43" t="s">
        <v>399</v>
      </c>
      <c r="V36" s="69" t="s">
        <v>399</v>
      </c>
      <c r="W36" s="54">
        <v>45824</v>
      </c>
      <c r="X36" s="345" t="s">
        <v>1908</v>
      </c>
      <c r="Y36" t="e">
        <f>VLOOKUP(A36,#REF!,2,FALSE)</f>
        <v>#REF!</v>
      </c>
    </row>
    <row r="37" spans="1:25">
      <c r="A37" s="181" t="s">
        <v>656</v>
      </c>
      <c r="B37" s="178" t="s">
        <v>108</v>
      </c>
      <c r="C37" s="179">
        <v>45688</v>
      </c>
      <c r="D37" s="179" t="s">
        <v>657</v>
      </c>
      <c r="E37" s="720"/>
      <c r="F37" s="724"/>
      <c r="G37" s="724"/>
      <c r="H37" s="182">
        <v>75</v>
      </c>
      <c r="I37" s="184"/>
      <c r="J37" s="192" t="s">
        <v>57</v>
      </c>
      <c r="K37" s="192" t="s">
        <v>57</v>
      </c>
      <c r="L37" s="182" t="s">
        <v>63</v>
      </c>
      <c r="M37" s="49" t="s">
        <v>399</v>
      </c>
      <c r="N37" s="30" t="s">
        <v>399</v>
      </c>
      <c r="O37" s="125">
        <v>45672</v>
      </c>
      <c r="P37" s="30" t="s">
        <v>399</v>
      </c>
      <c r="Q37" s="43" t="s">
        <v>399</v>
      </c>
      <c r="R37" s="43" t="s">
        <v>1905</v>
      </c>
      <c r="S37" s="43" t="s">
        <v>399</v>
      </c>
      <c r="T37" s="43" t="s">
        <v>399</v>
      </c>
      <c r="U37" s="171" t="s">
        <v>399</v>
      </c>
      <c r="V37" s="69" t="s">
        <v>399</v>
      </c>
      <c r="W37" s="157">
        <v>45789</v>
      </c>
      <c r="X37" s="69" t="s">
        <v>1908</v>
      </c>
      <c r="Y37" t="e">
        <f>VLOOKUP(A37,#REF!,2,FALSE)</f>
        <v>#REF!</v>
      </c>
    </row>
    <row r="38" spans="1:25">
      <c r="A38" s="181" t="s">
        <v>658</v>
      </c>
      <c r="B38" s="178" t="s">
        <v>108</v>
      </c>
      <c r="C38" s="179">
        <v>45688</v>
      </c>
      <c r="D38" s="179" t="s">
        <v>660</v>
      </c>
      <c r="E38" s="720"/>
      <c r="F38" s="724"/>
      <c r="G38" s="724"/>
      <c r="H38" s="182">
        <v>65</v>
      </c>
      <c r="I38" s="184"/>
      <c r="J38" s="192" t="s">
        <v>57</v>
      </c>
      <c r="K38" s="192" t="s">
        <v>57</v>
      </c>
      <c r="L38" s="182" t="s">
        <v>63</v>
      </c>
      <c r="M38" s="196">
        <v>45673</v>
      </c>
      <c r="N38" s="30" t="s">
        <v>399</v>
      </c>
      <c r="O38" s="125">
        <v>45673</v>
      </c>
      <c r="P38" s="30" t="s">
        <v>399</v>
      </c>
      <c r="Q38" s="43" t="s">
        <v>399</v>
      </c>
      <c r="R38" s="43" t="s">
        <v>1905</v>
      </c>
      <c r="S38" s="43" t="s">
        <v>399</v>
      </c>
      <c r="T38" s="43" t="s">
        <v>399</v>
      </c>
      <c r="U38" s="171" t="s">
        <v>399</v>
      </c>
      <c r="V38" s="69" t="s">
        <v>399</v>
      </c>
      <c r="W38" s="54">
        <v>45789</v>
      </c>
      <c r="X38" s="69" t="s">
        <v>1908</v>
      </c>
      <c r="Y38" t="e">
        <f>VLOOKUP(A38,#REF!,2,FALSE)</f>
        <v>#REF!</v>
      </c>
    </row>
    <row r="39" spans="1:25">
      <c r="A39" s="181" t="s">
        <v>661</v>
      </c>
      <c r="B39" s="178" t="s">
        <v>108</v>
      </c>
      <c r="C39" s="179">
        <v>45688</v>
      </c>
      <c r="D39" s="179" t="s">
        <v>662</v>
      </c>
      <c r="E39" s="720"/>
      <c r="F39" s="724"/>
      <c r="G39" s="724"/>
      <c r="H39" s="182">
        <v>81</v>
      </c>
      <c r="I39" s="184"/>
      <c r="J39" s="192" t="s">
        <v>57</v>
      </c>
      <c r="K39" s="192" t="s">
        <v>57</v>
      </c>
      <c r="L39" s="182" t="s">
        <v>63</v>
      </c>
      <c r="M39" s="49" t="s">
        <v>399</v>
      </c>
      <c r="N39" s="30" t="s">
        <v>399</v>
      </c>
      <c r="O39" s="125">
        <v>45672</v>
      </c>
      <c r="P39" s="30" t="s">
        <v>399</v>
      </c>
      <c r="Q39" s="43" t="s">
        <v>399</v>
      </c>
      <c r="R39" s="43" t="s">
        <v>1905</v>
      </c>
      <c r="S39" s="43" t="s">
        <v>399</v>
      </c>
      <c r="T39" s="43" t="s">
        <v>399</v>
      </c>
      <c r="U39" s="171" t="s">
        <v>399</v>
      </c>
      <c r="V39" s="69" t="s">
        <v>399</v>
      </c>
      <c r="W39" s="54">
        <v>45789</v>
      </c>
      <c r="X39" s="69" t="s">
        <v>1908</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1908</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1908</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1908</v>
      </c>
      <c r="Y42" t="e">
        <f>VLOOKUP(A42,#REF!,2,FALSE)</f>
        <v>#REF!</v>
      </c>
    </row>
    <row r="43" spans="1:25" ht="13.5" customHeight="1">
      <c r="A43" s="178" t="s">
        <v>669</v>
      </c>
      <c r="B43" s="178" t="s">
        <v>108</v>
      </c>
      <c r="C43" s="179">
        <v>45716</v>
      </c>
      <c r="D43" s="203" t="s">
        <v>670</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1908</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1908</v>
      </c>
      <c r="Y44" t="e">
        <f>VLOOKUP(A44,#REF!,2,FALSE)</f>
        <v>#REF!</v>
      </c>
    </row>
    <row r="45" spans="1:25">
      <c r="A45" s="181" t="s">
        <v>675</v>
      </c>
      <c r="B45" s="178" t="s">
        <v>108</v>
      </c>
      <c r="C45" s="186">
        <v>45711</v>
      </c>
      <c r="D45" s="186" t="s">
        <v>676</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1908</v>
      </c>
      <c r="Y45" t="e">
        <f>VLOOKUP(A45,#REF!,2,FALSE)</f>
        <v>#REF!</v>
      </c>
    </row>
    <row r="46" spans="1:25">
      <c r="A46" s="181" t="s">
        <v>851</v>
      </c>
      <c r="B46" s="178" t="s">
        <v>108</v>
      </c>
      <c r="C46" s="186">
        <v>45868</v>
      </c>
      <c r="D46" s="182" t="s">
        <v>852</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1908</v>
      </c>
    </row>
    <row r="47" spans="1:25">
      <c r="A47" s="181" t="s">
        <v>854</v>
      </c>
      <c r="B47" s="545"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86</v>
      </c>
      <c r="X47" s="43"/>
    </row>
    <row r="48" spans="1:25">
      <c r="A48" s="181" t="s">
        <v>857</v>
      </c>
      <c r="B48" s="545"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86</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1908</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1908</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1908</v>
      </c>
    </row>
    <row r="52" spans="1:56">
      <c r="A52" s="181" t="s">
        <v>873</v>
      </c>
      <c r="B52" s="178" t="s">
        <v>108</v>
      </c>
      <c r="C52" s="180">
        <v>45868</v>
      </c>
      <c r="D52" s="534"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1908</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1908</v>
      </c>
    </row>
    <row r="54" spans="1:56">
      <c r="A54" s="181" t="s">
        <v>881</v>
      </c>
      <c r="B54" s="545" t="s">
        <v>108</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86</v>
      </c>
      <c r="W54" s="69"/>
      <c r="X54" s="43"/>
    </row>
    <row r="55" spans="1:56">
      <c r="A55" s="181" t="s">
        <v>884</v>
      </c>
      <c r="B55" s="545"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86</v>
      </c>
      <c r="W55" s="69"/>
      <c r="X55" s="43"/>
    </row>
    <row r="56" spans="1:56">
      <c r="A56" s="181" t="s">
        <v>887</v>
      </c>
      <c r="B56" s="545"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86</v>
      </c>
      <c r="W56" s="69"/>
      <c r="X56" s="43"/>
    </row>
    <row r="57" spans="1:56">
      <c r="A57" s="181" t="s">
        <v>677</v>
      </c>
      <c r="B57" s="181" t="s">
        <v>108</v>
      </c>
      <c r="C57" s="180">
        <v>45862</v>
      </c>
      <c r="D57" s="635" t="s">
        <v>678</v>
      </c>
      <c r="E57" s="194"/>
      <c r="F57" s="139"/>
      <c r="G57" s="139"/>
      <c r="H57" s="188">
        <v>62</v>
      </c>
      <c r="I57" s="184"/>
      <c r="J57" s="188" t="s">
        <v>57</v>
      </c>
      <c r="K57" s="188" t="s">
        <v>57</v>
      </c>
      <c r="L57" s="188" t="s">
        <v>63</v>
      </c>
      <c r="M57" s="198">
        <v>45762</v>
      </c>
      <c r="N57" s="87" t="s">
        <v>399</v>
      </c>
      <c r="O57" s="125">
        <v>45783</v>
      </c>
      <c r="P57" s="332" t="s">
        <v>399</v>
      </c>
      <c r="Q57" s="43" t="s">
        <v>399</v>
      </c>
      <c r="R57" s="43" t="s">
        <v>1905</v>
      </c>
      <c r="S57" s="43" t="s">
        <v>399</v>
      </c>
      <c r="T57" s="43" t="s">
        <v>399</v>
      </c>
      <c r="U57" s="43" t="s">
        <v>399</v>
      </c>
      <c r="V57" s="69" t="s">
        <v>399</v>
      </c>
      <c r="W57" s="54">
        <v>45813</v>
      </c>
      <c r="X57" s="69" t="s">
        <v>1908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5" t="s">
        <v>680</v>
      </c>
      <c r="E58" s="194"/>
      <c r="F58" s="139"/>
      <c r="G58" s="139"/>
      <c r="H58" s="188">
        <v>89</v>
      </c>
      <c r="I58" s="184"/>
      <c r="J58" s="188" t="s">
        <v>57</v>
      </c>
      <c r="K58" s="188" t="s">
        <v>57</v>
      </c>
      <c r="L58" s="188" t="s">
        <v>63</v>
      </c>
      <c r="M58" s="198">
        <v>45762</v>
      </c>
      <c r="N58" s="87" t="s">
        <v>399</v>
      </c>
      <c r="O58" s="54">
        <v>45776</v>
      </c>
      <c r="P58" s="332" t="s">
        <v>399</v>
      </c>
      <c r="Q58" s="43" t="s">
        <v>399</v>
      </c>
      <c r="R58" s="43" t="s">
        <v>1905</v>
      </c>
      <c r="S58" s="43" t="s">
        <v>399</v>
      </c>
      <c r="T58" s="43" t="s">
        <v>399</v>
      </c>
      <c r="U58" s="43" t="s">
        <v>399</v>
      </c>
      <c r="V58" s="345" t="s">
        <v>399</v>
      </c>
      <c r="W58" s="54">
        <v>45796</v>
      </c>
      <c r="X58" s="69" t="s">
        <v>1908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5" t="s">
        <v>682</v>
      </c>
      <c r="E59" s="194"/>
      <c r="F59" s="139"/>
      <c r="G59" s="139"/>
      <c r="H59" s="188">
        <v>87</v>
      </c>
      <c r="I59" s="184"/>
      <c r="J59" s="188" t="s">
        <v>57</v>
      </c>
      <c r="K59" s="188" t="s">
        <v>57</v>
      </c>
      <c r="L59" s="188" t="s">
        <v>63</v>
      </c>
      <c r="M59" s="198">
        <v>45762</v>
      </c>
      <c r="N59" s="87" t="s">
        <v>399</v>
      </c>
      <c r="O59" s="30" t="s">
        <v>1887</v>
      </c>
      <c r="P59" s="332" t="s">
        <v>399</v>
      </c>
      <c r="Q59" s="43" t="s">
        <v>399</v>
      </c>
      <c r="R59" s="43" t="s">
        <v>1905</v>
      </c>
      <c r="S59" s="43" t="s">
        <v>399</v>
      </c>
      <c r="T59" s="43" t="s">
        <v>399</v>
      </c>
      <c r="U59" s="43" t="s">
        <v>399</v>
      </c>
      <c r="V59" s="345" t="s">
        <v>399</v>
      </c>
      <c r="W59" s="54">
        <v>45796</v>
      </c>
      <c r="X59" s="69" t="s">
        <v>1908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1905</v>
      </c>
      <c r="S60" s="43" t="s">
        <v>399</v>
      </c>
      <c r="T60" s="43" t="s">
        <v>399</v>
      </c>
      <c r="U60" s="43" t="s">
        <v>399</v>
      </c>
      <c r="V60" s="345" t="s">
        <v>399</v>
      </c>
      <c r="W60" s="54">
        <v>45824</v>
      </c>
      <c r="X60" s="69" t="s">
        <v>1908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5"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86</v>
      </c>
      <c r="V63" s="345" t="s">
        <v>86</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5" t="s">
        <v>108</v>
      </c>
      <c r="C64" s="180">
        <v>45899</v>
      </c>
      <c r="D64" s="717"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7"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86</v>
      </c>
      <c r="V65" s="69" t="s">
        <v>86</v>
      </c>
      <c r="W65" s="30"/>
      <c r="X65" s="69" t="s">
        <v>86</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9" t="s">
        <v>903</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5"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86</v>
      </c>
      <c r="V67" s="417" t="s">
        <v>86</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87</v>
      </c>
      <c r="K68" s="182" t="s">
        <v>87</v>
      </c>
      <c r="L68" s="182" t="s">
        <v>63</v>
      </c>
      <c r="M68" s="49" t="s">
        <v>399</v>
      </c>
      <c r="N68" s="87" t="s">
        <v>399</v>
      </c>
      <c r="O68" s="87" t="s">
        <v>399</v>
      </c>
      <c r="P68" s="332" t="s">
        <v>399</v>
      </c>
      <c r="Q68" s="43" t="s">
        <v>399</v>
      </c>
      <c r="R68" s="43" t="s">
        <v>399</v>
      </c>
      <c r="S68" s="43" t="s">
        <v>56</v>
      </c>
      <c r="T68" s="43" t="s">
        <v>399</v>
      </c>
      <c r="U68" s="43" t="s">
        <v>399</v>
      </c>
      <c r="V68" s="345" t="s">
        <v>399</v>
      </c>
      <c r="W68" s="49"/>
      <c r="X68" s="69" t="s">
        <v>86</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5" t="s">
        <v>108</v>
      </c>
      <c r="C69" s="180">
        <v>45899</v>
      </c>
      <c r="D69" s="203" t="s">
        <v>920</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86</v>
      </c>
      <c r="V69" s="345" t="s">
        <v>86</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5"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86</v>
      </c>
      <c r="V71" s="345" t="s">
        <v>86</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5"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5" t="s">
        <v>462</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86</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5"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86</v>
      </c>
      <c r="V74" s="345" t="s">
        <v>86</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5"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5"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86</v>
      </c>
      <c r="V77" s="345" t="s">
        <v>86</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5"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86</v>
      </c>
      <c r="V78" s="345" t="s">
        <v>86</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5"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86</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1910</v>
      </c>
      <c r="B81" s="545" t="s">
        <v>108</v>
      </c>
      <c r="C81" s="179">
        <v>45688</v>
      </c>
      <c r="D81" s="635" t="s">
        <v>697</v>
      </c>
      <c r="E81" s="175"/>
      <c r="F81" s="130"/>
      <c r="G81" s="130"/>
      <c r="H81" s="182">
        <v>48</v>
      </c>
      <c r="I81" s="184"/>
      <c r="J81" s="182" t="s">
        <v>57</v>
      </c>
      <c r="K81" s="182" t="s">
        <v>57</v>
      </c>
      <c r="L81" s="182" t="s">
        <v>56</v>
      </c>
      <c r="M81" s="101" t="s">
        <v>399</v>
      </c>
      <c r="N81" s="87" t="s">
        <v>399</v>
      </c>
      <c r="O81" s="125">
        <v>45678</v>
      </c>
      <c r="P81" s="87" t="s">
        <v>399</v>
      </c>
      <c r="Q81" s="43" t="s">
        <v>399</v>
      </c>
      <c r="R81" s="43" t="s">
        <v>1905</v>
      </c>
      <c r="S81" s="43" t="s">
        <v>399</v>
      </c>
      <c r="T81" s="43" t="s">
        <v>399</v>
      </c>
      <c r="U81" s="116" t="s">
        <v>399</v>
      </c>
      <c r="V81" s="69" t="s">
        <v>399</v>
      </c>
      <c r="W81" s="54">
        <v>45789</v>
      </c>
      <c r="X81" s="69" t="s">
        <v>1908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5"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1905</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86</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1905</v>
      </c>
      <c r="S84" s="171" t="s">
        <v>399</v>
      </c>
      <c r="T84" s="171" t="s">
        <v>399</v>
      </c>
      <c r="U84" s="92" t="s">
        <v>399</v>
      </c>
      <c r="V84" s="69" t="s">
        <v>399</v>
      </c>
      <c r="W84" s="198">
        <v>45875</v>
      </c>
      <c r="X84" s="69" t="s">
        <v>1908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1905</v>
      </c>
      <c r="S85" s="171" t="s">
        <v>399</v>
      </c>
      <c r="T85" s="171" t="s">
        <v>399</v>
      </c>
      <c r="U85" s="92" t="s">
        <v>399</v>
      </c>
      <c r="V85" s="92" t="s">
        <v>399</v>
      </c>
      <c r="W85" s="198">
        <v>45874</v>
      </c>
      <c r="X85" s="69" t="s">
        <v>1908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1905</v>
      </c>
      <c r="S86" s="43" t="s">
        <v>399</v>
      </c>
      <c r="T86" s="43" t="s">
        <v>399</v>
      </c>
      <c r="U86" s="69" t="s">
        <v>399</v>
      </c>
      <c r="V86" s="69" t="s">
        <v>399</v>
      </c>
      <c r="W86" s="54">
        <v>45824</v>
      </c>
      <c r="X86" s="69" t="s">
        <v>1908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1905</v>
      </c>
      <c r="S87" s="43" t="s">
        <v>399</v>
      </c>
      <c r="T87" s="43" t="s">
        <v>399</v>
      </c>
      <c r="U87" s="158" t="s">
        <v>399</v>
      </c>
      <c r="V87" s="69" t="s">
        <v>86</v>
      </c>
      <c r="W87" s="30"/>
      <c r="X87" s="69" t="s">
        <v>86</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399</v>
      </c>
      <c r="O88" s="54">
        <v>45728</v>
      </c>
      <c r="P88" s="30" t="s">
        <v>399</v>
      </c>
      <c r="Q88" s="43" t="s">
        <v>399</v>
      </c>
      <c r="R88" s="43" t="s">
        <v>1905</v>
      </c>
      <c r="S88" s="43" t="s">
        <v>399</v>
      </c>
      <c r="T88" s="43" t="s">
        <v>399</v>
      </c>
      <c r="U88" s="158" t="s">
        <v>399</v>
      </c>
      <c r="V88" s="158" t="s">
        <v>399</v>
      </c>
      <c r="W88" s="54">
        <v>45757</v>
      </c>
      <c r="X88" s="69" t="s">
        <v>86</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1905</v>
      </c>
      <c r="S89" s="69" t="s">
        <v>399</v>
      </c>
      <c r="T89" s="69" t="s">
        <v>399</v>
      </c>
      <c r="U89" s="69" t="s">
        <v>86</v>
      </c>
      <c r="V89" s="69" t="s">
        <v>86</v>
      </c>
      <c r="W89" s="54">
        <v>45825</v>
      </c>
      <c r="X89" s="69" t="s">
        <v>86</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1905</v>
      </c>
      <c r="S90" s="69" t="s">
        <v>399</v>
      </c>
      <c r="T90" s="69" t="s">
        <v>399</v>
      </c>
      <c r="U90" s="70" t="s">
        <v>86</v>
      </c>
      <c r="V90" s="69" t="s">
        <v>86</v>
      </c>
      <c r="W90" s="54">
        <v>45828</v>
      </c>
      <c r="X90" s="69" t="s">
        <v>86</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1905</v>
      </c>
      <c r="S91" s="69" t="s">
        <v>399</v>
      </c>
      <c r="T91" s="69" t="s">
        <v>399</v>
      </c>
      <c r="U91" s="69" t="s">
        <v>399</v>
      </c>
      <c r="V91" s="69" t="s">
        <v>399</v>
      </c>
      <c r="W91" s="54">
        <v>45831</v>
      </c>
      <c r="X91" s="69" t="s">
        <v>1908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1905</v>
      </c>
      <c r="S92" s="69" t="s">
        <v>399</v>
      </c>
      <c r="T92" s="69" t="s">
        <v>399</v>
      </c>
      <c r="U92" s="345" t="s">
        <v>399</v>
      </c>
      <c r="V92" s="69" t="s">
        <v>86</v>
      </c>
      <c r="W92" s="30"/>
      <c r="X92" s="69" t="s">
        <v>86</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1905</v>
      </c>
      <c r="S93" s="43" t="s">
        <v>399</v>
      </c>
      <c r="T93" s="43" t="s">
        <v>399</v>
      </c>
      <c r="U93" s="345" t="s">
        <v>399</v>
      </c>
      <c r="V93" s="69" t="s">
        <v>399</v>
      </c>
      <c r="W93" s="54">
        <v>45789</v>
      </c>
      <c r="X93" s="69" t="s">
        <v>1908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1905</v>
      </c>
      <c r="S94" s="69" t="s">
        <v>399</v>
      </c>
      <c r="T94" s="69" t="s">
        <v>399</v>
      </c>
      <c r="U94" s="345" t="s">
        <v>86</v>
      </c>
      <c r="V94" s="69" t="s">
        <v>86</v>
      </c>
      <c r="W94" s="30"/>
      <c r="X94" s="69" t="s">
        <v>86</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1905</v>
      </c>
      <c r="S95" s="69" t="s">
        <v>399</v>
      </c>
      <c r="T95" s="43" t="s">
        <v>399</v>
      </c>
      <c r="U95" s="69" t="s">
        <v>399</v>
      </c>
      <c r="V95" s="69" t="s">
        <v>399</v>
      </c>
      <c r="W95" s="54">
        <v>45814</v>
      </c>
      <c r="X95" s="69" t="s">
        <v>1908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3" t="s">
        <v>588</v>
      </c>
      <c r="E96" s="195"/>
      <c r="F96" s="137"/>
      <c r="G96" s="137"/>
      <c r="H96" s="191">
        <v>89</v>
      </c>
      <c r="I96" s="184"/>
      <c r="J96" s="191" t="s">
        <v>57</v>
      </c>
      <c r="K96" s="191" t="s">
        <v>57</v>
      </c>
      <c r="L96" s="191" t="s">
        <v>63</v>
      </c>
      <c r="M96" s="197">
        <v>45695</v>
      </c>
      <c r="N96" s="30" t="s">
        <v>399</v>
      </c>
      <c r="O96" s="54">
        <v>45694</v>
      </c>
      <c r="P96" s="30" t="s">
        <v>399</v>
      </c>
      <c r="Q96" s="69" t="s">
        <v>399</v>
      </c>
      <c r="R96" s="92" t="s">
        <v>1905</v>
      </c>
      <c r="S96" s="69" t="s">
        <v>399</v>
      </c>
      <c r="T96" s="69" t="s">
        <v>399</v>
      </c>
      <c r="U96" s="69" t="s">
        <v>86</v>
      </c>
      <c r="V96" s="69" t="s">
        <v>86</v>
      </c>
      <c r="W96" s="30"/>
      <c r="X96" s="69" t="s">
        <v>86</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588</v>
      </c>
      <c r="E97" s="195"/>
      <c r="F97" s="137"/>
      <c r="G97" s="137"/>
      <c r="H97" s="191">
        <v>86</v>
      </c>
      <c r="I97" s="184"/>
      <c r="J97" s="191" t="s">
        <v>57</v>
      </c>
      <c r="K97" s="191" t="s">
        <v>57</v>
      </c>
      <c r="L97" s="191" t="s">
        <v>63</v>
      </c>
      <c r="M97" s="197">
        <v>45698</v>
      </c>
      <c r="N97" s="30" t="s">
        <v>399</v>
      </c>
      <c r="O97" s="54">
        <v>45688</v>
      </c>
      <c r="P97" s="30" t="s">
        <v>399</v>
      </c>
      <c r="Q97" s="69" t="s">
        <v>399</v>
      </c>
      <c r="R97" s="69" t="s">
        <v>1905</v>
      </c>
      <c r="S97" s="69" t="s">
        <v>399</v>
      </c>
      <c r="T97" s="69" t="s">
        <v>399</v>
      </c>
      <c r="U97" s="69" t="s">
        <v>399</v>
      </c>
      <c r="V97" s="43" t="s">
        <v>399</v>
      </c>
      <c r="W97" s="54">
        <v>45824</v>
      </c>
      <c r="X97" s="69" t="s">
        <v>1908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0" t="s">
        <v>591</v>
      </c>
      <c r="E98" s="195"/>
      <c r="F98" s="137"/>
      <c r="G98" s="137"/>
      <c r="H98" s="191">
        <v>77</v>
      </c>
      <c r="I98" s="184"/>
      <c r="J98" s="191" t="s">
        <v>57</v>
      </c>
      <c r="K98" s="191" t="s">
        <v>57</v>
      </c>
      <c r="L98" s="191" t="s">
        <v>63</v>
      </c>
      <c r="M98" s="197">
        <v>45686</v>
      </c>
      <c r="N98" s="30" t="s">
        <v>399</v>
      </c>
      <c r="O98" s="54">
        <v>45692</v>
      </c>
      <c r="P98" s="30" t="s">
        <v>399</v>
      </c>
      <c r="Q98" s="43" t="s">
        <v>399</v>
      </c>
      <c r="R98" s="43" t="s">
        <v>1905</v>
      </c>
      <c r="S98" s="43" t="s">
        <v>399</v>
      </c>
      <c r="T98" s="43" t="s">
        <v>399</v>
      </c>
      <c r="U98" s="69" t="s">
        <v>86</v>
      </c>
      <c r="V98" s="69" t="s">
        <v>86</v>
      </c>
      <c r="W98" s="54">
        <v>45840</v>
      </c>
      <c r="X98" s="69" t="s">
        <v>86</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399</v>
      </c>
      <c r="O99" s="54">
        <v>45692</v>
      </c>
      <c r="P99" s="30" t="s">
        <v>399</v>
      </c>
      <c r="Q99" s="43" t="s">
        <v>399</v>
      </c>
      <c r="R99" s="43" t="s">
        <v>1905</v>
      </c>
      <c r="S99" s="43" t="s">
        <v>399</v>
      </c>
      <c r="T99" s="116" t="s">
        <v>399</v>
      </c>
      <c r="U99" s="149" t="s">
        <v>399</v>
      </c>
      <c r="V99" s="69" t="s">
        <v>399</v>
      </c>
      <c r="W99" s="54">
        <v>45814</v>
      </c>
      <c r="X99" s="69" t="s">
        <v>1908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399</v>
      </c>
      <c r="O100" s="168">
        <v>45691</v>
      </c>
      <c r="P100" s="30" t="s">
        <v>399</v>
      </c>
      <c r="Q100" s="43" t="s">
        <v>399</v>
      </c>
      <c r="R100" s="43" t="s">
        <v>1905</v>
      </c>
      <c r="S100" s="43" t="s">
        <v>399</v>
      </c>
      <c r="T100" s="43" t="s">
        <v>399</v>
      </c>
      <c r="U100" s="69" t="s">
        <v>399</v>
      </c>
      <c r="V100" s="158" t="s">
        <v>399</v>
      </c>
      <c r="W100" s="54">
        <v>45789</v>
      </c>
      <c r="X100" s="69" t="s">
        <v>86</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6"/>
      <c r="F101" s="746"/>
      <c r="G101" s="746"/>
      <c r="H101" s="191">
        <v>84</v>
      </c>
      <c r="I101" s="184"/>
      <c r="J101" s="191" t="s">
        <v>57</v>
      </c>
      <c r="K101" s="191" t="s">
        <v>57</v>
      </c>
      <c r="L101" s="191" t="s">
        <v>63</v>
      </c>
      <c r="M101" s="197">
        <v>45698</v>
      </c>
      <c r="N101" s="30" t="s">
        <v>399</v>
      </c>
      <c r="O101" s="54">
        <v>45695</v>
      </c>
      <c r="P101" s="30" t="s">
        <v>399</v>
      </c>
      <c r="Q101" s="43" t="s">
        <v>399</v>
      </c>
      <c r="R101" s="43" t="s">
        <v>1905</v>
      </c>
      <c r="S101" s="43" t="s">
        <v>399</v>
      </c>
      <c r="T101" s="43" t="s">
        <v>399</v>
      </c>
      <c r="U101" s="69" t="s">
        <v>86</v>
      </c>
      <c r="V101" s="205" t="s">
        <v>86</v>
      </c>
      <c r="W101" s="54">
        <v>45810</v>
      </c>
      <c r="X101" s="69" t="s">
        <v>86</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399</v>
      </c>
      <c r="N102" s="30" t="s">
        <v>399</v>
      </c>
      <c r="O102" s="54">
        <v>45699</v>
      </c>
      <c r="P102" s="87" t="s">
        <v>399</v>
      </c>
      <c r="Q102" s="88" t="s">
        <v>399</v>
      </c>
      <c r="R102" s="43" t="s">
        <v>1905</v>
      </c>
      <c r="S102" s="43" t="s">
        <v>399</v>
      </c>
      <c r="T102" s="43" t="s">
        <v>399</v>
      </c>
      <c r="U102" s="43" t="s">
        <v>399</v>
      </c>
      <c r="V102" s="166" t="s">
        <v>399</v>
      </c>
      <c r="W102" s="54">
        <v>45835</v>
      </c>
      <c r="X102" s="69" t="s">
        <v>1908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399</v>
      </c>
      <c r="O103" s="54">
        <v>45675</v>
      </c>
      <c r="P103" s="87" t="s">
        <v>399</v>
      </c>
      <c r="Q103" s="43" t="s">
        <v>399</v>
      </c>
      <c r="R103" s="43" t="s">
        <v>1905</v>
      </c>
      <c r="S103" s="43" t="s">
        <v>399</v>
      </c>
      <c r="T103" s="43" t="s">
        <v>399</v>
      </c>
      <c r="U103" s="43" t="s">
        <v>399</v>
      </c>
      <c r="V103" s="140" t="s">
        <v>399</v>
      </c>
      <c r="W103" s="30"/>
      <c r="X103" s="69" t="s">
        <v>86</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1905</v>
      </c>
      <c r="S104" s="43" t="s">
        <v>399</v>
      </c>
      <c r="T104" s="43" t="s">
        <v>399</v>
      </c>
      <c r="U104" s="43" t="s">
        <v>399</v>
      </c>
      <c r="V104" s="140" t="s">
        <v>399</v>
      </c>
      <c r="W104" s="54">
        <v>45820</v>
      </c>
      <c r="X104" s="69" t="s">
        <v>1908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6"/>
      <c r="F105" s="746"/>
      <c r="G105" s="746"/>
      <c r="H105" s="188">
        <v>88</v>
      </c>
      <c r="I105" s="184"/>
      <c r="J105" s="191" t="s">
        <v>57</v>
      </c>
      <c r="K105" s="191" t="s">
        <v>57</v>
      </c>
      <c r="L105" s="191" t="s">
        <v>63</v>
      </c>
      <c r="M105" s="198">
        <v>45742</v>
      </c>
      <c r="N105" s="30" t="s">
        <v>399</v>
      </c>
      <c r="O105" s="54">
        <v>45743</v>
      </c>
      <c r="P105" s="87" t="s">
        <v>399</v>
      </c>
      <c r="Q105" s="158" t="s">
        <v>399</v>
      </c>
      <c r="R105" s="69" t="s">
        <v>1905</v>
      </c>
      <c r="S105" s="43" t="s">
        <v>399</v>
      </c>
      <c r="T105" s="43" t="s">
        <v>399</v>
      </c>
      <c r="U105" s="69" t="s">
        <v>86</v>
      </c>
      <c r="V105" s="166" t="s">
        <v>86</v>
      </c>
      <c r="W105" s="30"/>
      <c r="X105" s="69" t="s">
        <v>86</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6"/>
      <c r="F106" s="746"/>
      <c r="G106" s="746"/>
      <c r="H106" s="188">
        <v>88</v>
      </c>
      <c r="I106" s="184"/>
      <c r="J106" s="191" t="s">
        <v>57</v>
      </c>
      <c r="K106" s="191" t="s">
        <v>57</v>
      </c>
      <c r="L106" s="188" t="s">
        <v>63</v>
      </c>
      <c r="M106" s="198">
        <v>45706</v>
      </c>
      <c r="N106" s="30" t="s">
        <v>399</v>
      </c>
      <c r="O106" s="54">
        <v>45679</v>
      </c>
      <c r="P106" s="87" t="s">
        <v>399</v>
      </c>
      <c r="Q106" s="43" t="s">
        <v>399</v>
      </c>
      <c r="R106" s="43" t="s">
        <v>1905</v>
      </c>
      <c r="S106" s="43" t="s">
        <v>399</v>
      </c>
      <c r="T106" s="43" t="s">
        <v>399</v>
      </c>
      <c r="U106" s="43" t="s">
        <v>399</v>
      </c>
      <c r="V106" s="166" t="s">
        <v>86</v>
      </c>
      <c r="W106" s="54">
        <v>45820</v>
      </c>
      <c r="X106" s="69" t="s">
        <v>86</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1905</v>
      </c>
      <c r="S107" s="43" t="s">
        <v>399</v>
      </c>
      <c r="T107" s="43" t="s">
        <v>399</v>
      </c>
      <c r="U107" s="43" t="s">
        <v>399</v>
      </c>
      <c r="V107" s="166" t="s">
        <v>86</v>
      </c>
      <c r="W107" s="30"/>
      <c r="X107" s="69" t="s">
        <v>86</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1905</v>
      </c>
      <c r="S108" s="43" t="s">
        <v>399</v>
      </c>
      <c r="T108" s="43" t="s">
        <v>399</v>
      </c>
      <c r="U108" s="88" t="s">
        <v>399</v>
      </c>
      <c r="V108" s="494" t="s">
        <v>399</v>
      </c>
      <c r="W108" s="367">
        <v>45798</v>
      </c>
      <c r="X108" s="69" t="s">
        <v>1908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5" t="s">
        <v>605</v>
      </c>
      <c r="E109"/>
      <c r="F109"/>
      <c r="G109"/>
      <c r="H109" s="188">
        <v>57</v>
      </c>
      <c r="I109" s="184"/>
      <c r="J109" s="182" t="s">
        <v>57</v>
      </c>
      <c r="K109" s="182" t="s">
        <v>57</v>
      </c>
      <c r="L109" s="182" t="s">
        <v>63</v>
      </c>
      <c r="M109" s="198">
        <v>45741</v>
      </c>
      <c r="N109" s="30" t="s">
        <v>399</v>
      </c>
      <c r="O109" s="54">
        <v>45744</v>
      </c>
      <c r="P109" s="79" t="s">
        <v>399</v>
      </c>
      <c r="Q109" s="43" t="s">
        <v>399</v>
      </c>
      <c r="R109" s="345" t="s">
        <v>1905</v>
      </c>
      <c r="S109" s="43" t="s">
        <v>399</v>
      </c>
      <c r="T109" s="43" t="s">
        <v>399</v>
      </c>
      <c r="U109" s="43" t="s">
        <v>1911</v>
      </c>
      <c r="V109" s="176" t="s">
        <v>86</v>
      </c>
      <c r="W109" s="509">
        <v>45804</v>
      </c>
      <c r="X109" s="69" t="s">
        <v>86</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399</v>
      </c>
      <c r="O110" s="54">
        <v>45691</v>
      </c>
      <c r="P110" s="79" t="s">
        <v>399</v>
      </c>
      <c r="Q110" s="43" t="s">
        <v>399</v>
      </c>
      <c r="R110" s="345" t="s">
        <v>1905</v>
      </c>
      <c r="S110" s="43" t="s">
        <v>399</v>
      </c>
      <c r="T110" s="43" t="s">
        <v>399</v>
      </c>
      <c r="U110" s="88" t="s">
        <v>399</v>
      </c>
      <c r="V110" s="494" t="s">
        <v>399</v>
      </c>
      <c r="W110" s="367">
        <v>45902</v>
      </c>
      <c r="X110" s="69" t="s">
        <v>1908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399</v>
      </c>
      <c r="O111" s="54">
        <v>45708</v>
      </c>
      <c r="P111" s="30" t="s">
        <v>399</v>
      </c>
      <c r="Q111" s="171" t="s">
        <v>399</v>
      </c>
      <c r="R111" s="69" t="s">
        <v>1905</v>
      </c>
      <c r="S111" s="43" t="s">
        <v>399</v>
      </c>
      <c r="T111" s="43" t="s">
        <v>399</v>
      </c>
      <c r="U111" s="43" t="s">
        <v>399</v>
      </c>
      <c r="V111" s="204" t="s">
        <v>399</v>
      </c>
      <c r="W111" s="168">
        <v>45790</v>
      </c>
      <c r="X111" s="69" t="s">
        <v>1908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1905</v>
      </c>
      <c r="S112" s="43" t="s">
        <v>399</v>
      </c>
      <c r="T112" s="43" t="s">
        <v>399</v>
      </c>
      <c r="U112" s="43" t="s">
        <v>399</v>
      </c>
      <c r="V112" s="204" t="s">
        <v>399</v>
      </c>
      <c r="W112" s="492">
        <v>45791</v>
      </c>
      <c r="X112" s="69" t="s">
        <v>1908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399</v>
      </c>
      <c r="O113" s="168">
        <v>45755</v>
      </c>
      <c r="P113" s="115" t="s">
        <v>399</v>
      </c>
      <c r="Q113" s="116" t="s">
        <v>399</v>
      </c>
      <c r="R113" s="149" t="s">
        <v>1905</v>
      </c>
      <c r="S113" s="116" t="s">
        <v>399</v>
      </c>
      <c r="T113" s="43" t="s">
        <v>399</v>
      </c>
      <c r="U113" s="43" t="s">
        <v>399</v>
      </c>
      <c r="V113" s="204" t="s">
        <v>399</v>
      </c>
      <c r="W113" s="492">
        <v>45791</v>
      </c>
      <c r="X113" s="149" t="s">
        <v>1908</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1905</v>
      </c>
      <c r="S114" s="116" t="s">
        <v>399</v>
      </c>
      <c r="T114" s="43" t="s">
        <v>399</v>
      </c>
      <c r="U114" s="158" t="s">
        <v>399</v>
      </c>
      <c r="V114" s="204" t="s">
        <v>399</v>
      </c>
      <c r="W114" s="54">
        <v>45798</v>
      </c>
      <c r="X114" s="69" t="s">
        <v>1908</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399</v>
      </c>
      <c r="O115" s="125">
        <v>45757</v>
      </c>
      <c r="P115" s="30" t="s">
        <v>399</v>
      </c>
      <c r="Q115" s="43" t="s">
        <v>399</v>
      </c>
      <c r="R115" s="69" t="s">
        <v>1905</v>
      </c>
      <c r="S115" s="43" t="s">
        <v>399</v>
      </c>
      <c r="T115" s="43" t="s">
        <v>399</v>
      </c>
      <c r="U115" s="43" t="s">
        <v>399</v>
      </c>
      <c r="V115" s="88" t="s">
        <v>399</v>
      </c>
      <c r="W115" s="54">
        <v>45814</v>
      </c>
      <c r="X115" s="69" t="s">
        <v>1908</v>
      </c>
    </row>
    <row r="116" spans="1:25">
      <c r="A116" s="181" t="s">
        <v>753</v>
      </c>
      <c r="B116" s="185" t="s">
        <v>50</v>
      </c>
      <c r="C116" s="318">
        <v>45772</v>
      </c>
      <c r="D116" s="735" t="s">
        <v>755</v>
      </c>
      <c r="H116" s="182">
        <v>50</v>
      </c>
      <c r="I116" s="184"/>
      <c r="J116" s="182" t="s">
        <v>57</v>
      </c>
      <c r="K116" s="433" t="s">
        <v>57</v>
      </c>
      <c r="L116" s="182" t="s">
        <v>63</v>
      </c>
      <c r="M116" s="196">
        <v>45757</v>
      </c>
      <c r="N116" s="30" t="s">
        <v>399</v>
      </c>
      <c r="O116" s="125">
        <v>45757</v>
      </c>
      <c r="P116" s="30" t="s">
        <v>399</v>
      </c>
      <c r="Q116" s="43" t="s">
        <v>399</v>
      </c>
      <c r="R116" s="69" t="s">
        <v>1905</v>
      </c>
      <c r="S116" s="43" t="s">
        <v>399</v>
      </c>
      <c r="T116" s="43" t="s">
        <v>399</v>
      </c>
      <c r="U116" s="43" t="s">
        <v>399</v>
      </c>
      <c r="V116" s="494" t="s">
        <v>399</v>
      </c>
      <c r="W116" s="54">
        <v>45807</v>
      </c>
      <c r="X116" s="69" t="s">
        <v>1908</v>
      </c>
    </row>
    <row r="117" spans="1:25">
      <c r="A117" s="181" t="s">
        <v>757</v>
      </c>
      <c r="B117" s="185" t="s">
        <v>50</v>
      </c>
      <c r="C117" s="318">
        <v>45772</v>
      </c>
      <c r="D117" s="534" t="s">
        <v>758</v>
      </c>
      <c r="H117" s="182">
        <v>76</v>
      </c>
      <c r="I117" s="184"/>
      <c r="J117" s="182" t="s">
        <v>57</v>
      </c>
      <c r="K117" s="433" t="s">
        <v>57</v>
      </c>
      <c r="L117" s="182" t="s">
        <v>63</v>
      </c>
      <c r="M117" s="196">
        <v>45757</v>
      </c>
      <c r="N117" s="87" t="s">
        <v>399</v>
      </c>
      <c r="O117" s="125">
        <v>45757</v>
      </c>
      <c r="P117" s="30" t="s">
        <v>399</v>
      </c>
      <c r="Q117" s="43" t="s">
        <v>399</v>
      </c>
      <c r="R117" s="69" t="s">
        <v>1905</v>
      </c>
      <c r="S117" s="43" t="s">
        <v>399</v>
      </c>
      <c r="T117" s="43" t="s">
        <v>399</v>
      </c>
      <c r="U117" s="43" t="s">
        <v>399</v>
      </c>
      <c r="V117" s="88" t="s">
        <v>399</v>
      </c>
      <c r="W117" s="54">
        <v>45811</v>
      </c>
      <c r="X117" s="69" t="s">
        <v>1908</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1905</v>
      </c>
      <c r="S118" s="43" t="s">
        <v>399</v>
      </c>
      <c r="T118" s="43" t="s">
        <v>399</v>
      </c>
      <c r="U118" s="158" t="s">
        <v>399</v>
      </c>
      <c r="V118" s="88" t="s">
        <v>399</v>
      </c>
      <c r="W118" s="54">
        <v>45810</v>
      </c>
      <c r="X118" s="69" t="s">
        <v>1908</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1905</v>
      </c>
      <c r="S119" s="43" t="s">
        <v>399</v>
      </c>
      <c r="T119" s="43" t="s">
        <v>399</v>
      </c>
      <c r="U119" s="158" t="s">
        <v>399</v>
      </c>
      <c r="V119" s="88" t="s">
        <v>399</v>
      </c>
      <c r="W119" s="54">
        <v>45813</v>
      </c>
      <c r="X119" s="69" t="s">
        <v>1908</v>
      </c>
    </row>
    <row r="120" spans="1:25">
      <c r="A120" s="181" t="s">
        <v>765</v>
      </c>
      <c r="B120" s="185" t="s">
        <v>50</v>
      </c>
      <c r="C120" s="318">
        <v>45772</v>
      </c>
      <c r="D120" s="535" t="s">
        <v>766</v>
      </c>
      <c r="H120" s="188">
        <v>84</v>
      </c>
      <c r="I120" s="184"/>
      <c r="J120" s="182" t="s">
        <v>57</v>
      </c>
      <c r="K120" s="433" t="s">
        <v>57</v>
      </c>
      <c r="L120" s="182" t="s">
        <v>63</v>
      </c>
      <c r="M120" s="198">
        <v>45741</v>
      </c>
      <c r="N120" s="30" t="s">
        <v>399</v>
      </c>
      <c r="O120" s="54">
        <v>45748</v>
      </c>
      <c r="P120" s="30" t="s">
        <v>399</v>
      </c>
      <c r="Q120" s="43" t="s">
        <v>399</v>
      </c>
      <c r="R120" s="69" t="s">
        <v>1905</v>
      </c>
      <c r="S120" s="43" t="s">
        <v>399</v>
      </c>
      <c r="T120" s="43" t="s">
        <v>399</v>
      </c>
      <c r="U120" s="43" t="s">
        <v>399</v>
      </c>
      <c r="V120" s="88" t="s">
        <v>399</v>
      </c>
      <c r="W120" s="54">
        <v>45811</v>
      </c>
      <c r="X120" s="69" t="s">
        <v>1908</v>
      </c>
    </row>
    <row r="121" spans="1:25">
      <c r="A121" s="377" t="s">
        <v>823</v>
      </c>
      <c r="B121" s="707" t="s">
        <v>50</v>
      </c>
      <c r="C121" s="708">
        <v>45772</v>
      </c>
      <c r="D121" s="374" t="s">
        <v>824</v>
      </c>
      <c r="H121" s="352">
        <v>87</v>
      </c>
      <c r="I121" s="350"/>
      <c r="J121" s="374" t="s">
        <v>57</v>
      </c>
      <c r="K121" s="728" t="s">
        <v>57</v>
      </c>
      <c r="L121" s="182" t="s">
        <v>63</v>
      </c>
      <c r="M121" s="196">
        <v>45757</v>
      </c>
      <c r="N121" s="30" t="s">
        <v>399</v>
      </c>
      <c r="O121" s="125">
        <v>45757</v>
      </c>
      <c r="P121" s="30" t="s">
        <v>399</v>
      </c>
      <c r="Q121" s="69" t="s">
        <v>399</v>
      </c>
      <c r="R121" s="69" t="s">
        <v>1905</v>
      </c>
      <c r="S121" s="43" t="s">
        <v>399</v>
      </c>
      <c r="T121" s="43" t="s">
        <v>399</v>
      </c>
      <c r="U121" s="43" t="s">
        <v>399</v>
      </c>
      <c r="V121" s="69" t="s">
        <v>86</v>
      </c>
      <c r="W121" s="54">
        <v>45838</v>
      </c>
      <c r="X121" s="69" t="s">
        <v>86</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1905</v>
      </c>
      <c r="S122" s="43" t="s">
        <v>399</v>
      </c>
      <c r="T122" s="43" t="s">
        <v>399</v>
      </c>
      <c r="U122" s="158" t="s">
        <v>399</v>
      </c>
      <c r="V122" s="158" t="s">
        <v>399</v>
      </c>
      <c r="W122" s="54">
        <v>45789</v>
      </c>
      <c r="X122" s="69" t="s">
        <v>1908</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399</v>
      </c>
      <c r="O123" s="54">
        <v>45744</v>
      </c>
      <c r="P123" s="30" t="s">
        <v>399</v>
      </c>
      <c r="Q123" s="43" t="s">
        <v>399</v>
      </c>
      <c r="R123" s="69" t="s">
        <v>1905</v>
      </c>
      <c r="S123" s="43" t="s">
        <v>399</v>
      </c>
      <c r="T123" s="43" t="s">
        <v>399</v>
      </c>
      <c r="U123" s="43" t="s">
        <v>399</v>
      </c>
      <c r="V123" s="69" t="s">
        <v>399</v>
      </c>
      <c r="W123" s="54">
        <v>45811</v>
      </c>
      <c r="X123" s="69" t="s">
        <v>1908</v>
      </c>
      <c r="Y123" t="e">
        <f>VLOOKUP(A123,#REF!,2,FALSE)</f>
        <v>#REF!</v>
      </c>
    </row>
    <row r="124" spans="1:25">
      <c r="A124" s="181" t="s">
        <v>948</v>
      </c>
      <c r="B124" s="185" t="s">
        <v>50</v>
      </c>
      <c r="C124" s="179">
        <v>45772</v>
      </c>
      <c r="D124" s="550"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1905</v>
      </c>
      <c r="S124" s="43" t="s">
        <v>399</v>
      </c>
      <c r="T124" s="43" t="s">
        <v>399</v>
      </c>
      <c r="U124" s="43" t="s">
        <v>1911</v>
      </c>
      <c r="V124" s="69" t="s">
        <v>86</v>
      </c>
      <c r="W124" s="54">
        <v>45832</v>
      </c>
      <c r="X124" s="69" t="s">
        <v>86</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399</v>
      </c>
      <c r="N125" s="30" t="s">
        <v>399</v>
      </c>
      <c r="O125" s="54">
        <v>45679</v>
      </c>
      <c r="P125" s="30" t="s">
        <v>399</v>
      </c>
      <c r="Q125" s="69" t="s">
        <v>399</v>
      </c>
      <c r="R125" s="43" t="s">
        <v>1905</v>
      </c>
      <c r="S125" s="43" t="s">
        <v>399</v>
      </c>
      <c r="T125" s="43" t="s">
        <v>399</v>
      </c>
      <c r="U125" s="43" t="s">
        <v>399</v>
      </c>
      <c r="V125" s="43" t="s">
        <v>399</v>
      </c>
      <c r="W125" s="54">
        <v>45814</v>
      </c>
      <c r="X125" s="69" t="s">
        <v>1908</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1905</v>
      </c>
      <c r="S126" s="43" t="s">
        <v>399</v>
      </c>
      <c r="T126" s="43" t="s">
        <v>399</v>
      </c>
      <c r="U126" s="43" t="s">
        <v>399</v>
      </c>
      <c r="V126" s="88" t="s">
        <v>399</v>
      </c>
      <c r="W126" s="54">
        <v>45819</v>
      </c>
      <c r="X126" s="69" t="s">
        <v>1908</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399</v>
      </c>
      <c r="O127" s="54">
        <v>45679</v>
      </c>
      <c r="P127" s="30" t="s">
        <v>399</v>
      </c>
      <c r="Q127" s="43" t="s">
        <v>399</v>
      </c>
      <c r="R127" s="43" t="s">
        <v>1905</v>
      </c>
      <c r="S127" s="43" t="s">
        <v>399</v>
      </c>
      <c r="T127" s="43" t="s">
        <v>399</v>
      </c>
      <c r="U127" s="43" t="s">
        <v>399</v>
      </c>
      <c r="V127" s="88" t="s">
        <v>399</v>
      </c>
      <c r="W127" s="54">
        <v>45812</v>
      </c>
      <c r="X127" s="69" t="s">
        <v>1908</v>
      </c>
      <c r="Y127" t="e">
        <f>VLOOKUP(A127,#REF!,2,FALSE)</f>
        <v>#REF!</v>
      </c>
    </row>
    <row r="128" spans="1:25">
      <c r="A128" s="349" t="s">
        <v>951</v>
      </c>
      <c r="B128" s="185" t="s">
        <v>50</v>
      </c>
      <c r="C128" s="373">
        <v>45742</v>
      </c>
      <c r="D128" s="381" t="s">
        <v>952</v>
      </c>
      <c r="E128" s="381"/>
      <c r="F128" s="381"/>
      <c r="G128" s="381"/>
      <c r="H128" s="352">
        <v>82</v>
      </c>
      <c r="I128" s="350"/>
      <c r="J128" s="191" t="s">
        <v>57</v>
      </c>
      <c r="K128" s="726" t="s">
        <v>57</v>
      </c>
      <c r="L128" s="188" t="s">
        <v>63</v>
      </c>
      <c r="M128" s="199">
        <v>45698</v>
      </c>
      <c r="N128" s="30" t="s">
        <v>399</v>
      </c>
      <c r="O128" s="358">
        <v>45694</v>
      </c>
      <c r="P128" s="87" t="s">
        <v>399</v>
      </c>
      <c r="Q128" s="43" t="s">
        <v>399</v>
      </c>
      <c r="R128" s="43" t="s">
        <v>1905</v>
      </c>
      <c r="S128" s="43" t="s">
        <v>399</v>
      </c>
      <c r="T128" s="43" t="s">
        <v>399</v>
      </c>
      <c r="U128" s="43" t="s">
        <v>399</v>
      </c>
      <c r="V128" s="88" t="s">
        <v>399</v>
      </c>
      <c r="W128" s="168">
        <v>45883</v>
      </c>
      <c r="X128" s="69" t="s">
        <v>1908</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1905</v>
      </c>
      <c r="S129" s="43" t="s">
        <v>399</v>
      </c>
      <c r="T129" s="116" t="s">
        <v>399</v>
      </c>
      <c r="U129" s="116" t="s">
        <v>399</v>
      </c>
      <c r="V129" s="88" t="s">
        <v>399</v>
      </c>
      <c r="W129" s="168">
        <v>45814</v>
      </c>
      <c r="X129" s="69" t="s">
        <v>1908</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399</v>
      </c>
      <c r="O130" s="54">
        <v>45698</v>
      </c>
      <c r="P130" s="30" t="s">
        <v>399</v>
      </c>
      <c r="Q130" s="69" t="s">
        <v>399</v>
      </c>
      <c r="R130" s="43" t="s">
        <v>1905</v>
      </c>
      <c r="S130" s="43" t="s">
        <v>399</v>
      </c>
      <c r="T130" s="43" t="s">
        <v>399</v>
      </c>
      <c r="U130" s="43" t="s">
        <v>399</v>
      </c>
      <c r="V130" s="88" t="s">
        <v>399</v>
      </c>
      <c r="W130" s="54">
        <v>45798</v>
      </c>
      <c r="X130" s="69" t="s">
        <v>1908</v>
      </c>
      <c r="Y130" t="e">
        <f>VLOOKUP(A130,#REF!,2,FALSE)</f>
        <v>#REF!</v>
      </c>
    </row>
    <row r="131" spans="1:25">
      <c r="A131" s="369" t="s">
        <v>983</v>
      </c>
      <c r="B131" s="419" t="s">
        <v>50</v>
      </c>
      <c r="C131" s="378">
        <v>45742</v>
      </c>
      <c r="D131" s="370" t="s">
        <v>984</v>
      </c>
      <c r="E131" s="370"/>
      <c r="F131" s="370"/>
      <c r="G131" s="370"/>
      <c r="H131" s="372">
        <v>82</v>
      </c>
      <c r="I131" s="371"/>
      <c r="J131" s="555" t="s">
        <v>57</v>
      </c>
      <c r="K131" s="555" t="s">
        <v>57</v>
      </c>
      <c r="L131" s="372" t="s">
        <v>63</v>
      </c>
      <c r="M131" s="49" t="s">
        <v>399</v>
      </c>
      <c r="N131" s="49" t="s">
        <v>399</v>
      </c>
      <c r="O131" s="30" t="s">
        <v>399</v>
      </c>
      <c r="P131" s="30" t="s">
        <v>399</v>
      </c>
      <c r="Q131" s="43" t="s">
        <v>399</v>
      </c>
      <c r="R131" s="43" t="s">
        <v>1905</v>
      </c>
      <c r="S131" s="43" t="s">
        <v>399</v>
      </c>
      <c r="T131" s="158" t="s">
        <v>399</v>
      </c>
      <c r="U131" s="158" t="s">
        <v>399</v>
      </c>
      <c r="V131" s="88" t="s">
        <v>399</v>
      </c>
      <c r="W131" s="30"/>
      <c r="X131" s="69" t="s">
        <v>86</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399</v>
      </c>
      <c r="O132" s="54">
        <v>45691</v>
      </c>
      <c r="P132" s="87" t="s">
        <v>399</v>
      </c>
      <c r="Q132" s="43" t="s">
        <v>399</v>
      </c>
      <c r="R132" s="43" t="s">
        <v>1905</v>
      </c>
      <c r="S132" s="43" t="s">
        <v>399</v>
      </c>
      <c r="T132" s="43" t="s">
        <v>399</v>
      </c>
      <c r="U132" s="43" t="s">
        <v>399</v>
      </c>
      <c r="V132" s="43" t="s">
        <v>399</v>
      </c>
      <c r="W132" s="54">
        <v>45820</v>
      </c>
      <c r="X132" s="69" t="s">
        <v>1908</v>
      </c>
      <c r="Y132" t="e">
        <f>VLOOKUP(A132,#REF!,2,FALSE)</f>
        <v>#REF!</v>
      </c>
    </row>
    <row r="133" spans="1:25" ht="15" customHeight="1">
      <c r="A133" s="369" t="s">
        <v>784</v>
      </c>
      <c r="B133" s="419" t="s">
        <v>50</v>
      </c>
      <c r="C133" s="378">
        <v>45742</v>
      </c>
      <c r="D133" s="432" t="s">
        <v>1912</v>
      </c>
      <c r="E133" s="372"/>
      <c r="F133" s="372"/>
      <c r="G133" s="372"/>
      <c r="H133" s="372">
        <v>38</v>
      </c>
      <c r="I133" s="371"/>
      <c r="J133" s="372" t="s">
        <v>57</v>
      </c>
      <c r="K133" s="372" t="s">
        <v>57</v>
      </c>
      <c r="L133" s="372" t="s">
        <v>63</v>
      </c>
      <c r="M133" s="49" t="s">
        <v>399</v>
      </c>
      <c r="N133" s="49" t="s">
        <v>399</v>
      </c>
      <c r="O133" s="54">
        <v>45701</v>
      </c>
      <c r="P133" s="30" t="s">
        <v>399</v>
      </c>
      <c r="Q133" s="69" t="s">
        <v>399</v>
      </c>
      <c r="R133" s="43" t="s">
        <v>1905</v>
      </c>
      <c r="S133" s="43" t="s">
        <v>399</v>
      </c>
      <c r="T133" s="43" t="s">
        <v>399</v>
      </c>
      <c r="U133" s="43" t="s">
        <v>399</v>
      </c>
      <c r="V133" s="69" t="s">
        <v>399</v>
      </c>
      <c r="W133" s="54">
        <v>45821</v>
      </c>
      <c r="X133" s="69" t="s">
        <v>1908</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399</v>
      </c>
      <c r="O134" s="54">
        <v>45709</v>
      </c>
      <c r="P134" s="30" t="s">
        <v>399</v>
      </c>
      <c r="Q134" s="43" t="s">
        <v>399</v>
      </c>
      <c r="R134" s="43" t="s">
        <v>1905</v>
      </c>
      <c r="S134" s="43" t="s">
        <v>399</v>
      </c>
      <c r="T134" s="43" t="s">
        <v>399</v>
      </c>
      <c r="U134" s="69" t="s">
        <v>86</v>
      </c>
      <c r="V134" s="69" t="s">
        <v>86</v>
      </c>
      <c r="W134" s="54">
        <v>45825</v>
      </c>
      <c r="X134" s="69" t="s">
        <v>86</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1905</v>
      </c>
      <c r="S135" s="43" t="s">
        <v>399</v>
      </c>
      <c r="T135" s="43" t="s">
        <v>399</v>
      </c>
      <c r="U135" s="158" t="s">
        <v>399</v>
      </c>
      <c r="V135" s="43" t="s">
        <v>399</v>
      </c>
      <c r="W135" s="54">
        <v>45819</v>
      </c>
      <c r="X135" s="69" t="s">
        <v>1908</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399</v>
      </c>
      <c r="O136" s="54">
        <v>45691</v>
      </c>
      <c r="P136" s="30" t="s">
        <v>399</v>
      </c>
      <c r="Q136" s="43" t="s">
        <v>399</v>
      </c>
      <c r="R136" s="43" t="s">
        <v>1905</v>
      </c>
      <c r="S136" s="43" t="s">
        <v>399</v>
      </c>
      <c r="T136" s="43" t="s">
        <v>399</v>
      </c>
      <c r="U136" s="43" t="s">
        <v>399</v>
      </c>
      <c r="V136" s="43" t="s">
        <v>399</v>
      </c>
      <c r="W136" s="54">
        <v>45791</v>
      </c>
      <c r="X136" s="69" t="s">
        <v>1908</v>
      </c>
      <c r="Y136" t="e">
        <f>VLOOKUP(A136,#REF!,2,FALSE)</f>
        <v>#REF!</v>
      </c>
    </row>
    <row r="137" spans="1:25" ht="15" customHeight="1">
      <c r="A137" s="369" t="s">
        <v>986</v>
      </c>
      <c r="B137" s="419" t="s">
        <v>50</v>
      </c>
      <c r="C137" s="421">
        <v>45742</v>
      </c>
      <c r="D137" s="423" t="s">
        <v>987</v>
      </c>
      <c r="E137" s="537"/>
      <c r="F137" s="372"/>
      <c r="G137" s="372"/>
      <c r="H137" s="372">
        <v>84</v>
      </c>
      <c r="I137" s="371"/>
      <c r="J137" s="372" t="s">
        <v>57</v>
      </c>
      <c r="K137" s="372" t="s">
        <v>57</v>
      </c>
      <c r="L137" s="372" t="s">
        <v>63</v>
      </c>
      <c r="M137" s="198">
        <v>45715</v>
      </c>
      <c r="N137" s="49" t="s">
        <v>399</v>
      </c>
      <c r="O137" s="30" t="s">
        <v>399</v>
      </c>
      <c r="P137" s="49" t="s">
        <v>399</v>
      </c>
      <c r="Q137" s="69" t="s">
        <v>399</v>
      </c>
      <c r="R137" s="43" t="s">
        <v>1905</v>
      </c>
      <c r="S137" s="43" t="s">
        <v>399</v>
      </c>
      <c r="T137" s="43" t="s">
        <v>399</v>
      </c>
      <c r="U137" s="158" t="s">
        <v>399</v>
      </c>
      <c r="V137" s="69" t="s">
        <v>86</v>
      </c>
      <c r="W137" s="30"/>
      <c r="X137" s="69" t="s">
        <v>86</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399</v>
      </c>
      <c r="O138" s="125">
        <v>45707</v>
      </c>
      <c r="P138" s="30" t="s">
        <v>399</v>
      </c>
      <c r="Q138" s="43" t="s">
        <v>399</v>
      </c>
      <c r="R138" s="43" t="s">
        <v>1905</v>
      </c>
      <c r="S138" s="43" t="s">
        <v>399</v>
      </c>
      <c r="T138" s="43" t="s">
        <v>399</v>
      </c>
      <c r="U138" s="43" t="s">
        <v>399</v>
      </c>
      <c r="V138" s="43" t="s">
        <v>399</v>
      </c>
      <c r="W138" s="54">
        <v>45790</v>
      </c>
      <c r="X138" s="69" t="s">
        <v>1908</v>
      </c>
      <c r="Y138" t="e">
        <f>VLOOKUP(A138,#REF!,2,FALSE)</f>
        <v>#REF!</v>
      </c>
    </row>
    <row r="139" spans="1:25" ht="15" customHeight="1">
      <c r="A139" s="369" t="s">
        <v>1913</v>
      </c>
      <c r="B139" s="185" t="s">
        <v>50</v>
      </c>
      <c r="C139" s="421">
        <v>45742</v>
      </c>
      <c r="D139" s="372" t="s">
        <v>1914</v>
      </c>
      <c r="E139" s="537"/>
      <c r="F139" s="372"/>
      <c r="G139" s="372"/>
      <c r="H139" s="372">
        <v>87</v>
      </c>
      <c r="I139" s="371"/>
      <c r="J139" s="372" t="s">
        <v>57</v>
      </c>
      <c r="K139" s="372" t="s">
        <v>57</v>
      </c>
      <c r="L139" s="372" t="s">
        <v>63</v>
      </c>
      <c r="M139" s="49" t="s">
        <v>399</v>
      </c>
      <c r="N139" s="30" t="s">
        <v>399</v>
      </c>
      <c r="O139" s="30" t="s">
        <v>399</v>
      </c>
      <c r="P139" s="30" t="s">
        <v>399</v>
      </c>
      <c r="Q139" s="43" t="s">
        <v>399</v>
      </c>
      <c r="R139" s="43" t="s">
        <v>1905</v>
      </c>
      <c r="S139" s="43" t="s">
        <v>399</v>
      </c>
      <c r="T139" s="43" t="s">
        <v>399</v>
      </c>
      <c r="U139" s="158" t="s">
        <v>399</v>
      </c>
      <c r="V139" s="69" t="s">
        <v>86</v>
      </c>
      <c r="W139" s="30"/>
      <c r="X139" s="69" t="s">
        <v>86</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1905</v>
      </c>
      <c r="S140" s="43" t="s">
        <v>399</v>
      </c>
      <c r="T140" s="43" t="s">
        <v>399</v>
      </c>
      <c r="U140" s="88" t="s">
        <v>399</v>
      </c>
      <c r="V140" s="69" t="s">
        <v>399</v>
      </c>
      <c r="W140" s="54">
        <v>45819</v>
      </c>
      <c r="X140" s="69" t="s">
        <v>1908</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1905</v>
      </c>
      <c r="S141" s="43" t="s">
        <v>399</v>
      </c>
      <c r="T141" s="43" t="s">
        <v>399</v>
      </c>
      <c r="U141" s="88" t="s">
        <v>399</v>
      </c>
      <c r="V141" s="88" t="s">
        <v>399</v>
      </c>
      <c r="W141" s="54">
        <v>45811</v>
      </c>
      <c r="X141" s="69" t="s">
        <v>1908</v>
      </c>
      <c r="Y141" t="e">
        <f>VLOOKUP(A141,#REF!,2,FALSE)</f>
        <v>#REF!</v>
      </c>
    </row>
    <row r="142" spans="1:25" ht="15" customHeight="1">
      <c r="A142" s="369" t="s">
        <v>1915</v>
      </c>
      <c r="B142" s="419" t="s">
        <v>50</v>
      </c>
      <c r="C142" s="421">
        <v>45742</v>
      </c>
      <c r="D142" s="372" t="s">
        <v>1916</v>
      </c>
      <c r="E142" s="537"/>
      <c r="F142" s="372"/>
      <c r="G142" s="372"/>
      <c r="H142" s="372">
        <v>87</v>
      </c>
      <c r="I142" s="371"/>
      <c r="J142" s="372" t="s">
        <v>57</v>
      </c>
      <c r="K142" s="372" t="s">
        <v>57</v>
      </c>
      <c r="L142" s="372" t="s">
        <v>63</v>
      </c>
      <c r="M142" s="49" t="s">
        <v>399</v>
      </c>
      <c r="N142" s="49" t="s">
        <v>399</v>
      </c>
      <c r="O142" s="198">
        <v>45691</v>
      </c>
      <c r="P142" s="30" t="s">
        <v>399</v>
      </c>
      <c r="Q142" s="69" t="s">
        <v>399</v>
      </c>
      <c r="R142" s="43" t="s">
        <v>1905</v>
      </c>
      <c r="S142" s="43" t="s">
        <v>399</v>
      </c>
      <c r="T142" s="43" t="s">
        <v>399</v>
      </c>
      <c r="U142" s="158" t="s">
        <v>399</v>
      </c>
      <c r="V142" s="69" t="s">
        <v>86</v>
      </c>
      <c r="W142" s="30"/>
      <c r="X142" s="69" t="s">
        <v>86</v>
      </c>
      <c r="Y142" t="e">
        <f>VLOOKUP(A142,#REF!,2,FALSE)</f>
        <v>#REF!</v>
      </c>
    </row>
    <row r="143" spans="1:25" ht="15" customHeight="1">
      <c r="A143" s="369" t="s">
        <v>607</v>
      </c>
      <c r="B143" s="419" t="s">
        <v>50</v>
      </c>
      <c r="C143" s="742">
        <v>45688</v>
      </c>
      <c r="D143" s="536" t="s">
        <v>609</v>
      </c>
      <c r="E143" s="536"/>
      <c r="F143" s="536"/>
      <c r="G143" s="536"/>
      <c r="H143" s="432">
        <v>79</v>
      </c>
      <c r="I143" s="371"/>
      <c r="J143" s="555" t="s">
        <v>57</v>
      </c>
      <c r="K143" s="555" t="s">
        <v>57</v>
      </c>
      <c r="L143" s="372" t="s">
        <v>63</v>
      </c>
      <c r="M143" s="49" t="s">
        <v>399</v>
      </c>
      <c r="N143" s="49" t="s">
        <v>399</v>
      </c>
      <c r="O143" s="198">
        <v>45675</v>
      </c>
      <c r="P143" s="30" t="s">
        <v>399</v>
      </c>
      <c r="Q143" s="69" t="s">
        <v>399</v>
      </c>
      <c r="R143" s="43" t="s">
        <v>1905</v>
      </c>
      <c r="S143" s="43" t="s">
        <v>399</v>
      </c>
      <c r="T143" s="43" t="s">
        <v>399</v>
      </c>
      <c r="U143" s="158" t="s">
        <v>399</v>
      </c>
      <c r="V143" s="69" t="s">
        <v>86</v>
      </c>
      <c r="W143" s="30"/>
      <c r="X143" s="69" t="s">
        <v>86</v>
      </c>
      <c r="Y143" t="e">
        <f>VLOOKUP(A143,#REF!,2,FALSE)</f>
        <v>#REF!</v>
      </c>
    </row>
    <row r="144" spans="1:25" ht="15" customHeight="1">
      <c r="A144" s="434" t="s">
        <v>1024</v>
      </c>
      <c r="B144" s="648" t="s">
        <v>50</v>
      </c>
      <c r="C144" s="548">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1908</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86</v>
      </c>
      <c r="V145" s="69" t="s">
        <v>86</v>
      </c>
      <c r="W145" s="30"/>
      <c r="X145" s="43"/>
    </row>
    <row r="146" spans="1:25" ht="15" customHeight="1">
      <c r="A146" s="376" t="s">
        <v>1878</v>
      </c>
      <c r="B146" s="419" t="s">
        <v>50</v>
      </c>
      <c r="C146" s="370">
        <v>45991</v>
      </c>
      <c r="D146" s="431" t="s">
        <v>1879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86</v>
      </c>
      <c r="Y146" t="e">
        <f>VLOOKUP(A146,#REF!,2,FALSE)</f>
        <v>#REF!</v>
      </c>
    </row>
    <row r="147" spans="1:25" ht="15" customHeight="1">
      <c r="A147" s="741" t="s">
        <v>1046</v>
      </c>
      <c r="B147" s="706" t="s">
        <v>50</v>
      </c>
      <c r="C147" s="595">
        <v>45991</v>
      </c>
      <c r="D147" s="423" t="s">
        <v>1881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86</v>
      </c>
      <c r="V147" s="69" t="s">
        <v>86</v>
      </c>
      <c r="W147" s="69"/>
      <c r="X147" s="43"/>
    </row>
    <row r="148" spans="1:25" ht="15" customHeight="1">
      <c r="A148" s="376" t="s">
        <v>506</v>
      </c>
      <c r="B148" s="419" t="s">
        <v>50</v>
      </c>
      <c r="C148" s="413">
        <v>45991</v>
      </c>
      <c r="D148" s="423" t="s">
        <v>508</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86</v>
      </c>
      <c r="V148" s="69" t="s">
        <v>86</v>
      </c>
      <c r="W148" s="30"/>
      <c r="X148" s="69" t="s">
        <v>86</v>
      </c>
      <c r="Y148" t="e">
        <f>VLOOKUP(A148,#REF!,2,FALSE)</f>
        <v>#REF!</v>
      </c>
    </row>
    <row r="149" spans="1:25" ht="15" customHeight="1">
      <c r="A149" s="376" t="s">
        <v>1917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1905</v>
      </c>
      <c r="S149" s="69" t="s">
        <v>64</v>
      </c>
      <c r="T149" s="69" t="s">
        <v>64</v>
      </c>
      <c r="U149" s="69" t="s">
        <v>86</v>
      </c>
      <c r="V149" s="69" t="s">
        <v>86</v>
      </c>
      <c r="W149" s="30"/>
      <c r="X149" s="69" t="s">
        <v>86</v>
      </c>
      <c r="Y149" t="e">
        <f>VLOOKUP(A149,#REF!,2,FALSE)</f>
        <v>#REF!</v>
      </c>
    </row>
    <row r="150" spans="1:25" ht="15" customHeight="1">
      <c r="A150" s="369" t="s">
        <v>1023</v>
      </c>
      <c r="B150" s="419" t="s">
        <v>50</v>
      </c>
      <c r="C150" s="413">
        <v>45991</v>
      </c>
      <c r="D150" s="718"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1905</v>
      </c>
      <c r="S150" s="43" t="s">
        <v>399</v>
      </c>
      <c r="T150" s="43" t="s">
        <v>399</v>
      </c>
      <c r="U150" s="69" t="s">
        <v>86</v>
      </c>
      <c r="V150" s="69" t="s">
        <v>86</v>
      </c>
      <c r="W150" s="30"/>
      <c r="X150" s="69" t="s">
        <v>86</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1905</v>
      </c>
      <c r="S151" s="43" t="s">
        <v>399</v>
      </c>
      <c r="T151" s="43" t="s">
        <v>399</v>
      </c>
      <c r="U151" s="69" t="s">
        <v>86</v>
      </c>
      <c r="V151" s="69" t="s">
        <v>86</v>
      </c>
      <c r="W151" s="54">
        <v>45818</v>
      </c>
      <c r="X151" s="69" t="s">
        <v>86</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86</v>
      </c>
      <c r="V152" s="69" t="s">
        <v>86</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1905</v>
      </c>
      <c r="S153" s="43" t="s">
        <v>399</v>
      </c>
      <c r="T153" s="158" t="s">
        <v>399</v>
      </c>
      <c r="U153" s="158" t="s">
        <v>399</v>
      </c>
      <c r="V153" s="43" t="s">
        <v>399</v>
      </c>
      <c r="W153" s="54">
        <v>45807</v>
      </c>
      <c r="X153" s="69" t="s">
        <v>1908</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399</v>
      </c>
      <c r="O154" s="358">
        <v>45696</v>
      </c>
      <c r="P154" s="30" t="s">
        <v>399</v>
      </c>
      <c r="Q154" s="69" t="s">
        <v>399</v>
      </c>
      <c r="R154" s="43" t="s">
        <v>1905</v>
      </c>
      <c r="S154" s="43" t="s">
        <v>399</v>
      </c>
      <c r="T154" s="158" t="s">
        <v>399</v>
      </c>
      <c r="U154" s="158" t="s">
        <v>399</v>
      </c>
      <c r="V154" s="43" t="s">
        <v>399</v>
      </c>
      <c r="W154" s="168">
        <v>45792</v>
      </c>
      <c r="X154" s="149" t="s">
        <v>1908</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399</v>
      </c>
      <c r="O155" s="54">
        <v>45699</v>
      </c>
      <c r="P155" s="49" t="s">
        <v>399</v>
      </c>
      <c r="Q155" s="69" t="s">
        <v>399</v>
      </c>
      <c r="R155" s="43" t="s">
        <v>1905</v>
      </c>
      <c r="S155" s="43" t="s">
        <v>399</v>
      </c>
      <c r="T155" s="43" t="s">
        <v>399</v>
      </c>
      <c r="U155" s="158" t="s">
        <v>399</v>
      </c>
      <c r="V155" s="43" t="s">
        <v>399</v>
      </c>
      <c r="W155" s="367">
        <v>45821</v>
      </c>
      <c r="X155" s="69" t="s">
        <v>1908</v>
      </c>
      <c r="Y155" t="e">
        <f>VLOOKUP(A155,#REF!,2,FALSE)</f>
        <v>#REF!</v>
      </c>
    </row>
    <row r="156" spans="1:25" ht="15" customHeight="1">
      <c r="A156" s="376" t="s">
        <v>955</v>
      </c>
      <c r="B156" s="419" t="s">
        <v>50</v>
      </c>
      <c r="C156" s="413">
        <v>45991</v>
      </c>
      <c r="D156" s="548" t="s">
        <v>956</v>
      </c>
      <c r="E156" s="552"/>
      <c r="F156" s="370"/>
      <c r="G156" s="370"/>
      <c r="H156" s="372">
        <v>87</v>
      </c>
      <c r="I156" s="371"/>
      <c r="J156" s="555" t="s">
        <v>57</v>
      </c>
      <c r="K156" s="727" t="s">
        <v>57</v>
      </c>
      <c r="L156" s="372" t="s">
        <v>63</v>
      </c>
      <c r="M156" s="198">
        <v>45699</v>
      </c>
      <c r="N156" s="87" t="s">
        <v>399</v>
      </c>
      <c r="O156" s="54">
        <v>45699</v>
      </c>
      <c r="P156" s="49" t="s">
        <v>399</v>
      </c>
      <c r="Q156" s="69" t="s">
        <v>399</v>
      </c>
      <c r="R156" s="43" t="s">
        <v>1905</v>
      </c>
      <c r="S156" s="43" t="s">
        <v>399</v>
      </c>
      <c r="T156" s="43" t="s">
        <v>399</v>
      </c>
      <c r="U156" s="69" t="s">
        <v>399</v>
      </c>
      <c r="V156" s="69" t="s">
        <v>86</v>
      </c>
      <c r="W156" s="367">
        <v>45747</v>
      </c>
      <c r="X156" s="69" t="s">
        <v>86</v>
      </c>
      <c r="Y156" t="e">
        <f>VLOOKUP(A156,#REF!,2,FALSE)</f>
        <v>#REF!</v>
      </c>
    </row>
    <row r="157" spans="1:25" ht="15" customHeight="1">
      <c r="A157" s="376" t="s">
        <v>1021</v>
      </c>
      <c r="B157" s="419" t="s">
        <v>50</v>
      </c>
      <c r="C157" s="413">
        <v>45991</v>
      </c>
      <c r="D157" s="431" t="s">
        <v>1886</v>
      </c>
      <c r="E157" s="723"/>
      <c r="F157" s="432"/>
      <c r="G157" s="432"/>
      <c r="H157" s="432">
        <v>79</v>
      </c>
      <c r="I157" s="371"/>
      <c r="J157" s="372" t="s">
        <v>57</v>
      </c>
      <c r="K157" s="569" t="s">
        <v>57</v>
      </c>
      <c r="L157" s="372" t="s">
        <v>63</v>
      </c>
      <c r="M157" s="198">
        <v>45735</v>
      </c>
      <c r="N157" s="30" t="s">
        <v>64</v>
      </c>
      <c r="O157" s="54">
        <v>45737</v>
      </c>
      <c r="P157" s="49" t="s">
        <v>64</v>
      </c>
      <c r="Q157" s="69" t="s">
        <v>64</v>
      </c>
      <c r="R157" s="69" t="s">
        <v>1905</v>
      </c>
      <c r="S157" s="69" t="s">
        <v>64</v>
      </c>
      <c r="T157" s="69" t="s">
        <v>64</v>
      </c>
      <c r="U157" s="69" t="s">
        <v>86</v>
      </c>
      <c r="V157" s="69"/>
      <c r="W157" s="79"/>
      <c r="X157" s="69" t="s">
        <v>86</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399</v>
      </c>
      <c r="O158" s="54">
        <v>45736</v>
      </c>
      <c r="P158" s="49" t="s">
        <v>399</v>
      </c>
      <c r="Q158" s="69" t="s">
        <v>399</v>
      </c>
      <c r="R158" s="43" t="s">
        <v>1905</v>
      </c>
      <c r="S158" s="43" t="s">
        <v>399</v>
      </c>
      <c r="T158" s="43" t="s">
        <v>399</v>
      </c>
      <c r="U158" s="158" t="s">
        <v>399</v>
      </c>
      <c r="V158" s="158" t="s">
        <v>399</v>
      </c>
      <c r="W158" s="367">
        <v>45817</v>
      </c>
      <c r="X158" s="69" t="s">
        <v>1908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86</v>
      </c>
      <c r="W159" s="79"/>
      <c r="X159" s="69" t="s">
        <v>86</v>
      </c>
      <c r="Y159" t="e">
        <f>VLOOKUP(A159,#REF!,2,FALSE)</f>
        <v>#REF!</v>
      </c>
    </row>
    <row r="160" spans="1:25" ht="15" customHeight="1">
      <c r="A160" s="376" t="s">
        <v>958</v>
      </c>
      <c r="B160" s="419" t="s">
        <v>50</v>
      </c>
      <c r="C160" s="421">
        <v>45742</v>
      </c>
      <c r="D160" s="372" t="s">
        <v>959</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1908</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1908</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1908</v>
      </c>
      <c r="Y162" t="e">
        <f>VLOOKUP(A162,#REF!,2,FALSE)</f>
        <v>#REF!</v>
      </c>
    </row>
    <row r="163" spans="1:25" ht="15" customHeight="1">
      <c r="A163" s="369" t="s">
        <v>960</v>
      </c>
      <c r="B163" s="419" t="s">
        <v>50</v>
      </c>
      <c r="C163" s="421">
        <v>45711</v>
      </c>
      <c r="D163" s="548" t="s">
        <v>961</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86</v>
      </c>
      <c r="W163" s="79"/>
      <c r="X163" s="69" t="s">
        <v>86</v>
      </c>
      <c r="Y163" t="e">
        <f>VLOOKUP(A163,#REF!,2,FALSE)</f>
        <v>#REF!</v>
      </c>
    </row>
    <row r="164" spans="1:25" ht="15" customHeight="1">
      <c r="A164" s="543" t="s">
        <v>1006</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86</v>
      </c>
      <c r="Y164" t="e">
        <f>VLOOKUP(A164,#REF!,2,FALSE)</f>
        <v>#REF!</v>
      </c>
    </row>
    <row r="165" spans="1:25" ht="15" customHeight="1">
      <c r="A165" s="543" t="s">
        <v>963</v>
      </c>
      <c r="B165" s="419" t="s">
        <v>50</v>
      </c>
      <c r="C165" s="649">
        <v>45838</v>
      </c>
      <c r="D165" s="737" t="s">
        <v>964</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1908</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86</v>
      </c>
      <c r="Y166" t="e">
        <f>VLOOKUP(A166,#REF!,2,FALSE)</f>
        <v>#REF!</v>
      </c>
    </row>
    <row r="167" spans="1:25" ht="15" customHeight="1">
      <c r="A167" s="376" t="s">
        <v>966</v>
      </c>
      <c r="B167" s="419" t="s">
        <v>50</v>
      </c>
      <c r="C167" s="600">
        <v>45742</v>
      </c>
      <c r="D167" s="372" t="s">
        <v>967</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1908</v>
      </c>
      <c r="Y167" t="e">
        <f>VLOOKUP(A167,#REF!,2,FALSE)</f>
        <v>#REF!</v>
      </c>
    </row>
    <row r="168" spans="1:25" ht="15" customHeight="1">
      <c r="A168" s="376" t="s">
        <v>76</v>
      </c>
      <c r="B168" s="419" t="s">
        <v>50</v>
      </c>
      <c r="C168" s="600">
        <v>45742</v>
      </c>
      <c r="D168" s="423" t="s">
        <v>77</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86</v>
      </c>
      <c r="Y168" t="e">
        <f>VLOOKUP(A168,#REF!,2,FALSE)</f>
        <v>#REF!</v>
      </c>
    </row>
    <row r="169" spans="1:25" ht="15" customHeight="1">
      <c r="A169" s="369" t="s">
        <v>513</v>
      </c>
      <c r="B169" s="419" t="s">
        <v>50</v>
      </c>
      <c r="C169" s="595">
        <v>45991</v>
      </c>
      <c r="D169" s="423" t="s">
        <v>514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86</v>
      </c>
      <c r="V169" s="69" t="s">
        <v>86</v>
      </c>
      <c r="W169" s="166"/>
      <c r="X169" s="43"/>
    </row>
    <row r="170" spans="1:25" ht="15" customHeight="1">
      <c r="A170" s="376" t="s">
        <v>81</v>
      </c>
      <c r="B170" s="419" t="s">
        <v>50</v>
      </c>
      <c r="C170" s="600">
        <v>45777</v>
      </c>
      <c r="D170" s="548" t="s">
        <v>82</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86</v>
      </c>
      <c r="V170" s="69" t="s">
        <v>86</v>
      </c>
      <c r="W170" s="79"/>
      <c r="X170" s="69" t="s">
        <v>86</v>
      </c>
      <c r="Y170" t="e">
        <f>VLOOKUP(A170,#REF!,2,FALSE)</f>
        <v>#REF!</v>
      </c>
    </row>
    <row r="171" spans="1:25" ht="15" customHeight="1">
      <c r="A171" s="376" t="s">
        <v>83</v>
      </c>
      <c r="B171" s="419" t="s">
        <v>50</v>
      </c>
      <c r="C171" s="600">
        <v>45772</v>
      </c>
      <c r="D171" s="745" t="s">
        <v>84</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86</v>
      </c>
      <c r="Y171" t="e">
        <f>VLOOKUP(A171,#REF!,2,FALSE)</f>
        <v>#REF!</v>
      </c>
    </row>
    <row r="172" spans="1:25" ht="15" customHeight="1">
      <c r="A172" s="369" t="s">
        <v>968</v>
      </c>
      <c r="B172" s="185" t="s">
        <v>50</v>
      </c>
      <c r="C172" s="180">
        <v>45862</v>
      </c>
      <c r="D172" s="734" t="s">
        <v>969</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86</v>
      </c>
      <c r="V172" s="69" t="s">
        <v>86</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2" t="s">
        <v>1918</v>
      </c>
      <c r="C1" s="1212"/>
      <c r="D1" s="574"/>
      <c r="E1" s="1212" t="s">
        <v>1919</v>
      </c>
      <c r="F1" s="1212"/>
    </row>
    <row r="2" spans="1:25">
      <c r="B2" s="44" t="s">
        <v>1920</v>
      </c>
      <c r="E2" s="44" t="s">
        <v>22</v>
      </c>
      <c r="F2" t="s">
        <v>992</v>
      </c>
      <c r="P2" s="44" t="s">
        <v>27</v>
      </c>
      <c r="Q2" t="s">
        <v>1921</v>
      </c>
    </row>
    <row r="3" spans="1:25">
      <c r="B3" s="44" t="s">
        <v>22</v>
      </c>
      <c r="C3" t="s">
        <v>998</v>
      </c>
      <c r="K3" s="44" t="s">
        <v>1922</v>
      </c>
      <c r="L3" t="s">
        <v>1923</v>
      </c>
      <c r="P3" s="44" t="s">
        <v>1922</v>
      </c>
      <c r="Q3" t="s">
        <v>1923</v>
      </c>
    </row>
    <row r="4" spans="1:25">
      <c r="B4" t="s">
        <v>162</v>
      </c>
      <c r="C4">
        <v>149219</v>
      </c>
      <c r="E4" s="44" t="s">
        <v>1920</v>
      </c>
      <c r="F4" t="s">
        <v>998</v>
      </c>
      <c r="W4" t="s">
        <v>1924</v>
      </c>
      <c r="X4">
        <v>22</v>
      </c>
    </row>
    <row r="5" spans="1:25">
      <c r="B5" t="s">
        <v>71</v>
      </c>
      <c r="C5">
        <v>32354</v>
      </c>
      <c r="E5" t="s">
        <v>998</v>
      </c>
      <c r="F5">
        <v>211615</v>
      </c>
      <c r="K5" s="44" t="s">
        <v>1925</v>
      </c>
      <c r="P5" s="44" t="s">
        <v>1925</v>
      </c>
      <c r="W5" t="s">
        <v>1926</v>
      </c>
      <c r="X5">
        <v>13</v>
      </c>
    </row>
    <row r="6" spans="1:25">
      <c r="B6" t="s">
        <v>93</v>
      </c>
      <c r="C6">
        <v>22387</v>
      </c>
      <c r="K6" s="44" t="s">
        <v>27</v>
      </c>
      <c r="L6" s="44" t="s">
        <v>1927</v>
      </c>
      <c r="M6" t="s">
        <v>998</v>
      </c>
      <c r="P6" s="44" t="s">
        <v>1928</v>
      </c>
      <c r="Q6" s="44" t="s">
        <v>1927</v>
      </c>
      <c r="R6" t="s">
        <v>998</v>
      </c>
    </row>
    <row r="7" spans="1:25">
      <c r="B7" t="s">
        <v>1025</v>
      </c>
      <c r="C7">
        <v>238064</v>
      </c>
      <c r="K7" t="s">
        <v>1921</v>
      </c>
      <c r="L7" t="s">
        <v>628</v>
      </c>
      <c r="M7">
        <v>1</v>
      </c>
      <c r="P7" t="s">
        <v>1929</v>
      </c>
      <c r="R7">
        <v>1</v>
      </c>
      <c r="X7" t="s">
        <v>1930</v>
      </c>
      <c r="Y7" t="s">
        <v>1931</v>
      </c>
    </row>
    <row r="8" spans="1:25">
      <c r="B8" t="s">
        <v>51</v>
      </c>
      <c r="C8">
        <v>446</v>
      </c>
      <c r="L8" t="s">
        <v>630</v>
      </c>
      <c r="M8">
        <v>1</v>
      </c>
      <c r="P8" t="s">
        <v>1932</v>
      </c>
      <c r="R8">
        <v>1</v>
      </c>
      <c r="V8" t="s">
        <v>1933</v>
      </c>
      <c r="W8" s="261">
        <v>203521</v>
      </c>
      <c r="X8" s="317">
        <f>X5/X4</f>
        <v>0.59090909090909094</v>
      </c>
      <c r="Y8" s="317">
        <f>W9/W8</f>
        <v>0.31446386367991508</v>
      </c>
    </row>
    <row r="9" spans="1:25">
      <c r="B9" t="s">
        <v>22</v>
      </c>
      <c r="C9">
        <v>0</v>
      </c>
      <c r="L9" t="s">
        <v>1934</v>
      </c>
      <c r="M9">
        <v>1</v>
      </c>
      <c r="P9" t="s">
        <v>1935</v>
      </c>
      <c r="Q9" t="s">
        <v>1934</v>
      </c>
      <c r="R9">
        <v>1</v>
      </c>
      <c r="V9" t="s">
        <v>1936</v>
      </c>
      <c r="W9">
        <v>64000</v>
      </c>
    </row>
    <row r="10" spans="1:25">
      <c r="B10" t="s">
        <v>248</v>
      </c>
      <c r="C10">
        <v>7128</v>
      </c>
      <c r="L10" t="s">
        <v>733</v>
      </c>
      <c r="M10">
        <v>1</v>
      </c>
      <c r="Q10" t="s">
        <v>737</v>
      </c>
      <c r="R10">
        <v>1</v>
      </c>
    </row>
    <row r="11" spans="1:25">
      <c r="B11" t="s">
        <v>258</v>
      </c>
      <c r="C11">
        <v>38262</v>
      </c>
      <c r="L11" t="s">
        <v>737</v>
      </c>
      <c r="M11">
        <v>1</v>
      </c>
      <c r="Q11" t="s">
        <v>604</v>
      </c>
      <c r="R11">
        <v>1</v>
      </c>
    </row>
    <row r="12" spans="1:25">
      <c r="B12" t="s">
        <v>224</v>
      </c>
      <c r="C12">
        <v>103</v>
      </c>
      <c r="L12" t="s">
        <v>604</v>
      </c>
      <c r="M12">
        <v>1</v>
      </c>
      <c r="Q12" t="s">
        <v>1937</v>
      </c>
      <c r="R12">
        <v>1</v>
      </c>
    </row>
    <row r="13" spans="1:25">
      <c r="B13" t="s">
        <v>232</v>
      </c>
      <c r="C13">
        <v>16290</v>
      </c>
      <c r="L13" t="s">
        <v>1938</v>
      </c>
      <c r="M13">
        <v>1</v>
      </c>
      <c r="Q13" t="s">
        <v>948</v>
      </c>
      <c r="R13">
        <v>1</v>
      </c>
    </row>
    <row r="14" spans="1:25">
      <c r="B14" t="s">
        <v>228</v>
      </c>
      <c r="C14">
        <v>8065</v>
      </c>
      <c r="L14" t="s">
        <v>751</v>
      </c>
      <c r="M14">
        <v>1</v>
      </c>
      <c r="P14" t="s">
        <v>1939</v>
      </c>
      <c r="R14">
        <v>5</v>
      </c>
    </row>
    <row r="15" spans="1:25">
      <c r="B15" t="s">
        <v>128</v>
      </c>
      <c r="C15">
        <v>7655</v>
      </c>
      <c r="L15" t="s">
        <v>1937</v>
      </c>
      <c r="M15">
        <v>1</v>
      </c>
      <c r="P15" t="s">
        <v>1025</v>
      </c>
      <c r="R15">
        <v>12</v>
      </c>
    </row>
    <row r="16" spans="1:25">
      <c r="B16" t="s">
        <v>193</v>
      </c>
      <c r="C16">
        <v>3</v>
      </c>
      <c r="L16" t="s">
        <v>753</v>
      </c>
      <c r="M16">
        <v>1</v>
      </c>
      <c r="P16" t="s">
        <v>995</v>
      </c>
      <c r="R16">
        <v>19</v>
      </c>
    </row>
    <row r="17" spans="2:13">
      <c r="B17" t="s">
        <v>60</v>
      </c>
      <c r="C17">
        <v>9978</v>
      </c>
      <c r="L17" t="s">
        <v>757</v>
      </c>
      <c r="M17">
        <v>1</v>
      </c>
    </row>
    <row r="18" spans="2:13">
      <c r="B18" t="s">
        <v>995</v>
      </c>
      <c r="C18">
        <v>529954</v>
      </c>
      <c r="L18" t="s">
        <v>759</v>
      </c>
      <c r="M18">
        <v>1</v>
      </c>
    </row>
    <row r="19" spans="2:13">
      <c r="L19" t="s">
        <v>763</v>
      </c>
      <c r="M19">
        <v>1</v>
      </c>
    </row>
    <row r="20" spans="2:13">
      <c r="L20" t="s">
        <v>823</v>
      </c>
      <c r="M20">
        <v>1</v>
      </c>
    </row>
    <row r="21" spans="2:13">
      <c r="L21" t="s">
        <v>1940</v>
      </c>
      <c r="M21">
        <v>1</v>
      </c>
    </row>
    <row r="22" spans="2:13">
      <c r="L22" t="s">
        <v>948</v>
      </c>
      <c r="M22">
        <v>1</v>
      </c>
    </row>
    <row r="23" spans="2:13">
      <c r="L23" t="s">
        <v>794</v>
      </c>
      <c r="M23">
        <v>1</v>
      </c>
    </row>
    <row r="24" spans="2:13">
      <c r="L24" t="s">
        <v>812</v>
      </c>
      <c r="M24">
        <v>1</v>
      </c>
    </row>
    <row r="25" spans="2:13">
      <c r="L25" t="s">
        <v>187</v>
      </c>
      <c r="M25">
        <v>1</v>
      </c>
    </row>
    <row r="26" spans="2:13">
      <c r="K26" t="s">
        <v>1941</v>
      </c>
      <c r="M26">
        <v>19</v>
      </c>
    </row>
    <row r="27" spans="2:13">
      <c r="K27" t="s">
        <v>1942</v>
      </c>
      <c r="L27" t="s">
        <v>745</v>
      </c>
      <c r="M27">
        <v>1</v>
      </c>
    </row>
    <row r="28" spans="2:13">
      <c r="L28" t="s">
        <v>747</v>
      </c>
      <c r="M28">
        <v>1</v>
      </c>
    </row>
    <row r="29" spans="2:13">
      <c r="L29" t="s">
        <v>749</v>
      </c>
      <c r="M29">
        <v>1</v>
      </c>
    </row>
    <row r="30" spans="2:13">
      <c r="L30" t="s">
        <v>765</v>
      </c>
      <c r="M30">
        <v>1</v>
      </c>
    </row>
    <row r="31" spans="2:13">
      <c r="L31" t="s">
        <v>767</v>
      </c>
      <c r="M31">
        <v>1</v>
      </c>
    </row>
    <row r="32" spans="2:13">
      <c r="L32" t="s">
        <v>1943</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1944</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3"/>
      <c r="B1" s="1213"/>
      <c r="C1" s="1213"/>
      <c r="D1" s="1213"/>
      <c r="E1" s="1213"/>
      <c r="F1" s="1213"/>
      <c r="G1" s="1213"/>
      <c r="H1" s="1214" t="s">
        <v>1945</v>
      </c>
      <c r="I1" s="1214"/>
      <c r="J1" s="1214"/>
      <c r="K1" s="1214"/>
      <c r="L1" s="1214"/>
      <c r="M1" s="1214"/>
      <c r="N1" s="1214"/>
      <c r="O1" s="1214"/>
      <c r="P1" s="264"/>
      <c r="Q1" s="1215" t="s">
        <v>34</v>
      </c>
      <c r="R1" s="1215"/>
      <c r="S1" s="1211"/>
      <c r="T1" s="1215"/>
      <c r="U1" s="1215"/>
      <c r="V1" s="1215"/>
      <c r="W1" s="1215"/>
      <c r="X1" s="1215"/>
      <c r="Y1" s="268"/>
    </row>
    <row r="2" spans="1:26" ht="15.75" thickBot="1">
      <c r="A2" s="269"/>
      <c r="B2" s="270"/>
      <c r="C2" s="270"/>
      <c r="D2" s="270"/>
      <c r="E2" s="270"/>
      <c r="F2" s="270"/>
      <c r="G2" s="270"/>
      <c r="H2" s="271"/>
      <c r="I2" s="271"/>
      <c r="J2" s="271"/>
      <c r="K2" s="271"/>
      <c r="L2" s="271"/>
      <c r="M2" s="271"/>
      <c r="N2" s="271"/>
      <c r="O2" s="271"/>
      <c r="P2" s="264"/>
      <c r="Q2" s="268"/>
      <c r="R2" s="268" t="s">
        <v>1946</v>
      </c>
      <c r="S2" s="3" t="s">
        <v>1831</v>
      </c>
      <c r="T2" s="268" t="s">
        <v>1832</v>
      </c>
      <c r="U2" s="268" t="s">
        <v>1832</v>
      </c>
      <c r="V2" s="268" t="s">
        <v>1832</v>
      </c>
      <c r="W2" s="268" t="s">
        <v>1832</v>
      </c>
      <c r="X2" s="268" t="s">
        <v>1833</v>
      </c>
      <c r="Y2" s="268" t="s">
        <v>1947</v>
      </c>
    </row>
    <row r="3" spans="1:26" ht="15.75" thickBot="1">
      <c r="A3" s="267" t="s">
        <v>1927</v>
      </c>
      <c r="B3" s="263" t="s">
        <v>20</v>
      </c>
      <c r="C3" s="263" t="s">
        <v>1948</v>
      </c>
      <c r="D3" s="263" t="s">
        <v>26</v>
      </c>
      <c r="E3" s="263" t="s">
        <v>1922</v>
      </c>
      <c r="F3" s="263" t="s">
        <v>1949</v>
      </c>
      <c r="G3" s="263" t="s">
        <v>27</v>
      </c>
      <c r="H3" s="211" t="s">
        <v>28</v>
      </c>
      <c r="I3" s="211" t="s">
        <v>1950</v>
      </c>
      <c r="J3" s="211" t="s">
        <v>1951</v>
      </c>
      <c r="K3" s="211" t="s">
        <v>1952</v>
      </c>
      <c r="L3" s="211" t="s">
        <v>1908</v>
      </c>
      <c r="M3" s="211" t="s">
        <v>1953</v>
      </c>
      <c r="N3" s="211" t="s">
        <v>1954</v>
      </c>
      <c r="O3" s="210" t="s">
        <v>1836</v>
      </c>
      <c r="P3" s="264" t="s">
        <v>1928</v>
      </c>
      <c r="Q3" s="265" t="s">
        <v>34</v>
      </c>
      <c r="R3" s="265" t="s">
        <v>1950</v>
      </c>
      <c r="S3" s="5" t="s">
        <v>1837</v>
      </c>
      <c r="T3" s="265" t="s">
        <v>1955</v>
      </c>
      <c r="U3" s="265" t="s">
        <v>43</v>
      </c>
      <c r="V3" s="265" t="s">
        <v>1838</v>
      </c>
      <c r="W3" s="265" t="s">
        <v>46</v>
      </c>
      <c r="X3" s="265" t="s">
        <v>619</v>
      </c>
      <c r="Y3" s="265" t="s">
        <v>1956</v>
      </c>
      <c r="Z3" s="316" t="s">
        <v>1957</v>
      </c>
    </row>
    <row r="4" spans="1:26" ht="15.75" thickBot="1">
      <c r="A4" s="122" t="s">
        <v>76</v>
      </c>
      <c r="B4" s="103" t="s">
        <v>50</v>
      </c>
      <c r="C4" s="77">
        <v>45807</v>
      </c>
      <c r="D4" s="272"/>
      <c r="E4" s="273" t="s">
        <v>1958</v>
      </c>
      <c r="F4" s="272"/>
      <c r="G4" s="274" t="s">
        <v>1921</v>
      </c>
      <c r="H4" s="272"/>
      <c r="I4" s="272"/>
      <c r="J4" s="275"/>
      <c r="K4" s="209"/>
      <c r="L4" s="209"/>
      <c r="M4" s="209"/>
      <c r="N4" s="276"/>
      <c r="O4" s="277"/>
      <c r="P4" s="278" t="s">
        <v>1959</v>
      </c>
      <c r="Q4" s="279" t="s">
        <v>68</v>
      </c>
      <c r="R4" s="132" t="s">
        <v>1960</v>
      </c>
      <c r="S4" s="132"/>
      <c r="T4" s="280"/>
      <c r="U4" s="281"/>
      <c r="V4" s="281"/>
      <c r="W4" s="281"/>
      <c r="X4" s="281"/>
      <c r="Y4" s="281"/>
      <c r="Z4" t="e">
        <f>VLOOKUP(A4,#REF!,9,FALSE)</f>
        <v>#REF!</v>
      </c>
    </row>
    <row r="5" spans="1:26" ht="15.75" thickBot="1">
      <c r="A5" s="282" t="s">
        <v>1878</v>
      </c>
      <c r="B5" s="103" t="s">
        <v>50</v>
      </c>
      <c r="C5" s="219">
        <v>45807</v>
      </c>
      <c r="D5" s="272"/>
      <c r="E5" s="273" t="s">
        <v>1958</v>
      </c>
      <c r="F5" s="272"/>
      <c r="G5" s="274" t="s">
        <v>1921</v>
      </c>
      <c r="H5" s="272"/>
      <c r="I5" s="272"/>
      <c r="J5" s="283"/>
      <c r="K5" s="209"/>
      <c r="L5" s="209"/>
      <c r="M5" s="209"/>
      <c r="N5" s="276"/>
      <c r="O5" s="277"/>
      <c r="P5" s="278" t="s">
        <v>1959</v>
      </c>
      <c r="Q5" s="279" t="s">
        <v>68</v>
      </c>
      <c r="R5" s="132" t="s">
        <v>1960</v>
      </c>
      <c r="S5" s="132"/>
      <c r="T5" s="280"/>
      <c r="U5" s="281"/>
      <c r="V5" s="281"/>
      <c r="W5" s="281"/>
      <c r="X5" s="281"/>
      <c r="Y5" s="281"/>
      <c r="Z5" t="e">
        <f>VLOOKUP(A5,#REF!,9,FALSE)</f>
        <v>#REF!</v>
      </c>
    </row>
    <row r="6" spans="1:26" ht="15.75" thickBot="1">
      <c r="A6" s="122" t="s">
        <v>1022</v>
      </c>
      <c r="B6" s="103" t="s">
        <v>50</v>
      </c>
      <c r="C6" s="219">
        <v>45807</v>
      </c>
      <c r="D6" s="272"/>
      <c r="E6" s="273" t="s">
        <v>1958</v>
      </c>
      <c r="F6" s="272"/>
      <c r="G6" s="274" t="s">
        <v>1921</v>
      </c>
      <c r="H6" s="272"/>
      <c r="I6" s="272"/>
      <c r="J6" s="283"/>
      <c r="K6" s="209"/>
      <c r="L6" s="209"/>
      <c r="M6" s="209"/>
      <c r="N6" s="276"/>
      <c r="O6" s="277"/>
      <c r="P6" s="278" t="s">
        <v>1959</v>
      </c>
      <c r="Q6" s="279" t="s">
        <v>68</v>
      </c>
      <c r="R6" s="132" t="s">
        <v>1960</v>
      </c>
      <c r="S6" s="132"/>
      <c r="T6" s="280"/>
      <c r="U6" s="281"/>
      <c r="V6" s="281"/>
      <c r="W6" s="281"/>
      <c r="X6" s="281"/>
      <c r="Y6" s="281"/>
      <c r="Z6" t="e">
        <f>VLOOKUP(A6,#REF!,9,FALSE)</f>
        <v>#REF!</v>
      </c>
    </row>
    <row r="7" spans="1:26" ht="15.75" thickBot="1">
      <c r="A7" s="122" t="s">
        <v>1039</v>
      </c>
      <c r="B7" s="103" t="s">
        <v>50</v>
      </c>
      <c r="C7" s="219">
        <v>45807</v>
      </c>
      <c r="D7" s="272"/>
      <c r="E7" s="273" t="s">
        <v>1958</v>
      </c>
      <c r="F7" s="272"/>
      <c r="G7" s="274" t="s">
        <v>1921</v>
      </c>
      <c r="H7" s="272"/>
      <c r="I7" s="272"/>
      <c r="J7" s="283"/>
      <c r="K7" s="209"/>
      <c r="L7" s="209"/>
      <c r="M7" s="209"/>
      <c r="N7" s="276"/>
      <c r="O7" s="277"/>
      <c r="P7" s="278" t="s">
        <v>1959</v>
      </c>
      <c r="Q7" s="279" t="s">
        <v>68</v>
      </c>
      <c r="R7" s="132" t="s">
        <v>1960</v>
      </c>
      <c r="S7" s="132"/>
      <c r="T7" s="280"/>
      <c r="U7" s="281"/>
      <c r="V7" s="281"/>
      <c r="W7" s="281"/>
      <c r="X7" s="281"/>
      <c r="Y7" s="281"/>
      <c r="Z7" t="e">
        <f>VLOOKUP(A7,#REF!,9,FALSE)</f>
        <v>#REF!</v>
      </c>
    </row>
    <row r="8" spans="1:26" ht="15.75" thickBot="1">
      <c r="A8" s="282" t="s">
        <v>1961</v>
      </c>
      <c r="B8" s="103" t="s">
        <v>50</v>
      </c>
      <c r="C8" s="219">
        <v>45807</v>
      </c>
      <c r="D8" s="272"/>
      <c r="E8" s="273" t="s">
        <v>1958</v>
      </c>
      <c r="F8" s="272"/>
      <c r="G8" s="274" t="s">
        <v>1921</v>
      </c>
      <c r="H8" s="272"/>
      <c r="I8" s="272"/>
      <c r="J8" s="283"/>
      <c r="K8" s="209"/>
      <c r="L8" s="209"/>
      <c r="M8" s="209"/>
      <c r="N8" s="276"/>
      <c r="O8" s="277"/>
      <c r="P8" s="278" t="s">
        <v>1932</v>
      </c>
      <c r="Q8" s="279" t="s">
        <v>1962</v>
      </c>
      <c r="R8" s="132" t="s">
        <v>1963</v>
      </c>
      <c r="S8" s="132"/>
      <c r="T8" s="280"/>
      <c r="U8" s="281"/>
      <c r="V8" s="281"/>
      <c r="W8" s="281"/>
      <c r="X8" s="281"/>
      <c r="Y8" s="281"/>
      <c r="Z8" t="e">
        <f>VLOOKUP(A8,#REF!,9,FALSE)</f>
        <v>#REF!</v>
      </c>
    </row>
    <row r="9" spans="1:26" ht="15.75" thickBot="1">
      <c r="A9" s="122" t="s">
        <v>1048</v>
      </c>
      <c r="B9" s="103" t="s">
        <v>50</v>
      </c>
      <c r="C9" s="219">
        <v>45807</v>
      </c>
      <c r="D9" s="284"/>
      <c r="E9" s="273" t="s">
        <v>1958</v>
      </c>
      <c r="F9" s="284"/>
      <c r="G9" s="285" t="s">
        <v>1921</v>
      </c>
      <c r="H9" s="272"/>
      <c r="I9" s="272"/>
      <c r="J9" s="283"/>
      <c r="K9" s="209"/>
      <c r="L9" s="209"/>
      <c r="M9" s="209"/>
      <c r="N9" s="276"/>
      <c r="O9" s="277"/>
      <c r="P9" s="278" t="s">
        <v>1959</v>
      </c>
      <c r="Q9" s="279" t="s">
        <v>68</v>
      </c>
      <c r="R9" s="132" t="s">
        <v>1960</v>
      </c>
      <c r="S9" s="132"/>
      <c r="T9" s="280"/>
      <c r="U9" s="281"/>
      <c r="V9" s="281"/>
      <c r="W9" s="281"/>
      <c r="X9" s="281"/>
      <c r="Y9" s="281"/>
      <c r="Z9" t="e">
        <f>VLOOKUP(A9,#REF!,9,FALSE)</f>
        <v>#REF!</v>
      </c>
    </row>
    <row r="10" spans="1:26" ht="15.75" thickBot="1">
      <c r="A10" s="122" t="s">
        <v>1024</v>
      </c>
      <c r="B10" s="103" t="s">
        <v>50</v>
      </c>
      <c r="C10" s="219" t="e">
        <v>#N/A</v>
      </c>
      <c r="D10" s="286"/>
      <c r="E10" s="273" t="s">
        <v>1958</v>
      </c>
      <c r="F10" s="286"/>
      <c r="G10" s="287" t="s">
        <v>1921</v>
      </c>
      <c r="H10" s="234"/>
      <c r="I10" s="234"/>
      <c r="J10" s="45"/>
      <c r="K10" s="208"/>
      <c r="L10" s="208"/>
      <c r="M10" s="208"/>
      <c r="N10" s="288"/>
      <c r="O10" s="289"/>
      <c r="P10" s="278" t="s">
        <v>1959</v>
      </c>
      <c r="Q10" s="279" t="s">
        <v>58</v>
      </c>
      <c r="R10" s="132" t="s">
        <v>1960</v>
      </c>
      <c r="S10" s="132"/>
      <c r="T10" s="280"/>
      <c r="U10" s="281"/>
      <c r="V10" s="281"/>
      <c r="W10" s="281"/>
      <c r="X10" s="281"/>
      <c r="Y10" s="281"/>
      <c r="Z10" t="e">
        <f>VLOOKUP(A10,#REF!,9,FALSE)</f>
        <v>#REF!</v>
      </c>
    </row>
    <row r="11" spans="1:26" ht="15.75" thickBot="1">
      <c r="A11" s="122" t="s">
        <v>510</v>
      </c>
      <c r="B11" s="103" t="s">
        <v>50</v>
      </c>
      <c r="C11" s="219">
        <v>45807</v>
      </c>
      <c r="D11" s="286"/>
      <c r="E11" s="273" t="s">
        <v>1958</v>
      </c>
      <c r="F11" s="286"/>
      <c r="G11" s="287" t="s">
        <v>1921</v>
      </c>
      <c r="H11" s="234"/>
      <c r="I11" s="234"/>
      <c r="J11" s="45"/>
      <c r="K11" s="208"/>
      <c r="L11" s="208"/>
      <c r="M11" s="208"/>
      <c r="N11" s="288"/>
      <c r="O11" s="289"/>
      <c r="P11" s="278" t="s">
        <v>1959</v>
      </c>
      <c r="Q11" s="279" t="s">
        <v>68</v>
      </c>
      <c r="R11" s="132" t="s">
        <v>1960</v>
      </c>
      <c r="S11" s="132"/>
      <c r="T11" s="280"/>
      <c r="U11" s="281"/>
      <c r="V11" s="281"/>
      <c r="W11" s="281"/>
      <c r="X11" s="281"/>
      <c r="Y11" s="281"/>
      <c r="Z11" t="e">
        <f>VLOOKUP(A11,#REF!,9,FALSE)</f>
        <v>#REF!</v>
      </c>
    </row>
    <row r="12" spans="1:26" ht="15.75" thickBot="1">
      <c r="A12" s="122" t="s">
        <v>1019</v>
      </c>
      <c r="B12" s="103" t="s">
        <v>50</v>
      </c>
      <c r="C12" s="219" t="e">
        <v>#N/A</v>
      </c>
      <c r="D12" s="286"/>
      <c r="E12" s="273" t="s">
        <v>1958</v>
      </c>
      <c r="F12" s="286"/>
      <c r="G12" s="287" t="s">
        <v>1921</v>
      </c>
      <c r="H12" s="234"/>
      <c r="I12" s="234"/>
      <c r="J12" s="45"/>
      <c r="K12" s="208"/>
      <c r="L12" s="208"/>
      <c r="M12" s="208"/>
      <c r="N12" s="288"/>
      <c r="O12" s="289"/>
      <c r="P12" s="278" t="s">
        <v>1959</v>
      </c>
      <c r="Q12" s="279" t="s">
        <v>68</v>
      </c>
      <c r="R12" s="132" t="s">
        <v>1960</v>
      </c>
      <c r="S12" s="132"/>
      <c r="T12" s="280"/>
      <c r="U12" s="281"/>
      <c r="V12" s="281"/>
      <c r="W12" s="281"/>
      <c r="X12" s="281"/>
      <c r="Y12" s="281"/>
      <c r="Z12" t="e">
        <f>VLOOKUP(A12,#REF!,9,FALSE)</f>
        <v>#REF!</v>
      </c>
    </row>
    <row r="13" spans="1:26" ht="15.75" thickBot="1">
      <c r="A13" s="122" t="s">
        <v>1046</v>
      </c>
      <c r="B13" s="103" t="s">
        <v>50</v>
      </c>
      <c r="C13" s="219" t="e">
        <v>#N/A</v>
      </c>
      <c r="D13" s="286"/>
      <c r="E13" s="273" t="s">
        <v>1958</v>
      </c>
      <c r="F13" s="286"/>
      <c r="G13" s="287" t="s">
        <v>1921</v>
      </c>
      <c r="H13" s="234"/>
      <c r="I13" s="234"/>
      <c r="J13" s="45"/>
      <c r="K13" s="208"/>
      <c r="L13" s="208"/>
      <c r="M13" s="208"/>
      <c r="N13" s="288"/>
      <c r="O13" s="289"/>
      <c r="P13" s="278" t="s">
        <v>1959</v>
      </c>
      <c r="Q13" s="279" t="s">
        <v>68</v>
      </c>
      <c r="R13" s="132" t="s">
        <v>1960</v>
      </c>
      <c r="S13" s="132"/>
      <c r="T13" s="280"/>
      <c r="U13" s="281"/>
      <c r="V13" s="281"/>
      <c r="W13" s="281"/>
      <c r="X13" s="281"/>
      <c r="Y13" s="281"/>
      <c r="Z13" t="e">
        <f>VLOOKUP(A13,#REF!,9,FALSE)</f>
        <v>#REF!</v>
      </c>
    </row>
    <row r="14" spans="1:26" ht="15.75" thickBot="1">
      <c r="A14" s="282" t="s">
        <v>506</v>
      </c>
      <c r="B14" s="103" t="s">
        <v>50</v>
      </c>
      <c r="C14" s="219">
        <v>45807</v>
      </c>
      <c r="D14" s="286"/>
      <c r="E14" s="273" t="s">
        <v>1958</v>
      </c>
      <c r="F14" s="286"/>
      <c r="G14" s="287" t="s">
        <v>1921</v>
      </c>
      <c r="H14" s="234"/>
      <c r="I14" s="234"/>
      <c r="J14" s="45"/>
      <c r="K14" s="208"/>
      <c r="L14" s="208"/>
      <c r="M14" s="208"/>
      <c r="N14" s="288"/>
      <c r="O14" s="289"/>
      <c r="P14" s="278" t="s">
        <v>1959</v>
      </c>
      <c r="Q14" s="279" t="s">
        <v>68</v>
      </c>
      <c r="R14" s="132" t="s">
        <v>1960</v>
      </c>
      <c r="S14" s="132"/>
      <c r="T14" s="280"/>
      <c r="U14" s="281"/>
      <c r="V14" s="281"/>
      <c r="W14" s="281"/>
      <c r="X14" s="281"/>
      <c r="Y14" s="281"/>
      <c r="Z14" t="e">
        <f>VLOOKUP(A14,#REF!,9,FALSE)</f>
        <v>#REF!</v>
      </c>
    </row>
    <row r="15" spans="1:26" ht="15.75" thickBot="1">
      <c r="A15" s="122" t="s">
        <v>1023</v>
      </c>
      <c r="B15" s="103" t="s">
        <v>50</v>
      </c>
      <c r="C15" s="219" t="e">
        <v>#N/A</v>
      </c>
      <c r="D15" s="286"/>
      <c r="E15" s="273" t="s">
        <v>1958</v>
      </c>
      <c r="F15" s="286"/>
      <c r="G15" s="287" t="s">
        <v>1921</v>
      </c>
      <c r="H15" s="234"/>
      <c r="I15" s="234"/>
      <c r="J15" s="45"/>
      <c r="K15" s="208"/>
      <c r="L15" s="208"/>
      <c r="M15" s="208"/>
      <c r="N15" s="288"/>
      <c r="O15" s="289"/>
      <c r="P15" s="278" t="s">
        <v>1959</v>
      </c>
      <c r="Q15" s="279" t="s">
        <v>68</v>
      </c>
      <c r="R15" s="132" t="s">
        <v>1960</v>
      </c>
      <c r="S15" s="132"/>
      <c r="T15" s="280"/>
      <c r="U15" s="281"/>
      <c r="V15" s="281"/>
      <c r="W15" s="281"/>
      <c r="X15" s="281"/>
      <c r="Y15" s="281"/>
      <c r="Z15" t="e">
        <f>VLOOKUP(A15,#REF!,9,FALSE)</f>
        <v>#REF!</v>
      </c>
    </row>
    <row r="16" spans="1:26" ht="15.75" thickBot="1">
      <c r="A16" s="290" t="s">
        <v>1964</v>
      </c>
      <c r="B16" s="103" t="s">
        <v>50</v>
      </c>
      <c r="C16" s="219" t="e">
        <v>#N/A</v>
      </c>
      <c r="D16" s="286"/>
      <c r="E16" s="273" t="s">
        <v>1958</v>
      </c>
      <c r="F16" s="286"/>
      <c r="G16" s="287" t="s">
        <v>1921</v>
      </c>
      <c r="H16" s="234"/>
      <c r="I16" s="234"/>
      <c r="J16" s="45"/>
      <c r="K16" s="208"/>
      <c r="L16" s="208"/>
      <c r="M16" s="208"/>
      <c r="N16" s="288"/>
      <c r="O16" s="289"/>
      <c r="P16" s="278" t="s">
        <v>1959</v>
      </c>
      <c r="Q16" s="279" t="s">
        <v>68</v>
      </c>
      <c r="R16" s="132" t="s">
        <v>1960</v>
      </c>
      <c r="S16" s="132"/>
      <c r="T16" s="280"/>
      <c r="U16" s="281"/>
      <c r="V16" s="281"/>
      <c r="W16" s="281"/>
      <c r="X16" s="281"/>
      <c r="Y16" s="281"/>
      <c r="Z16" t="e">
        <f>VLOOKUP(A16,#REF!,9,FALSE)</f>
        <v>#REF!</v>
      </c>
    </row>
    <row r="17" spans="1:26" ht="15.75" thickBot="1">
      <c r="A17" s="279" t="s">
        <v>812</v>
      </c>
      <c r="B17" s="103" t="s">
        <v>50</v>
      </c>
      <c r="C17" s="219" t="e">
        <v>#N/A</v>
      </c>
      <c r="D17" s="286"/>
      <c r="E17" s="273" t="s">
        <v>1923</v>
      </c>
      <c r="F17" s="286"/>
      <c r="G17" s="287" t="s">
        <v>1921</v>
      </c>
      <c r="H17" s="234"/>
      <c r="I17" s="234"/>
      <c r="J17" s="45"/>
      <c r="K17" s="208"/>
      <c r="L17" s="208"/>
      <c r="M17" s="208"/>
      <c r="N17" s="288"/>
      <c r="O17" s="289"/>
      <c r="P17" s="278"/>
      <c r="Q17" s="279" t="s">
        <v>68</v>
      </c>
      <c r="R17" s="132" t="s">
        <v>1960</v>
      </c>
      <c r="S17" s="132"/>
      <c r="T17" s="280"/>
      <c r="U17" s="281"/>
      <c r="V17" s="281"/>
      <c r="W17" s="281"/>
      <c r="X17" s="281"/>
      <c r="Y17" s="281"/>
      <c r="Z17" t="e">
        <f>VLOOKUP(A17,#REF!,9,FALSE)</f>
        <v>#REF!</v>
      </c>
    </row>
    <row r="18" spans="1:26" ht="15.75" thickBot="1">
      <c r="A18" s="279" t="s">
        <v>794</v>
      </c>
      <c r="B18" s="103" t="s">
        <v>50</v>
      </c>
      <c r="C18" s="219">
        <v>45807</v>
      </c>
      <c r="D18" s="286"/>
      <c r="E18" s="273" t="s">
        <v>1923</v>
      </c>
      <c r="F18" s="286"/>
      <c r="G18" s="287" t="s">
        <v>1921</v>
      </c>
      <c r="H18" s="234"/>
      <c r="I18" s="234"/>
      <c r="J18" s="45"/>
      <c r="K18" s="208"/>
      <c r="L18" s="208"/>
      <c r="M18" s="208"/>
      <c r="N18" s="288"/>
      <c r="O18" s="289"/>
      <c r="P18" s="278" t="s">
        <v>1929</v>
      </c>
      <c r="Q18" s="279"/>
      <c r="R18" s="132" t="s">
        <v>1960</v>
      </c>
      <c r="S18" s="132"/>
      <c r="T18" s="280"/>
      <c r="U18" s="281"/>
      <c r="V18" s="281"/>
      <c r="W18" s="281"/>
      <c r="X18" s="281"/>
      <c r="Y18" s="281"/>
      <c r="Z18" t="e">
        <f>VLOOKUP(A18,#REF!,9,FALSE)</f>
        <v>#REF!</v>
      </c>
    </row>
    <row r="19" spans="1:26" ht="15.75" thickBot="1">
      <c r="A19" s="279" t="s">
        <v>797</v>
      </c>
      <c r="B19" s="103" t="s">
        <v>50</v>
      </c>
      <c r="C19" s="219" t="e">
        <v>#N/A</v>
      </c>
      <c r="D19" s="286"/>
      <c r="E19" s="273" t="s">
        <v>1923</v>
      </c>
      <c r="F19" s="286"/>
      <c r="G19" s="287" t="s">
        <v>1942</v>
      </c>
      <c r="H19" s="234"/>
      <c r="I19" s="234"/>
      <c r="J19" s="45"/>
      <c r="K19" s="208"/>
      <c r="L19" s="208"/>
      <c r="M19" s="208"/>
      <c r="N19" s="288"/>
      <c r="O19" s="289"/>
      <c r="P19" s="278"/>
      <c r="Q19" s="279" t="s">
        <v>1942</v>
      </c>
      <c r="R19" s="132" t="s">
        <v>1960</v>
      </c>
      <c r="S19" s="132"/>
      <c r="T19" s="280"/>
      <c r="U19" s="281"/>
      <c r="V19" s="281"/>
      <c r="W19" s="281"/>
      <c r="X19" s="281"/>
      <c r="Y19" s="281"/>
      <c r="Z19" t="e">
        <f>VLOOKUP(A19,#REF!,9,FALSE)</f>
        <v>#REF!</v>
      </c>
    </row>
    <row r="20" spans="1:26" ht="15.75" thickBot="1">
      <c r="A20" s="279" t="s">
        <v>745</v>
      </c>
      <c r="B20" s="103" t="s">
        <v>50</v>
      </c>
      <c r="C20" s="219" t="e">
        <v>#N/A</v>
      </c>
      <c r="D20" s="286"/>
      <c r="E20" s="273" t="s">
        <v>1923</v>
      </c>
      <c r="F20" s="286"/>
      <c r="G20" s="287" t="s">
        <v>1942</v>
      </c>
      <c r="H20" s="234"/>
      <c r="I20" s="234"/>
      <c r="J20" s="45"/>
      <c r="K20" s="208"/>
      <c r="L20" s="208"/>
      <c r="M20" s="208"/>
      <c r="N20" s="288"/>
      <c r="O20" s="289"/>
      <c r="P20" s="278"/>
      <c r="Q20" s="279" t="s">
        <v>1942</v>
      </c>
      <c r="R20" s="132" t="s">
        <v>1960</v>
      </c>
      <c r="S20" s="132"/>
      <c r="T20" s="280"/>
      <c r="U20" s="281"/>
      <c r="V20" s="281"/>
      <c r="W20" s="281"/>
      <c r="X20" s="281"/>
      <c r="Y20" s="281"/>
      <c r="Z20" t="e">
        <f>VLOOKUP(A20,#REF!,9,FALSE)</f>
        <v>#REF!</v>
      </c>
    </row>
    <row r="21" spans="1:26" s="218" customFormat="1" ht="15.75" thickBot="1">
      <c r="A21" s="266" t="s">
        <v>1938</v>
      </c>
      <c r="B21" s="103" t="e">
        <v>#N/A</v>
      </c>
      <c r="C21" s="235">
        <v>45807</v>
      </c>
      <c r="D21" s="286"/>
      <c r="E21" s="273" t="s">
        <v>1923</v>
      </c>
      <c r="F21" s="286"/>
      <c r="G21" s="287" t="s">
        <v>1921</v>
      </c>
      <c r="H21" s="234"/>
      <c r="I21" s="234"/>
      <c r="J21" s="234"/>
      <c r="K21" s="233"/>
      <c r="L21" s="233"/>
      <c r="M21" s="233"/>
      <c r="N21" s="288"/>
      <c r="O21" s="289"/>
      <c r="P21" s="278"/>
      <c r="Q21" s="229" t="s">
        <v>64</v>
      </c>
      <c r="R21" s="132" t="s">
        <v>1960</v>
      </c>
      <c r="S21" s="232"/>
      <c r="T21" s="231"/>
      <c r="U21" s="230"/>
      <c r="V21" s="230"/>
      <c r="W21" s="230"/>
      <c r="X21" s="230"/>
      <c r="Y21" s="230" t="s">
        <v>1965</v>
      </c>
      <c r="Z21" t="e">
        <f>VLOOKUP(A21,#REF!,9,FALSE)</f>
        <v>#REF!</v>
      </c>
    </row>
    <row r="22" spans="1:26" ht="15.75" thickBot="1">
      <c r="A22" s="279" t="s">
        <v>747</v>
      </c>
      <c r="B22" s="103" t="s">
        <v>50</v>
      </c>
      <c r="C22" s="219" t="e">
        <v>#N/A</v>
      </c>
      <c r="D22" s="286"/>
      <c r="E22" s="273" t="s">
        <v>1923</v>
      </c>
      <c r="F22" s="286"/>
      <c r="G22" s="287" t="s">
        <v>1942</v>
      </c>
      <c r="H22" s="234"/>
      <c r="I22" s="234"/>
      <c r="J22" s="45"/>
      <c r="K22" s="208"/>
      <c r="L22" s="208"/>
      <c r="M22" s="208"/>
      <c r="N22" s="288"/>
      <c r="O22" s="289"/>
      <c r="P22" s="278"/>
      <c r="Q22" s="279" t="s">
        <v>1942</v>
      </c>
      <c r="R22" s="132" t="s">
        <v>1960</v>
      </c>
      <c r="S22" s="132"/>
      <c r="T22" s="280"/>
      <c r="U22" s="281"/>
      <c r="V22" s="281"/>
      <c r="W22" s="281"/>
      <c r="X22" s="281"/>
      <c r="Y22" s="281"/>
      <c r="Z22" t="e">
        <f>VLOOKUP(A22,#REF!,9,FALSE)</f>
        <v>#REF!</v>
      </c>
    </row>
    <row r="23" spans="1:26" ht="15.75" thickBot="1">
      <c r="A23" s="279" t="s">
        <v>733</v>
      </c>
      <c r="B23" s="103" t="s">
        <v>50</v>
      </c>
      <c r="C23" s="219" t="e">
        <v>#N/A</v>
      </c>
      <c r="D23" s="286"/>
      <c r="E23" s="273" t="s">
        <v>1923</v>
      </c>
      <c r="F23" s="286"/>
      <c r="G23" s="287" t="s">
        <v>1921</v>
      </c>
      <c r="H23" s="234"/>
      <c r="I23" s="234"/>
      <c r="J23" s="45"/>
      <c r="K23" s="208"/>
      <c r="L23" s="208"/>
      <c r="M23" s="208"/>
      <c r="N23" s="288"/>
      <c r="O23" s="289"/>
      <c r="P23" s="278"/>
      <c r="Q23" s="279" t="s">
        <v>64</v>
      </c>
      <c r="R23" s="132" t="s">
        <v>1960</v>
      </c>
      <c r="S23" s="132"/>
      <c r="T23" s="280"/>
      <c r="U23" s="281"/>
      <c r="V23" s="281"/>
      <c r="W23" s="281"/>
      <c r="X23" s="281"/>
      <c r="Y23" s="281" t="s">
        <v>1966</v>
      </c>
      <c r="Z23" t="e">
        <f>VLOOKUP(A23,#REF!,9,FALSE)</f>
        <v>#REF!</v>
      </c>
    </row>
    <row r="24" spans="1:26" s="218" customFormat="1" ht="69.599999999999994" customHeight="1" thickBot="1">
      <c r="A24" s="229" t="s">
        <v>1934</v>
      </c>
      <c r="B24" s="236" t="e">
        <v>#N/A</v>
      </c>
      <c r="C24" s="235">
        <v>45716</v>
      </c>
      <c r="D24" s="286"/>
      <c r="E24" s="273" t="s">
        <v>1923</v>
      </c>
      <c r="F24" s="286"/>
      <c r="G24" s="287" t="s">
        <v>1921</v>
      </c>
      <c r="H24" s="234"/>
      <c r="I24" s="234"/>
      <c r="J24" s="234"/>
      <c r="K24" s="233"/>
      <c r="L24" s="233"/>
      <c r="M24" s="233"/>
      <c r="N24" s="288"/>
      <c r="O24" s="289"/>
      <c r="P24" s="278" t="s">
        <v>1935</v>
      </c>
      <c r="Q24" s="229" t="s">
        <v>64</v>
      </c>
      <c r="R24" s="132" t="s">
        <v>1960</v>
      </c>
      <c r="S24" s="232"/>
      <c r="T24" s="231"/>
      <c r="U24" s="230"/>
      <c r="V24" s="230"/>
      <c r="W24" s="230"/>
      <c r="X24" s="230"/>
      <c r="Y24" s="230" t="s">
        <v>1966</v>
      </c>
      <c r="Z24" t="e">
        <f>VLOOKUP(A24,#REF!,9,FALSE)</f>
        <v>#REF!</v>
      </c>
    </row>
    <row r="25" spans="1:26" ht="15.75" thickBot="1">
      <c r="A25" s="279" t="s">
        <v>737</v>
      </c>
      <c r="B25" s="103" t="s">
        <v>50</v>
      </c>
      <c r="C25" s="219">
        <v>45772</v>
      </c>
      <c r="D25" s="286"/>
      <c r="E25" s="273" t="s">
        <v>1923</v>
      </c>
      <c r="F25" s="286"/>
      <c r="G25" s="287" t="s">
        <v>1921</v>
      </c>
      <c r="H25" s="234"/>
      <c r="I25" s="234"/>
      <c r="J25" s="45"/>
      <c r="K25" s="208"/>
      <c r="L25" s="208"/>
      <c r="M25" s="208"/>
      <c r="N25" s="288"/>
      <c r="O25" s="289"/>
      <c r="P25" s="278" t="s">
        <v>1935</v>
      </c>
      <c r="Q25" s="279" t="s">
        <v>64</v>
      </c>
      <c r="R25" s="132" t="s">
        <v>1960</v>
      </c>
      <c r="S25" s="132"/>
      <c r="T25" s="280"/>
      <c r="U25" s="281"/>
      <c r="V25" s="281"/>
      <c r="W25" s="281"/>
      <c r="X25" s="281"/>
      <c r="Y25" s="281"/>
      <c r="Z25" t="e">
        <f>VLOOKUP(A25,#REF!,9,FALSE)</f>
        <v>#REF!</v>
      </c>
    </row>
    <row r="26" spans="1:26" ht="15.75" thickBot="1">
      <c r="A26" s="279" t="s">
        <v>604</v>
      </c>
      <c r="B26" s="103" t="s">
        <v>50</v>
      </c>
      <c r="C26" s="219">
        <v>45772</v>
      </c>
      <c r="D26" s="286"/>
      <c r="E26" s="273" t="s">
        <v>1923</v>
      </c>
      <c r="F26" s="286"/>
      <c r="G26" s="287" t="s">
        <v>1921</v>
      </c>
      <c r="H26" s="234"/>
      <c r="I26" s="234"/>
      <c r="J26" s="45"/>
      <c r="K26" s="208"/>
      <c r="L26" s="208"/>
      <c r="M26" s="208"/>
      <c r="N26" s="288"/>
      <c r="O26" s="289"/>
      <c r="P26" s="278" t="s">
        <v>1935</v>
      </c>
      <c r="Q26" s="279" t="s">
        <v>64</v>
      </c>
      <c r="R26" s="132" t="s">
        <v>1960</v>
      </c>
      <c r="S26" s="132"/>
      <c r="T26" s="280"/>
      <c r="U26" s="281"/>
      <c r="V26" s="281"/>
      <c r="W26" s="281"/>
      <c r="X26" s="281"/>
      <c r="Y26" s="281"/>
      <c r="Z26" t="e">
        <f>VLOOKUP(A26,#REF!,9,FALSE)</f>
        <v>#REF!</v>
      </c>
    </row>
    <row r="27" spans="1:26" ht="15.75" thickBot="1">
      <c r="A27" s="279" t="s">
        <v>948</v>
      </c>
      <c r="B27" s="103" t="s">
        <v>50</v>
      </c>
      <c r="C27" s="219">
        <v>45772</v>
      </c>
      <c r="D27" s="286"/>
      <c r="E27" s="273" t="s">
        <v>1923</v>
      </c>
      <c r="F27" s="286"/>
      <c r="G27" s="287" t="s">
        <v>1921</v>
      </c>
      <c r="H27" s="234"/>
      <c r="I27" s="234"/>
      <c r="J27" s="45"/>
      <c r="K27" s="208"/>
      <c r="L27" s="208"/>
      <c r="M27" s="208"/>
      <c r="N27" s="288"/>
      <c r="O27" s="289"/>
      <c r="P27" s="278" t="s">
        <v>1935</v>
      </c>
      <c r="Q27" s="279" t="s">
        <v>64</v>
      </c>
      <c r="R27" s="132" t="s">
        <v>1960</v>
      </c>
      <c r="S27" s="132"/>
      <c r="T27" s="280"/>
      <c r="U27" s="281"/>
      <c r="V27" s="281"/>
      <c r="W27" s="281"/>
      <c r="X27" s="281"/>
      <c r="Y27" s="281"/>
      <c r="Z27" t="e">
        <f>VLOOKUP(A27,#REF!,9,FALSE)</f>
        <v>#REF!</v>
      </c>
    </row>
    <row r="28" spans="1:26" ht="70.150000000000006" customHeight="1" thickBot="1">
      <c r="A28" s="229" t="s">
        <v>1937</v>
      </c>
      <c r="B28" s="236"/>
      <c r="C28" s="235"/>
      <c r="D28" s="286"/>
      <c r="E28" s="273" t="s">
        <v>1923</v>
      </c>
      <c r="F28" s="286"/>
      <c r="G28" s="287" t="s">
        <v>1921</v>
      </c>
      <c r="H28" s="234"/>
      <c r="I28" s="234"/>
      <c r="J28" s="234"/>
      <c r="K28" s="233"/>
      <c r="L28" s="233"/>
      <c r="M28" s="233"/>
      <c r="N28" s="288"/>
      <c r="O28" s="289"/>
      <c r="P28" s="278" t="s">
        <v>1935</v>
      </c>
      <c r="Q28" s="229" t="s">
        <v>64</v>
      </c>
      <c r="R28" s="132" t="s">
        <v>1960</v>
      </c>
      <c r="S28" s="232"/>
      <c r="T28" s="231"/>
      <c r="U28" s="230"/>
      <c r="V28" s="230"/>
      <c r="W28" s="230"/>
      <c r="X28" s="230"/>
      <c r="Y28" s="292" t="s">
        <v>1967</v>
      </c>
      <c r="Z28" t="e">
        <f>VLOOKUP(A28,#REF!,9,FALSE)</f>
        <v>#REF!</v>
      </c>
    </row>
    <row r="29" spans="1:26" s="218" customFormat="1" ht="69.599999999999994" customHeight="1" thickBot="1">
      <c r="A29" s="229" t="s">
        <v>1940</v>
      </c>
      <c r="B29" s="236" t="e">
        <v>#N/A</v>
      </c>
      <c r="C29" s="235" t="e">
        <v>#N/A</v>
      </c>
      <c r="D29" s="286"/>
      <c r="E29" s="273" t="s">
        <v>1923</v>
      </c>
      <c r="F29" s="286"/>
      <c r="G29" s="287" t="s">
        <v>1921</v>
      </c>
      <c r="H29" s="234"/>
      <c r="I29" s="234"/>
      <c r="J29" s="234"/>
      <c r="K29" s="233"/>
      <c r="L29" s="233"/>
      <c r="M29" s="233"/>
      <c r="N29" s="288"/>
      <c r="O29" s="289"/>
      <c r="P29" s="278"/>
      <c r="Q29" s="224" t="s">
        <v>64</v>
      </c>
      <c r="R29" s="132" t="s">
        <v>1960</v>
      </c>
      <c r="S29" s="232"/>
      <c r="T29" s="231"/>
      <c r="U29" s="230"/>
      <c r="V29" s="230"/>
      <c r="W29" s="230"/>
      <c r="X29" s="230"/>
      <c r="Y29" s="230" t="s">
        <v>1967</v>
      </c>
      <c r="Z29" t="e">
        <f>VLOOKUP(A29,#REF!,9,FALSE)</f>
        <v>#REF!</v>
      </c>
    </row>
    <row r="30" spans="1:26" ht="15.75" thickBot="1">
      <c r="A30" s="279" t="s">
        <v>765</v>
      </c>
      <c r="B30" s="103" t="s">
        <v>50</v>
      </c>
      <c r="C30" s="219">
        <v>45772</v>
      </c>
      <c r="D30" s="286"/>
      <c r="E30" s="273" t="s">
        <v>1923</v>
      </c>
      <c r="F30" s="286"/>
      <c r="G30" s="287" t="s">
        <v>1942</v>
      </c>
      <c r="H30" s="234"/>
      <c r="I30" s="234"/>
      <c r="J30" s="45"/>
      <c r="K30" s="208"/>
      <c r="L30" s="208"/>
      <c r="M30" s="208"/>
      <c r="N30" s="288"/>
      <c r="O30" s="289"/>
      <c r="P30" s="278"/>
      <c r="Q30" s="279" t="s">
        <v>1942</v>
      </c>
      <c r="R30" s="132" t="s">
        <v>1960</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1923</v>
      </c>
      <c r="F31" s="293"/>
      <c r="G31" s="294" t="s">
        <v>1942</v>
      </c>
      <c r="H31" s="226"/>
      <c r="I31" s="226"/>
      <c r="J31" s="240"/>
      <c r="K31" s="241"/>
      <c r="L31" s="241"/>
      <c r="M31" s="241"/>
      <c r="N31" s="226"/>
      <c r="O31" s="295"/>
      <c r="P31" s="278"/>
      <c r="Q31" s="237" t="s">
        <v>1942</v>
      </c>
      <c r="R31" s="132" t="s">
        <v>1960</v>
      </c>
      <c r="S31" s="242"/>
      <c r="T31" s="243"/>
      <c r="U31" s="244"/>
      <c r="V31" s="244"/>
      <c r="W31" s="244"/>
      <c r="X31" s="244"/>
      <c r="Y31" s="244" t="s">
        <v>1968</v>
      </c>
      <c r="Z31" t="e">
        <f>VLOOKUP(A31,#REF!,9,FALSE)</f>
        <v>#REF!</v>
      </c>
    </row>
    <row r="32" spans="1:26" ht="15.75" thickBot="1">
      <c r="A32" s="279" t="s">
        <v>767</v>
      </c>
      <c r="B32" s="103" t="s">
        <v>50</v>
      </c>
      <c r="C32" s="219">
        <v>45772</v>
      </c>
      <c r="D32" s="286"/>
      <c r="E32" s="273" t="s">
        <v>1923</v>
      </c>
      <c r="F32" s="286"/>
      <c r="G32" s="287" t="s">
        <v>1942</v>
      </c>
      <c r="H32" s="234"/>
      <c r="I32" s="234"/>
      <c r="J32" s="45"/>
      <c r="K32" s="208"/>
      <c r="L32" s="208"/>
      <c r="M32" s="208"/>
      <c r="N32" s="288"/>
      <c r="O32" s="289"/>
      <c r="P32" s="278"/>
      <c r="Q32" s="279" t="s">
        <v>1942</v>
      </c>
      <c r="R32" s="132" t="s">
        <v>1960</v>
      </c>
      <c r="S32" s="132"/>
      <c r="T32" s="280"/>
      <c r="U32" s="281"/>
      <c r="V32" s="281"/>
      <c r="W32" s="281"/>
      <c r="X32" s="281"/>
      <c r="Y32" s="281"/>
      <c r="Z32" t="e">
        <f>VLOOKUP(A32,#REF!,9,FALSE)</f>
        <v>#REF!</v>
      </c>
    </row>
    <row r="33" spans="1:26" ht="15.75" thickBot="1">
      <c r="A33" s="279" t="s">
        <v>757</v>
      </c>
      <c r="B33" s="103" t="s">
        <v>50</v>
      </c>
      <c r="C33" s="219">
        <v>45831</v>
      </c>
      <c r="D33" s="286"/>
      <c r="E33" s="273" t="s">
        <v>1923</v>
      </c>
      <c r="F33" s="286"/>
      <c r="G33" s="287" t="s">
        <v>1921</v>
      </c>
      <c r="H33" s="234"/>
      <c r="I33" s="234"/>
      <c r="J33" s="45"/>
      <c r="K33" s="208"/>
      <c r="L33" s="208"/>
      <c r="M33" s="208"/>
      <c r="N33" s="288"/>
      <c r="O33" s="289"/>
      <c r="P33" s="278"/>
      <c r="Q33" s="229" t="s">
        <v>64</v>
      </c>
      <c r="R33" s="132" t="s">
        <v>1960</v>
      </c>
      <c r="S33" s="132"/>
      <c r="T33" s="280"/>
      <c r="U33" s="281"/>
      <c r="V33" s="281"/>
      <c r="W33" s="281"/>
      <c r="X33" s="281"/>
      <c r="Y33" s="281"/>
      <c r="Z33" t="e">
        <f>VLOOKUP(A33,#REF!,9,FALSE)</f>
        <v>#REF!</v>
      </c>
    </row>
    <row r="34" spans="1:26" ht="15.75" thickBot="1">
      <c r="A34" s="279" t="s">
        <v>751</v>
      </c>
      <c r="B34" s="103" t="s">
        <v>50</v>
      </c>
      <c r="C34" s="219">
        <v>45831</v>
      </c>
      <c r="D34" s="286"/>
      <c r="E34" s="273" t="s">
        <v>1923</v>
      </c>
      <c r="F34" s="286"/>
      <c r="G34" s="287" t="s">
        <v>1921</v>
      </c>
      <c r="H34" s="234"/>
      <c r="I34" s="234"/>
      <c r="J34" s="45"/>
      <c r="K34" s="208"/>
      <c r="L34" s="208"/>
      <c r="M34" s="208"/>
      <c r="N34" s="288"/>
      <c r="O34" s="289"/>
      <c r="P34" s="278"/>
      <c r="Q34" s="279" t="s">
        <v>64</v>
      </c>
      <c r="R34" s="132" t="s">
        <v>1960</v>
      </c>
      <c r="S34" s="132"/>
      <c r="T34" s="280"/>
      <c r="U34" s="281"/>
      <c r="V34" s="281"/>
      <c r="W34" s="281"/>
      <c r="X34" s="281"/>
      <c r="Y34" s="281"/>
      <c r="Z34" t="e">
        <f>VLOOKUP(A34,#REF!,9,FALSE)</f>
        <v>#REF!</v>
      </c>
    </row>
    <row r="35" spans="1:26" ht="15.75" thickBot="1">
      <c r="A35" s="279" t="s">
        <v>753</v>
      </c>
      <c r="B35" s="103" t="s">
        <v>50</v>
      </c>
      <c r="C35" s="219">
        <v>45831</v>
      </c>
      <c r="D35" s="286"/>
      <c r="E35" s="273" t="s">
        <v>1923</v>
      </c>
      <c r="F35" s="286"/>
      <c r="G35" s="287" t="s">
        <v>1921</v>
      </c>
      <c r="H35" s="234"/>
      <c r="I35" s="234"/>
      <c r="J35" s="45"/>
      <c r="K35" s="208"/>
      <c r="L35" s="208"/>
      <c r="M35" s="208"/>
      <c r="N35" s="288"/>
      <c r="O35" s="289"/>
      <c r="P35" s="278"/>
      <c r="Q35" s="279" t="s">
        <v>64</v>
      </c>
      <c r="R35" s="132" t="s">
        <v>1960</v>
      </c>
      <c r="S35" s="132"/>
      <c r="T35" s="280"/>
      <c r="U35" s="281"/>
      <c r="V35" s="281"/>
      <c r="W35" s="281"/>
      <c r="X35" s="281"/>
      <c r="Y35" s="281"/>
      <c r="Z35" t="e">
        <f>VLOOKUP(A35,#REF!,9,FALSE)</f>
        <v>#REF!</v>
      </c>
    </row>
    <row r="36" spans="1:26" ht="15.75" thickBot="1">
      <c r="A36" s="279" t="s">
        <v>749</v>
      </c>
      <c r="B36" s="103" t="s">
        <v>50</v>
      </c>
      <c r="C36" s="219">
        <v>45772</v>
      </c>
      <c r="D36" s="286"/>
      <c r="E36" s="273" t="s">
        <v>1923</v>
      </c>
      <c r="F36" s="286"/>
      <c r="G36" s="287" t="s">
        <v>1942</v>
      </c>
      <c r="H36" s="234"/>
      <c r="I36" s="234"/>
      <c r="J36" s="45"/>
      <c r="K36" s="208"/>
      <c r="L36" s="208"/>
      <c r="M36" s="208"/>
      <c r="N36" s="288"/>
      <c r="O36" s="289"/>
      <c r="P36" s="278"/>
      <c r="Q36" s="279" t="s">
        <v>1942</v>
      </c>
      <c r="R36" s="132" t="s">
        <v>1960</v>
      </c>
      <c r="S36" s="132"/>
      <c r="T36" s="280"/>
      <c r="U36" s="281"/>
      <c r="V36" s="281"/>
      <c r="W36" s="281"/>
      <c r="X36" s="281"/>
      <c r="Y36" s="281"/>
      <c r="Z36" t="e">
        <f>VLOOKUP(A36,#REF!,9,FALSE)</f>
        <v>#REF!</v>
      </c>
    </row>
    <row r="37" spans="1:26" ht="15.75" thickBot="1">
      <c r="A37" s="279" t="s">
        <v>759</v>
      </c>
      <c r="B37" s="103" t="s">
        <v>50</v>
      </c>
      <c r="C37" s="219">
        <v>45831</v>
      </c>
      <c r="D37" s="286"/>
      <c r="E37" s="273" t="s">
        <v>1923</v>
      </c>
      <c r="F37" s="286"/>
      <c r="G37" s="287" t="s">
        <v>1921</v>
      </c>
      <c r="H37" s="234"/>
      <c r="I37" s="234"/>
      <c r="J37" s="45"/>
      <c r="K37" s="208"/>
      <c r="L37" s="208"/>
      <c r="M37" s="208"/>
      <c r="N37" s="288"/>
      <c r="O37" s="289"/>
      <c r="P37" s="278"/>
      <c r="Q37" s="279" t="s">
        <v>64</v>
      </c>
      <c r="R37" s="132" t="s">
        <v>1960</v>
      </c>
      <c r="S37" s="132"/>
      <c r="T37" s="280"/>
      <c r="U37" s="281"/>
      <c r="V37" s="281"/>
      <c r="W37" s="281"/>
      <c r="X37" s="281"/>
      <c r="Y37" s="281"/>
      <c r="Z37" t="e">
        <f>VLOOKUP(A37,#REF!,9,FALSE)</f>
        <v>#REF!</v>
      </c>
    </row>
    <row r="38" spans="1:26" ht="15.75" thickBot="1">
      <c r="A38" s="279" t="s">
        <v>763</v>
      </c>
      <c r="B38" s="103" t="s">
        <v>50</v>
      </c>
      <c r="C38" s="219">
        <v>45831</v>
      </c>
      <c r="D38" s="286"/>
      <c r="E38" s="273" t="s">
        <v>1923</v>
      </c>
      <c r="F38" s="286"/>
      <c r="G38" s="287" t="s">
        <v>1921</v>
      </c>
      <c r="H38" s="234"/>
      <c r="I38" s="234"/>
      <c r="J38" s="45"/>
      <c r="K38" s="208"/>
      <c r="L38" s="208"/>
      <c r="M38" s="208"/>
      <c r="N38" s="288"/>
      <c r="O38" s="289"/>
      <c r="P38" s="278"/>
      <c r="Q38" s="279" t="s">
        <v>64</v>
      </c>
      <c r="R38" s="132" t="s">
        <v>1960</v>
      </c>
      <c r="S38" s="132"/>
      <c r="T38" s="280"/>
      <c r="U38" s="281"/>
      <c r="V38" s="281"/>
      <c r="W38" s="281"/>
      <c r="X38" s="281"/>
      <c r="Y38" s="281"/>
      <c r="Z38" t="e">
        <f>VLOOKUP(A38,#REF!,9,FALSE)</f>
        <v>#REF!</v>
      </c>
    </row>
    <row r="39" spans="1:26" s="220" customFormat="1" ht="70.150000000000006" customHeight="1" thickBot="1">
      <c r="A39" s="224" t="s">
        <v>1943</v>
      </c>
      <c r="B39" s="228" t="e">
        <v>#N/A</v>
      </c>
      <c r="C39" s="227" t="e">
        <v>#N/A</v>
      </c>
      <c r="D39" s="293"/>
      <c r="E39" s="273" t="s">
        <v>1923</v>
      </c>
      <c r="F39" s="293"/>
      <c r="G39" s="294" t="s">
        <v>1942</v>
      </c>
      <c r="H39" s="226"/>
      <c r="I39" s="226"/>
      <c r="J39" s="226"/>
      <c r="K39" s="225"/>
      <c r="L39" s="225"/>
      <c r="M39" s="225"/>
      <c r="N39" s="226"/>
      <c r="O39" s="295"/>
      <c r="P39" s="278"/>
      <c r="Q39" s="224" t="s">
        <v>1942</v>
      </c>
      <c r="R39" s="132" t="s">
        <v>1960</v>
      </c>
      <c r="S39" s="223"/>
      <c r="T39" s="222"/>
      <c r="U39" s="221"/>
      <c r="V39" s="221"/>
      <c r="W39" s="221"/>
      <c r="X39" s="221"/>
      <c r="Y39" s="221" t="s">
        <v>1967</v>
      </c>
      <c r="Z39" t="e">
        <f>VLOOKUP(A39,#REF!,9,FALSE)</f>
        <v>#REF!</v>
      </c>
    </row>
    <row r="40" spans="1:26" ht="15.75" thickBot="1">
      <c r="A40" s="279" t="s">
        <v>823</v>
      </c>
      <c r="B40" s="103" t="s">
        <v>50</v>
      </c>
      <c r="C40" s="219">
        <v>45831</v>
      </c>
      <c r="D40" s="286"/>
      <c r="E40" s="273" t="s">
        <v>1923</v>
      </c>
      <c r="F40" s="286"/>
      <c r="G40" s="287" t="s">
        <v>1921</v>
      </c>
      <c r="H40" s="234"/>
      <c r="I40" s="234"/>
      <c r="J40" s="45"/>
      <c r="K40" s="208"/>
      <c r="L40" s="208"/>
      <c r="M40" s="208"/>
      <c r="N40" s="288"/>
      <c r="O40" s="289"/>
      <c r="P40" s="278"/>
      <c r="Q40" s="279" t="s">
        <v>64</v>
      </c>
      <c r="R40" s="132" t="s">
        <v>1960</v>
      </c>
      <c r="S40" s="132"/>
      <c r="T40" s="280"/>
      <c r="U40" s="281"/>
      <c r="V40" s="281"/>
      <c r="W40" s="281"/>
      <c r="X40" s="281"/>
      <c r="Y40" s="281"/>
      <c r="Z40" t="e">
        <f>VLOOKUP(A40,#REF!,9,FALSE)</f>
        <v>#REF!</v>
      </c>
    </row>
    <row r="41" spans="1:26" ht="15.75" thickBot="1">
      <c r="A41" s="279" t="s">
        <v>83</v>
      </c>
      <c r="B41" s="103" t="s">
        <v>50</v>
      </c>
      <c r="C41" s="219">
        <v>45807</v>
      </c>
      <c r="D41" s="286"/>
      <c r="E41" s="273" t="s">
        <v>1958</v>
      </c>
      <c r="F41" s="286"/>
      <c r="G41" s="287" t="s">
        <v>1921</v>
      </c>
      <c r="H41" s="234"/>
      <c r="I41" s="234"/>
      <c r="J41" s="45"/>
      <c r="K41" s="208"/>
      <c r="L41" s="208"/>
      <c r="M41" s="208"/>
      <c r="N41" s="288"/>
      <c r="O41" s="289"/>
      <c r="P41" s="278" t="s">
        <v>1959</v>
      </c>
      <c r="Q41" s="279" t="s">
        <v>58</v>
      </c>
      <c r="R41" s="132" t="s">
        <v>1960</v>
      </c>
      <c r="S41" s="132"/>
      <c r="T41" s="280"/>
      <c r="U41" s="281"/>
      <c r="V41" s="281"/>
      <c r="W41" s="281"/>
      <c r="X41" s="281"/>
      <c r="Y41" s="281"/>
      <c r="Z41" t="e">
        <f>VLOOKUP(A41,#REF!,9,FALSE)</f>
        <v>#REF!</v>
      </c>
    </row>
    <row r="42" spans="1:26" ht="15.75" thickBot="1">
      <c r="A42" s="279" t="s">
        <v>81</v>
      </c>
      <c r="B42" s="103" t="s">
        <v>50</v>
      </c>
      <c r="C42" s="219">
        <v>45807</v>
      </c>
      <c r="D42" s="286"/>
      <c r="E42" s="273" t="s">
        <v>1958</v>
      </c>
      <c r="F42" s="286"/>
      <c r="G42" s="287" t="s">
        <v>1921</v>
      </c>
      <c r="H42" s="234"/>
      <c r="I42" s="234"/>
      <c r="J42" s="45"/>
      <c r="K42" s="208"/>
      <c r="L42" s="208"/>
      <c r="M42" s="208"/>
      <c r="N42" s="288"/>
      <c r="O42" s="289"/>
      <c r="P42" s="278" t="s">
        <v>1959</v>
      </c>
      <c r="Q42" s="279" t="s">
        <v>64</v>
      </c>
      <c r="R42" s="132" t="s">
        <v>1960</v>
      </c>
      <c r="S42" s="132"/>
      <c r="T42" s="280"/>
      <c r="U42" s="281"/>
      <c r="V42" s="281"/>
      <c r="W42" s="281"/>
      <c r="X42" s="281"/>
      <c r="Y42" s="281"/>
      <c r="Z42" t="e">
        <f>VLOOKUP(A42,#REF!,9,FALSE)</f>
        <v>#REF!</v>
      </c>
    </row>
    <row r="43" spans="1:26" ht="15.75" thickBot="1">
      <c r="A43" s="279" t="s">
        <v>513</v>
      </c>
      <c r="B43" s="103" t="s">
        <v>50</v>
      </c>
      <c r="C43" s="219">
        <v>45807</v>
      </c>
      <c r="D43" s="286"/>
      <c r="E43" s="273" t="s">
        <v>1958</v>
      </c>
      <c r="F43" s="286"/>
      <c r="G43" s="287" t="s">
        <v>1921</v>
      </c>
      <c r="H43" s="234"/>
      <c r="I43" s="234"/>
      <c r="J43" s="45"/>
      <c r="K43" s="208"/>
      <c r="L43" s="208"/>
      <c r="M43" s="208"/>
      <c r="N43" s="288"/>
      <c r="O43" s="289"/>
      <c r="P43" s="278" t="s">
        <v>1959</v>
      </c>
      <c r="Q43" s="279" t="s">
        <v>58</v>
      </c>
      <c r="R43" s="132" t="s">
        <v>1960</v>
      </c>
      <c r="S43" s="132"/>
      <c r="T43" s="280"/>
      <c r="U43" s="281"/>
      <c r="V43" s="281"/>
      <c r="W43" s="281"/>
      <c r="X43" s="281"/>
      <c r="Y43" s="281"/>
      <c r="Z43" t="e">
        <f>VLOOKUP(A43,#REF!,9,FALSE)</f>
        <v>#REF!</v>
      </c>
    </row>
    <row r="44" spans="1:26" ht="15.75" thickBot="1">
      <c r="A44" s="279" t="s">
        <v>79</v>
      </c>
      <c r="B44" s="103" t="s">
        <v>50</v>
      </c>
      <c r="C44" s="219">
        <v>45807</v>
      </c>
      <c r="D44" s="286"/>
      <c r="E44" s="273" t="s">
        <v>1958</v>
      </c>
      <c r="F44" s="286"/>
      <c r="G44" s="287" t="s">
        <v>1921</v>
      </c>
      <c r="H44" s="234"/>
      <c r="I44" s="234"/>
      <c r="J44" s="45"/>
      <c r="K44" s="208"/>
      <c r="L44" s="208"/>
      <c r="M44" s="208"/>
      <c r="N44" s="288"/>
      <c r="O44" s="289"/>
      <c r="P44" s="278" t="s">
        <v>1929</v>
      </c>
      <c r="Q44" s="279" t="s">
        <v>64</v>
      </c>
      <c r="R44" s="132" t="s">
        <v>1960</v>
      </c>
      <c r="S44" s="132"/>
      <c r="T44" s="280"/>
      <c r="U44" s="281"/>
      <c r="V44" s="281"/>
      <c r="W44" s="281"/>
      <c r="X44" s="281"/>
      <c r="Y44" s="281"/>
      <c r="Z44" t="e">
        <f>VLOOKUP(A44,#REF!,9,FALSE)</f>
        <v>#REF!</v>
      </c>
    </row>
    <row r="45" spans="1:26" ht="15.75" thickBot="1">
      <c r="A45" s="346" t="s">
        <v>628</v>
      </c>
      <c r="B45" s="103" t="s">
        <v>50</v>
      </c>
      <c r="C45" s="219">
        <v>45807</v>
      </c>
      <c r="D45" s="286"/>
      <c r="E45" s="273" t="s">
        <v>1923</v>
      </c>
      <c r="F45" s="286"/>
      <c r="G45" s="287" t="s">
        <v>1921</v>
      </c>
      <c r="H45" s="234"/>
      <c r="I45" s="234"/>
      <c r="J45" s="45"/>
      <c r="K45" s="208"/>
      <c r="L45" s="208"/>
      <c r="M45" s="208"/>
      <c r="N45" s="288"/>
      <c r="O45" s="289"/>
      <c r="P45" s="278"/>
      <c r="Q45" s="279" t="s">
        <v>58</v>
      </c>
      <c r="R45" s="132" t="s">
        <v>1960</v>
      </c>
      <c r="S45" s="132"/>
      <c r="T45" s="280"/>
      <c r="U45" s="281"/>
      <c r="V45" s="281"/>
      <c r="W45" s="281"/>
      <c r="X45" s="281"/>
      <c r="Y45" s="281"/>
      <c r="Z45" t="e">
        <f>VLOOKUP(A45,#REF!,9,FALSE)</f>
        <v>#REF!</v>
      </c>
    </row>
    <row r="46" spans="1:26" ht="15.75" thickBot="1">
      <c r="A46" s="296" t="s">
        <v>630</v>
      </c>
      <c r="B46" s="103" t="s">
        <v>50</v>
      </c>
      <c r="C46" s="219">
        <v>45807</v>
      </c>
      <c r="D46" s="286"/>
      <c r="E46" s="273" t="s">
        <v>1923</v>
      </c>
      <c r="F46" s="286"/>
      <c r="G46" s="294" t="s">
        <v>1921</v>
      </c>
      <c r="H46" s="234"/>
      <c r="I46" s="234"/>
      <c r="J46" s="45"/>
      <c r="K46" s="208"/>
      <c r="L46" s="208"/>
      <c r="M46" s="208"/>
      <c r="N46" s="288"/>
      <c r="O46" s="289"/>
      <c r="P46" s="278"/>
      <c r="Q46" s="279" t="s">
        <v>58</v>
      </c>
      <c r="R46" s="132" t="s">
        <v>1960</v>
      </c>
      <c r="S46" s="132"/>
      <c r="T46" s="280"/>
      <c r="U46" s="281"/>
      <c r="V46" s="281"/>
      <c r="W46" s="281"/>
      <c r="X46" s="281"/>
      <c r="Y46" s="281"/>
      <c r="Z46" t="e">
        <f>VLOOKUP(A46,#REF!,9,FALSE)</f>
        <v>#REF!</v>
      </c>
    </row>
    <row r="47" spans="1:26" ht="15.75" thickBot="1">
      <c r="A47" s="297" t="s">
        <v>187</v>
      </c>
      <c r="B47" s="103" t="s">
        <v>50</v>
      </c>
      <c r="C47" s="219">
        <v>45807</v>
      </c>
      <c r="D47" s="286"/>
      <c r="E47" s="273" t="s">
        <v>1923</v>
      </c>
      <c r="F47" s="286"/>
      <c r="G47" s="287" t="s">
        <v>1921</v>
      </c>
      <c r="H47" s="234"/>
      <c r="I47" s="234"/>
      <c r="J47" s="45"/>
      <c r="K47" s="208"/>
      <c r="L47" s="208"/>
      <c r="M47" s="208"/>
      <c r="N47" s="288"/>
      <c r="O47" s="289"/>
      <c r="P47" s="278" t="s">
        <v>1932</v>
      </c>
      <c r="Q47" s="279" t="s">
        <v>58</v>
      </c>
      <c r="R47" s="132" t="s">
        <v>1963</v>
      </c>
      <c r="S47" s="132"/>
      <c r="T47" s="280"/>
      <c r="U47" s="281"/>
      <c r="V47" s="281"/>
      <c r="W47" s="281"/>
      <c r="X47" s="281"/>
      <c r="Y47" s="281"/>
      <c r="Z47" t="e">
        <f>VLOOKUP(A47,#REF!,9,FALSE)</f>
        <v>#REF!</v>
      </c>
    </row>
    <row r="48" spans="1:26" ht="15.75" thickBot="1">
      <c r="A48" s="296" t="s">
        <v>673</v>
      </c>
      <c r="B48" s="103" t="s">
        <v>50</v>
      </c>
      <c r="C48" s="219">
        <v>45807</v>
      </c>
      <c r="D48" s="286"/>
      <c r="E48" s="273" t="s">
        <v>1923</v>
      </c>
      <c r="F48" s="286"/>
      <c r="G48" s="294" t="s">
        <v>1942</v>
      </c>
      <c r="H48" s="234"/>
      <c r="I48" s="234"/>
      <c r="J48" s="45"/>
      <c r="K48" s="208"/>
      <c r="L48" s="208"/>
      <c r="M48" s="208"/>
      <c r="N48" s="288"/>
      <c r="O48" s="289"/>
      <c r="P48" s="278" t="s">
        <v>1969</v>
      </c>
      <c r="Q48" s="279" t="s">
        <v>1942</v>
      </c>
      <c r="R48" s="132" t="s">
        <v>1960</v>
      </c>
      <c r="S48" s="132"/>
      <c r="T48" s="280"/>
      <c r="U48" s="281"/>
      <c r="V48" s="281"/>
      <c r="W48" s="281"/>
      <c r="X48" s="281"/>
      <c r="Y48" s="281"/>
      <c r="Z48" t="e">
        <f>VLOOKUP(A48,#REF!,9,FALSE)</f>
        <v>#REF!</v>
      </c>
    </row>
    <row r="49" spans="1:26" ht="15.75" thickBot="1">
      <c r="A49" s="296" t="s">
        <v>667</v>
      </c>
      <c r="B49" s="103" t="s">
        <v>108</v>
      </c>
      <c r="C49" s="219">
        <v>45772</v>
      </c>
      <c r="D49" s="286"/>
      <c r="E49" s="273" t="s">
        <v>1923</v>
      </c>
      <c r="F49" s="286"/>
      <c r="G49" s="294" t="s">
        <v>1942</v>
      </c>
      <c r="H49" s="234"/>
      <c r="I49" s="234"/>
      <c r="J49" s="45"/>
      <c r="K49" s="208"/>
      <c r="L49" s="208"/>
      <c r="M49" s="208"/>
      <c r="N49" s="288"/>
      <c r="O49" s="289"/>
      <c r="P49" s="278" t="s">
        <v>1969</v>
      </c>
      <c r="Q49" s="279" t="s">
        <v>1942</v>
      </c>
      <c r="R49" s="132" t="s">
        <v>1960</v>
      </c>
      <c r="S49" s="132"/>
      <c r="T49" s="280"/>
      <c r="U49" s="281"/>
      <c r="V49" s="281"/>
      <c r="W49" s="281"/>
      <c r="X49" s="281"/>
      <c r="Y49" s="281"/>
      <c r="Z49" t="e">
        <f>VLOOKUP(A49,#REF!,9,FALSE)</f>
        <v>#REF!</v>
      </c>
    </row>
    <row r="50" spans="1:26" ht="15.75" thickBot="1">
      <c r="A50" s="296" t="s">
        <v>665</v>
      </c>
      <c r="B50" s="103" t="s">
        <v>108</v>
      </c>
      <c r="C50" s="219">
        <v>45772</v>
      </c>
      <c r="D50" s="286"/>
      <c r="E50" s="273" t="s">
        <v>1923</v>
      </c>
      <c r="F50" s="286"/>
      <c r="G50" s="294" t="s">
        <v>1942</v>
      </c>
      <c r="H50" s="234"/>
      <c r="I50" s="234"/>
      <c r="J50" s="45"/>
      <c r="K50" s="208"/>
      <c r="L50" s="208"/>
      <c r="M50" s="208"/>
      <c r="N50" s="288"/>
      <c r="O50" s="289"/>
      <c r="P50" s="278" t="s">
        <v>1969</v>
      </c>
      <c r="Q50" s="279" t="s">
        <v>1942</v>
      </c>
      <c r="R50" s="132" t="s">
        <v>1960</v>
      </c>
      <c r="S50" s="132"/>
      <c r="T50" s="280"/>
      <c r="U50" s="281"/>
      <c r="V50" s="281"/>
      <c r="W50" s="281"/>
      <c r="X50" s="281"/>
      <c r="Y50" s="281"/>
      <c r="Z50" t="e">
        <f>VLOOKUP(A50,#REF!,9,FALSE)</f>
        <v>#REF!</v>
      </c>
    </row>
    <row r="51" spans="1:26" ht="15.75" thickBot="1">
      <c r="A51" s="296" t="s">
        <v>671</v>
      </c>
      <c r="B51" s="103" t="e">
        <v>#N/A</v>
      </c>
      <c r="C51" s="219" t="e">
        <v>#N/A</v>
      </c>
      <c r="D51" s="286"/>
      <c r="E51" s="273" t="s">
        <v>1923</v>
      </c>
      <c r="F51" s="286"/>
      <c r="G51" s="294" t="s">
        <v>1942</v>
      </c>
      <c r="H51" s="234"/>
      <c r="I51" s="234"/>
      <c r="J51" s="45"/>
      <c r="K51" s="208"/>
      <c r="L51" s="208"/>
      <c r="M51" s="208"/>
      <c r="N51" s="288"/>
      <c r="O51" s="289"/>
      <c r="P51" s="278" t="s">
        <v>1969</v>
      </c>
      <c r="Q51" s="279" t="s">
        <v>1942</v>
      </c>
      <c r="R51" s="132" t="s">
        <v>1960</v>
      </c>
      <c r="S51" s="132"/>
      <c r="T51" s="280"/>
      <c r="U51" s="281"/>
      <c r="V51" s="281"/>
      <c r="W51" s="281"/>
      <c r="X51" s="281"/>
      <c r="Y51" s="281"/>
      <c r="Z51" t="e">
        <f>VLOOKUP(A51,#REF!,9,FALSE)</f>
        <v>#REF!</v>
      </c>
    </row>
    <row r="52" spans="1:26" ht="13.9" customHeight="1" thickBot="1">
      <c r="A52" s="296" t="s">
        <v>647</v>
      </c>
      <c r="B52" s="103" t="s">
        <v>108</v>
      </c>
      <c r="C52" s="219">
        <v>45925</v>
      </c>
      <c r="D52" s="286"/>
      <c r="E52" s="273" t="s">
        <v>1958</v>
      </c>
      <c r="F52" s="286"/>
      <c r="G52" s="287" t="s">
        <v>1921</v>
      </c>
      <c r="H52" s="234"/>
      <c r="I52" s="234"/>
      <c r="J52" s="45"/>
      <c r="K52" s="208"/>
      <c r="L52" s="208"/>
      <c r="M52" s="208"/>
      <c r="N52" s="288"/>
      <c r="O52" s="289"/>
      <c r="P52" s="278" t="s">
        <v>1959</v>
      </c>
      <c r="Q52" s="279" t="s">
        <v>64</v>
      </c>
      <c r="R52" s="132" t="s">
        <v>1960</v>
      </c>
      <c r="S52" s="132"/>
      <c r="T52" s="280"/>
      <c r="U52" s="281"/>
      <c r="V52" s="281"/>
      <c r="W52" s="281"/>
      <c r="X52" s="281"/>
      <c r="Y52" s="281"/>
      <c r="Z52" t="e">
        <f>VLOOKUP(A52,#REF!,9,FALSE)</f>
        <v>#REF!</v>
      </c>
    </row>
    <row r="53" spans="1:26" ht="15.75" thickBot="1">
      <c r="A53" s="296" t="s">
        <v>649</v>
      </c>
      <c r="B53" s="103" t="s">
        <v>108</v>
      </c>
      <c r="C53" s="219">
        <v>45925</v>
      </c>
      <c r="D53" s="286"/>
      <c r="E53" s="273" t="s">
        <v>1958</v>
      </c>
      <c r="F53" s="286"/>
      <c r="G53" s="287" t="s">
        <v>1921</v>
      </c>
      <c r="H53" s="234"/>
      <c r="I53" s="234"/>
      <c r="J53" s="45"/>
      <c r="K53" s="208"/>
      <c r="L53" s="208"/>
      <c r="M53" s="208"/>
      <c r="N53" s="288"/>
      <c r="O53" s="289"/>
      <c r="P53" s="278" t="s">
        <v>1959</v>
      </c>
      <c r="Q53" s="279" t="s">
        <v>64</v>
      </c>
      <c r="R53" s="132" t="s">
        <v>1960</v>
      </c>
      <c r="S53" s="132"/>
      <c r="T53" s="280"/>
      <c r="U53" s="281"/>
      <c r="V53" s="281"/>
      <c r="W53" s="281"/>
      <c r="X53" s="281"/>
      <c r="Y53" s="281"/>
      <c r="Z53" t="e">
        <f>VLOOKUP(A53,#REF!,9,FALSE)</f>
        <v>#REF!</v>
      </c>
    </row>
    <row r="54" spans="1:26" ht="15.75" thickBot="1">
      <c r="A54" s="296" t="s">
        <v>645</v>
      </c>
      <c r="B54" s="103" t="s">
        <v>108</v>
      </c>
      <c r="C54" s="219">
        <v>45925</v>
      </c>
      <c r="D54" s="286"/>
      <c r="E54" s="273" t="s">
        <v>1958</v>
      </c>
      <c r="F54" s="286"/>
      <c r="G54" s="287" t="s">
        <v>1921</v>
      </c>
      <c r="H54" s="234"/>
      <c r="I54" s="234"/>
      <c r="J54" s="45"/>
      <c r="K54" s="208"/>
      <c r="L54" s="208"/>
      <c r="M54" s="208"/>
      <c r="N54" s="288"/>
      <c r="O54" s="289"/>
      <c r="P54" s="278" t="s">
        <v>1959</v>
      </c>
      <c r="Q54" s="279" t="s">
        <v>64</v>
      </c>
      <c r="R54" s="132" t="s">
        <v>1960</v>
      </c>
      <c r="S54" s="132"/>
      <c r="T54" s="280"/>
      <c r="U54" s="281"/>
      <c r="V54" s="281"/>
      <c r="W54" s="281"/>
      <c r="X54" s="281"/>
      <c r="Y54" s="281"/>
      <c r="Z54" t="e">
        <f>VLOOKUP(A54,#REF!,9,FALSE)</f>
        <v>#REF!</v>
      </c>
    </row>
    <row r="55" spans="1:26" ht="15.75" thickBot="1">
      <c r="A55" s="296" t="s">
        <v>683</v>
      </c>
      <c r="B55" s="103" t="s">
        <v>108</v>
      </c>
      <c r="C55" s="219">
        <v>45862</v>
      </c>
      <c r="D55" s="286"/>
      <c r="E55" s="273" t="s">
        <v>1958</v>
      </c>
      <c r="F55" s="286"/>
      <c r="G55" s="287" t="s">
        <v>1921</v>
      </c>
      <c r="H55" s="234"/>
      <c r="I55" s="234"/>
      <c r="J55" s="45"/>
      <c r="K55" s="208"/>
      <c r="L55" s="208"/>
      <c r="M55" s="208"/>
      <c r="N55" s="288"/>
      <c r="O55" s="289"/>
      <c r="P55" s="278" t="s">
        <v>1932</v>
      </c>
      <c r="Q55" s="279" t="s">
        <v>58</v>
      </c>
      <c r="R55" s="132" t="s">
        <v>1963</v>
      </c>
      <c r="S55" s="132"/>
      <c r="T55" s="280"/>
      <c r="U55" s="281"/>
      <c r="V55" s="281"/>
      <c r="W55" s="281"/>
      <c r="X55" s="281"/>
      <c r="Y55" s="281"/>
      <c r="Z55" t="e">
        <f>VLOOKUP(A55,#REF!,9,FALSE)</f>
        <v>#REF!</v>
      </c>
    </row>
    <row r="56" spans="1:26" ht="15.75" thickBot="1">
      <c r="A56" s="296" t="s">
        <v>125</v>
      </c>
      <c r="B56" s="103"/>
      <c r="C56" s="219" t="e">
        <v>#N/A</v>
      </c>
      <c r="D56" s="286"/>
      <c r="E56" s="273" t="s">
        <v>1958</v>
      </c>
      <c r="F56" s="286"/>
      <c r="G56" s="287" t="s">
        <v>1921</v>
      </c>
      <c r="H56" s="234"/>
      <c r="I56" s="234"/>
      <c r="J56" s="45"/>
      <c r="K56" s="208"/>
      <c r="L56" s="208"/>
      <c r="M56" s="208"/>
      <c r="N56" s="288"/>
      <c r="O56" s="289"/>
      <c r="P56" s="278" t="s">
        <v>1970</v>
      </c>
      <c r="Q56" s="279" t="s">
        <v>58</v>
      </c>
      <c r="R56" s="132" t="s">
        <v>1963</v>
      </c>
      <c r="S56" s="132"/>
      <c r="T56" s="280"/>
      <c r="U56" s="281"/>
      <c r="V56" s="281"/>
      <c r="W56" s="281"/>
      <c r="X56" s="281"/>
      <c r="Y56" s="281"/>
      <c r="Z56" t="e">
        <f>VLOOKUP(A56,#REF!,9,FALSE)</f>
        <v>#REF!</v>
      </c>
    </row>
    <row r="57" spans="1:26" ht="15.75" thickBot="1">
      <c r="A57" s="163" t="s">
        <v>1971</v>
      </c>
      <c r="B57" s="103" t="s">
        <v>108</v>
      </c>
      <c r="C57" s="298">
        <v>45787</v>
      </c>
      <c r="D57" s="286"/>
      <c r="E57" s="273" t="s">
        <v>1958</v>
      </c>
      <c r="F57" s="286"/>
      <c r="G57" s="287" t="s">
        <v>1921</v>
      </c>
      <c r="H57" s="234"/>
      <c r="I57" s="234"/>
      <c r="J57" s="45"/>
      <c r="K57" s="208"/>
      <c r="L57" s="208"/>
      <c r="M57" s="208"/>
      <c r="N57" s="288"/>
      <c r="O57" s="289"/>
      <c r="P57" s="278" t="s">
        <v>1932</v>
      </c>
      <c r="Q57" s="279" t="s">
        <v>1972</v>
      </c>
      <c r="R57" s="132" t="s">
        <v>1963</v>
      </c>
      <c r="S57" s="132"/>
      <c r="T57" s="280"/>
      <c r="U57" s="281"/>
      <c r="V57" s="281"/>
      <c r="W57" s="281"/>
      <c r="X57" s="281"/>
      <c r="Y57" s="281"/>
      <c r="Z57" t="e">
        <f>VLOOKUP(A57,#REF!,9,FALSE)</f>
        <v>#REF!</v>
      </c>
    </row>
    <row r="58" spans="1:26" ht="15.75" thickBot="1">
      <c r="A58" s="638" t="s">
        <v>645</v>
      </c>
      <c r="B58" s="103" t="s">
        <v>50</v>
      </c>
      <c r="C58" s="300">
        <v>45807</v>
      </c>
      <c r="D58" s="286"/>
      <c r="E58" s="273" t="s">
        <v>1923</v>
      </c>
      <c r="F58" s="286"/>
      <c r="G58" s="287" t="s">
        <v>1921</v>
      </c>
      <c r="H58" s="234"/>
      <c r="I58" s="234"/>
      <c r="J58" s="45"/>
      <c r="K58" s="208"/>
      <c r="L58" s="208"/>
      <c r="M58" s="208"/>
      <c r="N58" s="288"/>
      <c r="O58" s="289"/>
      <c r="P58" s="291"/>
      <c r="Q58" s="279" t="s">
        <v>64</v>
      </c>
      <c r="R58" s="132" t="s">
        <v>1960</v>
      </c>
      <c r="S58" s="132"/>
      <c r="T58" s="280"/>
      <c r="U58" s="281"/>
      <c r="V58" s="281"/>
      <c r="W58" s="281"/>
      <c r="X58" s="281"/>
      <c r="Y58" s="281"/>
    </row>
    <row r="59" spans="1:26" ht="15.75" thickBot="1">
      <c r="A59" s="638" t="s">
        <v>647</v>
      </c>
      <c r="B59" s="103" t="s">
        <v>108</v>
      </c>
      <c r="C59" s="300">
        <v>45772</v>
      </c>
      <c r="D59" s="286"/>
      <c r="E59" s="273" t="s">
        <v>1923</v>
      </c>
      <c r="F59" s="286"/>
      <c r="G59" s="287" t="s">
        <v>1921</v>
      </c>
      <c r="H59" s="234"/>
      <c r="I59" s="234"/>
      <c r="J59" s="45"/>
      <c r="K59" s="208"/>
      <c r="L59" s="208"/>
      <c r="M59" s="208"/>
      <c r="N59" s="288"/>
      <c r="O59" s="289"/>
      <c r="P59" s="291"/>
      <c r="Q59" s="279" t="s">
        <v>64</v>
      </c>
      <c r="R59" s="132" t="s">
        <v>1960</v>
      </c>
      <c r="S59" s="132"/>
      <c r="T59" s="280"/>
      <c r="U59" s="281"/>
      <c r="V59" s="281"/>
      <c r="W59" s="281"/>
      <c r="X59" s="281"/>
      <c r="Y59" s="281"/>
    </row>
    <row r="60" spans="1:26" ht="15.75" thickBot="1">
      <c r="A60" s="639" t="s">
        <v>649</v>
      </c>
      <c r="B60" s="103" t="s">
        <v>108</v>
      </c>
      <c r="C60" s="300">
        <v>45772</v>
      </c>
      <c r="D60" s="286"/>
      <c r="E60" s="273" t="s">
        <v>1923</v>
      </c>
      <c r="F60" s="286"/>
      <c r="G60" s="287" t="s">
        <v>1921</v>
      </c>
      <c r="H60" s="234"/>
      <c r="I60" s="234"/>
      <c r="J60" s="45"/>
      <c r="K60" s="208"/>
      <c r="L60" s="208"/>
      <c r="M60" s="208"/>
      <c r="N60" s="288"/>
      <c r="O60" s="289"/>
      <c r="P60" s="291"/>
      <c r="Q60" s="279" t="s">
        <v>64</v>
      </c>
      <c r="R60" s="132" t="s">
        <v>1960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1952</v>
      </c>
      <c r="B70" s="305">
        <f>SUM(K4:K9)</f>
        <v>0</v>
      </c>
      <c r="C70" s="306" t="e">
        <f>B70/B73</f>
        <v>#DIV/0!</v>
      </c>
    </row>
    <row r="71" spans="1:25">
      <c r="A71" s="304" t="s">
        <v>1908</v>
      </c>
      <c r="B71" s="305">
        <f>SUM(L4:L9)</f>
        <v>0</v>
      </c>
      <c r="C71" s="306" t="e">
        <f>B71/B73</f>
        <v>#DIV/0!</v>
      </c>
    </row>
    <row r="72" spans="1:25">
      <c r="A72" s="304" t="s">
        <v>1953</v>
      </c>
      <c r="B72" s="305">
        <f>SUM(M4:M9)</f>
        <v>0</v>
      </c>
      <c r="C72" s="306" t="e">
        <f>B72/B73</f>
        <v>#DIV/0!</v>
      </c>
    </row>
    <row r="73" spans="1:25">
      <c r="A73" s="304" t="s">
        <v>998</v>
      </c>
      <c r="B73" s="305">
        <f>SUM(B70:B72)</f>
        <v>0</v>
      </c>
      <c r="C73" s="283"/>
    </row>
    <row r="80" spans="1:25">
      <c r="A80" t="s">
        <v>1973</v>
      </c>
    </row>
    <row r="81" spans="1:1">
      <c r="A81" t="s">
        <v>1974</v>
      </c>
    </row>
    <row r="82" spans="1:1">
      <c r="A82" t="s">
        <v>1959</v>
      </c>
    </row>
    <row r="83" spans="1:1">
      <c r="A83" t="s">
        <v>1975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92F7FEA-57C6-43A2-BC0B-CCCF1A5BB15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2025-12-03T18:26:15Z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