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69" documentId="8_{E14B221E-02E2-46A3-8CEC-C736815F2DD5}" xr6:coauthVersionLast="47" xr6:coauthVersionMax="47" xr10:uidLastSave="{2A9E5400-D5F6-4028-8034-7B916ECBED07}"/>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898" r:id="rId12"/>
    <pivotCache cacheId="1901" r:id="rId13"/>
    <pivotCache cacheId="1904" r:id="rId14"/>
    <pivotCache cacheId="1907" r:id="rId15"/>
    <pivotCache cacheId="19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32" l="1"/>
  <c r="Y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<sst xmlns="http://schemas.openxmlformats.org/spreadsheetml/2006/main" count="15237" uniqueCount="1921">
  <si>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</si>
  <si>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</si>
  <si>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</si>
  <si>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</si>
  <si>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</si>
  <si>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</si>
  <si>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</si>
  <si>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</si>
  <si>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</si>
  <si>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</si>
  <si>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</si>
  <si>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</si>
  <si>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</si>
  <si>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</si>
  <si>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</si>
  <si>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</si>
  <si>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</si>
  <si>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</si>
  <si>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</si>
  <si>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</si>
  <si>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</si>
  <si>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</si>
  <si>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</si>
  <si>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</si>
  <si>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</si>
  <si>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</si>
  <si>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</si>
  <si>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</si>
  <si>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</si>
  <si>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</si>
  <si>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</si>
  <si>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</si>
  <si>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</si>
  <si>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</si>
  <si>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</si>
  <si>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</si>
  <si>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</si>
  <si>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</si>
  <si>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</si>
  <si>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</si>
  <si>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</si>
  <si>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</si>
  <si>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</si>
  <si>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</si>
  <si>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</si>
  <si>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</si>
  <si>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</si>
  <si>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</si>
  <si>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</si>
  <si>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</si>
  <si>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</si>
  <si>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</si>
  <si>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</si>
  <si>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</si>
  <si>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</si>
  <si>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</si>
  <si>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</si>
  <si>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</si>
  <si>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</si>
  <si>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</si>
  <si>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</si>
  <si>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</si>
  <si>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</si>
  <si>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</si>
  <si>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</si>
  <si>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</si>
  <si>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</si>
  <si>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</si>
  <si>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</si>
  <si>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</si>
  <si>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</si>
  <si>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</si>
  <si>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</si>
  <si>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</si>
  <si>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</si>
  <si>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</si>
  <si>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</si>
  <si>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</si>
  <si>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</si>
  <si>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</si>
  <si>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</si>
  <si>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</si>
  <si>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</si>
  <si>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</si>
  <si>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</si>
  <si>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</si>
  <si>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</si>
  <si>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</si>
  <si>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</si>
  <si>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</si>
  <si>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</si>
  <si>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</si>
  <si>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</si>
  <si>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</si>
  <si>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</si>
  <si>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</si>
  <si>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</si>
  <si>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</si>
  <si>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</si>
  <si>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</si>
  <si>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</si>
  <si>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</si>
  <si>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</si>
  <si>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</si>
  <si>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</si>
  <si>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</si>
  <si>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</si>
  <si>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</si>
  <si>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</si>
  <si>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</si>
  <si>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</si>
  <si>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</si>
  <si>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</si>
  <si>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</si>
  <si>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</si>
  <si>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</si>
  <si>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</si>
  <si>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</si>
  <si>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</si>
  <si>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</si>
  <si>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</si>
  <si>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</si>
  <si>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</si>
  <si>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</si>
  <si>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</si>
  <si>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</si>
  <si>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</si>
  <si>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</si>
  <si>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</si>
  <si>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</si>
  <si>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</si>
  <si>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</si>
  <si>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</si>
  <si>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</si>
  <si>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</si>
  <si>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</si>
  <si>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</si>
  <si>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</si>
  <si>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</si>
  <si>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</si>
  <si>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</si>
  <si>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</si>
  <si>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</si>
  <si>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</si>
  <si>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</si>
  <si>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</si>
  <si>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</si>
  <si>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</si>
  <si>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</si>
  <si>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</si>
  <si>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</si>
  <si>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</si>
  <si>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</si>
  <si>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</si>
  <si>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</si>
  <si>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</si>
  <si>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</si>
  <si>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</si>
  <si>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</si>
  <si>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</si>
  <si>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</si>
  <si>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</si>
  <si>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</si>
  <si>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</si>
  <si>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</si>
  <si>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</si>
  <si>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</si>
  <si>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</si>
  <si>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</si>
  <si>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</si>
  <si>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</si>
  <si>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</si>
  <si>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</si>
  <si>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</si>
  <si>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</si>
  <si>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</si>
  <si>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</si>
  <si>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</si>
  <si>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</si>
  <si>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</si>
  <si>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</si>
  <si>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</si>
  <si>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</si>
  <si>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</si>
  <si>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</si>
  <si>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</si>
  <si>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</si>
  <si>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</si>
  <si>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</si>
  <si>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</si>
  <si>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</si>
  <si>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</si>
  <si>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</si>
  <si>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</si>
  <si>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</si>
  <si>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</si>
  <si>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</si>
  <si>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</si>
  <si>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</si>
  <si>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</si>
  <si>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</si>
  <si>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</si>
  <si>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</si>
  <si>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</si>
  <si>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</si>
  <si>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</si>
  <si>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</si>
  <si>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</si>
  <si>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</si>
  <si>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</si>
  <si>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</si>
  <si>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</si>
  <si>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</si>
  <si>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</si>
  <si>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</si>
  <si>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</si>
  <si>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</si>
  <si>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</si>
  <si>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</si>
  <si>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</si>
  <si>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</si>
  <si>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</si>
  <si>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</si>
  <si>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</si>
  <si>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</si>
  <si>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</si>
  <si>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</si>
  <si>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</si>
  <si>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</si>
  <si>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</si>
  <si>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</si>
  <si>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</si>
  <si>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</si>
  <si>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</si>
  <si>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</si>
  <si>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</si>
  <si>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</si>
  <si>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</si>
  <si>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</si>
  <si>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</si>
  <si>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</si>
  <si>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</si>
  <si>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</si>
  <si>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</si>
  <si>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</si>
  <si>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</si>
  <si>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</si>
  <si>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</si>
  <si>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</si>
  <si>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</si>
  <si>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</si>
  <si>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</si>
  <si>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</si>
  <si>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</si>
  <si>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</si>
  <si>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</si>
  <si>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</si>
  <si>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</si>
  <si>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</si>
  <si>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</si>
  <si>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</si>
  <si>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</si>
  <si>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</si>
  <si>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</si>
  <si>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</si>
  <si>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</si>
  <si>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</si>
  <si>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</si>
  <si>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</si>
  <si>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</si>
  <si>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</si>
  <si>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</si>
  <si>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</si>
  <si>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</si>
  <si>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</si>
  <si>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</si>
  <si>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</si>
  <si>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</si>
  <si>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</si>
  <si>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</si>
  <si>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</si>
  <si>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</si>
  <si>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</si>
  <si>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</si>
  <si>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</si>
  <si>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</si>
  <si>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</si>
  <si>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</si>
  <si>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</si>
  <si>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</si>
  <si>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</si>
  <si>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</si>
  <si>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</si>
  <si>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</si>
  <si>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</si>
  <si>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</si>
  <si>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</si>
  <si>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</si>
  <si>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</si>
  <si>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</si>
  <si>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</si>
  <si>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</si>
  <si>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</si>
  <si>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</si>
  <si>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</si>
  <si>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</si>
  <si>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</si>
  <si>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</si>
  <si>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</si>
  <si>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</si>
  <si>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</si>
  <si>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</si>
  <si>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</si>
  <si>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</si>
  <si>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</si>
  <si>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</si>
  <si>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</si>
  <si>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</si>
  <si>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</si>
  <si>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</si>
  <si>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</si>
  <si>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</si>
  <si>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</si>
  <si>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</si>
  <si>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</si>
  <si>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</si>
  <si>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</si>
  <si>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</si>
  <si>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</si>
  <si>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</si>
  <si>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</si>
  <si>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</si>
  <si>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</si>
  <si>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</si>
  <si>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</si>
  <si>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</si>
  <si>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</si>
  <si>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</si>
  <si>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</si>
  <si>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</si>
  <si>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</si>
  <si>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</si>
  <si>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</si>
  <si>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</si>
  <si>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</si>
  <si>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</si>
  <si>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</si>
  <si>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</si>
  <si>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</si>
  <si>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</si>
  <si>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</si>
  <si>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</si>
  <si>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</si>
  <si>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</si>
  <si>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</si>
  <si>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</si>
  <si>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</si>
  <si>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</si>
  <si>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</si>
  <si>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</si>
  <si>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</si>
  <si>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</si>
  <si>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</si>
  <si>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</si>
  <si>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</si>
  <si>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</si>
  <si>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</si>
  <si>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</si>
  <si>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</si>
  <si>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</si>
  <si>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</si>
  <si>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</si>
  <si>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</si>
  <si>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</si>
  <si>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</si>
  <si>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</si>
  <si>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</si>
  <si>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</si>
  <si>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</si>
  <si>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</si>
  <si>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</si>
  <si>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</si>
  <si>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</si>
  <si>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</si>
  <si>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</si>
  <si>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</si>
  <si>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</si>
  <si>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</si>
  <si>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</si>
  <si>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</si>
  <si>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</si>
  <si>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</si>
  <si>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</si>
  <si>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</si>
  <si>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</si>
  <si>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</si>
  <si>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</si>
  <si>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</si>
  <si>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</si>
  <si>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</si>
  <si>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</si>
  <si>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</si>
  <si>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</si>
  <si>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</si>
  <si>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</si>
  <si>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</si>
  <si>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</si>
  <si>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</si>
  <si>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</si>
  <si>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</si>
  <si>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</si>
  <si>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</si>
  <si>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</si>
  <si>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</si>
  <si>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</si>
  <si>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</si>
  <si>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</si>
  <si>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</si>
  <si>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</si>
  <si>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</si>
  <si>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</si>
  <si>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</si>
  <si>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</si>
  <si>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</si>
  <si>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</si>
  <si>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</si>
  <si>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</si>
  <si>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</si>
  <si>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</si>
  <si>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</si>
  <si>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</si>
  <si>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</si>
  <si>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</si>
  <si>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</si>
  <si>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</si>
  <si>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</si>
  <si>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</si>
  <si>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</si>
  <si>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</si>
  <si>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</si>
  <si>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</si>
  <si>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</si>
  <si>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</si>
  <si>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</si>
  <si>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</si>
  <si>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</si>
  <si>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</si>
  <si>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</si>
  <si>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</si>
  <si>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</si>
  <si>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</si>
  <si>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</si>
  <si>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</si>
  <si>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</si>
  <si>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</si>
  <si>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</si>
  <si>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</si>
  <si>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</si>
  <si>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</si>
  <si>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</si>
  <si>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</si>
  <si>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</si>
  <si>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</si>
  <si>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</si>
  <si>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</si>
  <si>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</si>
  <si>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</si>
  <si>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</si>
  <si>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</si>
  <si>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</si>
  <si>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</si>
  <si>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</si>
  <si>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</si>
  <si>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</si>
  <si>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</si>
  <si>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</si>
  <si>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</si>
  <si>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</si>
  <si>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</si>
  <si>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</si>
  <si>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</si>
  <si>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</si>
  <si>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</si>
  <si>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</si>
  <si>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</si>
  <si>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</si>
  <si>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</si>
  <si>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</si>
  <si>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</si>
  <si>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</si>
  <si>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</si>
  <si>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</si>
  <si>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</si>
  <si>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</si>
  <si>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</si>
  <si>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</si>
  <si>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</si>
  <si>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</si>
  <si>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</si>
  <si>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</si>
  <si>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</si>
  <si>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</si>
  <si>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</si>
  <si>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</si>
  <si>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</si>
  <si>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</si>
  <si>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</si>
  <si>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</si>
  <si>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</si>
  <si>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</si>
  <si>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</si>
  <si>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</si>
  <si>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</si>
  <si>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</si>
  <si>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</si>
  <si>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</si>
  <si>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</si>
  <si>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</si>
  <si>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</si>
  <si>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</si>
  <si>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</si>
  <si>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</si>
  <si>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</si>
  <si>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</si>
  <si>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</si>
  <si>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</si>
  <si>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</si>
  <si>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</si>
  <si>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</si>
  <si>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</si>
  <si>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</si>
  <si>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</si>
  <si>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</si>
  <si>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</si>
  <si>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</si>
  <si>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</si>
  <si>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</si>
  <si>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</si>
  <si>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</si>
  <si>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</si>
  <si>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</si>
  <si>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</si>
  <si>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</si>
  <si>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</si>
  <si>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</si>
  <si>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</si>
  <si>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</si>
  <si>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</si>
  <si>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</si>
  <si>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</si>
  <si>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</si>
  <si>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</si>
  <si>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</si>
  <si>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</si>
  <si>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</si>
  <si>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</si>
  <si>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</si>
  <si>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</si>
  <si>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</si>
  <si>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</si>
  <si>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</si>
  <si>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</si>
  <si>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</si>
  <si>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</si>
  <si>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</si>
  <si>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</si>
  <si>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</si>
  <si>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</si>
  <si>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</si>
  <si>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</si>
  <si>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</si>
  <si>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</si>
  <si>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</si>
  <si>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</si>
  <si>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</si>
  <si>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</si>
  <si>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</si>
  <si>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</si>
  <si>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</si>
  <si>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</si>
  <si>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</si>
  <si>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</si>
  <si>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</si>
  <si>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</si>
  <si>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</si>
  <si>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</si>
  <si>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</si>
  <si>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</si>
  <si>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</si>
  <si>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</si>
  <si>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</si>
  <si>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</si>
  <si>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</si>
  <si>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</si>
  <si>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</si>
  <si>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</si>
  <si>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</si>
  <si>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</si>
  <si>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</si>
  <si>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</si>
  <si>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</si>
  <si>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</si>
  <si>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</si>
  <si>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</si>
  <si>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</si>
  <si>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</si>
  <si>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</si>
  <si>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</si>
  <si>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</si>
  <si>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</si>
  <si>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</si>
  <si>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</si>
  <si>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</si>
  <si>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</si>
  <si>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</si>
  <si>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</si>
  <si>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</si>
  <si>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</si>
  <si>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</si>
  <si>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</si>
  <si>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</si>
  <si>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</si>
  <si>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</si>
  <si>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</si>
  <si>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</si>
  <si>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</si>
  <si>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</si>
  <si>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</si>
  <si>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</si>
  <si>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</si>
  <si>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</si>
  <si>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</si>
  <si>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</si>
  <si>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</si>
  <si>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</si>
  <si>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</si>
  <si>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</si>
  <si>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</si>
  <si>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</si>
  <si>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</si>
  <si>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</si>
  <si>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</si>
  <si>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</si>
  <si>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</si>
  <si>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</si>
  <si>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</si>
  <si>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</si>
  <si>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</si>
  <si>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</si>
  <si>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</si>
  <si>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</si>
  <si>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</si>
  <si>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</si>
  <si>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</si>
  <si>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</si>
  <si>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</si>
  <si>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</si>
  <si>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</si>
  <si>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</si>
  <si>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</si>
  <si>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</si>
  <si>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</si>
  <si>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</si>
  <si>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</si>
  <si>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</si>
  <si>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</si>
  <si>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</si>
  <si>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</si>
  <si>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</si>
  <si>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</si>
  <si>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</si>
  <si>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</si>
  <si>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</si>
  <si>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</si>
  <si>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</si>
  <si>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</si>
  <si>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</si>
  <si>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</si>
  <si>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</si>
  <si>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</si>
  <si>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</si>
  <si>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</si>
  <si>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</si>
  <si>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</si>
  <si>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</si>
  <si>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</si>
  <si>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</si>
  <si>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</si>
  <si>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</si>
  <si>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</si>
  <si>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</si>
  <si>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</si>
  <si>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</si>
  <si>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</si>
  <si>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</si>
  <si>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</si>
  <si>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</si>
  <si>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</si>
  <si>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</si>
  <si>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</si>
  <si>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</si>
  <si>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</si>
  <si>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</si>
  <si>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</si>
  <si>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</si>
  <si>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</si>
  <si>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</si>
  <si>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</si>
  <si>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</si>
  <si>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</si>
  <si>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</si>
  <si>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</si>
  <si>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</si>
  <si>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</si>
  <si>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</si>
  <si>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</si>
  <si>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</si>
  <si>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</si>
  <si>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</si>
  <si>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</si>
  <si>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</si>
  <si>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</si>
  <si>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</si>
  <si>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</si>
  <si>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</si>
  <si>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</si>
  <si>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</si>
  <si>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</si>
  <si>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</si>
  <si>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</si>
  <si>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</si>
  <si>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</si>
  <si>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</si>
  <si>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</si>
  <si>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</si>
  <si>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</si>
  <si>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</si>
  <si>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</si>
  <si>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</si>
  <si>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</si>
  <si>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</si>
  <si>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</si>
  <si>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</si>
  <si>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</si>
  <si>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</si>
  <si>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</si>
  <si>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</si>
  <si>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</si>
  <si>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</si>
  <si>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</si>
  <si>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</si>
  <si>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</si>
  <si>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</si>
  <si>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</si>
  <si>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</si>
  <si>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</si>
  <si>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</si>
  <si>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</si>
  <si>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</si>
  <si>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</si>
  <si>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</si>
  <si>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</si>
  <si>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</si>
  <si>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</si>
  <si>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</si>
  <si>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</si>
  <si>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</si>
  <si>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</si>
  <si>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</si>
  <si>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</si>
  <si>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</si>
  <si>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</si>
  <si>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</si>
  <si>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</si>
  <si>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</si>
  <si>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</si>
  <si>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</si>
  <si>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</si>
  <si>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</si>
  <si>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</si>
  <si>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</si>
  <si>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</si>
  <si>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</si>
  <si>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</si>
  <si>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</si>
  <si>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</si>
  <si>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</si>
  <si>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</si>
  <si>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</si>
  <si>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</si>
  <si>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</si>
  <si>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</si>
  <si>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</si>
  <si>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</si>
  <si>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</si>
  <si>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</si>
  <si>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</si>
  <si>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</si>
  <si>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</si>
  <si>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</si>
  <si>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</si>
  <si>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</si>
  <si>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</si>
  <si>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</si>
  <si>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</si>
  <si>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</si>
  <si>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</si>
  <si>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</si>
  <si>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</si>
  <si>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</si>
  <si>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</si>
  <si>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</si>
  <si>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</si>
  <si>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</si>
  <si>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</si>
  <si>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</si>
  <si>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</si>
  <si>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</si>
  <si>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</si>
  <si>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</si>
  <si>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</si>
  <si>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</si>
  <si>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</si>
  <si>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</si>
  <si>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</si>
  <si>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</si>
  <si>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</si>
  <si>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</si>
  <si>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</si>
  <si>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</si>
  <si>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</si>
  <si>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</si>
  <si>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</si>
  <si>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</si>
  <si>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</si>
  <si>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</si>
  <si>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</si>
  <si>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</si>
  <si>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</si>
  <si>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</si>
  <si>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</si>
  <si>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</si>
  <si>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</si>
  <si>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</si>
  <si>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</si>
  <si>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</si>
  <si>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</si>
  <si>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</si>
  <si>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</si>
  <si>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</si>
  <si>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</si>
  <si>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</si>
  <si>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</si>
  <si>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</si>
  <si>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</si>
  <si>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</si>
  <si>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</si>
  <si>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</si>
  <si>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</si>
  <si>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</si>
  <si>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</si>
  <si>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</si>
  <si>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</si>
  <si>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</si>
  <si>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</si>
  <si>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</si>
  <si>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</si>
  <si>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</si>
  <si>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</si>
  <si>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</si>
  <si>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</si>
  <si>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</si>
  <si>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</si>
  <si>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</si>
  <si>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</si>
  <si>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</si>
  <si>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</si>
  <si>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</si>
  <si>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</si>
  <si>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</si>
  <si>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</si>
  <si>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</si>
  <si>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</si>
  <si>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</si>
  <si>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</si>
  <si>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</si>
  <si>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</si>
  <si>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</si>
  <si>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</si>
  <si>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</si>
  <si>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</si>
  <si>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</si>
  <si>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</si>
  <si>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</si>
  <si>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</si>
  <si>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</si>
  <si>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</si>
  <si>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</si>
  <si>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</si>
  <si>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</si>
  <si>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</si>
  <si>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</si>
  <si>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</si>
  <si>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</si>
  <si>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</si>
  <si>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</si>
  <si>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</si>
  <si>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</si>
  <si>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</si>
  <si>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</si>
  <si>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</si>
  <si>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</si>
  <si>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</si>
  <si>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</si>
  <si>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</si>
  <si>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</si>
  <si>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</si>
  <si>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</si>
  <si>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</si>
  <si>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</si>
  <si>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</si>
  <si>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</si>
  <si>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</si>
  <si>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</si>
  <si>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</si>
  <si>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</si>
  <si>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</si>
  <si>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</si>
  <si>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</si>
  <si>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</si>
  <si>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</si>
  <si>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</si>
  <si>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</si>
  <si>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</si>
  <si>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</si>
  <si>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</si>
  <si>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</si>
  <si>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</si>
  <si>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</si>
  <si>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</si>
  <si>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</si>
  <si>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</si>
  <si>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</si>
  <si>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</si>
  <si>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</si>
  <si>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</si>
  <si>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</si>
  <si>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</si>
  <si>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</si>
  <si>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</si>
  <si>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</si>
  <si>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</si>
  <si>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</si>
  <si>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</si>
  <si>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</si>
  <si>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</si>
  <si>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</si>
  <si>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</si>
  <si>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</si>
  <si>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</si>
  <si>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</si>
  <si>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</si>
  <si>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</si>
  <si>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</si>
  <si>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</si>
  <si>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</si>
  <si>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</si>
  <si>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</si>
  <si>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</si>
  <si>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</si>
  <si>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</si>
  <si>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</si>
  <si>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</si>
  <si>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</si>
  <si>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</si>
  <si>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</si>
  <si>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</si>
  <si>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</si>
  <si>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</si>
  <si>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</si>
  <si>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</si>
  <si>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</si>
  <si>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</si>
  <si>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</si>
  <si>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</si>
  <si>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</si>
  <si>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</si>
  <si>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</si>
  <si>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</si>
  <si>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</si>
  <si>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</si>
  <si>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</si>
  <si>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</si>
  <si>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</si>
  <si>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</si>
  <si>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</si>
  <si>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</si>
  <si>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</si>
  <si>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</si>
  <si>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</si>
  <si>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</si>
  <si>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</si>
  <si>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</si>
  <si>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</si>
  <si>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</si>
  <si>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</si>
  <si>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</si>
  <si>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</si>
  <si>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</si>
  <si>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</si>
  <si>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</si>
  <si>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</si>
  <si>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</si>
  <si>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</si>
  <si>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</si>
  <si>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</si>
  <si>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</si>
  <si>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</si>
  <si>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</si>
  <si>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</si>
  <si>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</si>
  <si>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</si>
  <si>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</si>
  <si>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</si>
  <si>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</si>
  <si>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</si>
  <si>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</si>
  <si>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</si>
  <si>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</si>
  <si>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</si>
  <si>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</si>
  <si>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</si>
  <si>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</si>
  <si>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</si>
  <si>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</si>
  <si>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</si>
  <si>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</si>
  <si>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</si>
  <si>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</si>
  <si>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</si>
  <si>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</si>
  <si>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</si>
  <si>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</si>
  <si>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</si>
  <si>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</si>
  <si>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</si>
  <si>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</si>
  <si>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</si>
  <si>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</si>
  <si>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</si>
  <si>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</si>
  <si>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</si>
  <si>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</si>
  <si>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</si>
  <si>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</si>
  <si>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</si>
  <si>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</si>
  <si>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</si>
  <si>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</si>
  <si>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</si>
  <si>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</si>
  <si>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</si>
  <si>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</si>
  <si>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</si>
  <si>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</si>
  <si>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</si>
  <si>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</si>
  <si>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</si>
  <si>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</si>
  <si>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</si>
  <si>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</si>
  <si>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</si>
  <si>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</si>
  <si>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</si>
  <si>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</si>
  <si>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</si>
  <si>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</si>
  <si>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</si>
  <si>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</si>
  <si>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</si>
  <si>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</si>
  <si>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</si>
  <si>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</si>
  <si>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</si>
  <si>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</si>
  <si>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</si>
  <si>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</si>
  <si>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</si>
  <si>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</si>
  <si>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</si>
  <si>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</si>
  <si>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</si>
  <si>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</si>
  <si>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</si>
  <si>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</si>
  <si>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</si>
  <si>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</si>
  <si>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</si>
  <si>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</si>
  <si>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</si>
  <si>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</si>
  <si>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</si>
  <si>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</si>
  <si>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</si>
  <si>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</si>
  <si>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</si>
  <si>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</si>
  <si>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</si>
  <si>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</si>
  <si>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</si>
  <si>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</si>
  <si>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</si>
  <si>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</si>
  <si>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</si>
  <si>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</si>
  <si>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</si>
  <si>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</si>
  <si>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</si>
  <si>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</si>
  <si>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</si>
  <si>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</si>
  <si>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</si>
  <si>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</si>
  <si>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</si>
  <si>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</si>
  <si>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</si>
  <si>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</si>
  <si>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</si>
  <si>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</si>
  <si>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</si>
  <si>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</si>
  <si>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</si>
  <si>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</si>
  <si>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</si>
  <si>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</si>
  <si>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</si>
  <si>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</si>
  <si>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</si>
  <si>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</si>
  <si>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</si>
  <si>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</si>
  <si>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</si>
  <si>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</si>
  <si>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</si>
  <si>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</si>
  <si>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</si>
  <si>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</si>
  <si>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</si>
  <si>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</si>
  <si>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</si>
  <si>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</si>
  <si>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</si>
  <si>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</si>
  <si>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</si>
  <si>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</si>
  <si>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</si>
  <si>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</si>
  <si>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</si>
  <si>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</si>
  <si>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</si>
  <si>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</si>
  <si>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</si>
  <si>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</si>
  <si>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</si>
  <si>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</si>
  <si>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</si>
  <si>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</si>
  <si>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</si>
  <si>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</si>
  <si>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</si>
  <si>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</si>
  <si>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</si>
  <si>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</si>
  <si>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</si>
  <si>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</si>
  <si>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</si>
  <si>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</si>
  <si>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</si>
  <si>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</si>
  <si>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</si>
  <si>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</si>
  <si>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</si>
  <si>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</si>
  <si>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</si>
  <si>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</si>
  <si>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</si>
  <si>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</si>
  <si>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</si>
  <si>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</si>
  <si>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</si>
  <si>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</si>
  <si>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</si>
  <si>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</si>
  <si>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</si>
  <si>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</si>
  <si>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</si>
  <si>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</si>
  <si>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</si>
  <si>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</si>
  <si>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</si>
  <si>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</si>
  <si>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</si>
  <si>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</si>
  <si>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</si>
  <si>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</si>
  <si>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</si>
  <si>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</si>
  <si>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</si>
  <si>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</si>
  <si>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</si>
  <si>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</si>
  <si>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</si>
  <si>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</si>
  <si>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</si>
  <si>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</si>
  <si>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</si>
  <si>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</si>
  <si>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</si>
  <si>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</si>
  <si>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</si>
  <si>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</si>
  <si>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</si>
  <si>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</si>
  <si>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</si>
  <si>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</si>
  <si>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</si>
  <si>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</si>
  <si>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</si>
  <si>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</si>
  <si>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</si>
  <si>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</si>
  <si>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</si>
  <si>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</si>
  <si>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</si>
  <si>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</si>
  <si>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</si>
  <si>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</si>
  <si>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</si>
  <si>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</si>
  <si>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</si>
  <si>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</si>
  <si>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</si>
  <si>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</si>
  <si>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</si>
  <si>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</si>
  <si>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</si>
  <si>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</si>
  <si>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</si>
  <si>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</si>
  <si>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</si>
  <si>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</si>
  <si>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</si>
  <si>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</si>
  <si>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</si>
  <si>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</si>
  <si>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</si>
  <si>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</si>
  <si>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</si>
  <si>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</si>
  <si>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</si>
  <si>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</si>
  <si>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</si>
  <si>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</si>
  <si>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</si>
  <si>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</si>
  <si>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</si>
  <si>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</si>
  <si>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</si>
  <si>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</si>
  <si>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</si>
  <si>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</si>
  <si>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</si>
  <si>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</si>
  <si>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</si>
  <si>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</si>
  <si>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</si>
  <si>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</si>
  <si>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</si>
  <si>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</si>
  <si>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</si>
  <si>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</si>
  <si>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</si>
  <si>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</si>
  <si>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</si>
  <si>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</si>
  <si>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</si>
  <si>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</si>
  <si>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</si>
  <si>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</si>
  <si>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</si>
  <si>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</si>
  <si>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</si>
  <si>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</si>
  <si>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</si>
  <si>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</si>
  <si>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</si>
  <si>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</si>
  <si>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</si>
  <si>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</si>
  <si>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</si>
  <si>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</si>
  <si>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</si>
  <si>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</si>
  <si>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</si>
  <si>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</si>
  <si>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</si>
  <si>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</si>
  <si>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</si>
  <si>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</si>
  <si>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</si>
  <si>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</si>
  <si>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</si>
  <si>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</si>
  <si>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</si>
  <si>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</si>
  <si>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</si>
  <si>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</si>
  <si>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</si>
  <si>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</si>
  <si>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</si>
  <si>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</si>
  <si>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</si>
  <si>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</si>
  <si>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</si>
  <si>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</si>
  <si>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</si>
  <si>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</si>
  <si>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</si>
  <si>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</si>
  <si>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</si>
  <si>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</si>
  <si>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</si>
  <si>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</si>
  <si>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</si>
  <si>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</si>
  <si>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</si>
  <si>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</si>
  <si>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</si>
  <si>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</si>
  <si>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</si>
  <si>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</si>
  <si>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</si>
  <si>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</si>
  <si>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</si>
  <si>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</si>
  <si>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</si>
  <si>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</si>
  <si>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</si>
  <si>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</si>
  <si>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</si>
  <si>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</si>
  <si>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</si>
  <si>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</si>
  <si>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</si>
  <si>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</si>
  <si>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</si>
  <si>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</si>
  <si>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</si>
  <si>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</si>
  <si>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</si>
  <si>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</si>
  <si>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</si>
  <si>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</si>
  <si>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</si>
  <si>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</si>
  <si>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</si>
  <si>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</si>
  <si>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</si>
  <si>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</si>
  <si>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</si>
  <si>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</si>
  <si>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</si>
  <si>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</si>
  <si>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</si>
  <si>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</si>
  <si>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</si>
  <si>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</si>
  <si>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</si>
  <si>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</si>
  <si>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</si>
  <si>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</si>
  <si>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</si>
  <si>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</si>
  <si>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</si>
  <si>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</si>
  <si>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</si>
  <si>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</si>
  <si>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</si>
  <si>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</si>
  <si>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</si>
  <si>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</si>
  <si>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</si>
  <si>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</si>
  <si>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</si>
  <si>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</si>
  <si>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</si>
  <si>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</si>
  <si>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</si>
  <si>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</si>
  <si>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</si>
  <si>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</si>
  <si>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</si>
  <si>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</si>
  <si>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</si>
  <si>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</si>
  <si>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</si>
  <si>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</si>
  <si>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</si>
  <si>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</si>
  <si>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</si>
  <si>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</si>
  <si>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</si>
  <si>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</si>
  <si>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</si>
  <si>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</si>
  <si>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</si>
  <si>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</si>
  <si>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</si>
  <si>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</si>
  <si>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</si>
  <si>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</si>
  <si>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</si>
  <si>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</si>
  <si>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</si>
  <si>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</si>
  <si>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</si>
  <si>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</si>
  <si>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</si>
  <si>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</si>
  <si>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</si>
  <si>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</si>
  <si>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</si>
  <si>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</si>
  <si>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</si>
  <si>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</si>
  <si>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</si>
  <si>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</si>
  <si>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</si>
  <si>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</si>
  <si>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</si>
  <si>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</si>
  <si>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</si>
  <si>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</si>
  <si>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</si>
  <si>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</si>
  <si>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</si>
  <si>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</si>
  <si>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</si>
  <si>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</si>
  <si>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</si>
  <si>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</si>
  <si>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</si>
  <si>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</si>
  <si>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</si>
  <si>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</si>
  <si>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</si>
  <si>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</si>
  <si>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</si>
  <si>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</si>
  <si>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</si>
  <si>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</si>
  <si>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</si>
  <si>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</si>
  <si>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</si>
  <si>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</si>
  <si>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</si>
  <si>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</si>
  <si>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</si>
  <si>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</si>
  <si>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</si>
  <si>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</si>
  <si>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</si>
  <si>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</si>
  <si>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</si>
  <si>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</si>
  <si>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</si>
  <si>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</si>
  <si>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</si>
  <si>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</si>
  <si>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</si>
  <si>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</si>
  <si>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</si>
  <si>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</si>
  <si>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</si>
  <si>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</si>
  <si>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</si>
  <si>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</si>
  <si>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</si>
  <si>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</si>
  <si>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</si>
  <si>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</si>
  <si>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</si>
  <si>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</si>
  <si>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</si>
  <si>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</si>
  <si>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</si>
  <si>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</si>
  <si>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</si>
  <si>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</si>
  <si>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</si>
  <si>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</si>
  <si>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</si>
  <si>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</si>
  <si>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</si>
  <si>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</si>
  <si>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</si>
  <si>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</si>
  <si>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</si>
  <si>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</si>
  <si>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</si>
  <si>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</si>
  <si>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</si>
  <si>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</si>
  <si>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</si>
  <si>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</si>
  <si>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</si>
  <si>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</si>
  <si>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</si>
  <si>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</si>
  <si>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</si>
  <si>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</si>
  <si>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</si>
  <si>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</si>
  <si>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</si>
  <si>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</si>
  <si>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</si>
  <si>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</si>
  <si>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</si>
  <si>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</si>
  <si>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</si>
  <si>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</si>
  <si>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</si>
  <si>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</si>
  <si>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</si>
  <si>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</si>
  <si>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</si>
  <si>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</si>
  <si>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</si>
  <si>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</si>
  <si>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</si>
  <si>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</si>
  <si>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</si>
  <si>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</si>
  <si>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</si>
  <si>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</si>
  <si>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</si>
  <si>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</si>
  <si>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</si>
  <si>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</si>
  <si>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</si>
  <si>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</si>
  <si>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</si>
  <si>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</si>
  <si>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</si>
  <si>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</si>
  <si>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</si>
  <si>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</si>
  <si>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</si>
  <si>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</si>
  <si>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</si>
  <si>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</si>
  <si>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</si>
  <si>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</si>
  <si>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</si>
  <si>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</si>
  <si>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</si>
  <si>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</si>
  <si>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</si>
  <si>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</si>
  <si>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</si>
  <si>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</si>
  <si>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</si>
  <si>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</si>
  <si>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</si>
  <si>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</si>
  <si>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</si>
  <si>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</si>
  <si>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</si>
  <si>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</si>
  <si>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</si>
  <si>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</si>
  <si>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</si>
  <si>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</si>
  <si>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</si>
  <si>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</si>
  <si>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</si>
  <si>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</si>
  <si>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</si>
  <si>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</si>
  <si>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</si>
  <si>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</si>
  <si>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</si>
  <si>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</si>
  <si>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</si>
  <si>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</si>
  <si>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</si>
  <si>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</si>
  <si>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</si>
  <si>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</si>
  <si>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</si>
  <si>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</si>
  <si>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</si>
  <si>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</si>
  <si>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</si>
  <si>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</si>
  <si>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</si>
  <si>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</si>
  <si>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</si>
  <si>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</si>
  <si>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</si>
  <si>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</si>
  <si>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</si>
  <si>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</si>
  <si>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</si>
  <si>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</si>
  <si>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</si>
  <si>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</si>
  <si>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</si>
  <si>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</si>
  <si>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</si>
  <si>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</si>
  <si>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</si>
  <si>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</si>
  <si>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</si>
  <si>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</si>
  <si>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</si>
  <si>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</si>
  <si>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</si>
  <si>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</si>
  <si>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</si>
  <si>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</si>
  <si>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</si>
  <si>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</si>
  <si>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</si>
  <si>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</si>
  <si>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</si>
  <si>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</si>
  <si>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</si>
  <si>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</si>
  <si>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</si>
  <si>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</si>
  <si>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</si>
  <si>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</si>
  <si>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</si>
  <si>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</si>
  <si>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</si>
  <si>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</si>
  <si>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</si>
  <si>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</si>
  <si>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</si>
  <si>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</si>
  <si>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</si>
  <si>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</si>
  <si>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</si>
  <si>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</si>
  <si>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</si>
  <si>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</si>
  <si>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</si>
  <si>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</si>
  <si>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</si>
  <si>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</si>
  <si>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</si>
  <si>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</si>
  <si>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</si>
  <si>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</si>
  <si>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</si>
  <si>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</si>
  <si>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</si>
  <si>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</si>
  <si>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</si>
  <si>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</si>
  <si>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</si>
  <si>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</si>
  <si>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</si>
  <si>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</si>
  <si>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</si>
  <si>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</si>
  <si>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</si>
  <si>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</si>
  <si>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</si>
  <si>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</si>
  <si>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</si>
  <si>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</si>
  <si>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</si>
  <si>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</si>
  <si>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</si>
  <si>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</si>
  <si>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</si>
  <si>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</si>
  <si>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</si>
  <si>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</si>
  <si>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</si>
  <si>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</si>
  <si>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</si>
  <si>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</si>
  <si>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</si>
  <si>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</si>
  <si>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</si>
  <si>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</si>
  <si>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</si>
  <si>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</si>
  <si>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</si>
  <si>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</si>
  <si>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</si>
  <si>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</si>
  <si>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</si>
  <si>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</si>
  <si>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</si>
  <si>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</si>
  <si>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</si>
  <si>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</si>
  <si>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</si>
  <si>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</si>
  <si>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</si>
  <si>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</si>
  <si>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</si>
  <si>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</si>
  <si>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</si>
  <si>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</si>
  <si>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</si>
  <si>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</si>
  <si>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</si>
  <si>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</si>
  <si>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</si>
  <si>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</si>
  <si>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</si>
  <si>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</si>
  <si>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</si>
  <si>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</si>
  <si>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</si>
  <si>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</si>
  <si>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</si>
  <si>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</si>
  <si>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</si>
  <si>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</si>
  <si>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</si>
  <si>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</si>
  <si>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</si>
  <si>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</si>
  <si>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</si>
  <si>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</si>
  <si>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</si>
  <si>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</si>
  <si>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</si>
  <si>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</si>
  <si>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</si>
  <si>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</si>
  <si>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</si>
  <si>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</si>
  <si>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</si>
  <si>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</si>
  <si>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</si>
  <si>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</si>
  <si>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</si>
  <si>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</si>
  <si>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</si>
  <si>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</si>
  <si>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</si>
  <si>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</si>
  <si>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</si>
  <si>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</si>
  <si>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</si>
  <si>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</si>
  <si>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</si>
  <si>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</si>
  <si>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</si>
  <si>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</si>
  <si>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</si>
  <si>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</si>
  <si>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</si>
  <si>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</si>
  <si>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</si>
  <si>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</si>
  <si>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</si>
  <si>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</si>
  <si>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</si>
  <si>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</si>
  <si>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</si>
  <si>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</si>
  <si>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</si>
  <si>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</si>
  <si>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4 Flower Pots / 1 Toby Box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</si>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</sst>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5" fillId="24"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6" fillId="24" borderId="21" xfId="0" applyFont="1" applyFill="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379629"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m/>
    <m/>
    <m/>
  </r>
  <r>
    <x v="243"/>
    <x v="32"/>
    <x v="209"/>
    <m/>
    <m/>
    <m/>
  </r>
  <r>
    <x v="243"/>
    <x v="39"/>
    <x v="209"/>
    <m/>
    <m/>
    <s v="4 Flower Pots / 1 Toby Box / 16 Splices"/>
  </r>
  <r>
    <x v="243"/>
    <x v="55"/>
    <x v="209"/>
    <m/>
    <m/>
    <m/>
  </r>
  <r>
    <x v="263"/>
    <x v="5"/>
    <x v="209"/>
    <n v="741"/>
    <m/>
    <m/>
  </r>
  <r>
    <x v="279"/>
    <x v="5"/>
    <x v="209"/>
    <m/>
    <m/>
    <m/>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2.1 JW // LOCATE EXPIRE TODAY, WILL BE CALLING IN NEW LOCATES"/>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m/>
    <m/>
    <m/>
    <x v="11"/>
  </r>
  <r>
    <s v="Sunset Palms MHP"/>
    <x v="32"/>
    <d v="2025-12-01T00:00:00"/>
    <m/>
    <m/>
    <m/>
    <x v="11"/>
  </r>
  <r>
    <s v="Sunset Palms MHP"/>
    <x v="39"/>
    <d v="2025-12-01T00:00:00"/>
    <m/>
    <m/>
    <s v="4 Flower Pots / 1 Toby Box / 16 Splices"/>
    <x v="11"/>
  </r>
  <r>
    <s v="Sunset Palms MHP"/>
    <x v="55"/>
    <d v="2025-12-01T00:00:00"/>
    <m/>
    <m/>
    <m/>
    <x v="11"/>
  </r>
  <r>
    <s v="D-HWP1312"/>
    <x v="5"/>
    <d v="2025-12-01T00:00:00"/>
    <n v="741"/>
    <m/>
    <m/>
    <x v="11"/>
  </r>
  <r>
    <s v="D-HWP1314"/>
    <x v="5"/>
    <d v="2025-12-01T00:00:00"/>
    <m/>
    <m/>
    <m/>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2.1 JW // LOCATE EXPIRE TODAY, WILL BE CALLING IN NEW LOCATES"/>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94" activePane="topRight" state="frozen"/>
      <selection pane="topRight" activeCell="X107" sqref="X10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4">
        <v>3690</v>
      </c>
      <c r="X3" s="41">
        <f t="shared" si="0"/>
        <v>2492</v>
      </c>
      <c r="Y3" s="682">
        <f t="shared" si="1"/>
        <v>0.59689420899385315</v>
      </c>
      <c r="Z3" s="1037">
        <v>45891</v>
      </c>
      <c r="AA3" s="366">
        <v>0</v>
      </c>
      <c r="AB3" s="366">
        <v>0</v>
      </c>
      <c r="AC3" s="662">
        <v>0</v>
      </c>
      <c r="AD3" s="1192"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5">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4">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U18" activePane="topRight" state="frozen"/>
      <selection pane="topRight" activeCell="A20" sqref="A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6">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R1" activePane="topRight" state="frozen"/>
      <selection pane="topRight" activeCell="R2" sqref="R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858" t="s">
        <v>224</v>
      </c>
      <c r="C5" s="481">
        <v>45991</v>
      </c>
      <c r="D5" s="489" t="s">
        <v>495</v>
      </c>
      <c r="E5" s="490">
        <v>45716</v>
      </c>
      <c r="F5" s="489" t="s">
        <v>225</v>
      </c>
      <c r="G5" s="850" t="s">
        <v>496</v>
      </c>
      <c r="H5" s="492">
        <v>31</v>
      </c>
      <c r="I5" s="855"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SUM(V5-W5)</f>
        <v>36</v>
      </c>
      <c r="Y5" s="682">
        <f>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2">SUM(V6-W6)</f>
        <v>-337</v>
      </c>
      <c r="Y6" s="22">
        <f t="shared" ref="Y6" si="3">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4">SUM(V8-W8)</f>
        <v>0</v>
      </c>
      <c r="Y8" s="677">
        <f t="shared" ref="Y8:Y35" si="5">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4"/>
        <v>-89</v>
      </c>
      <c r="Y9" s="677">
        <f t="shared" si="5"/>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4"/>
        <v>-138</v>
      </c>
      <c r="Y10" s="22">
        <f t="shared" si="5"/>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4"/>
        <v>0</v>
      </c>
      <c r="Y11" s="22">
        <f t="shared" si="5"/>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4"/>
        <v>387</v>
      </c>
      <c r="Y12" s="22">
        <f t="shared" si="5"/>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4"/>
        <v>86</v>
      </c>
      <c r="Y13" s="677">
        <f t="shared" si="5"/>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6">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4"/>
        <v>0</v>
      </c>
      <c r="Y15" s="677">
        <f t="shared" si="5"/>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7">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8">SUM(V18-W18)</f>
        <v>-1</v>
      </c>
      <c r="Y18" s="677">
        <f t="shared" ref="Y18:Y20" si="9">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8"/>
        <v>0</v>
      </c>
      <c r="Y19" s="682">
        <f t="shared" si="9"/>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8"/>
        <v>37</v>
      </c>
      <c r="Y20" s="682">
        <f t="shared" si="9"/>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4"/>
        <v>-7</v>
      </c>
      <c r="Y21" s="487">
        <f t="shared" si="5"/>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4"/>
        <v>-1319</v>
      </c>
      <c r="Y22" s="677">
        <f t="shared" si="5"/>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4"/>
        <v>-41</v>
      </c>
      <c r="Y24" s="682">
        <f t="shared" si="5"/>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4"/>
        <v>79</v>
      </c>
      <c r="Y25" s="22">
        <f t="shared" si="5"/>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4"/>
        <v>6</v>
      </c>
      <c r="Y26" s="22">
        <f t="shared" si="5"/>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4"/>
        <v>9</v>
      </c>
      <c r="Y27" s="682">
        <f t="shared" si="5"/>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4"/>
        <v>-5</v>
      </c>
      <c r="Y28" s="682">
        <f t="shared" si="5"/>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4"/>
        <v>-326</v>
      </c>
      <c r="Y29" s="682">
        <f t="shared" si="5"/>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4"/>
        <v>-91</v>
      </c>
      <c r="Y30" s="682">
        <f t="shared" si="5"/>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4"/>
        <v>31</v>
      </c>
      <c r="Y31" s="677">
        <f t="shared" si="5"/>
        <v>0.99218553062767834</v>
      </c>
      <c r="Z31" s="698">
        <v>45756</v>
      </c>
      <c r="AA31" s="682">
        <v>1</v>
      </c>
      <c r="AB31" s="682">
        <v>1</v>
      </c>
      <c r="AC31" s="662">
        <v>0</v>
      </c>
      <c r="AD31" s="918" t="s">
        <v>567</v>
      </c>
    </row>
    <row r="32" spans="1:30" ht="39.75" customHeight="1">
      <c r="A32" s="1178"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9" t="s">
        <v>317</v>
      </c>
      <c r="Q32" s="54">
        <v>45675</v>
      </c>
      <c r="R32" s="54">
        <v>45917</v>
      </c>
      <c r="S32" s="54">
        <v>45931</v>
      </c>
      <c r="T32" s="54"/>
      <c r="U32" s="501" t="s">
        <v>488</v>
      </c>
      <c r="V32" s="31">
        <v>4975</v>
      </c>
      <c r="W32" s="1180">
        <v>4975</v>
      </c>
      <c r="X32" s="107">
        <f t="shared" si="4"/>
        <v>0</v>
      </c>
      <c r="Y32" s="22">
        <f t="shared" si="5"/>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4"/>
        <v>14</v>
      </c>
      <c r="Y33" s="1036">
        <f t="shared" si="5"/>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4"/>
        <v>0</v>
      </c>
      <c r="Y35" s="677">
        <f t="shared" si="5"/>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M142" activePane="topRight" state="frozen"/>
      <selection pane="topRight" activeCell="M142" sqref="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338</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318</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330</v>
      </c>
      <c r="C1014">
        <v>1175</v>
      </c>
      <c r="G1014">
        <v>1175</v>
      </c>
    </row>
    <row r="1015" spans="1:7">
      <c r="A1015" t="s">
        <v>325</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318</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335</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1008</v>
      </c>
      <c r="B1049">
        <v>523</v>
      </c>
      <c r="C1049">
        <v>523</v>
      </c>
    </row>
    <row r="1050" spans="1:7">
      <c r="A1050" t="s">
        <v>98</v>
      </c>
    </row>
    <row r="1051" spans="1:7">
      <c r="A1051" t="s">
        <v>330</v>
      </c>
      <c r="B1051">
        <v>565</v>
      </c>
      <c r="C1051">
        <v>565</v>
      </c>
    </row>
    <row r="1052" spans="1:7">
      <c r="A1052" t="s">
        <v>462</v>
      </c>
    </row>
    <row r="1053" spans="1:7">
      <c r="A1053" t="s">
        <v>158</v>
      </c>
      <c r="B1053">
        <v>741</v>
      </c>
      <c r="C1053">
        <v>741</v>
      </c>
    </row>
    <row r="1054" spans="1:7">
      <c r="A1054" t="s">
        <v>300</v>
      </c>
    </row>
    <row r="1055" spans="1:7">
      <c r="A1055" t="s">
        <v>335</v>
      </c>
    </row>
    <row r="1056" spans="1:7">
      <c r="A1056" t="s">
        <v>162</v>
      </c>
    </row>
    <row r="1057" spans="1:3">
      <c r="A1057" t="s">
        <v>1027</v>
      </c>
      <c r="B1057">
        <v>600</v>
      </c>
      <c r="C1057">
        <v>600</v>
      </c>
    </row>
    <row r="1058" spans="1:3">
      <c r="A1058" t="s">
        <v>350</v>
      </c>
      <c r="B1058">
        <v>2452</v>
      </c>
      <c r="C1058">
        <v>2452</v>
      </c>
    </row>
    <row r="1059" spans="1:3">
      <c r="A1059" t="s">
        <v>1028</v>
      </c>
      <c r="B1059">
        <v>1765</v>
      </c>
      <c r="C1059">
        <v>1765</v>
      </c>
    </row>
    <row r="1060" spans="1:3">
      <c r="A1060" t="s">
        <v>1030</v>
      </c>
    </row>
    <row r="1061" spans="1:3">
      <c r="A1061" t="s">
        <v>956</v>
      </c>
      <c r="B1061">
        <v>6646</v>
      </c>
      <c r="C1061">
        <v>6646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58" activePane="bottomLeft" state="frozen"/>
      <selection pane="bottomLeft" activeCell="A2182" sqref="A2182:XFD218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G2173" t="s">
        <v>1780</v>
      </c>
    </row>
    <row r="2174" spans="1:7">
      <c r="A2174" s="310" t="s">
        <v>98</v>
      </c>
      <c r="B2174" s="310" t="s">
        <v>1486</v>
      </c>
      <c r="C2174" s="56">
        <v>45992</v>
      </c>
      <c r="G2174" t="s">
        <v>1780</v>
      </c>
    </row>
    <row r="2175" spans="1:7">
      <c r="A2175" s="310" t="s">
        <v>98</v>
      </c>
      <c r="B2175" s="310" t="s">
        <v>1576</v>
      </c>
      <c r="C2175" s="56">
        <v>45992</v>
      </c>
      <c r="F2175" s="803" t="s">
        <v>1781</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1782</v>
      </c>
      <c r="W2" s="3" t="s">
        <v>1783</v>
      </c>
      <c r="X2" s="3" t="s">
        <v>1783</v>
      </c>
      <c r="Y2" s="3" t="s">
        <v>1783</v>
      </c>
      <c r="Z2" s="3" t="s">
        <v>1783</v>
      </c>
      <c r="AA2" s="8" t="s">
        <v>1784</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1785</v>
      </c>
      <c r="T3" s="19" t="s">
        <v>1786</v>
      </c>
      <c r="U3" s="19" t="s">
        <v>1787</v>
      </c>
      <c r="V3" s="5" t="s">
        <v>1788</v>
      </c>
      <c r="W3" s="5" t="s">
        <v>44</v>
      </c>
      <c r="X3" s="5" t="s">
        <v>43</v>
      </c>
      <c r="Y3" s="5" t="s">
        <v>1789</v>
      </c>
      <c r="Z3" s="5" t="s">
        <v>46</v>
      </c>
      <c r="AA3" s="90" t="s">
        <v>580</v>
      </c>
      <c r="AB3" s="68" t="s">
        <v>48</v>
      </c>
    </row>
    <row r="4" spans="1:30" ht="24.75" customHeight="1" thickBot="1">
      <c r="A4" s="454" t="s">
        <v>1790</v>
      </c>
      <c r="B4" s="454" t="s">
        <v>1791</v>
      </c>
      <c r="C4" s="16">
        <v>45717</v>
      </c>
      <c r="D4" s="63" t="s">
        <v>1792</v>
      </c>
      <c r="E4" s="51">
        <v>45707</v>
      </c>
      <c r="F4" s="51" t="s">
        <v>225</v>
      </c>
      <c r="G4" s="393" t="s">
        <v>1793</v>
      </c>
      <c r="H4" s="98">
        <v>0</v>
      </c>
      <c r="I4" s="106"/>
      <c r="J4" s="76" t="s">
        <v>63</v>
      </c>
      <c r="K4" s="76" t="s">
        <v>1794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1795</v>
      </c>
    </row>
    <row r="5" spans="1:30" ht="24.75" customHeight="1" thickBot="1">
      <c r="A5" s="454" t="s">
        <v>1796</v>
      </c>
      <c r="B5" s="454" t="s">
        <v>1791</v>
      </c>
      <c r="C5" s="16">
        <v>45717</v>
      </c>
      <c r="D5" s="63" t="s">
        <v>1792</v>
      </c>
      <c r="E5" s="51">
        <v>45707</v>
      </c>
      <c r="F5" s="392" t="s">
        <v>225</v>
      </c>
      <c r="G5" s="393" t="s">
        <v>1797</v>
      </c>
      <c r="H5" s="98">
        <v>0</v>
      </c>
      <c r="I5" s="106"/>
      <c r="J5" s="76" t="s">
        <v>63</v>
      </c>
      <c r="K5" s="76" t="s">
        <v>1794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1798</v>
      </c>
      <c r="B6" s="454" t="s">
        <v>1791</v>
      </c>
      <c r="C6" s="16">
        <v>45717</v>
      </c>
      <c r="D6" s="63" t="s">
        <v>1792</v>
      </c>
      <c r="E6" s="51">
        <v>45707</v>
      </c>
      <c r="F6" s="392" t="s">
        <v>225</v>
      </c>
      <c r="G6" s="393" t="s">
        <v>1799</v>
      </c>
      <c r="H6" s="98">
        <v>0</v>
      </c>
      <c r="I6" s="106"/>
      <c r="J6" s="76" t="s">
        <v>63</v>
      </c>
      <c r="K6" s="76" t="s">
        <v>1794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1800</v>
      </c>
      <c r="B8" s="454" t="s">
        <v>1801</v>
      </c>
      <c r="C8" s="16">
        <v>45748</v>
      </c>
      <c r="D8" s="16" t="s">
        <v>1792</v>
      </c>
      <c r="E8" s="95" t="s">
        <v>52</v>
      </c>
      <c r="F8" s="96" t="s">
        <v>52</v>
      </c>
      <c r="G8" s="637" t="s">
        <v>1802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1803</v>
      </c>
      <c r="AC8" s="449"/>
      <c r="AD8" s="70"/>
    </row>
    <row r="9" spans="1:30" ht="24.75" customHeight="1">
      <c r="A9" s="463" t="s">
        <v>1804</v>
      </c>
      <c r="B9" s="463" t="s">
        <v>1805</v>
      </c>
      <c r="C9" s="23">
        <v>45741</v>
      </c>
      <c r="D9" s="16" t="s">
        <v>1792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1806</v>
      </c>
    </row>
    <row r="10" spans="1:30" ht="24.75" customHeight="1" thickBot="1">
      <c r="A10" s="26" t="s">
        <v>1807</v>
      </c>
      <c r="B10" s="26" t="s">
        <v>1805</v>
      </c>
      <c r="C10" s="27">
        <v>45741</v>
      </c>
      <c r="D10" s="16" t="s">
        <v>1792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1808</v>
      </c>
      <c r="B11" s="36" t="s">
        <v>1805</v>
      </c>
      <c r="C11" s="37">
        <v>45747</v>
      </c>
      <c r="D11" s="16" t="s">
        <v>1792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1809</v>
      </c>
      <c r="B12" s="26" t="s">
        <v>1805</v>
      </c>
      <c r="C12" s="27">
        <v>45741</v>
      </c>
      <c r="D12" s="16" t="s">
        <v>1792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1806</v>
      </c>
    </row>
    <row r="13" spans="1:30" ht="24.75" customHeight="1" thickBot="1">
      <c r="A13" s="26" t="s">
        <v>1810</v>
      </c>
      <c r="B13" s="26" t="s">
        <v>1805</v>
      </c>
      <c r="C13" s="27">
        <v>45741</v>
      </c>
      <c r="D13" s="27" t="s">
        <v>1792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1806</v>
      </c>
    </row>
    <row r="14" spans="1:30" ht="24.75" customHeight="1" thickBot="1">
      <c r="A14" s="26" t="s">
        <v>1811</v>
      </c>
      <c r="B14" s="26" t="s">
        <v>1805</v>
      </c>
      <c r="C14" s="27">
        <v>45747</v>
      </c>
      <c r="D14" s="27" t="s">
        <v>1792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1812</v>
      </c>
      <c r="B15" s="26" t="s">
        <v>1805</v>
      </c>
      <c r="C15" s="27">
        <v>45741</v>
      </c>
      <c r="D15" s="27" t="s">
        <v>1792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1806</v>
      </c>
    </row>
    <row r="16" spans="1:30" ht="24.75" customHeight="1" thickBot="1">
      <c r="A16" s="26" t="s">
        <v>1813</v>
      </c>
      <c r="B16" s="26" t="s">
        <v>1805</v>
      </c>
      <c r="C16" s="27">
        <v>45741</v>
      </c>
      <c r="D16" s="27" t="s">
        <v>1792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1806</v>
      </c>
    </row>
    <row r="17" spans="1:30" ht="24.75" customHeight="1" thickBot="1">
      <c r="A17" s="36" t="s">
        <v>1814</v>
      </c>
      <c r="B17" s="36" t="s">
        <v>1805</v>
      </c>
      <c r="C17" s="37">
        <v>45747</v>
      </c>
      <c r="D17" s="37" t="s">
        <v>1792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1815</v>
      </c>
      <c r="B18" s="385" t="s">
        <v>1805</v>
      </c>
      <c r="C18" s="51">
        <v>45717</v>
      </c>
      <c r="D18" s="27" t="s">
        <v>1792</v>
      </c>
      <c r="E18" s="85">
        <v>45700</v>
      </c>
      <c r="F18" s="51"/>
      <c r="G18" s="51" t="s">
        <v>1816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1806</v>
      </c>
    </row>
    <row r="19" spans="1:30" ht="24.75" customHeight="1" thickBot="1">
      <c r="A19" s="50" t="s">
        <v>1817</v>
      </c>
      <c r="B19" s="26" t="s">
        <v>1805</v>
      </c>
      <c r="C19" s="51">
        <v>45747</v>
      </c>
      <c r="D19" s="27" t="s">
        <v>1792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1818</v>
      </c>
    </row>
    <row r="20" spans="1:30" ht="24.75" customHeight="1" thickBot="1">
      <c r="A20" s="385" t="s">
        <v>1819</v>
      </c>
      <c r="B20" s="385" t="s">
        <v>1805</v>
      </c>
      <c r="C20" s="386">
        <v>45717</v>
      </c>
      <c r="D20" s="27" t="s">
        <v>1792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1806</v>
      </c>
    </row>
    <row r="21" spans="1:30" ht="24.75" customHeight="1" thickBot="1">
      <c r="A21" s="385" t="s">
        <v>1820</v>
      </c>
      <c r="B21" s="113" t="s">
        <v>50</v>
      </c>
      <c r="C21" s="51">
        <v>45717</v>
      </c>
      <c r="D21" s="27" t="s">
        <v>1821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1822</v>
      </c>
      <c r="B22" s="389" t="s">
        <v>50</v>
      </c>
      <c r="C22" s="51">
        <v>45717</v>
      </c>
      <c r="D22" s="51" t="s">
        <v>1821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1824</v>
      </c>
      <c r="B24" s="389" t="s">
        <v>50</v>
      </c>
      <c r="C24" s="392">
        <v>45688</v>
      </c>
      <c r="D24" s="402" t="s">
        <v>1823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1825</v>
      </c>
      <c r="B25" s="114" t="s">
        <v>50</v>
      </c>
      <c r="C25" s="51">
        <v>45747</v>
      </c>
      <c r="D25" s="51" t="s">
        <v>1821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1826</v>
      </c>
    </row>
    <row r="26" spans="1:30" ht="24.75" customHeight="1">
      <c r="A26" s="102" t="s">
        <v>1827</v>
      </c>
      <c r="B26" s="103" t="s">
        <v>50</v>
      </c>
      <c r="C26" s="77">
        <v>45716</v>
      </c>
      <c r="D26" s="26" t="s">
        <v>1823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1828</v>
      </c>
      <c r="B27" s="103" t="s">
        <v>50</v>
      </c>
      <c r="C27" s="77">
        <v>45716</v>
      </c>
      <c r="D27" s="50" t="s">
        <v>1823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1829</v>
      </c>
      <c r="B28" s="103" t="s">
        <v>50</v>
      </c>
      <c r="C28" s="77">
        <v>45717</v>
      </c>
      <c r="D28" s="51" t="s">
        <v>1821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1830</v>
      </c>
      <c r="B29" s="103" t="s">
        <v>50</v>
      </c>
      <c r="C29" s="77">
        <v>45717</v>
      </c>
      <c r="D29" s="51" t="s">
        <v>1821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1831</v>
      </c>
      <c r="B30" s="389" t="s">
        <v>50</v>
      </c>
      <c r="C30" s="51">
        <v>45717</v>
      </c>
      <c r="D30" s="51" t="s">
        <v>1821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1832</v>
      </c>
      <c r="B31" s="389" t="s">
        <v>50</v>
      </c>
      <c r="C31" s="51">
        <v>45717</v>
      </c>
      <c r="D31" s="51" t="s">
        <v>1821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1833</v>
      </c>
      <c r="B32" s="1050" t="s">
        <v>50</v>
      </c>
      <c r="C32" s="946">
        <v>45991</v>
      </c>
      <c r="D32" s="946" t="s">
        <v>71</v>
      </c>
      <c r="E32" s="1042">
        <v>45734</v>
      </c>
      <c r="F32" s="950" t="s">
        <v>61</v>
      </c>
      <c r="G32" s="1051" t="s">
        <v>1834</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1835</v>
      </c>
      <c r="B33" s="1050" t="s">
        <v>50</v>
      </c>
      <c r="C33" s="946">
        <v>45991</v>
      </c>
      <c r="D33" s="950" t="s">
        <v>71</v>
      </c>
      <c r="E33" s="1042">
        <v>45743</v>
      </c>
      <c r="F33" s="950" t="s">
        <v>61</v>
      </c>
      <c r="G33" s="1051" t="s">
        <v>1836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1837</v>
      </c>
    </row>
    <row r="34" spans="1:28" ht="24.75" customHeight="1">
      <c r="A34" s="944" t="s">
        <v>1838</v>
      </c>
      <c r="B34" s="1050" t="s">
        <v>50</v>
      </c>
      <c r="C34" s="946">
        <v>45989</v>
      </c>
      <c r="D34" s="946" t="s">
        <v>1839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1840</v>
      </c>
      <c r="Q1" s="160" t="s">
        <v>1841</v>
      </c>
      <c r="R1" s="128" t="s">
        <v>1842</v>
      </c>
      <c r="S1" s="128" t="s">
        <v>1843</v>
      </c>
      <c r="T1" s="160" t="s">
        <v>1844</v>
      </c>
      <c r="U1" s="128" t="s">
        <v>1105</v>
      </c>
      <c r="V1" s="161" t="s">
        <v>1845</v>
      </c>
      <c r="W1" s="161" t="s">
        <v>1846</v>
      </c>
      <c r="X1" s="164" t="s">
        <v>1847</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1848</v>
      </c>
      <c r="B4" s="421" t="s">
        <v>224</v>
      </c>
      <c r="C4" s="422">
        <v>45742</v>
      </c>
      <c r="D4" s="716" t="s">
        <v>1849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1850</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1850</v>
      </c>
      <c r="S7" s="43" t="s">
        <v>317</v>
      </c>
      <c r="T7" s="43" t="s">
        <v>317</v>
      </c>
      <c r="U7" s="43" t="s">
        <v>317</v>
      </c>
      <c r="V7" s="69" t="s">
        <v>92</v>
      </c>
      <c r="W7" s="30"/>
      <c r="X7" s="69" t="s">
        <v>92</v>
      </c>
      <c r="Y7" t="e">
        <f>VLOOKUP(A7,#REF!,2,FALSE)</f>
        <v>#REF!</v>
      </c>
    </row>
    <row r="8" spans="1:25">
      <c r="A8" s="178" t="s">
        <v>492</v>
      </c>
      <c r="B8" s="183" t="s">
        <v>224</v>
      </c>
      <c r="C8" s="179">
        <v>45742</v>
      </c>
      <c r="D8" s="188" t="s">
        <v>1851</v>
      </c>
      <c r="E8" s="121"/>
      <c r="F8" s="109"/>
      <c r="G8" s="109"/>
      <c r="H8" s="182">
        <v>84</v>
      </c>
      <c r="I8" s="184"/>
      <c r="J8" s="188" t="s">
        <v>57</v>
      </c>
      <c r="K8" s="188" t="s">
        <v>57</v>
      </c>
      <c r="L8" s="188" t="s">
        <v>63</v>
      </c>
      <c r="M8" s="196">
        <v>45716</v>
      </c>
      <c r="N8" s="30" t="s">
        <v>317</v>
      </c>
      <c r="O8" s="30" t="s">
        <v>317</v>
      </c>
      <c r="P8" s="731" t="s">
        <v>317</v>
      </c>
      <c r="Q8" s="69" t="s">
        <v>317</v>
      </c>
      <c r="R8" s="43" t="s">
        <v>1850</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1850</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1850</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1850</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1850</v>
      </c>
      <c r="S12" s="43" t="s">
        <v>317</v>
      </c>
      <c r="T12" s="43" t="s">
        <v>317</v>
      </c>
      <c r="U12" s="69" t="s">
        <v>92</v>
      </c>
      <c r="V12" s="69" t="s">
        <v>92</v>
      </c>
      <c r="W12" s="30"/>
      <c r="X12" s="69" t="s">
        <v>92</v>
      </c>
      <c r="Y12" t="e">
        <f>VLOOKUP(A12,#REF!,2,FALSE)</f>
        <v>#REF!</v>
      </c>
    </row>
    <row r="13" spans="1:25">
      <c r="A13" s="181" t="s">
        <v>401</v>
      </c>
      <c r="B13" s="183" t="s">
        <v>224</v>
      </c>
      <c r="C13" s="423">
        <v>45960</v>
      </c>
      <c r="D13" s="432" t="s">
        <v>1852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1853</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1854</v>
      </c>
      <c r="N16" s="30" t="s">
        <v>317</v>
      </c>
      <c r="O16" s="54" t="s">
        <v>1854</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1853</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1853</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1853</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1853</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1853</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1853</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1853</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1850</v>
      </c>
      <c r="S31" s="43" t="s">
        <v>317</v>
      </c>
      <c r="T31" s="140" t="s">
        <v>317</v>
      </c>
      <c r="U31" s="116" t="s">
        <v>317</v>
      </c>
      <c r="V31" s="69" t="s">
        <v>317</v>
      </c>
      <c r="W31" s="54">
        <v>45779</v>
      </c>
      <c r="X31" s="69" t="s">
        <v>1853</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1850</v>
      </c>
      <c r="S32" s="43" t="s">
        <v>317</v>
      </c>
      <c r="T32" s="140" t="s">
        <v>317</v>
      </c>
      <c r="U32" s="43" t="s">
        <v>317</v>
      </c>
      <c r="V32" s="69" t="s">
        <v>317</v>
      </c>
      <c r="W32" s="54">
        <v>45792</v>
      </c>
      <c r="X32" s="69" t="s">
        <v>1853</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1850</v>
      </c>
      <c r="S33" s="43" t="s">
        <v>317</v>
      </c>
      <c r="T33" s="140" t="s">
        <v>317</v>
      </c>
      <c r="U33" s="43" t="s">
        <v>317</v>
      </c>
      <c r="V33" s="345" t="s">
        <v>317</v>
      </c>
      <c r="W33" s="54">
        <v>45812</v>
      </c>
      <c r="X33" s="69" t="s">
        <v>1853</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1850</v>
      </c>
      <c r="S34" s="43" t="s">
        <v>317</v>
      </c>
      <c r="T34" s="140" t="s">
        <v>317</v>
      </c>
      <c r="U34" s="43" t="s">
        <v>317</v>
      </c>
      <c r="V34" s="418" t="s">
        <v>317</v>
      </c>
      <c r="W34" s="168">
        <v>45797</v>
      </c>
      <c r="X34" s="69" t="s">
        <v>1853</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1850</v>
      </c>
      <c r="S35" s="43" t="s">
        <v>317</v>
      </c>
      <c r="T35" s="140" t="s">
        <v>317</v>
      </c>
      <c r="U35" s="171" t="s">
        <v>317</v>
      </c>
      <c r="V35" s="69" t="s">
        <v>317</v>
      </c>
      <c r="W35" s="54">
        <v>45789</v>
      </c>
      <c r="X35" s="345" t="s">
        <v>1853</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1850</v>
      </c>
      <c r="S36" s="43" t="s">
        <v>317</v>
      </c>
      <c r="T36" s="140" t="s">
        <v>317</v>
      </c>
      <c r="U36" s="43" t="s">
        <v>317</v>
      </c>
      <c r="V36" s="69" t="s">
        <v>317</v>
      </c>
      <c r="W36" s="54">
        <v>45824</v>
      </c>
      <c r="X36" s="345" t="s">
        <v>1853</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1850</v>
      </c>
      <c r="S37" s="43" t="s">
        <v>317</v>
      </c>
      <c r="T37" s="43" t="s">
        <v>317</v>
      </c>
      <c r="U37" s="171" t="s">
        <v>317</v>
      </c>
      <c r="V37" s="69" t="s">
        <v>317</v>
      </c>
      <c r="W37" s="157">
        <v>45789</v>
      </c>
      <c r="X37" s="69" t="s">
        <v>1853</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1850</v>
      </c>
      <c r="S38" s="43" t="s">
        <v>317</v>
      </c>
      <c r="T38" s="43" t="s">
        <v>317</v>
      </c>
      <c r="U38" s="171" t="s">
        <v>317</v>
      </c>
      <c r="V38" s="69" t="s">
        <v>317</v>
      </c>
      <c r="W38" s="54">
        <v>45789</v>
      </c>
      <c r="X38" s="69" t="s">
        <v>1853</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1850</v>
      </c>
      <c r="S39" s="43" t="s">
        <v>317</v>
      </c>
      <c r="T39" s="43" t="s">
        <v>317</v>
      </c>
      <c r="U39" s="171" t="s">
        <v>317</v>
      </c>
      <c r="V39" s="69" t="s">
        <v>317</v>
      </c>
      <c r="W39" s="54">
        <v>45789</v>
      </c>
      <c r="X39" s="69" t="s">
        <v>1853</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1853</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1853</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1853</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1853</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1853</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1853</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1853</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1853</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1853</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1853</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1853</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1853</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1850</v>
      </c>
      <c r="S57" s="43" t="s">
        <v>317</v>
      </c>
      <c r="T57" s="43" t="s">
        <v>317</v>
      </c>
      <c r="U57" s="43" t="s">
        <v>317</v>
      </c>
      <c r="V57" s="69" t="s">
        <v>317</v>
      </c>
      <c r="W57" s="54">
        <v>45813</v>
      </c>
      <c r="X57" s="69" t="s">
        <v>1853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1850</v>
      </c>
      <c r="S58" s="43" t="s">
        <v>317</v>
      </c>
      <c r="T58" s="43" t="s">
        <v>317</v>
      </c>
      <c r="U58" s="43" t="s">
        <v>317</v>
      </c>
      <c r="V58" s="345" t="s">
        <v>317</v>
      </c>
      <c r="W58" s="54">
        <v>45796</v>
      </c>
      <c r="X58" s="69" t="s">
        <v>1853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1850</v>
      </c>
      <c r="S59" s="43" t="s">
        <v>317</v>
      </c>
      <c r="T59" s="43" t="s">
        <v>317</v>
      </c>
      <c r="U59" s="43" t="s">
        <v>317</v>
      </c>
      <c r="V59" s="345" t="s">
        <v>317</v>
      </c>
      <c r="W59" s="54">
        <v>45796</v>
      </c>
      <c r="X59" s="69" t="s">
        <v>1853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1850</v>
      </c>
      <c r="S60" s="43" t="s">
        <v>317</v>
      </c>
      <c r="T60" s="43" t="s">
        <v>317</v>
      </c>
      <c r="U60" s="43" t="s">
        <v>317</v>
      </c>
      <c r="V60" s="345" t="s">
        <v>317</v>
      </c>
      <c r="W60" s="54">
        <v>45824</v>
      </c>
      <c r="X60" s="69" t="s">
        <v>1853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1855</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1850</v>
      </c>
      <c r="S81" s="43" t="s">
        <v>317</v>
      </c>
      <c r="T81" s="43" t="s">
        <v>317</v>
      </c>
      <c r="U81" s="116" t="s">
        <v>317</v>
      </c>
      <c r="V81" s="69" t="s">
        <v>317</v>
      </c>
      <c r="W81" s="54">
        <v>45789</v>
      </c>
      <c r="X81" s="69" t="s">
        <v>1853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1850</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1850</v>
      </c>
      <c r="S84" s="171" t="s">
        <v>317</v>
      </c>
      <c r="T84" s="171" t="s">
        <v>317</v>
      </c>
      <c r="U84" s="92" t="s">
        <v>317</v>
      </c>
      <c r="V84" s="69" t="s">
        <v>317</v>
      </c>
      <c r="W84" s="198">
        <v>45875</v>
      </c>
      <c r="X84" s="69" t="s">
        <v>1853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1850</v>
      </c>
      <c r="S85" s="171" t="s">
        <v>317</v>
      </c>
      <c r="T85" s="171" t="s">
        <v>317</v>
      </c>
      <c r="U85" s="92" t="s">
        <v>317</v>
      </c>
      <c r="V85" s="92" t="s">
        <v>317</v>
      </c>
      <c r="W85" s="198">
        <v>45874</v>
      </c>
      <c r="X85" s="69" t="s">
        <v>1853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1850</v>
      </c>
      <c r="S86" s="43" t="s">
        <v>317</v>
      </c>
      <c r="T86" s="43" t="s">
        <v>317</v>
      </c>
      <c r="U86" s="69" t="s">
        <v>317</v>
      </c>
      <c r="V86" s="69" t="s">
        <v>317</v>
      </c>
      <c r="W86" s="54">
        <v>45824</v>
      </c>
      <c r="X86" s="69" t="s">
        <v>1853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1850</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1850</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1850</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1850</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1850</v>
      </c>
      <c r="S91" s="69" t="s">
        <v>317</v>
      </c>
      <c r="T91" s="69" t="s">
        <v>317</v>
      </c>
      <c r="U91" s="69" t="s">
        <v>317</v>
      </c>
      <c r="V91" s="69" t="s">
        <v>317</v>
      </c>
      <c r="W91" s="54">
        <v>45831</v>
      </c>
      <c r="X91" s="69" t="s">
        <v>1853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1850</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1850</v>
      </c>
      <c r="S93" s="43" t="s">
        <v>317</v>
      </c>
      <c r="T93" s="43" t="s">
        <v>317</v>
      </c>
      <c r="U93" s="345" t="s">
        <v>317</v>
      </c>
      <c r="V93" s="69" t="s">
        <v>317</v>
      </c>
      <c r="W93" s="54">
        <v>45789</v>
      </c>
      <c r="X93" s="69" t="s">
        <v>1853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1850</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1850</v>
      </c>
      <c r="S95" s="69" t="s">
        <v>317</v>
      </c>
      <c r="T95" s="43" t="s">
        <v>317</v>
      </c>
      <c r="U95" s="69" t="s">
        <v>317</v>
      </c>
      <c r="V95" s="69" t="s">
        <v>317</v>
      </c>
      <c r="W95" s="54">
        <v>45814</v>
      </c>
      <c r="X95" s="69" t="s">
        <v>1853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1850</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1850</v>
      </c>
      <c r="S97" s="69" t="s">
        <v>317</v>
      </c>
      <c r="T97" s="69" t="s">
        <v>317</v>
      </c>
      <c r="U97" s="69" t="s">
        <v>317</v>
      </c>
      <c r="V97" s="43" t="s">
        <v>317</v>
      </c>
      <c r="W97" s="54">
        <v>45824</v>
      </c>
      <c r="X97" s="69" t="s">
        <v>1853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1850</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1850</v>
      </c>
      <c r="S99" s="43" t="s">
        <v>317</v>
      </c>
      <c r="T99" s="116" t="s">
        <v>317</v>
      </c>
      <c r="U99" s="149" t="s">
        <v>317</v>
      </c>
      <c r="V99" s="69" t="s">
        <v>317</v>
      </c>
      <c r="W99" s="54">
        <v>45814</v>
      </c>
      <c r="X99" s="69" t="s">
        <v>1853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1850</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1850</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1850</v>
      </c>
      <c r="S102" s="43" t="s">
        <v>317</v>
      </c>
      <c r="T102" s="43" t="s">
        <v>317</v>
      </c>
      <c r="U102" s="43" t="s">
        <v>317</v>
      </c>
      <c r="V102" s="166" t="s">
        <v>317</v>
      </c>
      <c r="W102" s="54">
        <v>45835</v>
      </c>
      <c r="X102" s="69" t="s">
        <v>1853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1850</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1850</v>
      </c>
      <c r="S104" s="43" t="s">
        <v>317</v>
      </c>
      <c r="T104" s="43" t="s">
        <v>317</v>
      </c>
      <c r="U104" s="43" t="s">
        <v>317</v>
      </c>
      <c r="V104" s="140" t="s">
        <v>317</v>
      </c>
      <c r="W104" s="54">
        <v>45820</v>
      </c>
      <c r="X104" s="69" t="s">
        <v>1853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1850</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1850</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1850</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1850</v>
      </c>
      <c r="S108" s="43" t="s">
        <v>317</v>
      </c>
      <c r="T108" s="43" t="s">
        <v>317</v>
      </c>
      <c r="U108" s="88" t="s">
        <v>317</v>
      </c>
      <c r="V108" s="495" t="s">
        <v>317</v>
      </c>
      <c r="W108" s="367">
        <v>45798</v>
      </c>
      <c r="X108" s="69" t="s">
        <v>1853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1850</v>
      </c>
      <c r="S109" s="43" t="s">
        <v>317</v>
      </c>
      <c r="T109" s="43" t="s">
        <v>317</v>
      </c>
      <c r="U109" s="43" t="s">
        <v>1856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1850</v>
      </c>
      <c r="S110" s="43" t="s">
        <v>317</v>
      </c>
      <c r="T110" s="43" t="s">
        <v>317</v>
      </c>
      <c r="U110" s="88" t="s">
        <v>317</v>
      </c>
      <c r="V110" s="495" t="s">
        <v>317</v>
      </c>
      <c r="W110" s="367">
        <v>45902</v>
      </c>
      <c r="X110" s="69" t="s">
        <v>1853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1850</v>
      </c>
      <c r="S111" s="43" t="s">
        <v>317</v>
      </c>
      <c r="T111" s="43" t="s">
        <v>317</v>
      </c>
      <c r="U111" s="43" t="s">
        <v>317</v>
      </c>
      <c r="V111" s="204" t="s">
        <v>317</v>
      </c>
      <c r="W111" s="168">
        <v>45790</v>
      </c>
      <c r="X111" s="69" t="s">
        <v>1853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1850</v>
      </c>
      <c r="S112" s="43" t="s">
        <v>317</v>
      </c>
      <c r="T112" s="43" t="s">
        <v>317</v>
      </c>
      <c r="U112" s="43" t="s">
        <v>317</v>
      </c>
      <c r="V112" s="204" t="s">
        <v>317</v>
      </c>
      <c r="W112" s="493">
        <v>45791</v>
      </c>
      <c r="X112" s="69" t="s">
        <v>1853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1850</v>
      </c>
      <c r="S113" s="116" t="s">
        <v>317</v>
      </c>
      <c r="T113" s="43" t="s">
        <v>317</v>
      </c>
      <c r="U113" s="43" t="s">
        <v>317</v>
      </c>
      <c r="V113" s="204" t="s">
        <v>317</v>
      </c>
      <c r="W113" s="493">
        <v>45791</v>
      </c>
      <c r="X113" s="149" t="s">
        <v>1853</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1850</v>
      </c>
      <c r="S114" s="116" t="s">
        <v>317</v>
      </c>
      <c r="T114" s="43" t="s">
        <v>317</v>
      </c>
      <c r="U114" s="158" t="s">
        <v>317</v>
      </c>
      <c r="V114" s="204" t="s">
        <v>317</v>
      </c>
      <c r="W114" s="54">
        <v>45798</v>
      </c>
      <c r="X114" s="69" t="s">
        <v>1853</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1850</v>
      </c>
      <c r="S115" s="43" t="s">
        <v>317</v>
      </c>
      <c r="T115" s="43" t="s">
        <v>317</v>
      </c>
      <c r="U115" s="43" t="s">
        <v>317</v>
      </c>
      <c r="V115" s="88" t="s">
        <v>317</v>
      </c>
      <c r="W115" s="54">
        <v>45814</v>
      </c>
      <c r="X115" s="69" t="s">
        <v>1853</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1850</v>
      </c>
      <c r="S116" s="43" t="s">
        <v>317</v>
      </c>
      <c r="T116" s="43" t="s">
        <v>317</v>
      </c>
      <c r="U116" s="43" t="s">
        <v>317</v>
      </c>
      <c r="V116" s="495" t="s">
        <v>317</v>
      </c>
      <c r="W116" s="54">
        <v>45807</v>
      </c>
      <c r="X116" s="69" t="s">
        <v>1853</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1850</v>
      </c>
      <c r="S117" s="43" t="s">
        <v>317</v>
      </c>
      <c r="T117" s="43" t="s">
        <v>317</v>
      </c>
      <c r="U117" s="43" t="s">
        <v>317</v>
      </c>
      <c r="V117" s="88" t="s">
        <v>317</v>
      </c>
      <c r="W117" s="54">
        <v>45811</v>
      </c>
      <c r="X117" s="69" t="s">
        <v>1853</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1850</v>
      </c>
      <c r="S118" s="43" t="s">
        <v>317</v>
      </c>
      <c r="T118" s="43" t="s">
        <v>317</v>
      </c>
      <c r="U118" s="158" t="s">
        <v>317</v>
      </c>
      <c r="V118" s="88" t="s">
        <v>317</v>
      </c>
      <c r="W118" s="54">
        <v>45810</v>
      </c>
      <c r="X118" s="69" t="s">
        <v>1853</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1850</v>
      </c>
      <c r="S119" s="43" t="s">
        <v>317</v>
      </c>
      <c r="T119" s="43" t="s">
        <v>317</v>
      </c>
      <c r="U119" s="158" t="s">
        <v>317</v>
      </c>
      <c r="V119" s="88" t="s">
        <v>317</v>
      </c>
      <c r="W119" s="54">
        <v>45813</v>
      </c>
      <c r="X119" s="69" t="s">
        <v>1853</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1850</v>
      </c>
      <c r="S120" s="43" t="s">
        <v>317</v>
      </c>
      <c r="T120" s="43" t="s">
        <v>317</v>
      </c>
      <c r="U120" s="43" t="s">
        <v>317</v>
      </c>
      <c r="V120" s="88" t="s">
        <v>317</v>
      </c>
      <c r="W120" s="54">
        <v>45811</v>
      </c>
      <c r="X120" s="69" t="s">
        <v>1853</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1850</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1850</v>
      </c>
      <c r="S122" s="43" t="s">
        <v>317</v>
      </c>
      <c r="T122" s="43" t="s">
        <v>317</v>
      </c>
      <c r="U122" s="158" t="s">
        <v>317</v>
      </c>
      <c r="V122" s="158" t="s">
        <v>317</v>
      </c>
      <c r="W122" s="54">
        <v>45789</v>
      </c>
      <c r="X122" s="69" t="s">
        <v>1853</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1850</v>
      </c>
      <c r="S123" s="43" t="s">
        <v>317</v>
      </c>
      <c r="T123" s="43" t="s">
        <v>317</v>
      </c>
      <c r="U123" s="43" t="s">
        <v>317</v>
      </c>
      <c r="V123" s="69" t="s">
        <v>317</v>
      </c>
      <c r="W123" s="54">
        <v>45811</v>
      </c>
      <c r="X123" s="69" t="s">
        <v>1853</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1850</v>
      </c>
      <c r="S124" s="43" t="s">
        <v>317</v>
      </c>
      <c r="T124" s="43" t="s">
        <v>317</v>
      </c>
      <c r="U124" s="43" t="s">
        <v>1856</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1850</v>
      </c>
      <c r="S125" s="43" t="s">
        <v>317</v>
      </c>
      <c r="T125" s="43" t="s">
        <v>317</v>
      </c>
      <c r="U125" s="43" t="s">
        <v>317</v>
      </c>
      <c r="V125" s="43" t="s">
        <v>317</v>
      </c>
      <c r="W125" s="54">
        <v>45814</v>
      </c>
      <c r="X125" s="69" t="s">
        <v>1853</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1850</v>
      </c>
      <c r="S126" s="43" t="s">
        <v>317</v>
      </c>
      <c r="T126" s="43" t="s">
        <v>317</v>
      </c>
      <c r="U126" s="43" t="s">
        <v>317</v>
      </c>
      <c r="V126" s="88" t="s">
        <v>317</v>
      </c>
      <c r="W126" s="54">
        <v>45819</v>
      </c>
      <c r="X126" s="69" t="s">
        <v>1853</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1850</v>
      </c>
      <c r="S127" s="43" t="s">
        <v>317</v>
      </c>
      <c r="T127" s="43" t="s">
        <v>317</v>
      </c>
      <c r="U127" s="43" t="s">
        <v>317</v>
      </c>
      <c r="V127" s="88" t="s">
        <v>317</v>
      </c>
      <c r="W127" s="54">
        <v>45812</v>
      </c>
      <c r="X127" s="69" t="s">
        <v>1853</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1850</v>
      </c>
      <c r="S128" s="43" t="s">
        <v>317</v>
      </c>
      <c r="T128" s="43" t="s">
        <v>317</v>
      </c>
      <c r="U128" s="43" t="s">
        <v>317</v>
      </c>
      <c r="V128" s="88" t="s">
        <v>317</v>
      </c>
      <c r="W128" s="168">
        <v>45883</v>
      </c>
      <c r="X128" s="69" t="s">
        <v>1853</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1850</v>
      </c>
      <c r="S129" s="43" t="s">
        <v>317</v>
      </c>
      <c r="T129" s="116" t="s">
        <v>317</v>
      </c>
      <c r="U129" s="116" t="s">
        <v>317</v>
      </c>
      <c r="V129" s="88" t="s">
        <v>317</v>
      </c>
      <c r="W129" s="168">
        <v>45814</v>
      </c>
      <c r="X129" s="69" t="s">
        <v>1853</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1850</v>
      </c>
      <c r="S130" s="43" t="s">
        <v>317</v>
      </c>
      <c r="T130" s="43" t="s">
        <v>317</v>
      </c>
      <c r="U130" s="43" t="s">
        <v>317</v>
      </c>
      <c r="V130" s="88" t="s">
        <v>317</v>
      </c>
      <c r="W130" s="54">
        <v>45798</v>
      </c>
      <c r="X130" s="69" t="s">
        <v>1853</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1850</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1850</v>
      </c>
      <c r="S132" s="43" t="s">
        <v>317</v>
      </c>
      <c r="T132" s="43" t="s">
        <v>317</v>
      </c>
      <c r="U132" s="43" t="s">
        <v>317</v>
      </c>
      <c r="V132" s="43" t="s">
        <v>317</v>
      </c>
      <c r="W132" s="54">
        <v>45820</v>
      </c>
      <c r="X132" s="69" t="s">
        <v>1853</v>
      </c>
      <c r="Y132" t="e">
        <f>VLOOKUP(A132,#REF!,2,FALSE)</f>
        <v>#REF!</v>
      </c>
    </row>
    <row r="133" spans="1:25" ht="15" customHeight="1">
      <c r="A133" s="369" t="s">
        <v>745</v>
      </c>
      <c r="B133" s="420" t="s">
        <v>50</v>
      </c>
      <c r="C133" s="378">
        <v>45742</v>
      </c>
      <c r="D133" s="433" t="s">
        <v>1857</v>
      </c>
      <c r="E133" s="372"/>
      <c r="F133" s="372"/>
      <c r="G133" s="372"/>
      <c r="H133" s="372">
        <v>38</v>
      </c>
      <c r="I133" s="371"/>
      <c r="J133" s="372" t="s">
        <v>57</v>
      </c>
      <c r="K133" s="372" t="s">
        <v>57</v>
      </c>
      <c r="L133" s="372" t="s">
        <v>63</v>
      </c>
      <c r="M133" s="49" t="s">
        <v>317</v>
      </c>
      <c r="N133" s="49" t="s">
        <v>317</v>
      </c>
      <c r="O133" s="54">
        <v>45701</v>
      </c>
      <c r="P133" s="30" t="s">
        <v>317</v>
      </c>
      <c r="Q133" s="69" t="s">
        <v>317</v>
      </c>
      <c r="R133" s="43" t="s">
        <v>1850</v>
      </c>
      <c r="S133" s="43" t="s">
        <v>317</v>
      </c>
      <c r="T133" s="43" t="s">
        <v>317</v>
      </c>
      <c r="U133" s="43" t="s">
        <v>317</v>
      </c>
      <c r="V133" s="69" t="s">
        <v>317</v>
      </c>
      <c r="W133" s="54">
        <v>45821</v>
      </c>
      <c r="X133" s="69" t="s">
        <v>1853</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1850</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1850</v>
      </c>
      <c r="S135" s="43" t="s">
        <v>317</v>
      </c>
      <c r="T135" s="43" t="s">
        <v>317</v>
      </c>
      <c r="U135" s="158" t="s">
        <v>317</v>
      </c>
      <c r="V135" s="43" t="s">
        <v>317</v>
      </c>
      <c r="W135" s="54">
        <v>45819</v>
      </c>
      <c r="X135" s="69" t="s">
        <v>1853</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1850</v>
      </c>
      <c r="S136" s="43" t="s">
        <v>317</v>
      </c>
      <c r="T136" s="43" t="s">
        <v>317</v>
      </c>
      <c r="U136" s="43" t="s">
        <v>317</v>
      </c>
      <c r="V136" s="43" t="s">
        <v>317</v>
      </c>
      <c r="W136" s="54">
        <v>45791</v>
      </c>
      <c r="X136" s="69" t="s">
        <v>1853</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1850</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1850</v>
      </c>
      <c r="S138" s="43" t="s">
        <v>317</v>
      </c>
      <c r="T138" s="43" t="s">
        <v>317</v>
      </c>
      <c r="U138" s="43" t="s">
        <v>317</v>
      </c>
      <c r="V138" s="43" t="s">
        <v>317</v>
      </c>
      <c r="W138" s="54">
        <v>45790</v>
      </c>
      <c r="X138" s="69" t="s">
        <v>1853</v>
      </c>
      <c r="Y138" t="e">
        <f>VLOOKUP(A138,#REF!,2,FALSE)</f>
        <v>#REF!</v>
      </c>
    </row>
    <row r="139" spans="1:25" ht="15" customHeight="1">
      <c r="A139" s="369" t="s">
        <v>1858</v>
      </c>
      <c r="B139" s="185" t="s">
        <v>50</v>
      </c>
      <c r="C139" s="422">
        <v>45742</v>
      </c>
      <c r="D139" s="372" t="s">
        <v>1859</v>
      </c>
      <c r="E139" s="538"/>
      <c r="F139" s="372"/>
      <c r="G139" s="372"/>
      <c r="H139" s="372">
        <v>87</v>
      </c>
      <c r="I139" s="371"/>
      <c r="J139" s="372" t="s">
        <v>57</v>
      </c>
      <c r="K139" s="372" t="s">
        <v>57</v>
      </c>
      <c r="L139" s="372" t="s">
        <v>63</v>
      </c>
      <c r="M139" s="49" t="s">
        <v>317</v>
      </c>
      <c r="N139" s="30" t="s">
        <v>317</v>
      </c>
      <c r="O139" s="30" t="s">
        <v>317</v>
      </c>
      <c r="P139" s="30" t="s">
        <v>317</v>
      </c>
      <c r="Q139" s="43" t="s">
        <v>317</v>
      </c>
      <c r="R139" s="43" t="s">
        <v>1850</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1850</v>
      </c>
      <c r="S140" s="43" t="s">
        <v>317</v>
      </c>
      <c r="T140" s="43" t="s">
        <v>317</v>
      </c>
      <c r="U140" s="88" t="s">
        <v>317</v>
      </c>
      <c r="V140" s="69" t="s">
        <v>317</v>
      </c>
      <c r="W140" s="54">
        <v>45819</v>
      </c>
      <c r="X140" s="69" t="s">
        <v>1853</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1850</v>
      </c>
      <c r="S141" s="43" t="s">
        <v>317</v>
      </c>
      <c r="T141" s="43" t="s">
        <v>317</v>
      </c>
      <c r="U141" s="88" t="s">
        <v>317</v>
      </c>
      <c r="V141" s="88" t="s">
        <v>317</v>
      </c>
      <c r="W141" s="54">
        <v>45811</v>
      </c>
      <c r="X141" s="69" t="s">
        <v>1853</v>
      </c>
      <c r="Y141" t="e">
        <f>VLOOKUP(A141,#REF!,2,FALSE)</f>
        <v>#REF!</v>
      </c>
    </row>
    <row r="142" spans="1:25" ht="15" customHeight="1">
      <c r="A142" s="369" t="s">
        <v>1860</v>
      </c>
      <c r="B142" s="420" t="s">
        <v>50</v>
      </c>
      <c r="C142" s="422">
        <v>45742</v>
      </c>
      <c r="D142" s="372" t="s">
        <v>1861</v>
      </c>
      <c r="E142" s="538"/>
      <c r="F142" s="372"/>
      <c r="G142" s="372"/>
      <c r="H142" s="372">
        <v>87</v>
      </c>
      <c r="I142" s="371"/>
      <c r="J142" s="372" t="s">
        <v>57</v>
      </c>
      <c r="K142" s="372" t="s">
        <v>57</v>
      </c>
      <c r="L142" s="372" t="s">
        <v>63</v>
      </c>
      <c r="M142" s="49" t="s">
        <v>317</v>
      </c>
      <c r="N142" s="49" t="s">
        <v>317</v>
      </c>
      <c r="O142" s="198">
        <v>45691</v>
      </c>
      <c r="P142" s="30" t="s">
        <v>317</v>
      </c>
      <c r="Q142" s="69" t="s">
        <v>317</v>
      </c>
      <c r="R142" s="43" t="s">
        <v>1850</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1850</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1853</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1833</v>
      </c>
      <c r="B146" s="420" t="s">
        <v>50</v>
      </c>
      <c r="C146" s="370">
        <v>45991</v>
      </c>
      <c r="D146" s="432" t="s">
        <v>1834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1862</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1850</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1850</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1850</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1850</v>
      </c>
      <c r="S153" s="43" t="s">
        <v>317</v>
      </c>
      <c r="T153" s="158" t="s">
        <v>317</v>
      </c>
      <c r="U153" s="158" t="s">
        <v>317</v>
      </c>
      <c r="V153" s="43" t="s">
        <v>317</v>
      </c>
      <c r="W153" s="54">
        <v>45807</v>
      </c>
      <c r="X153" s="69" t="s">
        <v>1853</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1850</v>
      </c>
      <c r="S154" s="43" t="s">
        <v>317</v>
      </c>
      <c r="T154" s="158" t="s">
        <v>317</v>
      </c>
      <c r="U154" s="158" t="s">
        <v>317</v>
      </c>
      <c r="V154" s="43" t="s">
        <v>317</v>
      </c>
      <c r="W154" s="168">
        <v>45792</v>
      </c>
      <c r="X154" s="149" t="s">
        <v>1853</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1850</v>
      </c>
      <c r="S155" s="43" t="s">
        <v>317</v>
      </c>
      <c r="T155" s="43" t="s">
        <v>317</v>
      </c>
      <c r="U155" s="158" t="s">
        <v>317</v>
      </c>
      <c r="V155" s="43" t="s">
        <v>317</v>
      </c>
      <c r="W155" s="367">
        <v>45821</v>
      </c>
      <c r="X155" s="69" t="s">
        <v>1853</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1850</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1850</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1850</v>
      </c>
      <c r="S158" s="43" t="s">
        <v>317</v>
      </c>
      <c r="T158" s="43" t="s">
        <v>317</v>
      </c>
      <c r="U158" s="158" t="s">
        <v>317</v>
      </c>
      <c r="V158" s="158" t="s">
        <v>317</v>
      </c>
      <c r="W158" s="367">
        <v>45817</v>
      </c>
      <c r="X158" s="69" t="s">
        <v>1853</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1853</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1853</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1853</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1853</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1853</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1863</v>
      </c>
      <c r="C1" s="1188"/>
      <c r="D1" s="575"/>
      <c r="E1" s="1188" t="s">
        <v>1864</v>
      </c>
      <c r="F1" s="1188"/>
    </row>
    <row r="2" spans="1:25">
      <c r="B2" s="44" t="s">
        <v>1865</v>
      </c>
      <c r="E2" s="44" t="s">
        <v>22</v>
      </c>
      <c r="F2" t="s">
        <v>953</v>
      </c>
      <c r="P2" s="44" t="s">
        <v>27</v>
      </c>
      <c r="Q2" t="s">
        <v>1866</v>
      </c>
    </row>
    <row r="3" spans="1:25">
      <c r="B3" s="44" t="s">
        <v>22</v>
      </c>
      <c r="C3" t="s">
        <v>959</v>
      </c>
      <c r="K3" s="44" t="s">
        <v>1867</v>
      </c>
      <c r="L3" t="s">
        <v>1868</v>
      </c>
      <c r="P3" s="44" t="s">
        <v>1867</v>
      </c>
      <c r="Q3" t="s">
        <v>1868</v>
      </c>
    </row>
    <row r="4" spans="1:25">
      <c r="B4" t="s">
        <v>159</v>
      </c>
      <c r="C4">
        <v>157086</v>
      </c>
      <c r="E4" s="44" t="s">
        <v>1865</v>
      </c>
      <c r="F4" t="s">
        <v>959</v>
      </c>
      <c r="W4" t="s">
        <v>1869</v>
      </c>
      <c r="X4">
        <v>22</v>
      </c>
    </row>
    <row r="5" spans="1:25">
      <c r="B5" t="s">
        <v>71</v>
      </c>
      <c r="C5">
        <v>40602</v>
      </c>
      <c r="E5" t="s">
        <v>959</v>
      </c>
      <c r="F5">
        <v>227730</v>
      </c>
      <c r="K5" s="44" t="s">
        <v>1870</v>
      </c>
      <c r="P5" s="44" t="s">
        <v>1870</v>
      </c>
      <c r="W5" t="s">
        <v>1871</v>
      </c>
      <c r="X5">
        <v>13</v>
      </c>
    </row>
    <row r="6" spans="1:25">
      <c r="B6" t="s">
        <v>99</v>
      </c>
      <c r="C6">
        <v>22387</v>
      </c>
      <c r="K6" s="44" t="s">
        <v>27</v>
      </c>
      <c r="L6" s="44" t="s">
        <v>1872</v>
      </c>
      <c r="M6" t="s">
        <v>959</v>
      </c>
      <c r="P6" s="44" t="s">
        <v>1873</v>
      </c>
      <c r="Q6" s="44" t="s">
        <v>1872</v>
      </c>
      <c r="R6" t="s">
        <v>959</v>
      </c>
    </row>
    <row r="7" spans="1:25">
      <c r="B7" t="s">
        <v>985</v>
      </c>
      <c r="C7">
        <v>242209</v>
      </c>
      <c r="K7" t="s">
        <v>1866</v>
      </c>
      <c r="L7" t="s">
        <v>589</v>
      </c>
      <c r="M7">
        <v>1</v>
      </c>
      <c r="P7" t="s">
        <v>1874</v>
      </c>
      <c r="R7">
        <v>1</v>
      </c>
      <c r="X7" t="s">
        <v>1875</v>
      </c>
      <c r="Y7" t="s">
        <v>1876</v>
      </c>
    </row>
    <row r="8" spans="1:25">
      <c r="B8" t="s">
        <v>51</v>
      </c>
      <c r="C8">
        <v>446</v>
      </c>
      <c r="L8" t="s">
        <v>591</v>
      </c>
      <c r="M8">
        <v>1</v>
      </c>
      <c r="P8" t="s">
        <v>1877</v>
      </c>
      <c r="R8">
        <v>1</v>
      </c>
      <c r="V8" t="s">
        <v>1878</v>
      </c>
      <c r="W8" s="261">
        <v>203521</v>
      </c>
      <c r="X8" s="317">
        <f>X5/X4</f>
        <v>0.59090909090909094</v>
      </c>
      <c r="Y8" s="317">
        <f>W9/W8</f>
        <v>0.31446386367991508</v>
      </c>
    </row>
    <row r="9" spans="1:25">
      <c r="B9" t="s">
        <v>22</v>
      </c>
      <c r="C9">
        <v>0</v>
      </c>
      <c r="L9" t="s">
        <v>1879</v>
      </c>
      <c r="M9">
        <v>1</v>
      </c>
      <c r="P9" t="s">
        <v>1880</v>
      </c>
      <c r="Q9" t="s">
        <v>1879</v>
      </c>
      <c r="R9">
        <v>1</v>
      </c>
      <c r="V9" t="s">
        <v>1881</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1882</v>
      </c>
      <c r="R12">
        <v>1</v>
      </c>
    </row>
    <row r="13" spans="1:25">
      <c r="B13" t="s">
        <v>219</v>
      </c>
      <c r="C13">
        <v>16290</v>
      </c>
      <c r="L13" t="s">
        <v>1883</v>
      </c>
      <c r="M13">
        <v>1</v>
      </c>
      <c r="Q13" t="s">
        <v>909</v>
      </c>
      <c r="R13">
        <v>1</v>
      </c>
    </row>
    <row r="14" spans="1:25">
      <c r="B14" t="s">
        <v>216</v>
      </c>
      <c r="C14">
        <v>8065</v>
      </c>
      <c r="L14" t="s">
        <v>712</v>
      </c>
      <c r="M14">
        <v>1</v>
      </c>
      <c r="P14" t="s">
        <v>1884</v>
      </c>
      <c r="R14">
        <v>5</v>
      </c>
    </row>
    <row r="15" spans="1:25">
      <c r="B15" t="s">
        <v>132</v>
      </c>
      <c r="C15">
        <v>7655</v>
      </c>
      <c r="L15" t="s">
        <v>1882</v>
      </c>
      <c r="M15">
        <v>1</v>
      </c>
      <c r="P15" t="s">
        <v>985</v>
      </c>
      <c r="R15">
        <v>12</v>
      </c>
    </row>
    <row r="16" spans="1:25">
      <c r="B16" t="s">
        <v>187</v>
      </c>
      <c r="C16">
        <v>3</v>
      </c>
      <c r="L16" t="s">
        <v>714</v>
      </c>
      <c r="M16">
        <v>1</v>
      </c>
      <c r="P16" t="s">
        <v>956</v>
      </c>
      <c r="R16">
        <v>19</v>
      </c>
    </row>
    <row r="17" spans="2:13">
      <c r="B17" t="s">
        <v>60</v>
      </c>
      <c r="C17">
        <v>9978</v>
      </c>
      <c r="L17" t="s">
        <v>718</v>
      </c>
      <c r="M17">
        <v>1</v>
      </c>
    </row>
    <row r="18" spans="2:13">
      <c r="B18" t="s">
        <v>956</v>
      </c>
      <c r="C18">
        <v>558227</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1890</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1891</v>
      </c>
      <c r="S2" s="3" t="s">
        <v>1782</v>
      </c>
      <c r="T2" s="268" t="s">
        <v>1783</v>
      </c>
      <c r="U2" s="268" t="s">
        <v>1783</v>
      </c>
      <c r="V2" s="268" t="s">
        <v>1783</v>
      </c>
      <c r="W2" s="268" t="s">
        <v>1783</v>
      </c>
      <c r="X2" s="268" t="s">
        <v>1784</v>
      </c>
      <c r="Y2" s="268" t="s">
        <v>1892</v>
      </c>
    </row>
    <row r="3" spans="1:26" ht="15.75" thickBot="1">
      <c r="A3" s="267" t="s">
        <v>1872</v>
      </c>
      <c r="B3" s="263" t="s">
        <v>20</v>
      </c>
      <c r="C3" s="263" t="s">
        <v>1893</v>
      </c>
      <c r="D3" s="263" t="s">
        <v>26</v>
      </c>
      <c r="E3" s="263" t="s">
        <v>1867</v>
      </c>
      <c r="F3" s="263" t="s">
        <v>1894</v>
      </c>
      <c r="G3" s="263" t="s">
        <v>27</v>
      </c>
      <c r="H3" s="211" t="s">
        <v>28</v>
      </c>
      <c r="I3" s="211" t="s">
        <v>1895</v>
      </c>
      <c r="J3" s="211" t="s">
        <v>1896</v>
      </c>
      <c r="K3" s="211" t="s">
        <v>1897</v>
      </c>
      <c r="L3" s="211" t="s">
        <v>1853</v>
      </c>
      <c r="M3" s="211" t="s">
        <v>1898</v>
      </c>
      <c r="N3" s="211" t="s">
        <v>1899</v>
      </c>
      <c r="O3" s="210" t="s">
        <v>1787</v>
      </c>
      <c r="P3" s="264" t="s">
        <v>1873</v>
      </c>
      <c r="Q3" s="265" t="s">
        <v>34</v>
      </c>
      <c r="R3" s="265" t="s">
        <v>1895</v>
      </c>
      <c r="S3" s="5" t="s">
        <v>1788</v>
      </c>
      <c r="T3" s="265" t="s">
        <v>1900</v>
      </c>
      <c r="U3" s="265" t="s">
        <v>43</v>
      </c>
      <c r="V3" s="265" t="s">
        <v>1789</v>
      </c>
      <c r="W3" s="265" t="s">
        <v>46</v>
      </c>
      <c r="X3" s="265" t="s">
        <v>580</v>
      </c>
      <c r="Y3" s="265" t="s">
        <v>1901</v>
      </c>
      <c r="Z3" s="316" t="s">
        <v>1902</v>
      </c>
    </row>
    <row r="4" spans="1:26" ht="15.75" thickBot="1">
      <c r="A4" s="122" t="s">
        <v>82</v>
      </c>
      <c r="B4" s="103" t="s">
        <v>50</v>
      </c>
      <c r="C4" s="77">
        <v>45807</v>
      </c>
      <c r="D4" s="272"/>
      <c r="E4" s="273" t="s">
        <v>1903</v>
      </c>
      <c r="F4" s="272"/>
      <c r="G4" s="274" t="s">
        <v>1866</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1833</v>
      </c>
      <c r="B5" s="103" t="s">
        <v>50</v>
      </c>
      <c r="C5" s="219">
        <v>45807</v>
      </c>
      <c r="D5" s="272"/>
      <c r="E5" s="273" t="s">
        <v>1903</v>
      </c>
      <c r="F5" s="272"/>
      <c r="G5" s="274" t="s">
        <v>1866</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1866</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1866</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1866</v>
      </c>
      <c r="H8" s="272"/>
      <c r="I8" s="272"/>
      <c r="J8" s="283"/>
      <c r="K8" s="209"/>
      <c r="L8" s="209"/>
      <c r="M8" s="209"/>
      <c r="N8" s="276"/>
      <c r="O8" s="277"/>
      <c r="P8" s="278" t="s">
        <v>1877</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1866</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1866</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475</v>
      </c>
      <c r="B11" s="103" t="s">
        <v>50</v>
      </c>
      <c r="C11" s="219">
        <v>45807</v>
      </c>
      <c r="D11" s="286"/>
      <c r="E11" s="273" t="s">
        <v>1903</v>
      </c>
      <c r="F11" s="286"/>
      <c r="G11" s="287" t="s">
        <v>1866</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1866</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1866</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471</v>
      </c>
      <c r="B14" s="103" t="s">
        <v>50</v>
      </c>
      <c r="C14" s="219">
        <v>45807</v>
      </c>
      <c r="D14" s="286"/>
      <c r="E14" s="273" t="s">
        <v>1903</v>
      </c>
      <c r="F14" s="286"/>
      <c r="G14" s="287" t="s">
        <v>1866</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1866</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1866</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1868</v>
      </c>
      <c r="F17" s="286"/>
      <c r="G17" s="287" t="s">
        <v>1866</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1868</v>
      </c>
      <c r="F18" s="286"/>
      <c r="G18" s="287" t="s">
        <v>1866</v>
      </c>
      <c r="H18" s="234"/>
      <c r="I18" s="234"/>
      <c r="J18" s="45"/>
      <c r="K18" s="208"/>
      <c r="L18" s="208"/>
      <c r="M18" s="208"/>
      <c r="N18" s="288"/>
      <c r="O18" s="289"/>
      <c r="P18" s="278" t="s">
        <v>1874</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1868</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1868</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1883</v>
      </c>
      <c r="B21" s="103" t="e">
        <v>#N/A</v>
      </c>
      <c r="C21" s="235">
        <v>45807</v>
      </c>
      <c r="D21" s="286"/>
      <c r="E21" s="273" t="s">
        <v>1868</v>
      </c>
      <c r="F21" s="286"/>
      <c r="G21" s="287" t="s">
        <v>1866</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1868</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1868</v>
      </c>
      <c r="F23" s="286"/>
      <c r="G23" s="287" t="s">
        <v>1866</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1879</v>
      </c>
      <c r="B24" s="236" t="e">
        <v>#N/A</v>
      </c>
      <c r="C24" s="235">
        <v>45716</v>
      </c>
      <c r="D24" s="286"/>
      <c r="E24" s="273" t="s">
        <v>1868</v>
      </c>
      <c r="F24" s="286"/>
      <c r="G24" s="287" t="s">
        <v>1866</v>
      </c>
      <c r="H24" s="234"/>
      <c r="I24" s="234"/>
      <c r="J24" s="234"/>
      <c r="K24" s="233"/>
      <c r="L24" s="233"/>
      <c r="M24" s="233"/>
      <c r="N24" s="288"/>
      <c r="O24" s="289"/>
      <c r="P24" s="278" t="s">
        <v>1880</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1868</v>
      </c>
      <c r="F25" s="286"/>
      <c r="G25" s="287" t="s">
        <v>1866</v>
      </c>
      <c r="H25" s="234"/>
      <c r="I25" s="234"/>
      <c r="J25" s="45"/>
      <c r="K25" s="208"/>
      <c r="L25" s="208"/>
      <c r="M25" s="208"/>
      <c r="N25" s="288"/>
      <c r="O25" s="289"/>
      <c r="P25" s="278" t="s">
        <v>1880</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1868</v>
      </c>
      <c r="F26" s="286"/>
      <c r="G26" s="287" t="s">
        <v>1866</v>
      </c>
      <c r="H26" s="234"/>
      <c r="I26" s="234"/>
      <c r="J26" s="45"/>
      <c r="K26" s="208"/>
      <c r="L26" s="208"/>
      <c r="M26" s="208"/>
      <c r="N26" s="288"/>
      <c r="O26" s="289"/>
      <c r="P26" s="278" t="s">
        <v>1880</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1868</v>
      </c>
      <c r="F27" s="286"/>
      <c r="G27" s="287" t="s">
        <v>1866</v>
      </c>
      <c r="H27" s="234"/>
      <c r="I27" s="234"/>
      <c r="J27" s="45"/>
      <c r="K27" s="208"/>
      <c r="L27" s="208"/>
      <c r="M27" s="208"/>
      <c r="N27" s="288"/>
      <c r="O27" s="289"/>
      <c r="P27" s="278" t="s">
        <v>1880</v>
      </c>
      <c r="Q27" s="279" t="s">
        <v>64</v>
      </c>
      <c r="R27" s="132" t="s">
        <v>1905</v>
      </c>
      <c r="S27" s="132"/>
      <c r="T27" s="280"/>
      <c r="U27" s="281"/>
      <c r="V27" s="281"/>
      <c r="W27" s="281"/>
      <c r="X27" s="281"/>
      <c r="Y27" s="281"/>
      <c r="Z27" t="e">
        <f>VLOOKUP(A27,#REF!,9,FALSE)</f>
        <v>#REF!</v>
      </c>
    </row>
    <row r="28" spans="1:26" ht="70.150000000000006" customHeight="1" thickBot="1">
      <c r="A28" s="229" t="s">
        <v>1882</v>
      </c>
      <c r="B28" s="236"/>
      <c r="C28" s="235"/>
      <c r="D28" s="286"/>
      <c r="E28" s="273" t="s">
        <v>1868</v>
      </c>
      <c r="F28" s="286"/>
      <c r="G28" s="287" t="s">
        <v>1866</v>
      </c>
      <c r="H28" s="234"/>
      <c r="I28" s="234"/>
      <c r="J28" s="234"/>
      <c r="K28" s="233"/>
      <c r="L28" s="233"/>
      <c r="M28" s="233"/>
      <c r="N28" s="288"/>
      <c r="O28" s="289"/>
      <c r="P28" s="278" t="s">
        <v>1880</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1868</v>
      </c>
      <c r="F29" s="286"/>
      <c r="G29" s="287" t="s">
        <v>1866</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1868</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1868</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1868</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1868</v>
      </c>
      <c r="F33" s="286"/>
      <c r="G33" s="287" t="s">
        <v>1866</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1868</v>
      </c>
      <c r="F34" s="286"/>
      <c r="G34" s="287" t="s">
        <v>1866</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1868</v>
      </c>
      <c r="F35" s="286"/>
      <c r="G35" s="287" t="s">
        <v>1866</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1868</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1868</v>
      </c>
      <c r="F37" s="286"/>
      <c r="G37" s="287" t="s">
        <v>1866</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1868</v>
      </c>
      <c r="F38" s="286"/>
      <c r="G38" s="287" t="s">
        <v>1866</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1868</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1868</v>
      </c>
      <c r="F40" s="286"/>
      <c r="G40" s="287" t="s">
        <v>1866</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1866</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1866</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478</v>
      </c>
      <c r="B43" s="103" t="s">
        <v>50</v>
      </c>
      <c r="C43" s="219">
        <v>45807</v>
      </c>
      <c r="D43" s="286"/>
      <c r="E43" s="273" t="s">
        <v>1903</v>
      </c>
      <c r="F43" s="286"/>
      <c r="G43" s="287" t="s">
        <v>1866</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1866</v>
      </c>
      <c r="H44" s="234"/>
      <c r="I44" s="234"/>
      <c r="J44" s="45"/>
      <c r="K44" s="208"/>
      <c r="L44" s="208"/>
      <c r="M44" s="208"/>
      <c r="N44" s="288"/>
      <c r="O44" s="289"/>
      <c r="P44" s="278" t="s">
        <v>1874</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1868</v>
      </c>
      <c r="F45" s="286"/>
      <c r="G45" s="287" t="s">
        <v>1866</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1868</v>
      </c>
      <c r="F46" s="286"/>
      <c r="G46" s="294" t="s">
        <v>1866</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1868</v>
      </c>
      <c r="F47" s="286"/>
      <c r="G47" s="287" t="s">
        <v>1866</v>
      </c>
      <c r="H47" s="234"/>
      <c r="I47" s="234"/>
      <c r="J47" s="45"/>
      <c r="K47" s="208"/>
      <c r="L47" s="208"/>
      <c r="M47" s="208"/>
      <c r="N47" s="288"/>
      <c r="O47" s="289"/>
      <c r="P47" s="278" t="s">
        <v>1877</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1868</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1868</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1868</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1868</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1866</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1866</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1866</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1866</v>
      </c>
      <c r="H55" s="234"/>
      <c r="I55" s="234"/>
      <c r="J55" s="45"/>
      <c r="K55" s="208"/>
      <c r="L55" s="208"/>
      <c r="M55" s="208"/>
      <c r="N55" s="288"/>
      <c r="O55" s="289"/>
      <c r="P55" s="278" t="s">
        <v>1877</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1866</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1866</v>
      </c>
      <c r="H57" s="234"/>
      <c r="I57" s="234"/>
      <c r="J57" s="45"/>
      <c r="K57" s="208"/>
      <c r="L57" s="208"/>
      <c r="M57" s="208"/>
      <c r="N57" s="288"/>
      <c r="O57" s="289"/>
      <c r="P57" s="278" t="s">
        <v>1877</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1868</v>
      </c>
      <c r="F58" s="286"/>
      <c r="G58" s="287" t="s">
        <v>1866</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1868</v>
      </c>
      <c r="F59" s="286"/>
      <c r="G59" s="287" t="s">
        <v>1866</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1868</v>
      </c>
      <c r="F60" s="286"/>
      <c r="G60" s="287" t="s">
        <v>1866</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1853</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BA44B9-2EE3-49B4-872B-41D043977D8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2025-12-01T22:13:27Z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