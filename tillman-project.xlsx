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881" documentId="8_{E14B221E-02E2-46A3-8CEC-C736815F2DD5}" xr6:coauthVersionLast="47" xr6:coauthVersionMax="47" xr10:uidLastSave="{EA528135-7BEC-42C4-AC1B-4BC949ABD95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<sst xmlns="http://schemas.openxmlformats.org/spreadsheetml/2006/main" count="15384" uniqueCount="1976">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</sst>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14" fontId="2" fillId="18" borderId="69" xfId="0" applyNumberFormat="1" applyFont="1" applyFill="1" applyBorder="1" applyAlignment="1">
      <alignment horizontal="center"/>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9" fontId="30" fillId="18" borderId="20" xfId="0" applyNumberFormat="1" applyFont="1" applyFill="1" applyBorder="1" applyAlignment="1">
      <alignment horizontal="center" wrapText="1"/>
    </xf>
    <xf numFmtId="0" fontId="12" fillId="18"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B16" activePane="topRight" state="frozen"/>
      <selection pane="topRight" activeCell="C27" sqref="C27:C2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58</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1206">
        <v>46052</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1206">
        <v>46052</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1206">
        <v>46052</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1206">
        <v>46052</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1206">
        <v>46052</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1206">
        <v>46016</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1206">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1206">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1206">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485">
        <v>2027</v>
      </c>
      <c r="W32" s="485"/>
      <c r="X32" s="485">
        <f t="shared" si="3"/>
        <v>2027</v>
      </c>
      <c r="Y32" s="681">
        <f t="shared" si="1"/>
        <v>0</v>
      </c>
      <c r="Z32" s="363"/>
      <c r="AA32" s="366">
        <v>0</v>
      </c>
      <c r="AB32" s="366">
        <v>0</v>
      </c>
      <c r="AC32" s="661">
        <v>0</v>
      </c>
      <c r="AD32" s="487" t="s">
        <v>135</v>
      </c>
      <c r="AE32" s="122"/>
    </row>
    <row r="33" spans="1:31" ht="24.75" customHeight="1">
      <c r="A33" s="903" t="s">
        <v>136</v>
      </c>
      <c r="B33" s="478" t="s">
        <v>108</v>
      </c>
      <c r="C33" s="1206">
        <v>45975</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1206">
        <v>45975</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1206">
        <v>45975</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46011</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1206">
        <v>46001</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1206">
        <v>46001</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1206">
        <v>46001</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1206">
        <v>46001</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1206">
        <v>46001</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1206">
        <v>46003</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1206">
        <v>45975</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1206">
        <v>46006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1206">
        <v>45960</v>
      </c>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1206">
        <v>45933</v>
      </c>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1206">
        <v>45991</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1206">
        <v>46022</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1206">
        <v>46022</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1206">
        <v>46006</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1206">
        <v>45906</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1206">
        <v>45937</v>
      </c>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1206">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1206">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1206">
        <v>46031</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46030</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1206">
        <v>45975</v>
      </c>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1206">
        <v>46001</v>
      </c>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1206">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1206">
        <v>46040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6">
        <v>1696</v>
      </c>
      <c r="X63" s="1217">
        <f>SUM(V63-W63)</f>
        <v>6369</v>
      </c>
      <c r="Y63" s="1218">
        <f t="shared" si="4"/>
        <v>0.21029138251704899</v>
      </c>
      <c r="Z63" s="492">
        <v>45985</v>
      </c>
      <c r="AA63" s="366">
        <v>0</v>
      </c>
      <c r="AB63" s="366">
        <v>0</v>
      </c>
      <c r="AC63" s="485">
        <v>0</v>
      </c>
      <c r="AD63" s="1219" t="s">
        <v>230</v>
      </c>
      <c r="AE63" s="172"/>
      <c r="AF63" s="400"/>
    </row>
    <row r="64" spans="1:32" ht="24.75" customHeight="1">
      <c r="A64" s="902" t="s">
        <v>231</v>
      </c>
      <c r="B64" s="478" t="s">
        <v>108</v>
      </c>
      <c r="C64" s="1206">
        <v>46050</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485">
        <v>13786</v>
      </c>
      <c r="X64" s="485">
        <f t="shared" si="3"/>
        <v>2504</v>
      </c>
      <c r="Y64" s="681">
        <f t="shared" ref="Y64:Y107" si="5">IFERROR($W64/$V64, 0)</f>
        <v>0.84628606507059545</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9">
        <v>45991</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1206">
        <v>46021</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1206">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1206">
        <v>45999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1206">
        <v>45999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1206">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1206">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1206">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1206">
        <v>46204</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1206">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1206">
        <v>46108</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1206">
        <v>46108</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1206">
        <v>46010</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1206">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1206">
        <v>45992</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1206">
        <v>45992</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1206">
        <v>45991</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1206">
        <v>46006</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1206">
        <v>46171</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1206">
        <v>46108</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0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25"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95</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95</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88</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95</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5"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94</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88</v>
      </c>
      <c r="N156" s="950">
        <v>0</v>
      </c>
      <c r="O156" s="947" t="s">
        <v>88</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88</v>
      </c>
      <c r="N157" s="888">
        <v>0</v>
      </c>
      <c r="O157" s="887" t="s">
        <v>88</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82</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84</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77</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77</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77</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93</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82</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82</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82</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93</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4" activePane="bottomLeft" state="frozen"/>
      <selection pane="bottomLeft" activeCell="D2198" sqref="D21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94</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82</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82</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84</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77</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77</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77</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77</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77</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77</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93</v>
      </c>
      <c r="B1942" s="149" t="s">
        <v>1526</v>
      </c>
      <c r="C1942" s="56">
        <v>45965</v>
      </c>
      <c r="D1942" s="43">
        <v>363</v>
      </c>
      <c r="G1942" t="s">
        <v>1735</v>
      </c>
    </row>
    <row r="1943" spans="1:7">
      <c r="A1943" s="149" t="s">
        <v>93</v>
      </c>
      <c r="B1943" s="149" t="s">
        <v>258</v>
      </c>
      <c r="C1943" s="56">
        <v>45965</v>
      </c>
      <c r="D1943" s="43">
        <v>778</v>
      </c>
      <c r="G1943" t="s">
        <v>1735</v>
      </c>
    </row>
    <row r="1944" spans="1:7">
      <c r="A1944" s="149" t="s">
        <v>93</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93</v>
      </c>
      <c r="B1956" s="309" t="s">
        <v>1526</v>
      </c>
      <c r="C1956" s="56">
        <v>45966</v>
      </c>
      <c r="D1956" s="156">
        <v>1113</v>
      </c>
      <c r="E1956" s="257"/>
      <c r="F1956" s="171"/>
      <c r="G1956" t="s">
        <v>1735</v>
      </c>
    </row>
    <row r="1957" spans="1:7">
      <c r="A1957" s="315" t="s">
        <v>93</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93</v>
      </c>
      <c r="B1971" s="149" t="s">
        <v>1526</v>
      </c>
      <c r="C1971" s="56">
        <v>45967</v>
      </c>
      <c r="D1971" s="140"/>
      <c r="E1971" s="43"/>
      <c r="F1971" s="142" t="s">
        <v>1751</v>
      </c>
      <c r="G1971" t="s">
        <v>1735</v>
      </c>
    </row>
    <row r="1972" spans="1:7">
      <c r="A1972" s="149" t="s">
        <v>93</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93</v>
      </c>
      <c r="B1981" s="310" t="s">
        <v>1526</v>
      </c>
      <c r="C1981" s="56">
        <v>45968</v>
      </c>
      <c r="D1981" s="43">
        <v>923</v>
      </c>
      <c r="G1981" t="s">
        <v>1735</v>
      </c>
    </row>
    <row r="1982" spans="1:7">
      <c r="A1982" s="142" t="s">
        <v>93</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82</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82</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82</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82</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93</v>
      </c>
      <c r="B2174" s="310" t="s">
        <v>1526</v>
      </c>
      <c r="C2174" s="56">
        <v>45992</v>
      </c>
      <c r="D2174" s="43">
        <v>602</v>
      </c>
      <c r="F2174" s="43" t="s">
        <v>1821</v>
      </c>
      <c r="G2174" t="s">
        <v>1820</v>
      </c>
    </row>
    <row r="2175" spans="1:7">
      <c r="A2175" s="310" t="s">
        <v>93</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93</v>
      </c>
      <c r="B2188" s="310" t="s">
        <v>1526</v>
      </c>
      <c r="C2188" s="56">
        <v>45993</v>
      </c>
      <c r="D2188" s="43">
        <v>581</v>
      </c>
      <c r="G2188" t="s">
        <v>1820</v>
      </c>
    </row>
    <row r="2189" spans="1:7">
      <c r="A2189" s="315" t="s">
        <v>93</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93</v>
      </c>
      <c r="B2198" s="990" t="s">
        <v>1526</v>
      </c>
      <c r="C2198" s="56">
        <v>45994</v>
      </c>
      <c r="G2198" t="s">
        <v>1820</v>
      </c>
    </row>
    <row r="2199" spans="1:7">
      <c r="A2199" s="990" t="s">
        <v>93</v>
      </c>
      <c r="B2199" s="990" t="s">
        <v>1616</v>
      </c>
      <c r="C2199" s="56">
        <v>45994</v>
      </c>
      <c r="G2199" t="s">
        <v>1820</v>
      </c>
    </row>
    <row r="2200" spans="1:7">
      <c r="A2200" s="779" t="s">
        <v>93</v>
      </c>
      <c r="B2200" s="779" t="s">
        <v>1752</v>
      </c>
      <c r="C2200" s="56">
        <v>45994</v>
      </c>
      <c r="G2200" t="s">
        <v>1820</v>
      </c>
    </row>
    <row r="2201" spans="1:7">
      <c r="A2201" s="776" t="s">
        <v>1067</v>
      </c>
      <c r="B2201" s="776" t="s">
        <v>228</v>
      </c>
      <c r="C2201" s="56">
        <v>45994</v>
      </c>
      <c r="G2201" t="s">
        <v>1820</v>
      </c>
    </row>
    <row r="2202" spans="1:7">
      <c r="A2202" s="1167" t="s">
        <v>133</v>
      </c>
      <c r="B2202" s="1207" t="s">
        <v>128</v>
      </c>
      <c r="C2202" s="56">
        <v>45994</v>
      </c>
      <c r="G2202" t="s">
        <v>1820</v>
      </c>
    </row>
    <row r="2203" spans="1:7">
      <c r="A2203" s="776" t="s">
        <v>1068</v>
      </c>
      <c r="B2203" s="1207" t="s">
        <v>232</v>
      </c>
      <c r="C2203" s="56">
        <v>45994</v>
      </c>
      <c r="G2203" t="s">
        <v>1820</v>
      </c>
    </row>
    <row r="2204" spans="1:7">
      <c r="A2204" s="776" t="s">
        <v>318</v>
      </c>
      <c r="B2204" s="776" t="s">
        <v>1660</v>
      </c>
      <c r="C2204" s="56">
        <v>45994</v>
      </c>
      <c r="G2204" t="s">
        <v>1820</v>
      </c>
    </row>
    <row r="2205" spans="1:7">
      <c r="A2205" s="1208" t="s">
        <v>350</v>
      </c>
      <c r="B2205" s="1209"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0"/>
      <c r="B1" s="1210"/>
      <c r="C1" s="1210"/>
      <c r="D1" s="1210"/>
      <c r="E1" s="1210"/>
      <c r="F1" s="1210"/>
      <c r="G1" s="1210"/>
      <c r="H1" s="1210"/>
      <c r="I1" s="1210"/>
      <c r="J1" s="1"/>
      <c r="K1" s="1"/>
      <c r="L1" s="1"/>
      <c r="M1" s="1"/>
      <c r="N1" s="1"/>
      <c r="O1" s="1"/>
      <c r="P1" s="1211" t="s">
        <v>34</v>
      </c>
      <c r="Q1" s="1211"/>
      <c r="R1" s="1211"/>
      <c r="S1" s="1211"/>
      <c r="T1" s="1211"/>
      <c r="U1" s="1211"/>
      <c r="V1" s="1211"/>
      <c r="W1" s="1211"/>
      <c r="X1" s="1211"/>
      <c r="Y1" s="1211"/>
      <c r="Z1" s="1211"/>
      <c r="AA1" s="1211"/>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6" t="s">
        <v>1851</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1852</v>
      </c>
      <c r="AC8" s="448"/>
      <c r="AD8" s="70"/>
    </row>
    <row r="9" spans="1:30" ht="24.75" customHeight="1">
      <c r="A9" s="462" t="s">
        <v>1853</v>
      </c>
      <c r="B9" s="462" t="s">
        <v>1854</v>
      </c>
      <c r="C9" s="23">
        <v>45741</v>
      </c>
      <c r="D9" s="16" t="s">
        <v>1841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194" t="s">
        <v>50</v>
      </c>
      <c r="C28" s="1187">
        <v>45991</v>
      </c>
      <c r="D28" s="386" t="s">
        <v>71</v>
      </c>
      <c r="E28" s="77">
        <v>45734</v>
      </c>
      <c r="F28" s="1185" t="s">
        <v>61</v>
      </c>
      <c r="G28" s="1196" t="s">
        <v>1879</v>
      </c>
      <c r="H28" s="76">
        <v>85</v>
      </c>
      <c r="I28" s="1197" t="s">
        <v>55</v>
      </c>
      <c r="J28" s="76" t="s">
        <v>63</v>
      </c>
      <c r="K28" s="76"/>
      <c r="L28" s="77">
        <v>45735</v>
      </c>
      <c r="M28" s="76" t="s">
        <v>57</v>
      </c>
      <c r="N28" s="1201">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194" t="s">
        <v>50</v>
      </c>
      <c r="C29" s="1187">
        <v>46021</v>
      </c>
      <c r="D29" s="386" t="s">
        <v>71</v>
      </c>
      <c r="E29" s="77">
        <v>45743</v>
      </c>
      <c r="F29" s="1185" t="s">
        <v>61</v>
      </c>
      <c r="G29" s="1195" t="s">
        <v>1881</v>
      </c>
      <c r="H29" s="76">
        <v>85</v>
      </c>
      <c r="I29" s="1197" t="s">
        <v>55</v>
      </c>
      <c r="J29" s="106" t="s">
        <v>63</v>
      </c>
      <c r="K29" s="1198"/>
      <c r="L29" s="77">
        <v>45741</v>
      </c>
      <c r="M29" s="106" t="s">
        <v>57</v>
      </c>
      <c r="N29" s="1201">
        <v>84226.5</v>
      </c>
      <c r="O29" s="130" t="s">
        <v>57</v>
      </c>
      <c r="P29" s="458" t="s">
        <v>64</v>
      </c>
      <c r="Q29" s="198">
        <v>45749</v>
      </c>
      <c r="R29" s="75">
        <v>7020</v>
      </c>
      <c r="S29" s="456">
        <v>386</v>
      </c>
      <c r="T29" s="107">
        <f>SUM(R29-S29)</f>
        <v>6634</v>
      </c>
      <c r="U29" s="830">
        <f>IFERROR($W29/$V29, 0)</f>
        <v>0</v>
      </c>
      <c r="V29" s="168">
        <v>45888</v>
      </c>
      <c r="W29" s="354">
        <v>0</v>
      </c>
      <c r="X29" s="354">
        <v>0</v>
      </c>
      <c r="Y29" s="1204">
        <v>0</v>
      </c>
      <c r="Z29" s="354">
        <v>0</v>
      </c>
      <c r="AA29" s="366">
        <v>0</v>
      </c>
      <c r="AB29" s="364" t="s">
        <v>1882</v>
      </c>
      <c r="AC29" s="1191"/>
      <c r="AD29" s="1193"/>
    </row>
    <row r="30" spans="1:30" ht="24.75" customHeight="1">
      <c r="A30" s="385" t="s">
        <v>1883</v>
      </c>
      <c r="B30" s="688" t="s">
        <v>50</v>
      </c>
      <c r="C30" s="386">
        <v>45991</v>
      </c>
      <c r="D30" s="50" t="s">
        <v>71</v>
      </c>
      <c r="E30" s="51">
        <v>45743</v>
      </c>
      <c r="F30" s="50" t="s">
        <v>61</v>
      </c>
      <c r="G30" s="390" t="s">
        <v>1884</v>
      </c>
      <c r="H30" s="52">
        <v>87</v>
      </c>
      <c r="I30" s="686" t="s">
        <v>55</v>
      </c>
      <c r="J30" s="387" t="s">
        <v>63</v>
      </c>
      <c r="K30" s="1199"/>
      <c r="L30" s="77">
        <v>45741</v>
      </c>
      <c r="M30" s="1200" t="s">
        <v>57</v>
      </c>
      <c r="N30" s="1202">
        <v>75191.5</v>
      </c>
      <c r="O30" s="387" t="s">
        <v>57</v>
      </c>
      <c r="P30" s="58" t="s">
        <v>68</v>
      </c>
      <c r="Q30" s="492">
        <v>45748</v>
      </c>
      <c r="R30" s="42">
        <v>6387</v>
      </c>
      <c r="S30" s="1052">
        <v>0</v>
      </c>
      <c r="T30" s="334">
        <v>0</v>
      </c>
      <c r="U30" s="22">
        <v>0</v>
      </c>
      <c r="V30" s="30"/>
      <c r="W30" s="34">
        <v>0</v>
      </c>
      <c r="X30" s="34">
        <v>0</v>
      </c>
      <c r="Y30" s="34">
        <v>0</v>
      </c>
      <c r="Z30" s="34">
        <v>0</v>
      </c>
      <c r="AA30" s="34">
        <v>0</v>
      </c>
      <c r="AB30" s="212" t="s">
        <v>1885</v>
      </c>
      <c r="AC30" s="344"/>
      <c r="AD30" s="116"/>
    </row>
    <row r="31" spans="1:30" ht="24.75" customHeight="1">
      <c r="A31" s="385" t="s">
        <v>1021</v>
      </c>
      <c r="B31" s="688" t="s">
        <v>50</v>
      </c>
      <c r="C31" s="386">
        <v>46021</v>
      </c>
      <c r="D31" s="386" t="s">
        <v>71</v>
      </c>
      <c r="E31" s="51">
        <v>45735</v>
      </c>
      <c r="F31" s="50" t="s">
        <v>61</v>
      </c>
      <c r="G31" s="689" t="s">
        <v>1886</v>
      </c>
      <c r="H31" s="52">
        <v>79</v>
      </c>
      <c r="I31" s="686" t="s">
        <v>55</v>
      </c>
      <c r="J31" s="52" t="s">
        <v>63</v>
      </c>
      <c r="K31" s="52"/>
      <c r="L31" s="51">
        <v>45735</v>
      </c>
      <c r="M31" s="52" t="s">
        <v>57</v>
      </c>
      <c r="N31" s="1202">
        <v>67925</v>
      </c>
      <c r="O31" s="52" t="s">
        <v>57</v>
      </c>
      <c r="P31" s="40" t="s">
        <v>64</v>
      </c>
      <c r="Q31" s="367">
        <v>45736</v>
      </c>
      <c r="R31" s="31">
        <v>5825</v>
      </c>
      <c r="S31" s="107">
        <v>1257</v>
      </c>
      <c r="T31" s="1203">
        <f>SUM(R31-S31)</f>
        <v>4568</v>
      </c>
      <c r="U31" s="676">
        <f>IFERROR($W31/$V31, 0)</f>
        <v>0</v>
      </c>
      <c r="V31" s="30" t="s">
        <v>1887</v>
      </c>
      <c r="W31" s="34">
        <v>0</v>
      </c>
      <c r="X31" s="34">
        <v>0</v>
      </c>
      <c r="Y31" s="31">
        <v>0</v>
      </c>
      <c r="Z31" s="34">
        <v>0</v>
      </c>
      <c r="AA31" s="31">
        <v>0</v>
      </c>
      <c r="AB31" s="364" t="s">
        <v>1882</v>
      </c>
    </row>
    <row r="32" spans="1:30" ht="24.75" customHeight="1">
      <c r="A32" s="943" t="s">
        <v>1888</v>
      </c>
      <c r="B32" s="1186" t="s">
        <v>50</v>
      </c>
      <c r="C32" s="1040">
        <v>45717</v>
      </c>
      <c r="D32" s="1040" t="s">
        <v>1870</v>
      </c>
      <c r="E32" s="1040">
        <v>45695</v>
      </c>
      <c r="F32" s="1040"/>
      <c r="G32" s="1040"/>
      <c r="H32" s="1029">
        <v>25</v>
      </c>
      <c r="I32" s="1029"/>
      <c r="J32" s="1029" t="s">
        <v>56</v>
      </c>
      <c r="K32" s="1029"/>
      <c r="L32" s="1029"/>
      <c r="M32" s="1029" t="s">
        <v>57</v>
      </c>
      <c r="N32" s="1188">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1889</v>
      </c>
      <c r="B33" s="1048" t="s">
        <v>50</v>
      </c>
      <c r="C33" s="945">
        <v>45989</v>
      </c>
      <c r="D33" s="945" t="s">
        <v>1890</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9">
        <v>0</v>
      </c>
      <c r="U33" s="34">
        <v>0</v>
      </c>
      <c r="V33" s="34"/>
      <c r="W33" s="34">
        <v>0</v>
      </c>
      <c r="X33" s="34">
        <v>0</v>
      </c>
      <c r="Y33" s="34">
        <v>0</v>
      </c>
      <c r="Z33" s="34">
        <v>0</v>
      </c>
      <c r="AA33" s="61">
        <v>0</v>
      </c>
      <c r="AB33" s="938" t="s">
        <v>1891</v>
      </c>
    </row>
    <row r="34" spans="1:30" ht="24.75" customHeight="1">
      <c r="A34" s="943" t="s">
        <v>1892</v>
      </c>
      <c r="B34" s="1186" t="s">
        <v>50</v>
      </c>
      <c r="C34" s="1040">
        <v>45717</v>
      </c>
      <c r="D34" s="1040" t="s">
        <v>1870</v>
      </c>
      <c r="E34" s="1040">
        <v>45695</v>
      </c>
      <c r="F34" s="1040"/>
      <c r="G34" s="1040"/>
      <c r="H34" s="1029">
        <v>52</v>
      </c>
      <c r="I34" s="1029"/>
      <c r="J34" s="1029" t="s">
        <v>56</v>
      </c>
      <c r="K34" s="1029"/>
      <c r="L34" s="1029"/>
      <c r="M34" s="1029" t="s">
        <v>57</v>
      </c>
      <c r="N34" s="1188">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1893</v>
      </c>
      <c r="B35" s="1186" t="s">
        <v>50</v>
      </c>
      <c r="C35" s="1040">
        <v>45717</v>
      </c>
      <c r="D35" s="1040" t="s">
        <v>1870</v>
      </c>
      <c r="E35" s="1040">
        <v>45695</v>
      </c>
      <c r="F35" s="1040"/>
      <c r="G35" s="1040"/>
      <c r="H35" s="1029">
        <v>305</v>
      </c>
      <c r="I35" s="1029"/>
      <c r="J35" s="1029" t="s">
        <v>56</v>
      </c>
      <c r="K35" s="1029"/>
      <c r="L35" s="1029"/>
      <c r="M35" s="1029" t="s">
        <v>57</v>
      </c>
      <c r="N35" s="1188">
        <v>91420.91</v>
      </c>
      <c r="O35" s="1029" t="s">
        <v>57</v>
      </c>
      <c r="P35" s="1050" t="s">
        <v>58</v>
      </c>
      <c r="Q35" s="952"/>
      <c r="R35" s="1184">
        <v>8225</v>
      </c>
      <c r="S35" s="619">
        <v>0</v>
      </c>
      <c r="T35" s="620">
        <v>0</v>
      </c>
      <c r="U35" s="620">
        <v>0</v>
      </c>
      <c r="V35" s="1190"/>
      <c r="W35" s="617">
        <v>0</v>
      </c>
      <c r="X35" s="617">
        <v>0</v>
      </c>
      <c r="Y35" s="617">
        <v>0</v>
      </c>
      <c r="Z35" s="34">
        <v>0</v>
      </c>
      <c r="AA35" s="61">
        <v>0</v>
      </c>
      <c r="AB35" s="1129"/>
      <c r="AC35" s="1192"/>
      <c r="AD35" s="610"/>
    </row>
    <row r="36" spans="1:30" ht="24.75" customHeight="1">
      <c r="A36" s="943" t="s">
        <v>1894</v>
      </c>
      <c r="B36" s="1186" t="s">
        <v>50</v>
      </c>
      <c r="C36" s="1040">
        <v>45717</v>
      </c>
      <c r="D36" s="1040" t="s">
        <v>1870</v>
      </c>
      <c r="E36" s="1040">
        <v>45695</v>
      </c>
      <c r="F36" s="1040"/>
      <c r="G36" s="1040"/>
      <c r="H36" s="1029">
        <v>91</v>
      </c>
      <c r="I36" s="1029"/>
      <c r="J36" s="1029" t="s">
        <v>56</v>
      </c>
      <c r="K36" s="1029"/>
      <c r="L36" s="1029"/>
      <c r="M36" s="1029" t="s">
        <v>57</v>
      </c>
      <c r="N36" s="1188">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1903</v>
      </c>
      <c r="B4" s="420" t="s">
        <v>237</v>
      </c>
      <c r="C4" s="421">
        <v>45742</v>
      </c>
      <c r="D4" s="715"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87</v>
      </c>
      <c r="W6" s="79"/>
      <c r="X6" s="69" t="s">
        <v>87</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87</v>
      </c>
      <c r="W7" s="30"/>
      <c r="X7" s="69" t="s">
        <v>87</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30" t="s">
        <v>399</v>
      </c>
      <c r="Q8" s="69" t="s">
        <v>399</v>
      </c>
      <c r="R8" s="43" t="s">
        <v>1905</v>
      </c>
      <c r="S8" s="43" t="s">
        <v>399</v>
      </c>
      <c r="T8" s="43" t="s">
        <v>399</v>
      </c>
      <c r="U8" s="43" t="s">
        <v>399</v>
      </c>
      <c r="V8" s="69" t="s">
        <v>87</v>
      </c>
      <c r="W8" s="30"/>
      <c r="X8" s="69" t="s">
        <v>87</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87</v>
      </c>
      <c r="W9" s="30"/>
      <c r="X9" s="69" t="s">
        <v>87</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87</v>
      </c>
      <c r="W10" s="30"/>
      <c r="X10" s="69" t="s">
        <v>87</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87</v>
      </c>
      <c r="V11" s="69" t="s">
        <v>87</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87</v>
      </c>
      <c r="V12" s="69" t="s">
        <v>87</v>
      </c>
      <c r="W12" s="30"/>
      <c r="X12" s="69" t="s">
        <v>87</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87</v>
      </c>
      <c r="V16" s="69" t="s">
        <v>87</v>
      </c>
      <c r="W16" s="30"/>
      <c r="X16" s="69" t="s">
        <v>87</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1910</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1905</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4"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4"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2">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2">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4" t="s">
        <v>399</v>
      </c>
      <c r="W116" s="54">
        <v>45807</v>
      </c>
      <c r="X116" s="69" t="s">
        <v>1908</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1905</v>
      </c>
      <c r="S121" s="43" t="s">
        <v>399</v>
      </c>
      <c r="T121" s="43" t="s">
        <v>399</v>
      </c>
      <c r="U121" s="43" t="s">
        <v>399</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1905</v>
      </c>
      <c r="S134" s="43" t="s">
        <v>399</v>
      </c>
      <c r="T134" s="43" t="s">
        <v>399</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7"/>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7"/>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87</v>
      </c>
      <c r="W142" s="30"/>
      <c r="X142" s="69" t="s">
        <v>87</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1905</v>
      </c>
      <c r="S143" s="43" t="s">
        <v>399</v>
      </c>
      <c r="T143" s="43" t="s">
        <v>399</v>
      </c>
      <c r="U143" s="158" t="s">
        <v>399</v>
      </c>
      <c r="V143" s="69" t="s">
        <v>87</v>
      </c>
      <c r="W143" s="30"/>
      <c r="X143" s="69" t="s">
        <v>87</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1046</v>
      </c>
      <c r="B147" s="706" t="s">
        <v>50</v>
      </c>
      <c r="C147" s="595">
        <v>45991</v>
      </c>
      <c r="D147" s="423" t="s">
        <v>1881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1917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1905</v>
      </c>
      <c r="S149" s="69" t="s">
        <v>64</v>
      </c>
      <c r="T149" s="69" t="s">
        <v>64</v>
      </c>
      <c r="U149" s="69" t="s">
        <v>87</v>
      </c>
      <c r="V149" s="69" t="s">
        <v>87</v>
      </c>
      <c r="W149" s="30"/>
      <c r="X149" s="69" t="s">
        <v>87</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1905</v>
      </c>
      <c r="S151" s="43" t="s">
        <v>399</v>
      </c>
      <c r="T151" s="43" t="s">
        <v>399</v>
      </c>
      <c r="U151" s="69" t="s">
        <v>87</v>
      </c>
      <c r="V151" s="69" t="s">
        <v>87</v>
      </c>
      <c r="W151" s="54">
        <v>45818</v>
      </c>
      <c r="X151" s="69" t="s">
        <v>87</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1905</v>
      </c>
      <c r="S156" s="43" t="s">
        <v>399</v>
      </c>
      <c r="T156" s="43" t="s">
        <v>399</v>
      </c>
      <c r="U156" s="69" t="s">
        <v>399</v>
      </c>
      <c r="V156" s="69" t="s">
        <v>87</v>
      </c>
      <c r="W156" s="367">
        <v>45747</v>
      </c>
      <c r="X156" s="69" t="s">
        <v>87</v>
      </c>
      <c r="Y156" t="e">
        <f>VLOOKUP(A156,#REF!,2,FALSE)</f>
        <v>#REF!</v>
      </c>
    </row>
    <row r="157" spans="1:25" ht="15" customHeight="1">
      <c r="A157" s="376" t="s">
        <v>1021</v>
      </c>
      <c r="B157" s="419" t="s">
        <v>50</v>
      </c>
      <c r="C157" s="413">
        <v>45991</v>
      </c>
      <c r="D157" s="431" t="s">
        <v>1886</v>
      </c>
      <c r="E157" s="723"/>
      <c r="F157" s="432"/>
      <c r="G157" s="432"/>
      <c r="H157" s="432">
        <v>79</v>
      </c>
      <c r="I157" s="371"/>
      <c r="J157" s="372" t="s">
        <v>57</v>
      </c>
      <c r="K157" s="569" t="s">
        <v>57</v>
      </c>
      <c r="L157" s="372" t="s">
        <v>63</v>
      </c>
      <c r="M157" s="198">
        <v>45735</v>
      </c>
      <c r="N157" s="30" t="s">
        <v>64</v>
      </c>
      <c r="O157" s="54">
        <v>45737</v>
      </c>
      <c r="P157" s="49" t="s">
        <v>64</v>
      </c>
      <c r="Q157" s="69" t="s">
        <v>64</v>
      </c>
      <c r="R157" s="69" t="s">
        <v>1905</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1908</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2" t="s">
        <v>1918</v>
      </c>
      <c r="C1" s="1212"/>
      <c r="D1" s="574"/>
      <c r="E1" s="1212" t="s">
        <v>1919</v>
      </c>
      <c r="F1" s="1212"/>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v>149219</v>
      </c>
      <c r="E4" s="44" t="s">
        <v>1920</v>
      </c>
      <c r="F4" t="s">
        <v>998</v>
      </c>
      <c r="W4" t="s">
        <v>1924</v>
      </c>
      <c r="X4">
        <v>22</v>
      </c>
    </row>
    <row r="5" spans="1:25">
      <c r="B5" t="s">
        <v>71</v>
      </c>
      <c r="C5">
        <v>32354</v>
      </c>
      <c r="E5" t="s">
        <v>998</v>
      </c>
      <c r="F5">
        <v>211615</v>
      </c>
      <c r="K5" s="44" t="s">
        <v>1925</v>
      </c>
      <c r="P5" s="44" t="s">
        <v>1925</v>
      </c>
      <c r="W5" t="s">
        <v>1926</v>
      </c>
      <c r="X5">
        <v>13</v>
      </c>
    </row>
    <row r="6" spans="1:25">
      <c r="B6" t="s">
        <v>94</v>
      </c>
      <c r="C6">
        <v>22387</v>
      </c>
      <c r="K6" s="44" t="s">
        <v>27</v>
      </c>
      <c r="L6" s="44" t="s">
        <v>1927</v>
      </c>
      <c r="M6" t="s">
        <v>998</v>
      </c>
      <c r="P6" s="44" t="s">
        <v>1928</v>
      </c>
      <c r="Q6" s="44" t="s">
        <v>1927</v>
      </c>
      <c r="R6" t="s">
        <v>998</v>
      </c>
    </row>
    <row r="7" spans="1:25">
      <c r="B7" t="s">
        <v>1025</v>
      </c>
      <c r="C7">
        <v>238064</v>
      </c>
      <c r="K7" t="s">
        <v>1921</v>
      </c>
      <c r="L7" t="s">
        <v>628</v>
      </c>
      <c r="M7">
        <v>1</v>
      </c>
      <c r="P7" t="s">
        <v>1929</v>
      </c>
      <c r="R7">
        <v>1</v>
      </c>
      <c r="X7" t="s">
        <v>1930</v>
      </c>
      <c r="Y7" t="s">
        <v>1931</v>
      </c>
    </row>
    <row r="8" spans="1:25">
      <c r="B8" t="s">
        <v>51</v>
      </c>
      <c r="C8">
        <v>446</v>
      </c>
      <c r="L8" t="s">
        <v>630</v>
      </c>
      <c r="M8">
        <v>1</v>
      </c>
      <c r="P8" t="s">
        <v>1932</v>
      </c>
      <c r="R8">
        <v>1</v>
      </c>
      <c r="V8" t="s">
        <v>1933</v>
      </c>
      <c r="W8" s="261">
        <v>203521</v>
      </c>
      <c r="X8" s="317">
        <f>X5/X4</f>
        <v>0.59090909090909094</v>
      </c>
      <c r="Y8" s="317">
        <f>W9/W8</f>
        <v>0.31446386367991508</v>
      </c>
    </row>
    <row r="9" spans="1:25">
      <c r="B9" t="s">
        <v>22</v>
      </c>
      <c r="C9">
        <v>0</v>
      </c>
      <c r="L9" t="s">
        <v>1934</v>
      </c>
      <c r="M9">
        <v>1</v>
      </c>
      <c r="P9" t="s">
        <v>1935</v>
      </c>
      <c r="Q9" t="s">
        <v>1934</v>
      </c>
      <c r="R9">
        <v>1</v>
      </c>
      <c r="V9" t="s">
        <v>1936</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1937</v>
      </c>
      <c r="R12">
        <v>1</v>
      </c>
    </row>
    <row r="13" spans="1:25">
      <c r="B13" t="s">
        <v>232</v>
      </c>
      <c r="C13">
        <v>16290</v>
      </c>
      <c r="L13" t="s">
        <v>1938</v>
      </c>
      <c r="M13">
        <v>1</v>
      </c>
      <c r="Q13" t="s">
        <v>948</v>
      </c>
      <c r="R13">
        <v>1</v>
      </c>
    </row>
    <row r="14" spans="1:25">
      <c r="B14" t="s">
        <v>228</v>
      </c>
      <c r="C14">
        <v>8065</v>
      </c>
      <c r="L14" t="s">
        <v>751</v>
      </c>
      <c r="M14">
        <v>1</v>
      </c>
      <c r="P14" t="s">
        <v>1939</v>
      </c>
      <c r="R14">
        <v>5</v>
      </c>
    </row>
    <row r="15" spans="1:25">
      <c r="B15" t="s">
        <v>128</v>
      </c>
      <c r="C15">
        <v>7655</v>
      </c>
      <c r="L15" t="s">
        <v>1937</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1940</v>
      </c>
      <c r="M21">
        <v>1</v>
      </c>
    </row>
    <row r="22" spans="2:13">
      <c r="L22" t="s">
        <v>948</v>
      </c>
      <c r="M22">
        <v>1</v>
      </c>
    </row>
    <row r="23" spans="2:13">
      <c r="L23" t="s">
        <v>794</v>
      </c>
      <c r="M23">
        <v>1</v>
      </c>
    </row>
    <row r="24" spans="2:13">
      <c r="L24" t="s">
        <v>812</v>
      </c>
      <c r="M24">
        <v>1</v>
      </c>
    </row>
    <row r="25" spans="2:13">
      <c r="L25" t="s">
        <v>187</v>
      </c>
      <c r="M25">
        <v>1</v>
      </c>
    </row>
    <row r="26" spans="2:13">
      <c r="K26" t="s">
        <v>1941</v>
      </c>
      <c r="M26">
        <v>19</v>
      </c>
    </row>
    <row r="27" spans="2:13">
      <c r="K27" t="s">
        <v>1942</v>
      </c>
      <c r="L27" t="s">
        <v>745</v>
      </c>
      <c r="M27">
        <v>1</v>
      </c>
    </row>
    <row r="28" spans="2:13">
      <c r="L28" t="s">
        <v>747</v>
      </c>
      <c r="M28">
        <v>1</v>
      </c>
    </row>
    <row r="29" spans="2:13">
      <c r="L29" t="s">
        <v>749</v>
      </c>
      <c r="M29">
        <v>1</v>
      </c>
    </row>
    <row r="30" spans="2:13">
      <c r="L30" t="s">
        <v>765</v>
      </c>
      <c r="M30">
        <v>1</v>
      </c>
    </row>
    <row r="31" spans="2:13">
      <c r="L31" t="s">
        <v>767</v>
      </c>
      <c r="M31">
        <v>1</v>
      </c>
    </row>
    <row r="32" spans="2:13">
      <c r="L32" t="s">
        <v>1943</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1944</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3"/>
      <c r="B1" s="1213"/>
      <c r="C1" s="1213"/>
      <c r="D1" s="1213"/>
      <c r="E1" s="1213"/>
      <c r="F1" s="1213"/>
      <c r="G1" s="1213"/>
      <c r="H1" s="1214" t="s">
        <v>1945</v>
      </c>
      <c r="I1" s="1214"/>
      <c r="J1" s="1214"/>
      <c r="K1" s="1214"/>
      <c r="L1" s="1214"/>
      <c r="M1" s="1214"/>
      <c r="N1" s="1214"/>
      <c r="O1" s="1214"/>
      <c r="P1" s="264"/>
      <c r="Q1" s="1215" t="s">
        <v>34</v>
      </c>
      <c r="R1" s="1215"/>
      <c r="S1" s="1211"/>
      <c r="T1" s="1215"/>
      <c r="U1" s="1215"/>
      <c r="V1" s="1215"/>
      <c r="W1" s="1215"/>
      <c r="X1" s="1215"/>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77</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84</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82</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80</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8"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8"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9"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8BAA0E-5B10-4A00-B8E5-E561AC5937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2025-12-03T18:57:16Z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