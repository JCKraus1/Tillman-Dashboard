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31" documentId="8_{E14B221E-02E2-46A3-8CEC-C736815F2DD5}" xr6:coauthVersionLast="47" xr6:coauthVersionMax="47" xr10:uidLastSave="{29A1A50F-6111-470A-B51E-50A73B1E8AB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1818" r:id="rId12"/>
    <pivotCache cacheId="1819" r:id="rId13"/>
    <pivotCache cacheId="1820" r:id="rId14"/>
    <pivotCache cacheId="1821" r:id="rId15"/>
    <pivotCache cacheId="18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<sst xmlns="http://schemas.openxmlformats.org/spreadsheetml/2006/main" count="14312" uniqueCount="1765">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</sst>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opLeftCell="A67" zoomScale="80" zoomScaleNormal="80" workbookViewId="0">
      <pane xSplit="1" topLeftCell="U76" activePane="topRight" state="frozen"/>
      <selection pane="topRight" activeCell="W79" sqref="W7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9"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8"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1147">
        <v>711</v>
      </c>
      <c r="X79" s="486">
        <f t="shared" si="6"/>
        <v>1890</v>
      </c>
      <c r="Y79" s="684">
        <f t="shared" si="5"/>
        <v>0.27335640138408307</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9">
        <v>1486</v>
      </c>
      <c r="X115" s="486">
        <f t="shared" si="6"/>
        <v>6614</v>
      </c>
      <c r="Y115" s="684">
        <f t="shared" si="5"/>
        <v>0.18345679012345678</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t="s">
        <v>253</v>
      </c>
      <c r="E117" s="490">
        <v>45974</v>
      </c>
      <c r="F117" s="489" t="s">
        <v>232</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25">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9"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O1" activePane="topRight" state="frozen"/>
      <selection pane="topRight" activeCell="A2" sqref="A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6" t="s">
        <v>156</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8" t="s">
        <v>156</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5" t="s">
        <v>237</v>
      </c>
      <c r="G72" s="1126" t="s">
        <v>673</v>
      </c>
      <c r="H72" s="76">
        <v>87</v>
      </c>
      <c r="I72" s="104" t="s">
        <v>156</v>
      </c>
      <c r="J72" s="76" t="s">
        <v>63</v>
      </c>
      <c r="K72" s="77">
        <v>45708</v>
      </c>
      <c r="L72" s="104" t="s">
        <v>57</v>
      </c>
      <c r="M72" s="835">
        <v>73639</v>
      </c>
      <c r="N72" s="1135">
        <v>73025</v>
      </c>
      <c r="O72" s="104" t="s">
        <v>57</v>
      </c>
      <c r="P72" s="106" t="s">
        <v>156</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674</v>
      </c>
      <c r="B73" s="103" t="s">
        <v>50</v>
      </c>
      <c r="C73" s="77">
        <v>45747</v>
      </c>
      <c r="D73" s="1125" t="s">
        <v>466</v>
      </c>
      <c r="E73" s="77">
        <v>45700</v>
      </c>
      <c r="F73" s="77" t="s">
        <v>577</v>
      </c>
      <c r="G73" s="1126" t="s">
        <v>675</v>
      </c>
      <c r="H73" s="76">
        <v>60</v>
      </c>
      <c r="I73" s="841" t="s">
        <v>156</v>
      </c>
      <c r="J73" s="76" t="s">
        <v>63</v>
      </c>
      <c r="K73" s="77">
        <v>45698</v>
      </c>
      <c r="L73" s="104" t="s">
        <v>57</v>
      </c>
      <c r="M73" s="835">
        <v>54861</v>
      </c>
      <c r="N73" s="836">
        <v>55197</v>
      </c>
      <c r="O73" s="104" t="s">
        <v>57</v>
      </c>
      <c r="P73" s="76" t="s">
        <v>156</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7">
        <v>45716</v>
      </c>
      <c r="L75" s="798" t="s">
        <v>57</v>
      </c>
      <c r="M75" s="658">
        <v>21944.6</v>
      </c>
      <c r="N75" s="831">
        <v>26564</v>
      </c>
      <c r="O75" s="798" t="s">
        <v>57</v>
      </c>
      <c r="P75" s="815" t="s">
        <v>156</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20"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1"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4" t="s">
        <v>57</v>
      </c>
      <c r="M81" s="440">
        <v>67892.5</v>
      </c>
      <c r="N81" s="440">
        <v>65771.429999999993</v>
      </c>
      <c r="O81" s="391" t="s">
        <v>57</v>
      </c>
      <c r="P81" s="365" t="s">
        <v>156</v>
      </c>
      <c r="Q81" s="54">
        <v>45709</v>
      </c>
      <c r="R81" s="31">
        <v>5494</v>
      </c>
      <c r="S81" s="107">
        <v>5431</v>
      </c>
      <c r="T81" s="1122">
        <v>0</v>
      </c>
      <c r="U81" s="917">
        <v>0.99</v>
      </c>
      <c r="V81" s="54">
        <v>45722</v>
      </c>
      <c r="W81" s="22">
        <v>1</v>
      </c>
      <c r="X81" s="22">
        <v>1</v>
      </c>
      <c r="Y81" s="22">
        <v>1</v>
      </c>
      <c r="Z81" s="54">
        <v>45917</v>
      </c>
      <c r="AA81" s="69" t="s">
        <v>698</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8"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6">
        <v>1010</v>
      </c>
      <c r="S115" s="1117">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8" t="s">
        <v>140</v>
      </c>
      <c r="E117" s="521">
        <v>45817</v>
      </c>
      <c r="F117" s="1108" t="s">
        <v>114</v>
      </c>
      <c r="G117" s="1114" t="s">
        <v>777</v>
      </c>
      <c r="H117" s="520">
        <v>0</v>
      </c>
      <c r="I117" s="524" t="s">
        <v>155</v>
      </c>
      <c r="J117" s="520" t="s">
        <v>63</v>
      </c>
      <c r="K117" s="1104">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3"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1"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7" t="s">
        <v>113</v>
      </c>
      <c r="C120" s="1018">
        <v>45899</v>
      </c>
      <c r="D120" s="987" t="s">
        <v>60</v>
      </c>
      <c r="E120" s="987">
        <v>45876</v>
      </c>
      <c r="F120" s="987" t="s">
        <v>114</v>
      </c>
      <c r="G120" s="1112"/>
      <c r="H120" s="1005">
        <v>0</v>
      </c>
      <c r="I120" s="1115"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3"/>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8" t="s">
        <v>133</v>
      </c>
      <c r="G122" s="1109"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793</v>
      </c>
    </row>
    <row r="123" spans="1:27" ht="39.75" customHeight="1" thickBot="1">
      <c r="A123" s="791" t="s">
        <v>794</v>
      </c>
      <c r="B123" s="506" t="s">
        <v>113</v>
      </c>
      <c r="C123" s="514">
        <v>45899</v>
      </c>
      <c r="D123" s="521" t="s">
        <v>140</v>
      </c>
      <c r="E123" s="521">
        <v>45870</v>
      </c>
      <c r="F123" s="1108" t="s">
        <v>133</v>
      </c>
      <c r="G123" s="1109"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796</v>
      </c>
    </row>
    <row r="124" spans="1:27" ht="39.75" customHeight="1" thickBot="1">
      <c r="A124" s="791" t="s">
        <v>797</v>
      </c>
      <c r="B124" s="936" t="s">
        <v>113</v>
      </c>
      <c r="C124" s="57">
        <v>45899</v>
      </c>
      <c r="D124" s="930" t="s">
        <v>140</v>
      </c>
      <c r="E124" s="930">
        <v>45882</v>
      </c>
      <c r="F124" s="1096" t="s">
        <v>133</v>
      </c>
      <c r="G124" s="1103"/>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3"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801</v>
      </c>
    </row>
    <row r="126" spans="1:27" ht="39.75" customHeight="1" thickBot="1">
      <c r="A126" s="791" t="s">
        <v>802</v>
      </c>
      <c r="B126" s="936" t="s">
        <v>113</v>
      </c>
      <c r="C126" s="57">
        <v>45868</v>
      </c>
      <c r="D126" s="794" t="s">
        <v>60</v>
      </c>
      <c r="E126" s="930">
        <v>45853</v>
      </c>
      <c r="F126" s="1095" t="s">
        <v>114</v>
      </c>
      <c r="G126" s="1110"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5"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3"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7"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8">
        <v>45741</v>
      </c>
      <c r="L134" s="890" t="s">
        <v>57</v>
      </c>
      <c r="M134" s="1099">
        <v>41813</v>
      </c>
      <c r="N134" s="808"/>
      <c r="O134" s="890" t="s">
        <v>57</v>
      </c>
      <c r="P134" s="1091"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2">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140</v>
      </c>
      <c r="K6">
        <v>22274</v>
      </c>
      <c r="N6" t="s">
        <v>140</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431</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431</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413</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394</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394</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394</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394</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394</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366</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366</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416</v>
      </c>
      <c r="B284">
        <v>2227</v>
      </c>
      <c r="G284">
        <v>2227</v>
      </c>
    </row>
    <row r="285" spans="1:7">
      <c r="A285" t="s">
        <v>479</v>
      </c>
      <c r="C285">
        <v>0</v>
      </c>
      <c r="D285">
        <v>0</v>
      </c>
      <c r="E285">
        <v>344</v>
      </c>
      <c r="G285">
        <v>344</v>
      </c>
    </row>
    <row r="286" spans="1:7">
      <c r="A286" t="s">
        <v>412</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363</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412</v>
      </c>
    </row>
    <row r="311" spans="1:7">
      <c r="A311" t="s">
        <v>668</v>
      </c>
    </row>
    <row r="312" spans="1:7">
      <c r="A312" t="s">
        <v>547</v>
      </c>
      <c r="B312">
        <v>618</v>
      </c>
      <c r="C312">
        <v>700</v>
      </c>
      <c r="G312">
        <v>1318</v>
      </c>
    </row>
    <row r="313" spans="1:7">
      <c r="A313" t="s">
        <v>539</v>
      </c>
    </row>
    <row r="314" spans="1:7">
      <c r="A314" t="s">
        <v>363</v>
      </c>
    </row>
    <row r="315" spans="1:7">
      <c r="A315" t="s">
        <v>665</v>
      </c>
      <c r="B315">
        <v>990</v>
      </c>
      <c r="C315">
        <v>1871</v>
      </c>
      <c r="D315">
        <v>1307</v>
      </c>
      <c r="G315">
        <v>4168</v>
      </c>
    </row>
    <row r="316" spans="1:7">
      <c r="A316" t="s">
        <v>401</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401</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405</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389</v>
      </c>
      <c r="B470">
        <v>644</v>
      </c>
      <c r="C470">
        <v>1430</v>
      </c>
      <c r="D470">
        <v>970</v>
      </c>
      <c r="G470">
        <v>3044</v>
      </c>
    </row>
    <row r="471" spans="1:7">
      <c r="A471" t="s">
        <v>419</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389</v>
      </c>
      <c r="B485">
        <v>948</v>
      </c>
      <c r="D485">
        <v>736</v>
      </c>
      <c r="F485">
        <v>1684</v>
      </c>
    </row>
    <row r="486" spans="1:7">
      <c r="A486" t="s">
        <v>383</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401</v>
      </c>
      <c r="E501">
        <v>341</v>
      </c>
      <c r="G501">
        <v>341</v>
      </c>
    </row>
    <row r="502" spans="1:7">
      <c r="A502" t="s">
        <v>901</v>
      </c>
    </row>
    <row r="503" spans="1:7">
      <c r="A503" t="s">
        <v>389</v>
      </c>
      <c r="B503">
        <v>1957</v>
      </c>
      <c r="G503">
        <v>1957</v>
      </c>
    </row>
    <row r="504" spans="1:7">
      <c r="A504" t="s">
        <v>383</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383</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412</v>
      </c>
      <c r="E534">
        <v>977</v>
      </c>
      <c r="G534">
        <v>977</v>
      </c>
    </row>
    <row r="535" spans="1:7">
      <c r="A535" t="s">
        <v>900</v>
      </c>
      <c r="D535">
        <v>81</v>
      </c>
      <c r="F535">
        <v>114</v>
      </c>
      <c r="G535">
        <v>195</v>
      </c>
    </row>
    <row r="536" spans="1:7">
      <c r="A536" t="s">
        <v>508</v>
      </c>
    </row>
    <row r="537" spans="1:7">
      <c r="A537" t="s">
        <v>389</v>
      </c>
    </row>
    <row r="538" spans="1:7">
      <c r="A538" t="s">
        <v>383</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412</v>
      </c>
      <c r="E549">
        <v>676</v>
      </c>
      <c r="F549">
        <v>430</v>
      </c>
      <c r="G549">
        <v>1106</v>
      </c>
    </row>
    <row r="550" spans="1:7">
      <c r="A550" t="s">
        <v>401</v>
      </c>
      <c r="D550">
        <v>649</v>
      </c>
      <c r="G550">
        <v>649</v>
      </c>
    </row>
    <row r="551" spans="1:7">
      <c r="A551" t="s">
        <v>900</v>
      </c>
      <c r="B551">
        <v>237</v>
      </c>
      <c r="C551">
        <v>322</v>
      </c>
      <c r="D551">
        <v>245</v>
      </c>
      <c r="E551">
        <v>1091</v>
      </c>
      <c r="F551">
        <v>303</v>
      </c>
      <c r="G551">
        <v>2198</v>
      </c>
    </row>
    <row r="552" spans="1:7">
      <c r="A552" t="s">
        <v>383</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412</v>
      </c>
      <c r="B565">
        <v>885</v>
      </c>
      <c r="C565">
        <v>478</v>
      </c>
      <c r="D565">
        <v>490</v>
      </c>
      <c r="E565">
        <v>372</v>
      </c>
      <c r="G565">
        <v>2225</v>
      </c>
    </row>
    <row r="566" spans="1:7">
      <c r="A566" t="s">
        <v>75</v>
      </c>
    </row>
    <row r="567" spans="1:7">
      <c r="A567" t="s">
        <v>900</v>
      </c>
      <c r="B567">
        <v>360</v>
      </c>
      <c r="G567">
        <v>360</v>
      </c>
    </row>
    <row r="568" spans="1:7">
      <c r="A568" t="s">
        <v>389</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F578">
        <v>198</v>
      </c>
      <c r="G578">
        <v>198</v>
      </c>
    </row>
    <row r="579" spans="1:7">
      <c r="A579" t="s">
        <v>412</v>
      </c>
    </row>
    <row r="580" spans="1:7">
      <c r="A580" t="s">
        <v>363</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C590">
        <v>403</v>
      </c>
      <c r="D590">
        <v>39</v>
      </c>
      <c r="G590">
        <v>442</v>
      </c>
    </row>
    <row r="591" spans="1:7">
      <c r="A591" t="s">
        <v>416</v>
      </c>
      <c r="B591">
        <v>862</v>
      </c>
      <c r="G591">
        <v>862</v>
      </c>
    </row>
    <row r="592" spans="1:7">
      <c r="A592" t="s">
        <v>895</v>
      </c>
      <c r="C592">
        <v>203</v>
      </c>
      <c r="D592">
        <v>170</v>
      </c>
      <c r="E592">
        <v>106</v>
      </c>
      <c r="G592">
        <v>479</v>
      </c>
    </row>
    <row r="593" spans="1:7">
      <c r="A593" t="s">
        <v>383</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C604">
        <v>318</v>
      </c>
      <c r="G604">
        <v>318</v>
      </c>
    </row>
    <row r="605" spans="1:7">
      <c r="A605" t="s">
        <v>416</v>
      </c>
      <c r="D605">
        <v>461</v>
      </c>
      <c r="E605">
        <v>880</v>
      </c>
      <c r="F605">
        <v>585</v>
      </c>
      <c r="G605">
        <v>1926</v>
      </c>
    </row>
    <row r="606" spans="1:7">
      <c r="A606" t="s">
        <v>363</v>
      </c>
      <c r="E606">
        <v>868</v>
      </c>
      <c r="G606">
        <v>868</v>
      </c>
    </row>
    <row r="607" spans="1:7">
      <c r="A607" t="s">
        <v>895</v>
      </c>
      <c r="D607">
        <v>272</v>
      </c>
      <c r="E607">
        <v>79</v>
      </c>
      <c r="G607">
        <v>351</v>
      </c>
    </row>
    <row r="608" spans="1:7">
      <c r="A608" t="s">
        <v>383</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416</v>
      </c>
      <c r="B625">
        <v>345</v>
      </c>
      <c r="G625">
        <v>345</v>
      </c>
    </row>
    <row r="626" spans="1:7">
      <c r="A626" t="s">
        <v>383</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358</v>
      </c>
      <c r="D632">
        <v>314</v>
      </c>
      <c r="G632">
        <v>314</v>
      </c>
    </row>
    <row r="633" spans="1:7">
      <c r="A633" t="s">
        <v>421</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358</v>
      </c>
    </row>
    <row r="642" spans="1:7">
      <c r="A642" t="s">
        <v>421</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C651">
        <v>319</v>
      </c>
      <c r="G651">
        <v>319</v>
      </c>
    </row>
    <row r="652" spans="1:7">
      <c r="A652" t="s">
        <v>895</v>
      </c>
      <c r="B652">
        <v>376</v>
      </c>
      <c r="C652">
        <v>35</v>
      </c>
      <c r="D652">
        <v>48</v>
      </c>
      <c r="E652">
        <v>144</v>
      </c>
      <c r="F652">
        <v>64</v>
      </c>
      <c r="G652">
        <v>667</v>
      </c>
    </row>
    <row r="653" spans="1:7">
      <c r="A653" t="s">
        <v>421</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282</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D665">
        <v>499</v>
      </c>
      <c r="E665">
        <v>231</v>
      </c>
      <c r="F665">
        <v>316</v>
      </c>
      <c r="G665">
        <v>1046</v>
      </c>
    </row>
    <row r="666" spans="1:7">
      <c r="A666" t="s">
        <v>401</v>
      </c>
    </row>
    <row r="667" spans="1:7">
      <c r="A667" t="s">
        <v>895</v>
      </c>
      <c r="B667">
        <v>141</v>
      </c>
      <c r="D667">
        <v>181</v>
      </c>
      <c r="E667">
        <v>82</v>
      </c>
      <c r="F667">
        <v>96</v>
      </c>
      <c r="G667">
        <v>500</v>
      </c>
    </row>
    <row r="668" spans="1:7">
      <c r="A668" t="s">
        <v>782</v>
      </c>
      <c r="B668">
        <v>343</v>
      </c>
      <c r="C668">
        <v>416</v>
      </c>
      <c r="D668">
        <v>216</v>
      </c>
      <c r="G668">
        <v>975</v>
      </c>
    </row>
    <row r="669" spans="1:7">
      <c r="A669" t="s">
        <v>358</v>
      </c>
      <c r="C669">
        <v>430</v>
      </c>
      <c r="G669">
        <v>430</v>
      </c>
    </row>
    <row r="670" spans="1:7">
      <c r="A670" t="s">
        <v>421</v>
      </c>
      <c r="B670">
        <v>377</v>
      </c>
      <c r="C670">
        <v>408</v>
      </c>
      <c r="D670">
        <v>607</v>
      </c>
      <c r="E670">
        <v>1022</v>
      </c>
      <c r="G670">
        <v>2414</v>
      </c>
    </row>
    <row r="671" spans="1:7">
      <c r="A671" t="s">
        <v>791</v>
      </c>
    </row>
    <row r="672" spans="1:7">
      <c r="A672" t="s">
        <v>794</v>
      </c>
    </row>
    <row r="673" spans="1:7">
      <c r="A673" t="s">
        <v>282</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D684">
        <v>358</v>
      </c>
      <c r="G684">
        <v>358</v>
      </c>
    </row>
    <row r="685" spans="1:7">
      <c r="A685" t="s">
        <v>416</v>
      </c>
      <c r="D685">
        <v>1241</v>
      </c>
      <c r="G685">
        <v>1241</v>
      </c>
    </row>
    <row r="686" spans="1:7">
      <c r="A686" t="s">
        <v>363</v>
      </c>
      <c r="B686">
        <v>503</v>
      </c>
      <c r="C686">
        <v>295</v>
      </c>
      <c r="F686">
        <v>6</v>
      </c>
      <c r="G686">
        <v>804</v>
      </c>
    </row>
    <row r="687" spans="1:7">
      <c r="A687" t="s">
        <v>401</v>
      </c>
      <c r="C687">
        <v>1009</v>
      </c>
      <c r="G687">
        <v>1009</v>
      </c>
    </row>
    <row r="688" spans="1:7">
      <c r="A688" t="s">
        <v>895</v>
      </c>
      <c r="B688">
        <v>20</v>
      </c>
      <c r="E688">
        <v>250</v>
      </c>
      <c r="F688">
        <v>177</v>
      </c>
      <c r="G688">
        <v>447</v>
      </c>
    </row>
    <row r="689" spans="1:7">
      <c r="A689" t="s">
        <v>421</v>
      </c>
      <c r="B689">
        <v>639</v>
      </c>
      <c r="G689">
        <v>639</v>
      </c>
    </row>
    <row r="690" spans="1:7">
      <c r="A690" t="s">
        <v>282</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366</v>
      </c>
      <c r="E706">
        <v>99</v>
      </c>
      <c r="G706">
        <v>99</v>
      </c>
    </row>
    <row r="707" spans="1:7">
      <c r="A707" t="s">
        <v>416</v>
      </c>
    </row>
    <row r="708" spans="1:7">
      <c r="A708" t="s">
        <v>668</v>
      </c>
    </row>
    <row r="709" spans="1:7">
      <c r="A709" t="s">
        <v>363</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430</v>
      </c>
      <c r="E719">
        <v>903</v>
      </c>
      <c r="G719">
        <v>903</v>
      </c>
    </row>
    <row r="720" spans="1:7">
      <c r="A720" t="s">
        <v>423</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430</v>
      </c>
      <c r="B731">
        <v>254</v>
      </c>
      <c r="C731">
        <v>1686</v>
      </c>
      <c r="D731">
        <v>611</v>
      </c>
      <c r="G731">
        <v>2551</v>
      </c>
    </row>
    <row r="732" spans="1:7">
      <c r="A732" t="s">
        <v>423</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355</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row>
    <row r="743" spans="1:7">
      <c r="A743" t="s">
        <v>416</v>
      </c>
      <c r="D743">
        <v>139</v>
      </c>
      <c r="G743">
        <v>139</v>
      </c>
    </row>
    <row r="744" spans="1:7">
      <c r="A744" t="s">
        <v>363</v>
      </c>
    </row>
    <row r="745" spans="1:7">
      <c r="A745" t="s">
        <v>405</v>
      </c>
      <c r="E745">
        <v>97</v>
      </c>
      <c r="G745">
        <v>97</v>
      </c>
    </row>
    <row r="746" spans="1:7">
      <c r="A746" t="s">
        <v>900</v>
      </c>
      <c r="B746">
        <v>42</v>
      </c>
      <c r="C746">
        <v>219</v>
      </c>
      <c r="F746">
        <v>70</v>
      </c>
      <c r="G746">
        <v>331</v>
      </c>
    </row>
    <row r="747" spans="1:7">
      <c r="A747" t="s">
        <v>919</v>
      </c>
    </row>
    <row r="748" spans="1:7">
      <c r="A748" t="s">
        <v>430</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369</v>
      </c>
      <c r="C753">
        <v>251</v>
      </c>
      <c r="D753">
        <v>253</v>
      </c>
      <c r="E753">
        <v>1076</v>
      </c>
      <c r="G753">
        <v>1580</v>
      </c>
    </row>
    <row r="754" spans="1:7">
      <c r="A754" t="s">
        <v>355</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row>
    <row r="763" spans="1:7">
      <c r="A763" t="s">
        <v>416</v>
      </c>
      <c r="B763">
        <v>60</v>
      </c>
      <c r="G763">
        <v>60</v>
      </c>
    </row>
    <row r="764" spans="1:7">
      <c r="A764" t="s">
        <v>83</v>
      </c>
      <c r="E764">
        <v>175</v>
      </c>
      <c r="G764">
        <v>175</v>
      </c>
    </row>
    <row r="765" spans="1:7">
      <c r="A765" t="s">
        <v>900</v>
      </c>
      <c r="C765">
        <v>224</v>
      </c>
      <c r="G765">
        <v>224</v>
      </c>
    </row>
    <row r="766" spans="1:7">
      <c r="A766" t="s">
        <v>358</v>
      </c>
      <c r="D766">
        <v>406</v>
      </c>
      <c r="G766">
        <v>406</v>
      </c>
    </row>
    <row r="767" spans="1:7">
      <c r="A767" t="s">
        <v>282</v>
      </c>
      <c r="D767">
        <v>362</v>
      </c>
      <c r="E767">
        <v>399</v>
      </c>
      <c r="G767">
        <v>761</v>
      </c>
    </row>
    <row r="768" spans="1:7">
      <c r="A768" t="s">
        <v>764</v>
      </c>
    </row>
    <row r="769" spans="1:7">
      <c r="A769" t="s">
        <v>734</v>
      </c>
    </row>
    <row r="770" spans="1:7">
      <c r="A770" t="s">
        <v>369</v>
      </c>
      <c r="C770">
        <v>120</v>
      </c>
      <c r="D770">
        <v>190</v>
      </c>
      <c r="G770">
        <v>310</v>
      </c>
    </row>
    <row r="771" spans="1:7">
      <c r="A771" t="s">
        <v>355</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372</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row>
    <row r="790" spans="1:7">
      <c r="A790" t="s">
        <v>83</v>
      </c>
      <c r="B790">
        <v>229</v>
      </c>
      <c r="G790">
        <v>229</v>
      </c>
    </row>
    <row r="791" spans="1:7">
      <c r="A791" t="s">
        <v>405</v>
      </c>
      <c r="C791">
        <v>134</v>
      </c>
      <c r="E791">
        <v>450</v>
      </c>
      <c r="F791">
        <v>352</v>
      </c>
      <c r="G791">
        <v>936</v>
      </c>
    </row>
    <row r="792" spans="1:7">
      <c r="A792" t="s">
        <v>900</v>
      </c>
      <c r="D792">
        <v>201</v>
      </c>
      <c r="F792">
        <v>352</v>
      </c>
      <c r="G792">
        <v>553</v>
      </c>
    </row>
    <row r="793" spans="1:7">
      <c r="A793" t="s">
        <v>358</v>
      </c>
      <c r="C793">
        <v>665</v>
      </c>
      <c r="D793">
        <v>753</v>
      </c>
      <c r="E793">
        <v>305</v>
      </c>
      <c r="G793">
        <v>1723</v>
      </c>
    </row>
    <row r="794" spans="1:7">
      <c r="A794" t="s">
        <v>369</v>
      </c>
      <c r="B794">
        <v>479</v>
      </c>
      <c r="E794">
        <v>170</v>
      </c>
      <c r="G794">
        <v>649</v>
      </c>
    </row>
    <row r="795" spans="1:7">
      <c r="A795" t="s">
        <v>355</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372</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405</v>
      </c>
      <c r="B815">
        <v>175</v>
      </c>
      <c r="C815">
        <v>270</v>
      </c>
      <c r="G815">
        <v>445</v>
      </c>
    </row>
    <row r="816" spans="1:7">
      <c r="A816" t="s">
        <v>900</v>
      </c>
      <c r="B816">
        <v>65</v>
      </c>
      <c r="C816">
        <v>55</v>
      </c>
      <c r="G816">
        <v>120</v>
      </c>
    </row>
    <row r="817" spans="1:7">
      <c r="A817" t="s">
        <v>358</v>
      </c>
    </row>
    <row r="818" spans="1:7">
      <c r="A818" t="s">
        <v>369</v>
      </c>
      <c r="E818">
        <v>725</v>
      </c>
      <c r="G818">
        <v>725</v>
      </c>
    </row>
    <row r="819" spans="1:7">
      <c r="A819" t="s">
        <v>355</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372</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427</v>
      </c>
      <c r="D827">
        <v>333</v>
      </c>
      <c r="G827">
        <v>333</v>
      </c>
    </row>
    <row r="828" spans="1:7">
      <c r="A828" t="s">
        <v>928</v>
      </c>
      <c r="D828">
        <v>160</v>
      </c>
      <c r="G828">
        <v>160</v>
      </c>
    </row>
    <row r="829" spans="1:7">
      <c r="A829" t="s">
        <v>175</v>
      </c>
      <c r="D829">
        <v>1282</v>
      </c>
      <c r="E829">
        <v>980</v>
      </c>
      <c r="G829">
        <v>2262</v>
      </c>
    </row>
    <row r="830" spans="1:7">
      <c r="A830" t="s">
        <v>352</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282</v>
      </c>
      <c r="E838">
        <v>170</v>
      </c>
      <c r="G838">
        <v>170</v>
      </c>
    </row>
    <row r="839" spans="1:7">
      <c r="A839" t="s">
        <v>355</v>
      </c>
      <c r="D839">
        <v>986</v>
      </c>
      <c r="G839">
        <v>986</v>
      </c>
    </row>
    <row r="840" spans="1:7">
      <c r="A840" t="s">
        <v>925</v>
      </c>
      <c r="B840">
        <v>916</v>
      </c>
      <c r="C840">
        <v>144</v>
      </c>
      <c r="G840">
        <v>1060</v>
      </c>
    </row>
    <row r="841" spans="1:7">
      <c r="A841" t="s">
        <v>444</v>
      </c>
    </row>
    <row r="842" spans="1:7">
      <c r="A842" t="s">
        <v>766</v>
      </c>
    </row>
    <row r="843" spans="1:7">
      <c r="A843" t="s">
        <v>175</v>
      </c>
      <c r="B843">
        <v>828</v>
      </c>
      <c r="C843">
        <v>150</v>
      </c>
      <c r="E843">
        <v>688</v>
      </c>
      <c r="G843">
        <v>1666</v>
      </c>
    </row>
    <row r="844" spans="1:7">
      <c r="A844" t="s">
        <v>929</v>
      </c>
      <c r="B844">
        <v>233</v>
      </c>
      <c r="G844">
        <v>233</v>
      </c>
    </row>
    <row r="845" spans="1:7">
      <c r="A845" t="s">
        <v>446</v>
      </c>
      <c r="B845">
        <v>1768</v>
      </c>
      <c r="C845">
        <v>510</v>
      </c>
      <c r="G845">
        <v>2278</v>
      </c>
    </row>
    <row r="846" spans="1:7">
      <c r="A846" t="s">
        <v>410</v>
      </c>
      <c r="B846">
        <v>220</v>
      </c>
      <c r="C846">
        <v>435</v>
      </c>
      <c r="D846">
        <v>227</v>
      </c>
      <c r="E846">
        <v>487</v>
      </c>
      <c r="F846">
        <v>123</v>
      </c>
      <c r="G846">
        <v>1492</v>
      </c>
    </row>
    <row r="847" spans="1:7">
      <c r="A847" t="s">
        <v>360</v>
      </c>
      <c r="B847">
        <v>60</v>
      </c>
      <c r="C847">
        <v>219</v>
      </c>
      <c r="G847">
        <v>279</v>
      </c>
    </row>
    <row r="848" spans="1:7">
      <c r="A848" t="s">
        <v>808</v>
      </c>
      <c r="D848">
        <v>240</v>
      </c>
      <c r="G848">
        <v>240</v>
      </c>
    </row>
    <row r="849" spans="1:7">
      <c r="A849" t="s">
        <v>930</v>
      </c>
      <c r="C849">
        <v>1603</v>
      </c>
      <c r="D849">
        <v>791</v>
      </c>
      <c r="E849">
        <v>2803</v>
      </c>
      <c r="G849">
        <v>5197</v>
      </c>
    </row>
    <row r="850" spans="1:7">
      <c r="A850" t="s">
        <v>374</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377</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405</v>
      </c>
      <c r="B860">
        <v>153</v>
      </c>
      <c r="C860">
        <v>244</v>
      </c>
      <c r="E860">
        <v>237</v>
      </c>
      <c r="G860">
        <v>634</v>
      </c>
    </row>
    <row r="861" spans="1:7">
      <c r="A861" t="s">
        <v>900</v>
      </c>
      <c r="B861">
        <v>455</v>
      </c>
      <c r="G861">
        <v>455</v>
      </c>
    </row>
    <row r="862" spans="1:7">
      <c r="A862" t="s">
        <v>358</v>
      </c>
      <c r="B862">
        <v>151</v>
      </c>
      <c r="C862">
        <v>149</v>
      </c>
      <c r="G862">
        <v>300</v>
      </c>
    </row>
    <row r="863" spans="1:7">
      <c r="A863" t="s">
        <v>80</v>
      </c>
      <c r="D863">
        <v>168</v>
      </c>
      <c r="F863">
        <v>34</v>
      </c>
      <c r="G863">
        <v>202</v>
      </c>
    </row>
    <row r="864" spans="1:7">
      <c r="A864" t="s">
        <v>427</v>
      </c>
    </row>
    <row r="865" spans="1:7">
      <c r="A865" t="s">
        <v>410</v>
      </c>
      <c r="C865">
        <v>413</v>
      </c>
      <c r="D865">
        <v>190</v>
      </c>
      <c r="E865">
        <v>1194</v>
      </c>
      <c r="F865">
        <v>306</v>
      </c>
      <c r="G865">
        <v>2103</v>
      </c>
    </row>
    <row r="866" spans="1:7">
      <c r="A866" t="s">
        <v>930</v>
      </c>
      <c r="B866">
        <v>3343</v>
      </c>
      <c r="C866">
        <v>714</v>
      </c>
      <c r="D866">
        <v>2013</v>
      </c>
      <c r="E866">
        <v>1500</v>
      </c>
      <c r="F866">
        <v>1933</v>
      </c>
      <c r="G866">
        <v>9503</v>
      </c>
    </row>
    <row r="867" spans="1:7">
      <c r="A867" t="s">
        <v>374</v>
      </c>
      <c r="B867">
        <v>1100</v>
      </c>
      <c r="C867">
        <v>527</v>
      </c>
      <c r="D867">
        <v>553</v>
      </c>
      <c r="G867">
        <v>2180</v>
      </c>
    </row>
    <row r="868" spans="1:7">
      <c r="A868" t="s">
        <v>450</v>
      </c>
      <c r="C868">
        <v>230</v>
      </c>
      <c r="G868">
        <v>230</v>
      </c>
    </row>
    <row r="869" spans="1:7">
      <c r="A869" t="s">
        <v>768</v>
      </c>
      <c r="B869">
        <v>853</v>
      </c>
      <c r="G869">
        <v>853</v>
      </c>
    </row>
    <row r="870" spans="1:7">
      <c r="A870" t="s">
        <v>377</v>
      </c>
      <c r="B870">
        <v>1186</v>
      </c>
      <c r="C870">
        <v>1564</v>
      </c>
      <c r="D870">
        <v>1012</v>
      </c>
      <c r="E870">
        <v>588</v>
      </c>
      <c r="G870">
        <v>4350</v>
      </c>
    </row>
    <row r="871" spans="1:7">
      <c r="A871" t="s">
        <v>770</v>
      </c>
      <c r="C871">
        <v>1007</v>
      </c>
      <c r="D871">
        <v>1672</v>
      </c>
      <c r="E871">
        <v>1544</v>
      </c>
      <c r="G871">
        <v>4223</v>
      </c>
    </row>
    <row r="872" spans="1:7">
      <c r="A872" t="s">
        <v>153</v>
      </c>
      <c r="C872">
        <v>1182</v>
      </c>
      <c r="D872">
        <v>1604</v>
      </c>
      <c r="E872">
        <v>1268</v>
      </c>
      <c r="G872">
        <v>4054</v>
      </c>
    </row>
    <row r="873" spans="1:7">
      <c r="A873" t="s">
        <v>379</v>
      </c>
      <c r="D873">
        <v>1624</v>
      </c>
      <c r="E873">
        <v>551</v>
      </c>
      <c r="G873">
        <v>2175</v>
      </c>
    </row>
    <row r="874" spans="1:7">
      <c r="A874" t="s">
        <v>375</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358</v>
      </c>
    </row>
    <row r="883" spans="1:7">
      <c r="A883" t="s">
        <v>421</v>
      </c>
      <c r="F883">
        <v>60</v>
      </c>
      <c r="G883">
        <v>60</v>
      </c>
    </row>
    <row r="884" spans="1:7">
      <c r="A884" t="s">
        <v>282</v>
      </c>
    </row>
    <row r="885" spans="1:7">
      <c r="A885" t="s">
        <v>355</v>
      </c>
    </row>
    <row r="886" spans="1:7">
      <c r="A886" t="s">
        <v>80</v>
      </c>
      <c r="B886">
        <v>188</v>
      </c>
      <c r="C886">
        <v>140</v>
      </c>
      <c r="G886">
        <v>328</v>
      </c>
    </row>
    <row r="887" spans="1:7">
      <c r="A887" t="s">
        <v>427</v>
      </c>
      <c r="B887">
        <v>270</v>
      </c>
      <c r="C887">
        <v>60</v>
      </c>
      <c r="G887">
        <v>330</v>
      </c>
    </row>
    <row r="888" spans="1:7">
      <c r="A888" t="s">
        <v>446</v>
      </c>
    </row>
    <row r="889" spans="1:7">
      <c r="A889" t="s">
        <v>410</v>
      </c>
      <c r="B889">
        <v>203</v>
      </c>
      <c r="C889">
        <v>996</v>
      </c>
      <c r="D889">
        <v>1147</v>
      </c>
      <c r="E889">
        <v>1053</v>
      </c>
      <c r="F889">
        <v>955</v>
      </c>
      <c r="G889">
        <v>4354</v>
      </c>
    </row>
    <row r="890" spans="1:7">
      <c r="A890" t="s">
        <v>930</v>
      </c>
      <c r="B890">
        <v>820</v>
      </c>
      <c r="C890">
        <v>2077</v>
      </c>
      <c r="D890">
        <v>1096</v>
      </c>
      <c r="G890">
        <v>3993</v>
      </c>
    </row>
    <row r="891" spans="1:7">
      <c r="A891" t="s">
        <v>374</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153</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244</v>
      </c>
      <c r="D899">
        <v>3179</v>
      </c>
      <c r="G899">
        <v>3179</v>
      </c>
    </row>
    <row r="900" spans="1:7">
      <c r="A900" t="s">
        <v>199</v>
      </c>
      <c r="E900">
        <v>978</v>
      </c>
      <c r="G900">
        <v>978</v>
      </c>
    </row>
    <row r="901" spans="1:7">
      <c r="A901" t="s">
        <v>210</v>
      </c>
      <c r="E901">
        <v>502</v>
      </c>
      <c r="G901">
        <v>502</v>
      </c>
    </row>
    <row r="902" spans="1:7">
      <c r="A902" t="s">
        <v>247</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423</v>
      </c>
    </row>
    <row r="910" spans="1:7">
      <c r="A910" t="s">
        <v>355</v>
      </c>
    </row>
    <row r="911" spans="1:7">
      <c r="A911" t="s">
        <v>372</v>
      </c>
      <c r="F911">
        <v>569</v>
      </c>
      <c r="G911">
        <v>569</v>
      </c>
    </row>
    <row r="912" spans="1:7">
      <c r="A912" t="s">
        <v>410</v>
      </c>
    </row>
    <row r="913" spans="1:7">
      <c r="A913" t="s">
        <v>360</v>
      </c>
      <c r="D913">
        <v>150</v>
      </c>
      <c r="G913">
        <v>150</v>
      </c>
    </row>
    <row r="914" spans="1:7">
      <c r="A914" t="s">
        <v>377</v>
      </c>
    </row>
    <row r="915" spans="1:7">
      <c r="A915" t="s">
        <v>153</v>
      </c>
      <c r="B915">
        <v>701</v>
      </c>
      <c r="G915">
        <v>701</v>
      </c>
    </row>
    <row r="916" spans="1:7">
      <c r="A916" t="s">
        <v>379</v>
      </c>
      <c r="B916">
        <v>463</v>
      </c>
      <c r="C916">
        <v>633</v>
      </c>
      <c r="D916">
        <v>625</v>
      </c>
      <c r="G916">
        <v>1721</v>
      </c>
    </row>
    <row r="917" spans="1:7">
      <c r="A917" t="s">
        <v>375</v>
      </c>
    </row>
    <row r="918" spans="1:7">
      <c r="A918" t="s">
        <v>244</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247</v>
      </c>
      <c r="C921">
        <v>379</v>
      </c>
      <c r="D921">
        <v>208</v>
      </c>
      <c r="G921">
        <v>587</v>
      </c>
    </row>
    <row r="922" spans="1:7">
      <c r="A922" t="s">
        <v>387</v>
      </c>
      <c r="B922">
        <v>579</v>
      </c>
      <c r="C922">
        <v>1120</v>
      </c>
      <c r="D922">
        <v>1488</v>
      </c>
      <c r="E922">
        <v>954</v>
      </c>
      <c r="G922">
        <v>4141</v>
      </c>
    </row>
    <row r="923" spans="1:7">
      <c r="A923" t="s">
        <v>932</v>
      </c>
      <c r="B923">
        <v>365</v>
      </c>
      <c r="G923">
        <v>365</v>
      </c>
    </row>
    <row r="924" spans="1:7">
      <c r="A924" t="s">
        <v>381</v>
      </c>
      <c r="B924">
        <v>207</v>
      </c>
      <c r="G924">
        <v>207</v>
      </c>
    </row>
    <row r="925" spans="1:7">
      <c r="A925" t="s">
        <v>99</v>
      </c>
      <c r="C925">
        <v>1691</v>
      </c>
      <c r="D925">
        <v>1998</v>
      </c>
      <c r="E925">
        <v>760</v>
      </c>
      <c r="F925">
        <v>3975</v>
      </c>
      <c r="G925">
        <v>8424</v>
      </c>
    </row>
    <row r="926" spans="1:7">
      <c r="A926" t="s">
        <v>213</v>
      </c>
      <c r="D926">
        <v>1031</v>
      </c>
      <c r="G926">
        <v>1031</v>
      </c>
    </row>
    <row r="927" spans="1:7">
      <c r="A927" t="s">
        <v>378</v>
      </c>
      <c r="E927">
        <v>1063</v>
      </c>
      <c r="F927">
        <v>1263</v>
      </c>
      <c r="G927">
        <v>2326</v>
      </c>
    </row>
    <row r="928" spans="1:7">
      <c r="A928" t="s">
        <v>408</v>
      </c>
      <c r="F928">
        <v>451</v>
      </c>
      <c r="G928">
        <v>451</v>
      </c>
    </row>
    <row r="929" spans="1:7">
      <c r="A929" t="s">
        <v>313</v>
      </c>
      <c r="B929">
        <v>3266</v>
      </c>
      <c r="C929">
        <v>3910</v>
      </c>
      <c r="D929">
        <v>346</v>
      </c>
      <c r="G929">
        <v>7522</v>
      </c>
    </row>
    <row r="930" spans="1:7">
      <c r="A930" t="s">
        <v>317</v>
      </c>
      <c r="C930">
        <v>372</v>
      </c>
      <c r="D930">
        <v>656</v>
      </c>
      <c r="G930">
        <v>1028</v>
      </c>
    </row>
    <row r="931" spans="1:7">
      <c r="A931" t="s">
        <v>315</v>
      </c>
      <c r="D931">
        <v>2985</v>
      </c>
      <c r="E931">
        <v>2373</v>
      </c>
      <c r="G931">
        <v>5358</v>
      </c>
    </row>
    <row r="932" spans="1:7">
      <c r="A932" t="s">
        <v>333</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t="s">
        <v>868</v>
      </c>
    </row>
    <row r="938" spans="1:7">
      <c r="A938" t="s">
        <v>89</v>
      </c>
    </row>
    <row r="939" spans="1:7">
      <c r="A939" t="s">
        <v>352</v>
      </c>
    </row>
    <row r="940" spans="1:7">
      <c r="A940" t="s">
        <v>410</v>
      </c>
      <c r="B940">
        <v>560</v>
      </c>
      <c r="E940">
        <v>560</v>
      </c>
    </row>
    <row r="941" spans="1:7">
      <c r="A941" t="s">
        <v>377</v>
      </c>
    </row>
    <row r="942" spans="1:7">
      <c r="A942" t="s">
        <v>153</v>
      </c>
      <c r="B942">
        <v>138</v>
      </c>
      <c r="E942">
        <v>138</v>
      </c>
    </row>
    <row r="943" spans="1:7">
      <c r="A943" t="s">
        <v>375</v>
      </c>
    </row>
    <row r="944" spans="1:7">
      <c r="A944" t="s">
        <v>244</v>
      </c>
      <c r="B944">
        <v>96</v>
      </c>
      <c r="E944">
        <v>96</v>
      </c>
    </row>
    <row r="945" spans="1:5">
      <c r="A945" t="s">
        <v>199</v>
      </c>
      <c r="B945">
        <v>632</v>
      </c>
      <c r="E945">
        <v>632</v>
      </c>
    </row>
    <row r="946" spans="1:5">
      <c r="A946" t="s">
        <v>210</v>
      </c>
      <c r="B946">
        <v>558</v>
      </c>
      <c r="E946">
        <v>558</v>
      </c>
    </row>
    <row r="947" spans="1:5">
      <c r="A947" t="s">
        <v>247</v>
      </c>
      <c r="B947">
        <v>562</v>
      </c>
      <c r="D947">
        <v>474</v>
      </c>
      <c r="E947">
        <v>1036</v>
      </c>
    </row>
    <row r="948" spans="1:5">
      <c r="A948" t="s">
        <v>213</v>
      </c>
      <c r="B948">
        <v>1351</v>
      </c>
      <c r="D948">
        <v>890</v>
      </c>
      <c r="E948">
        <v>2241</v>
      </c>
    </row>
    <row r="949" spans="1:5">
      <c r="A949" t="s">
        <v>333</v>
      </c>
      <c r="B949">
        <v>4084</v>
      </c>
      <c r="E949">
        <v>4084</v>
      </c>
    </row>
    <row r="950" spans="1:5">
      <c r="A950" t="s">
        <v>933</v>
      </c>
      <c r="B950">
        <v>748</v>
      </c>
      <c r="C950">
        <v>1062</v>
      </c>
      <c r="E950">
        <v>1810</v>
      </c>
    </row>
    <row r="951" spans="1:5">
      <c r="A951" t="s">
        <v>251</v>
      </c>
      <c r="B951">
        <v>435</v>
      </c>
      <c r="E951">
        <v>435</v>
      </c>
    </row>
    <row r="952" spans="1:5">
      <c r="A952" t="s">
        <v>143</v>
      </c>
      <c r="D952">
        <v>1870</v>
      </c>
      <c r="E952">
        <v>1870</v>
      </c>
    </row>
    <row r="953" spans="1:5">
      <c r="A953" t="s">
        <v>139</v>
      </c>
      <c r="D953">
        <v>877</v>
      </c>
      <c r="E953">
        <v>877</v>
      </c>
    </row>
    <row r="954" spans="1:5">
      <c r="A954" t="s">
        <v>228</v>
      </c>
    </row>
    <row r="955" spans="1:5">
      <c r="A955" t="s">
        <v>300</v>
      </c>
    </row>
    <row r="956" spans="1:5">
      <c r="A956" t="s">
        <v>328</v>
      </c>
    </row>
    <row r="957" spans="1:5">
      <c r="A957" t="s">
        <v>335</v>
      </c>
    </row>
    <row r="958" spans="1:5">
      <c r="A958" t="s">
        <v>934</v>
      </c>
    </row>
    <row r="959" spans="1:5">
      <c r="A959" t="s">
        <v>868</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tabSelected="1" workbookViewId="0">
      <pane ySplit="1" topLeftCell="A2006" activePane="bottomLeft" state="frozen"/>
      <selection pane="bottomLeft" activeCell="A2014" sqref="A2014:XFD201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8">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9"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D2013" s="43">
        <v>711</v>
      </c>
      <c r="F2013" s="43" t="s">
        <v>992</v>
      </c>
      <c r="G2013" t="s">
        <v>1598</v>
      </c>
    </row>
    <row r="2014" spans="1:7">
      <c r="A2014" s="149" t="s">
        <v>375</v>
      </c>
      <c r="B2014" s="43" t="s">
        <v>1523</v>
      </c>
      <c r="C2014" s="56">
        <v>45973</v>
      </c>
      <c r="F2014" s="315" t="s">
        <v>1629</v>
      </c>
      <c r="G2014" t="s">
        <v>1598</v>
      </c>
    </row>
    <row r="2015" spans="1:7">
      <c r="A2015" s="636" t="s">
        <v>300</v>
      </c>
      <c r="B2015" s="43" t="s">
        <v>1523</v>
      </c>
      <c r="C2015" s="56">
        <v>45973</v>
      </c>
      <c r="D2015" s="156">
        <v>1486</v>
      </c>
      <c r="F2015" s="43" t="s">
        <v>1630</v>
      </c>
      <c r="G2015" t="s">
        <v>1598</v>
      </c>
    </row>
    <row r="2016" spans="1:7">
      <c r="A2016" s="636" t="s">
        <v>247</v>
      </c>
      <c r="B2016" s="43" t="s">
        <v>1591</v>
      </c>
      <c r="C2016" s="56">
        <v>45973</v>
      </c>
      <c r="D2016" s="43">
        <v>474</v>
      </c>
      <c r="G2016" t="s">
        <v>1598</v>
      </c>
    </row>
    <row r="2017" spans="1:7">
      <c r="A2017" s="43" t="s">
        <v>333</v>
      </c>
      <c r="B2017" s="43" t="s">
        <v>140</v>
      </c>
      <c r="C2017" s="56">
        <v>45973</v>
      </c>
      <c r="G2017" t="s">
        <v>1598</v>
      </c>
    </row>
    <row r="2018" spans="1:7">
      <c r="A2018" s="43" t="s">
        <v>328</v>
      </c>
      <c r="B2018" s="43" t="s">
        <v>140</v>
      </c>
      <c r="C2018" s="56">
        <v>45973</v>
      </c>
      <c r="G2018" t="s">
        <v>1598</v>
      </c>
    </row>
    <row r="2019" spans="1:7">
      <c r="A2019" s="43" t="s">
        <v>335</v>
      </c>
      <c r="B2019" s="43" t="s">
        <v>140</v>
      </c>
      <c r="C2019" s="56">
        <v>45973</v>
      </c>
      <c r="G2019"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1707</v>
      </c>
      <c r="C1" s="1152"/>
      <c r="D1" s="576"/>
      <c r="E1" s="1152" t="s">
        <v>1708</v>
      </c>
      <c r="F1" s="1152"/>
    </row>
    <row r="2" spans="1:25">
      <c r="B2" s="44" t="s">
        <v>1709</v>
      </c>
      <c r="E2" s="44" t="s">
        <v>22</v>
      </c>
      <c r="F2" t="s">
        <v>865</v>
      </c>
      <c r="P2" s="44" t="s">
        <v>27</v>
      </c>
      <c r="Q2" t="s">
        <v>1710</v>
      </c>
    </row>
    <row r="3" spans="1:25">
      <c r="B3" s="44" t="s">
        <v>22</v>
      </c>
      <c r="C3" t="s">
        <v>871</v>
      </c>
      <c r="K3" s="44" t="s">
        <v>1711</v>
      </c>
      <c r="L3" t="s">
        <v>1712</v>
      </c>
      <c r="P3" s="44" t="s">
        <v>1711</v>
      </c>
      <c r="Q3" t="s">
        <v>1712</v>
      </c>
    </row>
    <row r="4" spans="1:25">
      <c r="B4" t="s">
        <v>140</v>
      </c>
      <c r="C4">
        <v>196563</v>
      </c>
      <c r="E4" s="44" t="s">
        <v>1709</v>
      </c>
      <c r="F4" t="s">
        <v>871</v>
      </c>
      <c r="W4" t="s">
        <v>1713</v>
      </c>
      <c r="X4">
        <v>22</v>
      </c>
    </row>
    <row r="5" spans="1:25">
      <c r="B5" t="s">
        <v>60</v>
      </c>
      <c r="C5">
        <v>55547</v>
      </c>
      <c r="E5" t="s">
        <v>871</v>
      </c>
      <c r="F5">
        <v>274497</v>
      </c>
      <c r="K5" s="44" t="s">
        <v>1714</v>
      </c>
      <c r="P5" s="44" t="s">
        <v>1714</v>
      </c>
      <c r="W5" t="s">
        <v>1715</v>
      </c>
      <c r="X5">
        <v>13</v>
      </c>
    </row>
    <row r="6" spans="1:25">
      <c r="B6" t="s">
        <v>100</v>
      </c>
      <c r="C6">
        <v>22387</v>
      </c>
      <c r="K6" s="44" t="s">
        <v>27</v>
      </c>
      <c r="L6" s="44" t="s">
        <v>1716</v>
      </c>
      <c r="M6" t="s">
        <v>871</v>
      </c>
      <c r="P6" s="44" t="s">
        <v>1717</v>
      </c>
      <c r="Q6" s="44" t="s">
        <v>1716</v>
      </c>
      <c r="R6" t="s">
        <v>871</v>
      </c>
    </row>
    <row r="7" spans="1:25">
      <c r="B7" t="s">
        <v>897</v>
      </c>
      <c r="C7">
        <v>280982</v>
      </c>
      <c r="K7" t="s">
        <v>1710</v>
      </c>
      <c r="L7" t="s">
        <v>502</v>
      </c>
      <c r="M7">
        <v>1</v>
      </c>
      <c r="P7" t="s">
        <v>1718</v>
      </c>
      <c r="R7">
        <v>1</v>
      </c>
      <c r="X7" t="s">
        <v>1719</v>
      </c>
      <c r="Y7" t="s">
        <v>1720</v>
      </c>
    </row>
    <row r="8" spans="1:25">
      <c r="B8" t="s">
        <v>51</v>
      </c>
      <c r="C8">
        <v>0</v>
      </c>
      <c r="L8" t="s">
        <v>504</v>
      </c>
      <c r="M8">
        <v>1</v>
      </c>
      <c r="P8" t="s">
        <v>1721</v>
      </c>
      <c r="R8">
        <v>1</v>
      </c>
      <c r="V8" t="s">
        <v>1722</v>
      </c>
      <c r="W8" s="261">
        <v>203521</v>
      </c>
      <c r="X8" s="317">
        <f>X5/X4</f>
        <v>0.59090909090909094</v>
      </c>
      <c r="Y8" s="317">
        <f>W9/W8</f>
        <v>0.31446386367991508</v>
      </c>
    </row>
    <row r="9" spans="1:25">
      <c r="B9" t="s">
        <v>22</v>
      </c>
      <c r="C9">
        <v>0</v>
      </c>
      <c r="L9" t="s">
        <v>1723</v>
      </c>
      <c r="M9">
        <v>1</v>
      </c>
      <c r="P9" t="s">
        <v>1724</v>
      </c>
      <c r="Q9" t="s">
        <v>1723</v>
      </c>
      <c r="R9">
        <v>1</v>
      </c>
      <c r="V9" t="s">
        <v>1725</v>
      </c>
      <c r="W9">
        <v>64000</v>
      </c>
    </row>
    <row r="10" spans="1:25">
      <c r="B10" t="s">
        <v>245</v>
      </c>
      <c r="C10">
        <v>11388</v>
      </c>
      <c r="L10" t="s">
        <v>603</v>
      </c>
      <c r="M10">
        <v>1</v>
      </c>
      <c r="Q10" t="s">
        <v>607</v>
      </c>
      <c r="R10">
        <v>1</v>
      </c>
    </row>
    <row r="11" spans="1:25">
      <c r="B11" t="s">
        <v>253</v>
      </c>
      <c r="C11">
        <v>24583</v>
      </c>
      <c r="L11" t="s">
        <v>607</v>
      </c>
      <c r="M11">
        <v>1</v>
      </c>
      <c r="Q11" t="s">
        <v>485</v>
      </c>
      <c r="R11">
        <v>1</v>
      </c>
    </row>
    <row r="12" spans="1:25">
      <c r="B12" t="s">
        <v>154</v>
      </c>
      <c r="C12">
        <v>13965</v>
      </c>
      <c r="L12" t="s">
        <v>485</v>
      </c>
      <c r="M12">
        <v>1</v>
      </c>
      <c r="Q12" t="s">
        <v>1726</v>
      </c>
      <c r="R12">
        <v>1</v>
      </c>
    </row>
    <row r="13" spans="1:25">
      <c r="B13" t="s">
        <v>218</v>
      </c>
      <c r="C13">
        <v>16290</v>
      </c>
      <c r="L13" t="s">
        <v>1727</v>
      </c>
      <c r="M13">
        <v>1</v>
      </c>
      <c r="Q13" t="s">
        <v>821</v>
      </c>
      <c r="R13">
        <v>1</v>
      </c>
    </row>
    <row r="14" spans="1:25">
      <c r="B14" t="s">
        <v>211</v>
      </c>
      <c r="C14">
        <v>5613</v>
      </c>
      <c r="L14" t="s">
        <v>621</v>
      </c>
      <c r="M14">
        <v>1</v>
      </c>
      <c r="P14" t="s">
        <v>1728</v>
      </c>
      <c r="R14">
        <v>5</v>
      </c>
    </row>
    <row r="15" spans="1:25">
      <c r="B15" t="s">
        <v>248</v>
      </c>
      <c r="C15">
        <v>3997</v>
      </c>
      <c r="L15" t="s">
        <v>1726</v>
      </c>
      <c r="M15">
        <v>1</v>
      </c>
      <c r="P15" t="s">
        <v>897</v>
      </c>
      <c r="R15">
        <v>12</v>
      </c>
    </row>
    <row r="16" spans="1:25">
      <c r="B16" t="s">
        <v>105</v>
      </c>
      <c r="C16">
        <v>3970</v>
      </c>
      <c r="L16" t="s">
        <v>623</v>
      </c>
      <c r="M16">
        <v>1</v>
      </c>
      <c r="P16" t="s">
        <v>868</v>
      </c>
      <c r="R16">
        <v>19</v>
      </c>
    </row>
    <row r="17" spans="2:13">
      <c r="B17" t="s">
        <v>221</v>
      </c>
      <c r="C17">
        <v>5576</v>
      </c>
      <c r="L17" t="s">
        <v>627</v>
      </c>
      <c r="M17">
        <v>1</v>
      </c>
    </row>
    <row r="18" spans="2:13">
      <c r="B18" t="s">
        <v>868</v>
      </c>
      <c r="C18">
        <v>640861</v>
      </c>
      <c r="L18" t="s">
        <v>629</v>
      </c>
      <c r="M18">
        <v>1</v>
      </c>
    </row>
    <row r="19" spans="2:13">
      <c r="L19" t="s">
        <v>633</v>
      </c>
      <c r="M19">
        <v>1</v>
      </c>
    </row>
    <row r="20" spans="2:13">
      <c r="L20" t="s">
        <v>694</v>
      </c>
      <c r="M20">
        <v>1</v>
      </c>
    </row>
    <row r="21" spans="2:13">
      <c r="L21" t="s">
        <v>1729</v>
      </c>
      <c r="M21">
        <v>1</v>
      </c>
    </row>
    <row r="22" spans="2:13">
      <c r="L22" t="s">
        <v>821</v>
      </c>
      <c r="M22">
        <v>1</v>
      </c>
    </row>
    <row r="23" spans="2:13">
      <c r="L23" t="s">
        <v>665</v>
      </c>
      <c r="M23">
        <v>1</v>
      </c>
    </row>
    <row r="24" spans="2:13">
      <c r="L24" t="s">
        <v>683</v>
      </c>
      <c r="M24">
        <v>1</v>
      </c>
    </row>
    <row r="25" spans="2:13">
      <c r="L25" t="s">
        <v>186</v>
      </c>
      <c r="M25">
        <v>1</v>
      </c>
    </row>
    <row r="26" spans="2:13">
      <c r="K26" t="s">
        <v>1730</v>
      </c>
      <c r="M26">
        <v>19</v>
      </c>
    </row>
    <row r="27" spans="2:13">
      <c r="K27" t="s">
        <v>1731</v>
      </c>
      <c r="L27" t="s">
        <v>615</v>
      </c>
      <c r="M27">
        <v>1</v>
      </c>
    </row>
    <row r="28" spans="2:13">
      <c r="L28" t="s">
        <v>617</v>
      </c>
      <c r="M28">
        <v>1</v>
      </c>
    </row>
    <row r="29" spans="2:13">
      <c r="L29" t="s">
        <v>619</v>
      </c>
      <c r="M29">
        <v>1</v>
      </c>
    </row>
    <row r="30" spans="2:13">
      <c r="L30" t="s">
        <v>635</v>
      </c>
      <c r="M30">
        <v>1</v>
      </c>
    </row>
    <row r="31" spans="2:13">
      <c r="L31" t="s">
        <v>637</v>
      </c>
      <c r="M31">
        <v>1</v>
      </c>
    </row>
    <row r="32" spans="2:13">
      <c r="L32" t="s">
        <v>1732</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1733</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1734</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1741</v>
      </c>
      <c r="B70" s="305">
        <f>SUM(K4:K9)</f>
        <v>0</v>
      </c>
      <c r="C70" s="306" t="e">
        <f>B70/B73</f>
        <v>#DIV/0!</v>
      </c>
    </row>
    <row r="71" spans="1:25">
      <c r="A71" s="304" t="s">
        <v>1641</v>
      </c>
      <c r="B71" s="305">
        <f>SUM(L4:L9)</f>
        <v>0</v>
      </c>
      <c r="C71" s="306" t="e">
        <f>B71/B73</f>
        <v>#DIV/0!</v>
      </c>
    </row>
    <row r="72" spans="1:25">
      <c r="A72" s="304" t="s">
        <v>1742</v>
      </c>
      <c r="B72" s="305">
        <f>SUM(M4:M9)</f>
        <v>0</v>
      </c>
      <c r="C72" s="306" t="e">
        <f>B72/B73</f>
        <v>#DIV/0!</v>
      </c>
    </row>
    <row r="73" spans="1:25">
      <c r="A73" s="304" t="s">
        <v>871</v>
      </c>
      <c r="B73" s="305">
        <f>SUM(B70:B72)</f>
        <v>0</v>
      </c>
      <c r="C73" s="283"/>
    </row>
    <row r="80" spans="1:25">
      <c r="A80" t="s">
        <v>1762</v>
      </c>
    </row>
    <row r="81" spans="1:1">
      <c r="A81" t="s">
        <v>1763</v>
      </c>
    </row>
    <row r="82" spans="1:1">
      <c r="A82" t="s">
        <v>1748</v>
      </c>
    </row>
    <row r="83" spans="1:1">
      <c r="A83" t="s">
        <v>1764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22CA32-0775-4806-9A9C-C109DE448A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2025-11-13T15:30:34Z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