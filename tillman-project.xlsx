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44" documentId="8_{E14B221E-02E2-46A3-8CEC-C736815F2DD5}" xr6:coauthVersionLast="47" xr6:coauthVersionMax="47" xr10:uidLastSave="{2D9437DE-7294-49EA-AD14-7216A3A21D02}"/>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2326" r:id="rId12"/>
    <pivotCache cacheId="2327" r:id="rId13"/>
    <pivotCache cacheId="2328" r:id="rId14"/>
    <pivotCache cacheId="2329" r:id="rId15"/>
    <pivotCache cacheId="23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<sst xmlns="http://schemas.openxmlformats.org/spreadsheetml/2006/main" count="15966" uniqueCount="2059">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</sst>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2" borderId="20" xfId="0" applyNumberFormat="1" applyFont="1" applyFill="1" applyBorder="1" applyAlignment="1">
      <alignment horizontal="center"/>
    </xf>
    <xf numFmtId="14" fontId="0" fillId="0" borderId="120" xfId="0" applyNumberForma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5" fillId="22"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22"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AC55" activePane="topRight" state="frozen"/>
      <selection pane="topRight" activeCell="U63" sqref="U63"/>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63">
        <v>8891</v>
      </c>
      <c r="X63" s="1212">
        <f>SUM(V63-W63)</f>
        <v>-826</v>
      </c>
      <c r="Y63" s="863">
        <f t="shared" si="4"/>
        <v>1.1024178549287043</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317</v>
      </c>
      <c r="B97" s="831" t="s">
        <v>318</v>
      </c>
      <c r="C97" s="1206">
        <v>46006</v>
      </c>
      <c r="D97" s="1227"/>
      <c r="E97" s="1226"/>
      <c r="F97" s="1227"/>
      <c r="G97" s="1227" t="s">
        <v>319</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320</v>
      </c>
      <c r="AE97" s="1277"/>
    </row>
    <row r="98" spans="1:31" ht="24.75" customHeight="1">
      <c r="A98" s="1205" t="s">
        <v>321</v>
      </c>
      <c r="B98" s="831" t="s">
        <v>318</v>
      </c>
      <c r="C98" s="1206">
        <v>46006</v>
      </c>
      <c r="D98" s="1227" t="s">
        <v>72</v>
      </c>
      <c r="E98" s="1226">
        <v>46001</v>
      </c>
      <c r="F98" s="1227" t="s">
        <v>241</v>
      </c>
      <c r="G98" s="1227" t="s">
        <v>322</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212">
        <v>1832</v>
      </c>
      <c r="X98" s="1212">
        <f t="shared" si="5"/>
        <v>3220</v>
      </c>
      <c r="Y98" s="662">
        <f t="shared" si="6"/>
        <v>0.36262866191607285</v>
      </c>
      <c r="Z98" s="1231">
        <v>46001</v>
      </c>
      <c r="AA98" s="1214">
        <v>0</v>
      </c>
      <c r="AB98" s="1214">
        <v>0</v>
      </c>
      <c r="AC98" s="1232">
        <v>0</v>
      </c>
      <c r="AD98" s="1215" t="s">
        <v>323</v>
      </c>
      <c r="AE98" s="1277"/>
    </row>
    <row r="99" spans="1:31" ht="24.75" customHeight="1">
      <c r="A99" s="1205" t="s">
        <v>324</v>
      </c>
      <c r="B99" s="831" t="s">
        <v>318</v>
      </c>
      <c r="C99" s="1206">
        <v>46006</v>
      </c>
      <c r="D99" s="1227"/>
      <c r="E99" s="1226"/>
      <c r="F99" s="1227"/>
      <c r="G99" s="1227" t="s">
        <v>325</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323</v>
      </c>
      <c r="AE99" s="1277"/>
    </row>
    <row r="100" spans="1:31" ht="24.75" customHeight="1">
      <c r="A100" s="1205" t="s">
        <v>326</v>
      </c>
      <c r="B100" s="831" t="s">
        <v>318</v>
      </c>
      <c r="C100" s="1206">
        <v>46006</v>
      </c>
      <c r="D100" s="1227"/>
      <c r="E100" s="1226"/>
      <c r="F100" s="1227"/>
      <c r="G100" s="1227" t="s">
        <v>327</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328</v>
      </c>
      <c r="AE100" s="1277"/>
    </row>
    <row r="101" spans="1:31" ht="24.75" customHeight="1">
      <c r="A101" s="1257" t="s">
        <v>329</v>
      </c>
      <c r="B101" s="831" t="s">
        <v>318</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330</v>
      </c>
      <c r="B102" s="831" t="s">
        <v>318</v>
      </c>
      <c r="C102" s="1206">
        <v>46006</v>
      </c>
      <c r="D102" s="1227" t="s">
        <v>261</v>
      </c>
      <c r="E102" s="1226">
        <v>45996</v>
      </c>
      <c r="F102" s="1227" t="s">
        <v>252</v>
      </c>
      <c r="G102" s="1227" t="s">
        <v>331</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212">
        <v>1511</v>
      </c>
      <c r="X102" s="1212">
        <f t="shared" si="5"/>
        <v>5247</v>
      </c>
      <c r="Y102" s="662">
        <f t="shared" si="6"/>
        <v>0.22358686001775674</v>
      </c>
      <c r="Z102" s="1231">
        <v>46000</v>
      </c>
      <c r="AA102" s="1214">
        <v>0</v>
      </c>
      <c r="AB102" s="1214">
        <v>0</v>
      </c>
      <c r="AC102" s="1232">
        <v>0</v>
      </c>
      <c r="AD102" s="1215" t="s">
        <v>328</v>
      </c>
      <c r="AE102" s="1277"/>
    </row>
    <row r="103" spans="1:31" ht="24.75" customHeight="1">
      <c r="A103" s="1283" t="s">
        <v>332</v>
      </c>
      <c r="B103" s="986" t="s">
        <v>318</v>
      </c>
      <c r="C103" s="1206">
        <v>46171</v>
      </c>
      <c r="D103" s="1284"/>
      <c r="E103" s="1285"/>
      <c r="F103" s="1284"/>
      <c r="G103" s="1284" t="s">
        <v>333</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328</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334</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335</v>
      </c>
      <c r="B107" s="1152" t="s">
        <v>336</v>
      </c>
      <c r="C107" s="1303">
        <v>46019</v>
      </c>
      <c r="D107" s="976" t="s">
        <v>137</v>
      </c>
      <c r="E107" s="1303">
        <v>45959</v>
      </c>
      <c r="F107" s="1304" t="s">
        <v>337</v>
      </c>
      <c r="G107" s="1304" t="s">
        <v>338</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339</v>
      </c>
      <c r="AE107" s="1272"/>
    </row>
    <row r="108" spans="1:31" ht="24.75" customHeight="1">
      <c r="A108" s="1326" t="s">
        <v>340</v>
      </c>
      <c r="B108" s="1152" t="s">
        <v>336</v>
      </c>
      <c r="C108" s="1303">
        <v>46010</v>
      </c>
      <c r="D108" s="976" t="s">
        <v>137</v>
      </c>
      <c r="E108" s="1303">
        <v>45993</v>
      </c>
      <c r="F108" s="1304" t="s">
        <v>189</v>
      </c>
      <c r="G108" s="1304" t="s">
        <v>341</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342</v>
      </c>
      <c r="AE108" s="1272"/>
    </row>
    <row r="109" spans="1:31" ht="24.75" customHeight="1">
      <c r="A109" s="1338" t="s">
        <v>343</v>
      </c>
      <c r="B109" s="1152" t="s">
        <v>336</v>
      </c>
      <c r="C109" s="1303">
        <v>46019</v>
      </c>
      <c r="D109" s="976" t="s">
        <v>137</v>
      </c>
      <c r="E109" s="1303">
        <v>45959</v>
      </c>
      <c r="F109" s="1304" t="s">
        <v>189</v>
      </c>
      <c r="G109" s="1304" t="s">
        <v>344</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345</v>
      </c>
      <c r="AE109" s="1272"/>
    </row>
    <row r="110" spans="1:31" ht="24.75" customHeight="1">
      <c r="A110" s="1338" t="s">
        <v>346</v>
      </c>
      <c r="B110" s="1152" t="s">
        <v>336</v>
      </c>
      <c r="C110" s="1303">
        <v>46021</v>
      </c>
      <c r="D110" s="976" t="s">
        <v>137</v>
      </c>
      <c r="E110" s="1303">
        <v>45959</v>
      </c>
      <c r="F110" s="1304" t="s">
        <v>189</v>
      </c>
      <c r="G110" s="1304" t="s">
        <v>347</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348</v>
      </c>
      <c r="AE110" s="1272"/>
    </row>
    <row r="111" spans="1:31" ht="24.75" customHeight="1">
      <c r="A111" s="1338" t="s">
        <v>349</v>
      </c>
      <c r="B111" s="1152" t="s">
        <v>336</v>
      </c>
      <c r="C111" s="1303">
        <v>46021</v>
      </c>
      <c r="D111" s="976" t="s">
        <v>137</v>
      </c>
      <c r="E111" s="1303">
        <v>45959</v>
      </c>
      <c r="F111" s="1304" t="s">
        <v>189</v>
      </c>
      <c r="G111" s="1304" t="s">
        <v>350</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356">
        <v>4778</v>
      </c>
      <c r="X111" s="1212">
        <f>SUM(V111-W111)</f>
        <v>1799</v>
      </c>
      <c r="Y111" s="1153">
        <f t="shared" si="8"/>
        <v>0.72647103542648628</v>
      </c>
      <c r="Z111" s="1259">
        <v>46000</v>
      </c>
      <c r="AA111" s="1294">
        <v>0</v>
      </c>
      <c r="AB111" s="1294">
        <v>0</v>
      </c>
      <c r="AC111" s="1291">
        <v>0</v>
      </c>
      <c r="AD111" s="1261" t="s">
        <v>351</v>
      </c>
      <c r="AE111" s="1272"/>
    </row>
    <row r="112" spans="1:31" ht="24.75" customHeight="1">
      <c r="A112" s="1338" t="s">
        <v>352</v>
      </c>
      <c r="B112" s="1152" t="s">
        <v>336</v>
      </c>
      <c r="C112" s="1303">
        <v>46019</v>
      </c>
      <c r="D112" s="976" t="s">
        <v>137</v>
      </c>
      <c r="E112" s="1303">
        <v>45959</v>
      </c>
      <c r="F112" s="1304" t="s">
        <v>189</v>
      </c>
      <c r="G112" s="1304" t="s">
        <v>353</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270">
        <v>6270</v>
      </c>
      <c r="X112" s="1212">
        <f>SUM(V112-W112)</f>
        <v>1049</v>
      </c>
      <c r="Y112" s="1153">
        <f t="shared" si="8"/>
        <v>0.85667440907227765</v>
      </c>
      <c r="Z112" s="1259">
        <v>46000</v>
      </c>
      <c r="AA112" s="1294">
        <v>0</v>
      </c>
      <c r="AB112" s="1294">
        <v>0</v>
      </c>
      <c r="AC112" s="1291">
        <v>0</v>
      </c>
      <c r="AD112" s="1261" t="s">
        <v>354</v>
      </c>
      <c r="AE112" s="1272"/>
    </row>
    <row r="113" spans="1:31" ht="24.75" customHeight="1">
      <c r="A113" s="1338" t="s">
        <v>355</v>
      </c>
      <c r="B113" s="1152" t="s">
        <v>336</v>
      </c>
      <c r="C113" s="1303">
        <v>46021</v>
      </c>
      <c r="D113" s="976" t="s">
        <v>137</v>
      </c>
      <c r="E113" s="1303">
        <v>45987</v>
      </c>
      <c r="F113" s="1304" t="s">
        <v>189</v>
      </c>
      <c r="G113" s="1304" t="s">
        <v>356</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357</v>
      </c>
      <c r="AE113" s="1272"/>
    </row>
    <row r="114" spans="1:31" ht="24.75" customHeight="1">
      <c r="A114" s="1338" t="s">
        <v>358</v>
      </c>
      <c r="B114" s="1152" t="s">
        <v>336</v>
      </c>
      <c r="C114" s="1303">
        <v>46021</v>
      </c>
      <c r="D114" s="976" t="s">
        <v>137</v>
      </c>
      <c r="E114" s="1303">
        <v>45987</v>
      </c>
      <c r="F114" s="1304" t="s">
        <v>189</v>
      </c>
      <c r="G114" s="1304" t="s">
        <v>359</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357</v>
      </c>
      <c r="AE114" s="1272"/>
    </row>
    <row r="115" spans="1:31" ht="24.75" customHeight="1">
      <c r="A115" s="1338" t="s">
        <v>360</v>
      </c>
      <c r="B115" s="1152" t="s">
        <v>336</v>
      </c>
      <c r="C115" s="1303">
        <v>46021</v>
      </c>
      <c r="D115" s="976" t="s">
        <v>137</v>
      </c>
      <c r="E115" s="1303">
        <v>45987</v>
      </c>
      <c r="F115" s="1304" t="s">
        <v>189</v>
      </c>
      <c r="G115" s="1304" t="s">
        <v>361</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357</v>
      </c>
      <c r="AE115" s="1272"/>
    </row>
    <row r="116" spans="1:31" ht="24.75" customHeight="1">
      <c r="A116" s="1338" t="s">
        <v>362</v>
      </c>
      <c r="B116" s="1152" t="s">
        <v>336</v>
      </c>
      <c r="C116" s="1303">
        <v>46021</v>
      </c>
      <c r="D116" s="976" t="s">
        <v>137</v>
      </c>
      <c r="E116" s="1303">
        <v>45987</v>
      </c>
      <c r="F116" s="1304" t="s">
        <v>189</v>
      </c>
      <c r="G116" s="1304" t="s">
        <v>363</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357</v>
      </c>
      <c r="AE116" s="1272"/>
    </row>
    <row r="117" spans="1:31" ht="24.75" customHeight="1">
      <c r="A117" s="1338" t="s">
        <v>364</v>
      </c>
      <c r="B117" s="1152" t="s">
        <v>336</v>
      </c>
      <c r="C117" s="1303">
        <v>46021</v>
      </c>
      <c r="D117" s="976" t="s">
        <v>137</v>
      </c>
      <c r="E117" s="1303">
        <v>45987</v>
      </c>
      <c r="F117" s="1304" t="s">
        <v>189</v>
      </c>
      <c r="G117" s="1304" t="s">
        <v>365</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357</v>
      </c>
      <c r="AE117" s="1272"/>
    </row>
    <row r="118" spans="1:31" ht="24.75" customHeight="1">
      <c r="A118" s="1326" t="s">
        <v>366</v>
      </c>
      <c r="B118" s="1152" t="s">
        <v>336</v>
      </c>
      <c r="C118" s="1303">
        <v>46019</v>
      </c>
      <c r="D118" s="976" t="s">
        <v>137</v>
      </c>
      <c r="E118" s="1303">
        <v>45959</v>
      </c>
      <c r="F118" s="1304" t="s">
        <v>189</v>
      </c>
      <c r="G118" s="1304" t="s">
        <v>367</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368</v>
      </c>
      <c r="AE118" s="1272"/>
    </row>
    <row r="119" spans="1:31" ht="24.75" customHeight="1">
      <c r="A119" s="1326" t="s">
        <v>369</v>
      </c>
      <c r="B119" s="1152" t="s">
        <v>336</v>
      </c>
      <c r="C119" s="1303">
        <v>46019</v>
      </c>
      <c r="D119" s="976" t="s">
        <v>137</v>
      </c>
      <c r="E119" s="1303">
        <v>45959</v>
      </c>
      <c r="F119" s="1304" t="s">
        <v>189</v>
      </c>
      <c r="G119" s="1304" t="s">
        <v>370</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371</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5"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240</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240</v>
      </c>
      <c r="C3" s="467">
        <v>45960</v>
      </c>
      <c r="D3" s="467" t="s">
        <v>377</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240</v>
      </c>
      <c r="C5" s="467">
        <v>45999</v>
      </c>
      <c r="D5" s="475" t="s">
        <v>72</v>
      </c>
      <c r="E5" s="476">
        <v>45975</v>
      </c>
      <c r="F5" s="475" t="s">
        <v>241</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240</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240</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240</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240</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310</v>
      </c>
    </row>
    <row r="15" spans="1:30" ht="39.75" customHeight="1">
      <c r="A15" s="927" t="s">
        <v>402</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240</v>
      </c>
      <c r="C16" s="467" t="s">
        <v>405</v>
      </c>
      <c r="D16" s="475" t="s">
        <v>72</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407</v>
      </c>
      <c r="B17" s="831" t="s">
        <v>318</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318</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318</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318</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328</v>
      </c>
    </row>
    <row r="21" spans="1:30" ht="39.75" customHeight="1">
      <c r="A21" s="927" t="s">
        <v>417</v>
      </c>
      <c r="B21" s="491" t="s">
        <v>318</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328</v>
      </c>
    </row>
    <row r="22" spans="1:30" ht="39.75" customHeight="1">
      <c r="A22" s="927" t="s">
        <v>419</v>
      </c>
      <c r="B22" s="491" t="s">
        <v>318</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927" t="s">
        <v>422</v>
      </c>
      <c r="B23" s="465" t="s">
        <v>117</v>
      </c>
      <c r="C23" s="476">
        <v>45976</v>
      </c>
      <c r="D23" s="467" t="s">
        <v>137</v>
      </c>
      <c r="E23" s="467">
        <v>45959</v>
      </c>
      <c r="F23" s="465" t="s">
        <v>423</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424</v>
      </c>
    </row>
    <row r="24" spans="1:30" ht="39.75" customHeight="1">
      <c r="A24" s="927" t="s">
        <v>425</v>
      </c>
      <c r="B24" s="465" t="s">
        <v>117</v>
      </c>
      <c r="C24" s="467">
        <v>45991</v>
      </c>
      <c r="D24" s="467" t="s">
        <v>137</v>
      </c>
      <c r="E24" s="467">
        <v>45966</v>
      </c>
      <c r="F24" s="465" t="s">
        <v>118</v>
      </c>
      <c r="G24" s="682" t="s">
        <v>426</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427</v>
      </c>
    </row>
    <row r="25" spans="1:30" ht="39.75" customHeight="1">
      <c r="A25" s="927" t="s">
        <v>428</v>
      </c>
      <c r="B25" s="465" t="s">
        <v>117</v>
      </c>
      <c r="C25" s="467">
        <v>46001</v>
      </c>
      <c r="D25" s="467" t="s">
        <v>137</v>
      </c>
      <c r="E25" s="467">
        <v>45966</v>
      </c>
      <c r="F25" s="465" t="s">
        <v>118</v>
      </c>
      <c r="G25" s="682" t="s">
        <v>429</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430</v>
      </c>
    </row>
    <row r="26" spans="1:30" ht="39.75" customHeight="1">
      <c r="A26" s="927" t="s">
        <v>431</v>
      </c>
      <c r="B26" s="465" t="s">
        <v>117</v>
      </c>
      <c r="C26" s="467">
        <v>45975</v>
      </c>
      <c r="D26" s="467" t="s">
        <v>176</v>
      </c>
      <c r="E26" s="467">
        <v>45982</v>
      </c>
      <c r="F26" s="642" t="s">
        <v>118</v>
      </c>
      <c r="G26" s="682" t="s">
        <v>432</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433</v>
      </c>
    </row>
    <row r="27" spans="1:30" ht="39.75" customHeight="1">
      <c r="A27" s="927" t="s">
        <v>434</v>
      </c>
      <c r="B27" s="465" t="s">
        <v>117</v>
      </c>
      <c r="C27" s="488">
        <v>45838</v>
      </c>
      <c r="D27" s="488" t="s">
        <v>137</v>
      </c>
      <c r="E27" s="476">
        <v>45786</v>
      </c>
      <c r="F27" s="488" t="s">
        <v>189</v>
      </c>
      <c r="G27" s="938" t="s">
        <v>435</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436</v>
      </c>
    </row>
    <row r="28" spans="1:30" ht="39.75" customHeight="1">
      <c r="A28" s="927" t="s">
        <v>437</v>
      </c>
      <c r="B28" s="465" t="s">
        <v>117</v>
      </c>
      <c r="C28" s="467">
        <v>46021</v>
      </c>
      <c r="D28" s="465" t="s">
        <v>51</v>
      </c>
      <c r="E28" s="467" t="s">
        <v>52</v>
      </c>
      <c r="F28" s="465" t="s">
        <v>138</v>
      </c>
      <c r="G28" s="468" t="s">
        <v>438</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439</v>
      </c>
    </row>
    <row r="29" spans="1:30" ht="39.75" customHeight="1">
      <c r="A29" s="927" t="s">
        <v>440</v>
      </c>
      <c r="B29" s="681" t="s">
        <v>117</v>
      </c>
      <c r="C29" s="476">
        <v>45991</v>
      </c>
      <c r="D29" s="465" t="s">
        <v>441</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442</v>
      </c>
    </row>
    <row r="30" spans="1:30" ht="39.75" customHeight="1">
      <c r="A30" s="927" t="s">
        <v>443</v>
      </c>
      <c r="B30" s="465" t="s">
        <v>117</v>
      </c>
      <c r="C30" s="476">
        <v>45960</v>
      </c>
      <c r="D30" s="467" t="s">
        <v>444</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445</v>
      </c>
    </row>
    <row r="31" spans="1:30" ht="39.75" customHeight="1">
      <c r="A31" s="927" t="s">
        <v>446</v>
      </c>
      <c r="B31" s="465" t="s">
        <v>117</v>
      </c>
      <c r="C31" s="467">
        <v>45996</v>
      </c>
      <c r="D31" s="467" t="s">
        <v>444</v>
      </c>
      <c r="E31" s="467">
        <v>45958</v>
      </c>
      <c r="F31" s="465" t="s">
        <v>138</v>
      </c>
      <c r="G31" s="468" t="s">
        <v>447</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448</v>
      </c>
    </row>
    <row r="32" spans="1:30" ht="39.75" customHeight="1">
      <c r="A32" s="927" t="s">
        <v>449</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450</v>
      </c>
    </row>
    <row r="33" spans="1:30" ht="39.75" customHeight="1">
      <c r="A33" s="1151" t="s">
        <v>451</v>
      </c>
      <c r="B33" s="1152" t="s">
        <v>336</v>
      </c>
      <c r="C33" s="375">
        <v>46019</v>
      </c>
      <c r="D33" s="976" t="s">
        <v>137</v>
      </c>
      <c r="E33" s="375">
        <v>45959</v>
      </c>
      <c r="F33" s="374" t="s">
        <v>337</v>
      </c>
      <c r="G33" s="671" t="s">
        <v>452</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453</v>
      </c>
    </row>
    <row r="34" spans="1:30" ht="39.75" customHeight="1">
      <c r="A34" s="1086" t="s">
        <v>454</v>
      </c>
      <c r="B34" s="980" t="s">
        <v>336</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455</v>
      </c>
    </row>
    <row r="35" spans="1:30" ht="39.75" customHeight="1">
      <c r="A35" s="1072" t="s">
        <v>456</v>
      </c>
      <c r="B35" s="980" t="s">
        <v>336</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457</v>
      </c>
    </row>
    <row r="36" spans="1:30" ht="39.75" customHeight="1">
      <c r="A36" s="1087" t="s">
        <v>458</v>
      </c>
      <c r="B36" s="980" t="s">
        <v>336</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459</v>
      </c>
    </row>
    <row r="37" spans="1:30" ht="39.75" customHeight="1">
      <c r="A37" s="1072" t="s">
        <v>460</v>
      </c>
      <c r="B37" s="980" t="s">
        <v>336</v>
      </c>
      <c r="C37" s="467">
        <v>46045</v>
      </c>
      <c r="D37" s="642" t="s">
        <v>137</v>
      </c>
      <c r="E37" s="467">
        <v>45959</v>
      </c>
      <c r="F37" s="465" t="s">
        <v>337</v>
      </c>
      <c r="G37" s="468" t="s">
        <v>461</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462</v>
      </c>
    </row>
    <row r="38" spans="1:30" ht="39.75" customHeight="1">
      <c r="A38" s="1071" t="s">
        <v>463</v>
      </c>
      <c r="B38" s="450" t="s">
        <v>336</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459</v>
      </c>
    </row>
    <row r="39" spans="1:30" ht="39.75" customHeight="1">
      <c r="A39" s="1071" t="s">
        <v>464</v>
      </c>
      <c r="B39" s="450" t="s">
        <v>336</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465</v>
      </c>
    </row>
    <row r="40" spans="1:30" ht="39.75" customHeight="1">
      <c r="A40" s="1071" t="s">
        <v>466</v>
      </c>
      <c r="B40" s="450" t="s">
        <v>336</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467</v>
      </c>
    </row>
    <row r="41" spans="1:30" ht="39.75" customHeight="1">
      <c r="A41" s="1071" t="s">
        <v>468</v>
      </c>
      <c r="B41" s="450" t="s">
        <v>336</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459</v>
      </c>
    </row>
    <row r="42" spans="1:30" ht="39.75" customHeight="1">
      <c r="A42" s="1071" t="s">
        <v>469</v>
      </c>
      <c r="B42" s="450" t="s">
        <v>336</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459</v>
      </c>
    </row>
    <row r="43" spans="1:30" ht="39.75" customHeight="1">
      <c r="A43" s="1071" t="s">
        <v>470</v>
      </c>
      <c r="B43" s="450" t="s">
        <v>336</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471</v>
      </c>
    </row>
    <row r="44" spans="1:30" ht="39.75" customHeight="1">
      <c r="A44" s="1071" t="s">
        <v>472</v>
      </c>
      <c r="B44" s="450" t="s">
        <v>336</v>
      </c>
      <c r="C44" s="375">
        <v>45989</v>
      </c>
      <c r="D44" s="976" t="s">
        <v>137</v>
      </c>
      <c r="E44" s="375">
        <v>45959</v>
      </c>
      <c r="F44" s="374" t="s">
        <v>189</v>
      </c>
      <c r="G44" s="637" t="s">
        <v>473</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474</v>
      </c>
    </row>
    <row r="45" spans="1:30" ht="39.75" customHeight="1">
      <c r="A45" s="1071" t="s">
        <v>475</v>
      </c>
      <c r="B45" s="450" t="s">
        <v>336</v>
      </c>
      <c r="C45" s="375">
        <v>46010</v>
      </c>
      <c r="D45" s="976" t="s">
        <v>137</v>
      </c>
      <c r="E45" s="375">
        <v>45959</v>
      </c>
      <c r="F45" s="374" t="s">
        <v>189</v>
      </c>
      <c r="G45" s="637" t="s">
        <v>476</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477</v>
      </c>
    </row>
    <row r="46" spans="1:30" ht="39.75" customHeight="1">
      <c r="A46" s="1071" t="s">
        <v>478</v>
      </c>
      <c r="B46" s="450" t="s">
        <v>336</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479</v>
      </c>
    </row>
    <row r="47" spans="1:30" ht="39.75" customHeight="1">
      <c r="A47" s="1071" t="s">
        <v>480</v>
      </c>
      <c r="B47" s="450" t="s">
        <v>336</v>
      </c>
      <c r="C47" s="375">
        <v>45989</v>
      </c>
      <c r="D47" s="976" t="s">
        <v>137</v>
      </c>
      <c r="E47" s="375">
        <v>45959</v>
      </c>
      <c r="F47" s="374" t="s">
        <v>189</v>
      </c>
      <c r="G47" s="637" t="s">
        <v>481</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482</v>
      </c>
    </row>
    <row r="48" spans="1:30" ht="39.75" customHeight="1">
      <c r="A48" s="1071" t="s">
        <v>483</v>
      </c>
      <c r="B48" s="450" t="s">
        <v>336</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484</v>
      </c>
    </row>
    <row r="49" spans="1:30" ht="39.75" customHeight="1">
      <c r="A49" s="1332" t="s">
        <v>485</v>
      </c>
      <c r="B49" s="1152" t="s">
        <v>336</v>
      </c>
      <c r="C49" s="1303">
        <v>46019</v>
      </c>
      <c r="D49" s="976" t="s">
        <v>137</v>
      </c>
      <c r="E49" s="1303">
        <v>45959</v>
      </c>
      <c r="F49" s="1304" t="s">
        <v>189</v>
      </c>
      <c r="G49" s="1304" t="s">
        <v>486</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487</v>
      </c>
    </row>
    <row r="50" spans="1:30" ht="39.75" customHeight="1">
      <c r="A50" s="1071" t="s">
        <v>488</v>
      </c>
      <c r="B50" s="450" t="s">
        <v>336</v>
      </c>
      <c r="C50" s="375">
        <v>45989</v>
      </c>
      <c r="D50" s="976" t="s">
        <v>137</v>
      </c>
      <c r="E50" s="375">
        <v>45959</v>
      </c>
      <c r="F50" s="374" t="s">
        <v>189</v>
      </c>
      <c r="G50" s="637" t="s">
        <v>489</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490</v>
      </c>
    </row>
    <row r="51" spans="1:30" ht="39.75" customHeight="1">
      <c r="A51" s="1071" t="s">
        <v>491</v>
      </c>
      <c r="B51" s="450" t="s">
        <v>336</v>
      </c>
      <c r="C51" s="375">
        <v>46021</v>
      </c>
      <c r="D51" s="976" t="s">
        <v>137</v>
      </c>
      <c r="E51" s="375">
        <v>45959</v>
      </c>
      <c r="F51" s="374" t="s">
        <v>189</v>
      </c>
      <c r="G51" s="637" t="s">
        <v>492</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348</v>
      </c>
    </row>
    <row r="52" spans="1:30" ht="39.75" customHeight="1">
      <c r="A52" s="1332" t="s">
        <v>493</v>
      </c>
      <c r="B52" s="1152" t="s">
        <v>336</v>
      </c>
      <c r="C52" s="1303">
        <v>46021</v>
      </c>
      <c r="D52" s="976" t="s">
        <v>137</v>
      </c>
      <c r="E52" s="1303">
        <v>45959</v>
      </c>
      <c r="F52" s="1304" t="s">
        <v>189</v>
      </c>
      <c r="G52" s="1304" t="s">
        <v>494</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495</v>
      </c>
    </row>
    <row r="53" spans="1:30" ht="39.75" customHeight="1">
      <c r="A53" s="1332" t="s">
        <v>496</v>
      </c>
      <c r="B53" s="1152" t="s">
        <v>336</v>
      </c>
      <c r="C53" s="1303">
        <v>46021</v>
      </c>
      <c r="D53" s="976" t="s">
        <v>137</v>
      </c>
      <c r="E53" s="1303">
        <v>45959</v>
      </c>
      <c r="F53" s="1304" t="s">
        <v>189</v>
      </c>
      <c r="G53" s="1304" t="s">
        <v>497</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495</v>
      </c>
    </row>
    <row r="54" spans="1:30" ht="39.75" customHeight="1">
      <c r="A54" s="1073" t="s">
        <v>498</v>
      </c>
      <c r="B54" s="789" t="s">
        <v>50</v>
      </c>
      <c r="C54" s="888">
        <v>45991</v>
      </c>
      <c r="D54" s="1089" t="s">
        <v>72</v>
      </c>
      <c r="E54" s="57">
        <v>45743</v>
      </c>
      <c r="F54" s="772" t="s">
        <v>61</v>
      </c>
      <c r="G54" s="790" t="s">
        <v>499</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500</v>
      </c>
    </row>
    <row r="55" spans="1:30" ht="39.75" customHeight="1">
      <c r="A55" s="1073" t="s">
        <v>501</v>
      </c>
      <c r="B55" s="771" t="s">
        <v>50</v>
      </c>
      <c r="C55" s="888">
        <v>45991</v>
      </c>
      <c r="D55" s="1074" t="s">
        <v>502</v>
      </c>
      <c r="E55" s="773">
        <v>45735</v>
      </c>
      <c r="F55" s="772" t="s">
        <v>61</v>
      </c>
      <c r="G55" s="775" t="s">
        <v>503</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504</v>
      </c>
    </row>
    <row r="56" spans="1:30" ht="39.75" customHeight="1">
      <c r="A56" s="927" t="s">
        <v>505</v>
      </c>
      <c r="B56" s="824" t="s">
        <v>50</v>
      </c>
      <c r="C56" s="467">
        <v>45991</v>
      </c>
      <c r="D56" s="467" t="s">
        <v>72</v>
      </c>
      <c r="E56" s="476">
        <v>45748</v>
      </c>
      <c r="F56" s="475" t="s">
        <v>61</v>
      </c>
      <c r="G56" s="825" t="s">
        <v>506</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507</v>
      </c>
    </row>
    <row r="57" spans="1:30" ht="39.75" customHeight="1">
      <c r="A57" s="1073" t="s">
        <v>508</v>
      </c>
      <c r="B57" s="789" t="s">
        <v>50</v>
      </c>
      <c r="C57" s="888">
        <v>45991</v>
      </c>
      <c r="D57" s="1089" t="s">
        <v>72</v>
      </c>
      <c r="E57" s="57">
        <v>45779</v>
      </c>
      <c r="F57" s="772" t="s">
        <v>61</v>
      </c>
      <c r="G57" s="790" t="s">
        <v>509</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510</v>
      </c>
    </row>
    <row r="58" spans="1:30" ht="39.75" customHeight="1">
      <c r="A58" s="1073" t="s">
        <v>511</v>
      </c>
      <c r="B58" s="789" t="s">
        <v>50</v>
      </c>
      <c r="C58" s="888">
        <v>46008</v>
      </c>
      <c r="D58" s="1089" t="s">
        <v>512</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513</v>
      </c>
      <c r="B59" s="789" t="s">
        <v>50</v>
      </c>
      <c r="C59" s="888">
        <v>46008</v>
      </c>
      <c r="D59" s="1089" t="s">
        <v>514</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515</v>
      </c>
      <c r="B2" s="831" t="s">
        <v>240</v>
      </c>
      <c r="C2" s="467">
        <v>45960</v>
      </c>
      <c r="D2" s="467" t="s">
        <v>251</v>
      </c>
      <c r="E2" s="467">
        <v>45852</v>
      </c>
      <c r="F2" s="642" t="s">
        <v>252</v>
      </c>
      <c r="G2" s="682" t="s">
        <v>516</v>
      </c>
      <c r="H2" s="469">
        <v>0</v>
      </c>
      <c r="I2" s="469" t="s">
        <v>146</v>
      </c>
      <c r="J2" s="469" t="s">
        <v>63</v>
      </c>
      <c r="K2" s="469"/>
      <c r="L2" s="467">
        <v>45852</v>
      </c>
      <c r="M2" s="469" t="s">
        <v>57</v>
      </c>
      <c r="N2" s="542">
        <v>42837.2</v>
      </c>
      <c r="O2" s="469" t="s">
        <v>57</v>
      </c>
      <c r="P2" s="807" t="s">
        <v>147</v>
      </c>
      <c r="Q2" s="471">
        <v>45852</v>
      </c>
      <c r="R2" s="870"/>
      <c r="S2" s="870"/>
      <c r="T2" s="870"/>
      <c r="U2" s="87" t="s">
        <v>517</v>
      </c>
      <c r="V2" s="490">
        <v>3432</v>
      </c>
      <c r="W2" s="742">
        <v>3519</v>
      </c>
      <c r="X2" s="106">
        <f>SUM(V2-W2)</f>
        <v>-87</v>
      </c>
      <c r="Y2" s="657">
        <f>IFERROR($W2/$V2, 0)</f>
        <v>1.0253496503496504</v>
      </c>
      <c r="Z2" s="678">
        <v>45866</v>
      </c>
      <c r="AA2" s="355">
        <v>1</v>
      </c>
      <c r="AB2" s="355">
        <v>1</v>
      </c>
      <c r="AC2" s="1004">
        <v>0</v>
      </c>
      <c r="AD2" s="541"/>
    </row>
    <row r="3" spans="1:30" ht="39.75" customHeight="1">
      <c r="A3" s="843" t="s">
        <v>518</v>
      </c>
      <c r="B3" s="491" t="s">
        <v>240</v>
      </c>
      <c r="C3" s="467">
        <v>45868</v>
      </c>
      <c r="D3" s="475" t="s">
        <v>519</v>
      </c>
      <c r="E3" s="476">
        <v>45716</v>
      </c>
      <c r="F3" s="475" t="s">
        <v>252</v>
      </c>
      <c r="G3" s="597" t="s">
        <v>520</v>
      </c>
      <c r="H3" s="478">
        <v>0</v>
      </c>
      <c r="I3" s="483" t="s">
        <v>146</v>
      </c>
      <c r="J3" s="478" t="s">
        <v>63</v>
      </c>
      <c r="K3" s="487"/>
      <c r="L3" s="467">
        <v>45716</v>
      </c>
      <c r="M3" s="478" t="s">
        <v>57</v>
      </c>
      <c r="N3" s="543">
        <v>64932.55</v>
      </c>
      <c r="O3" s="478" t="s">
        <v>57</v>
      </c>
      <c r="P3" s="807" t="s">
        <v>147</v>
      </c>
      <c r="Q3" s="479">
        <v>45721</v>
      </c>
      <c r="R3" s="54"/>
      <c r="S3" s="54"/>
      <c r="T3" s="54"/>
      <c r="U3" s="87" t="s">
        <v>517</v>
      </c>
      <c r="V3" s="1103">
        <v>5151</v>
      </c>
      <c r="W3" s="743">
        <v>5207</v>
      </c>
      <c r="X3" s="106">
        <f>SUM(V3-W3)</f>
        <v>-56</v>
      </c>
      <c r="Y3" s="22">
        <f>IFERROR($W3/$V3, 0)</f>
        <v>1.0108716754028344</v>
      </c>
      <c r="Z3" s="678">
        <v>45748</v>
      </c>
      <c r="AA3" s="355">
        <v>1</v>
      </c>
      <c r="AB3" s="355">
        <v>1</v>
      </c>
      <c r="AC3" s="41">
        <v>0</v>
      </c>
      <c r="AD3" s="872"/>
    </row>
    <row r="4" spans="1:30" ht="39.75" customHeight="1">
      <c r="A4" s="879" t="s">
        <v>521</v>
      </c>
      <c r="B4" s="491" t="s">
        <v>240</v>
      </c>
      <c r="C4" s="467">
        <v>45991</v>
      </c>
      <c r="D4" s="476" t="s">
        <v>394</v>
      </c>
      <c r="E4" s="428">
        <v>45707</v>
      </c>
      <c r="F4" s="475" t="s">
        <v>252</v>
      </c>
      <c r="G4" s="492" t="s">
        <v>522</v>
      </c>
      <c r="H4" s="483">
        <v>0</v>
      </c>
      <c r="I4" s="483" t="s">
        <v>146</v>
      </c>
      <c r="J4" s="483" t="s">
        <v>63</v>
      </c>
      <c r="K4" s="483"/>
      <c r="L4" s="476">
        <v>45708</v>
      </c>
      <c r="M4" s="483" t="s">
        <v>57</v>
      </c>
      <c r="N4" s="544">
        <v>87944.4</v>
      </c>
      <c r="O4" s="483" t="s">
        <v>57</v>
      </c>
      <c r="P4" s="807" t="s">
        <v>147</v>
      </c>
      <c r="Q4" s="479">
        <v>45709</v>
      </c>
      <c r="R4" s="1104"/>
      <c r="S4" s="1104"/>
      <c r="T4" s="1104"/>
      <c r="U4" s="1105" t="s">
        <v>517</v>
      </c>
      <c r="V4" s="493">
        <v>7008</v>
      </c>
      <c r="W4" s="742">
        <v>7258</v>
      </c>
      <c r="X4" s="106">
        <f t="shared" ref="X4" si="0">SUM(V4-W4)</f>
        <v>-250</v>
      </c>
      <c r="Y4" s="22">
        <f t="shared" ref="Y4" si="1">IFERROR($W4/$V4, 0)</f>
        <v>1.0356735159817352</v>
      </c>
      <c r="Z4" s="678">
        <v>45747</v>
      </c>
      <c r="AA4" s="473">
        <v>1</v>
      </c>
      <c r="AB4" s="473">
        <v>1</v>
      </c>
      <c r="AC4" s="816">
        <v>0</v>
      </c>
      <c r="AD4" s="873" t="s">
        <v>523</v>
      </c>
    </row>
    <row r="5" spans="1:30" ht="39.75" customHeight="1">
      <c r="A5" s="843" t="s">
        <v>524</v>
      </c>
      <c r="B5" s="831" t="s">
        <v>240</v>
      </c>
      <c r="C5" s="476">
        <v>45807</v>
      </c>
      <c r="D5" s="465" t="s">
        <v>519</v>
      </c>
      <c r="E5" s="475" t="s">
        <v>52</v>
      </c>
      <c r="F5" s="465" t="s">
        <v>252</v>
      </c>
      <c r="G5" s="825" t="s">
        <v>525</v>
      </c>
      <c r="H5" s="469">
        <v>84</v>
      </c>
      <c r="I5" s="829" t="s">
        <v>146</v>
      </c>
      <c r="J5" s="478" t="s">
        <v>63</v>
      </c>
      <c r="K5" s="844"/>
      <c r="L5" s="467">
        <v>45716</v>
      </c>
      <c r="M5" s="478" t="s">
        <v>57</v>
      </c>
      <c r="N5" s="542">
        <v>2812.95</v>
      </c>
      <c r="O5" s="478" t="s">
        <v>57</v>
      </c>
      <c r="P5" s="807" t="s">
        <v>147</v>
      </c>
      <c r="Q5" s="479">
        <v>45792</v>
      </c>
      <c r="R5" s="479">
        <v>45947</v>
      </c>
      <c r="S5" s="352"/>
      <c r="T5" s="352"/>
      <c r="U5" s="486" t="s">
        <v>517</v>
      </c>
      <c r="V5" s="41">
        <v>285</v>
      </c>
      <c r="W5" s="845">
        <v>285</v>
      </c>
      <c r="X5" s="472">
        <f>SUM(V5-W5)</f>
        <v>0</v>
      </c>
      <c r="Y5" s="662">
        <f>IFERROR($W5/$V5, 0)</f>
        <v>1</v>
      </c>
      <c r="Z5" s="479">
        <v>45798</v>
      </c>
      <c r="AA5" s="662">
        <v>1</v>
      </c>
      <c r="AB5" s="662">
        <v>1</v>
      </c>
      <c r="AC5" s="472">
        <v>3451</v>
      </c>
      <c r="AD5" s="664"/>
    </row>
    <row r="6" spans="1:30" ht="39.75" customHeight="1">
      <c r="A6" s="930" t="s">
        <v>526</v>
      </c>
      <c r="B6" s="491" t="s">
        <v>240</v>
      </c>
      <c r="C6" s="467">
        <v>45991</v>
      </c>
      <c r="D6" s="475" t="s">
        <v>527</v>
      </c>
      <c r="E6" s="476">
        <v>45716</v>
      </c>
      <c r="F6" s="475" t="s">
        <v>241</v>
      </c>
      <c r="G6" s="477" t="s">
        <v>528</v>
      </c>
      <c r="H6" s="478">
        <v>31</v>
      </c>
      <c r="I6" s="483" t="s">
        <v>146</v>
      </c>
      <c r="J6" s="478" t="s">
        <v>63</v>
      </c>
      <c r="K6" s="487"/>
      <c r="L6" s="467">
        <v>45716</v>
      </c>
      <c r="M6" s="478" t="s">
        <v>57</v>
      </c>
      <c r="N6" s="543">
        <v>28777</v>
      </c>
      <c r="O6" s="478" t="s">
        <v>57</v>
      </c>
      <c r="P6" s="807" t="s">
        <v>147</v>
      </c>
      <c r="Q6" s="479">
        <v>45716</v>
      </c>
      <c r="R6" s="479">
        <v>45992</v>
      </c>
      <c r="S6" s="479"/>
      <c r="T6" s="479"/>
      <c r="U6" s="486" t="s">
        <v>517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529</v>
      </c>
      <c r="B7" s="491" t="s">
        <v>240</v>
      </c>
      <c r="C7" s="467">
        <v>45991</v>
      </c>
      <c r="D7" s="475" t="s">
        <v>394</v>
      </c>
      <c r="E7" s="476">
        <v>45866</v>
      </c>
      <c r="F7" s="475" t="s">
        <v>252</v>
      </c>
      <c r="G7" s="477" t="s">
        <v>530</v>
      </c>
      <c r="H7" s="478">
        <v>0</v>
      </c>
      <c r="I7" s="483" t="s">
        <v>146</v>
      </c>
      <c r="J7" s="478" t="s">
        <v>63</v>
      </c>
      <c r="K7" s="487"/>
      <c r="L7" s="476">
        <v>45863</v>
      </c>
      <c r="M7" s="478" t="s">
        <v>57</v>
      </c>
      <c r="N7" s="543">
        <v>143407.25</v>
      </c>
      <c r="O7" s="478" t="s">
        <v>57</v>
      </c>
      <c r="P7" s="807" t="s">
        <v>147</v>
      </c>
      <c r="Q7" s="479">
        <v>45863</v>
      </c>
      <c r="R7" s="479"/>
      <c r="S7" s="479"/>
      <c r="T7" s="479"/>
      <c r="U7" s="486" t="s">
        <v>517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531</v>
      </c>
      <c r="B8" s="491" t="s">
        <v>240</v>
      </c>
      <c r="C8" s="467">
        <v>45991</v>
      </c>
      <c r="D8" s="475" t="s">
        <v>72</v>
      </c>
      <c r="E8" s="476">
        <v>45880</v>
      </c>
      <c r="F8" s="475" t="s">
        <v>241</v>
      </c>
      <c r="G8" s="477" t="s">
        <v>532</v>
      </c>
      <c r="H8" s="478">
        <v>0</v>
      </c>
      <c r="I8" s="483" t="s">
        <v>146</v>
      </c>
      <c r="J8" s="478" t="s">
        <v>63</v>
      </c>
      <c r="K8" s="487"/>
      <c r="L8" s="476">
        <v>45881</v>
      </c>
      <c r="M8" s="478" t="s">
        <v>57</v>
      </c>
      <c r="N8" s="543">
        <v>4815.6499999999996</v>
      </c>
      <c r="O8" s="478" t="s">
        <v>57</v>
      </c>
      <c r="P8" s="807" t="s">
        <v>147</v>
      </c>
      <c r="Q8" s="479">
        <v>45881</v>
      </c>
      <c r="R8" s="479">
        <v>45947</v>
      </c>
      <c r="S8" s="479"/>
      <c r="T8" s="479"/>
      <c r="U8" s="486" t="s">
        <v>517</v>
      </c>
      <c r="V8" s="41">
        <v>321</v>
      </c>
      <c r="W8" s="743">
        <v>367</v>
      </c>
      <c r="X8" s="106">
        <f>SUM(V8-W8)</f>
        <v>-46</v>
      </c>
      <c r="Y8" s="22">
        <f>IFERROR($W8/$V8, 0)</f>
        <v>1.1433021806853583</v>
      </c>
      <c r="Z8" s="678">
        <v>45905</v>
      </c>
      <c r="AA8" s="355">
        <v>0</v>
      </c>
      <c r="AB8" s="355">
        <v>0</v>
      </c>
      <c r="AC8" s="41">
        <v>0</v>
      </c>
      <c r="AD8" s="515"/>
    </row>
    <row r="9" spans="1:30" ht="39.75" customHeight="1">
      <c r="A9" s="940" t="s">
        <v>533</v>
      </c>
      <c r="B9" s="834" t="s">
        <v>240</v>
      </c>
      <c r="C9" s="835">
        <v>45955</v>
      </c>
      <c r="D9" s="836" t="s">
        <v>137</v>
      </c>
      <c r="E9" s="836">
        <v>45919</v>
      </c>
      <c r="F9" s="836" t="s">
        <v>262</v>
      </c>
      <c r="G9" s="837" t="s">
        <v>534</v>
      </c>
      <c r="H9" s="393">
        <v>0</v>
      </c>
      <c r="I9" s="838" t="s">
        <v>146</v>
      </c>
      <c r="J9" s="393" t="s">
        <v>63</v>
      </c>
      <c r="K9" s="393"/>
      <c r="L9" s="836" t="s">
        <v>52</v>
      </c>
      <c r="M9" s="393" t="s">
        <v>57</v>
      </c>
      <c r="N9" s="839">
        <v>4646.75</v>
      </c>
      <c r="O9" s="393" t="s">
        <v>91</v>
      </c>
      <c r="P9" s="914" t="s">
        <v>147</v>
      </c>
      <c r="Q9" s="598"/>
      <c r="R9" s="598">
        <v>45947</v>
      </c>
      <c r="S9" s="598"/>
      <c r="T9" s="598"/>
      <c r="U9" s="486" t="s">
        <v>517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535</v>
      </c>
      <c r="B10" s="465" t="s">
        <v>117</v>
      </c>
      <c r="C10" s="476">
        <v>45960</v>
      </c>
      <c r="D10" s="467" t="s">
        <v>72</v>
      </c>
      <c r="E10" s="476">
        <v>45918</v>
      </c>
      <c r="F10" s="465" t="s">
        <v>118</v>
      </c>
      <c r="G10" s="50" t="s">
        <v>536</v>
      </c>
      <c r="H10" s="998">
        <v>0</v>
      </c>
      <c r="I10" s="661" t="s">
        <v>146</v>
      </c>
      <c r="J10" s="469" t="s">
        <v>63</v>
      </c>
      <c r="K10" s="469"/>
      <c r="L10" s="476">
        <v>45918</v>
      </c>
      <c r="M10" s="478" t="s">
        <v>57</v>
      </c>
      <c r="N10" s="543">
        <v>9611.9500000000007</v>
      </c>
      <c r="O10" s="478" t="s">
        <v>57</v>
      </c>
      <c r="P10" s="807" t="s">
        <v>147</v>
      </c>
      <c r="Q10" s="479">
        <v>45918</v>
      </c>
      <c r="R10" s="479"/>
      <c r="S10" s="479"/>
      <c r="T10" s="479"/>
      <c r="U10" s="486" t="s">
        <v>517</v>
      </c>
      <c r="V10" s="41">
        <v>807</v>
      </c>
      <c r="W10" s="743">
        <v>896</v>
      </c>
      <c r="X10" s="106">
        <f t="shared" si="6"/>
        <v>-89</v>
      </c>
      <c r="Y10" s="657">
        <f t="shared" si="7"/>
        <v>1.110285006195787</v>
      </c>
      <c r="Z10" s="678">
        <v>45938</v>
      </c>
      <c r="AA10" s="662">
        <v>1</v>
      </c>
      <c r="AB10" s="662">
        <v>1</v>
      </c>
      <c r="AC10" s="645">
        <v>0</v>
      </c>
      <c r="AD10" s="474" t="s">
        <v>537</v>
      </c>
    </row>
    <row r="11" spans="1:30" ht="39.75" customHeight="1">
      <c r="A11" s="846" t="s">
        <v>538</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517</v>
      </c>
      <c r="V11" s="41">
        <v>3566</v>
      </c>
      <c r="W11" s="743">
        <v>3704</v>
      </c>
      <c r="X11" s="106">
        <f t="shared" si="6"/>
        <v>-138</v>
      </c>
      <c r="Y11" s="22">
        <f t="shared" si="7"/>
        <v>1.0386988222097588</v>
      </c>
      <c r="Z11" s="678">
        <v>45904</v>
      </c>
      <c r="AA11" s="355">
        <v>1</v>
      </c>
      <c r="AB11" s="355">
        <v>1</v>
      </c>
      <c r="AC11" s="645">
        <v>0</v>
      </c>
      <c r="AD11" s="515" t="s">
        <v>539</v>
      </c>
    </row>
    <row r="12" spans="1:30" ht="39.75" customHeight="1">
      <c r="A12" s="846" t="s">
        <v>540</v>
      </c>
      <c r="B12" s="465" t="s">
        <v>117</v>
      </c>
      <c r="C12" s="476">
        <v>45930</v>
      </c>
      <c r="D12" s="467" t="s">
        <v>137</v>
      </c>
      <c r="E12" s="467">
        <v>45896</v>
      </c>
      <c r="F12" s="465" t="s">
        <v>189</v>
      </c>
      <c r="G12" s="465" t="s">
        <v>541</v>
      </c>
      <c r="H12" s="469">
        <v>66</v>
      </c>
      <c r="I12" s="469" t="s">
        <v>146</v>
      </c>
      <c r="J12" s="469" t="s">
        <v>63</v>
      </c>
      <c r="K12" s="469"/>
      <c r="L12" s="467">
        <v>45897</v>
      </c>
      <c r="M12" s="469" t="s">
        <v>57</v>
      </c>
      <c r="N12" s="542">
        <v>44896.1</v>
      </c>
      <c r="O12" s="469" t="s">
        <v>57</v>
      </c>
      <c r="P12" s="807" t="s">
        <v>147</v>
      </c>
      <c r="Q12" s="471">
        <v>45897</v>
      </c>
      <c r="R12" s="482"/>
      <c r="S12" s="482"/>
      <c r="T12" s="482"/>
      <c r="U12" s="486" t="s">
        <v>517</v>
      </c>
      <c r="V12" s="472">
        <v>2385</v>
      </c>
      <c r="W12" s="743">
        <v>2385</v>
      </c>
      <c r="X12" s="106">
        <f t="shared" si="6"/>
        <v>0</v>
      </c>
      <c r="Y12" s="22">
        <f t="shared" si="7"/>
        <v>1</v>
      </c>
      <c r="Z12" s="678">
        <v>45918</v>
      </c>
      <c r="AA12" s="355">
        <v>1</v>
      </c>
      <c r="AB12" s="355">
        <v>1</v>
      </c>
      <c r="AC12" s="645">
        <v>0</v>
      </c>
      <c r="AD12" s="413" t="s">
        <v>542</v>
      </c>
    </row>
    <row r="13" spans="1:30" ht="39.75" customHeight="1">
      <c r="A13" s="846" t="s">
        <v>543</v>
      </c>
      <c r="B13" s="465" t="s">
        <v>117</v>
      </c>
      <c r="C13" s="476">
        <v>45930</v>
      </c>
      <c r="D13" s="467" t="s">
        <v>137</v>
      </c>
      <c r="E13" s="642">
        <v>45910</v>
      </c>
      <c r="F13" s="465" t="s">
        <v>118</v>
      </c>
      <c r="G13" s="465" t="s">
        <v>544</v>
      </c>
      <c r="H13" s="469">
        <v>80</v>
      </c>
      <c r="I13" s="469" t="s">
        <v>146</v>
      </c>
      <c r="J13" s="469" t="s">
        <v>63</v>
      </c>
      <c r="K13" s="469"/>
      <c r="L13" s="467">
        <v>45903</v>
      </c>
      <c r="M13" s="469" t="s">
        <v>57</v>
      </c>
      <c r="N13" s="542">
        <v>59116.7</v>
      </c>
      <c r="O13" s="469" t="s">
        <v>57</v>
      </c>
      <c r="P13" s="807" t="s">
        <v>147</v>
      </c>
      <c r="Q13" s="471">
        <v>45903</v>
      </c>
      <c r="R13" s="482"/>
      <c r="S13" s="482"/>
      <c r="T13" s="471"/>
      <c r="U13" s="486" t="s">
        <v>517</v>
      </c>
      <c r="V13" s="472">
        <v>4833</v>
      </c>
      <c r="W13" s="743">
        <v>4446</v>
      </c>
      <c r="X13" s="106">
        <f t="shared" si="6"/>
        <v>387</v>
      </c>
      <c r="Y13" s="22">
        <f t="shared" si="7"/>
        <v>0.91992551210428308</v>
      </c>
      <c r="Z13" s="678">
        <v>45923</v>
      </c>
      <c r="AA13" s="355">
        <v>1</v>
      </c>
      <c r="AB13" s="355">
        <v>1</v>
      </c>
      <c r="AC13" s="645">
        <v>0</v>
      </c>
      <c r="AD13" s="413" t="s">
        <v>545</v>
      </c>
    </row>
    <row r="14" spans="1:30" ht="39.75" customHeight="1">
      <c r="A14" s="843" t="s">
        <v>546</v>
      </c>
      <c r="B14" s="465" t="s">
        <v>117</v>
      </c>
      <c r="C14" s="476">
        <v>45930</v>
      </c>
      <c r="D14" s="467" t="s">
        <v>137</v>
      </c>
      <c r="E14" s="642">
        <v>45910</v>
      </c>
      <c r="F14" s="642" t="s">
        <v>189</v>
      </c>
      <c r="G14" s="682" t="s">
        <v>547</v>
      </c>
      <c r="H14" s="469">
        <v>67</v>
      </c>
      <c r="I14" s="661" t="s">
        <v>146</v>
      </c>
      <c r="J14" s="469" t="s">
        <v>63</v>
      </c>
      <c r="K14" s="469"/>
      <c r="L14" s="467">
        <v>45903</v>
      </c>
      <c r="M14" s="469" t="s">
        <v>57</v>
      </c>
      <c r="N14" s="542">
        <v>40406</v>
      </c>
      <c r="O14" s="469" t="s">
        <v>57</v>
      </c>
      <c r="P14" s="807" t="s">
        <v>147</v>
      </c>
      <c r="Q14" s="471">
        <v>45903</v>
      </c>
      <c r="R14" s="552"/>
      <c r="S14" s="552"/>
      <c r="T14" s="552"/>
      <c r="U14" s="486" t="s">
        <v>517</v>
      </c>
      <c r="V14" s="472">
        <v>3895</v>
      </c>
      <c r="W14" s="743">
        <v>3809</v>
      </c>
      <c r="X14" s="106">
        <f t="shared" si="6"/>
        <v>86</v>
      </c>
      <c r="Y14" s="657">
        <f t="shared" si="7"/>
        <v>0.97792041078305525</v>
      </c>
      <c r="Z14" s="678">
        <v>45924</v>
      </c>
      <c r="AA14" s="355">
        <v>1</v>
      </c>
      <c r="AB14" s="355">
        <v>1</v>
      </c>
      <c r="AC14" s="645">
        <v>0</v>
      </c>
      <c r="AD14" s="874" t="s">
        <v>548</v>
      </c>
    </row>
    <row r="15" spans="1:30" ht="39.75" customHeight="1">
      <c r="A15" s="930" t="s">
        <v>549</v>
      </c>
      <c r="B15" s="465" t="s">
        <v>117</v>
      </c>
      <c r="C15" s="467">
        <v>46006</v>
      </c>
      <c r="D15" s="467" t="s">
        <v>137</v>
      </c>
      <c r="E15" s="467">
        <v>45979</v>
      </c>
      <c r="F15" s="465" t="s">
        <v>189</v>
      </c>
      <c r="G15" s="682" t="s">
        <v>550</v>
      </c>
      <c r="H15" s="469">
        <v>28</v>
      </c>
      <c r="I15" s="661" t="s">
        <v>146</v>
      </c>
      <c r="J15" s="469" t="s">
        <v>63</v>
      </c>
      <c r="K15" s="469"/>
      <c r="L15" s="467">
        <v>45979</v>
      </c>
      <c r="M15" s="469" t="s">
        <v>57</v>
      </c>
      <c r="N15" s="542">
        <v>29683</v>
      </c>
      <c r="O15" s="469" t="s">
        <v>57</v>
      </c>
      <c r="P15" s="807" t="s">
        <v>147</v>
      </c>
      <c r="Q15" s="1003">
        <v>45979</v>
      </c>
      <c r="R15" s="552"/>
      <c r="S15" s="552"/>
      <c r="T15" s="552"/>
      <c r="U15" s="486" t="s">
        <v>517</v>
      </c>
      <c r="V15" s="472">
        <v>2416</v>
      </c>
      <c r="W15" s="743">
        <v>2533</v>
      </c>
      <c r="X15" s="472">
        <f t="shared" si="6"/>
        <v>-117</v>
      </c>
      <c r="Y15" s="863">
        <f t="shared" si="7"/>
        <v>1.0484271523178808</v>
      </c>
      <c r="Z15" s="471">
        <v>45994</v>
      </c>
      <c r="AA15" s="355">
        <v>1</v>
      </c>
      <c r="AB15" s="355">
        <v>0</v>
      </c>
      <c r="AC15" s="645">
        <v>0</v>
      </c>
      <c r="AD15" s="474" t="s">
        <v>551</v>
      </c>
    </row>
    <row r="16" spans="1:30" ht="39.75" customHeight="1">
      <c r="A16" s="930" t="s">
        <v>552</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517</v>
      </c>
      <c r="V16" s="472">
        <v>2071</v>
      </c>
      <c r="W16" s="743">
        <v>2072</v>
      </c>
      <c r="X16" s="472">
        <f>SUM(V16-W16)</f>
        <v>-1</v>
      </c>
      <c r="Y16" s="662">
        <f t="shared" ref="Y16" si="8">IFERROR($W16/$V16, 0)</f>
        <v>1.000482858522453</v>
      </c>
      <c r="Z16" s="479">
        <v>45958</v>
      </c>
      <c r="AA16" s="355">
        <v>1</v>
      </c>
      <c r="AB16" s="355">
        <v>1</v>
      </c>
      <c r="AC16" s="788">
        <v>0</v>
      </c>
      <c r="AD16" s="474" t="s">
        <v>553</v>
      </c>
    </row>
    <row r="17" spans="1:30" ht="39.75" customHeight="1">
      <c r="A17" s="846" t="s">
        <v>554</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517</v>
      </c>
      <c r="V17" s="472">
        <v>5653</v>
      </c>
      <c r="W17" s="743">
        <v>5653</v>
      </c>
      <c r="X17" s="106">
        <f t="shared" si="6"/>
        <v>0</v>
      </c>
      <c r="Y17" s="657">
        <f t="shared" si="7"/>
        <v>1</v>
      </c>
      <c r="Z17" s="678">
        <v>45932</v>
      </c>
      <c r="AA17" s="355">
        <v>1</v>
      </c>
      <c r="AB17" s="355">
        <v>1</v>
      </c>
      <c r="AC17" s="788">
        <v>0</v>
      </c>
      <c r="AD17" s="874" t="s">
        <v>555</v>
      </c>
    </row>
    <row r="18" spans="1:30" ht="39.75" customHeight="1">
      <c r="A18" s="843" t="s">
        <v>556</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517</v>
      </c>
      <c r="V18" s="472">
        <v>2188</v>
      </c>
      <c r="W18" s="743">
        <v>2278</v>
      </c>
      <c r="X18" s="106">
        <f>SUM(V18-W18)</f>
        <v>-90</v>
      </c>
      <c r="Y18" s="657">
        <f>IFERROR($W18/$V18, 0)</f>
        <v>1.0411334552102376</v>
      </c>
      <c r="Z18" s="678">
        <v>45931</v>
      </c>
      <c r="AA18" s="355">
        <v>1</v>
      </c>
      <c r="AB18" s="355">
        <v>1</v>
      </c>
      <c r="AC18" s="788">
        <v>0</v>
      </c>
      <c r="AD18" s="874" t="s">
        <v>557</v>
      </c>
    </row>
    <row r="19" spans="1:30" ht="39.75" customHeight="1">
      <c r="A19" s="930" t="s">
        <v>558</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517</v>
      </c>
      <c r="V19" s="472">
        <v>3378</v>
      </c>
      <c r="W19" s="743">
        <v>3372</v>
      </c>
      <c r="X19" s="472">
        <f>SUM(V19-W19)</f>
        <v>6</v>
      </c>
      <c r="Y19" s="662">
        <f t="shared" ref="Y19" si="9">IFERROR($W19/$V19, 0)</f>
        <v>0.9982238010657194</v>
      </c>
      <c r="Z19" s="479">
        <v>45958</v>
      </c>
      <c r="AA19" s="355">
        <v>1</v>
      </c>
      <c r="AB19" s="355">
        <v>1</v>
      </c>
      <c r="AC19" s="788">
        <v>0</v>
      </c>
      <c r="AD19" s="953" t="s">
        <v>559</v>
      </c>
    </row>
    <row r="20" spans="1:30" ht="39.75" customHeight="1">
      <c r="A20" s="930" t="s">
        <v>560</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517</v>
      </c>
      <c r="V20" s="416">
        <v>2874</v>
      </c>
      <c r="W20" s="952">
        <v>2875</v>
      </c>
      <c r="X20" s="106">
        <f t="shared" ref="X20:X25" si="10">SUM(V20-W20)</f>
        <v>-1</v>
      </c>
      <c r="Y20" s="657">
        <f t="shared" ref="Y20:Y25" si="11">IFERROR($W20/$V20, 0)</f>
        <v>1.0003479471120389</v>
      </c>
      <c r="Z20" s="678">
        <v>45944</v>
      </c>
      <c r="AA20" s="355">
        <v>1</v>
      </c>
      <c r="AB20" s="355">
        <v>1</v>
      </c>
      <c r="AC20" s="472">
        <v>0</v>
      </c>
      <c r="AD20" s="170" t="s">
        <v>561</v>
      </c>
    </row>
    <row r="21" spans="1:30" ht="39.75" customHeight="1">
      <c r="A21" s="930" t="s">
        <v>562</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517</v>
      </c>
      <c r="V21" s="472">
        <v>2527</v>
      </c>
      <c r="W21" s="743">
        <v>2647</v>
      </c>
      <c r="X21" s="472">
        <f t="shared" si="10"/>
        <v>-120</v>
      </c>
      <c r="Y21" s="662">
        <f t="shared" si="11"/>
        <v>1.0474871388998812</v>
      </c>
      <c r="Z21" s="479">
        <v>45973</v>
      </c>
      <c r="AA21" s="355">
        <v>1</v>
      </c>
      <c r="AB21" s="355">
        <v>1</v>
      </c>
      <c r="AC21" s="788">
        <v>0</v>
      </c>
      <c r="AD21" s="436" t="s">
        <v>563</v>
      </c>
    </row>
    <row r="22" spans="1:30" ht="39.75" customHeight="1">
      <c r="A22" s="930" t="s">
        <v>564</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517</v>
      </c>
      <c r="V22" s="472">
        <v>4141</v>
      </c>
      <c r="W22" s="743">
        <v>4316</v>
      </c>
      <c r="X22" s="472">
        <f t="shared" si="10"/>
        <v>-175</v>
      </c>
      <c r="Y22" s="662">
        <f t="shared" si="11"/>
        <v>1.042260323593335</v>
      </c>
      <c r="Z22" s="479">
        <v>45964</v>
      </c>
      <c r="AA22" s="355">
        <v>1</v>
      </c>
      <c r="AB22" s="355">
        <v>1</v>
      </c>
      <c r="AC22" s="788">
        <v>0</v>
      </c>
      <c r="AD22" s="436" t="s">
        <v>565</v>
      </c>
    </row>
    <row r="23" spans="1:30" ht="39.75" customHeight="1">
      <c r="A23" s="930" t="s">
        <v>566</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517</v>
      </c>
      <c r="V23" s="472">
        <v>6240</v>
      </c>
      <c r="W23" s="743">
        <v>6203</v>
      </c>
      <c r="X23" s="472">
        <f t="shared" si="10"/>
        <v>37</v>
      </c>
      <c r="Y23" s="662">
        <f t="shared" si="11"/>
        <v>0.99407051282051284</v>
      </c>
      <c r="Z23" s="479">
        <v>45951</v>
      </c>
      <c r="AA23" s="355">
        <v>1</v>
      </c>
      <c r="AB23" s="355">
        <v>0</v>
      </c>
      <c r="AC23" s="645">
        <v>0</v>
      </c>
      <c r="AD23" s="1069" t="s">
        <v>567</v>
      </c>
    </row>
    <row r="24" spans="1:30" ht="39.75" customHeight="1">
      <c r="A24" s="930" t="s">
        <v>568</v>
      </c>
      <c r="B24" s="465" t="s">
        <v>117</v>
      </c>
      <c r="C24" s="467">
        <v>45991</v>
      </c>
      <c r="D24" s="467" t="s">
        <v>137</v>
      </c>
      <c r="E24" s="467">
        <v>45966</v>
      </c>
      <c r="F24" s="465" t="s">
        <v>118</v>
      </c>
      <c r="G24" s="468" t="s">
        <v>569</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517</v>
      </c>
      <c r="V24" s="472">
        <v>5654</v>
      </c>
      <c r="W24" s="743">
        <v>5646</v>
      </c>
      <c r="X24" s="472">
        <f t="shared" si="10"/>
        <v>8</v>
      </c>
      <c r="Y24" s="662">
        <f t="shared" si="11"/>
        <v>0.99858507251503359</v>
      </c>
      <c r="Z24" s="479">
        <v>45978</v>
      </c>
      <c r="AA24" s="355">
        <v>1</v>
      </c>
      <c r="AB24" s="355">
        <v>1</v>
      </c>
      <c r="AC24" s="788">
        <v>0</v>
      </c>
      <c r="AD24" s="474" t="s">
        <v>570</v>
      </c>
    </row>
    <row r="25" spans="1:30" ht="39.75" customHeight="1">
      <c r="A25" s="930" t="s">
        <v>571</v>
      </c>
      <c r="B25" s="465" t="s">
        <v>117</v>
      </c>
      <c r="C25" s="467">
        <v>46001</v>
      </c>
      <c r="D25" s="467" t="s">
        <v>137</v>
      </c>
      <c r="E25" s="467">
        <v>45966</v>
      </c>
      <c r="F25" s="465" t="s">
        <v>118</v>
      </c>
      <c r="G25" s="682" t="s">
        <v>572</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517</v>
      </c>
      <c r="V25" s="472">
        <v>6025</v>
      </c>
      <c r="W25" s="743">
        <v>6130</v>
      </c>
      <c r="X25" s="472">
        <f t="shared" si="10"/>
        <v>-105</v>
      </c>
      <c r="Y25" s="662">
        <f t="shared" si="11"/>
        <v>1.0174273858921161</v>
      </c>
      <c r="Z25" s="479">
        <v>45985</v>
      </c>
      <c r="AA25" s="355">
        <v>1</v>
      </c>
      <c r="AB25" s="355">
        <v>1</v>
      </c>
      <c r="AC25" s="788">
        <v>0</v>
      </c>
      <c r="AD25" s="474" t="s">
        <v>573</v>
      </c>
    </row>
    <row r="26" spans="1:30" ht="39.75" customHeight="1">
      <c r="A26" s="930" t="s">
        <v>574</v>
      </c>
      <c r="B26" s="465" t="s">
        <v>117</v>
      </c>
      <c r="C26" s="467">
        <v>45991</v>
      </c>
      <c r="D26" s="467" t="s">
        <v>137</v>
      </c>
      <c r="E26" s="467">
        <v>45966</v>
      </c>
      <c r="F26" s="465" t="s">
        <v>138</v>
      </c>
      <c r="G26" s="682" t="s">
        <v>575</v>
      </c>
      <c r="H26" s="469">
        <v>75</v>
      </c>
      <c r="I26" s="661" t="s">
        <v>146</v>
      </c>
      <c r="J26" s="469" t="s">
        <v>63</v>
      </c>
      <c r="K26" s="469"/>
      <c r="L26" s="467">
        <v>45967</v>
      </c>
      <c r="M26" s="469" t="s">
        <v>57</v>
      </c>
      <c r="N26" s="542">
        <v>60620</v>
      </c>
      <c r="O26" s="469" t="s">
        <v>57</v>
      </c>
      <c r="P26" s="1154" t="s">
        <v>147</v>
      </c>
      <c r="Q26" s="124">
        <v>45967</v>
      </c>
      <c r="R26" s="651"/>
      <c r="S26" s="1006"/>
      <c r="T26" s="552"/>
      <c r="U26" s="486" t="s">
        <v>517</v>
      </c>
      <c r="V26" s="472">
        <v>4814</v>
      </c>
      <c r="W26" s="743">
        <v>4708</v>
      </c>
      <c r="X26" s="472">
        <f>SUM(V26-W26)</f>
        <v>106</v>
      </c>
      <c r="Y26" s="863">
        <f>IFERROR($W26/$V26, 0)</f>
        <v>0.97798088907353553</v>
      </c>
      <c r="Z26" s="479">
        <v>45986</v>
      </c>
      <c r="AA26" s="355">
        <v>1</v>
      </c>
      <c r="AB26" s="355">
        <v>1</v>
      </c>
      <c r="AC26" s="788">
        <v>0</v>
      </c>
      <c r="AD26" s="758" t="s">
        <v>576</v>
      </c>
    </row>
    <row r="27" spans="1:30" ht="39.75" customHeight="1">
      <c r="A27" s="843" t="s">
        <v>577</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517</v>
      </c>
      <c r="V27" s="472">
        <v>328</v>
      </c>
      <c r="W27" s="743">
        <v>335</v>
      </c>
      <c r="X27" s="472">
        <f t="shared" si="6"/>
        <v>-7</v>
      </c>
      <c r="Y27" s="473">
        <f t="shared" si="7"/>
        <v>1.0213414634146341</v>
      </c>
      <c r="Z27" s="479">
        <v>45922</v>
      </c>
      <c r="AA27" s="355">
        <v>1</v>
      </c>
      <c r="AB27" s="355">
        <v>1</v>
      </c>
      <c r="AC27" s="472">
        <v>0</v>
      </c>
      <c r="AD27" s="758" t="s">
        <v>578</v>
      </c>
    </row>
    <row r="28" spans="1:30" ht="39.75" customHeight="1">
      <c r="A28" s="930" t="s">
        <v>579</v>
      </c>
      <c r="B28" s="465" t="s">
        <v>117</v>
      </c>
      <c r="C28" s="476">
        <v>45991</v>
      </c>
      <c r="D28" s="467" t="s">
        <v>231</v>
      </c>
      <c r="E28" s="467">
        <v>45953</v>
      </c>
      <c r="F28" s="465" t="s">
        <v>138</v>
      </c>
      <c r="G28" s="682" t="s">
        <v>580</v>
      </c>
      <c r="H28" s="469">
        <v>0</v>
      </c>
      <c r="I28" s="469" t="s">
        <v>146</v>
      </c>
      <c r="J28" s="469" t="s">
        <v>63</v>
      </c>
      <c r="K28" s="469"/>
      <c r="L28" s="467" t="s">
        <v>186</v>
      </c>
      <c r="M28" s="469" t="s">
        <v>57</v>
      </c>
      <c r="N28" s="542">
        <v>51970</v>
      </c>
      <c r="O28" s="469" t="s">
        <v>57</v>
      </c>
      <c r="P28" s="1154" t="s">
        <v>147</v>
      </c>
      <c r="Q28" s="124">
        <v>45953</v>
      </c>
      <c r="R28" s="652"/>
      <c r="S28" s="471"/>
      <c r="T28" s="471"/>
      <c r="U28" s="486" t="s">
        <v>517</v>
      </c>
      <c r="V28" s="964">
        <v>4544</v>
      </c>
      <c r="W28" s="853">
        <v>4569</v>
      </c>
      <c r="X28" s="472">
        <f>SUM(V28-W28)</f>
        <v>-25</v>
      </c>
      <c r="Y28" s="662">
        <f>IFERROR($W28/$V28, 0)</f>
        <v>1.0055017605633803</v>
      </c>
      <c r="Z28" s="479">
        <v>45960</v>
      </c>
      <c r="AA28" s="355">
        <v>1</v>
      </c>
      <c r="AB28" s="355">
        <v>0</v>
      </c>
      <c r="AC28" s="472">
        <v>0</v>
      </c>
      <c r="AD28" s="1155" t="s">
        <v>581</v>
      </c>
    </row>
    <row r="29" spans="1:30" ht="39.75" customHeight="1">
      <c r="A29" s="930" t="s">
        <v>582</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517</v>
      </c>
      <c r="V29" s="416">
        <v>3078</v>
      </c>
      <c r="W29" s="952">
        <v>3272</v>
      </c>
      <c r="X29" s="472">
        <f t="shared" si="6"/>
        <v>-194</v>
      </c>
      <c r="Y29" s="662">
        <f t="shared" si="7"/>
        <v>1.0630279402209226</v>
      </c>
      <c r="Z29" s="479">
        <v>45966</v>
      </c>
      <c r="AA29" s="355">
        <v>1</v>
      </c>
      <c r="AB29" s="355">
        <v>1</v>
      </c>
      <c r="AC29" s="472">
        <v>0</v>
      </c>
      <c r="AD29" s="170" t="s">
        <v>583</v>
      </c>
    </row>
    <row r="30" spans="1:30" ht="39.75" customHeight="1">
      <c r="A30" s="843" t="s">
        <v>584</v>
      </c>
      <c r="B30" s="465" t="s">
        <v>117</v>
      </c>
      <c r="C30" s="476">
        <v>45960</v>
      </c>
      <c r="D30" s="467" t="s">
        <v>585</v>
      </c>
      <c r="E30" s="467">
        <v>45915</v>
      </c>
      <c r="F30" s="465" t="s">
        <v>586</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517</v>
      </c>
      <c r="V30" s="788">
        <v>14150</v>
      </c>
      <c r="W30" s="880">
        <v>15469</v>
      </c>
      <c r="X30" s="106">
        <f t="shared" si="6"/>
        <v>-1319</v>
      </c>
      <c r="Y30" s="657">
        <f t="shared" si="7"/>
        <v>1.0932155477031802</v>
      </c>
      <c r="Z30" s="678">
        <v>45926</v>
      </c>
      <c r="AA30" s="355">
        <v>1</v>
      </c>
      <c r="AB30" s="355">
        <v>1</v>
      </c>
      <c r="AC30" s="472">
        <v>0</v>
      </c>
      <c r="AD30" s="872" t="s">
        <v>587</v>
      </c>
    </row>
    <row r="31" spans="1:30" ht="39.75" customHeight="1">
      <c r="A31" s="930" t="s">
        <v>588</v>
      </c>
      <c r="B31" s="465" t="s">
        <v>117</v>
      </c>
      <c r="C31" s="476">
        <v>45930</v>
      </c>
      <c r="D31" s="467" t="s">
        <v>589</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517</v>
      </c>
      <c r="V31" s="788">
        <v>2811</v>
      </c>
      <c r="W31" s="880">
        <v>2732</v>
      </c>
      <c r="X31" s="106">
        <f>SUM(V31-W31)</f>
        <v>79</v>
      </c>
      <c r="Y31" s="22">
        <f>IFERROR($W31/$V31, 0)</f>
        <v>0.97189612237637857</v>
      </c>
      <c r="Z31" s="678">
        <v>45922</v>
      </c>
      <c r="AA31" s="355">
        <v>1</v>
      </c>
      <c r="AB31" s="355">
        <v>1</v>
      </c>
      <c r="AC31" s="472">
        <v>0</v>
      </c>
      <c r="AD31" s="664" t="s">
        <v>590</v>
      </c>
    </row>
    <row r="32" spans="1:30" ht="39.75" customHeight="1">
      <c r="A32" s="843" t="s">
        <v>591</v>
      </c>
      <c r="B32" s="824" t="s">
        <v>50</v>
      </c>
      <c r="C32" s="642">
        <v>45838</v>
      </c>
      <c r="D32" s="475" t="s">
        <v>592</v>
      </c>
      <c r="E32" s="476">
        <v>45727</v>
      </c>
      <c r="F32" s="475" t="s">
        <v>61</v>
      </c>
      <c r="G32" s="847" t="s">
        <v>593</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517</v>
      </c>
      <c r="V32" s="848">
        <v>4979</v>
      </c>
      <c r="W32" s="743">
        <v>5020</v>
      </c>
      <c r="X32" s="472">
        <f t="shared" si="6"/>
        <v>-41</v>
      </c>
      <c r="Y32" s="662">
        <f t="shared" si="7"/>
        <v>1.0082345852580838</v>
      </c>
      <c r="Z32" s="479">
        <v>45741</v>
      </c>
      <c r="AA32" s="662">
        <v>1</v>
      </c>
      <c r="AB32" s="662">
        <v>1</v>
      </c>
      <c r="AC32" s="352">
        <v>0</v>
      </c>
      <c r="AD32" s="664" t="s">
        <v>594</v>
      </c>
    </row>
    <row r="33" spans="1:30" ht="39.75" customHeight="1">
      <c r="A33" s="928" t="s">
        <v>595</v>
      </c>
      <c r="B33" s="510" t="s">
        <v>50</v>
      </c>
      <c r="C33" s="496">
        <v>45772</v>
      </c>
      <c r="D33" s="511" t="s">
        <v>596</v>
      </c>
      <c r="E33" s="511">
        <v>45693</v>
      </c>
      <c r="F33" s="501" t="s">
        <v>61</v>
      </c>
      <c r="G33" s="512" t="s">
        <v>597</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517</v>
      </c>
      <c r="V33" s="493">
        <v>7980</v>
      </c>
      <c r="W33" s="742">
        <v>7901</v>
      </c>
      <c r="X33" s="106">
        <f t="shared" si="6"/>
        <v>79</v>
      </c>
      <c r="Y33" s="22">
        <f t="shared" si="7"/>
        <v>0.99010025062656637</v>
      </c>
      <c r="Z33" s="678">
        <v>45713</v>
      </c>
      <c r="AA33" s="473">
        <v>1</v>
      </c>
      <c r="AB33" s="473">
        <v>1</v>
      </c>
      <c r="AC33" s="816">
        <v>0</v>
      </c>
      <c r="AD33" s="173" t="s">
        <v>598</v>
      </c>
    </row>
    <row r="34" spans="1:30" ht="39.75" customHeight="1">
      <c r="A34" s="928" t="s">
        <v>599</v>
      </c>
      <c r="B34" s="510" t="s">
        <v>50</v>
      </c>
      <c r="C34" s="496">
        <v>45772</v>
      </c>
      <c r="D34" s="511" t="s">
        <v>596</v>
      </c>
      <c r="E34" s="511">
        <v>45698</v>
      </c>
      <c r="F34" s="496" t="s">
        <v>61</v>
      </c>
      <c r="G34" s="512" t="s">
        <v>600</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517</v>
      </c>
      <c r="V34" s="493">
        <v>7562</v>
      </c>
      <c r="W34" s="742">
        <v>7556</v>
      </c>
      <c r="X34" s="106">
        <f t="shared" si="6"/>
        <v>6</v>
      </c>
      <c r="Y34" s="22">
        <f t="shared" si="7"/>
        <v>0.99920655911134626</v>
      </c>
      <c r="Z34" s="678">
        <v>45709</v>
      </c>
      <c r="AA34" s="473">
        <v>1</v>
      </c>
      <c r="AB34" s="473">
        <v>1</v>
      </c>
      <c r="AC34" s="816">
        <v>0</v>
      </c>
      <c r="AD34" s="201" t="s">
        <v>601</v>
      </c>
    </row>
    <row r="35" spans="1:30" ht="39.75" customHeight="1">
      <c r="A35" s="849" t="s">
        <v>602</v>
      </c>
      <c r="B35" s="824" t="s">
        <v>50</v>
      </c>
      <c r="C35" s="476">
        <v>45772</v>
      </c>
      <c r="D35" s="476" t="s">
        <v>592</v>
      </c>
      <c r="E35" s="827">
        <v>45686</v>
      </c>
      <c r="F35" s="475" t="s">
        <v>61</v>
      </c>
      <c r="G35" s="850" t="s">
        <v>603</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517</v>
      </c>
      <c r="V35" s="852">
        <v>5005</v>
      </c>
      <c r="W35" s="853">
        <v>4996</v>
      </c>
      <c r="X35" s="472">
        <f t="shared" si="6"/>
        <v>9</v>
      </c>
      <c r="Y35" s="662">
        <f t="shared" si="7"/>
        <v>0.99820179820179822</v>
      </c>
      <c r="Z35" s="479">
        <v>45708</v>
      </c>
      <c r="AA35" s="662">
        <v>1</v>
      </c>
      <c r="AB35" s="662">
        <v>1</v>
      </c>
      <c r="AC35" s="816">
        <v>0</v>
      </c>
      <c r="AD35" s="854" t="s">
        <v>604</v>
      </c>
    </row>
    <row r="36" spans="1:30" ht="39.75" customHeight="1">
      <c r="A36" s="849" t="s">
        <v>605</v>
      </c>
      <c r="B36" s="824" t="s">
        <v>50</v>
      </c>
      <c r="C36" s="476">
        <v>45772</v>
      </c>
      <c r="D36" s="827" t="s">
        <v>606</v>
      </c>
      <c r="E36" s="827">
        <v>45694</v>
      </c>
      <c r="F36" s="827" t="s">
        <v>61</v>
      </c>
      <c r="G36" s="850" t="s">
        <v>607</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517</v>
      </c>
      <c r="V36" s="848">
        <v>4979</v>
      </c>
      <c r="W36" s="853">
        <v>4984</v>
      </c>
      <c r="X36" s="472">
        <f t="shared" si="6"/>
        <v>-5</v>
      </c>
      <c r="Y36" s="662">
        <f t="shared" si="7"/>
        <v>1.0010042177144005</v>
      </c>
      <c r="Z36" s="479">
        <v>45714</v>
      </c>
      <c r="AA36" s="662">
        <v>1</v>
      </c>
      <c r="AB36" s="662">
        <v>1</v>
      </c>
      <c r="AC36" s="816">
        <v>0</v>
      </c>
      <c r="AD36" s="148" t="s">
        <v>608</v>
      </c>
    </row>
    <row r="37" spans="1:30" ht="39.75" customHeight="1">
      <c r="A37" s="1100" t="s">
        <v>609</v>
      </c>
      <c r="B37" s="378" t="s">
        <v>50</v>
      </c>
      <c r="C37" s="51">
        <v>45742</v>
      </c>
      <c r="D37" s="1088" t="s">
        <v>610</v>
      </c>
      <c r="E37" s="381">
        <v>45680</v>
      </c>
      <c r="F37" s="50" t="s">
        <v>61</v>
      </c>
      <c r="G37" s="572" t="s">
        <v>611</v>
      </c>
      <c r="H37" s="52">
        <v>79</v>
      </c>
      <c r="I37" s="1090" t="s">
        <v>612</v>
      </c>
      <c r="J37" s="978" t="s">
        <v>63</v>
      </c>
      <c r="K37" s="52"/>
      <c r="L37" s="374" t="s">
        <v>147</v>
      </c>
      <c r="M37" s="380" t="s">
        <v>57</v>
      </c>
      <c r="N37" s="1078">
        <v>64790.5</v>
      </c>
      <c r="O37" s="380" t="s">
        <v>57</v>
      </c>
      <c r="P37" s="1101" t="s">
        <v>147</v>
      </c>
      <c r="Q37" s="54">
        <v>45675</v>
      </c>
      <c r="R37" s="54">
        <v>45917</v>
      </c>
      <c r="S37" s="54">
        <v>45931</v>
      </c>
      <c r="T37" s="54"/>
      <c r="U37" s="486" t="s">
        <v>517</v>
      </c>
      <c r="V37" s="31">
        <v>4975</v>
      </c>
      <c r="W37" s="1102">
        <v>4975</v>
      </c>
      <c r="X37" s="106">
        <f t="shared" si="6"/>
        <v>0</v>
      </c>
      <c r="Y37" s="22">
        <f t="shared" si="7"/>
        <v>1</v>
      </c>
      <c r="Z37" s="195">
        <v>45680</v>
      </c>
      <c r="AA37" s="355">
        <v>0</v>
      </c>
      <c r="AB37" s="355">
        <v>0</v>
      </c>
      <c r="AC37" s="816">
        <v>0</v>
      </c>
      <c r="AD37" s="69" t="s">
        <v>613</v>
      </c>
    </row>
    <row r="38" spans="1:30" ht="39.75" customHeight="1">
      <c r="A38" s="843" t="s">
        <v>614</v>
      </c>
      <c r="B38" s="824" t="s">
        <v>50</v>
      </c>
      <c r="C38" s="467">
        <v>45960</v>
      </c>
      <c r="D38" s="465" t="s">
        <v>261</v>
      </c>
      <c r="E38" s="467">
        <v>45927</v>
      </c>
      <c r="F38" s="465" t="s">
        <v>101</v>
      </c>
      <c r="G38" s="682" t="s">
        <v>615</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616</v>
      </c>
      <c r="B39" s="824" t="s">
        <v>50</v>
      </c>
      <c r="C39" s="467">
        <v>45991</v>
      </c>
      <c r="D39" s="467" t="s">
        <v>72</v>
      </c>
      <c r="E39" s="476">
        <v>45743</v>
      </c>
      <c r="F39" s="475" t="s">
        <v>61</v>
      </c>
      <c r="G39" s="825" t="s">
        <v>617</v>
      </c>
      <c r="H39" s="478">
        <v>70</v>
      </c>
      <c r="I39" s="661" t="s">
        <v>146</v>
      </c>
      <c r="J39" s="469" t="s">
        <v>63</v>
      </c>
      <c r="K39" s="826"/>
      <c r="L39" s="476">
        <v>45741</v>
      </c>
      <c r="M39" s="469" t="s">
        <v>57</v>
      </c>
      <c r="N39" s="543">
        <v>67735.5</v>
      </c>
      <c r="O39" s="469" t="s">
        <v>57</v>
      </c>
      <c r="P39" s="807" t="s">
        <v>147</v>
      </c>
      <c r="Q39" s="479">
        <v>45779</v>
      </c>
      <c r="R39" s="479"/>
      <c r="S39" s="479"/>
      <c r="T39" s="479"/>
      <c r="U39" s="486" t="s">
        <v>517</v>
      </c>
      <c r="V39" s="41">
        <v>6152</v>
      </c>
      <c r="W39" s="743">
        <v>5723</v>
      </c>
      <c r="X39" s="106">
        <f>SUM(V39-W39)</f>
        <v>429</v>
      </c>
      <c r="Y39" s="657">
        <f>IFERROR($W39/$V39, 0)</f>
        <v>0.9302665799739922</v>
      </c>
      <c r="Z39" s="678">
        <v>45792</v>
      </c>
      <c r="AA39" s="355">
        <v>0</v>
      </c>
      <c r="AB39" s="355">
        <v>0</v>
      </c>
      <c r="AC39" s="645">
        <v>0</v>
      </c>
      <c r="AD39" s="353" t="s">
        <v>618</v>
      </c>
    </row>
    <row r="40" spans="1:30" ht="39.75" customHeight="1">
      <c r="A40" s="879" t="s">
        <v>619</v>
      </c>
      <c r="B40" s="824" t="s">
        <v>50</v>
      </c>
      <c r="C40" s="827">
        <v>45716</v>
      </c>
      <c r="D40" s="827" t="s">
        <v>72</v>
      </c>
      <c r="E40" s="827">
        <v>45701</v>
      </c>
      <c r="F40" s="475" t="s">
        <v>61</v>
      </c>
      <c r="G40" s="850" t="s">
        <v>522</v>
      </c>
      <c r="H40" s="829">
        <v>0</v>
      </c>
      <c r="I40" s="829" t="s">
        <v>147</v>
      </c>
      <c r="J40" s="829" t="s">
        <v>63</v>
      </c>
      <c r="K40" s="829"/>
      <c r="L40" s="827">
        <v>45705</v>
      </c>
      <c r="M40" s="829" t="s">
        <v>57</v>
      </c>
      <c r="N40" s="851">
        <v>1295</v>
      </c>
      <c r="O40" s="829" t="s">
        <v>57</v>
      </c>
      <c r="P40" s="807" t="s">
        <v>147</v>
      </c>
      <c r="Q40" s="513">
        <v>45706</v>
      </c>
      <c r="R40" s="513">
        <v>45826</v>
      </c>
      <c r="S40" s="513"/>
      <c r="T40" s="513"/>
      <c r="U40" s="486" t="s">
        <v>517</v>
      </c>
      <c r="V40" s="852">
        <v>153</v>
      </c>
      <c r="W40" s="742">
        <v>153</v>
      </c>
      <c r="X40" s="106">
        <f t="shared" si="6"/>
        <v>0</v>
      </c>
      <c r="Y40" s="657">
        <f t="shared" si="7"/>
        <v>1</v>
      </c>
      <c r="Z40" s="678">
        <v>45754</v>
      </c>
      <c r="AA40" s="473">
        <v>1</v>
      </c>
      <c r="AB40" s="473">
        <v>1</v>
      </c>
      <c r="AC40" s="816">
        <v>0</v>
      </c>
      <c r="AD40" s="173" t="s">
        <v>620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519</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519</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6" t="s">
        <v>988</v>
      </c>
      <c r="B148" s="390" t="s">
        <v>336</v>
      </c>
      <c r="C148" s="51">
        <v>46045</v>
      </c>
      <c r="D148" s="658" t="s">
        <v>137</v>
      </c>
      <c r="E148" s="51"/>
      <c r="F148" s="50" t="s">
        <v>337</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47" t="s">
        <v>990</v>
      </c>
      <c r="B149" s="1343" t="s">
        <v>336</v>
      </c>
      <c r="C149" s="57">
        <v>46045</v>
      </c>
      <c r="D149" s="793" t="s">
        <v>137</v>
      </c>
      <c r="E149" s="57"/>
      <c r="F149" s="772" t="s">
        <v>337</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528</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519</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393</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393</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521</v>
      </c>
      <c r="B284">
        <v>2227</v>
      </c>
      <c r="G284">
        <v>2227</v>
      </c>
    </row>
    <row r="285" spans="1:7">
      <c r="A285" t="s">
        <v>783</v>
      </c>
      <c r="C285">
        <v>0</v>
      </c>
      <c r="D285">
        <v>0</v>
      </c>
      <c r="E285">
        <v>344</v>
      </c>
      <c r="G285">
        <v>344</v>
      </c>
    </row>
    <row r="286" spans="1:7">
      <c r="A286" t="s">
        <v>518</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526</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518</v>
      </c>
    </row>
    <row r="311" spans="1:7">
      <c r="A311" t="s">
        <v>861</v>
      </c>
    </row>
    <row r="312" spans="1:7">
      <c r="A312" t="s">
        <v>682</v>
      </c>
      <c r="B312">
        <v>618</v>
      </c>
      <c r="C312">
        <v>700</v>
      </c>
      <c r="G312">
        <v>1318</v>
      </c>
    </row>
    <row r="313" spans="1:7">
      <c r="A313" t="s">
        <v>674</v>
      </c>
    </row>
    <row r="314" spans="1:7">
      <c r="A314" t="s">
        <v>526</v>
      </c>
    </row>
    <row r="315" spans="1:7">
      <c r="A315" t="s">
        <v>858</v>
      </c>
      <c r="B315">
        <v>990</v>
      </c>
      <c r="C315">
        <v>1871</v>
      </c>
      <c r="D315">
        <v>1307</v>
      </c>
      <c r="G315">
        <v>4168</v>
      </c>
    </row>
    <row r="316" spans="1:7">
      <c r="A316" t="s">
        <v>501</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501</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505</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508</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434</v>
      </c>
      <c r="B470">
        <v>644</v>
      </c>
      <c r="C470">
        <v>1430</v>
      </c>
      <c r="D470">
        <v>970</v>
      </c>
      <c r="G470">
        <v>3044</v>
      </c>
    </row>
    <row r="471" spans="1:7">
      <c r="A471" t="s">
        <v>524</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434</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501</v>
      </c>
      <c r="E501">
        <v>341</v>
      </c>
      <c r="G501">
        <v>341</v>
      </c>
    </row>
    <row r="502" spans="1:7">
      <c r="A502" t="s">
        <v>1050</v>
      </c>
    </row>
    <row r="503" spans="1:7">
      <c r="A503" t="s">
        <v>434</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518</v>
      </c>
      <c r="E534">
        <v>977</v>
      </c>
      <c r="G534">
        <v>977</v>
      </c>
    </row>
    <row r="535" spans="1:7">
      <c r="A535" t="s">
        <v>1049</v>
      </c>
      <c r="D535">
        <v>81</v>
      </c>
      <c r="F535">
        <v>114</v>
      </c>
      <c r="G535">
        <v>195</v>
      </c>
    </row>
    <row r="536" spans="1:7">
      <c r="A536" t="s">
        <v>640</v>
      </c>
    </row>
    <row r="537" spans="1:7">
      <c r="A537" t="s">
        <v>434</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518</v>
      </c>
      <c r="E549">
        <v>676</v>
      </c>
      <c r="F549">
        <v>430</v>
      </c>
      <c r="G549">
        <v>1106</v>
      </c>
    </row>
    <row r="550" spans="1:7">
      <c r="A550" t="s">
        <v>501</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518</v>
      </c>
      <c r="B565">
        <v>885</v>
      </c>
      <c r="C565">
        <v>478</v>
      </c>
      <c r="D565">
        <v>490</v>
      </c>
      <c r="E565">
        <v>372</v>
      </c>
      <c r="G565">
        <v>2225</v>
      </c>
    </row>
    <row r="566" spans="1:7">
      <c r="A566" t="s">
        <v>1042</v>
      </c>
    </row>
    <row r="567" spans="1:7">
      <c r="A567" t="s">
        <v>1049</v>
      </c>
      <c r="B567">
        <v>360</v>
      </c>
      <c r="G567">
        <v>360</v>
      </c>
    </row>
    <row r="568" spans="1:7">
      <c r="A568" t="s">
        <v>434</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521</v>
      </c>
      <c r="F578">
        <v>198</v>
      </c>
      <c r="G578">
        <v>198</v>
      </c>
    </row>
    <row r="579" spans="1:7">
      <c r="A579" t="s">
        <v>518</v>
      </c>
    </row>
    <row r="580" spans="1:7">
      <c r="A580" t="s">
        <v>526</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393</v>
      </c>
      <c r="C590">
        <v>403</v>
      </c>
      <c r="D590">
        <v>39</v>
      </c>
      <c r="G590">
        <v>442</v>
      </c>
    </row>
    <row r="591" spans="1:7">
      <c r="A591" t="s">
        <v>521</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393</v>
      </c>
      <c r="C604">
        <v>318</v>
      </c>
      <c r="G604">
        <v>318</v>
      </c>
    </row>
    <row r="605" spans="1:7">
      <c r="A605" t="s">
        <v>521</v>
      </c>
      <c r="D605">
        <v>461</v>
      </c>
      <c r="E605">
        <v>880</v>
      </c>
      <c r="F605">
        <v>585</v>
      </c>
      <c r="G605">
        <v>1926</v>
      </c>
    </row>
    <row r="606" spans="1:7">
      <c r="A606" t="s">
        <v>526</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521</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515</v>
      </c>
      <c r="D632">
        <v>314</v>
      </c>
      <c r="G632">
        <v>314</v>
      </c>
    </row>
    <row r="633" spans="1:7">
      <c r="A633" t="s">
        <v>529</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515</v>
      </c>
    </row>
    <row r="642" spans="1:7">
      <c r="A642" t="s">
        <v>529</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393</v>
      </c>
      <c r="C651">
        <v>319</v>
      </c>
      <c r="G651">
        <v>319</v>
      </c>
    </row>
    <row r="652" spans="1:7">
      <c r="A652" t="s">
        <v>1044</v>
      </c>
      <c r="B652">
        <v>376</v>
      </c>
      <c r="C652">
        <v>35</v>
      </c>
      <c r="D652">
        <v>48</v>
      </c>
      <c r="E652">
        <v>144</v>
      </c>
      <c r="F652">
        <v>64</v>
      </c>
      <c r="G652">
        <v>667</v>
      </c>
    </row>
    <row r="653" spans="1:7">
      <c r="A653" t="s">
        <v>529</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526</v>
      </c>
      <c r="D665">
        <v>499</v>
      </c>
      <c r="E665">
        <v>231</v>
      </c>
      <c r="F665">
        <v>316</v>
      </c>
      <c r="G665">
        <v>1046</v>
      </c>
    </row>
    <row r="666" spans="1:7">
      <c r="A666" t="s">
        <v>501</v>
      </c>
    </row>
    <row r="667" spans="1:7">
      <c r="A667" t="s">
        <v>1044</v>
      </c>
      <c r="B667">
        <v>141</v>
      </c>
      <c r="D667">
        <v>181</v>
      </c>
      <c r="E667">
        <v>82</v>
      </c>
      <c r="F667">
        <v>96</v>
      </c>
      <c r="G667">
        <v>500</v>
      </c>
    </row>
    <row r="668" spans="1:7">
      <c r="A668" t="s">
        <v>736</v>
      </c>
      <c r="B668">
        <v>343</v>
      </c>
      <c r="C668">
        <v>416</v>
      </c>
      <c r="D668">
        <v>216</v>
      </c>
      <c r="G668">
        <v>975</v>
      </c>
    </row>
    <row r="669" spans="1:7">
      <c r="A669" t="s">
        <v>515</v>
      </c>
      <c r="C669">
        <v>430</v>
      </c>
      <c r="G669">
        <v>430</v>
      </c>
    </row>
    <row r="670" spans="1:7">
      <c r="A670" t="s">
        <v>529</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393</v>
      </c>
      <c r="D684">
        <v>358</v>
      </c>
      <c r="G684">
        <v>358</v>
      </c>
    </row>
    <row r="685" spans="1:7">
      <c r="A685" t="s">
        <v>521</v>
      </c>
      <c r="D685">
        <v>1241</v>
      </c>
      <c r="G685">
        <v>1241</v>
      </c>
    </row>
    <row r="686" spans="1:7">
      <c r="A686" t="s">
        <v>526</v>
      </c>
      <c r="B686">
        <v>503</v>
      </c>
      <c r="C686">
        <v>295</v>
      </c>
      <c r="F686">
        <v>6</v>
      </c>
      <c r="G686">
        <v>804</v>
      </c>
    </row>
    <row r="687" spans="1:7">
      <c r="A687" t="s">
        <v>501</v>
      </c>
      <c r="C687">
        <v>1009</v>
      </c>
      <c r="G687">
        <v>1009</v>
      </c>
    </row>
    <row r="688" spans="1:7">
      <c r="A688" t="s">
        <v>1044</v>
      </c>
      <c r="B688">
        <v>20</v>
      </c>
      <c r="E688">
        <v>250</v>
      </c>
      <c r="F688">
        <v>177</v>
      </c>
      <c r="G688">
        <v>447</v>
      </c>
    </row>
    <row r="689" spans="1:7">
      <c r="A689" t="s">
        <v>529</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393</v>
      </c>
      <c r="E706">
        <v>99</v>
      </c>
      <c r="G706">
        <v>99</v>
      </c>
    </row>
    <row r="707" spans="1:7">
      <c r="A707" t="s">
        <v>521</v>
      </c>
    </row>
    <row r="708" spans="1:7">
      <c r="A708" t="s">
        <v>861</v>
      </c>
    </row>
    <row r="709" spans="1:7">
      <c r="A709" t="s">
        <v>526</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538</v>
      </c>
      <c r="E719">
        <v>903</v>
      </c>
      <c r="G719">
        <v>903</v>
      </c>
    </row>
    <row r="720" spans="1:7">
      <c r="A720" t="s">
        <v>531</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501</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538</v>
      </c>
      <c r="B731">
        <v>254</v>
      </c>
      <c r="C731">
        <v>1686</v>
      </c>
      <c r="D731">
        <v>611</v>
      </c>
      <c r="G731">
        <v>2551</v>
      </c>
    </row>
    <row r="732" spans="1:7">
      <c r="A732" t="s">
        <v>531</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373</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393</v>
      </c>
    </row>
    <row r="743" spans="1:7">
      <c r="A743" t="s">
        <v>521</v>
      </c>
      <c r="D743">
        <v>139</v>
      </c>
      <c r="G743">
        <v>139</v>
      </c>
    </row>
    <row r="744" spans="1:7">
      <c r="A744" t="s">
        <v>526</v>
      </c>
    </row>
    <row r="745" spans="1:7">
      <c r="A745" t="s">
        <v>508</v>
      </c>
      <c r="E745">
        <v>97</v>
      </c>
      <c r="G745">
        <v>97</v>
      </c>
    </row>
    <row r="746" spans="1:7">
      <c r="A746" t="s">
        <v>1049</v>
      </c>
      <c r="B746">
        <v>42</v>
      </c>
      <c r="C746">
        <v>219</v>
      </c>
      <c r="F746">
        <v>70</v>
      </c>
      <c r="G746">
        <v>331</v>
      </c>
    </row>
    <row r="747" spans="1:7">
      <c r="A747" t="s">
        <v>1067</v>
      </c>
    </row>
    <row r="748" spans="1:7">
      <c r="A748" t="s">
        <v>538</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926</v>
      </c>
      <c r="E755">
        <v>754</v>
      </c>
      <c r="G755">
        <v>754</v>
      </c>
    </row>
    <row r="756" spans="1:7">
      <c r="A756" t="s">
        <v>540</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393</v>
      </c>
    </row>
    <row r="763" spans="1:7">
      <c r="A763" t="s">
        <v>521</v>
      </c>
      <c r="B763">
        <v>60</v>
      </c>
      <c r="G763">
        <v>60</v>
      </c>
    </row>
    <row r="764" spans="1:7">
      <c r="A764" t="s">
        <v>505</v>
      </c>
      <c r="E764">
        <v>175</v>
      </c>
      <c r="G764">
        <v>175</v>
      </c>
    </row>
    <row r="765" spans="1:7">
      <c r="A765" t="s">
        <v>1049</v>
      </c>
      <c r="C765">
        <v>224</v>
      </c>
      <c r="G765">
        <v>224</v>
      </c>
    </row>
    <row r="766" spans="1:7">
      <c r="A766" t="s">
        <v>515</v>
      </c>
      <c r="D766">
        <v>406</v>
      </c>
      <c r="G766">
        <v>406</v>
      </c>
    </row>
    <row r="767" spans="1:7">
      <c r="A767" t="s">
        <v>301</v>
      </c>
      <c r="D767">
        <v>362</v>
      </c>
      <c r="E767">
        <v>399</v>
      </c>
      <c r="G767">
        <v>761</v>
      </c>
    </row>
    <row r="768" spans="1:7">
      <c r="A768" t="s">
        <v>937</v>
      </c>
    </row>
    <row r="769" spans="1:7">
      <c r="A769" t="s">
        <v>919</v>
      </c>
    </row>
    <row r="770" spans="1:7">
      <c r="A770" t="s">
        <v>396</v>
      </c>
      <c r="C770">
        <v>120</v>
      </c>
      <c r="D770">
        <v>190</v>
      </c>
      <c r="G770">
        <v>310</v>
      </c>
    </row>
    <row r="771" spans="1:7">
      <c r="A771" t="s">
        <v>373</v>
      </c>
      <c r="B771">
        <v>839</v>
      </c>
      <c r="D771">
        <v>616</v>
      </c>
      <c r="E771">
        <v>969</v>
      </c>
      <c r="F771">
        <v>552</v>
      </c>
      <c r="G771">
        <v>2976</v>
      </c>
    </row>
    <row r="772" spans="1:7">
      <c r="A772" t="s">
        <v>926</v>
      </c>
      <c r="B772">
        <v>1285</v>
      </c>
      <c r="G772">
        <v>1285</v>
      </c>
    </row>
    <row r="773" spans="1:7">
      <c r="A773" t="s">
        <v>540</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543</v>
      </c>
      <c r="C778">
        <v>1231</v>
      </c>
      <c r="D778">
        <v>1538</v>
      </c>
      <c r="E778">
        <v>1377</v>
      </c>
      <c r="G778">
        <v>4146</v>
      </c>
    </row>
    <row r="779" spans="1:7">
      <c r="A779" t="s">
        <v>546</v>
      </c>
      <c r="D779">
        <v>1205</v>
      </c>
      <c r="E779">
        <v>1000</v>
      </c>
      <c r="G779">
        <v>2205</v>
      </c>
    </row>
    <row r="780" spans="1:7">
      <c r="A780" t="s">
        <v>900</v>
      </c>
      <c r="D780">
        <v>240</v>
      </c>
      <c r="E780">
        <v>504</v>
      </c>
      <c r="G780">
        <v>744</v>
      </c>
    </row>
    <row r="781" spans="1:7">
      <c r="A781" t="s">
        <v>1074</v>
      </c>
      <c r="F781">
        <v>4135</v>
      </c>
      <c r="G781">
        <v>4135</v>
      </c>
    </row>
    <row r="782" spans="1:7">
      <c r="A782" t="s">
        <v>399</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393</v>
      </c>
    </row>
    <row r="790" spans="1:7">
      <c r="A790" t="s">
        <v>505</v>
      </c>
      <c r="B790">
        <v>229</v>
      </c>
      <c r="G790">
        <v>229</v>
      </c>
    </row>
    <row r="791" spans="1:7">
      <c r="A791" t="s">
        <v>508</v>
      </c>
      <c r="C791">
        <v>134</v>
      </c>
      <c r="E791">
        <v>450</v>
      </c>
      <c r="F791">
        <v>352</v>
      </c>
      <c r="G791">
        <v>936</v>
      </c>
    </row>
    <row r="792" spans="1:7">
      <c r="A792" t="s">
        <v>1049</v>
      </c>
      <c r="D792">
        <v>201</v>
      </c>
      <c r="F792">
        <v>352</v>
      </c>
      <c r="G792">
        <v>553</v>
      </c>
    </row>
    <row r="793" spans="1:7">
      <c r="A793" t="s">
        <v>515</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543</v>
      </c>
      <c r="B798">
        <v>600</v>
      </c>
      <c r="G798">
        <v>600</v>
      </c>
    </row>
    <row r="799" spans="1:7">
      <c r="A799" t="s">
        <v>546</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399</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554</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505</v>
      </c>
      <c r="E813">
        <v>270</v>
      </c>
      <c r="F813">
        <v>268</v>
      </c>
      <c r="G813">
        <v>538</v>
      </c>
    </row>
    <row r="814" spans="1:7">
      <c r="A814" t="s">
        <v>1043</v>
      </c>
      <c r="D814">
        <v>126</v>
      </c>
      <c r="E814">
        <v>229</v>
      </c>
      <c r="G814">
        <v>355</v>
      </c>
    </row>
    <row r="815" spans="1:7">
      <c r="A815" t="s">
        <v>508</v>
      </c>
      <c r="B815">
        <v>175</v>
      </c>
      <c r="C815">
        <v>270</v>
      </c>
      <c r="G815">
        <v>445</v>
      </c>
    </row>
    <row r="816" spans="1:7">
      <c r="A816" t="s">
        <v>1049</v>
      </c>
      <c r="B816">
        <v>65</v>
      </c>
      <c r="C816">
        <v>55</v>
      </c>
      <c r="G816">
        <v>120</v>
      </c>
    </row>
    <row r="817" spans="1:7">
      <c r="A817" t="s">
        <v>515</v>
      </c>
    </row>
    <row r="818" spans="1:7">
      <c r="A818" t="s">
        <v>396</v>
      </c>
      <c r="E818">
        <v>725</v>
      </c>
      <c r="G818">
        <v>725</v>
      </c>
    </row>
    <row r="819" spans="1:7">
      <c r="A819" t="s">
        <v>373</v>
      </c>
      <c r="B819">
        <v>768</v>
      </c>
      <c r="C819">
        <v>1014</v>
      </c>
      <c r="G819">
        <v>1782</v>
      </c>
    </row>
    <row r="820" spans="1:7">
      <c r="A820" t="s">
        <v>1073</v>
      </c>
      <c r="B820">
        <v>225</v>
      </c>
      <c r="C820">
        <v>1287</v>
      </c>
      <c r="D820">
        <v>1185</v>
      </c>
      <c r="E820">
        <v>508</v>
      </c>
      <c r="G820">
        <v>3205</v>
      </c>
    </row>
    <row r="821" spans="1:7">
      <c r="A821" t="s">
        <v>546</v>
      </c>
      <c r="D821">
        <v>334</v>
      </c>
      <c r="G821">
        <v>334</v>
      </c>
    </row>
    <row r="822" spans="1:7">
      <c r="A822" t="s">
        <v>1074</v>
      </c>
      <c r="C822">
        <v>216</v>
      </c>
      <c r="G822">
        <v>216</v>
      </c>
    </row>
    <row r="823" spans="1:7">
      <c r="A823" t="s">
        <v>399</v>
      </c>
      <c r="B823">
        <v>1088</v>
      </c>
      <c r="C823">
        <v>557</v>
      </c>
      <c r="D823">
        <v>512</v>
      </c>
      <c r="E823">
        <v>369</v>
      </c>
      <c r="G823">
        <v>2526</v>
      </c>
    </row>
    <row r="824" spans="1:7">
      <c r="A824" t="s">
        <v>614</v>
      </c>
      <c r="B824">
        <v>192</v>
      </c>
      <c r="G824">
        <v>192</v>
      </c>
    </row>
    <row r="825" spans="1:7">
      <c r="A825" t="s">
        <v>554</v>
      </c>
      <c r="B825">
        <v>1174</v>
      </c>
      <c r="C825">
        <v>1597</v>
      </c>
      <c r="D825">
        <v>308</v>
      </c>
      <c r="G825">
        <v>3079</v>
      </c>
    </row>
    <row r="826" spans="1:7">
      <c r="A826" t="s">
        <v>939</v>
      </c>
      <c r="B826">
        <v>1545</v>
      </c>
      <c r="C826">
        <v>995</v>
      </c>
      <c r="G826">
        <v>2540</v>
      </c>
    </row>
    <row r="827" spans="1:7">
      <c r="A827" t="s">
        <v>535</v>
      </c>
      <c r="D827">
        <v>333</v>
      </c>
      <c r="G827">
        <v>333</v>
      </c>
    </row>
    <row r="828" spans="1:7">
      <c r="A828" t="s">
        <v>1076</v>
      </c>
      <c r="D828">
        <v>160</v>
      </c>
      <c r="G828">
        <v>160</v>
      </c>
    </row>
    <row r="829" spans="1:7">
      <c r="A829" t="s">
        <v>184</v>
      </c>
      <c r="D829">
        <v>1282</v>
      </c>
      <c r="E829">
        <v>980</v>
      </c>
      <c r="G829">
        <v>2262</v>
      </c>
    </row>
    <row r="830" spans="1:7">
      <c r="A830" t="s">
        <v>376</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373</v>
      </c>
      <c r="D839">
        <v>986</v>
      </c>
      <c r="G839">
        <v>986</v>
      </c>
    </row>
    <row r="840" spans="1:7">
      <c r="A840" t="s">
        <v>1073</v>
      </c>
      <c r="B840">
        <v>916</v>
      </c>
      <c r="C840">
        <v>144</v>
      </c>
      <c r="G840">
        <v>1060</v>
      </c>
    </row>
    <row r="841" spans="1:7">
      <c r="A841" t="s">
        <v>554</v>
      </c>
    </row>
    <row r="842" spans="1:7">
      <c r="A842" t="s">
        <v>939</v>
      </c>
    </row>
    <row r="843" spans="1:7">
      <c r="A843" t="s">
        <v>184</v>
      </c>
      <c r="B843">
        <v>828</v>
      </c>
      <c r="C843">
        <v>150</v>
      </c>
      <c r="E843">
        <v>688</v>
      </c>
      <c r="G843">
        <v>1666</v>
      </c>
    </row>
    <row r="844" spans="1:7">
      <c r="A844" t="s">
        <v>1077</v>
      </c>
      <c r="B844">
        <v>233</v>
      </c>
      <c r="G844">
        <v>233</v>
      </c>
    </row>
    <row r="845" spans="1:7">
      <c r="A845" t="s">
        <v>556</v>
      </c>
      <c r="B845">
        <v>1768</v>
      </c>
      <c r="C845">
        <v>510</v>
      </c>
      <c r="G845">
        <v>2278</v>
      </c>
    </row>
    <row r="846" spans="1:7">
      <c r="A846" t="s">
        <v>513</v>
      </c>
      <c r="B846">
        <v>220</v>
      </c>
      <c r="C846">
        <v>435</v>
      </c>
      <c r="D846">
        <v>227</v>
      </c>
      <c r="E846">
        <v>487</v>
      </c>
      <c r="F846">
        <v>123</v>
      </c>
      <c r="G846">
        <v>1492</v>
      </c>
    </row>
    <row r="847" spans="1:7">
      <c r="A847" t="s">
        <v>379</v>
      </c>
      <c r="B847">
        <v>60</v>
      </c>
      <c r="C847">
        <v>219</v>
      </c>
      <c r="G847">
        <v>279</v>
      </c>
    </row>
    <row r="848" spans="1:7">
      <c r="A848" t="s">
        <v>961</v>
      </c>
      <c r="D848">
        <v>240</v>
      </c>
      <c r="G848">
        <v>240</v>
      </c>
    </row>
    <row r="849" spans="1:7">
      <c r="A849" t="s">
        <v>1078</v>
      </c>
      <c r="C849">
        <v>1603</v>
      </c>
      <c r="D849">
        <v>791</v>
      </c>
      <c r="E849">
        <v>2803</v>
      </c>
      <c r="G849">
        <v>5197</v>
      </c>
    </row>
    <row r="850" spans="1:7">
      <c r="A850" t="s">
        <v>389</v>
      </c>
      <c r="C850">
        <v>927</v>
      </c>
      <c r="D850">
        <v>1221</v>
      </c>
      <c r="E850">
        <v>1023</v>
      </c>
      <c r="G850">
        <v>3171</v>
      </c>
    </row>
    <row r="851" spans="1:7">
      <c r="A851" t="s">
        <v>560</v>
      </c>
      <c r="C851">
        <v>974</v>
      </c>
      <c r="D851">
        <v>1312</v>
      </c>
      <c r="E851">
        <v>359</v>
      </c>
      <c r="G851">
        <v>2645</v>
      </c>
    </row>
    <row r="852" spans="1:7">
      <c r="A852" t="s">
        <v>941</v>
      </c>
      <c r="D852">
        <v>1239</v>
      </c>
      <c r="E852">
        <v>1220</v>
      </c>
      <c r="G852">
        <v>2459</v>
      </c>
    </row>
    <row r="853" spans="1:7">
      <c r="A853" t="s">
        <v>392</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508</v>
      </c>
      <c r="B860">
        <v>153</v>
      </c>
      <c r="C860">
        <v>244</v>
      </c>
      <c r="E860">
        <v>237</v>
      </c>
      <c r="G860">
        <v>634</v>
      </c>
    </row>
    <row r="861" spans="1:7">
      <c r="A861" t="s">
        <v>1049</v>
      </c>
      <c r="B861">
        <v>455</v>
      </c>
      <c r="G861">
        <v>455</v>
      </c>
    </row>
    <row r="862" spans="1:7">
      <c r="A862" t="s">
        <v>515</v>
      </c>
      <c r="B862">
        <v>151</v>
      </c>
      <c r="C862">
        <v>149</v>
      </c>
      <c r="G862">
        <v>300</v>
      </c>
    </row>
    <row r="863" spans="1:7">
      <c r="A863" t="s">
        <v>78</v>
      </c>
      <c r="D863">
        <v>168</v>
      </c>
      <c r="F863">
        <v>34</v>
      </c>
      <c r="G863">
        <v>202</v>
      </c>
    </row>
    <row r="864" spans="1:7">
      <c r="A864" t="s">
        <v>535</v>
      </c>
    </row>
    <row r="865" spans="1:7">
      <c r="A865" t="s">
        <v>513</v>
      </c>
      <c r="C865">
        <v>413</v>
      </c>
      <c r="D865">
        <v>190</v>
      </c>
      <c r="E865">
        <v>1194</v>
      </c>
      <c r="F865">
        <v>306</v>
      </c>
      <c r="G865">
        <v>2103</v>
      </c>
    </row>
    <row r="866" spans="1:7">
      <c r="A866" t="s">
        <v>1078</v>
      </c>
      <c r="B866">
        <v>3343</v>
      </c>
      <c r="C866">
        <v>714</v>
      </c>
      <c r="D866">
        <v>2013</v>
      </c>
      <c r="E866">
        <v>1500</v>
      </c>
      <c r="F866">
        <v>1933</v>
      </c>
      <c r="G866">
        <v>9503</v>
      </c>
    </row>
    <row r="867" spans="1:7">
      <c r="A867" t="s">
        <v>389</v>
      </c>
      <c r="B867">
        <v>1100</v>
      </c>
      <c r="C867">
        <v>527</v>
      </c>
      <c r="D867">
        <v>553</v>
      </c>
      <c r="G867">
        <v>2180</v>
      </c>
    </row>
    <row r="868" spans="1:7">
      <c r="A868" t="s">
        <v>560</v>
      </c>
      <c r="C868">
        <v>230</v>
      </c>
      <c r="G868">
        <v>230</v>
      </c>
    </row>
    <row r="869" spans="1:7">
      <c r="A869" t="s">
        <v>941</v>
      </c>
      <c r="B869">
        <v>853</v>
      </c>
      <c r="G869">
        <v>853</v>
      </c>
    </row>
    <row r="870" spans="1:7">
      <c r="A870" t="s">
        <v>392</v>
      </c>
      <c r="B870">
        <v>1186</v>
      </c>
      <c r="C870">
        <v>1564</v>
      </c>
      <c r="D870">
        <v>1012</v>
      </c>
      <c r="E870">
        <v>588</v>
      </c>
      <c r="G870">
        <v>4350</v>
      </c>
    </row>
    <row r="871" spans="1:7">
      <c r="A871" t="s">
        <v>943</v>
      </c>
      <c r="C871">
        <v>1007</v>
      </c>
      <c r="D871">
        <v>1672</v>
      </c>
      <c r="E871">
        <v>1544</v>
      </c>
      <c r="G871">
        <v>4223</v>
      </c>
    </row>
    <row r="872" spans="1:7">
      <c r="A872" t="s">
        <v>566</v>
      </c>
      <c r="C872">
        <v>1182</v>
      </c>
      <c r="D872">
        <v>1604</v>
      </c>
      <c r="E872">
        <v>1268</v>
      </c>
      <c r="G872">
        <v>4054</v>
      </c>
    </row>
    <row r="873" spans="1:7">
      <c r="A873" t="s">
        <v>402</v>
      </c>
      <c r="D873">
        <v>1624</v>
      </c>
      <c r="E873">
        <v>551</v>
      </c>
      <c r="G873">
        <v>2175</v>
      </c>
    </row>
    <row r="874" spans="1:7">
      <c r="A874" t="s">
        <v>390</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505</v>
      </c>
      <c r="D880">
        <v>171</v>
      </c>
      <c r="G880">
        <v>171</v>
      </c>
    </row>
    <row r="881" spans="1:7">
      <c r="A881" t="s">
        <v>1043</v>
      </c>
      <c r="B881">
        <v>567</v>
      </c>
      <c r="G881">
        <v>567</v>
      </c>
    </row>
    <row r="882" spans="1:7">
      <c r="A882" t="s">
        <v>515</v>
      </c>
    </row>
    <row r="883" spans="1:7">
      <c r="A883" t="s">
        <v>529</v>
      </c>
      <c r="F883">
        <v>60</v>
      </c>
      <c r="G883">
        <v>60</v>
      </c>
    </row>
    <row r="884" spans="1:7">
      <c r="A884" t="s">
        <v>301</v>
      </c>
    </row>
    <row r="885" spans="1:7">
      <c r="A885" t="s">
        <v>373</v>
      </c>
    </row>
    <row r="886" spans="1:7">
      <c r="A886" t="s">
        <v>78</v>
      </c>
      <c r="B886">
        <v>188</v>
      </c>
      <c r="C886">
        <v>140</v>
      </c>
      <c r="G886">
        <v>328</v>
      </c>
    </row>
    <row r="887" spans="1:7">
      <c r="A887" t="s">
        <v>535</v>
      </c>
      <c r="B887">
        <v>270</v>
      </c>
      <c r="C887">
        <v>60</v>
      </c>
      <c r="G887">
        <v>330</v>
      </c>
    </row>
    <row r="888" spans="1:7">
      <c r="A888" t="s">
        <v>556</v>
      </c>
    </row>
    <row r="889" spans="1:7">
      <c r="A889" t="s">
        <v>513</v>
      </c>
      <c r="B889">
        <v>203</v>
      </c>
      <c r="C889">
        <v>996</v>
      </c>
      <c r="D889">
        <v>1147</v>
      </c>
      <c r="E889">
        <v>1053</v>
      </c>
      <c r="F889">
        <v>955</v>
      </c>
      <c r="G889">
        <v>4354</v>
      </c>
    </row>
    <row r="890" spans="1:7">
      <c r="A890" t="s">
        <v>1078</v>
      </c>
      <c r="B890">
        <v>820</v>
      </c>
      <c r="C890">
        <v>2077</v>
      </c>
      <c r="D890">
        <v>1096</v>
      </c>
      <c r="G890">
        <v>3993</v>
      </c>
    </row>
    <row r="891" spans="1:7">
      <c r="A891" t="s">
        <v>389</v>
      </c>
      <c r="C891">
        <v>1647</v>
      </c>
      <c r="D891">
        <v>343</v>
      </c>
      <c r="G891">
        <v>1990</v>
      </c>
    </row>
    <row r="892" spans="1:7">
      <c r="A892" t="s">
        <v>943</v>
      </c>
      <c r="B892">
        <v>587</v>
      </c>
      <c r="C892">
        <v>115</v>
      </c>
      <c r="G892">
        <v>702</v>
      </c>
    </row>
    <row r="893" spans="1:7">
      <c r="A893" t="s">
        <v>558</v>
      </c>
      <c r="C893">
        <v>1509</v>
      </c>
      <c r="D893">
        <v>1087</v>
      </c>
      <c r="E893">
        <v>777</v>
      </c>
      <c r="G893">
        <v>3373</v>
      </c>
    </row>
    <row r="894" spans="1:7">
      <c r="A894" t="s">
        <v>566</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1079</v>
      </c>
      <c r="B897">
        <v>1224</v>
      </c>
      <c r="C897">
        <v>988</v>
      </c>
      <c r="D897">
        <v>2316</v>
      </c>
      <c r="E897">
        <v>2066</v>
      </c>
      <c r="G897">
        <v>6594</v>
      </c>
    </row>
    <row r="898" spans="1:7">
      <c r="A898" t="s">
        <v>552</v>
      </c>
      <c r="C898">
        <v>1678</v>
      </c>
      <c r="E898">
        <v>394</v>
      </c>
      <c r="G898">
        <v>2072</v>
      </c>
    </row>
    <row r="899" spans="1:7">
      <c r="A899" t="s">
        <v>385</v>
      </c>
      <c r="D899">
        <v>3179</v>
      </c>
      <c r="G899">
        <v>3179</v>
      </c>
    </row>
    <row r="900" spans="1:7">
      <c r="A900" t="s">
        <v>579</v>
      </c>
      <c r="E900">
        <v>978</v>
      </c>
      <c r="G900">
        <v>978</v>
      </c>
    </row>
    <row r="901" spans="1:7">
      <c r="A901" t="s">
        <v>440</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531</v>
      </c>
    </row>
    <row r="910" spans="1:7">
      <c r="A910" t="s">
        <v>373</v>
      </c>
    </row>
    <row r="911" spans="1:7">
      <c r="A911" t="s">
        <v>399</v>
      </c>
      <c r="F911">
        <v>569</v>
      </c>
      <c r="G911">
        <v>569</v>
      </c>
    </row>
    <row r="912" spans="1:7">
      <c r="A912" t="s">
        <v>513</v>
      </c>
    </row>
    <row r="913" spans="1:7">
      <c r="A913" t="s">
        <v>379</v>
      </c>
      <c r="D913">
        <v>150</v>
      </c>
      <c r="G913">
        <v>150</v>
      </c>
    </row>
    <row r="914" spans="1:7">
      <c r="A914" t="s">
        <v>392</v>
      </c>
    </row>
    <row r="915" spans="1:7">
      <c r="A915" t="s">
        <v>566</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579</v>
      </c>
      <c r="B919">
        <v>1420</v>
      </c>
      <c r="C919">
        <v>990</v>
      </c>
      <c r="D919">
        <v>549</v>
      </c>
      <c r="G919">
        <v>2959</v>
      </c>
    </row>
    <row r="920" spans="1:7">
      <c r="A920" t="s">
        <v>440</v>
      </c>
      <c r="B920">
        <v>259</v>
      </c>
      <c r="C920">
        <v>1087</v>
      </c>
      <c r="D920">
        <v>2206</v>
      </c>
      <c r="E920">
        <v>453</v>
      </c>
      <c r="G920">
        <v>4005</v>
      </c>
    </row>
    <row r="921" spans="1:7">
      <c r="A921" t="s">
        <v>257</v>
      </c>
      <c r="C921">
        <v>379</v>
      </c>
      <c r="D921">
        <v>208</v>
      </c>
      <c r="G921">
        <v>587</v>
      </c>
    </row>
    <row r="922" spans="1:7">
      <c r="A922" t="s">
        <v>564</v>
      </c>
      <c r="B922">
        <v>579</v>
      </c>
      <c r="C922">
        <v>1120</v>
      </c>
      <c r="D922">
        <v>1488</v>
      </c>
      <c r="E922">
        <v>954</v>
      </c>
      <c r="G922">
        <v>4141</v>
      </c>
    </row>
    <row r="923" spans="1:7">
      <c r="A923" t="s">
        <v>1080</v>
      </c>
      <c r="B923">
        <v>365</v>
      </c>
      <c r="G923">
        <v>365</v>
      </c>
    </row>
    <row r="924" spans="1:7">
      <c r="A924" t="s">
        <v>404</v>
      </c>
      <c r="B924">
        <v>207</v>
      </c>
      <c r="G924">
        <v>207</v>
      </c>
    </row>
    <row r="925" spans="1:7">
      <c r="A925" t="s">
        <v>99</v>
      </c>
      <c r="C925">
        <v>1691</v>
      </c>
      <c r="D925">
        <v>1998</v>
      </c>
      <c r="E925">
        <v>760</v>
      </c>
      <c r="F925">
        <v>3975</v>
      </c>
      <c r="G925">
        <v>8424</v>
      </c>
    </row>
    <row r="926" spans="1:7">
      <c r="A926" t="s">
        <v>582</v>
      </c>
      <c r="D926">
        <v>1031</v>
      </c>
      <c r="G926">
        <v>1031</v>
      </c>
    </row>
    <row r="927" spans="1:7">
      <c r="A927" t="s">
        <v>401</v>
      </c>
      <c r="E927">
        <v>1063</v>
      </c>
      <c r="F927">
        <v>1263</v>
      </c>
      <c r="G927">
        <v>2326</v>
      </c>
    </row>
    <row r="928" spans="1:7">
      <c r="A928" t="s">
        <v>511</v>
      </c>
      <c r="F928">
        <v>451</v>
      </c>
      <c r="G928">
        <v>451</v>
      </c>
    </row>
    <row r="929" spans="1:7">
      <c r="A929" t="s">
        <v>460</v>
      </c>
      <c r="B929">
        <v>3266</v>
      </c>
      <c r="C929">
        <v>3910</v>
      </c>
      <c r="D929">
        <v>346</v>
      </c>
      <c r="G929">
        <v>7522</v>
      </c>
    </row>
    <row r="930" spans="1:7">
      <c r="A930" t="s">
        <v>335</v>
      </c>
      <c r="C930">
        <v>372</v>
      </c>
      <c r="D930">
        <v>656</v>
      </c>
      <c r="G930">
        <v>1028</v>
      </c>
    </row>
    <row r="931" spans="1:7">
      <c r="A931" t="s">
        <v>451</v>
      </c>
      <c r="D931">
        <v>2985</v>
      </c>
      <c r="E931">
        <v>2373</v>
      </c>
      <c r="G931">
        <v>5358</v>
      </c>
    </row>
    <row r="932" spans="1:7">
      <c r="A932" t="s">
        <v>478</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376</v>
      </c>
    </row>
    <row r="940" spans="1:7">
      <c r="A940" t="s">
        <v>513</v>
      </c>
      <c r="B940">
        <v>560</v>
      </c>
      <c r="G940">
        <v>560</v>
      </c>
    </row>
    <row r="941" spans="1:7">
      <c r="A941" t="s">
        <v>392</v>
      </c>
    </row>
    <row r="942" spans="1:7">
      <c r="A942" t="s">
        <v>566</v>
      </c>
      <c r="B942">
        <v>138</v>
      </c>
      <c r="G942">
        <v>138</v>
      </c>
    </row>
    <row r="943" spans="1:7">
      <c r="A943" t="s">
        <v>390</v>
      </c>
    </row>
    <row r="944" spans="1:7">
      <c r="A944" t="s">
        <v>385</v>
      </c>
      <c r="B944">
        <v>96</v>
      </c>
      <c r="G944">
        <v>96</v>
      </c>
    </row>
    <row r="945" spans="1:7">
      <c r="A945" t="s">
        <v>579</v>
      </c>
      <c r="B945">
        <v>632</v>
      </c>
      <c r="G945">
        <v>632</v>
      </c>
    </row>
    <row r="946" spans="1:7">
      <c r="A946" t="s">
        <v>440</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478</v>
      </c>
      <c r="B949">
        <v>4084</v>
      </c>
      <c r="D949">
        <v>242</v>
      </c>
      <c r="G949">
        <v>4326</v>
      </c>
    </row>
    <row r="950" spans="1:7">
      <c r="A950" t="s">
        <v>1081</v>
      </c>
      <c r="B950">
        <v>748</v>
      </c>
      <c r="C950">
        <v>1062</v>
      </c>
      <c r="G950">
        <v>1810</v>
      </c>
    </row>
    <row r="951" spans="1:7">
      <c r="A951" t="s">
        <v>387</v>
      </c>
      <c r="B951">
        <v>435</v>
      </c>
      <c r="E951">
        <v>1123</v>
      </c>
      <c r="G951">
        <v>1558</v>
      </c>
    </row>
    <row r="952" spans="1:7">
      <c r="A952" t="s">
        <v>422</v>
      </c>
      <c r="D952">
        <v>1580</v>
      </c>
      <c r="E952">
        <v>1258</v>
      </c>
      <c r="G952">
        <v>2838</v>
      </c>
    </row>
    <row r="953" spans="1:7">
      <c r="A953" t="s">
        <v>562</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470</v>
      </c>
      <c r="D956">
        <v>1264</v>
      </c>
      <c r="E956">
        <v>1281</v>
      </c>
      <c r="G956">
        <v>2545</v>
      </c>
    </row>
    <row r="957" spans="1:7">
      <c r="A957" t="s">
        <v>1082</v>
      </c>
    </row>
    <row r="958" spans="1:7">
      <c r="A958" t="s">
        <v>483</v>
      </c>
      <c r="D958">
        <v>3678</v>
      </c>
      <c r="E958">
        <v>3382</v>
      </c>
      <c r="G958">
        <v>7060</v>
      </c>
    </row>
    <row r="959" spans="1:7">
      <c r="A959" t="s">
        <v>1083</v>
      </c>
      <c r="F959">
        <v>1505</v>
      </c>
      <c r="G959">
        <v>1505</v>
      </c>
    </row>
    <row r="960" spans="1:7">
      <c r="A960" t="s">
        <v>369</v>
      </c>
      <c r="E960">
        <v>424</v>
      </c>
      <c r="G960">
        <v>424</v>
      </c>
    </row>
    <row r="961" spans="1:7">
      <c r="A961" t="s">
        <v>485</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513</v>
      </c>
      <c r="C970">
        <v>17</v>
      </c>
      <c r="G970">
        <v>17</v>
      </c>
    </row>
    <row r="971" spans="1:7">
      <c r="A971" t="s">
        <v>566</v>
      </c>
    </row>
    <row r="972" spans="1:7">
      <c r="A972" t="s">
        <v>440</v>
      </c>
      <c r="B972">
        <v>127</v>
      </c>
      <c r="G972">
        <v>127</v>
      </c>
    </row>
    <row r="973" spans="1:7">
      <c r="A973" t="s">
        <v>257</v>
      </c>
      <c r="B973">
        <v>420</v>
      </c>
      <c r="G973">
        <v>420</v>
      </c>
    </row>
    <row r="974" spans="1:7">
      <c r="A974" t="s">
        <v>582</v>
      </c>
    </row>
    <row r="975" spans="1:7">
      <c r="A975" t="s">
        <v>387</v>
      </c>
      <c r="C975">
        <v>1917</v>
      </c>
      <c r="E975">
        <v>272</v>
      </c>
      <c r="G975">
        <v>2189</v>
      </c>
    </row>
    <row r="976" spans="1:7">
      <c r="A976" t="s">
        <v>562</v>
      </c>
      <c r="B976">
        <v>956</v>
      </c>
      <c r="G976">
        <v>956</v>
      </c>
    </row>
    <row r="977" spans="1:7">
      <c r="A977" t="s">
        <v>244</v>
      </c>
      <c r="E977">
        <v>195</v>
      </c>
      <c r="G977">
        <v>195</v>
      </c>
    </row>
    <row r="978" spans="1:7">
      <c r="A978" t="s">
        <v>416</v>
      </c>
      <c r="B978">
        <v>1449</v>
      </c>
      <c r="G978">
        <v>1449</v>
      </c>
    </row>
    <row r="979" spans="1:7">
      <c r="A979" t="s">
        <v>470</v>
      </c>
      <c r="B979">
        <v>1662</v>
      </c>
      <c r="C979">
        <v>2684</v>
      </c>
      <c r="F979">
        <v>51</v>
      </c>
      <c r="G979">
        <v>4397</v>
      </c>
    </row>
    <row r="980" spans="1:7">
      <c r="A980" t="s">
        <v>480</v>
      </c>
      <c r="B980">
        <v>5466</v>
      </c>
      <c r="E980">
        <v>2252</v>
      </c>
      <c r="G980">
        <v>7718</v>
      </c>
    </row>
    <row r="981" spans="1:7">
      <c r="A981" t="s">
        <v>1083</v>
      </c>
      <c r="B981">
        <v>907</v>
      </c>
      <c r="G981">
        <v>907</v>
      </c>
    </row>
    <row r="982" spans="1:7">
      <c r="A982" t="s">
        <v>369</v>
      </c>
      <c r="E982">
        <v>313</v>
      </c>
      <c r="F982">
        <v>3007</v>
      </c>
      <c r="G982">
        <v>3320</v>
      </c>
    </row>
    <row r="983" spans="1:7">
      <c r="A983" t="s">
        <v>485</v>
      </c>
      <c r="B983">
        <v>1498</v>
      </c>
      <c r="C983">
        <v>3613</v>
      </c>
      <c r="E983">
        <v>1027</v>
      </c>
      <c r="F983">
        <v>490</v>
      </c>
      <c r="G983">
        <v>6628</v>
      </c>
    </row>
    <row r="984" spans="1:7">
      <c r="A984" t="s">
        <v>1084</v>
      </c>
      <c r="B984">
        <v>1505</v>
      </c>
      <c r="C984">
        <v>1518</v>
      </c>
      <c r="D984">
        <v>1968</v>
      </c>
      <c r="E984">
        <v>345</v>
      </c>
      <c r="F984">
        <v>375</v>
      </c>
      <c r="G984">
        <v>5711</v>
      </c>
    </row>
    <row r="985" spans="1:7">
      <c r="A985" t="s">
        <v>571</v>
      </c>
      <c r="B985">
        <v>1471</v>
      </c>
      <c r="G985">
        <v>1471</v>
      </c>
    </row>
    <row r="986" spans="1:7">
      <c r="A986" t="s">
        <v>568</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382</v>
      </c>
      <c r="C993">
        <v>136</v>
      </c>
      <c r="D993">
        <v>170</v>
      </c>
      <c r="F993">
        <v>15</v>
      </c>
      <c r="G993">
        <v>321</v>
      </c>
    </row>
    <row r="994" spans="1:7">
      <c r="A994" t="s">
        <v>488</v>
      </c>
      <c r="E994">
        <v>1420</v>
      </c>
      <c r="F994">
        <v>3043</v>
      </c>
      <c r="G994">
        <v>4463</v>
      </c>
    </row>
    <row r="995" spans="1:7">
      <c r="A995" t="s">
        <v>343</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505</v>
      </c>
      <c r="C1005">
        <v>68</v>
      </c>
      <c r="G1005">
        <v>68</v>
      </c>
    </row>
    <row r="1006" spans="1:7">
      <c r="A1006" t="s">
        <v>1068</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460</v>
      </c>
    </row>
    <row r="1014" spans="1:7">
      <c r="A1014" t="s">
        <v>335</v>
      </c>
      <c r="C1014">
        <v>1175</v>
      </c>
      <c r="G1014">
        <v>1175</v>
      </c>
    </row>
    <row r="1015" spans="1:7">
      <c r="A1015" t="s">
        <v>451</v>
      </c>
      <c r="C1015">
        <v>996</v>
      </c>
      <c r="G1015">
        <v>996</v>
      </c>
    </row>
    <row r="1016" spans="1:7">
      <c r="A1016" t="s">
        <v>387</v>
      </c>
      <c r="B1016">
        <v>900</v>
      </c>
      <c r="G1016">
        <v>900</v>
      </c>
    </row>
    <row r="1017" spans="1:7">
      <c r="A1017" t="s">
        <v>422</v>
      </c>
    </row>
    <row r="1018" spans="1:7">
      <c r="A1018" t="s">
        <v>562</v>
      </c>
    </row>
    <row r="1019" spans="1:7">
      <c r="A1019" t="s">
        <v>1084</v>
      </c>
      <c r="B1019">
        <v>2805</v>
      </c>
      <c r="C1019">
        <v>1397</v>
      </c>
      <c r="G1019">
        <v>4202</v>
      </c>
    </row>
    <row r="1020" spans="1:7">
      <c r="A1020" t="s">
        <v>571</v>
      </c>
      <c r="B1020">
        <v>665</v>
      </c>
      <c r="C1020">
        <v>1360</v>
      </c>
      <c r="D1020">
        <v>1024</v>
      </c>
      <c r="G1020">
        <v>3049</v>
      </c>
    </row>
    <row r="1021" spans="1:7">
      <c r="A1021" t="s">
        <v>568</v>
      </c>
      <c r="B1021">
        <v>805</v>
      </c>
      <c r="G1021">
        <v>805</v>
      </c>
    </row>
    <row r="1022" spans="1:7">
      <c r="A1022" t="s">
        <v>425</v>
      </c>
      <c r="B1022">
        <v>572</v>
      </c>
      <c r="G1022">
        <v>572</v>
      </c>
    </row>
    <row r="1023" spans="1:7">
      <c r="A1023" t="s">
        <v>1086</v>
      </c>
      <c r="B1023">
        <v>1718</v>
      </c>
      <c r="C1023">
        <v>2478</v>
      </c>
      <c r="D1023">
        <v>1567</v>
      </c>
      <c r="G1023">
        <v>5763</v>
      </c>
    </row>
    <row r="1024" spans="1:7">
      <c r="A1024" t="s">
        <v>488</v>
      </c>
      <c r="C1024">
        <v>3411</v>
      </c>
      <c r="G1024">
        <v>3411</v>
      </c>
    </row>
    <row r="1025" spans="1:7">
      <c r="A1025" t="s">
        <v>230</v>
      </c>
      <c r="B1025">
        <v>82</v>
      </c>
      <c r="G1025">
        <v>82</v>
      </c>
    </row>
    <row r="1026" spans="1:7">
      <c r="A1026" t="s">
        <v>343</v>
      </c>
      <c r="C1026">
        <v>3311</v>
      </c>
      <c r="G1026">
        <v>3311</v>
      </c>
    </row>
    <row r="1027" spans="1:7">
      <c r="A1027" t="s">
        <v>454</v>
      </c>
    </row>
    <row r="1028" spans="1:7">
      <c r="A1028" t="s">
        <v>419</v>
      </c>
      <c r="C1028">
        <v>2568</v>
      </c>
      <c r="G1028">
        <v>2568</v>
      </c>
    </row>
    <row r="1029" spans="1:7">
      <c r="A1029" t="s">
        <v>431</v>
      </c>
      <c r="B1029">
        <v>286</v>
      </c>
      <c r="C1029">
        <v>357</v>
      </c>
      <c r="D1029">
        <v>331</v>
      </c>
      <c r="G1029">
        <v>974</v>
      </c>
    </row>
    <row r="1030" spans="1:7">
      <c r="A1030" t="s">
        <v>413</v>
      </c>
      <c r="B1030">
        <v>1655</v>
      </c>
      <c r="C1030">
        <v>2537</v>
      </c>
      <c r="G1030">
        <v>4192</v>
      </c>
    </row>
    <row r="1031" spans="1:7">
      <c r="A1031" t="s">
        <v>472</v>
      </c>
      <c r="C1031">
        <v>2382</v>
      </c>
      <c r="G1031">
        <v>2382</v>
      </c>
    </row>
    <row r="1032" spans="1:7">
      <c r="A1032" t="s">
        <v>574</v>
      </c>
      <c r="C1032">
        <v>1100</v>
      </c>
      <c r="D1032">
        <v>855</v>
      </c>
      <c r="G1032">
        <v>1955</v>
      </c>
    </row>
    <row r="1033" spans="1:7">
      <c r="A1033" t="s">
        <v>1087</v>
      </c>
      <c r="C1033">
        <v>486</v>
      </c>
      <c r="G1033">
        <v>486</v>
      </c>
    </row>
    <row r="1034" spans="1:7">
      <c r="A1034" t="s">
        <v>491</v>
      </c>
      <c r="C1034">
        <v>3634</v>
      </c>
      <c r="G1034">
        <v>3634</v>
      </c>
    </row>
    <row r="1035" spans="1:7">
      <c r="A1035" t="s">
        <v>1088</v>
      </c>
      <c r="D1035">
        <v>955</v>
      </c>
      <c r="G1035">
        <v>955</v>
      </c>
    </row>
    <row r="1036" spans="1:7">
      <c r="A1036" t="s">
        <v>1089</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564</v>
      </c>
      <c r="C1051">
        <v>175</v>
      </c>
      <c r="G1051">
        <v>175</v>
      </c>
    </row>
    <row r="1052" spans="1:7">
      <c r="A1052" t="s">
        <v>99</v>
      </c>
      <c r="B1052">
        <v>602</v>
      </c>
      <c r="C1052">
        <v>1069</v>
      </c>
      <c r="D1052">
        <v>1129</v>
      </c>
      <c r="E1052">
        <v>1041</v>
      </c>
      <c r="F1052">
        <v>1824</v>
      </c>
      <c r="G1052">
        <v>5665</v>
      </c>
    </row>
    <row r="1053" spans="1:7">
      <c r="A1053" t="s">
        <v>335</v>
      </c>
      <c r="B1053">
        <v>1515</v>
      </c>
      <c r="G1053">
        <v>1515</v>
      </c>
    </row>
    <row r="1054" spans="1:7">
      <c r="A1054" t="s">
        <v>480</v>
      </c>
      <c r="E1054">
        <v>64</v>
      </c>
      <c r="G1054">
        <v>64</v>
      </c>
    </row>
    <row r="1055" spans="1:7">
      <c r="A1055" t="s">
        <v>483</v>
      </c>
    </row>
    <row r="1056" spans="1:7">
      <c r="A1056" t="s">
        <v>571</v>
      </c>
      <c r="B1056">
        <v>1610</v>
      </c>
      <c r="G1056">
        <v>1610</v>
      </c>
    </row>
    <row r="1057" spans="1:7">
      <c r="A1057" t="s">
        <v>568</v>
      </c>
    </row>
    <row r="1058" spans="1:7">
      <c r="A1058" t="s">
        <v>488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472</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491</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366</v>
      </c>
      <c r="B1067">
        <v>1829</v>
      </c>
      <c r="C1067">
        <v>2302</v>
      </c>
      <c r="D1067">
        <v>694</v>
      </c>
      <c r="G1067">
        <v>4825</v>
      </c>
    </row>
    <row r="1068" spans="1:7">
      <c r="A1068" t="s">
        <v>475</v>
      </c>
      <c r="B1068">
        <v>1391</v>
      </c>
      <c r="C1068">
        <v>2916</v>
      </c>
      <c r="D1068">
        <v>2430</v>
      </c>
      <c r="G1068">
        <v>6737</v>
      </c>
    </row>
    <row r="1069" spans="1:7">
      <c r="A1069" t="s">
        <v>149</v>
      </c>
      <c r="D1069">
        <v>466</v>
      </c>
      <c r="E1069">
        <v>345</v>
      </c>
      <c r="G1069">
        <v>811</v>
      </c>
    </row>
    <row r="1070" spans="1:7">
      <c r="A1070" t="s">
        <v>428</v>
      </c>
      <c r="E1070">
        <v>1431</v>
      </c>
      <c r="G1070">
        <v>1431</v>
      </c>
    </row>
    <row r="1071" spans="1:7">
      <c r="A1071" t="s">
        <v>549</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571</v>
      </c>
    </row>
    <row r="1085" spans="1:7">
      <c r="A1085" t="s">
        <v>419</v>
      </c>
      <c r="B1085">
        <v>428</v>
      </c>
      <c r="G1085">
        <v>428</v>
      </c>
    </row>
    <row r="1086" spans="1:7">
      <c r="A1086" t="s">
        <v>1088</v>
      </c>
    </row>
    <row r="1087" spans="1:7">
      <c r="A1087" t="s">
        <v>1090</v>
      </c>
      <c r="C1087">
        <v>265</v>
      </c>
      <c r="D1087">
        <v>542</v>
      </c>
      <c r="E1087">
        <v>739</v>
      </c>
      <c r="G1087">
        <v>1546</v>
      </c>
    </row>
    <row r="1088" spans="1:7">
      <c r="A1088" t="s">
        <v>366</v>
      </c>
      <c r="D1088">
        <v>91</v>
      </c>
      <c r="G1088">
        <v>91</v>
      </c>
    </row>
    <row r="1089" spans="1:7">
      <c r="A1089" t="s">
        <v>149</v>
      </c>
      <c r="B1089">
        <v>1172</v>
      </c>
      <c r="G1089">
        <v>1172</v>
      </c>
    </row>
    <row r="1090" spans="1:7">
      <c r="A1090" t="s">
        <v>428</v>
      </c>
      <c r="B1090">
        <v>1583</v>
      </c>
      <c r="C1090">
        <v>1325</v>
      </c>
      <c r="D1090">
        <v>621</v>
      </c>
      <c r="G1090">
        <v>3529</v>
      </c>
    </row>
    <row r="1091" spans="1:7">
      <c r="A1091" t="s">
        <v>549</v>
      </c>
    </row>
    <row r="1092" spans="1:7">
      <c r="A1092" t="s">
        <v>1091</v>
      </c>
      <c r="B1092">
        <v>640</v>
      </c>
      <c r="C1092">
        <v>541</v>
      </c>
      <c r="D1092">
        <v>330</v>
      </c>
      <c r="E1092">
        <v>520</v>
      </c>
      <c r="F1092">
        <v>550</v>
      </c>
      <c r="G1092">
        <v>2581</v>
      </c>
    </row>
    <row r="1093" spans="1:7">
      <c r="A1093" t="s">
        <v>496</v>
      </c>
      <c r="B1093">
        <v>2855</v>
      </c>
      <c r="C1093">
        <v>3343</v>
      </c>
      <c r="D1093">
        <v>931</v>
      </c>
      <c r="G1093">
        <v>7129</v>
      </c>
    </row>
    <row r="1094" spans="1:7">
      <c r="A1094" t="s">
        <v>352</v>
      </c>
      <c r="C1094">
        <v>1743</v>
      </c>
      <c r="D1094">
        <v>522</v>
      </c>
      <c r="E1094">
        <v>1194</v>
      </c>
      <c r="F1094">
        <v>2811</v>
      </c>
      <c r="G1094">
        <v>6270</v>
      </c>
    </row>
    <row r="1095" spans="1:7">
      <c r="A1095" t="s">
        <v>1093</v>
      </c>
    </row>
    <row r="1096" spans="1:7">
      <c r="A1096" t="s">
        <v>407</v>
      </c>
      <c r="C1096">
        <v>1640</v>
      </c>
      <c r="D1096">
        <v>1177</v>
      </c>
      <c r="G1096">
        <v>2817</v>
      </c>
    </row>
    <row r="1097" spans="1:7">
      <c r="A1097" t="s">
        <v>493</v>
      </c>
      <c r="C1097">
        <v>1980</v>
      </c>
      <c r="D1097">
        <v>1251</v>
      </c>
      <c r="E1097">
        <v>3172</v>
      </c>
      <c r="G1097">
        <v>6403</v>
      </c>
    </row>
    <row r="1098" spans="1:7">
      <c r="A1098" t="s">
        <v>349</v>
      </c>
      <c r="C1098">
        <v>1111</v>
      </c>
      <c r="D1098">
        <v>1373</v>
      </c>
      <c r="E1098">
        <v>1090</v>
      </c>
      <c r="G1098">
        <v>3574</v>
      </c>
    </row>
    <row r="1099" spans="1:7">
      <c r="A1099" t="s">
        <v>144</v>
      </c>
      <c r="C1099">
        <v>1500</v>
      </c>
      <c r="D1099">
        <v>1084</v>
      </c>
      <c r="G1099">
        <v>2584</v>
      </c>
    </row>
    <row r="1100" spans="1:7">
      <c r="A1100" t="s">
        <v>410</v>
      </c>
      <c r="D1100">
        <v>817</v>
      </c>
      <c r="E1100">
        <v>1820</v>
      </c>
      <c r="G1100">
        <v>2637</v>
      </c>
    </row>
    <row r="1101" spans="1:7">
      <c r="A1101" t="s">
        <v>140</v>
      </c>
      <c r="E1101">
        <v>1351</v>
      </c>
      <c r="G1101">
        <v>1351</v>
      </c>
    </row>
    <row r="1102" spans="1:7">
      <c r="A1102" t="s">
        <v>321</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460</v>
      </c>
    </row>
    <row r="1111" spans="1:3">
      <c r="A1111" t="s">
        <v>571</v>
      </c>
    </row>
    <row r="1112" spans="1:3">
      <c r="A1112" t="s">
        <v>1090</v>
      </c>
    </row>
    <row r="1113" spans="1:3">
      <c r="A1113" t="s">
        <v>1091</v>
      </c>
      <c r="B1113">
        <v>752</v>
      </c>
      <c r="C1113">
        <v>752</v>
      </c>
    </row>
    <row r="1114" spans="1:3">
      <c r="A1114" t="s">
        <v>493</v>
      </c>
    </row>
    <row r="1115" spans="1:3">
      <c r="A1115" t="s">
        <v>140</v>
      </c>
      <c r="B1115">
        <v>496</v>
      </c>
      <c r="C1115">
        <v>496</v>
      </c>
    </row>
    <row r="1116" spans="1:3">
      <c r="A1116" t="s">
        <v>321</v>
      </c>
    </row>
    <row r="1117" spans="1:3">
      <c r="A1117" t="s">
        <v>136</v>
      </c>
      <c r="B1117">
        <v>1095</v>
      </c>
      <c r="C1117">
        <v>1095</v>
      </c>
    </row>
    <row r="1118" spans="1:3">
      <c r="A1118" t="s">
        <v>152</v>
      </c>
      <c r="B1118">
        <v>1344</v>
      </c>
      <c r="C1118">
        <v>1344</v>
      </c>
    </row>
    <row r="1119" spans="1:3">
      <c r="A1119" t="s">
        <v>250</v>
      </c>
    </row>
    <row r="1120" spans="1:3">
      <c r="A1120" t="s">
        <v>330</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393</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393</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393</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393</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521</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393</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518</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393</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518</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526</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518</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526</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518</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501</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501</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526</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518</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526</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518</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519</v>
      </c>
      <c r="C882" s="56">
        <v>45758</v>
      </c>
      <c r="E882" s="43"/>
      <c r="F882" s="141" t="s">
        <v>1294</v>
      </c>
      <c r="G882" t="str">
        <f t="shared" si="13"/>
        <v>April</v>
      </c>
    </row>
    <row r="883" spans="1:7">
      <c r="A883" s="141" t="s">
        <v>870</v>
      </c>
      <c r="B883" s="141" t="s">
        <v>519</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519</v>
      </c>
      <c r="C894" s="56">
        <v>45761</v>
      </c>
      <c r="E894" s="43"/>
      <c r="G894" t="str">
        <f t="shared" si="13"/>
        <v>April</v>
      </c>
    </row>
    <row r="895" spans="1:7">
      <c r="A895" s="141" t="s">
        <v>870</v>
      </c>
      <c r="B895" s="141" t="s">
        <v>519</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519</v>
      </c>
      <c r="C905" s="56">
        <v>45762</v>
      </c>
      <c r="E905" s="43"/>
      <c r="F905" s="141" t="s">
        <v>1306</v>
      </c>
      <c r="G905" t="str">
        <f t="shared" si="14"/>
        <v>April</v>
      </c>
    </row>
    <row r="906" spans="1:7">
      <c r="A906" s="141" t="s">
        <v>870</v>
      </c>
      <c r="B906" s="141" t="s">
        <v>519</v>
      </c>
      <c r="C906" s="56">
        <v>45762</v>
      </c>
      <c r="E906" s="43"/>
      <c r="F906" s="141" t="s">
        <v>1306</v>
      </c>
      <c r="G906" t="str">
        <f t="shared" si="14"/>
        <v>April</v>
      </c>
    </row>
    <row r="907" spans="1:7">
      <c r="A907" s="141" t="s">
        <v>845</v>
      </c>
      <c r="B907" s="141" t="s">
        <v>519</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519</v>
      </c>
      <c r="C920" s="56">
        <v>45763</v>
      </c>
      <c r="E920" s="43"/>
      <c r="F920" s="141" t="s">
        <v>1168</v>
      </c>
      <c r="G920" t="str">
        <f t="shared" si="14"/>
        <v>April</v>
      </c>
    </row>
    <row r="921" spans="1:7">
      <c r="A921" s="141" t="s">
        <v>845</v>
      </c>
      <c r="B921" s="141" t="s">
        <v>519</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519</v>
      </c>
      <c r="C946" s="56">
        <v>45765</v>
      </c>
      <c r="E946" s="43"/>
      <c r="F946" s="306" t="s">
        <v>1328</v>
      </c>
      <c r="G946" t="str">
        <f t="shared" si="14"/>
        <v>April</v>
      </c>
    </row>
    <row r="947" spans="1:7">
      <c r="A947" s="311" t="s">
        <v>845</v>
      </c>
      <c r="B947" s="311" t="s">
        <v>519</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519</v>
      </c>
      <c r="C959" s="56">
        <v>45768</v>
      </c>
      <c r="E959" s="43"/>
      <c r="F959" s="311" t="s">
        <v>1328</v>
      </c>
      <c r="G959" t="str">
        <f t="shared" si="15"/>
        <v>April</v>
      </c>
    </row>
    <row r="960" spans="1:7">
      <c r="A960" s="315" t="s">
        <v>870</v>
      </c>
      <c r="B960" s="141" t="s">
        <v>519</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505</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505</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501</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501</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508</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434</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434</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434</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524</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524</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434</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434</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434</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501</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434</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501</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518</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434</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501</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518</v>
      </c>
      <c r="B1296" s="141" t="s">
        <v>596</v>
      </c>
      <c r="C1296" s="56">
        <v>45834</v>
      </c>
      <c r="D1296" s="43">
        <v>676</v>
      </c>
      <c r="F1296" s="43" t="s">
        <v>1465</v>
      </c>
      <c r="G1296" t="s">
        <v>1472</v>
      </c>
    </row>
    <row r="1297" spans="1:7">
      <c r="A1297" s="141" t="s">
        <v>628</v>
      </c>
      <c r="B1297" s="141" t="s">
        <v>394</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518</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518</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434</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518</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518</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518</v>
      </c>
      <c r="B1316" s="317" t="s">
        <v>596</v>
      </c>
      <c r="C1316" s="56">
        <v>45841</v>
      </c>
      <c r="D1316" s="43">
        <v>372</v>
      </c>
      <c r="F1316" s="115" t="s">
        <v>1151</v>
      </c>
      <c r="G1316" t="s">
        <v>1505</v>
      </c>
    </row>
    <row r="1317" spans="1:7" ht="15.75">
      <c r="A1317" s="141" t="s">
        <v>518</v>
      </c>
      <c r="B1317" s="317" t="s">
        <v>394</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518</v>
      </c>
      <c r="B1322" s="157" t="s">
        <v>394</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526</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521</v>
      </c>
      <c r="B1331" s="157" t="s">
        <v>394</v>
      </c>
      <c r="C1331" s="56">
        <v>45849</v>
      </c>
      <c r="D1331" s="43">
        <v>198</v>
      </c>
      <c r="G1331" t="s">
        <v>1505</v>
      </c>
    </row>
    <row r="1332" spans="1:7">
      <c r="A1332" s="247" t="s">
        <v>958</v>
      </c>
      <c r="B1332" s="398" t="s">
        <v>1025</v>
      </c>
      <c r="C1332" s="56">
        <v>45852</v>
      </c>
      <c r="F1332" s="43" t="s">
        <v>1168</v>
      </c>
      <c r="G1332" t="s">
        <v>1505</v>
      </c>
    </row>
    <row r="1333" spans="1:7">
      <c r="A1333" s="617" t="s">
        <v>521</v>
      </c>
      <c r="B1333" s="157" t="s">
        <v>394</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393</v>
      </c>
      <c r="B1337" s="157" t="s">
        <v>394</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393</v>
      </c>
      <c r="B1343" s="318" t="s">
        <v>394</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393</v>
      </c>
      <c r="B1354" s="157" t="s">
        <v>394</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393</v>
      </c>
      <c r="B1361" s="157" t="s">
        <v>394</v>
      </c>
      <c r="C1361" s="56">
        <v>45860</v>
      </c>
      <c r="D1361" s="43">
        <v>318</v>
      </c>
      <c r="G1361" t="s">
        <v>1505</v>
      </c>
    </row>
    <row r="1362" spans="1:7">
      <c r="A1362" s="247" t="s">
        <v>1064</v>
      </c>
      <c r="B1362" s="157" t="s">
        <v>394</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521</v>
      </c>
      <c r="B1370" s="157" t="s">
        <v>394</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521</v>
      </c>
      <c r="B1378" s="318" t="s">
        <v>394</v>
      </c>
      <c r="C1378" s="56">
        <v>45862</v>
      </c>
      <c r="D1378" s="43">
        <v>880</v>
      </c>
      <c r="G1378" t="s">
        <v>1505</v>
      </c>
    </row>
    <row r="1379" spans="1:7">
      <c r="A1379" s="324" t="s">
        <v>526</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521</v>
      </c>
      <c r="B1386" s="157" t="s">
        <v>394</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521</v>
      </c>
      <c r="B1392" s="157" t="s">
        <v>394</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515</v>
      </c>
      <c r="B1402" s="318" t="s">
        <v>394</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529</v>
      </c>
      <c r="B1407" s="157" t="s">
        <v>394</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529</v>
      </c>
      <c r="B1411" s="157" t="s">
        <v>394</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529</v>
      </c>
      <c r="B1415" s="311" t="s">
        <v>394</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529</v>
      </c>
      <c r="B1418" s="311" t="s">
        <v>394</v>
      </c>
      <c r="C1418" s="56">
        <v>45875</v>
      </c>
      <c r="D1418" s="43">
        <v>840</v>
      </c>
      <c r="G1418" t="s">
        <v>1544</v>
      </c>
    </row>
    <row r="1419" spans="1:7">
      <c r="A1419" s="141" t="s">
        <v>515</v>
      </c>
      <c r="B1419" s="550" t="s">
        <v>394</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529</v>
      </c>
      <c r="B1423" s="525" t="s">
        <v>394</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529</v>
      </c>
      <c r="B1426" s="311" t="s">
        <v>394</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529</v>
      </c>
      <c r="B1430" s="311" t="s">
        <v>394</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393</v>
      </c>
      <c r="B1435" s="311" t="s">
        <v>394</v>
      </c>
      <c r="C1435" s="56">
        <v>45881</v>
      </c>
      <c r="D1435" s="43">
        <v>319</v>
      </c>
      <c r="G1435" t="s">
        <v>1544</v>
      </c>
    </row>
    <row r="1436" spans="1:7">
      <c r="A1436" s="551" t="s">
        <v>529</v>
      </c>
      <c r="B1436" s="311" t="s">
        <v>394</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529</v>
      </c>
      <c r="B1443" s="311" t="s">
        <v>394</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529</v>
      </c>
      <c r="B1447" s="311" t="s">
        <v>394</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529</v>
      </c>
      <c r="B1453" s="311" t="s">
        <v>394</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529</v>
      </c>
      <c r="B1460" s="311" t="s">
        <v>394</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529</v>
      </c>
      <c r="B1466" s="311" t="s">
        <v>394</v>
      </c>
      <c r="C1466" s="56">
        <v>45888</v>
      </c>
      <c r="D1466" s="43">
        <v>408</v>
      </c>
      <c r="F1466" s="115"/>
      <c r="G1466" t="s">
        <v>1544</v>
      </c>
    </row>
    <row r="1467" spans="1:7">
      <c r="A1467" s="583" t="s">
        <v>526</v>
      </c>
      <c r="B1467" s="318" t="s">
        <v>1025</v>
      </c>
      <c r="C1467" s="56">
        <v>45888</v>
      </c>
      <c r="F1467" s="141" t="s">
        <v>1559</v>
      </c>
      <c r="G1467" t="s">
        <v>1544</v>
      </c>
    </row>
    <row r="1468" spans="1:7">
      <c r="A1468" s="247" t="s">
        <v>515</v>
      </c>
      <c r="B1468" s="311" t="s">
        <v>394</v>
      </c>
      <c r="C1468" s="56">
        <v>45888</v>
      </c>
      <c r="D1468" s="43">
        <v>430</v>
      </c>
      <c r="F1468" s="169"/>
      <c r="G1468" t="s">
        <v>1544</v>
      </c>
    </row>
    <row r="1469" spans="1:7">
      <c r="A1469" s="88" t="s">
        <v>1044</v>
      </c>
      <c r="B1469" s="398" t="s">
        <v>1025</v>
      </c>
      <c r="C1469" s="56">
        <v>45889</v>
      </c>
      <c r="D1469" s="43">
        <v>181</v>
      </c>
      <c r="G1469" t="s">
        <v>1544</v>
      </c>
    </row>
    <row r="1470" spans="1:7">
      <c r="A1470" s="88" t="s">
        <v>501</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529</v>
      </c>
      <c r="B1474" s="311" t="s">
        <v>394</v>
      </c>
      <c r="C1474" s="56">
        <v>45889</v>
      </c>
      <c r="D1474" s="43">
        <v>607</v>
      </c>
      <c r="F1474" s="43" t="s">
        <v>1560</v>
      </c>
      <c r="G1474" t="s">
        <v>1544</v>
      </c>
    </row>
    <row r="1475" spans="1:7">
      <c r="A1475" s="583" t="s">
        <v>526</v>
      </c>
      <c r="B1475" s="318" t="s">
        <v>1025</v>
      </c>
      <c r="C1475" s="56">
        <v>45889</v>
      </c>
      <c r="D1475" s="43">
        <v>499</v>
      </c>
      <c r="G1475" t="s">
        <v>1544</v>
      </c>
    </row>
    <row r="1476" spans="1:7">
      <c r="A1476" s="88" t="s">
        <v>1044</v>
      </c>
      <c r="B1476" s="398" t="s">
        <v>1025</v>
      </c>
      <c r="C1476" s="56">
        <v>45890</v>
      </c>
      <c r="D1476" s="43">
        <v>82</v>
      </c>
      <c r="G1476" t="s">
        <v>1544</v>
      </c>
    </row>
    <row r="1477" spans="1:7">
      <c r="A1477" s="88" t="s">
        <v>501</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529</v>
      </c>
      <c r="B1482" s="311" t="s">
        <v>394</v>
      </c>
      <c r="C1482" s="56">
        <v>45890</v>
      </c>
      <c r="D1482" s="155">
        <v>1022</v>
      </c>
      <c r="G1482" t="s">
        <v>1544</v>
      </c>
    </row>
    <row r="1483" spans="1:7">
      <c r="A1483" s="583" t="s">
        <v>526</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529</v>
      </c>
      <c r="B1488" s="311" t="s">
        <v>394</v>
      </c>
      <c r="C1488" s="56">
        <v>45891</v>
      </c>
      <c r="E1488" s="321">
        <v>6090</v>
      </c>
      <c r="F1488" s="43" t="s">
        <v>1564</v>
      </c>
      <c r="G1488" t="s">
        <v>1544</v>
      </c>
    </row>
    <row r="1489" spans="1:7">
      <c r="A1489" s="583" t="s">
        <v>526</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529</v>
      </c>
      <c r="B1495" s="311" t="s">
        <v>394</v>
      </c>
      <c r="C1495" s="56">
        <v>45894</v>
      </c>
      <c r="D1495" s="43">
        <v>639</v>
      </c>
      <c r="G1495" t="s">
        <v>1544</v>
      </c>
    </row>
    <row r="1496" spans="1:7">
      <c r="A1496" s="583" t="s">
        <v>526</v>
      </c>
      <c r="B1496" s="318" t="s">
        <v>1025</v>
      </c>
      <c r="C1496" s="56">
        <v>45894</v>
      </c>
      <c r="D1496" s="43">
        <v>503</v>
      </c>
      <c r="G1496" t="s">
        <v>1544</v>
      </c>
    </row>
    <row r="1497" spans="1:7">
      <c r="A1497" s="88" t="s">
        <v>1044</v>
      </c>
      <c r="B1497" s="398" t="s">
        <v>1025</v>
      </c>
      <c r="C1497" s="56">
        <v>45895</v>
      </c>
      <c r="F1497" s="43" t="s">
        <v>1301</v>
      </c>
      <c r="G1497" t="s">
        <v>1544</v>
      </c>
    </row>
    <row r="1498" spans="1:7">
      <c r="A1498" s="88" t="s">
        <v>501</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526</v>
      </c>
      <c r="B1504" s="631" t="s">
        <v>1025</v>
      </c>
      <c r="C1504" s="56">
        <v>45895</v>
      </c>
      <c r="D1504" s="43">
        <v>295</v>
      </c>
      <c r="G1504" t="s">
        <v>1544</v>
      </c>
    </row>
    <row r="1505" spans="1:7">
      <c r="A1505" s="628" t="s">
        <v>521</v>
      </c>
      <c r="B1505" s="349" t="s">
        <v>394</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393</v>
      </c>
      <c r="B1512" s="348" t="s">
        <v>394</v>
      </c>
      <c r="C1512" s="56">
        <v>45896</v>
      </c>
      <c r="D1512" s="43">
        <v>358</v>
      </c>
      <c r="F1512" s="43" t="s">
        <v>1573</v>
      </c>
      <c r="G1512" t="s">
        <v>1544</v>
      </c>
    </row>
    <row r="1513" spans="1:7">
      <c r="A1513" s="643" t="s">
        <v>521</v>
      </c>
      <c r="B1513" s="141" t="s">
        <v>394</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529</v>
      </c>
      <c r="B1518" s="311" t="s">
        <v>394</v>
      </c>
      <c r="C1518" s="56">
        <v>45897</v>
      </c>
      <c r="F1518" s="43" t="s">
        <v>1163</v>
      </c>
      <c r="G1518" t="s">
        <v>1544</v>
      </c>
    </row>
    <row r="1519" spans="1:7">
      <c r="A1519" s="583" t="s">
        <v>301</v>
      </c>
      <c r="B1519" s="631" t="s">
        <v>1025</v>
      </c>
      <c r="C1519" s="56">
        <v>45897</v>
      </c>
      <c r="D1519" s="43">
        <v>320</v>
      </c>
      <c r="G1519" t="s">
        <v>1544</v>
      </c>
    </row>
    <row r="1520" spans="1:7">
      <c r="A1520" s="628" t="s">
        <v>393</v>
      </c>
      <c r="B1520" s="349" t="s">
        <v>394</v>
      </c>
      <c r="C1520" s="56">
        <v>45897</v>
      </c>
      <c r="F1520" s="311" t="s">
        <v>1301</v>
      </c>
      <c r="G1520" t="s">
        <v>1544</v>
      </c>
    </row>
    <row r="1521" spans="1:7">
      <c r="A1521" s="123" t="s">
        <v>521</v>
      </c>
      <c r="B1521" s="348" t="s">
        <v>394</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521</v>
      </c>
      <c r="B1524" s="311" t="s">
        <v>394</v>
      </c>
      <c r="C1524" s="56">
        <v>45898</v>
      </c>
      <c r="F1524" s="141" t="s">
        <v>1151</v>
      </c>
      <c r="G1524" t="s">
        <v>1544</v>
      </c>
    </row>
    <row r="1525" spans="1:7">
      <c r="A1525" s="326" t="s">
        <v>526</v>
      </c>
      <c r="B1525" s="315" t="s">
        <v>1025</v>
      </c>
      <c r="C1525" s="56">
        <v>45898</v>
      </c>
      <c r="D1525" s="43">
        <v>6</v>
      </c>
      <c r="F1525" s="43" t="s">
        <v>1579</v>
      </c>
      <c r="G1525" t="s">
        <v>1544</v>
      </c>
    </row>
    <row r="1526" spans="1:7">
      <c r="A1526" s="337" t="s">
        <v>529</v>
      </c>
      <c r="B1526" s="311" t="s">
        <v>394</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526</v>
      </c>
      <c r="B1531" s="315" t="s">
        <v>1025</v>
      </c>
      <c r="C1531" s="56">
        <v>45902</v>
      </c>
      <c r="D1531" s="43">
        <v>15</v>
      </c>
      <c r="F1531" s="43" t="s">
        <v>1585</v>
      </c>
      <c r="G1531" t="s">
        <v>1582</v>
      </c>
    </row>
    <row r="1532" spans="1:7">
      <c r="A1532" s="247" t="s">
        <v>521</v>
      </c>
      <c r="B1532" s="311" t="s">
        <v>394</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526</v>
      </c>
      <c r="B1539" s="318" t="s">
        <v>1025</v>
      </c>
      <c r="C1539" s="56">
        <v>45903</v>
      </c>
      <c r="D1539" s="43">
        <v>65</v>
      </c>
      <c r="F1539" s="141" t="s">
        <v>1592</v>
      </c>
      <c r="G1539" t="s">
        <v>1582</v>
      </c>
    </row>
    <row r="1540" spans="1:7">
      <c r="A1540" s="648" t="s">
        <v>521</v>
      </c>
      <c r="B1540" s="348" t="s">
        <v>394</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538</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393</v>
      </c>
      <c r="B1546" s="311" t="s">
        <v>1025</v>
      </c>
      <c r="C1546" s="56">
        <v>45904</v>
      </c>
      <c r="D1546" s="43">
        <v>99</v>
      </c>
      <c r="F1546" s="43" t="s">
        <v>1596</v>
      </c>
      <c r="G1546" t="s">
        <v>1582</v>
      </c>
    </row>
    <row r="1547" spans="1:7">
      <c r="A1547" s="583" t="s">
        <v>526</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531</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538</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538</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538</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373</v>
      </c>
      <c r="B1563" s="631" t="s">
        <v>374</v>
      </c>
      <c r="C1563" s="56">
        <v>45910</v>
      </c>
      <c r="D1563" s="43">
        <v>307</v>
      </c>
      <c r="G1563" t="s">
        <v>1582</v>
      </c>
    </row>
    <row r="1564" spans="1:7">
      <c r="A1564" s="157" t="s">
        <v>531</v>
      </c>
      <c r="B1564" s="684" t="s">
        <v>1463</v>
      </c>
      <c r="C1564" s="56">
        <v>45910</v>
      </c>
      <c r="F1564" s="43" t="s">
        <v>1301</v>
      </c>
      <c r="G1564" t="s">
        <v>1582</v>
      </c>
    </row>
    <row r="1565" spans="1:7">
      <c r="A1565" s="88" t="s">
        <v>1049</v>
      </c>
      <c r="B1565" s="398" t="s">
        <v>1025</v>
      </c>
      <c r="C1565" s="56">
        <v>45911</v>
      </c>
      <c r="D1565" s="43">
        <v>302</v>
      </c>
      <c r="G1565" t="s">
        <v>1582</v>
      </c>
    </row>
    <row r="1566" spans="1:7">
      <c r="A1566" s="88" t="s">
        <v>501</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373</v>
      </c>
      <c r="B1570" s="247" t="s">
        <v>374</v>
      </c>
      <c r="C1570" s="56">
        <v>45911</v>
      </c>
      <c r="D1570" s="43">
        <v>920</v>
      </c>
      <c r="F1570" s="69"/>
      <c r="G1570" t="s">
        <v>1582</v>
      </c>
    </row>
    <row r="1571" spans="1:7">
      <c r="A1571" s="157" t="s">
        <v>531</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373</v>
      </c>
      <c r="B1574" s="247" t="s">
        <v>374</v>
      </c>
      <c r="C1574" s="56">
        <v>45912</v>
      </c>
      <c r="D1574" s="43">
        <v>610</v>
      </c>
      <c r="F1574" s="69"/>
      <c r="G1574" t="s">
        <v>1582</v>
      </c>
    </row>
    <row r="1575" spans="1:7">
      <c r="A1575" s="157" t="s">
        <v>531</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373</v>
      </c>
      <c r="B1579" s="247" t="s">
        <v>374</v>
      </c>
      <c r="C1579" s="56">
        <v>45915</v>
      </c>
      <c r="D1579" s="43">
        <v>829</v>
      </c>
      <c r="F1579" s="69" t="s">
        <v>1465</v>
      </c>
      <c r="G1579" t="s">
        <v>1582</v>
      </c>
    </row>
    <row r="1580" spans="1:7">
      <c r="A1580" s="115" t="s">
        <v>526</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373</v>
      </c>
      <c r="B1585" s="247" t="s">
        <v>374</v>
      </c>
      <c r="C1585" s="56">
        <v>45916</v>
      </c>
      <c r="F1585" s="734" t="s">
        <v>1151</v>
      </c>
      <c r="G1585" t="s">
        <v>1582</v>
      </c>
    </row>
    <row r="1586" spans="1:7">
      <c r="A1586" s="157" t="s">
        <v>393</v>
      </c>
      <c r="B1586" s="247" t="s">
        <v>1025</v>
      </c>
      <c r="C1586" s="56">
        <v>45916</v>
      </c>
      <c r="F1586" s="735" t="s">
        <v>1609</v>
      </c>
      <c r="G1586" t="s">
        <v>1582</v>
      </c>
    </row>
    <row r="1587" spans="1:7">
      <c r="A1587" s="115" t="s">
        <v>526</v>
      </c>
      <c r="B1587" s="371" t="s">
        <v>1025</v>
      </c>
      <c r="C1587" s="56">
        <v>45916</v>
      </c>
      <c r="F1587" s="733" t="s">
        <v>1609</v>
      </c>
      <c r="G1587" t="s">
        <v>1582</v>
      </c>
    </row>
    <row r="1588" spans="1:7">
      <c r="A1588" s="648" t="s">
        <v>396</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538</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373</v>
      </c>
      <c r="B1593" s="141" t="s">
        <v>374</v>
      </c>
      <c r="C1593" s="56">
        <v>45917</v>
      </c>
      <c r="D1593" s="43">
        <v>863</v>
      </c>
      <c r="F1593" s="734"/>
      <c r="G1593" t="s">
        <v>1582</v>
      </c>
    </row>
    <row r="1594" spans="1:7">
      <c r="A1594" s="738" t="s">
        <v>396</v>
      </c>
      <c r="B1594" s="305" t="s">
        <v>251</v>
      </c>
      <c r="C1594" s="56">
        <v>45917</v>
      </c>
      <c r="D1594" s="43">
        <v>253</v>
      </c>
      <c r="F1594" s="734"/>
      <c r="G1594" t="s">
        <v>1582</v>
      </c>
    </row>
    <row r="1595" spans="1:7">
      <c r="A1595" s="326" t="s">
        <v>393</v>
      </c>
      <c r="B1595" s="311" t="s">
        <v>1025</v>
      </c>
      <c r="C1595" s="56">
        <v>45917</v>
      </c>
      <c r="F1595" s="311" t="s">
        <v>1498</v>
      </c>
      <c r="G1595" t="s">
        <v>1582</v>
      </c>
    </row>
    <row r="1596" spans="1:7">
      <c r="A1596" s="247" t="s">
        <v>521</v>
      </c>
      <c r="B1596" s="311" t="s">
        <v>1025</v>
      </c>
      <c r="C1596" s="56">
        <v>45917</v>
      </c>
      <c r="D1596" s="43">
        <v>139</v>
      </c>
      <c r="F1596" s="734"/>
      <c r="G1596" t="s">
        <v>1582</v>
      </c>
    </row>
    <row r="1597" spans="1:7">
      <c r="A1597" s="88" t="s">
        <v>508</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540</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373</v>
      </c>
      <c r="B1603" s="247" t="s">
        <v>374</v>
      </c>
      <c r="C1603" s="56">
        <v>45918</v>
      </c>
      <c r="D1603" s="43">
        <v>499</v>
      </c>
      <c r="F1603" s="734"/>
      <c r="G1603" t="s">
        <v>1582</v>
      </c>
    </row>
    <row r="1604" spans="1:7">
      <c r="A1604" s="648" t="s">
        <v>396</v>
      </c>
      <c r="B1604" s="141" t="s">
        <v>251</v>
      </c>
      <c r="C1604" s="56">
        <v>45918</v>
      </c>
      <c r="D1604" s="155">
        <v>1076</v>
      </c>
      <c r="F1604" s="734"/>
      <c r="G1604" t="s">
        <v>1582</v>
      </c>
    </row>
    <row r="1605" spans="1:7">
      <c r="A1605" s="157" t="s">
        <v>393</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373</v>
      </c>
      <c r="B1608" s="247" t="s">
        <v>374</v>
      </c>
      <c r="C1608" s="56">
        <v>45919</v>
      </c>
      <c r="D1608" s="43">
        <v>475</v>
      </c>
      <c r="F1608" s="734"/>
      <c r="G1608" t="s">
        <v>1582</v>
      </c>
    </row>
    <row r="1609" spans="1:7">
      <c r="A1609" s="648" t="s">
        <v>396</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540</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373</v>
      </c>
      <c r="B1616" s="141" t="s">
        <v>374</v>
      </c>
      <c r="C1616" s="56">
        <v>45922</v>
      </c>
      <c r="D1616" s="43">
        <v>839</v>
      </c>
      <c r="F1616" s="734"/>
      <c r="G1616" t="s">
        <v>1582</v>
      </c>
    </row>
    <row r="1617" spans="1:7">
      <c r="A1617" s="747" t="s">
        <v>396</v>
      </c>
      <c r="B1617" s="304" t="s">
        <v>251</v>
      </c>
      <c r="C1617" s="56">
        <v>45922</v>
      </c>
      <c r="F1617" s="311" t="s">
        <v>1622</v>
      </c>
      <c r="G1617" t="s">
        <v>1582</v>
      </c>
    </row>
    <row r="1618" spans="1:7">
      <c r="A1618" s="325" t="s">
        <v>521</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540</v>
      </c>
      <c r="B1622" s="752" t="s">
        <v>137</v>
      </c>
      <c r="C1622" s="56">
        <v>45923</v>
      </c>
      <c r="D1622" s="43">
        <v>675</v>
      </c>
      <c r="F1622" s="69"/>
      <c r="G1622" t="s">
        <v>1582</v>
      </c>
    </row>
    <row r="1623" spans="1:7">
      <c r="A1623" s="69" t="s">
        <v>543</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373</v>
      </c>
      <c r="B1625" s="247" t="s">
        <v>374</v>
      </c>
      <c r="C1625" s="56">
        <v>45923</v>
      </c>
      <c r="F1625" s="760" t="s">
        <v>1627</v>
      </c>
      <c r="G1625" t="s">
        <v>1582</v>
      </c>
    </row>
    <row r="1626" spans="1:7">
      <c r="A1626" s="648" t="s">
        <v>396</v>
      </c>
      <c r="B1626" s="757" t="s">
        <v>251</v>
      </c>
      <c r="C1626" s="56">
        <v>45923</v>
      </c>
      <c r="D1626" s="43">
        <v>120</v>
      </c>
      <c r="F1626" s="69"/>
      <c r="G1626" t="s">
        <v>1582</v>
      </c>
    </row>
    <row r="1627" spans="1:7">
      <c r="A1627" s="157" t="s">
        <v>393</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546</v>
      </c>
      <c r="B1631" s="762" t="s">
        <v>137</v>
      </c>
      <c r="C1631" s="336">
        <v>45924</v>
      </c>
      <c r="D1631" s="155">
        <v>1205</v>
      </c>
      <c r="F1631" s="69" t="s">
        <v>1628</v>
      </c>
      <c r="G1631" t="s">
        <v>1582</v>
      </c>
    </row>
    <row r="1632" spans="1:7">
      <c r="A1632" s="69" t="s">
        <v>543</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540</v>
      </c>
      <c r="B1635" s="752" t="s">
        <v>137</v>
      </c>
      <c r="C1635" s="56">
        <v>45924</v>
      </c>
      <c r="D1635" s="161">
        <v>170</v>
      </c>
      <c r="F1635" s="141" t="s">
        <v>1631</v>
      </c>
      <c r="G1635" t="s">
        <v>1582</v>
      </c>
    </row>
    <row r="1636" spans="1:7">
      <c r="A1636" s="763" t="s">
        <v>373</v>
      </c>
      <c r="B1636" s="399" t="s">
        <v>374</v>
      </c>
      <c r="C1636" s="344">
        <v>45924</v>
      </c>
      <c r="D1636" s="43">
        <v>616</v>
      </c>
      <c r="F1636" s="91"/>
      <c r="G1636" t="s">
        <v>1582</v>
      </c>
    </row>
    <row r="1637" spans="1:7">
      <c r="A1637" s="648" t="s">
        <v>396</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515</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540</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505</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546</v>
      </c>
      <c r="B1647" s="752" t="s">
        <v>137</v>
      </c>
      <c r="C1647" s="56">
        <v>45925</v>
      </c>
      <c r="D1647" s="155">
        <v>1000</v>
      </c>
      <c r="F1647" s="30"/>
      <c r="G1647" t="s">
        <v>1582</v>
      </c>
    </row>
    <row r="1648" spans="1:7">
      <c r="A1648" s="69" t="s">
        <v>543</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373</v>
      </c>
      <c r="B1651" s="247" t="s">
        <v>374</v>
      </c>
      <c r="C1651" s="56">
        <v>45925</v>
      </c>
      <c r="D1651" s="43">
        <v>969</v>
      </c>
      <c r="G1651" t="s">
        <v>1582</v>
      </c>
    </row>
    <row r="1652" spans="1:7">
      <c r="A1652" s="648" t="s">
        <v>396</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374</v>
      </c>
      <c r="C1657" s="56">
        <v>45926</v>
      </c>
      <c r="D1657" s="43">
        <v>300</v>
      </c>
      <c r="G1657" t="s">
        <v>1582</v>
      </c>
    </row>
    <row r="1658" spans="1:7">
      <c r="A1658" s="304" t="s">
        <v>1074</v>
      </c>
      <c r="B1658" s="739" t="s">
        <v>1639</v>
      </c>
      <c r="C1658" s="56">
        <v>45926</v>
      </c>
      <c r="D1658" s="43">
        <v>364</v>
      </c>
      <c r="G1658" t="s">
        <v>1582</v>
      </c>
    </row>
    <row r="1659" spans="1:7">
      <c r="A1659" s="134" t="s">
        <v>373</v>
      </c>
      <c r="B1659" s="141" t="s">
        <v>374</v>
      </c>
      <c r="C1659" s="56">
        <v>45926</v>
      </c>
      <c r="D1659" s="43">
        <v>552</v>
      </c>
      <c r="G1659" t="s">
        <v>1582</v>
      </c>
    </row>
    <row r="1660" spans="1:7">
      <c r="A1660" s="747" t="s">
        <v>399</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505</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543</v>
      </c>
      <c r="B1667" s="737" t="s">
        <v>137</v>
      </c>
      <c r="C1667" s="56">
        <v>45929</v>
      </c>
      <c r="D1667" s="43">
        <v>600</v>
      </c>
      <c r="F1667" s="43" t="s">
        <v>1642</v>
      </c>
      <c r="G1667" t="s">
        <v>1582</v>
      </c>
    </row>
    <row r="1668" spans="1:7">
      <c r="A1668" s="311" t="s">
        <v>546</v>
      </c>
      <c r="B1668" s="311" t="s">
        <v>137</v>
      </c>
      <c r="C1668" s="56">
        <v>45929</v>
      </c>
      <c r="D1668" s="155">
        <v>1002</v>
      </c>
      <c r="F1668" s="43" t="s">
        <v>1643</v>
      </c>
      <c r="G1668" t="s">
        <v>1582</v>
      </c>
    </row>
    <row r="1669" spans="1:7">
      <c r="A1669" s="134" t="s">
        <v>373</v>
      </c>
      <c r="B1669" s="141" t="s">
        <v>374</v>
      </c>
      <c r="C1669" s="56">
        <v>45929</v>
      </c>
      <c r="D1669" s="155">
        <v>1375</v>
      </c>
      <c r="G1669" t="s">
        <v>1582</v>
      </c>
    </row>
    <row r="1670" spans="1:7">
      <c r="A1670" s="747" t="s">
        <v>393</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396</v>
      </c>
      <c r="B1672" s="318" t="s">
        <v>251</v>
      </c>
      <c r="C1672" s="56">
        <v>45929</v>
      </c>
      <c r="D1672" s="43">
        <v>479</v>
      </c>
      <c r="G1672" t="s">
        <v>1582</v>
      </c>
    </row>
    <row r="1673" spans="1:7">
      <c r="A1673" s="43" t="s">
        <v>399</v>
      </c>
      <c r="B1673" s="318" t="s">
        <v>251</v>
      </c>
      <c r="C1673" s="56">
        <v>45929</v>
      </c>
      <c r="D1673" s="43">
        <v>454</v>
      </c>
      <c r="G1673" t="s">
        <v>1582</v>
      </c>
    </row>
    <row r="1674" spans="1:7">
      <c r="A1674" s="311" t="s">
        <v>546</v>
      </c>
      <c r="B1674" s="311" t="s">
        <v>137</v>
      </c>
      <c r="C1674" s="56">
        <v>45930</v>
      </c>
      <c r="D1674" s="43">
        <v>268</v>
      </c>
      <c r="E1674" s="139">
        <v>413</v>
      </c>
      <c r="F1674" s="43" t="s">
        <v>1644</v>
      </c>
      <c r="G1674" t="s">
        <v>1582</v>
      </c>
    </row>
    <row r="1675" spans="1:7">
      <c r="A1675" s="88" t="s">
        <v>508</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543</v>
      </c>
      <c r="B1681" s="141" t="s">
        <v>1025</v>
      </c>
      <c r="C1681" s="310">
        <v>45930</v>
      </c>
      <c r="E1681" s="139">
        <v>886</v>
      </c>
      <c r="G1681" t="s">
        <v>1582</v>
      </c>
    </row>
    <row r="1682" spans="1:7">
      <c r="A1682" s="134" t="s">
        <v>373</v>
      </c>
      <c r="B1682" s="304" t="s">
        <v>374</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399</v>
      </c>
      <c r="B1685" s="318" t="s">
        <v>251</v>
      </c>
      <c r="C1685" s="56">
        <v>45930</v>
      </c>
      <c r="D1685" s="43">
        <v>251</v>
      </c>
      <c r="G1685" t="s">
        <v>1582</v>
      </c>
    </row>
    <row r="1686" spans="1:7">
      <c r="A1686" s="525" t="s">
        <v>515</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554</v>
      </c>
      <c r="B1692" s="737" t="s">
        <v>137</v>
      </c>
      <c r="C1692" s="56">
        <v>45931</v>
      </c>
      <c r="D1692" s="155">
        <v>1118</v>
      </c>
      <c r="G1692" t="s">
        <v>1648</v>
      </c>
    </row>
    <row r="1693" spans="1:7">
      <c r="A1693" s="134" t="s">
        <v>373</v>
      </c>
      <c r="B1693" s="141" t="s">
        <v>374</v>
      </c>
      <c r="C1693" s="56">
        <v>45931</v>
      </c>
      <c r="D1693" s="43">
        <v>312</v>
      </c>
      <c r="G1693" t="s">
        <v>1648</v>
      </c>
    </row>
    <row r="1694" spans="1:7">
      <c r="A1694" s="551" t="s">
        <v>515</v>
      </c>
      <c r="B1694" s="141" t="s">
        <v>251</v>
      </c>
      <c r="C1694" s="56">
        <v>45931</v>
      </c>
      <c r="D1694" s="43">
        <v>753</v>
      </c>
      <c r="G1694" t="s">
        <v>1648</v>
      </c>
    </row>
    <row r="1695" spans="1:7">
      <c r="A1695" s="305" t="s">
        <v>399</v>
      </c>
      <c r="B1695" s="348" t="s">
        <v>251</v>
      </c>
      <c r="C1695" s="56">
        <v>45931</v>
      </c>
      <c r="D1695" s="43">
        <v>224</v>
      </c>
      <c r="G1695" t="s">
        <v>1648</v>
      </c>
    </row>
    <row r="1696" spans="1:7">
      <c r="A1696" s="134" t="s">
        <v>508</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554</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373</v>
      </c>
      <c r="B1703" s="141" t="s">
        <v>374</v>
      </c>
      <c r="C1703" s="56">
        <v>45932</v>
      </c>
      <c r="D1703" s="155">
        <v>1304</v>
      </c>
      <c r="G1703" t="s">
        <v>1648</v>
      </c>
    </row>
    <row r="1704" spans="1:7">
      <c r="A1704" s="305" t="s">
        <v>1073</v>
      </c>
      <c r="B1704" s="305" t="s">
        <v>1025</v>
      </c>
      <c r="C1704" s="56">
        <v>45932</v>
      </c>
      <c r="D1704" s="43">
        <v>614</v>
      </c>
      <c r="G1704" t="s">
        <v>1648</v>
      </c>
    </row>
    <row r="1705" spans="1:7">
      <c r="A1705" s="551" t="s">
        <v>515</v>
      </c>
      <c r="B1705" s="141" t="s">
        <v>251</v>
      </c>
      <c r="C1705" s="56">
        <v>45932</v>
      </c>
      <c r="D1705" s="43">
        <v>305</v>
      </c>
      <c r="G1705" t="s">
        <v>1648</v>
      </c>
    </row>
    <row r="1706" spans="1:7">
      <c r="A1706" s="305" t="s">
        <v>399</v>
      </c>
      <c r="B1706" s="348" t="s">
        <v>251</v>
      </c>
      <c r="C1706" s="56">
        <v>45932</v>
      </c>
      <c r="D1706" s="43">
        <v>789</v>
      </c>
      <c r="F1706" s="43" t="s">
        <v>1654</v>
      </c>
      <c r="G1706" t="s">
        <v>1648</v>
      </c>
    </row>
    <row r="1707" spans="1:7">
      <c r="A1707" s="141" t="s">
        <v>396</v>
      </c>
      <c r="B1707" s="141" t="s">
        <v>251</v>
      </c>
      <c r="C1707" s="56">
        <v>45932</v>
      </c>
      <c r="D1707" s="43">
        <v>170</v>
      </c>
      <c r="G1707" t="s">
        <v>1648</v>
      </c>
    </row>
    <row r="1708" spans="1:7">
      <c r="A1708" s="134" t="s">
        <v>508</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373</v>
      </c>
      <c r="B1713" s="141" t="s">
        <v>374</v>
      </c>
      <c r="C1713" s="56">
        <v>45933</v>
      </c>
      <c r="D1713" s="43">
        <v>617</v>
      </c>
      <c r="G1713" t="s">
        <v>1648</v>
      </c>
    </row>
    <row r="1714" spans="1:7">
      <c r="A1714" s="305" t="s">
        <v>1073</v>
      </c>
      <c r="B1714" s="305" t="s">
        <v>1025</v>
      </c>
      <c r="C1714" s="56">
        <v>45933</v>
      </c>
      <c r="D1714" s="43">
        <v>486</v>
      </c>
      <c r="G1714" t="s">
        <v>1648</v>
      </c>
    </row>
    <row r="1715" spans="1:7">
      <c r="A1715" s="306" t="s">
        <v>399</v>
      </c>
      <c r="B1715" s="141" t="s">
        <v>251</v>
      </c>
      <c r="C1715" s="56">
        <v>45933</v>
      </c>
      <c r="F1715" s="43" t="s">
        <v>1657</v>
      </c>
      <c r="G1715" t="s">
        <v>1648</v>
      </c>
    </row>
    <row r="1716" spans="1:7">
      <c r="A1716" s="306" t="s">
        <v>396</v>
      </c>
      <c r="B1716" s="141" t="s">
        <v>251</v>
      </c>
      <c r="C1716" s="56">
        <v>45933</v>
      </c>
      <c r="F1716" s="43" t="s">
        <v>1657</v>
      </c>
      <c r="G1716" t="s">
        <v>1648</v>
      </c>
    </row>
    <row r="1717" spans="1:7">
      <c r="A1717" s="134" t="s">
        <v>1049</v>
      </c>
      <c r="B1717" s="311" t="s">
        <v>1025</v>
      </c>
      <c r="C1717" s="56">
        <v>45936</v>
      </c>
      <c r="D1717" s="43">
        <v>65</v>
      </c>
      <c r="G1717" t="s">
        <v>1648</v>
      </c>
    </row>
    <row r="1718" spans="1:7">
      <c r="A1718" s="583" t="s">
        <v>508</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554</v>
      </c>
      <c r="B1723" s="141" t="s">
        <v>137</v>
      </c>
      <c r="C1723" s="56">
        <v>45936</v>
      </c>
      <c r="D1723" s="155">
        <v>1174</v>
      </c>
      <c r="G1723" t="s">
        <v>1648</v>
      </c>
    </row>
    <row r="1724" spans="1:7">
      <c r="A1724" s="134" t="s">
        <v>373</v>
      </c>
      <c r="B1724" s="141" t="s">
        <v>374</v>
      </c>
      <c r="C1724" s="56">
        <v>45936</v>
      </c>
      <c r="D1724" s="43">
        <v>768</v>
      </c>
      <c r="G1724" t="s">
        <v>1648</v>
      </c>
    </row>
    <row r="1725" spans="1:7">
      <c r="A1725" s="305" t="s">
        <v>1073</v>
      </c>
      <c r="B1725" s="305" t="s">
        <v>819</v>
      </c>
      <c r="C1725" s="56">
        <v>45936</v>
      </c>
      <c r="D1725" s="43">
        <v>225</v>
      </c>
      <c r="G1725" t="s">
        <v>1648</v>
      </c>
    </row>
    <row r="1726" spans="1:7">
      <c r="A1726" s="549" t="s">
        <v>515</v>
      </c>
      <c r="B1726" s="306" t="s">
        <v>251</v>
      </c>
      <c r="C1726" s="56">
        <v>45936</v>
      </c>
      <c r="F1726" s="337" t="s">
        <v>1301</v>
      </c>
      <c r="G1726" t="s">
        <v>1648</v>
      </c>
    </row>
    <row r="1727" spans="1:7">
      <c r="A1727" s="311" t="s">
        <v>399</v>
      </c>
      <c r="B1727" s="311" t="s">
        <v>251</v>
      </c>
      <c r="C1727" s="56">
        <v>45936</v>
      </c>
      <c r="D1727" s="155">
        <v>1088</v>
      </c>
      <c r="F1727" s="43" t="s">
        <v>1652</v>
      </c>
      <c r="G1727" t="s">
        <v>1648</v>
      </c>
    </row>
    <row r="1728" spans="1:7">
      <c r="A1728" s="134" t="s">
        <v>508</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554</v>
      </c>
      <c r="B1733" s="141" t="s">
        <v>137</v>
      </c>
      <c r="C1733" s="310">
        <v>45937</v>
      </c>
      <c r="D1733" s="155">
        <v>1597</v>
      </c>
      <c r="F1733" s="43" t="s">
        <v>1661</v>
      </c>
      <c r="G1733" t="s">
        <v>1648</v>
      </c>
    </row>
    <row r="1734" spans="1:7">
      <c r="A1734" s="134" t="s">
        <v>373</v>
      </c>
      <c r="B1734" s="141" t="s">
        <v>374</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399</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554</v>
      </c>
      <c r="B1743" s="141" t="s">
        <v>137</v>
      </c>
      <c r="C1743" s="56">
        <v>45938</v>
      </c>
      <c r="D1743" s="43">
        <v>308</v>
      </c>
      <c r="F1743" s="43" t="s">
        <v>1664</v>
      </c>
      <c r="G1743" t="s">
        <v>1648</v>
      </c>
    </row>
    <row r="1744" spans="1:7">
      <c r="A1744" s="647" t="s">
        <v>546</v>
      </c>
      <c r="B1744" s="141" t="s">
        <v>137</v>
      </c>
      <c r="C1744" s="56">
        <v>45938</v>
      </c>
      <c r="D1744" s="43">
        <v>334</v>
      </c>
      <c r="F1744" s="43" t="s">
        <v>1599</v>
      </c>
      <c r="G1744" t="s">
        <v>1648</v>
      </c>
    </row>
    <row r="1745" spans="1:7">
      <c r="A1745" s="304" t="s">
        <v>535</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399</v>
      </c>
      <c r="B1748" s="317" t="s">
        <v>251</v>
      </c>
      <c r="C1748" s="56">
        <v>45938</v>
      </c>
      <c r="D1748" s="43">
        <v>512</v>
      </c>
      <c r="F1748" s="43" t="s">
        <v>1599</v>
      </c>
      <c r="G1748" t="s">
        <v>1648</v>
      </c>
    </row>
    <row r="1749" spans="1:7">
      <c r="A1749" s="593" t="s">
        <v>505</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554</v>
      </c>
      <c r="B1753" s="395" t="s">
        <v>137</v>
      </c>
      <c r="C1753" s="56">
        <v>45939</v>
      </c>
      <c r="F1753" s="618" t="s">
        <v>1168</v>
      </c>
      <c r="G1753" t="s">
        <v>1648</v>
      </c>
    </row>
    <row r="1754" spans="1:7">
      <c r="A1754" s="148" t="s">
        <v>535</v>
      </c>
      <c r="B1754" s="115" t="s">
        <v>1463</v>
      </c>
      <c r="C1754" s="56">
        <v>45939</v>
      </c>
      <c r="F1754" s="43" t="s">
        <v>1520</v>
      </c>
      <c r="G1754" t="s">
        <v>1648</v>
      </c>
    </row>
    <row r="1755" spans="1:7">
      <c r="A1755" s="134" t="s">
        <v>373</v>
      </c>
      <c r="B1755" s="247" t="s">
        <v>374</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399</v>
      </c>
      <c r="B1758" s="317" t="s">
        <v>251</v>
      </c>
      <c r="C1758" s="56">
        <v>45939</v>
      </c>
      <c r="D1758" s="43">
        <v>369</v>
      </c>
      <c r="G1758" t="s">
        <v>1648</v>
      </c>
    </row>
    <row r="1759" spans="1:7">
      <c r="A1759" s="115" t="s">
        <v>396</v>
      </c>
      <c r="B1759" s="317" t="s">
        <v>251</v>
      </c>
      <c r="C1759" s="56">
        <v>45939</v>
      </c>
      <c r="D1759" s="43">
        <v>725</v>
      </c>
      <c r="G1759" t="s">
        <v>1648</v>
      </c>
    </row>
    <row r="1760" spans="1:7">
      <c r="A1760" s="123" t="s">
        <v>505</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554</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376</v>
      </c>
      <c r="B1766" s="337" t="s">
        <v>1025</v>
      </c>
      <c r="C1766" s="56">
        <v>45940</v>
      </c>
      <c r="F1766" s="311" t="s">
        <v>1487</v>
      </c>
      <c r="G1766" t="s">
        <v>1648</v>
      </c>
    </row>
    <row r="1767" spans="1:7">
      <c r="A1767" s="315" t="s">
        <v>515</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513</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556</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379</v>
      </c>
      <c r="B1776" s="525" t="s">
        <v>1025</v>
      </c>
      <c r="C1776" s="56">
        <v>45943</v>
      </c>
      <c r="D1776" s="43">
        <v>60</v>
      </c>
      <c r="G1776" t="s">
        <v>1648</v>
      </c>
    </row>
    <row r="1777" spans="1:7">
      <c r="A1777" s="123" t="s">
        <v>1043</v>
      </c>
      <c r="B1777" s="311" t="s">
        <v>1025</v>
      </c>
      <c r="C1777" s="56">
        <v>45944</v>
      </c>
      <c r="D1777" s="43">
        <v>163</v>
      </c>
      <c r="G1777" t="s">
        <v>1648</v>
      </c>
    </row>
    <row r="1778" spans="1:7">
      <c r="A1778" s="616" t="s">
        <v>513</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556</v>
      </c>
      <c r="B1782" s="141" t="s">
        <v>137</v>
      </c>
      <c r="C1782" s="310">
        <v>45944</v>
      </c>
      <c r="D1782" s="43">
        <v>510</v>
      </c>
      <c r="F1782" s="43" t="s">
        <v>1675</v>
      </c>
      <c r="G1782" t="s">
        <v>1648</v>
      </c>
    </row>
    <row r="1783" spans="1:7">
      <c r="A1783" s="806" t="s">
        <v>560</v>
      </c>
      <c r="B1783" s="141" t="s">
        <v>137</v>
      </c>
      <c r="C1783" s="310">
        <v>45944</v>
      </c>
      <c r="D1783" s="43">
        <v>974</v>
      </c>
      <c r="F1783" s="43" t="s">
        <v>1676</v>
      </c>
      <c r="G1783" t="s">
        <v>1648</v>
      </c>
    </row>
    <row r="1784" spans="1:7">
      <c r="A1784" s="315" t="s">
        <v>1078</v>
      </c>
      <c r="B1784" s="315" t="s">
        <v>444</v>
      </c>
      <c r="C1784" s="56">
        <v>45944</v>
      </c>
      <c r="D1784" s="155">
        <v>1603</v>
      </c>
      <c r="F1784" s="43" t="s">
        <v>1677</v>
      </c>
      <c r="G1784" t="s">
        <v>1648</v>
      </c>
    </row>
    <row r="1785" spans="1:7">
      <c r="A1785" s="311" t="s">
        <v>1073</v>
      </c>
      <c r="B1785" s="311" t="s">
        <v>1025</v>
      </c>
      <c r="C1785" s="56">
        <v>45944</v>
      </c>
      <c r="D1785" s="43">
        <v>144</v>
      </c>
      <c r="G1785" t="s">
        <v>1648</v>
      </c>
    </row>
    <row r="1786" spans="1:7">
      <c r="A1786" s="315" t="s">
        <v>389</v>
      </c>
      <c r="B1786" s="315" t="s">
        <v>251</v>
      </c>
      <c r="C1786" s="56">
        <v>45944</v>
      </c>
      <c r="D1786" s="43">
        <v>927</v>
      </c>
      <c r="F1786" s="43" t="s">
        <v>1655</v>
      </c>
      <c r="G1786" t="s">
        <v>1648</v>
      </c>
    </row>
    <row r="1787" spans="1:7">
      <c r="A1787" s="247" t="s">
        <v>379</v>
      </c>
      <c r="B1787" s="311" t="s">
        <v>1025</v>
      </c>
      <c r="C1787" s="56">
        <v>45944</v>
      </c>
      <c r="D1787" s="43">
        <v>219</v>
      </c>
      <c r="G1787" t="s">
        <v>1648</v>
      </c>
    </row>
    <row r="1788" spans="1:7">
      <c r="A1788" s="123" t="s">
        <v>1043</v>
      </c>
      <c r="B1788" s="311" t="s">
        <v>1025</v>
      </c>
      <c r="C1788" s="56">
        <v>45945</v>
      </c>
      <c r="D1788" s="43">
        <v>535</v>
      </c>
      <c r="G1788" t="s">
        <v>1648</v>
      </c>
    </row>
    <row r="1789" spans="1:7">
      <c r="A1789" s="616" t="s">
        <v>513</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560</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444</v>
      </c>
      <c r="C1793" s="56">
        <v>45945</v>
      </c>
      <c r="D1793" s="43">
        <v>791</v>
      </c>
      <c r="F1793" s="43" t="s">
        <v>1682</v>
      </c>
      <c r="G1793" t="s">
        <v>1648</v>
      </c>
    </row>
    <row r="1794" spans="1:7">
      <c r="A1794" s="306" t="s">
        <v>373</v>
      </c>
      <c r="B1794" s="311" t="s">
        <v>1025</v>
      </c>
      <c r="C1794" s="56">
        <v>45945</v>
      </c>
      <c r="D1794" s="43">
        <v>986</v>
      </c>
      <c r="G1794" t="s">
        <v>1648</v>
      </c>
    </row>
    <row r="1795" spans="1:7">
      <c r="A1795" s="306" t="s">
        <v>392</v>
      </c>
      <c r="B1795" s="348" t="s">
        <v>1683</v>
      </c>
      <c r="C1795" s="56">
        <v>45945</v>
      </c>
      <c r="D1795" s="155">
        <v>1457</v>
      </c>
      <c r="F1795" s="43" t="s">
        <v>1684</v>
      </c>
      <c r="G1795" t="s">
        <v>1648</v>
      </c>
    </row>
    <row r="1796" spans="1:7">
      <c r="A1796" s="311" t="s">
        <v>389</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513</v>
      </c>
      <c r="B1799" s="141" t="s">
        <v>1639</v>
      </c>
      <c r="C1799" s="310">
        <v>45946</v>
      </c>
      <c r="D1799" s="43">
        <v>487</v>
      </c>
      <c r="F1799" s="43" t="s">
        <v>1686</v>
      </c>
      <c r="G1799" t="s">
        <v>1648</v>
      </c>
    </row>
    <row r="1800" spans="1:7">
      <c r="A1800" s="935" t="s">
        <v>560</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444</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392</v>
      </c>
      <c r="B1805" s="141" t="s">
        <v>1683</v>
      </c>
      <c r="C1805" s="310">
        <v>45946</v>
      </c>
      <c r="D1805" s="155">
        <v>1142</v>
      </c>
      <c r="F1805" s="43" t="s">
        <v>1689</v>
      </c>
      <c r="G1805" t="s">
        <v>1648</v>
      </c>
    </row>
    <row r="1806" spans="1:7">
      <c r="A1806" s="304" t="s">
        <v>389</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513</v>
      </c>
      <c r="B1809" s="141" t="s">
        <v>1639</v>
      </c>
      <c r="C1809" s="56">
        <v>45947</v>
      </c>
      <c r="D1809" s="43">
        <v>123</v>
      </c>
      <c r="F1809" s="43" t="s">
        <v>1604</v>
      </c>
      <c r="G1809" t="s">
        <v>1648</v>
      </c>
    </row>
    <row r="1810" spans="1:7">
      <c r="A1810" s="683" t="s">
        <v>554</v>
      </c>
      <c r="B1810" s="683" t="s">
        <v>1025</v>
      </c>
      <c r="C1810" s="56">
        <v>45947</v>
      </c>
      <c r="F1810" s="43" t="s">
        <v>1692</v>
      </c>
      <c r="G1810" t="s">
        <v>1648</v>
      </c>
    </row>
    <row r="1811" spans="1:7">
      <c r="A1811" s="148" t="s">
        <v>1078</v>
      </c>
      <c r="B1811" s="115" t="s">
        <v>444</v>
      </c>
      <c r="C1811" s="56">
        <v>45947</v>
      </c>
      <c r="F1811" s="43" t="s">
        <v>1693</v>
      </c>
      <c r="G1811" t="s">
        <v>1648</v>
      </c>
    </row>
    <row r="1812" spans="1:7">
      <c r="A1812" s="618" t="s">
        <v>392</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508</v>
      </c>
      <c r="B1814" s="760" t="s">
        <v>1025</v>
      </c>
      <c r="C1814" s="56">
        <v>45950</v>
      </c>
      <c r="D1814" s="43">
        <v>153</v>
      </c>
      <c r="F1814" s="949"/>
      <c r="G1814" t="s">
        <v>1648</v>
      </c>
    </row>
    <row r="1815" spans="1:7">
      <c r="A1815" s="947" t="s">
        <v>513</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444</v>
      </c>
      <c r="C1818" s="56">
        <v>45950</v>
      </c>
      <c r="D1818" s="155">
        <v>3343</v>
      </c>
      <c r="F1818" s="43" t="s">
        <v>1697</v>
      </c>
      <c r="G1818" t="s">
        <v>1648</v>
      </c>
    </row>
    <row r="1819" spans="1:7">
      <c r="A1819" s="950" t="s">
        <v>515</v>
      </c>
      <c r="B1819" s="951" t="s">
        <v>1025</v>
      </c>
      <c r="C1819" s="56">
        <v>45950</v>
      </c>
      <c r="D1819" s="43">
        <v>151</v>
      </c>
      <c r="G1819" t="s">
        <v>1648</v>
      </c>
    </row>
    <row r="1820" spans="1:7">
      <c r="A1820" s="760" t="s">
        <v>392</v>
      </c>
      <c r="B1820" s="760" t="s">
        <v>1683</v>
      </c>
      <c r="C1820" s="56">
        <v>45950</v>
      </c>
      <c r="D1820" s="155">
        <v>1186</v>
      </c>
      <c r="F1820" s="43" t="s">
        <v>1523</v>
      </c>
      <c r="G1820" t="s">
        <v>1648</v>
      </c>
    </row>
    <row r="1821" spans="1:7">
      <c r="A1821" s="948" t="s">
        <v>389</v>
      </c>
      <c r="B1821" s="948" t="s">
        <v>251</v>
      </c>
      <c r="C1821" s="56">
        <v>45950</v>
      </c>
      <c r="D1821" s="155">
        <v>1100</v>
      </c>
      <c r="G1821" t="s">
        <v>1648</v>
      </c>
    </row>
    <row r="1822" spans="1:7">
      <c r="A1822" s="966" t="s">
        <v>508</v>
      </c>
      <c r="B1822" s="959" t="s">
        <v>1025</v>
      </c>
      <c r="C1822" s="56">
        <v>45951</v>
      </c>
      <c r="D1822" s="155">
        <v>244</v>
      </c>
      <c r="G1822" t="s">
        <v>1648</v>
      </c>
    </row>
    <row r="1823" spans="1:7">
      <c r="A1823" s="88" t="s">
        <v>513</v>
      </c>
      <c r="B1823" s="954" t="s">
        <v>1639</v>
      </c>
      <c r="C1823" s="56">
        <v>45951</v>
      </c>
      <c r="D1823" s="43">
        <v>413</v>
      </c>
      <c r="F1823" s="43" t="s">
        <v>1117</v>
      </c>
      <c r="G1823" t="s">
        <v>1648</v>
      </c>
    </row>
    <row r="1824" spans="1:7">
      <c r="A1824" s="955" t="s">
        <v>560</v>
      </c>
      <c r="B1824" s="683" t="s">
        <v>137</v>
      </c>
      <c r="C1824" s="56">
        <v>45951</v>
      </c>
      <c r="D1824" s="43">
        <v>230</v>
      </c>
      <c r="F1824" s="43" t="s">
        <v>1698</v>
      </c>
      <c r="G1824" t="s">
        <v>1648</v>
      </c>
    </row>
    <row r="1825" spans="1:7">
      <c r="A1825" s="115" t="s">
        <v>1078</v>
      </c>
      <c r="B1825" s="115" t="s">
        <v>444</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566</v>
      </c>
      <c r="B1827" s="43" t="s">
        <v>137</v>
      </c>
      <c r="C1827" s="56">
        <v>45951</v>
      </c>
      <c r="D1827" s="155">
        <v>1182</v>
      </c>
      <c r="F1827" s="43" t="s">
        <v>1700</v>
      </c>
      <c r="G1827" t="s">
        <v>1648</v>
      </c>
    </row>
    <row r="1828" spans="1:7">
      <c r="A1828" s="322" t="s">
        <v>515</v>
      </c>
      <c r="B1828" s="959" t="s">
        <v>1025</v>
      </c>
      <c r="C1828" s="56">
        <v>45951</v>
      </c>
      <c r="D1828" s="43">
        <v>149</v>
      </c>
      <c r="G1828" t="s">
        <v>1648</v>
      </c>
    </row>
    <row r="1829" spans="1:7">
      <c r="A1829" s="733" t="s">
        <v>392</v>
      </c>
      <c r="B1829" s="115" t="s">
        <v>1683</v>
      </c>
      <c r="C1829" s="56">
        <v>45951</v>
      </c>
      <c r="D1829" s="155">
        <v>1564</v>
      </c>
      <c r="F1829" s="43" t="s">
        <v>1701</v>
      </c>
      <c r="G1829" t="s">
        <v>1648</v>
      </c>
    </row>
    <row r="1830" spans="1:7">
      <c r="A1830" s="43" t="s">
        <v>389</v>
      </c>
      <c r="B1830" s="141" t="s">
        <v>251</v>
      </c>
      <c r="C1830" s="56">
        <v>45951</v>
      </c>
      <c r="D1830" s="43">
        <v>527</v>
      </c>
      <c r="F1830" s="43" t="s">
        <v>1690</v>
      </c>
      <c r="G1830" t="s">
        <v>1648</v>
      </c>
    </row>
    <row r="1831" spans="1:7">
      <c r="A1831" s="91" t="s">
        <v>402</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513</v>
      </c>
      <c r="B1833" s="954" t="s">
        <v>1639</v>
      </c>
      <c r="C1833" s="56">
        <v>45952</v>
      </c>
      <c r="D1833" s="43">
        <v>190</v>
      </c>
      <c r="G1833" t="s">
        <v>1648</v>
      </c>
    </row>
    <row r="1834" spans="1:7">
      <c r="A1834" s="806" t="s">
        <v>1078</v>
      </c>
      <c r="B1834" s="806" t="s">
        <v>444</v>
      </c>
      <c r="C1834" s="56">
        <v>45952</v>
      </c>
      <c r="D1834" s="155">
        <v>2013</v>
      </c>
      <c r="F1834" s="320" t="s">
        <v>1703</v>
      </c>
      <c r="G1834" t="s">
        <v>1648</v>
      </c>
    </row>
    <row r="1835" spans="1:7">
      <c r="A1835" s="806" t="s">
        <v>566</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515</v>
      </c>
      <c r="B1837" s="967" t="s">
        <v>1025</v>
      </c>
      <c r="C1837" s="56">
        <v>45952</v>
      </c>
      <c r="F1837" s="306" t="s">
        <v>1706</v>
      </c>
      <c r="G1837" t="s">
        <v>1648</v>
      </c>
    </row>
    <row r="1838" spans="1:7">
      <c r="A1838" s="618" t="s">
        <v>392</v>
      </c>
      <c r="B1838" s="161" t="s">
        <v>1683</v>
      </c>
      <c r="C1838" s="56">
        <v>45952</v>
      </c>
      <c r="D1838" s="155">
        <v>1012</v>
      </c>
      <c r="F1838" s="43" t="s">
        <v>1707</v>
      </c>
      <c r="G1838" t="s">
        <v>1648</v>
      </c>
    </row>
    <row r="1839" spans="1:7">
      <c r="A1839" s="43" t="s">
        <v>389</v>
      </c>
      <c r="B1839" s="318" t="s">
        <v>251</v>
      </c>
      <c r="C1839" s="56">
        <v>45952</v>
      </c>
      <c r="D1839" s="43">
        <v>553</v>
      </c>
      <c r="G1839" t="s">
        <v>1648</v>
      </c>
    </row>
    <row r="1840" spans="1:7">
      <c r="A1840" s="69" t="s">
        <v>402</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508</v>
      </c>
      <c r="B1842" s="974" t="s">
        <v>1025</v>
      </c>
      <c r="C1842" s="56">
        <v>45953</v>
      </c>
      <c r="D1842" s="43">
        <v>237</v>
      </c>
      <c r="G1842" t="s">
        <v>1648</v>
      </c>
    </row>
    <row r="1843" spans="1:7">
      <c r="A1843" s="331" t="s">
        <v>513</v>
      </c>
      <c r="B1843" s="247" t="s">
        <v>1639</v>
      </c>
      <c r="C1843" s="310">
        <v>45953</v>
      </c>
      <c r="D1843" s="43">
        <v>844</v>
      </c>
      <c r="F1843" s="43" t="s">
        <v>1709</v>
      </c>
      <c r="G1843" t="s">
        <v>1648</v>
      </c>
    </row>
    <row r="1844" spans="1:7">
      <c r="A1844" s="331" t="s">
        <v>513</v>
      </c>
      <c r="B1844" s="247" t="s">
        <v>1710</v>
      </c>
      <c r="C1844" s="310">
        <v>45953</v>
      </c>
      <c r="D1844" s="43">
        <v>350</v>
      </c>
      <c r="G1844" t="s">
        <v>1648</v>
      </c>
    </row>
    <row r="1845" spans="1:7">
      <c r="A1845" s="141" t="s">
        <v>1078</v>
      </c>
      <c r="B1845" s="304" t="s">
        <v>444</v>
      </c>
      <c r="C1845" s="56">
        <v>45953</v>
      </c>
      <c r="D1845" s="155">
        <v>1500</v>
      </c>
      <c r="F1845" s="43" t="s">
        <v>1711</v>
      </c>
      <c r="G1845" t="s">
        <v>1648</v>
      </c>
    </row>
    <row r="1846" spans="1:7">
      <c r="A1846" s="141" t="s">
        <v>566</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535</v>
      </c>
      <c r="B1848" s="398" t="s">
        <v>1025</v>
      </c>
      <c r="C1848" s="56">
        <v>45953</v>
      </c>
      <c r="F1848" s="311" t="s">
        <v>1520</v>
      </c>
      <c r="G1848" t="s">
        <v>1648</v>
      </c>
    </row>
    <row r="1849" spans="1:7">
      <c r="A1849" s="932" t="s">
        <v>515</v>
      </c>
      <c r="B1849" s="967" t="s">
        <v>1025</v>
      </c>
      <c r="C1849" s="56">
        <v>45953</v>
      </c>
      <c r="F1849" s="306" t="s">
        <v>1301</v>
      </c>
      <c r="G1849" t="s">
        <v>1648</v>
      </c>
    </row>
    <row r="1850" spans="1:7">
      <c r="A1850" s="618" t="s">
        <v>392</v>
      </c>
      <c r="B1850" s="161" t="s">
        <v>1683</v>
      </c>
      <c r="C1850" s="56">
        <v>45953</v>
      </c>
      <c r="D1850" s="43">
        <v>588</v>
      </c>
      <c r="F1850" s="43" t="s">
        <v>1714</v>
      </c>
      <c r="G1850" t="s">
        <v>1648</v>
      </c>
    </row>
    <row r="1851" spans="1:7">
      <c r="A1851" s="69" t="s">
        <v>402</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513</v>
      </c>
      <c r="B1854" s="247" t="s">
        <v>1639</v>
      </c>
      <c r="C1854" s="56">
        <v>45954</v>
      </c>
      <c r="D1854" s="43">
        <v>142</v>
      </c>
      <c r="F1854" s="43" t="s">
        <v>1716</v>
      </c>
      <c r="G1854" t="s">
        <v>1648</v>
      </c>
    </row>
    <row r="1855" spans="1:7">
      <c r="A1855" s="88" t="s">
        <v>513</v>
      </c>
      <c r="B1855" s="247" t="s">
        <v>1710</v>
      </c>
      <c r="C1855" s="56">
        <v>45954</v>
      </c>
      <c r="D1855" s="43">
        <v>164</v>
      </c>
      <c r="F1855" s="43" t="s">
        <v>1717</v>
      </c>
      <c r="G1855" t="s">
        <v>1648</v>
      </c>
    </row>
    <row r="1856" spans="1:7">
      <c r="A1856" s="141" t="s">
        <v>1078</v>
      </c>
      <c r="B1856" s="304" t="s">
        <v>444</v>
      </c>
      <c r="C1856" s="56">
        <v>45954</v>
      </c>
      <c r="D1856" s="155">
        <v>1933</v>
      </c>
      <c r="G1856" t="s">
        <v>1648</v>
      </c>
    </row>
    <row r="1857" spans="1:7">
      <c r="A1857" s="932" t="s">
        <v>515</v>
      </c>
      <c r="B1857" s="967" t="s">
        <v>1025</v>
      </c>
      <c r="C1857" s="56">
        <v>45954</v>
      </c>
      <c r="F1857" s="43" t="s">
        <v>1718</v>
      </c>
      <c r="G1857" t="s">
        <v>1648</v>
      </c>
    </row>
    <row r="1858" spans="1:7">
      <c r="A1858" s="618" t="s">
        <v>390</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513</v>
      </c>
      <c r="B1861" s="247" t="s">
        <v>1639</v>
      </c>
      <c r="C1861" s="56">
        <v>45957</v>
      </c>
      <c r="F1861" s="43" t="s">
        <v>1117</v>
      </c>
      <c r="G1861" t="s">
        <v>1648</v>
      </c>
    </row>
    <row r="1862" spans="1:7">
      <c r="A1862" s="88" t="s">
        <v>513</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444</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566</v>
      </c>
      <c r="B1867" s="395" t="s">
        <v>137</v>
      </c>
      <c r="C1867" s="56">
        <v>45957</v>
      </c>
      <c r="D1867" s="155">
        <v>1310</v>
      </c>
      <c r="F1867" s="43" t="s">
        <v>1725</v>
      </c>
      <c r="G1867" t="s">
        <v>1648</v>
      </c>
    </row>
    <row r="1868" spans="1:7">
      <c r="A1868" s="169" t="s">
        <v>535</v>
      </c>
      <c r="B1868" s="169" t="s">
        <v>137</v>
      </c>
      <c r="C1868" s="56">
        <v>45957</v>
      </c>
      <c r="D1868" s="43">
        <v>270</v>
      </c>
      <c r="G1868" t="s">
        <v>1648</v>
      </c>
    </row>
    <row r="1869" spans="1:7">
      <c r="A1869" s="932" t="s">
        <v>301</v>
      </c>
      <c r="B1869" s="967" t="s">
        <v>1025</v>
      </c>
      <c r="C1869" s="56">
        <v>45957</v>
      </c>
      <c r="F1869" s="320" t="s">
        <v>1547</v>
      </c>
      <c r="G1869" t="s">
        <v>1648</v>
      </c>
    </row>
    <row r="1870" spans="1:7">
      <c r="A1870" s="618" t="s">
        <v>390</v>
      </c>
      <c r="B1870" s="161" t="s">
        <v>1683</v>
      </c>
      <c r="C1870" s="56">
        <v>45957</v>
      </c>
      <c r="D1870" s="155">
        <v>1323</v>
      </c>
      <c r="F1870" s="43" t="s">
        <v>1726</v>
      </c>
      <c r="G1870" t="s">
        <v>1648</v>
      </c>
    </row>
    <row r="1871" spans="1:7">
      <c r="A1871" s="43" t="s">
        <v>389</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513</v>
      </c>
      <c r="B1874" s="247" t="s">
        <v>1639</v>
      </c>
      <c r="C1874" s="56">
        <v>45958</v>
      </c>
      <c r="F1874" s="320" t="s">
        <v>1301</v>
      </c>
      <c r="G1874" t="s">
        <v>1648</v>
      </c>
    </row>
    <row r="1875" spans="1:7">
      <c r="A1875" s="88" t="s">
        <v>513</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444</v>
      </c>
      <c r="C1878" s="56">
        <v>45958</v>
      </c>
      <c r="D1878" s="155">
        <v>2077</v>
      </c>
      <c r="G1878" t="s">
        <v>1648</v>
      </c>
    </row>
    <row r="1879" spans="1:7">
      <c r="A1879" s="141" t="s">
        <v>558</v>
      </c>
      <c r="B1879" s="141" t="s">
        <v>137</v>
      </c>
      <c r="C1879" s="56">
        <v>45958</v>
      </c>
      <c r="D1879" s="155">
        <v>1509</v>
      </c>
      <c r="F1879" s="43" t="s">
        <v>1730</v>
      </c>
      <c r="G1879" t="s">
        <v>1648</v>
      </c>
    </row>
    <row r="1880" spans="1:7">
      <c r="A1880" s="968" t="s">
        <v>552</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535</v>
      </c>
      <c r="B1882" s="169" t="s">
        <v>1025</v>
      </c>
      <c r="C1882" s="56">
        <v>45958</v>
      </c>
      <c r="D1882" s="43">
        <v>60</v>
      </c>
      <c r="E1882" s="139">
        <v>886</v>
      </c>
      <c r="F1882" s="43" t="s">
        <v>1732</v>
      </c>
      <c r="G1882" t="s">
        <v>1648</v>
      </c>
    </row>
    <row r="1883" spans="1:7">
      <c r="A1883" s="618" t="s">
        <v>390</v>
      </c>
      <c r="B1883" s="161" t="s">
        <v>1683</v>
      </c>
      <c r="C1883" s="56">
        <v>45958</v>
      </c>
      <c r="D1883" s="155">
        <v>1516</v>
      </c>
      <c r="F1883" s="43" t="s">
        <v>1733</v>
      </c>
      <c r="G1883" t="s">
        <v>1648</v>
      </c>
    </row>
    <row r="1884" spans="1:7">
      <c r="A1884" s="43" t="s">
        <v>389</v>
      </c>
      <c r="B1884" s="318" t="s">
        <v>251</v>
      </c>
      <c r="C1884" s="56">
        <v>45958</v>
      </c>
      <c r="D1884" s="155">
        <v>1224</v>
      </c>
      <c r="G1884" t="s">
        <v>1648</v>
      </c>
    </row>
    <row r="1885" spans="1:7">
      <c r="A1885" s="43" t="s">
        <v>389</v>
      </c>
      <c r="B1885" s="655" t="s">
        <v>251</v>
      </c>
      <c r="C1885" s="56">
        <v>45958</v>
      </c>
      <c r="D1885" s="155">
        <v>423</v>
      </c>
      <c r="G1885" t="s">
        <v>1648</v>
      </c>
    </row>
    <row r="1886" spans="1:7">
      <c r="A1886" s="88" t="s">
        <v>505</v>
      </c>
      <c r="B1886" s="398" t="s">
        <v>1025</v>
      </c>
      <c r="C1886" s="56">
        <v>45959</v>
      </c>
      <c r="D1886" s="43">
        <v>171</v>
      </c>
      <c r="G1886" t="s">
        <v>1648</v>
      </c>
    </row>
    <row r="1887" spans="1:7">
      <c r="A1887" s="88" t="s">
        <v>513</v>
      </c>
      <c r="B1887" s="247" t="s">
        <v>1639</v>
      </c>
      <c r="C1887" s="56">
        <v>45959</v>
      </c>
      <c r="F1887" s="43" t="s">
        <v>1734</v>
      </c>
      <c r="G1887" t="s">
        <v>1648</v>
      </c>
    </row>
    <row r="1888" spans="1:7">
      <c r="A1888" s="88" t="s">
        <v>513</v>
      </c>
      <c r="B1888" s="247" t="s">
        <v>1735</v>
      </c>
      <c r="C1888" s="56">
        <v>45959</v>
      </c>
      <c r="D1888" s="155">
        <v>1147</v>
      </c>
      <c r="F1888" s="43" t="s">
        <v>1736</v>
      </c>
      <c r="G1888" t="s">
        <v>1648</v>
      </c>
    </row>
    <row r="1889" spans="1:7">
      <c r="A1889" s="88" t="s">
        <v>513</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444</v>
      </c>
      <c r="C1892" s="56">
        <v>45959</v>
      </c>
      <c r="D1892" s="155">
        <v>1096</v>
      </c>
      <c r="F1892" s="43" t="s">
        <v>1738</v>
      </c>
      <c r="G1892" t="s">
        <v>1648</v>
      </c>
    </row>
    <row r="1893" spans="1:7">
      <c r="A1893" s="757" t="s">
        <v>558</v>
      </c>
      <c r="B1893" s="655" t="s">
        <v>137</v>
      </c>
      <c r="C1893" s="56">
        <v>45959</v>
      </c>
      <c r="D1893" s="155">
        <v>1087</v>
      </c>
      <c r="F1893" s="43" t="s">
        <v>1739</v>
      </c>
      <c r="G1893" t="s">
        <v>1648</v>
      </c>
    </row>
    <row r="1894" spans="1:7">
      <c r="A1894" s="981" t="s">
        <v>390</v>
      </c>
      <c r="B1894" s="161" t="s">
        <v>1683</v>
      </c>
      <c r="C1894" s="56">
        <v>45959</v>
      </c>
      <c r="D1894" s="43">
        <v>790</v>
      </c>
      <c r="F1894" s="43" t="s">
        <v>1740</v>
      </c>
      <c r="G1894" t="s">
        <v>1648</v>
      </c>
    </row>
    <row r="1895" spans="1:7">
      <c r="A1895" s="43" t="s">
        <v>389</v>
      </c>
      <c r="B1895" s="655" t="s">
        <v>251</v>
      </c>
      <c r="C1895" s="56">
        <v>45959</v>
      </c>
      <c r="D1895" s="43">
        <v>343</v>
      </c>
      <c r="G1895" t="s">
        <v>1648</v>
      </c>
    </row>
    <row r="1896" spans="1:7">
      <c r="A1896" s="69" t="s">
        <v>385</v>
      </c>
      <c r="B1896" s="43" t="s">
        <v>251</v>
      </c>
      <c r="C1896" s="56">
        <v>45959</v>
      </c>
      <c r="D1896" s="155">
        <v>3179</v>
      </c>
      <c r="G1896" t="s">
        <v>1648</v>
      </c>
    </row>
    <row r="1897" spans="1:7">
      <c r="A1897" s="311" t="s">
        <v>373</v>
      </c>
      <c r="B1897" s="311" t="s">
        <v>1025</v>
      </c>
      <c r="C1897" s="56">
        <v>45959</v>
      </c>
      <c r="F1897" s="43" t="s">
        <v>1741</v>
      </c>
      <c r="G1897" t="s">
        <v>1648</v>
      </c>
    </row>
    <row r="1898" spans="1:7">
      <c r="A1898" s="315" t="s">
        <v>515</v>
      </c>
      <c r="B1898" s="315" t="s">
        <v>1025</v>
      </c>
      <c r="C1898" s="56">
        <v>45959</v>
      </c>
      <c r="E1898" s="321">
        <v>5475</v>
      </c>
      <c r="F1898" s="43" t="s">
        <v>1742</v>
      </c>
      <c r="G1898" t="s">
        <v>1648</v>
      </c>
    </row>
    <row r="1899" spans="1:7">
      <c r="A1899" s="88" t="s">
        <v>513</v>
      </c>
      <c r="B1899" s="247" t="s">
        <v>1639</v>
      </c>
      <c r="C1899" s="56">
        <v>45960</v>
      </c>
      <c r="F1899" s="320" t="s">
        <v>1743</v>
      </c>
      <c r="G1899" t="s">
        <v>1648</v>
      </c>
    </row>
    <row r="1900" spans="1:7">
      <c r="A1900" s="88" t="s">
        <v>513</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444</v>
      </c>
      <c r="C1903" s="56">
        <v>45960</v>
      </c>
      <c r="F1903" s="141" t="s">
        <v>1747</v>
      </c>
      <c r="G1903" t="s">
        <v>1648</v>
      </c>
    </row>
    <row r="1904" spans="1:7">
      <c r="A1904" s="306" t="s">
        <v>558</v>
      </c>
      <c r="B1904" s="318" t="s">
        <v>137</v>
      </c>
      <c r="C1904" s="56">
        <v>45960</v>
      </c>
      <c r="D1904" s="43">
        <v>777</v>
      </c>
      <c r="F1904" s="43" t="s">
        <v>1748</v>
      </c>
      <c r="G1904" t="s">
        <v>1648</v>
      </c>
    </row>
    <row r="1905" spans="1:7">
      <c r="A1905" s="43" t="s">
        <v>552</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440</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556</v>
      </c>
      <c r="B1909" s="169" t="s">
        <v>137</v>
      </c>
      <c r="C1909" s="56">
        <v>45960</v>
      </c>
      <c r="D1909" s="139"/>
      <c r="E1909" s="43"/>
      <c r="F1909" s="154" t="s">
        <v>1750</v>
      </c>
      <c r="G1909" t="s">
        <v>1648</v>
      </c>
    </row>
    <row r="1910" spans="1:7">
      <c r="A1910" s="43" t="s">
        <v>389</v>
      </c>
      <c r="B1910" s="318" t="s">
        <v>251</v>
      </c>
      <c r="C1910" s="56">
        <v>45960</v>
      </c>
      <c r="E1910" s="253"/>
      <c r="F1910" s="615" t="s">
        <v>1338</v>
      </c>
      <c r="G1910" t="s">
        <v>1648</v>
      </c>
    </row>
    <row r="1911" spans="1:7">
      <c r="A1911" s="618" t="s">
        <v>390</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373</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513</v>
      </c>
      <c r="B1915" s="247" t="s">
        <v>1639</v>
      </c>
      <c r="C1915" s="56">
        <v>45961</v>
      </c>
      <c r="F1915" s="320" t="s">
        <v>1324</v>
      </c>
      <c r="G1915" t="s">
        <v>1648</v>
      </c>
    </row>
    <row r="1916" spans="1:7">
      <c r="A1916" s="88" t="s">
        <v>513</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444</v>
      </c>
      <c r="C1919" s="56">
        <v>45961</v>
      </c>
      <c r="E1919" s="321">
        <v>1428</v>
      </c>
      <c r="F1919" s="69"/>
      <c r="G1919" t="s">
        <v>1648</v>
      </c>
    </row>
    <row r="1920" spans="1:7">
      <c r="A1920" s="141" t="s">
        <v>558</v>
      </c>
      <c r="B1920" s="141" t="s">
        <v>137</v>
      </c>
      <c r="C1920" s="56">
        <v>45961</v>
      </c>
      <c r="F1920" s="69" t="s">
        <v>1755</v>
      </c>
      <c r="G1920" t="s">
        <v>1648</v>
      </c>
    </row>
    <row r="1921" spans="1:7">
      <c r="A1921" s="43" t="s">
        <v>558</v>
      </c>
      <c r="B1921" s="395" t="s">
        <v>1025</v>
      </c>
      <c r="C1921" s="56">
        <v>45961</v>
      </c>
      <c r="E1921" s="321">
        <v>1862</v>
      </c>
      <c r="F1921" s="618" t="s">
        <v>1471</v>
      </c>
      <c r="G1921" t="s">
        <v>1648</v>
      </c>
    </row>
    <row r="1922" spans="1:7">
      <c r="A1922" s="43" t="s">
        <v>529</v>
      </c>
      <c r="B1922" s="169" t="s">
        <v>1025</v>
      </c>
      <c r="C1922" s="56">
        <v>45961</v>
      </c>
      <c r="D1922" s="43">
        <v>60</v>
      </c>
      <c r="G1922" t="s">
        <v>1648</v>
      </c>
    </row>
    <row r="1923" spans="1:7">
      <c r="A1923" s="618" t="s">
        <v>390</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402</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513</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566</v>
      </c>
      <c r="B1929" s="349" t="s">
        <v>137</v>
      </c>
      <c r="C1929" s="56">
        <v>45964</v>
      </c>
      <c r="D1929" s="43">
        <v>701</v>
      </c>
      <c r="F1929" s="43" t="s">
        <v>1591</v>
      </c>
      <c r="G1929" t="s">
        <v>1758</v>
      </c>
    </row>
    <row r="1930" spans="1:7">
      <c r="A1930" s="141" t="s">
        <v>564</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440</v>
      </c>
      <c r="B1932" s="304" t="s">
        <v>1025</v>
      </c>
      <c r="C1932" s="56">
        <v>45964</v>
      </c>
      <c r="D1932" s="43">
        <v>259</v>
      </c>
      <c r="G1932" t="s">
        <v>1758</v>
      </c>
    </row>
    <row r="1933" spans="1:7">
      <c r="A1933" s="141" t="s">
        <v>402</v>
      </c>
      <c r="B1933" s="318" t="s">
        <v>1683</v>
      </c>
      <c r="C1933" s="56">
        <v>45964</v>
      </c>
      <c r="D1933" s="43">
        <v>463</v>
      </c>
      <c r="G1933" t="s">
        <v>1758</v>
      </c>
    </row>
    <row r="1934" spans="1:7">
      <c r="A1934" s="305" t="s">
        <v>385</v>
      </c>
      <c r="B1934" s="304" t="s">
        <v>251</v>
      </c>
      <c r="C1934" s="56">
        <v>45964</v>
      </c>
      <c r="D1934" s="43">
        <v>882</v>
      </c>
      <c r="F1934" s="43" t="s">
        <v>1761</v>
      </c>
      <c r="G1934" t="s">
        <v>1758</v>
      </c>
    </row>
    <row r="1935" spans="1:7">
      <c r="A1935" s="141" t="s">
        <v>373</v>
      </c>
      <c r="B1935" s="349" t="s">
        <v>1025</v>
      </c>
      <c r="C1935" s="56">
        <v>45964</v>
      </c>
      <c r="F1935" s="43" t="s">
        <v>1494</v>
      </c>
      <c r="G1935" t="s">
        <v>1758</v>
      </c>
    </row>
    <row r="1936" spans="1:7">
      <c r="A1936" s="141" t="s">
        <v>373</v>
      </c>
      <c r="B1936" s="349" t="s">
        <v>1762</v>
      </c>
      <c r="C1936" s="56">
        <v>45964</v>
      </c>
      <c r="E1936" s="321">
        <v>3846</v>
      </c>
      <c r="F1936" s="43" t="s">
        <v>1763</v>
      </c>
      <c r="G1936" t="s">
        <v>1758</v>
      </c>
    </row>
    <row r="1937" spans="1:7">
      <c r="A1937" s="141" t="s">
        <v>373</v>
      </c>
      <c r="B1937" s="349" t="s">
        <v>374</v>
      </c>
      <c r="C1937" s="56">
        <v>45964</v>
      </c>
      <c r="F1937" s="924" t="s">
        <v>1764</v>
      </c>
      <c r="G1937" t="s">
        <v>1758</v>
      </c>
    </row>
    <row r="1938" spans="1:7">
      <c r="A1938" s="141" t="s">
        <v>404</v>
      </c>
      <c r="B1938" s="1005" t="s">
        <v>1025</v>
      </c>
      <c r="C1938" s="56">
        <v>45964</v>
      </c>
      <c r="D1938" s="43">
        <v>207</v>
      </c>
      <c r="G1938" t="s">
        <v>1758</v>
      </c>
    </row>
    <row r="1939" spans="1:7">
      <c r="A1939" s="141" t="s">
        <v>460</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513</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564</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440</v>
      </c>
      <c r="B1947" s="43" t="s">
        <v>1767</v>
      </c>
      <c r="C1947" s="56">
        <v>45965</v>
      </c>
      <c r="D1947" s="43">
        <v>817</v>
      </c>
      <c r="G1947" t="s">
        <v>1758</v>
      </c>
    </row>
    <row r="1948" spans="1:7">
      <c r="A1948" s="43" t="s">
        <v>440</v>
      </c>
      <c r="B1948" s="43" t="s">
        <v>1025</v>
      </c>
      <c r="C1948" s="56">
        <v>45965</v>
      </c>
      <c r="D1948" s="43">
        <v>270</v>
      </c>
      <c r="G1948" t="s">
        <v>1758</v>
      </c>
    </row>
    <row r="1949" spans="1:7">
      <c r="A1949" s="618" t="s">
        <v>402</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385</v>
      </c>
      <c r="B1951" s="43" t="s">
        <v>251</v>
      </c>
      <c r="C1951" s="56">
        <v>45965</v>
      </c>
      <c r="D1951" s="155">
        <v>1072</v>
      </c>
      <c r="F1951" s="43" t="s">
        <v>1769</v>
      </c>
      <c r="G1951" t="s">
        <v>1758</v>
      </c>
    </row>
    <row r="1952" spans="1:7">
      <c r="A1952" s="1007" t="s">
        <v>392</v>
      </c>
      <c r="B1952" s="757" t="s">
        <v>1683</v>
      </c>
      <c r="C1952" s="56">
        <v>45965</v>
      </c>
      <c r="F1952" s="924" t="s">
        <v>1182</v>
      </c>
      <c r="G1952" t="s">
        <v>1758</v>
      </c>
    </row>
    <row r="1953" spans="1:7">
      <c r="A1953" s="371" t="s">
        <v>531</v>
      </c>
      <c r="B1953" s="115" t="s">
        <v>1025</v>
      </c>
      <c r="C1953" s="56">
        <v>45965</v>
      </c>
      <c r="E1953" s="201"/>
      <c r="F1953" s="924" t="s">
        <v>1465</v>
      </c>
      <c r="G1953" t="s">
        <v>1758</v>
      </c>
    </row>
    <row r="1954" spans="1:7">
      <c r="A1954" s="247" t="s">
        <v>460</v>
      </c>
      <c r="B1954" s="43" t="s">
        <v>137</v>
      </c>
      <c r="C1954" s="56">
        <v>45965</v>
      </c>
      <c r="D1954" s="321">
        <v>3910</v>
      </c>
      <c r="E1954" s="43"/>
      <c r="F1954" s="154" t="s">
        <v>1770</v>
      </c>
      <c r="G1954" t="s">
        <v>1758</v>
      </c>
    </row>
    <row r="1955" spans="1:7">
      <c r="A1955" s="247" t="s">
        <v>335</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564</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440</v>
      </c>
      <c r="B1960" s="304" t="s">
        <v>1767</v>
      </c>
      <c r="C1960" s="56">
        <v>45966</v>
      </c>
      <c r="D1960" s="155">
        <v>1377</v>
      </c>
      <c r="G1960" t="s">
        <v>1758</v>
      </c>
    </row>
    <row r="1961" spans="1:7">
      <c r="A1961" s="304" t="s">
        <v>440</v>
      </c>
      <c r="B1961" s="304" t="s">
        <v>1025</v>
      </c>
      <c r="C1961" s="56">
        <v>45966</v>
      </c>
      <c r="D1961" s="43">
        <v>829</v>
      </c>
      <c r="G1961" t="s">
        <v>1758</v>
      </c>
    </row>
    <row r="1962" spans="1:7">
      <c r="A1962" s="304" t="s">
        <v>582</v>
      </c>
      <c r="B1962" s="304" t="s">
        <v>137</v>
      </c>
      <c r="C1962" s="56">
        <v>45966</v>
      </c>
      <c r="D1962" s="155">
        <v>1031</v>
      </c>
      <c r="G1962" t="s">
        <v>1758</v>
      </c>
    </row>
    <row r="1963" spans="1:7">
      <c r="A1963" s="141" t="s">
        <v>402</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385</v>
      </c>
      <c r="B1965" s="304" t="s">
        <v>251</v>
      </c>
      <c r="C1965" s="56">
        <v>45966</v>
      </c>
      <c r="D1965" s="155">
        <v>1034</v>
      </c>
      <c r="G1965" t="s">
        <v>1758</v>
      </c>
    </row>
    <row r="1966" spans="1:7">
      <c r="A1966" s="311" t="s">
        <v>379</v>
      </c>
      <c r="B1966" s="1008" t="s">
        <v>1463</v>
      </c>
      <c r="C1966" s="56">
        <v>45966</v>
      </c>
      <c r="D1966" s="43">
        <v>150</v>
      </c>
      <c r="G1966" t="s">
        <v>1758</v>
      </c>
    </row>
    <row r="1967" spans="1:7">
      <c r="A1967" s="247" t="s">
        <v>373</v>
      </c>
      <c r="B1967" s="157" t="s">
        <v>1762</v>
      </c>
      <c r="C1967" s="56">
        <v>45966</v>
      </c>
      <c r="E1967" s="1013">
        <v>13112</v>
      </c>
      <c r="F1967" s="115" t="s">
        <v>1772</v>
      </c>
      <c r="G1967" t="s">
        <v>1758</v>
      </c>
    </row>
    <row r="1968" spans="1:7">
      <c r="A1968" s="247" t="s">
        <v>460</v>
      </c>
      <c r="B1968" s="304" t="s">
        <v>137</v>
      </c>
      <c r="C1968" s="56">
        <v>45966</v>
      </c>
      <c r="D1968" s="139">
        <v>346</v>
      </c>
      <c r="E1968" s="155"/>
      <c r="F1968" s="43" t="s">
        <v>1465</v>
      </c>
      <c r="G1968" t="s">
        <v>1758</v>
      </c>
    </row>
    <row r="1969" spans="1:7">
      <c r="A1969" s="371" t="s">
        <v>335</v>
      </c>
      <c r="B1969" s="304" t="s">
        <v>137</v>
      </c>
      <c r="C1969" s="56">
        <v>45966</v>
      </c>
      <c r="D1969" s="139">
        <v>656</v>
      </c>
      <c r="E1969" s="155"/>
      <c r="G1969" t="s">
        <v>1758</v>
      </c>
    </row>
    <row r="1970" spans="1:7">
      <c r="A1970" s="371" t="s">
        <v>451</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564</v>
      </c>
      <c r="B1973" s="43" t="s">
        <v>137</v>
      </c>
      <c r="C1973" s="56">
        <v>45967</v>
      </c>
      <c r="D1973" s="43">
        <v>954</v>
      </c>
      <c r="F1973" s="43" t="s">
        <v>1776</v>
      </c>
      <c r="G1973" t="s">
        <v>1758</v>
      </c>
    </row>
    <row r="1974" spans="1:7">
      <c r="A1974" s="43" t="s">
        <v>440</v>
      </c>
      <c r="B1974" s="43" t="s">
        <v>1767</v>
      </c>
      <c r="C1974" s="56">
        <v>45967</v>
      </c>
      <c r="D1974" s="43">
        <v>183</v>
      </c>
      <c r="G1974" t="s">
        <v>1758</v>
      </c>
    </row>
    <row r="1975" spans="1:7">
      <c r="A1975" s="43" t="s">
        <v>440</v>
      </c>
      <c r="B1975" s="43" t="s">
        <v>1025</v>
      </c>
      <c r="C1975" s="56">
        <v>45967</v>
      </c>
      <c r="D1975" s="43">
        <v>270</v>
      </c>
      <c r="G1975" t="s">
        <v>1758</v>
      </c>
    </row>
    <row r="1976" spans="1:7">
      <c r="A1976" s="618" t="s">
        <v>402</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385</v>
      </c>
      <c r="B1978" s="43" t="s">
        <v>251</v>
      </c>
      <c r="C1978" s="56">
        <v>45967</v>
      </c>
      <c r="D1978" s="43">
        <v>209</v>
      </c>
      <c r="G1978" t="s">
        <v>1758</v>
      </c>
    </row>
    <row r="1979" spans="1:7">
      <c r="A1979" s="618" t="s">
        <v>401</v>
      </c>
      <c r="B1979" s="757" t="s">
        <v>1683</v>
      </c>
      <c r="C1979" s="56">
        <v>45967</v>
      </c>
      <c r="D1979" s="155">
        <v>1063</v>
      </c>
      <c r="G1979" t="s">
        <v>1758</v>
      </c>
    </row>
    <row r="1980" spans="1:7">
      <c r="A1980" s="733" t="s">
        <v>451</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511</v>
      </c>
      <c r="B1983" s="346" t="s">
        <v>1710</v>
      </c>
      <c r="C1983" s="56">
        <v>45968</v>
      </c>
      <c r="D1983" s="43">
        <v>451</v>
      </c>
      <c r="G1983" t="s">
        <v>1758</v>
      </c>
    </row>
    <row r="1984" spans="1:7">
      <c r="A1984" s="304" t="s">
        <v>440</v>
      </c>
      <c r="B1984" s="141" t="s">
        <v>1767</v>
      </c>
      <c r="C1984" s="56">
        <v>45968</v>
      </c>
      <c r="G1984" t="s">
        <v>1758</v>
      </c>
    </row>
    <row r="1985" spans="1:7">
      <c r="A1985" s="141" t="s">
        <v>401</v>
      </c>
      <c r="B1985" s="304" t="s">
        <v>1025</v>
      </c>
      <c r="C1985" s="56">
        <v>45968</v>
      </c>
      <c r="D1985" s="43">
        <v>350</v>
      </c>
      <c r="G1985" t="s">
        <v>1758</v>
      </c>
    </row>
    <row r="1986" spans="1:7">
      <c r="A1986" s="141" t="s">
        <v>401</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390</v>
      </c>
      <c r="B1988" s="757" t="s">
        <v>1683</v>
      </c>
      <c r="C1988" s="56">
        <v>45968</v>
      </c>
      <c r="F1988" s="311" t="s">
        <v>1408</v>
      </c>
      <c r="G1988" t="s">
        <v>1758</v>
      </c>
    </row>
    <row r="1989" spans="1:7">
      <c r="A1989" s="247" t="s">
        <v>399</v>
      </c>
      <c r="B1989" s="43" t="s">
        <v>251</v>
      </c>
      <c r="C1989" s="56">
        <v>45968</v>
      </c>
      <c r="D1989" s="43">
        <v>569</v>
      </c>
      <c r="G1989" t="s">
        <v>1758</v>
      </c>
    </row>
    <row r="1990" spans="1:7">
      <c r="A1990" s="247" t="s">
        <v>478</v>
      </c>
      <c r="B1990" s="43" t="s">
        <v>137</v>
      </c>
      <c r="C1990" s="56">
        <v>45968</v>
      </c>
      <c r="D1990" s="155">
        <v>2948</v>
      </c>
      <c r="G1990" t="s">
        <v>1758</v>
      </c>
    </row>
    <row r="1991" spans="1:7">
      <c r="A1991" s="954" t="s">
        <v>513</v>
      </c>
      <c r="B1991" s="346" t="s">
        <v>1710</v>
      </c>
      <c r="C1991" s="56">
        <v>45971</v>
      </c>
      <c r="D1991" s="155">
        <v>560</v>
      </c>
      <c r="G1991" t="s">
        <v>1758</v>
      </c>
    </row>
    <row r="1992" spans="1:7">
      <c r="A1992" s="311" t="s">
        <v>440</v>
      </c>
      <c r="B1992" s="311" t="s">
        <v>1025</v>
      </c>
      <c r="C1992" s="56">
        <v>45971</v>
      </c>
      <c r="D1992" s="43">
        <v>558</v>
      </c>
      <c r="G1992" t="s">
        <v>1758</v>
      </c>
    </row>
    <row r="1993" spans="1:7">
      <c r="A1993" s="311" t="s">
        <v>440</v>
      </c>
      <c r="B1993" s="311" t="s">
        <v>444</v>
      </c>
      <c r="C1993" s="56">
        <v>45971</v>
      </c>
      <c r="F1993" s="43" t="s">
        <v>1473</v>
      </c>
      <c r="G1993" t="s">
        <v>1758</v>
      </c>
    </row>
    <row r="1994" spans="1:7">
      <c r="A1994" s="315" t="s">
        <v>582</v>
      </c>
      <c r="B1994" s="315" t="s">
        <v>137</v>
      </c>
      <c r="C1994" s="56">
        <v>45971</v>
      </c>
      <c r="D1994" s="155">
        <v>1351</v>
      </c>
      <c r="G1994" t="s">
        <v>1758</v>
      </c>
    </row>
    <row r="1995" spans="1:7">
      <c r="A1995" s="315" t="s">
        <v>566</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385</v>
      </c>
      <c r="B1998" s="803" t="s">
        <v>251</v>
      </c>
      <c r="C1998" s="56">
        <v>45971</v>
      </c>
      <c r="D1998" s="43">
        <v>96</v>
      </c>
      <c r="G1998" t="s">
        <v>1758</v>
      </c>
    </row>
    <row r="1999" spans="1:7">
      <c r="A1999" s="304" t="s">
        <v>257</v>
      </c>
      <c r="B1999" s="349" t="s">
        <v>1757</v>
      </c>
      <c r="C1999" s="56">
        <v>45971</v>
      </c>
      <c r="D1999" s="43">
        <v>562</v>
      </c>
      <c r="G1999" t="s">
        <v>1758</v>
      </c>
    </row>
    <row r="2000" spans="1:7">
      <c r="A2000" s="141" t="s">
        <v>387</v>
      </c>
      <c r="B2000" s="803" t="s">
        <v>251</v>
      </c>
      <c r="C2000" s="56">
        <v>45971</v>
      </c>
      <c r="D2000" s="43">
        <v>435</v>
      </c>
      <c r="F2000" s="43" t="s">
        <v>1782</v>
      </c>
      <c r="G2000" t="s">
        <v>1758</v>
      </c>
    </row>
    <row r="2001" spans="1:7">
      <c r="A2001" s="1014" t="s">
        <v>478</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392</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440</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444</v>
      </c>
      <c r="C2010" s="56">
        <v>45973</v>
      </c>
      <c r="F2010" s="43" t="s">
        <v>1465</v>
      </c>
      <c r="G2010" t="s">
        <v>1758</v>
      </c>
    </row>
    <row r="2011" spans="1:7">
      <c r="A2011" s="43" t="s">
        <v>562</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390</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478</v>
      </c>
      <c r="B2017" s="43" t="s">
        <v>137</v>
      </c>
      <c r="C2017" s="56">
        <v>45973</v>
      </c>
      <c r="D2017" s="43">
        <v>242</v>
      </c>
      <c r="G2017" t="s">
        <v>1758</v>
      </c>
    </row>
    <row r="2018" spans="1:7">
      <c r="A2018" s="43" t="s">
        <v>470</v>
      </c>
      <c r="B2018" s="43" t="s">
        <v>137</v>
      </c>
      <c r="C2018" s="56">
        <v>45973</v>
      </c>
      <c r="D2018" s="155">
        <v>1264</v>
      </c>
      <c r="G2018" t="s">
        <v>1758</v>
      </c>
    </row>
    <row r="2019" spans="1:7">
      <c r="A2019" s="43" t="s">
        <v>483</v>
      </c>
      <c r="B2019" s="43" t="s">
        <v>137</v>
      </c>
      <c r="C2019" s="56">
        <v>45973</v>
      </c>
      <c r="D2019" s="155">
        <v>3678</v>
      </c>
      <c r="G2019" t="s">
        <v>1758</v>
      </c>
    </row>
    <row r="2020" spans="1:7">
      <c r="A2020" s="43" t="s">
        <v>440</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562</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387</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376</v>
      </c>
      <c r="B2028" s="43" t="s">
        <v>1463</v>
      </c>
      <c r="C2028" s="56">
        <v>45974</v>
      </c>
      <c r="F2028" s="43" t="s">
        <v>1185</v>
      </c>
      <c r="G2028" t="s">
        <v>1758</v>
      </c>
    </row>
    <row r="2029" spans="1:7">
      <c r="A2029" s="43" t="s">
        <v>483</v>
      </c>
      <c r="B2029" s="43" t="s">
        <v>137</v>
      </c>
      <c r="C2029" s="56">
        <v>45974</v>
      </c>
      <c r="D2029" s="155">
        <v>3382</v>
      </c>
      <c r="G2029" t="s">
        <v>1758</v>
      </c>
    </row>
    <row r="2030" spans="1:7">
      <c r="A2030" s="43" t="s">
        <v>470</v>
      </c>
      <c r="B2030" s="43" t="s">
        <v>137</v>
      </c>
      <c r="C2030" s="56">
        <v>45974</v>
      </c>
      <c r="D2030" s="155">
        <v>1281</v>
      </c>
      <c r="G2030" t="s">
        <v>1758</v>
      </c>
    </row>
    <row r="2031" spans="1:7">
      <c r="A2031" s="247" t="s">
        <v>369</v>
      </c>
      <c r="B2031" s="43" t="s">
        <v>137</v>
      </c>
      <c r="C2031" s="56">
        <v>45974</v>
      </c>
      <c r="D2031" s="43">
        <v>424</v>
      </c>
      <c r="G2031" t="s">
        <v>1758</v>
      </c>
    </row>
    <row r="2032" spans="1:7">
      <c r="A2032" s="247" t="s">
        <v>485</v>
      </c>
      <c r="B2032" s="43" t="s">
        <v>137</v>
      </c>
      <c r="C2032" s="56">
        <v>45974</v>
      </c>
      <c r="D2032" s="43">
        <v>598</v>
      </c>
      <c r="G2032" t="s">
        <v>1758</v>
      </c>
    </row>
    <row r="2033" spans="1:7">
      <c r="A2033" s="141" t="s">
        <v>440</v>
      </c>
      <c r="B2033" s="141" t="s">
        <v>1463</v>
      </c>
      <c r="C2033" s="56">
        <v>45975</v>
      </c>
      <c r="E2033" s="1013">
        <v>5647</v>
      </c>
      <c r="F2033" s="306" t="s">
        <v>1795</v>
      </c>
      <c r="G2033" t="s">
        <v>1758</v>
      </c>
    </row>
    <row r="2034" spans="1:7">
      <c r="A2034" s="304" t="s">
        <v>566</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440</v>
      </c>
      <c r="B2039" s="141" t="s">
        <v>1463</v>
      </c>
      <c r="C2039" s="56">
        <v>45978</v>
      </c>
      <c r="D2039" s="43">
        <v>127</v>
      </c>
      <c r="G2039" t="s">
        <v>1758</v>
      </c>
    </row>
    <row r="2040" spans="1:7">
      <c r="A2040" s="141" t="s">
        <v>440</v>
      </c>
      <c r="B2040" s="141" t="s">
        <v>1463</v>
      </c>
      <c r="C2040" s="56">
        <v>45978</v>
      </c>
      <c r="E2040" s="139">
        <v>300</v>
      </c>
      <c r="F2040" s="43" t="s">
        <v>1797</v>
      </c>
      <c r="G2040" t="s">
        <v>1758</v>
      </c>
    </row>
    <row r="2041" spans="1:7">
      <c r="A2041" s="304" t="s">
        <v>1084</v>
      </c>
      <c r="B2041" s="304" t="s">
        <v>444</v>
      </c>
      <c r="C2041" s="56">
        <v>45978</v>
      </c>
      <c r="D2041" s="155">
        <v>1505</v>
      </c>
      <c r="G2041" t="s">
        <v>1758</v>
      </c>
    </row>
    <row r="2042" spans="1:7">
      <c r="A2042" s="304" t="s">
        <v>571</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568</v>
      </c>
      <c r="B2044" s="349" t="s">
        <v>137</v>
      </c>
      <c r="C2044" s="56">
        <v>45978</v>
      </c>
      <c r="D2044" s="43">
        <v>762</v>
      </c>
      <c r="G2044" t="s">
        <v>1758</v>
      </c>
    </row>
    <row r="2045" spans="1:7">
      <c r="A2045" s="141" t="s">
        <v>562</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480</v>
      </c>
      <c r="B2050" s="141" t="s">
        <v>137</v>
      </c>
      <c r="C2050" s="56">
        <v>45978</v>
      </c>
      <c r="D2050" s="155">
        <v>5466</v>
      </c>
      <c r="G2050" t="s">
        <v>1758</v>
      </c>
    </row>
    <row r="2051" spans="1:7">
      <c r="A2051" s="304" t="s">
        <v>470</v>
      </c>
      <c r="B2051" s="304" t="s">
        <v>137</v>
      </c>
      <c r="C2051" s="56">
        <v>45978</v>
      </c>
      <c r="D2051" s="155">
        <v>1662</v>
      </c>
      <c r="G2051" t="s">
        <v>1758</v>
      </c>
    </row>
    <row r="2052" spans="1:7">
      <c r="A2052" s="304" t="s">
        <v>485</v>
      </c>
      <c r="B2052" s="304" t="s">
        <v>137</v>
      </c>
      <c r="C2052" s="56">
        <v>45978</v>
      </c>
      <c r="D2052" s="155">
        <v>1498</v>
      </c>
      <c r="G2052" t="s">
        <v>1758</v>
      </c>
    </row>
    <row r="2053" spans="1:7">
      <c r="A2053" s="304" t="s">
        <v>513</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444</v>
      </c>
      <c r="C2056" s="56">
        <v>45979</v>
      </c>
      <c r="D2056" s="155">
        <v>1518</v>
      </c>
      <c r="G2056" t="s">
        <v>1758</v>
      </c>
    </row>
    <row r="2057" spans="1:7">
      <c r="A2057" s="43" t="s">
        <v>425</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568</v>
      </c>
      <c r="B2059" s="43" t="s">
        <v>137</v>
      </c>
      <c r="C2059" s="56">
        <v>45979</v>
      </c>
      <c r="D2059" s="155">
        <v>1530</v>
      </c>
      <c r="F2059" s="43" t="s">
        <v>1802</v>
      </c>
      <c r="G2059" t="s">
        <v>1758</v>
      </c>
    </row>
    <row r="2060" spans="1:7">
      <c r="A2060" s="733" t="s">
        <v>382</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387</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470</v>
      </c>
      <c r="B2064" s="43" t="s">
        <v>137</v>
      </c>
      <c r="C2064" s="56">
        <v>45979</v>
      </c>
      <c r="D2064" s="155">
        <v>2684</v>
      </c>
      <c r="F2064" s="69"/>
      <c r="G2064" t="s">
        <v>1758</v>
      </c>
    </row>
    <row r="2065" spans="1:7">
      <c r="A2065" s="148" t="s">
        <v>485</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566</v>
      </c>
      <c r="B2067" s="141" t="s">
        <v>1463</v>
      </c>
      <c r="C2067" s="56">
        <v>45980</v>
      </c>
      <c r="E2067" s="321">
        <v>2996</v>
      </c>
      <c r="F2067" s="69" t="s">
        <v>1804</v>
      </c>
      <c r="G2067" t="s">
        <v>1758</v>
      </c>
    </row>
    <row r="2068" spans="1:7">
      <c r="A2068" s="304" t="s">
        <v>1084</v>
      </c>
      <c r="B2068" s="304" t="s">
        <v>444</v>
      </c>
      <c r="C2068" s="56">
        <v>45980</v>
      </c>
      <c r="D2068" s="155">
        <v>1968</v>
      </c>
      <c r="E2068" s="201"/>
      <c r="F2068" s="148" t="s">
        <v>1805</v>
      </c>
      <c r="G2068" t="s">
        <v>1758</v>
      </c>
    </row>
    <row r="2069" spans="1:7">
      <c r="A2069" s="304" t="s">
        <v>425</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568</v>
      </c>
      <c r="B2071" s="307" t="s">
        <v>137</v>
      </c>
      <c r="C2071" s="56">
        <v>45980</v>
      </c>
      <c r="D2071" s="43">
        <v>954</v>
      </c>
      <c r="E2071" s="253"/>
      <c r="F2071" s="91" t="s">
        <v>1807</v>
      </c>
      <c r="G2071" t="s">
        <v>1758</v>
      </c>
    </row>
    <row r="2072" spans="1:7">
      <c r="A2072" s="733" t="s">
        <v>382</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568</v>
      </c>
      <c r="B2077" s="141" t="s">
        <v>137</v>
      </c>
      <c r="C2077" s="56">
        <v>45981</v>
      </c>
      <c r="D2077" s="155">
        <v>1603</v>
      </c>
      <c r="F2077" s="91" t="s">
        <v>1809</v>
      </c>
      <c r="G2077" t="s">
        <v>1758</v>
      </c>
    </row>
    <row r="2078" spans="1:7">
      <c r="A2078" s="304" t="s">
        <v>1084</v>
      </c>
      <c r="B2078" s="304" t="s">
        <v>444</v>
      </c>
      <c r="C2078" s="56">
        <v>45981</v>
      </c>
      <c r="D2078" s="43">
        <v>345</v>
      </c>
      <c r="F2078" s="69" t="s">
        <v>1810</v>
      </c>
      <c r="G2078" t="s">
        <v>1758</v>
      </c>
    </row>
    <row r="2079" spans="1:7">
      <c r="A2079" s="304" t="s">
        <v>425</v>
      </c>
      <c r="B2079" s="304" t="s">
        <v>137</v>
      </c>
      <c r="C2079" s="56">
        <v>45981</v>
      </c>
      <c r="D2079" s="155">
        <v>1624</v>
      </c>
      <c r="F2079" s="69" t="s">
        <v>1811</v>
      </c>
      <c r="G2079" t="s">
        <v>1758</v>
      </c>
    </row>
    <row r="2080" spans="1:7">
      <c r="A2080" s="305" t="s">
        <v>566</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387</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480</v>
      </c>
      <c r="B2086" s="357" t="s">
        <v>137</v>
      </c>
      <c r="C2086" s="56">
        <v>45981</v>
      </c>
      <c r="D2086" s="155">
        <v>2252</v>
      </c>
      <c r="F2086" s="69"/>
      <c r="G2086" t="s">
        <v>1758</v>
      </c>
    </row>
    <row r="2087" spans="1:7">
      <c r="A2087" s="318" t="s">
        <v>485</v>
      </c>
      <c r="B2087" s="387" t="s">
        <v>137</v>
      </c>
      <c r="C2087" s="56">
        <v>45981</v>
      </c>
      <c r="D2087" s="1085">
        <v>1027</v>
      </c>
      <c r="F2087" s="69"/>
      <c r="G2087" t="s">
        <v>1758</v>
      </c>
    </row>
    <row r="2088" spans="1:7">
      <c r="A2088" s="348" t="s">
        <v>488</v>
      </c>
      <c r="B2088" s="357" t="s">
        <v>137</v>
      </c>
      <c r="C2088" s="56">
        <v>45981</v>
      </c>
      <c r="D2088" s="155">
        <v>1420</v>
      </c>
      <c r="F2088" s="69"/>
      <c r="G2088" t="s">
        <v>1758</v>
      </c>
    </row>
    <row r="2089" spans="1:7">
      <c r="A2089" s="318" t="s">
        <v>343</v>
      </c>
      <c r="B2089" s="387" t="s">
        <v>137</v>
      </c>
      <c r="C2089" s="56">
        <v>45981</v>
      </c>
      <c r="D2089" s="155">
        <v>2376</v>
      </c>
      <c r="F2089" s="69"/>
      <c r="G2089" t="s">
        <v>1758</v>
      </c>
    </row>
    <row r="2090" spans="1:7">
      <c r="A2090" s="348" t="s">
        <v>369</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444</v>
      </c>
      <c r="C2093" s="56">
        <v>45982</v>
      </c>
      <c r="D2093" s="43">
        <v>375</v>
      </c>
      <c r="E2093" s="201"/>
      <c r="F2093" s="148"/>
      <c r="G2093" t="s">
        <v>1758</v>
      </c>
    </row>
    <row r="2094" spans="1:7">
      <c r="A2094" s="306" t="s">
        <v>382</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470</v>
      </c>
      <c r="B2097" s="165" t="s">
        <v>137</v>
      </c>
      <c r="C2097" s="56">
        <v>45982</v>
      </c>
      <c r="D2097" s="43">
        <v>51</v>
      </c>
      <c r="F2097" s="69"/>
      <c r="G2097" t="s">
        <v>1758</v>
      </c>
    </row>
    <row r="2098" spans="1:7">
      <c r="A2098" s="404" t="s">
        <v>369</v>
      </c>
      <c r="B2098" s="173" t="s">
        <v>137</v>
      </c>
      <c r="C2098" s="56">
        <v>45982</v>
      </c>
      <c r="D2098" s="155">
        <v>3007</v>
      </c>
      <c r="F2098" s="69"/>
      <c r="G2098" t="s">
        <v>1758</v>
      </c>
    </row>
    <row r="2099" spans="1:7">
      <c r="A2099" s="404" t="s">
        <v>485</v>
      </c>
      <c r="B2099" s="173" t="s">
        <v>137</v>
      </c>
      <c r="C2099" s="56">
        <v>45982</v>
      </c>
      <c r="D2099" s="43">
        <v>490</v>
      </c>
      <c r="F2099" s="69"/>
      <c r="G2099" t="s">
        <v>1758</v>
      </c>
    </row>
    <row r="2100" spans="1:7">
      <c r="A2100" s="404" t="s">
        <v>488</v>
      </c>
      <c r="B2100" s="173" t="s">
        <v>137</v>
      </c>
      <c r="C2100" s="56">
        <v>45982</v>
      </c>
      <c r="D2100" s="155">
        <v>3043</v>
      </c>
      <c r="F2100" s="69"/>
      <c r="G2100" t="s">
        <v>1758</v>
      </c>
    </row>
    <row r="2101" spans="1:7">
      <c r="A2101" s="404" t="s">
        <v>343</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505</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444</v>
      </c>
      <c r="C2110" s="310">
        <v>45985</v>
      </c>
      <c r="D2110" s="155">
        <v>2805</v>
      </c>
      <c r="F2110" s="69"/>
      <c r="G2110" t="s">
        <v>1758</v>
      </c>
    </row>
    <row r="2111" spans="1:7">
      <c r="A2111" s="43" t="s">
        <v>568</v>
      </c>
      <c r="B2111" s="1095" t="s">
        <v>137</v>
      </c>
      <c r="C2111" s="56">
        <v>45985</v>
      </c>
      <c r="D2111" s="43">
        <v>805</v>
      </c>
      <c r="F2111" s="69" t="s">
        <v>1822</v>
      </c>
      <c r="G2111" t="s">
        <v>1758</v>
      </c>
    </row>
    <row r="2112" spans="1:7">
      <c r="A2112" s="43" t="s">
        <v>571</v>
      </c>
      <c r="B2112" s="1095" t="s">
        <v>137</v>
      </c>
      <c r="C2112" s="56">
        <v>45985</v>
      </c>
      <c r="D2112" s="43">
        <v>665</v>
      </c>
      <c r="F2112" s="69"/>
      <c r="G2112" t="s">
        <v>1758</v>
      </c>
    </row>
    <row r="2113" spans="1:7">
      <c r="A2113" s="43" t="s">
        <v>425</v>
      </c>
      <c r="B2113" s="1095" t="s">
        <v>137</v>
      </c>
      <c r="C2113" s="56">
        <v>45985</v>
      </c>
      <c r="D2113" s="43">
        <v>572</v>
      </c>
      <c r="F2113" s="69" t="s">
        <v>1823</v>
      </c>
      <c r="G2113" t="s">
        <v>1758</v>
      </c>
    </row>
    <row r="2114" spans="1:7">
      <c r="A2114" s="169" t="s">
        <v>431</v>
      </c>
      <c r="B2114" s="169" t="s">
        <v>1025</v>
      </c>
      <c r="C2114" s="56">
        <v>45985</v>
      </c>
      <c r="D2114" s="43">
        <v>286</v>
      </c>
      <c r="E2114" s="201"/>
      <c r="F2114" s="148"/>
      <c r="G2114" t="s">
        <v>1758</v>
      </c>
    </row>
    <row r="2115" spans="1:7">
      <c r="A2115" s="43" t="s">
        <v>562</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387</v>
      </c>
      <c r="B2117" s="318" t="s">
        <v>251</v>
      </c>
      <c r="C2117" s="56">
        <v>45985</v>
      </c>
      <c r="D2117" s="139">
        <v>900</v>
      </c>
      <c r="E2117" s="43"/>
      <c r="F2117" s="69" t="s">
        <v>1824</v>
      </c>
      <c r="G2117" t="s">
        <v>1758</v>
      </c>
    </row>
    <row r="2118" spans="1:7">
      <c r="A2118" s="432" t="s">
        <v>402</v>
      </c>
      <c r="B2118" s="371" t="s">
        <v>1683</v>
      </c>
      <c r="C2118" s="56">
        <v>45985</v>
      </c>
      <c r="D2118" s="139"/>
      <c r="E2118" s="43"/>
      <c r="F2118" s="1094" t="s">
        <v>1825</v>
      </c>
      <c r="G2118" t="s">
        <v>1758</v>
      </c>
    </row>
    <row r="2119" spans="1:7">
      <c r="A2119" s="430" t="s">
        <v>401</v>
      </c>
      <c r="B2119" s="247" t="s">
        <v>1683</v>
      </c>
      <c r="C2119" s="56">
        <v>45985</v>
      </c>
      <c r="D2119" s="139"/>
      <c r="E2119" s="43"/>
      <c r="F2119" s="1094" t="s">
        <v>1826</v>
      </c>
      <c r="G2119" t="s">
        <v>1758</v>
      </c>
    </row>
    <row r="2120" spans="1:7">
      <c r="A2120" s="43" t="s">
        <v>390</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505</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431</v>
      </c>
      <c r="B2126" s="806" t="s">
        <v>1025</v>
      </c>
      <c r="C2126" s="56">
        <v>45986</v>
      </c>
      <c r="D2126" s="43">
        <v>357</v>
      </c>
      <c r="F2126" s="43" t="s">
        <v>1151</v>
      </c>
      <c r="G2126" t="s">
        <v>1758</v>
      </c>
    </row>
    <row r="2127" spans="1:7">
      <c r="A2127" s="43" t="s">
        <v>1084</v>
      </c>
      <c r="B2127" s="43" t="s">
        <v>444</v>
      </c>
      <c r="C2127" s="56">
        <v>45986</v>
      </c>
      <c r="D2127" s="155">
        <v>1397</v>
      </c>
      <c r="G2127" t="s">
        <v>1758</v>
      </c>
    </row>
    <row r="2128" spans="1:7">
      <c r="A2128" s="43" t="s">
        <v>574</v>
      </c>
      <c r="B2128" s="43" t="s">
        <v>137</v>
      </c>
      <c r="C2128" s="56">
        <v>45986</v>
      </c>
      <c r="D2128" s="155">
        <v>1100</v>
      </c>
      <c r="G2128" t="s">
        <v>1758</v>
      </c>
    </row>
    <row r="2129" spans="1:7">
      <c r="A2129" s="43" t="s">
        <v>571</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402</v>
      </c>
      <c r="B2131" s="371" t="s">
        <v>1683</v>
      </c>
      <c r="C2131" s="56">
        <v>45986</v>
      </c>
      <c r="D2131" s="139"/>
      <c r="E2131" s="43"/>
      <c r="F2131" s="757" t="s">
        <v>1831</v>
      </c>
      <c r="G2131" t="s">
        <v>1758</v>
      </c>
    </row>
    <row r="2132" spans="1:7">
      <c r="A2132" s="430" t="s">
        <v>401</v>
      </c>
      <c r="B2132" s="247" t="s">
        <v>1683</v>
      </c>
      <c r="C2132" s="56">
        <v>45986</v>
      </c>
      <c r="D2132" s="139"/>
      <c r="E2132" s="43"/>
      <c r="F2132" s="757" t="s">
        <v>1831</v>
      </c>
      <c r="G2132" t="s">
        <v>1758</v>
      </c>
    </row>
    <row r="2133" spans="1:7">
      <c r="A2133" s="43" t="s">
        <v>390</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472</v>
      </c>
      <c r="B2136" s="165" t="s">
        <v>137</v>
      </c>
      <c r="C2136" s="56">
        <v>45986</v>
      </c>
      <c r="D2136" s="155">
        <v>2382</v>
      </c>
      <c r="G2136" t="s">
        <v>1758</v>
      </c>
    </row>
    <row r="2137" spans="1:7">
      <c r="A2137" s="404" t="s">
        <v>451</v>
      </c>
      <c r="B2137" s="173" t="s">
        <v>137</v>
      </c>
      <c r="C2137" s="56">
        <v>45986</v>
      </c>
      <c r="D2137" s="43">
        <v>996</v>
      </c>
      <c r="G2137" t="s">
        <v>1758</v>
      </c>
    </row>
    <row r="2138" spans="1:7">
      <c r="A2138" s="404" t="s">
        <v>491</v>
      </c>
      <c r="B2138" s="173" t="s">
        <v>137</v>
      </c>
      <c r="C2138" s="56">
        <v>45986</v>
      </c>
      <c r="D2138" s="155">
        <v>3634</v>
      </c>
      <c r="G2138" t="s">
        <v>1758</v>
      </c>
    </row>
    <row r="2139" spans="1:7">
      <c r="A2139" s="69" t="s">
        <v>343</v>
      </c>
      <c r="B2139" s="173" t="s">
        <v>137</v>
      </c>
      <c r="C2139" s="56">
        <v>45986</v>
      </c>
      <c r="D2139" s="155">
        <v>3311</v>
      </c>
      <c r="G2139" t="s">
        <v>1758</v>
      </c>
    </row>
    <row r="2140" spans="1:7">
      <c r="A2140" s="69" t="s">
        <v>335</v>
      </c>
      <c r="B2140" s="173" t="s">
        <v>137</v>
      </c>
      <c r="C2140" s="56">
        <v>45986</v>
      </c>
      <c r="D2140" s="155">
        <v>1175</v>
      </c>
      <c r="G2140" t="s">
        <v>1758</v>
      </c>
    </row>
    <row r="2141" spans="1:7">
      <c r="A2141" s="247" t="s">
        <v>488</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505</v>
      </c>
      <c r="B2145" s="311" t="s">
        <v>1025</v>
      </c>
      <c r="C2145" s="56">
        <v>45987</v>
      </c>
      <c r="F2145" s="783" t="s">
        <v>1301</v>
      </c>
      <c r="G2145" t="s">
        <v>1758</v>
      </c>
    </row>
    <row r="2146" spans="1:7">
      <c r="A2146" s="806" t="s">
        <v>431</v>
      </c>
      <c r="B2146" s="806" t="s">
        <v>1025</v>
      </c>
      <c r="C2146" s="56">
        <v>45987</v>
      </c>
      <c r="D2146" s="43">
        <v>331</v>
      </c>
      <c r="E2146" s="321">
        <v>1063</v>
      </c>
      <c r="F2146" s="43" t="s">
        <v>1832</v>
      </c>
      <c r="G2146" t="s">
        <v>1758</v>
      </c>
    </row>
    <row r="2147" spans="1:7">
      <c r="A2147" s="1096" t="s">
        <v>571</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444</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402</v>
      </c>
      <c r="B2151" s="306" t="s">
        <v>1683</v>
      </c>
      <c r="C2151" s="56">
        <v>45987</v>
      </c>
      <c r="D2151" s="139"/>
      <c r="E2151" s="43"/>
      <c r="F2151" s="757" t="s">
        <v>1831</v>
      </c>
      <c r="G2151" t="s">
        <v>1758</v>
      </c>
    </row>
    <row r="2152" spans="1:7">
      <c r="A2152" s="141" t="s">
        <v>401</v>
      </c>
      <c r="B2152" s="141" t="s">
        <v>1683</v>
      </c>
      <c r="C2152" s="56">
        <v>45987</v>
      </c>
      <c r="D2152" s="139"/>
      <c r="E2152" s="43"/>
      <c r="F2152" s="757" t="s">
        <v>1831</v>
      </c>
      <c r="G2152" t="s">
        <v>1758</v>
      </c>
    </row>
    <row r="2153" spans="1:7">
      <c r="A2153" s="305" t="s">
        <v>390</v>
      </c>
      <c r="B2153" s="305" t="s">
        <v>1683</v>
      </c>
      <c r="C2153" s="336">
        <v>45987</v>
      </c>
      <c r="D2153" s="139"/>
      <c r="E2153" s="43"/>
      <c r="F2153" s="757" t="s">
        <v>1831</v>
      </c>
      <c r="G2153" t="s">
        <v>1758</v>
      </c>
    </row>
    <row r="2154" spans="1:7">
      <c r="A2154" s="141" t="s">
        <v>385</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387</v>
      </c>
      <c r="B2156" s="141" t="s">
        <v>251</v>
      </c>
      <c r="C2156" s="56">
        <v>45987</v>
      </c>
      <c r="D2156" s="423"/>
      <c r="E2156" s="43"/>
      <c r="F2156" s="141" t="s">
        <v>1831</v>
      </c>
      <c r="G2156" t="s">
        <v>1758</v>
      </c>
    </row>
    <row r="2157" spans="1:7">
      <c r="A2157" s="141" t="s">
        <v>376</v>
      </c>
      <c r="B2157" s="141" t="s">
        <v>1837</v>
      </c>
      <c r="C2157" s="56">
        <v>45987</v>
      </c>
      <c r="D2157" s="161"/>
      <c r="E2157" s="1097">
        <v>4668</v>
      </c>
      <c r="F2157" s="169" t="s">
        <v>1838</v>
      </c>
      <c r="G2157" t="s">
        <v>1758</v>
      </c>
    </row>
    <row r="2158" spans="1:7">
      <c r="A2158" s="247" t="s">
        <v>460</v>
      </c>
      <c r="B2158" s="315" t="s">
        <v>1463</v>
      </c>
      <c r="C2158" s="56">
        <v>45987</v>
      </c>
      <c r="E2158" s="139">
        <v>794</v>
      </c>
      <c r="G2158" t="s">
        <v>1758</v>
      </c>
    </row>
    <row r="2159" spans="1:7">
      <c r="A2159" s="141" t="s">
        <v>335</v>
      </c>
      <c r="B2159" s="141" t="s">
        <v>137</v>
      </c>
      <c r="C2159" s="56">
        <v>45987</v>
      </c>
      <c r="D2159" s="161"/>
      <c r="E2159" s="321">
        <v>2338</v>
      </c>
      <c r="F2159" s="43" t="s">
        <v>1839</v>
      </c>
      <c r="G2159" t="s">
        <v>1758</v>
      </c>
    </row>
    <row r="2160" spans="1:7">
      <c r="A2160" s="306" t="s">
        <v>454</v>
      </c>
      <c r="B2160" s="311" t="s">
        <v>1025</v>
      </c>
      <c r="C2160" s="56">
        <v>45987</v>
      </c>
      <c r="E2160" s="139">
        <v>175</v>
      </c>
      <c r="G2160" t="s">
        <v>1758</v>
      </c>
    </row>
    <row r="2161" spans="1:7">
      <c r="A2161" s="306" t="s">
        <v>454</v>
      </c>
      <c r="B2161" s="315" t="s">
        <v>137</v>
      </c>
      <c r="C2161" s="56">
        <v>45987</v>
      </c>
      <c r="E2161" s="321">
        <v>2455</v>
      </c>
      <c r="F2161" s="43" t="s">
        <v>1840</v>
      </c>
      <c r="G2161" t="s">
        <v>1758</v>
      </c>
    </row>
    <row r="2162" spans="1:7">
      <c r="A2162" s="306" t="s">
        <v>456</v>
      </c>
      <c r="B2162" s="315" t="s">
        <v>1025</v>
      </c>
      <c r="C2162" s="56">
        <v>45987</v>
      </c>
      <c r="E2162" s="139">
        <v>376</v>
      </c>
      <c r="G2162" t="s">
        <v>1758</v>
      </c>
    </row>
    <row r="2163" spans="1:7">
      <c r="A2163" s="306" t="s">
        <v>456</v>
      </c>
      <c r="B2163" s="737" t="s">
        <v>137</v>
      </c>
      <c r="C2163" s="56">
        <v>45987</v>
      </c>
      <c r="E2163" s="139">
        <v>404</v>
      </c>
      <c r="F2163" s="43" t="s">
        <v>1841</v>
      </c>
      <c r="G2163" t="s">
        <v>1758</v>
      </c>
    </row>
    <row r="2164" spans="1:7">
      <c r="A2164" s="311" t="s">
        <v>458</v>
      </c>
      <c r="B2164" s="311" t="s">
        <v>1025</v>
      </c>
      <c r="C2164" s="56">
        <v>45987</v>
      </c>
      <c r="E2164" s="321">
        <v>1264</v>
      </c>
      <c r="G2164" t="s">
        <v>1758</v>
      </c>
    </row>
    <row r="2165" spans="1:7">
      <c r="A2165" s="315" t="s">
        <v>463</v>
      </c>
      <c r="B2165" s="315" t="s">
        <v>1025</v>
      </c>
      <c r="C2165" s="56">
        <v>45987</v>
      </c>
      <c r="E2165" s="321">
        <v>1520</v>
      </c>
      <c r="G2165" t="s">
        <v>1758</v>
      </c>
    </row>
    <row r="2166" spans="1:7">
      <c r="A2166" s="315" t="s">
        <v>464</v>
      </c>
      <c r="B2166" s="315" t="s">
        <v>1463</v>
      </c>
      <c r="C2166" s="56">
        <v>45987</v>
      </c>
      <c r="E2166" s="321">
        <v>1739</v>
      </c>
      <c r="G2166" t="s">
        <v>1758</v>
      </c>
    </row>
    <row r="2167" spans="1:7">
      <c r="A2167" s="315" t="s">
        <v>466</v>
      </c>
      <c r="B2167" s="315" t="s">
        <v>1025</v>
      </c>
      <c r="C2167" s="56">
        <v>45987</v>
      </c>
      <c r="E2167" s="321">
        <v>1584</v>
      </c>
      <c r="G2167" t="s">
        <v>1758</v>
      </c>
    </row>
    <row r="2168" spans="1:7">
      <c r="A2168" s="315" t="s">
        <v>468</v>
      </c>
      <c r="B2168" s="315" t="s">
        <v>1025</v>
      </c>
      <c r="C2168" s="56">
        <v>45987</v>
      </c>
      <c r="E2168" s="321">
        <v>1140</v>
      </c>
      <c r="G2168" t="s">
        <v>1758</v>
      </c>
    </row>
    <row r="2169" spans="1:7">
      <c r="A2169" s="315" t="s">
        <v>469</v>
      </c>
      <c r="B2169" s="315" t="s">
        <v>1025</v>
      </c>
      <c r="C2169" s="56">
        <v>45987</v>
      </c>
      <c r="E2169" s="139">
        <v>692</v>
      </c>
      <c r="G2169" t="s">
        <v>1758</v>
      </c>
    </row>
    <row r="2170" spans="1:7">
      <c r="C2170" s="56">
        <v>45988</v>
      </c>
      <c r="G2170" t="s">
        <v>1758</v>
      </c>
    </row>
    <row r="2171" spans="1:7">
      <c r="A2171" s="247" t="s">
        <v>568</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571</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444</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335</v>
      </c>
      <c r="B2181" s="387" t="s">
        <v>137</v>
      </c>
      <c r="C2181" s="56">
        <v>45992</v>
      </c>
      <c r="D2181" s="155">
        <v>1515</v>
      </c>
      <c r="F2181" s="43" t="s">
        <v>1494</v>
      </c>
      <c r="G2181" t="s">
        <v>1843</v>
      </c>
    </row>
    <row r="2182" spans="1:7">
      <c r="A2182" s="348" t="s">
        <v>491</v>
      </c>
      <c r="B2182" s="357" t="s">
        <v>137</v>
      </c>
      <c r="C2182" s="56">
        <v>45992</v>
      </c>
      <c r="D2182" s="155">
        <v>3376</v>
      </c>
      <c r="G2182" t="s">
        <v>1843</v>
      </c>
    </row>
    <row r="2183" spans="1:7">
      <c r="A2183" s="317" t="s">
        <v>472</v>
      </c>
      <c r="B2183" s="308" t="s">
        <v>137</v>
      </c>
      <c r="C2183" s="56">
        <v>45992</v>
      </c>
      <c r="D2183" s="155">
        <v>3084</v>
      </c>
      <c r="G2183" t="s">
        <v>1843</v>
      </c>
    </row>
    <row r="2184" spans="1:7">
      <c r="A2184" s="311" t="s">
        <v>366</v>
      </c>
      <c r="B2184" s="311" t="s">
        <v>137</v>
      </c>
      <c r="C2184" s="56">
        <v>45992</v>
      </c>
      <c r="D2184" s="155">
        <v>1829</v>
      </c>
      <c r="G2184" t="s">
        <v>1843</v>
      </c>
    </row>
    <row r="2185" spans="1:7">
      <c r="A2185" s="247" t="s">
        <v>475</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444</v>
      </c>
      <c r="C2192" s="56">
        <v>45993</v>
      </c>
      <c r="D2192" s="155">
        <v>1153</v>
      </c>
      <c r="F2192" s="43" t="s">
        <v>1853</v>
      </c>
      <c r="G2192" t="s">
        <v>1843</v>
      </c>
    </row>
    <row r="2193" spans="1:7">
      <c r="A2193" s="304" t="s">
        <v>564</v>
      </c>
      <c r="B2193" s="304" t="s">
        <v>1025</v>
      </c>
      <c r="C2193" s="56">
        <v>45993</v>
      </c>
      <c r="D2193" s="43">
        <v>175</v>
      </c>
      <c r="G2193" t="s">
        <v>1843</v>
      </c>
    </row>
    <row r="2194" spans="1:7">
      <c r="A2194" s="311" t="s">
        <v>475</v>
      </c>
      <c r="B2194" s="311" t="s">
        <v>137</v>
      </c>
      <c r="C2194" s="56">
        <v>45993</v>
      </c>
      <c r="D2194" s="155">
        <v>2916</v>
      </c>
      <c r="G2194" t="s">
        <v>1843</v>
      </c>
    </row>
    <row r="2195" spans="1:7">
      <c r="A2195" s="315" t="s">
        <v>366</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444</v>
      </c>
      <c r="C2203" s="56">
        <v>45994</v>
      </c>
      <c r="D2203" s="43">
        <v>383</v>
      </c>
      <c r="G2203" t="s">
        <v>1843</v>
      </c>
    </row>
    <row r="2204" spans="1:7">
      <c r="A2204" s="757" t="s">
        <v>549</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475</v>
      </c>
      <c r="B2206" s="1133" t="s">
        <v>137</v>
      </c>
      <c r="C2206" s="56">
        <v>45994</v>
      </c>
      <c r="D2206" s="155">
        <v>2430</v>
      </c>
      <c r="G2206" t="s">
        <v>1843</v>
      </c>
    </row>
    <row r="2207" spans="1:7">
      <c r="A2207" s="760" t="s">
        <v>366</v>
      </c>
      <c r="B2207" s="760" t="s">
        <v>137</v>
      </c>
      <c r="C2207" s="56">
        <v>45994</v>
      </c>
      <c r="D2207" s="43">
        <v>694</v>
      </c>
      <c r="G2207" t="s">
        <v>1843</v>
      </c>
    </row>
    <row r="2208" spans="1:7">
      <c r="A2208" s="1132" t="s">
        <v>340</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428</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444</v>
      </c>
      <c r="C2215" s="56">
        <v>45995</v>
      </c>
      <c r="D2215" s="43">
        <v>490</v>
      </c>
      <c r="F2215" s="43" t="s">
        <v>1863</v>
      </c>
      <c r="G2215" t="s">
        <v>1843</v>
      </c>
    </row>
    <row r="2216" spans="1:7">
      <c r="A2216" s="315" t="s">
        <v>549</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335</v>
      </c>
      <c r="B2220" s="306" t="s">
        <v>137</v>
      </c>
      <c r="C2220" s="56">
        <v>45995</v>
      </c>
      <c r="E2220" s="139">
        <v>644</v>
      </c>
      <c r="F2220" s="43" t="s">
        <v>1867</v>
      </c>
      <c r="G2220" t="s">
        <v>1843</v>
      </c>
    </row>
    <row r="2221" spans="1:7">
      <c r="A2221" s="304" t="s">
        <v>480</v>
      </c>
      <c r="B2221" s="311" t="s">
        <v>1025</v>
      </c>
      <c r="C2221" s="56">
        <v>45995</v>
      </c>
      <c r="D2221" s="43">
        <v>64</v>
      </c>
      <c r="F2221" s="43" t="s">
        <v>1868</v>
      </c>
      <c r="G2221" t="s">
        <v>1843</v>
      </c>
    </row>
    <row r="2222" spans="1:7">
      <c r="A2222" s="247" t="s">
        <v>488</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568</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444</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483</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571</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428</v>
      </c>
      <c r="B2242" s="1144" t="s">
        <v>137</v>
      </c>
      <c r="C2242" s="56">
        <v>45999</v>
      </c>
      <c r="D2242" s="321">
        <v>1583</v>
      </c>
      <c r="E2242" s="43"/>
      <c r="F2242" s="43" t="s">
        <v>1878</v>
      </c>
      <c r="G2242" t="s">
        <v>1843</v>
      </c>
    </row>
    <row r="2243" spans="1:7">
      <c r="A2243" s="247" t="s">
        <v>549</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496</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428</v>
      </c>
      <c r="B2253" s="247" t="s">
        <v>137</v>
      </c>
      <c r="C2253" s="310">
        <v>46000</v>
      </c>
      <c r="D2253" s="155">
        <v>1325</v>
      </c>
      <c r="F2253" s="43" t="s">
        <v>1834</v>
      </c>
      <c r="G2253" t="s">
        <v>1843</v>
      </c>
    </row>
    <row r="2254" spans="1:7">
      <c r="A2254" s="1143" t="s">
        <v>549</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407</v>
      </c>
      <c r="B2257" s="169" t="s">
        <v>1683</v>
      </c>
      <c r="C2257" s="56">
        <v>46000</v>
      </c>
      <c r="D2257" s="155">
        <v>1640</v>
      </c>
      <c r="F2257" s="43" t="s">
        <v>1886</v>
      </c>
      <c r="G2257" t="s">
        <v>1843</v>
      </c>
    </row>
    <row r="2258" spans="1:7">
      <c r="A2258" s="404" t="s">
        <v>493</v>
      </c>
      <c r="B2258" s="173" t="s">
        <v>137</v>
      </c>
      <c r="C2258" s="56">
        <v>46000</v>
      </c>
      <c r="D2258" s="155">
        <v>1980</v>
      </c>
      <c r="F2258" s="43" t="s">
        <v>1887</v>
      </c>
      <c r="G2258" t="s">
        <v>1843</v>
      </c>
    </row>
    <row r="2259" spans="1:7">
      <c r="A2259" s="404" t="s">
        <v>496</v>
      </c>
      <c r="B2259" s="173" t="s">
        <v>137</v>
      </c>
      <c r="C2259" s="56">
        <v>46000</v>
      </c>
      <c r="D2259" s="155">
        <v>3343</v>
      </c>
      <c r="G2259" t="s">
        <v>1843</v>
      </c>
    </row>
    <row r="2260" spans="1:7">
      <c r="A2260" s="161" t="s">
        <v>451</v>
      </c>
      <c r="B2260" s="139" t="s">
        <v>137</v>
      </c>
      <c r="C2260" s="56">
        <v>46000</v>
      </c>
      <c r="D2260" s="155">
        <v>2203</v>
      </c>
      <c r="F2260" s="43" t="s">
        <v>1105</v>
      </c>
      <c r="G2260" t="s">
        <v>1843</v>
      </c>
    </row>
    <row r="2261" spans="1:7">
      <c r="A2261" s="956" t="s">
        <v>349</v>
      </c>
      <c r="B2261" s="139" t="s">
        <v>137</v>
      </c>
      <c r="C2261" s="56">
        <v>46000</v>
      </c>
      <c r="D2261" s="155">
        <v>1111</v>
      </c>
      <c r="G2261" t="s">
        <v>1843</v>
      </c>
    </row>
    <row r="2262" spans="1:7">
      <c r="A2262" s="404" t="s">
        <v>352</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428</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571</v>
      </c>
      <c r="B2270" s="948" t="s">
        <v>1463</v>
      </c>
      <c r="C2270" s="56">
        <v>46001</v>
      </c>
      <c r="E2270" s="321">
        <v>1685</v>
      </c>
      <c r="G2270" t="s">
        <v>1843</v>
      </c>
    </row>
    <row r="2271" spans="1:7">
      <c r="A2271" s="757" t="s">
        <v>407</v>
      </c>
      <c r="B2271" s="757" t="s">
        <v>1683</v>
      </c>
      <c r="C2271" s="56">
        <v>46001</v>
      </c>
      <c r="D2271" s="155">
        <v>1177</v>
      </c>
      <c r="F2271" s="43" t="s">
        <v>1892</v>
      </c>
      <c r="G2271" t="s">
        <v>1843</v>
      </c>
    </row>
    <row r="2272" spans="1:7">
      <c r="A2272" s="757" t="s">
        <v>410</v>
      </c>
      <c r="B2272" s="757" t="s">
        <v>1683</v>
      </c>
      <c r="C2272" s="56">
        <v>46001</v>
      </c>
      <c r="D2272" s="43">
        <v>817</v>
      </c>
      <c r="F2272" s="43" t="s">
        <v>1893</v>
      </c>
      <c r="G2272" t="s">
        <v>1843</v>
      </c>
    </row>
    <row r="2273" spans="1:7">
      <c r="A2273" s="757" t="s">
        <v>493</v>
      </c>
      <c r="B2273" s="757" t="s">
        <v>137</v>
      </c>
      <c r="C2273" s="56">
        <v>46001</v>
      </c>
      <c r="D2273" s="155">
        <v>1251</v>
      </c>
      <c r="G2273" t="s">
        <v>1843</v>
      </c>
    </row>
    <row r="2274" spans="1:7">
      <c r="A2274" s="1147" t="s">
        <v>496</v>
      </c>
      <c r="B2274" s="1131" t="s">
        <v>137</v>
      </c>
      <c r="C2274" s="56">
        <v>46001</v>
      </c>
      <c r="D2274" s="43">
        <v>931</v>
      </c>
      <c r="G2274" t="s">
        <v>1843</v>
      </c>
    </row>
    <row r="2275" spans="1:7">
      <c r="A2275" s="757" t="s">
        <v>352</v>
      </c>
      <c r="B2275" s="1005" t="s">
        <v>137</v>
      </c>
      <c r="C2275" s="56">
        <v>46001</v>
      </c>
      <c r="D2275" s="43">
        <v>522</v>
      </c>
      <c r="G2275" t="s">
        <v>1843</v>
      </c>
    </row>
    <row r="2276" spans="1:7">
      <c r="A2276" s="757" t="s">
        <v>366</v>
      </c>
      <c r="B2276" s="731" t="s">
        <v>137</v>
      </c>
      <c r="C2276" s="56">
        <v>46001</v>
      </c>
      <c r="D2276" s="43">
        <v>91</v>
      </c>
      <c r="G2276" t="s">
        <v>1843</v>
      </c>
    </row>
    <row r="2277" spans="1:7">
      <c r="A2277" s="757" t="s">
        <v>451</v>
      </c>
      <c r="B2277" s="1065" t="s">
        <v>137</v>
      </c>
      <c r="C2277" s="56">
        <v>46001</v>
      </c>
      <c r="E2277" s="321">
        <v>3674</v>
      </c>
      <c r="F2277" s="43" t="s">
        <v>1894</v>
      </c>
      <c r="G2277" t="s">
        <v>1843</v>
      </c>
    </row>
    <row r="2278" spans="1:7">
      <c r="A2278" s="757" t="s">
        <v>349</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410</v>
      </c>
      <c r="B2286" s="43" t="s">
        <v>1683</v>
      </c>
      <c r="C2286" s="56">
        <v>46002</v>
      </c>
      <c r="D2286" s="155">
        <v>1820</v>
      </c>
      <c r="F2286" s="760" t="s">
        <v>1900</v>
      </c>
      <c r="G2286" t="s">
        <v>1843</v>
      </c>
    </row>
    <row r="2287" spans="1:7">
      <c r="A2287" s="1149" t="s">
        <v>493</v>
      </c>
      <c r="B2287" s="69" t="s">
        <v>137</v>
      </c>
      <c r="C2287" s="56">
        <v>46002</v>
      </c>
      <c r="D2287" s="155">
        <v>3172</v>
      </c>
      <c r="G2287" t="s">
        <v>1843</v>
      </c>
    </row>
    <row r="2288" spans="1:7">
      <c r="A2288" s="1149" t="s">
        <v>485</v>
      </c>
      <c r="B2288" s="69" t="s">
        <v>137</v>
      </c>
      <c r="C2288" s="56">
        <v>46002</v>
      </c>
      <c r="D2288" s="43">
        <v>242</v>
      </c>
      <c r="F2288" s="43" t="s">
        <v>1901</v>
      </c>
      <c r="G2288" t="s">
        <v>1843</v>
      </c>
    </row>
    <row r="2289" spans="1:7">
      <c r="A2289" s="395" t="s">
        <v>352</v>
      </c>
      <c r="B2289" s="43" t="s">
        <v>137</v>
      </c>
      <c r="C2289" s="56">
        <v>46002</v>
      </c>
      <c r="D2289" s="155">
        <v>1194</v>
      </c>
      <c r="G2289" t="s">
        <v>1843</v>
      </c>
    </row>
    <row r="2290" spans="1:7">
      <c r="A2290" s="1150" t="s">
        <v>349</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321</v>
      </c>
      <c r="B2297" s="760" t="s">
        <v>1463</v>
      </c>
      <c r="C2297" s="56">
        <v>46003</v>
      </c>
      <c r="D2297" s="155">
        <v>1832</v>
      </c>
      <c r="F2297" s="43" t="s">
        <v>1906</v>
      </c>
      <c r="G2297" t="s">
        <v>1843</v>
      </c>
    </row>
    <row r="2298" spans="1:7">
      <c r="A2298" s="1131" t="s">
        <v>485</v>
      </c>
      <c r="B2298" s="1131" t="s">
        <v>137</v>
      </c>
      <c r="C2298" s="56">
        <v>46003</v>
      </c>
      <c r="G2298" t="s">
        <v>1843</v>
      </c>
    </row>
    <row r="2299" spans="1:7">
      <c r="A2299" s="1147" t="s">
        <v>352</v>
      </c>
      <c r="B2299" s="1147" t="s">
        <v>137</v>
      </c>
      <c r="C2299" s="56">
        <v>46003</v>
      </c>
      <c r="D2299" s="155">
        <v>2811</v>
      </c>
      <c r="G2299" t="s">
        <v>1843</v>
      </c>
    </row>
    <row r="2300" spans="1:7">
      <c r="A2300" s="757" t="s">
        <v>349</v>
      </c>
      <c r="B2300" s="760" t="s">
        <v>137</v>
      </c>
      <c r="C2300" s="56">
        <v>46003</v>
      </c>
      <c r="D2300" s="155">
        <v>1204</v>
      </c>
      <c r="F2300" s="43" t="s">
        <v>1907</v>
      </c>
      <c r="G2300" t="s">
        <v>1843</v>
      </c>
    </row>
    <row r="2301" spans="1:7">
      <c r="A2301" s="148" t="s">
        <v>1060</v>
      </c>
      <c r="B2301" s="115" t="s">
        <v>1463</v>
      </c>
      <c r="C2301" s="56">
        <v>46006</v>
      </c>
      <c r="D2301" s="43">
        <v>365</v>
      </c>
      <c r="F2301" s="43" t="s">
        <v>1908</v>
      </c>
      <c r="G2301" t="s">
        <v>1843</v>
      </c>
    </row>
    <row r="2302" spans="1:7">
      <c r="A2302" s="148" t="s">
        <v>1090</v>
      </c>
      <c r="B2302" s="148" t="s">
        <v>1710</v>
      </c>
      <c r="C2302" s="56">
        <v>46006</v>
      </c>
      <c r="D2302" s="43">
        <v>671</v>
      </c>
      <c r="F2302" s="1341" t="s">
        <v>1909</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1910</v>
      </c>
      <c r="G2306" t="s">
        <v>1843</v>
      </c>
    </row>
    <row r="2307" spans="1:7">
      <c r="A2307" s="1096" t="s">
        <v>136</v>
      </c>
      <c r="B2307" s="247" t="s">
        <v>137</v>
      </c>
      <c r="C2307" s="310">
        <v>46006</v>
      </c>
      <c r="D2307" s="155">
        <v>1095</v>
      </c>
      <c r="G2307" t="s">
        <v>1843</v>
      </c>
    </row>
    <row r="2308" spans="1:7">
      <c r="A2308" s="1349" t="s">
        <v>152</v>
      </c>
      <c r="B2308" s="43" t="s">
        <v>137</v>
      </c>
      <c r="C2308" s="310">
        <v>46006</v>
      </c>
      <c r="D2308" s="155">
        <v>1344</v>
      </c>
      <c r="F2308" s="43" t="s">
        <v>1911</v>
      </c>
      <c r="G2308" t="s">
        <v>1843</v>
      </c>
    </row>
    <row r="2309" spans="1:7">
      <c r="A2309" s="1349" t="s">
        <v>571</v>
      </c>
      <c r="B2309" s="43" t="s">
        <v>137</v>
      </c>
      <c r="C2309" s="310">
        <v>46006</v>
      </c>
      <c r="F2309" s="760" t="s">
        <v>1324</v>
      </c>
      <c r="G2309" t="s">
        <v>1843</v>
      </c>
    </row>
    <row r="2310" spans="1:7">
      <c r="A2310" s="1350" t="s">
        <v>250</v>
      </c>
      <c r="B2310" s="247" t="s">
        <v>251</v>
      </c>
      <c r="C2310" s="310">
        <v>46006</v>
      </c>
      <c r="G2310" t="s">
        <v>1843</v>
      </c>
    </row>
    <row r="2311" spans="1:7">
      <c r="A2311" s="43" t="s">
        <v>321</v>
      </c>
      <c r="B2311" s="322" t="s">
        <v>1463</v>
      </c>
      <c r="C2311" s="56">
        <v>46006</v>
      </c>
      <c r="G2311" t="s">
        <v>1843</v>
      </c>
    </row>
    <row r="2312" spans="1:7">
      <c r="A2312" s="148" t="s">
        <v>330</v>
      </c>
      <c r="B2312" s="43" t="s">
        <v>1683</v>
      </c>
      <c r="C2312" s="56">
        <v>46006</v>
      </c>
      <c r="D2312" s="155">
        <v>1496</v>
      </c>
      <c r="F2312" s="43" t="s">
        <v>1912</v>
      </c>
      <c r="G2312" t="s">
        <v>1843</v>
      </c>
    </row>
    <row r="2313" spans="1:7">
      <c r="A2313" s="1149" t="s">
        <v>493</v>
      </c>
      <c r="B2313" s="69" t="s">
        <v>137</v>
      </c>
      <c r="C2313" s="56">
        <v>46006</v>
      </c>
      <c r="G2313" t="s">
        <v>1843</v>
      </c>
    </row>
    <row r="2314" spans="1:7">
      <c r="A2314" s="1149" t="s">
        <v>460</v>
      </c>
      <c r="B2314" s="69" t="s">
        <v>137</v>
      </c>
      <c r="C2314" s="56">
        <v>46006</v>
      </c>
      <c r="F2314" s="760" t="s">
        <v>1324</v>
      </c>
      <c r="G2314" t="s">
        <v>1843</v>
      </c>
    </row>
    <row r="2315" spans="1:7">
      <c r="A2315" s="148" t="s">
        <v>1060</v>
      </c>
      <c r="B2315" s="115" t="s">
        <v>1463</v>
      </c>
      <c r="C2315" s="56">
        <v>46007</v>
      </c>
      <c r="G2315" t="s">
        <v>1843</v>
      </c>
    </row>
    <row r="2316" spans="1:7">
      <c r="A2316" s="148" t="s">
        <v>1090</v>
      </c>
      <c r="B2316" s="148" t="s">
        <v>1710</v>
      </c>
      <c r="C2316" s="56">
        <v>46007</v>
      </c>
      <c r="G2316" t="s">
        <v>1843</v>
      </c>
    </row>
    <row r="2317" spans="1:7">
      <c r="A2317" s="148" t="s">
        <v>99</v>
      </c>
      <c r="B2317" s="148" t="s">
        <v>1710</v>
      </c>
      <c r="C2317" s="56">
        <v>46007</v>
      </c>
      <c r="G2317" t="s">
        <v>1843</v>
      </c>
    </row>
    <row r="2318" spans="1:7">
      <c r="A2318" s="148" t="s">
        <v>99</v>
      </c>
      <c r="B2318" s="148" t="s">
        <v>1549</v>
      </c>
      <c r="C2318" s="56">
        <v>46007</v>
      </c>
      <c r="G2318" t="s">
        <v>1843</v>
      </c>
    </row>
    <row r="2319" spans="1:7">
      <c r="A2319" s="247" t="s">
        <v>1091</v>
      </c>
      <c r="B2319" s="1144" t="s">
        <v>235</v>
      </c>
      <c r="C2319" s="56">
        <v>46007</v>
      </c>
      <c r="D2319" s="155">
        <v>1249</v>
      </c>
      <c r="F2319" s="43" t="s">
        <v>1913</v>
      </c>
      <c r="G2319" t="s">
        <v>1843</v>
      </c>
    </row>
    <row r="2320" spans="1:7">
      <c r="A2320" s="1143" t="s">
        <v>140</v>
      </c>
      <c r="B2320" s="1144" t="s">
        <v>141</v>
      </c>
      <c r="C2320" s="56">
        <v>46007</v>
      </c>
      <c r="G2320" t="s">
        <v>1843</v>
      </c>
    </row>
    <row r="2321" spans="1:7">
      <c r="A2321" s="1096" t="s">
        <v>136</v>
      </c>
      <c r="B2321" s="1144" t="s">
        <v>137</v>
      </c>
      <c r="C2321" s="56">
        <v>46007</v>
      </c>
      <c r="G2321" t="s">
        <v>1843</v>
      </c>
    </row>
    <row r="2322" spans="1:7">
      <c r="A2322" s="1143" t="s">
        <v>152</v>
      </c>
      <c r="B2322" t="s">
        <v>137</v>
      </c>
      <c r="C2322" s="56">
        <v>46007</v>
      </c>
      <c r="G2322" t="s">
        <v>1843</v>
      </c>
    </row>
    <row r="2323" spans="1:7">
      <c r="A2323" s="432" t="s">
        <v>250</v>
      </c>
      <c r="B2323" s="371" t="s">
        <v>251</v>
      </c>
      <c r="C2323" s="56">
        <v>46007</v>
      </c>
      <c r="G2323" t="s">
        <v>1843</v>
      </c>
    </row>
    <row r="2324" spans="1:7">
      <c r="A2324" s="43" t="s">
        <v>321</v>
      </c>
      <c r="B2324" s="115" t="s">
        <v>1463</v>
      </c>
      <c r="C2324" s="56">
        <v>46007</v>
      </c>
      <c r="G2324" t="s">
        <v>1843</v>
      </c>
    </row>
    <row r="2325" spans="1:7">
      <c r="A2325" s="148" t="s">
        <v>330</v>
      </c>
      <c r="B2325" s="43" t="s">
        <v>1683</v>
      </c>
      <c r="C2325" s="56">
        <v>46007</v>
      </c>
      <c r="G2325" t="s">
        <v>1843</v>
      </c>
    </row>
    <row r="2326" spans="1:7">
      <c r="A2326" s="1084" t="s">
        <v>493</v>
      </c>
      <c r="B2326" s="69" t="s">
        <v>137</v>
      </c>
      <c r="C2326" s="56">
        <v>46007</v>
      </c>
      <c r="G2326" t="s">
        <v>1843</v>
      </c>
    </row>
    <row r="2327" spans="1:7">
      <c r="A2327" s="1084" t="s">
        <v>352</v>
      </c>
      <c r="B2327" s="69" t="s">
        <v>137</v>
      </c>
      <c r="C2327" s="56">
        <v>46007</v>
      </c>
      <c r="G2327" t="s">
        <v>1843</v>
      </c>
    </row>
    <row r="2328" spans="1:7">
      <c r="A2328" s="69" t="s">
        <v>346</v>
      </c>
      <c r="B2328" s="69" t="s">
        <v>137</v>
      </c>
      <c r="C2328" s="56">
        <v>46007</v>
      </c>
      <c r="G2328"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7"/>
      <c r="B1" s="1357"/>
      <c r="C1" s="1357"/>
      <c r="D1" s="1357"/>
      <c r="E1" s="1357"/>
      <c r="F1" s="1357"/>
      <c r="G1" s="1357"/>
      <c r="H1" s="1357"/>
      <c r="I1" s="1357"/>
      <c r="J1" s="1"/>
      <c r="K1" s="1"/>
      <c r="L1" s="1"/>
      <c r="M1" s="1"/>
      <c r="N1" s="1"/>
      <c r="O1" s="1"/>
      <c r="P1" s="1358" t="s">
        <v>34</v>
      </c>
      <c r="Q1" s="1358"/>
      <c r="R1" s="1358"/>
      <c r="S1" s="1358"/>
      <c r="T1" s="1358"/>
      <c r="U1" s="1358"/>
      <c r="V1" s="1358"/>
      <c r="W1" s="1358"/>
      <c r="X1" s="1358"/>
      <c r="Y1" s="1358"/>
      <c r="Z1" s="1358"/>
      <c r="AA1" s="1358"/>
      <c r="AB1" s="66"/>
    </row>
    <row r="2" spans="1:30" ht="15.75" thickBot="1">
      <c r="A2" s="2"/>
      <c r="B2" s="2"/>
      <c r="C2" s="2"/>
      <c r="D2" s="2"/>
      <c r="E2" s="2"/>
      <c r="F2" s="2"/>
      <c r="G2" s="2"/>
      <c r="H2" s="2"/>
      <c r="I2" s="2"/>
      <c r="J2" s="6"/>
      <c r="K2" s="6"/>
      <c r="L2" s="6"/>
      <c r="M2" s="6"/>
      <c r="N2" s="6"/>
      <c r="O2" s="6"/>
      <c r="P2" s="8"/>
      <c r="Q2" s="8"/>
      <c r="R2" s="3"/>
      <c r="S2" s="3"/>
      <c r="T2" s="3"/>
      <c r="U2" s="3"/>
      <c r="V2" s="3" t="s">
        <v>1914</v>
      </c>
      <c r="W2" s="3" t="s">
        <v>1915</v>
      </c>
      <c r="X2" s="3" t="s">
        <v>1915</v>
      </c>
      <c r="Y2" s="3" t="s">
        <v>1915</v>
      </c>
      <c r="Z2" s="3" t="s">
        <v>1915</v>
      </c>
      <c r="AA2" s="8" t="s">
        <v>1916</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1917</v>
      </c>
      <c r="T3" s="19" t="s">
        <v>1918</v>
      </c>
      <c r="U3" s="19" t="s">
        <v>1919</v>
      </c>
      <c r="V3" s="5" t="s">
        <v>1920</v>
      </c>
      <c r="W3" s="5" t="s">
        <v>44</v>
      </c>
      <c r="X3" s="5" t="s">
        <v>43</v>
      </c>
      <c r="Y3" s="5" t="s">
        <v>1921</v>
      </c>
      <c r="Z3" s="5" t="s">
        <v>46</v>
      </c>
      <c r="AA3" s="89" t="s">
        <v>622</v>
      </c>
      <c r="AB3" s="68" t="s">
        <v>48</v>
      </c>
    </row>
    <row r="4" spans="1:30" ht="24.75" customHeight="1" thickBot="1">
      <c r="A4" s="440" t="s">
        <v>1922</v>
      </c>
      <c r="B4" s="440" t="s">
        <v>1923</v>
      </c>
      <c r="C4" s="16">
        <v>45717</v>
      </c>
      <c r="D4" s="63" t="s">
        <v>1924</v>
      </c>
      <c r="E4" s="51">
        <v>45707</v>
      </c>
      <c r="F4" s="51" t="s">
        <v>241</v>
      </c>
      <c r="G4" s="382" t="s">
        <v>1925</v>
      </c>
      <c r="H4" s="97">
        <v>0</v>
      </c>
      <c r="I4" s="105"/>
      <c r="J4" s="76" t="s">
        <v>63</v>
      </c>
      <c r="K4" s="76" t="s">
        <v>1926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1927</v>
      </c>
    </row>
    <row r="5" spans="1:30" ht="24.75" customHeight="1" thickBot="1">
      <c r="A5" s="440" t="s">
        <v>1928</v>
      </c>
      <c r="B5" s="440" t="s">
        <v>1923</v>
      </c>
      <c r="C5" s="16">
        <v>45717</v>
      </c>
      <c r="D5" s="63" t="s">
        <v>1924</v>
      </c>
      <c r="E5" s="51">
        <v>45707</v>
      </c>
      <c r="F5" s="381" t="s">
        <v>241</v>
      </c>
      <c r="G5" s="382" t="s">
        <v>1929</v>
      </c>
      <c r="H5" s="97">
        <v>0</v>
      </c>
      <c r="I5" s="105"/>
      <c r="J5" s="76" t="s">
        <v>63</v>
      </c>
      <c r="K5" s="76" t="s">
        <v>1926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1930</v>
      </c>
      <c r="B6" s="440" t="s">
        <v>1923</v>
      </c>
      <c r="C6" s="16">
        <v>45717</v>
      </c>
      <c r="D6" s="63" t="s">
        <v>1924</v>
      </c>
      <c r="E6" s="51">
        <v>45707</v>
      </c>
      <c r="F6" s="381" t="s">
        <v>241</v>
      </c>
      <c r="G6" s="382" t="s">
        <v>1931</v>
      </c>
      <c r="H6" s="97">
        <v>0</v>
      </c>
      <c r="I6" s="105"/>
      <c r="J6" s="76" t="s">
        <v>63</v>
      </c>
      <c r="K6" s="76" t="s">
        <v>1926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1932</v>
      </c>
      <c r="B8" s="440" t="s">
        <v>1933</v>
      </c>
      <c r="C8" s="16">
        <v>45748</v>
      </c>
      <c r="D8" s="16" t="s">
        <v>1924</v>
      </c>
      <c r="E8" s="94" t="s">
        <v>52</v>
      </c>
      <c r="F8" s="95" t="s">
        <v>52</v>
      </c>
      <c r="G8" s="620" t="s">
        <v>1934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1935</v>
      </c>
      <c r="AC8" s="435"/>
      <c r="AD8" s="70"/>
    </row>
    <row r="9" spans="1:30" ht="24.75" customHeight="1">
      <c r="A9" s="449" t="s">
        <v>1936</v>
      </c>
      <c r="B9" s="449" t="s">
        <v>1937</v>
      </c>
      <c r="C9" s="23">
        <v>45741</v>
      </c>
      <c r="D9" s="16" t="s">
        <v>1924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1938</v>
      </c>
    </row>
    <row r="10" spans="1:30" ht="24.75" customHeight="1" thickBot="1">
      <c r="A10" s="26" t="s">
        <v>1939</v>
      </c>
      <c r="B10" s="26" t="s">
        <v>1937</v>
      </c>
      <c r="C10" s="27">
        <v>45741</v>
      </c>
      <c r="D10" s="16" t="s">
        <v>1924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1940</v>
      </c>
      <c r="B11" s="36" t="s">
        <v>1937</v>
      </c>
      <c r="C11" s="37">
        <v>45747</v>
      </c>
      <c r="D11" s="16" t="s">
        <v>1924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1941</v>
      </c>
      <c r="B12" s="26" t="s">
        <v>1937</v>
      </c>
      <c r="C12" s="27">
        <v>45741</v>
      </c>
      <c r="D12" s="16" t="s">
        <v>1924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1938</v>
      </c>
    </row>
    <row r="13" spans="1:30" ht="24.75" customHeight="1" thickBot="1">
      <c r="A13" s="26" t="s">
        <v>1942</v>
      </c>
      <c r="B13" s="26" t="s">
        <v>1937</v>
      </c>
      <c r="C13" s="27">
        <v>45741</v>
      </c>
      <c r="D13" s="27" t="s">
        <v>1924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1938</v>
      </c>
    </row>
    <row r="14" spans="1:30" ht="24.75" customHeight="1" thickBot="1">
      <c r="A14" s="26" t="s">
        <v>1943</v>
      </c>
      <c r="B14" s="26" t="s">
        <v>1937</v>
      </c>
      <c r="C14" s="27">
        <v>45747</v>
      </c>
      <c r="D14" s="27" t="s">
        <v>1924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1944</v>
      </c>
      <c r="B15" s="26" t="s">
        <v>1937</v>
      </c>
      <c r="C15" s="27">
        <v>45741</v>
      </c>
      <c r="D15" s="27" t="s">
        <v>1924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1938</v>
      </c>
    </row>
    <row r="16" spans="1:30" ht="24.75" customHeight="1" thickBot="1">
      <c r="A16" s="26" t="s">
        <v>1945</v>
      </c>
      <c r="B16" s="26" t="s">
        <v>1937</v>
      </c>
      <c r="C16" s="27">
        <v>45741</v>
      </c>
      <c r="D16" s="27" t="s">
        <v>1924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1938</v>
      </c>
    </row>
    <row r="17" spans="1:30" ht="24.75" customHeight="1" thickBot="1">
      <c r="A17" s="36" t="s">
        <v>1946</v>
      </c>
      <c r="B17" s="36" t="s">
        <v>1937</v>
      </c>
      <c r="C17" s="37">
        <v>45747</v>
      </c>
      <c r="D17" s="37" t="s">
        <v>1924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1947</v>
      </c>
      <c r="B18" s="374" t="s">
        <v>1937</v>
      </c>
      <c r="C18" s="51">
        <v>45717</v>
      </c>
      <c r="D18" s="27" t="s">
        <v>1924</v>
      </c>
      <c r="E18" s="85">
        <v>45700</v>
      </c>
      <c r="F18" s="51"/>
      <c r="G18" s="51" t="s">
        <v>1948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1938</v>
      </c>
    </row>
    <row r="19" spans="1:30" ht="24.75" customHeight="1" thickBot="1">
      <c r="A19" s="50" t="s">
        <v>1949</v>
      </c>
      <c r="B19" s="26" t="s">
        <v>1937</v>
      </c>
      <c r="C19" s="51">
        <v>45747</v>
      </c>
      <c r="D19" s="27" t="s">
        <v>1924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1950</v>
      </c>
    </row>
    <row r="20" spans="1:30" ht="24.75" customHeight="1" thickBot="1">
      <c r="A20" s="374" t="s">
        <v>1951</v>
      </c>
      <c r="B20" s="374" t="s">
        <v>1937</v>
      </c>
      <c r="C20" s="375">
        <v>45717</v>
      </c>
      <c r="D20" s="27" t="s">
        <v>1924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1938</v>
      </c>
    </row>
    <row r="21" spans="1:30" ht="24.75" customHeight="1" thickBot="1">
      <c r="A21" s="374" t="s">
        <v>1952</v>
      </c>
      <c r="B21" s="112" t="s">
        <v>50</v>
      </c>
      <c r="C21" s="51">
        <v>45717</v>
      </c>
      <c r="D21" s="27" t="s">
        <v>1953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1954</v>
      </c>
      <c r="B22" s="378" t="s">
        <v>50</v>
      </c>
      <c r="C22" s="51">
        <v>45717</v>
      </c>
      <c r="D22" s="51" t="s">
        <v>1953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1956</v>
      </c>
      <c r="B24" s="378" t="s">
        <v>50</v>
      </c>
      <c r="C24" s="381">
        <v>45688</v>
      </c>
      <c r="D24" s="390" t="s">
        <v>1955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1957</v>
      </c>
      <c r="B25" s="113" t="s">
        <v>50</v>
      </c>
      <c r="C25" s="51">
        <v>45747</v>
      </c>
      <c r="D25" s="51" t="s">
        <v>1953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1958</v>
      </c>
    </row>
    <row r="26" spans="1:30" ht="24.75" customHeight="1">
      <c r="A26" s="101" t="s">
        <v>1959</v>
      </c>
      <c r="B26" s="102" t="s">
        <v>50</v>
      </c>
      <c r="C26" s="77">
        <v>45716</v>
      </c>
      <c r="D26" s="26" t="s">
        <v>1955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1960</v>
      </c>
      <c r="B27" s="102" t="s">
        <v>50</v>
      </c>
      <c r="C27" s="77">
        <v>45716</v>
      </c>
      <c r="D27" s="50" t="s">
        <v>1955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1961</v>
      </c>
      <c r="B28" s="1120" t="s">
        <v>50</v>
      </c>
      <c r="C28" s="1113">
        <v>45991</v>
      </c>
      <c r="D28" s="375" t="s">
        <v>72</v>
      </c>
      <c r="E28" s="77">
        <v>45734</v>
      </c>
      <c r="F28" s="1111" t="s">
        <v>61</v>
      </c>
      <c r="G28" s="1122" t="s">
        <v>1962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1963</v>
      </c>
      <c r="B29" s="1120" t="s">
        <v>50</v>
      </c>
      <c r="C29" s="1113">
        <v>46021</v>
      </c>
      <c r="D29" s="375" t="s">
        <v>72</v>
      </c>
      <c r="E29" s="77">
        <v>45743</v>
      </c>
      <c r="F29" s="1111" t="s">
        <v>61</v>
      </c>
      <c r="G29" s="1121" t="s">
        <v>1964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1965</v>
      </c>
      <c r="AC29" s="1117"/>
      <c r="AD29" s="1119"/>
    </row>
    <row r="30" spans="1:30" ht="24.75" customHeight="1">
      <c r="A30" s="374" t="s">
        <v>1966</v>
      </c>
      <c r="B30" s="669" t="s">
        <v>50</v>
      </c>
      <c r="C30" s="375">
        <v>45991</v>
      </c>
      <c r="D30" s="50" t="s">
        <v>72</v>
      </c>
      <c r="E30" s="51">
        <v>45743</v>
      </c>
      <c r="F30" s="50" t="s">
        <v>61</v>
      </c>
      <c r="G30" s="379" t="s">
        <v>1967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1968</v>
      </c>
      <c r="AC30" s="333"/>
      <c r="AD30" s="115"/>
    </row>
    <row r="31" spans="1:30" ht="24.75" customHeight="1">
      <c r="A31" s="374" t="s">
        <v>1042</v>
      </c>
      <c r="B31" s="669" t="s">
        <v>50</v>
      </c>
      <c r="C31" s="375">
        <v>46021</v>
      </c>
      <c r="D31" s="375" t="s">
        <v>72</v>
      </c>
      <c r="E31" s="51">
        <v>45735</v>
      </c>
      <c r="F31" s="50" t="s">
        <v>61</v>
      </c>
      <c r="G31" s="670" t="s">
        <v>1969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1970</v>
      </c>
      <c r="W31" s="34">
        <v>0</v>
      </c>
      <c r="X31" s="34">
        <v>0</v>
      </c>
      <c r="Y31" s="31">
        <v>0</v>
      </c>
      <c r="Z31" s="34">
        <v>0</v>
      </c>
      <c r="AA31" s="31">
        <v>0</v>
      </c>
      <c r="AB31" s="353" t="s">
        <v>1965</v>
      </c>
    </row>
    <row r="32" spans="1:30" ht="24.75" customHeight="1">
      <c r="A32" s="906" t="s">
        <v>1971</v>
      </c>
      <c r="B32" s="1112" t="s">
        <v>50</v>
      </c>
      <c r="C32" s="987">
        <v>45717</v>
      </c>
      <c r="D32" s="987" t="s">
        <v>1953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1972</v>
      </c>
      <c r="B33" s="991" t="s">
        <v>50</v>
      </c>
      <c r="C33" s="908">
        <v>45989</v>
      </c>
      <c r="D33" s="908" t="s">
        <v>1973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1974</v>
      </c>
    </row>
    <row r="34" spans="1:30" ht="24.75" customHeight="1">
      <c r="A34" s="906" t="s">
        <v>1975</v>
      </c>
      <c r="B34" s="1112" t="s">
        <v>50</v>
      </c>
      <c r="C34" s="987">
        <v>45717</v>
      </c>
      <c r="D34" s="987" t="s">
        <v>1953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1976</v>
      </c>
      <c r="B35" s="1112" t="s">
        <v>50</v>
      </c>
      <c r="C35" s="987">
        <v>45717</v>
      </c>
      <c r="D35" s="987" t="s">
        <v>1953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1977</v>
      </c>
      <c r="B36" s="1112" t="s">
        <v>50</v>
      </c>
      <c r="C36" s="987">
        <v>45717</v>
      </c>
      <c r="D36" s="987" t="s">
        <v>1953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1978</v>
      </c>
      <c r="Q1" s="159" t="s">
        <v>1979</v>
      </c>
      <c r="R1" s="127" t="s">
        <v>1980</v>
      </c>
      <c r="S1" s="127" t="s">
        <v>1981</v>
      </c>
      <c r="T1" s="159" t="s">
        <v>1982</v>
      </c>
      <c r="U1" s="127" t="s">
        <v>1168</v>
      </c>
      <c r="V1" s="160" t="s">
        <v>1983</v>
      </c>
      <c r="W1" s="160" t="s">
        <v>1984</v>
      </c>
      <c r="X1" s="163" t="s">
        <v>1985</v>
      </c>
      <c r="Y1" s="258" t="e" cm="1">
        <f t="array" ref="Y1">VLOOKUP(#REF!,#REF!, FALSE)</f>
        <v>#REF!</v>
      </c>
    </row>
    <row r="2" spans="1:25">
      <c r="A2" s="178" t="s">
        <v>515</v>
      </c>
      <c r="B2" s="180" t="s">
        <v>240</v>
      </c>
      <c r="C2" s="177">
        <v>45991</v>
      </c>
      <c r="D2" s="624" t="s">
        <v>516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518</v>
      </c>
      <c r="B3" s="530" t="s">
        <v>240</v>
      </c>
      <c r="C3" s="689">
        <v>45742</v>
      </c>
      <c r="D3" s="690" t="s">
        <v>520</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1986</v>
      </c>
      <c r="B4" s="407" t="s">
        <v>240</v>
      </c>
      <c r="C4" s="408">
        <v>45742</v>
      </c>
      <c r="D4" s="696" t="s">
        <v>1987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521</v>
      </c>
      <c r="B5" s="407" t="s">
        <v>240</v>
      </c>
      <c r="C5" s="400">
        <v>45991</v>
      </c>
      <c r="D5" s="535" t="s">
        <v>522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1988</v>
      </c>
      <c r="S6" s="43" t="s">
        <v>147</v>
      </c>
      <c r="T6" s="43" t="s">
        <v>147</v>
      </c>
      <c r="U6" s="157" t="s">
        <v>147</v>
      </c>
      <c r="V6" s="69" t="s">
        <v>90</v>
      </c>
      <c r="W6" s="79"/>
      <c r="X6" s="69" t="s">
        <v>90</v>
      </c>
      <c r="Y6" t="e">
        <f>VLOOKUP(A6,#REF!,2,FALSE)</f>
        <v>#REF!</v>
      </c>
    </row>
    <row r="7" spans="1:25">
      <c r="A7" s="385" t="s">
        <v>993</v>
      </c>
      <c r="B7" s="686" t="s">
        <v>240</v>
      </c>
      <c r="C7" s="386">
        <v>45742</v>
      </c>
      <c r="D7" s="411" t="s">
        <v>528</v>
      </c>
      <c r="E7" s="522"/>
      <c r="F7" s="523"/>
      <c r="G7" s="523"/>
      <c r="H7" s="179">
        <v>60</v>
      </c>
      <c r="I7" s="181"/>
      <c r="J7" s="185" t="s">
        <v>57</v>
      </c>
      <c r="K7" s="185" t="s">
        <v>57</v>
      </c>
      <c r="L7" s="185" t="s">
        <v>63</v>
      </c>
      <c r="M7" s="193">
        <v>45716</v>
      </c>
      <c r="N7" s="30" t="s">
        <v>147</v>
      </c>
      <c r="O7" s="79" t="s">
        <v>147</v>
      </c>
      <c r="P7" s="30" t="s">
        <v>147</v>
      </c>
      <c r="Q7" s="334" t="s">
        <v>147</v>
      </c>
      <c r="R7" s="43" t="s">
        <v>1988</v>
      </c>
      <c r="S7" s="43" t="s">
        <v>147</v>
      </c>
      <c r="T7" s="43" t="s">
        <v>147</v>
      </c>
      <c r="U7" s="43" t="s">
        <v>147</v>
      </c>
      <c r="V7" s="69" t="s">
        <v>90</v>
      </c>
      <c r="W7" s="30"/>
      <c r="X7" s="69" t="s">
        <v>90</v>
      </c>
      <c r="Y7" t="e">
        <f>VLOOKUP(A7,#REF!,2,FALSE)</f>
        <v>#REF!</v>
      </c>
    </row>
    <row r="8" spans="1:25">
      <c r="A8" s="175" t="s">
        <v>524</v>
      </c>
      <c r="B8" s="180" t="s">
        <v>240</v>
      </c>
      <c r="C8" s="176">
        <v>45742</v>
      </c>
      <c r="D8" s="185" t="s">
        <v>1989</v>
      </c>
      <c r="E8" s="120"/>
      <c r="F8" s="108"/>
      <c r="G8" s="108"/>
      <c r="H8" s="179">
        <v>84</v>
      </c>
      <c r="I8" s="181"/>
      <c r="J8" s="185" t="s">
        <v>57</v>
      </c>
      <c r="K8" s="185" t="s">
        <v>57</v>
      </c>
      <c r="L8" s="185" t="s">
        <v>63</v>
      </c>
      <c r="M8" s="193">
        <v>45716</v>
      </c>
      <c r="N8" s="30" t="s">
        <v>147</v>
      </c>
      <c r="O8" s="30" t="s">
        <v>147</v>
      </c>
      <c r="P8" s="711" t="s">
        <v>147</v>
      </c>
      <c r="Q8" s="69" t="s">
        <v>147</v>
      </c>
      <c r="R8" s="43" t="s">
        <v>1988</v>
      </c>
      <c r="S8" s="43" t="s">
        <v>147</v>
      </c>
      <c r="T8" s="43" t="s">
        <v>147</v>
      </c>
      <c r="U8" s="43" t="s">
        <v>147</v>
      </c>
      <c r="V8" s="69" t="s">
        <v>90</v>
      </c>
      <c r="W8" s="30"/>
      <c r="X8" s="69" t="s">
        <v>90</v>
      </c>
      <c r="Y8" t="e">
        <f>VLOOKUP(A8,#REF!,2,FALSE)</f>
        <v>#REF!</v>
      </c>
    </row>
    <row r="9" spans="1:25">
      <c r="A9" s="175" t="s">
        <v>995</v>
      </c>
      <c r="B9" s="180" t="s">
        <v>240</v>
      </c>
      <c r="C9" s="176">
        <v>45742</v>
      </c>
      <c r="D9" s="519" t="s">
        <v>525</v>
      </c>
      <c r="E9" s="191"/>
      <c r="F9" s="138"/>
      <c r="G9" s="138"/>
      <c r="H9" s="185">
        <v>79</v>
      </c>
      <c r="I9" s="181"/>
      <c r="J9" s="185" t="s">
        <v>57</v>
      </c>
      <c r="K9" s="185" t="s">
        <v>57</v>
      </c>
      <c r="L9" s="185" t="s">
        <v>63</v>
      </c>
      <c r="M9" s="193">
        <v>45716</v>
      </c>
      <c r="N9" s="119" t="s">
        <v>147</v>
      </c>
      <c r="O9" s="54">
        <v>45718</v>
      </c>
      <c r="P9" s="119" t="s">
        <v>147</v>
      </c>
      <c r="Q9" s="69" t="s">
        <v>147</v>
      </c>
      <c r="R9" s="43" t="s">
        <v>1988</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1988</v>
      </c>
      <c r="S10" s="43" t="s">
        <v>147</v>
      </c>
      <c r="T10" s="43" t="s">
        <v>147</v>
      </c>
      <c r="U10" s="161" t="s">
        <v>147</v>
      </c>
      <c r="V10" s="334" t="s">
        <v>90</v>
      </c>
      <c r="W10" s="30"/>
      <c r="X10" s="69" t="s">
        <v>90</v>
      </c>
      <c r="Y10" t="e">
        <f>VLOOKUP(A10,#REF!,2,FALSE)</f>
        <v>#REF!</v>
      </c>
    </row>
    <row r="11" spans="1:25">
      <c r="A11" s="181" t="s">
        <v>526</v>
      </c>
      <c r="B11" s="422" t="s">
        <v>240</v>
      </c>
      <c r="C11" s="176">
        <v>45991</v>
      </c>
      <c r="D11" s="534" t="s">
        <v>528</v>
      </c>
      <c r="E11" s="120">
        <v>31</v>
      </c>
      <c r="F11" s="108"/>
      <c r="G11" s="108"/>
      <c r="H11" s="185">
        <v>31</v>
      </c>
      <c r="I11" s="181"/>
      <c r="J11" s="185" t="s">
        <v>57</v>
      </c>
      <c r="K11" s="185" t="s">
        <v>57</v>
      </c>
      <c r="L11" s="185" t="s">
        <v>63</v>
      </c>
      <c r="M11" s="195">
        <v>45716</v>
      </c>
      <c r="N11" s="30" t="s">
        <v>64</v>
      </c>
      <c r="O11" s="54">
        <v>45716</v>
      </c>
      <c r="P11" s="87" t="s">
        <v>147</v>
      </c>
      <c r="Q11" s="69" t="s">
        <v>147</v>
      </c>
      <c r="R11" s="43" t="s">
        <v>1988</v>
      </c>
      <c r="S11" s="43" t="s">
        <v>147</v>
      </c>
      <c r="T11" s="43" t="s">
        <v>147</v>
      </c>
      <c r="U11" s="334" t="s">
        <v>90</v>
      </c>
      <c r="V11" s="69" t="s">
        <v>90</v>
      </c>
      <c r="W11" s="30"/>
      <c r="X11" s="43"/>
    </row>
    <row r="12" spans="1:25">
      <c r="A12" s="175" t="s">
        <v>393</v>
      </c>
      <c r="B12" s="180" t="s">
        <v>240</v>
      </c>
      <c r="C12" s="176">
        <v>45772</v>
      </c>
      <c r="D12" s="199" t="s">
        <v>528</v>
      </c>
      <c r="E12" s="191"/>
      <c r="F12" s="138"/>
      <c r="G12" s="138"/>
      <c r="H12" s="185">
        <v>31</v>
      </c>
      <c r="I12" s="181"/>
      <c r="J12" s="185" t="s">
        <v>57</v>
      </c>
      <c r="K12" s="185" t="s">
        <v>57</v>
      </c>
      <c r="L12" s="185" t="s">
        <v>63</v>
      </c>
      <c r="M12" s="193">
        <v>45716</v>
      </c>
      <c r="N12" s="30" t="s">
        <v>64</v>
      </c>
      <c r="O12" s="54">
        <v>45716</v>
      </c>
      <c r="P12" s="87" t="s">
        <v>147</v>
      </c>
      <c r="Q12" s="69" t="s">
        <v>147</v>
      </c>
      <c r="R12" s="43" t="s">
        <v>1988</v>
      </c>
      <c r="S12" s="43" t="s">
        <v>147</v>
      </c>
      <c r="T12" s="43" t="s">
        <v>147</v>
      </c>
      <c r="U12" s="69" t="s">
        <v>90</v>
      </c>
      <c r="V12" s="69" t="s">
        <v>90</v>
      </c>
      <c r="W12" s="30"/>
      <c r="X12" s="69" t="s">
        <v>90</v>
      </c>
      <c r="Y12" t="e">
        <f>VLOOKUP(A12,#REF!,2,FALSE)</f>
        <v>#REF!</v>
      </c>
    </row>
    <row r="13" spans="1:25">
      <c r="A13" s="178" t="s">
        <v>301</v>
      </c>
      <c r="B13" s="180" t="s">
        <v>240</v>
      </c>
      <c r="C13" s="409">
        <v>45960</v>
      </c>
      <c r="D13" s="418" t="s">
        <v>1990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240</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1991</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1992</v>
      </c>
      <c r="N16" s="30" t="s">
        <v>147</v>
      </c>
      <c r="O16" s="54" t="s">
        <v>1992</v>
      </c>
      <c r="P16" s="30" t="s">
        <v>147</v>
      </c>
      <c r="Q16" s="69" t="s">
        <v>147</v>
      </c>
      <c r="R16" s="43" t="s">
        <v>147</v>
      </c>
      <c r="S16" s="43" t="s">
        <v>56</v>
      </c>
      <c r="T16" s="43" t="s">
        <v>147</v>
      </c>
      <c r="U16" s="69" t="s">
        <v>90</v>
      </c>
      <c r="V16" s="69" t="s">
        <v>90</v>
      </c>
      <c r="W16" s="30"/>
      <c r="X16" s="69" t="s">
        <v>90</v>
      </c>
      <c r="Y16" t="e">
        <f>VLOOKUP(A16,#REF!,2,FALSE)</f>
        <v>#REF!</v>
      </c>
    </row>
    <row r="17" spans="1:25">
      <c r="A17" s="178" t="s">
        <v>529</v>
      </c>
      <c r="B17" s="180" t="s">
        <v>240</v>
      </c>
      <c r="C17" s="177">
        <v>45991</v>
      </c>
      <c r="D17" s="714" t="s">
        <v>530</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531</v>
      </c>
      <c r="B18" s="180" t="s">
        <v>240</v>
      </c>
      <c r="C18" s="409">
        <v>45991</v>
      </c>
      <c r="D18" s="410" t="s">
        <v>532</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1991</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1991</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1991</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1991</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1991</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1991</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1991</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1988</v>
      </c>
      <c r="S31" s="43" t="s">
        <v>147</v>
      </c>
      <c r="T31" s="139" t="s">
        <v>147</v>
      </c>
      <c r="U31" s="115" t="s">
        <v>147</v>
      </c>
      <c r="V31" s="69" t="s">
        <v>147</v>
      </c>
      <c r="W31" s="54">
        <v>45779</v>
      </c>
      <c r="X31" s="69" t="s">
        <v>1991</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1988</v>
      </c>
      <c r="S32" s="43" t="s">
        <v>147</v>
      </c>
      <c r="T32" s="139" t="s">
        <v>147</v>
      </c>
      <c r="U32" s="43" t="s">
        <v>147</v>
      </c>
      <c r="V32" s="69" t="s">
        <v>147</v>
      </c>
      <c r="W32" s="54">
        <v>45792</v>
      </c>
      <c r="X32" s="69" t="s">
        <v>1991</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1988</v>
      </c>
      <c r="S33" s="43" t="s">
        <v>147</v>
      </c>
      <c r="T33" s="139" t="s">
        <v>147</v>
      </c>
      <c r="U33" s="43" t="s">
        <v>147</v>
      </c>
      <c r="V33" s="334" t="s">
        <v>147</v>
      </c>
      <c r="W33" s="54">
        <v>45812</v>
      </c>
      <c r="X33" s="69" t="s">
        <v>1991</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1988</v>
      </c>
      <c r="S34" s="43" t="s">
        <v>147</v>
      </c>
      <c r="T34" s="139" t="s">
        <v>147</v>
      </c>
      <c r="U34" s="43" t="s">
        <v>147</v>
      </c>
      <c r="V34" s="404" t="s">
        <v>147</v>
      </c>
      <c r="W34" s="166">
        <v>45797</v>
      </c>
      <c r="X34" s="69" t="s">
        <v>1991</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1988</v>
      </c>
      <c r="S35" s="43" t="s">
        <v>147</v>
      </c>
      <c r="T35" s="139" t="s">
        <v>147</v>
      </c>
      <c r="U35" s="169" t="s">
        <v>147</v>
      </c>
      <c r="V35" s="69" t="s">
        <v>147</v>
      </c>
      <c r="W35" s="54">
        <v>45789</v>
      </c>
      <c r="X35" s="334" t="s">
        <v>1991</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1988</v>
      </c>
      <c r="S36" s="43" t="s">
        <v>147</v>
      </c>
      <c r="T36" s="139" t="s">
        <v>147</v>
      </c>
      <c r="U36" s="43" t="s">
        <v>147</v>
      </c>
      <c r="V36" s="69" t="s">
        <v>147</v>
      </c>
      <c r="W36" s="54">
        <v>45824</v>
      </c>
      <c r="X36" s="334" t="s">
        <v>1991</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1988</v>
      </c>
      <c r="S37" s="43" t="s">
        <v>147</v>
      </c>
      <c r="T37" s="43" t="s">
        <v>147</v>
      </c>
      <c r="U37" s="169" t="s">
        <v>147</v>
      </c>
      <c r="V37" s="69" t="s">
        <v>147</v>
      </c>
      <c r="W37" s="156">
        <v>45789</v>
      </c>
      <c r="X37" s="69" t="s">
        <v>1991</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1988</v>
      </c>
      <c r="S38" s="43" t="s">
        <v>147</v>
      </c>
      <c r="T38" s="43" t="s">
        <v>147</v>
      </c>
      <c r="U38" s="169" t="s">
        <v>147</v>
      </c>
      <c r="V38" s="69" t="s">
        <v>147</v>
      </c>
      <c r="W38" s="54">
        <v>45789</v>
      </c>
      <c r="X38" s="69" t="s">
        <v>1991</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1988</v>
      </c>
      <c r="S39" s="43" t="s">
        <v>147</v>
      </c>
      <c r="T39" s="43" t="s">
        <v>147</v>
      </c>
      <c r="U39" s="169" t="s">
        <v>147</v>
      </c>
      <c r="V39" s="69" t="s">
        <v>147</v>
      </c>
      <c r="W39" s="54">
        <v>45789</v>
      </c>
      <c r="X39" s="69" t="s">
        <v>1991</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1991</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1991</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1991</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1991</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1991</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1991</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1991</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1991</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1991</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1991</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1991</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1991</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1988</v>
      </c>
      <c r="S57" s="43" t="s">
        <v>147</v>
      </c>
      <c r="T57" s="43" t="s">
        <v>147</v>
      </c>
      <c r="U57" s="43" t="s">
        <v>147</v>
      </c>
      <c r="V57" s="69" t="s">
        <v>147</v>
      </c>
      <c r="W57" s="54">
        <v>45813</v>
      </c>
      <c r="X57" s="69" t="s">
        <v>1991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1988</v>
      </c>
      <c r="S58" s="43" t="s">
        <v>147</v>
      </c>
      <c r="T58" s="43" t="s">
        <v>147</v>
      </c>
      <c r="U58" s="43" t="s">
        <v>147</v>
      </c>
      <c r="V58" s="334" t="s">
        <v>147</v>
      </c>
      <c r="W58" s="54">
        <v>45796</v>
      </c>
      <c r="X58" s="69" t="s">
        <v>1991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1970</v>
      </c>
      <c r="P59" s="328" t="s">
        <v>147</v>
      </c>
      <c r="Q59" s="43" t="s">
        <v>147</v>
      </c>
      <c r="R59" s="43" t="s">
        <v>1988</v>
      </c>
      <c r="S59" s="43" t="s">
        <v>147</v>
      </c>
      <c r="T59" s="43" t="s">
        <v>147</v>
      </c>
      <c r="U59" s="43" t="s">
        <v>147</v>
      </c>
      <c r="V59" s="334" t="s">
        <v>147</v>
      </c>
      <c r="W59" s="54">
        <v>45796</v>
      </c>
      <c r="X59" s="69" t="s">
        <v>1991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1988</v>
      </c>
      <c r="S60" s="43" t="s">
        <v>147</v>
      </c>
      <c r="T60" s="43" t="s">
        <v>147</v>
      </c>
      <c r="U60" s="43" t="s">
        <v>147</v>
      </c>
      <c r="V60" s="334" t="s">
        <v>147</v>
      </c>
      <c r="W60" s="54">
        <v>45824</v>
      </c>
      <c r="X60" s="69" t="s">
        <v>1991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117</v>
      </c>
      <c r="C73" s="183">
        <v>45838</v>
      </c>
      <c r="D73" s="619" t="s">
        <v>435</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1993</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1988</v>
      </c>
      <c r="S81" s="43" t="s">
        <v>147</v>
      </c>
      <c r="T81" s="43" t="s">
        <v>147</v>
      </c>
      <c r="U81" s="115" t="s">
        <v>147</v>
      </c>
      <c r="V81" s="69" t="s">
        <v>147</v>
      </c>
      <c r="W81" s="54">
        <v>45789</v>
      </c>
      <c r="X81" s="69" t="s">
        <v>1991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1988</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522</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1988</v>
      </c>
      <c r="S84" s="169" t="s">
        <v>147</v>
      </c>
      <c r="T84" s="169" t="s">
        <v>147</v>
      </c>
      <c r="U84" s="91" t="s">
        <v>147</v>
      </c>
      <c r="V84" s="69" t="s">
        <v>147</v>
      </c>
      <c r="W84" s="195">
        <v>45875</v>
      </c>
      <c r="X84" s="69" t="s">
        <v>1991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1988</v>
      </c>
      <c r="S85" s="169" t="s">
        <v>147</v>
      </c>
      <c r="T85" s="169" t="s">
        <v>147</v>
      </c>
      <c r="U85" s="91" t="s">
        <v>147</v>
      </c>
      <c r="V85" s="91" t="s">
        <v>147</v>
      </c>
      <c r="W85" s="195">
        <v>45874</v>
      </c>
      <c r="X85" s="69" t="s">
        <v>1991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1988</v>
      </c>
      <c r="S86" s="43" t="s">
        <v>147</v>
      </c>
      <c r="T86" s="43" t="s">
        <v>147</v>
      </c>
      <c r="U86" s="69" t="s">
        <v>147</v>
      </c>
      <c r="V86" s="69" t="s">
        <v>147</v>
      </c>
      <c r="W86" s="54">
        <v>45824</v>
      </c>
      <c r="X86" s="69" t="s">
        <v>1991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1988</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1988</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1988</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1988</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1988</v>
      </c>
      <c r="S91" s="69" t="s">
        <v>147</v>
      </c>
      <c r="T91" s="69" t="s">
        <v>147</v>
      </c>
      <c r="U91" s="69" t="s">
        <v>147</v>
      </c>
      <c r="V91" s="69" t="s">
        <v>147</v>
      </c>
      <c r="W91" s="54">
        <v>45831</v>
      </c>
      <c r="X91" s="69" t="s">
        <v>1991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1988</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1988</v>
      </c>
      <c r="S93" s="43" t="s">
        <v>147</v>
      </c>
      <c r="T93" s="43" t="s">
        <v>147</v>
      </c>
      <c r="U93" s="334" t="s">
        <v>147</v>
      </c>
      <c r="V93" s="69" t="s">
        <v>147</v>
      </c>
      <c r="W93" s="54">
        <v>45789</v>
      </c>
      <c r="X93" s="69" t="s">
        <v>1991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1988</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1988</v>
      </c>
      <c r="S95" s="69" t="s">
        <v>147</v>
      </c>
      <c r="T95" s="43" t="s">
        <v>147</v>
      </c>
      <c r="U95" s="69" t="s">
        <v>147</v>
      </c>
      <c r="V95" s="69" t="s">
        <v>147</v>
      </c>
      <c r="W95" s="54">
        <v>45814</v>
      </c>
      <c r="X95" s="69" t="s">
        <v>1991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1988</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1988</v>
      </c>
      <c r="S97" s="69" t="s">
        <v>147</v>
      </c>
      <c r="T97" s="69" t="s">
        <v>147</v>
      </c>
      <c r="U97" s="69" t="s">
        <v>147</v>
      </c>
      <c r="V97" s="43" t="s">
        <v>147</v>
      </c>
      <c r="W97" s="54">
        <v>45824</v>
      </c>
      <c r="X97" s="69" t="s">
        <v>1991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1988</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1988</v>
      </c>
      <c r="S99" s="43" t="s">
        <v>147</v>
      </c>
      <c r="T99" s="115" t="s">
        <v>147</v>
      </c>
      <c r="U99" s="148" t="s">
        <v>147</v>
      </c>
      <c r="V99" s="69" t="s">
        <v>147</v>
      </c>
      <c r="W99" s="54">
        <v>45814</v>
      </c>
      <c r="X99" s="69" t="s">
        <v>1991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1988</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1988</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1988</v>
      </c>
      <c r="S102" s="43" t="s">
        <v>147</v>
      </c>
      <c r="T102" s="43" t="s">
        <v>147</v>
      </c>
      <c r="U102" s="43" t="s">
        <v>147</v>
      </c>
      <c r="V102" s="165" t="s">
        <v>147</v>
      </c>
      <c r="W102" s="54">
        <v>45835</v>
      </c>
      <c r="X102" s="69" t="s">
        <v>1991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1988</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1988</v>
      </c>
      <c r="S104" s="43" t="s">
        <v>147</v>
      </c>
      <c r="T104" s="43" t="s">
        <v>147</v>
      </c>
      <c r="U104" s="43" t="s">
        <v>147</v>
      </c>
      <c r="V104" s="139" t="s">
        <v>147</v>
      </c>
      <c r="W104" s="54">
        <v>45820</v>
      </c>
      <c r="X104" s="69" t="s">
        <v>1991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1988</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1988</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1988</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1988</v>
      </c>
      <c r="S108" s="43" t="s">
        <v>147</v>
      </c>
      <c r="T108" s="43" t="s">
        <v>147</v>
      </c>
      <c r="U108" s="88" t="s">
        <v>147</v>
      </c>
      <c r="V108" s="481" t="s">
        <v>147</v>
      </c>
      <c r="W108" s="356">
        <v>45798</v>
      </c>
      <c r="X108" s="69" t="s">
        <v>1991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1988</v>
      </c>
      <c r="S109" s="43" t="s">
        <v>147</v>
      </c>
      <c r="T109" s="43" t="s">
        <v>147</v>
      </c>
      <c r="U109" s="43" t="s">
        <v>1994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1988</v>
      </c>
      <c r="S110" s="43" t="s">
        <v>147</v>
      </c>
      <c r="T110" s="43" t="s">
        <v>147</v>
      </c>
      <c r="U110" s="88" t="s">
        <v>147</v>
      </c>
      <c r="V110" s="481" t="s">
        <v>147</v>
      </c>
      <c r="W110" s="356">
        <v>45902</v>
      </c>
      <c r="X110" s="69" t="s">
        <v>1991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1988</v>
      </c>
      <c r="S111" s="43" t="s">
        <v>147</v>
      </c>
      <c r="T111" s="43" t="s">
        <v>147</v>
      </c>
      <c r="U111" s="43" t="s">
        <v>147</v>
      </c>
      <c r="V111" s="201" t="s">
        <v>147</v>
      </c>
      <c r="W111" s="166">
        <v>45790</v>
      </c>
      <c r="X111" s="69" t="s">
        <v>1991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1988</v>
      </c>
      <c r="S112" s="43" t="s">
        <v>147</v>
      </c>
      <c r="T112" s="43" t="s">
        <v>147</v>
      </c>
      <c r="U112" s="43" t="s">
        <v>147</v>
      </c>
      <c r="V112" s="201" t="s">
        <v>147</v>
      </c>
      <c r="W112" s="479">
        <v>45791</v>
      </c>
      <c r="X112" s="69" t="s">
        <v>1991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1988</v>
      </c>
      <c r="S113" s="115" t="s">
        <v>147</v>
      </c>
      <c r="T113" s="43" t="s">
        <v>147</v>
      </c>
      <c r="U113" s="43" t="s">
        <v>147</v>
      </c>
      <c r="V113" s="201" t="s">
        <v>147</v>
      </c>
      <c r="W113" s="479">
        <v>45791</v>
      </c>
      <c r="X113" s="148" t="s">
        <v>1991</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1988</v>
      </c>
      <c r="S114" s="115" t="s">
        <v>147</v>
      </c>
      <c r="T114" s="43" t="s">
        <v>147</v>
      </c>
      <c r="U114" s="157" t="s">
        <v>147</v>
      </c>
      <c r="V114" s="201" t="s">
        <v>147</v>
      </c>
      <c r="W114" s="54">
        <v>45798</v>
      </c>
      <c r="X114" s="69" t="s">
        <v>1991</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1988</v>
      </c>
      <c r="S115" s="43" t="s">
        <v>147</v>
      </c>
      <c r="T115" s="43" t="s">
        <v>147</v>
      </c>
      <c r="U115" s="43" t="s">
        <v>147</v>
      </c>
      <c r="V115" s="88" t="s">
        <v>147</v>
      </c>
      <c r="W115" s="54">
        <v>45814</v>
      </c>
      <c r="X115" s="69" t="s">
        <v>1991</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1988</v>
      </c>
      <c r="S116" s="43" t="s">
        <v>147</v>
      </c>
      <c r="T116" s="43" t="s">
        <v>147</v>
      </c>
      <c r="U116" s="43" t="s">
        <v>147</v>
      </c>
      <c r="V116" s="481" t="s">
        <v>147</v>
      </c>
      <c r="W116" s="54">
        <v>45807</v>
      </c>
      <c r="X116" s="69" t="s">
        <v>1991</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1988</v>
      </c>
      <c r="S117" s="43" t="s">
        <v>147</v>
      </c>
      <c r="T117" s="43" t="s">
        <v>147</v>
      </c>
      <c r="U117" s="43" t="s">
        <v>147</v>
      </c>
      <c r="V117" s="88" t="s">
        <v>147</v>
      </c>
      <c r="W117" s="54">
        <v>45811</v>
      </c>
      <c r="X117" s="69" t="s">
        <v>1991</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1988</v>
      </c>
      <c r="S118" s="43" t="s">
        <v>147</v>
      </c>
      <c r="T118" s="43" t="s">
        <v>147</v>
      </c>
      <c r="U118" s="157" t="s">
        <v>147</v>
      </c>
      <c r="V118" s="88" t="s">
        <v>147</v>
      </c>
      <c r="W118" s="54">
        <v>45810</v>
      </c>
      <c r="X118" s="69" t="s">
        <v>1991</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1988</v>
      </c>
      <c r="S119" s="43" t="s">
        <v>147</v>
      </c>
      <c r="T119" s="43" t="s">
        <v>147</v>
      </c>
      <c r="U119" s="157" t="s">
        <v>147</v>
      </c>
      <c r="V119" s="88" t="s">
        <v>147</v>
      </c>
      <c r="W119" s="54">
        <v>45813</v>
      </c>
      <c r="X119" s="69" t="s">
        <v>1991</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1988</v>
      </c>
      <c r="S120" s="43" t="s">
        <v>147</v>
      </c>
      <c r="T120" s="43" t="s">
        <v>147</v>
      </c>
      <c r="U120" s="43" t="s">
        <v>147</v>
      </c>
      <c r="V120" s="88" t="s">
        <v>147</v>
      </c>
      <c r="W120" s="54">
        <v>45811</v>
      </c>
      <c r="X120" s="69" t="s">
        <v>1991</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1988</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1988</v>
      </c>
      <c r="S122" s="43" t="s">
        <v>147</v>
      </c>
      <c r="T122" s="43" t="s">
        <v>147</v>
      </c>
      <c r="U122" s="157" t="s">
        <v>147</v>
      </c>
      <c r="V122" s="157" t="s">
        <v>147</v>
      </c>
      <c r="W122" s="54">
        <v>45789</v>
      </c>
      <c r="X122" s="69" t="s">
        <v>1991</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1988</v>
      </c>
      <c r="S123" s="43" t="s">
        <v>147</v>
      </c>
      <c r="T123" s="43" t="s">
        <v>147</v>
      </c>
      <c r="U123" s="43" t="s">
        <v>147</v>
      </c>
      <c r="V123" s="69" t="s">
        <v>147</v>
      </c>
      <c r="W123" s="54">
        <v>45811</v>
      </c>
      <c r="X123" s="69" t="s">
        <v>1991</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1988</v>
      </c>
      <c r="S124" s="43" t="s">
        <v>147</v>
      </c>
      <c r="T124" s="43" t="s">
        <v>147</v>
      </c>
      <c r="U124" s="43" t="s">
        <v>1994</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1988</v>
      </c>
      <c r="S125" s="43" t="s">
        <v>147</v>
      </c>
      <c r="T125" s="43" t="s">
        <v>147</v>
      </c>
      <c r="U125" s="43" t="s">
        <v>147</v>
      </c>
      <c r="V125" s="43" t="s">
        <v>147</v>
      </c>
      <c r="W125" s="54">
        <v>45814</v>
      </c>
      <c r="X125" s="69" t="s">
        <v>1991</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1988</v>
      </c>
      <c r="S126" s="43" t="s">
        <v>147</v>
      </c>
      <c r="T126" s="43" t="s">
        <v>147</v>
      </c>
      <c r="U126" s="43" t="s">
        <v>147</v>
      </c>
      <c r="V126" s="88" t="s">
        <v>147</v>
      </c>
      <c r="W126" s="54">
        <v>45819</v>
      </c>
      <c r="X126" s="69" t="s">
        <v>1991</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1988</v>
      </c>
      <c r="S127" s="43" t="s">
        <v>147</v>
      </c>
      <c r="T127" s="43" t="s">
        <v>147</v>
      </c>
      <c r="U127" s="43" t="s">
        <v>147</v>
      </c>
      <c r="V127" s="88" t="s">
        <v>147</v>
      </c>
      <c r="W127" s="54">
        <v>45812</v>
      </c>
      <c r="X127" s="69" t="s">
        <v>1991</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1988</v>
      </c>
      <c r="S128" s="43" t="s">
        <v>147</v>
      </c>
      <c r="T128" s="43" t="s">
        <v>147</v>
      </c>
      <c r="U128" s="43" t="s">
        <v>147</v>
      </c>
      <c r="V128" s="88" t="s">
        <v>147</v>
      </c>
      <c r="W128" s="166">
        <v>45883</v>
      </c>
      <c r="X128" s="69" t="s">
        <v>1991</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1988</v>
      </c>
      <c r="S129" s="43" t="s">
        <v>147</v>
      </c>
      <c r="T129" s="115" t="s">
        <v>147</v>
      </c>
      <c r="U129" s="115" t="s">
        <v>147</v>
      </c>
      <c r="V129" s="88" t="s">
        <v>147</v>
      </c>
      <c r="W129" s="166">
        <v>45814</v>
      </c>
      <c r="X129" s="69" t="s">
        <v>1991</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1988</v>
      </c>
      <c r="S130" s="43" t="s">
        <v>147</v>
      </c>
      <c r="T130" s="43" t="s">
        <v>147</v>
      </c>
      <c r="U130" s="43" t="s">
        <v>147</v>
      </c>
      <c r="V130" s="88" t="s">
        <v>147</v>
      </c>
      <c r="W130" s="54">
        <v>45798</v>
      </c>
      <c r="X130" s="69" t="s">
        <v>1991</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1988</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1988</v>
      </c>
      <c r="S132" s="43" t="s">
        <v>147</v>
      </c>
      <c r="T132" s="43" t="s">
        <v>147</v>
      </c>
      <c r="U132" s="43" t="s">
        <v>147</v>
      </c>
      <c r="V132" s="43" t="s">
        <v>147</v>
      </c>
      <c r="W132" s="54">
        <v>45820</v>
      </c>
      <c r="X132" s="69" t="s">
        <v>1991</v>
      </c>
      <c r="Y132" t="e">
        <f>VLOOKUP(A132,#REF!,2,FALSE)</f>
        <v>#REF!</v>
      </c>
    </row>
    <row r="133" spans="1:25" ht="15" customHeight="1">
      <c r="A133" s="358" t="s">
        <v>845</v>
      </c>
      <c r="B133" s="406" t="s">
        <v>50</v>
      </c>
      <c r="C133" s="367">
        <v>45742</v>
      </c>
      <c r="D133" s="419" t="s">
        <v>1995</v>
      </c>
      <c r="E133" s="361"/>
      <c r="F133" s="361"/>
      <c r="G133" s="361"/>
      <c r="H133" s="361">
        <v>38</v>
      </c>
      <c r="I133" s="360"/>
      <c r="J133" s="361" t="s">
        <v>57</v>
      </c>
      <c r="K133" s="361" t="s">
        <v>57</v>
      </c>
      <c r="L133" s="361" t="s">
        <v>63</v>
      </c>
      <c r="M133" s="49" t="s">
        <v>147</v>
      </c>
      <c r="N133" s="49" t="s">
        <v>147</v>
      </c>
      <c r="O133" s="54">
        <v>45701</v>
      </c>
      <c r="P133" s="30" t="s">
        <v>147</v>
      </c>
      <c r="Q133" s="69" t="s">
        <v>147</v>
      </c>
      <c r="R133" s="43" t="s">
        <v>1988</v>
      </c>
      <c r="S133" s="43" t="s">
        <v>147</v>
      </c>
      <c r="T133" s="43" t="s">
        <v>147</v>
      </c>
      <c r="U133" s="43" t="s">
        <v>147</v>
      </c>
      <c r="V133" s="69" t="s">
        <v>147</v>
      </c>
      <c r="W133" s="54">
        <v>45821</v>
      </c>
      <c r="X133" s="69" t="s">
        <v>1991</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1988</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1988</v>
      </c>
      <c r="S135" s="43" t="s">
        <v>147</v>
      </c>
      <c r="T135" s="43" t="s">
        <v>147</v>
      </c>
      <c r="U135" s="157" t="s">
        <v>147</v>
      </c>
      <c r="V135" s="43" t="s">
        <v>147</v>
      </c>
      <c r="W135" s="54">
        <v>45819</v>
      </c>
      <c r="X135" s="69" t="s">
        <v>1991</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1988</v>
      </c>
      <c r="S136" s="43" t="s">
        <v>147</v>
      </c>
      <c r="T136" s="43" t="s">
        <v>147</v>
      </c>
      <c r="U136" s="43" t="s">
        <v>147</v>
      </c>
      <c r="V136" s="43" t="s">
        <v>147</v>
      </c>
      <c r="W136" s="54">
        <v>45791</v>
      </c>
      <c r="X136" s="69" t="s">
        <v>1991</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1988</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1988</v>
      </c>
      <c r="S138" s="43" t="s">
        <v>147</v>
      </c>
      <c r="T138" s="43" t="s">
        <v>147</v>
      </c>
      <c r="U138" s="43" t="s">
        <v>147</v>
      </c>
      <c r="V138" s="43" t="s">
        <v>147</v>
      </c>
      <c r="W138" s="54">
        <v>45790</v>
      </c>
      <c r="X138" s="69" t="s">
        <v>1991</v>
      </c>
      <c r="Y138" t="e">
        <f>VLOOKUP(A138,#REF!,2,FALSE)</f>
        <v>#REF!</v>
      </c>
    </row>
    <row r="139" spans="1:25" ht="15" customHeight="1">
      <c r="A139" s="358" t="s">
        <v>1996</v>
      </c>
      <c r="B139" s="182" t="s">
        <v>50</v>
      </c>
      <c r="C139" s="408">
        <v>45742</v>
      </c>
      <c r="D139" s="361" t="s">
        <v>1997</v>
      </c>
      <c r="E139" s="521"/>
      <c r="F139" s="361"/>
      <c r="G139" s="361"/>
      <c r="H139" s="361">
        <v>87</v>
      </c>
      <c r="I139" s="360"/>
      <c r="J139" s="361" t="s">
        <v>57</v>
      </c>
      <c r="K139" s="361" t="s">
        <v>57</v>
      </c>
      <c r="L139" s="361" t="s">
        <v>63</v>
      </c>
      <c r="M139" s="49" t="s">
        <v>147</v>
      </c>
      <c r="N139" s="30" t="s">
        <v>147</v>
      </c>
      <c r="O139" s="30" t="s">
        <v>147</v>
      </c>
      <c r="P139" s="30" t="s">
        <v>147</v>
      </c>
      <c r="Q139" s="43" t="s">
        <v>147</v>
      </c>
      <c r="R139" s="43" t="s">
        <v>1988</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1988</v>
      </c>
      <c r="S140" s="43" t="s">
        <v>147</v>
      </c>
      <c r="T140" s="43" t="s">
        <v>147</v>
      </c>
      <c r="U140" s="88" t="s">
        <v>147</v>
      </c>
      <c r="V140" s="69" t="s">
        <v>147</v>
      </c>
      <c r="W140" s="54">
        <v>45819</v>
      </c>
      <c r="X140" s="69" t="s">
        <v>1991</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1988</v>
      </c>
      <c r="S141" s="43" t="s">
        <v>147</v>
      </c>
      <c r="T141" s="43" t="s">
        <v>147</v>
      </c>
      <c r="U141" s="88" t="s">
        <v>147</v>
      </c>
      <c r="V141" s="88" t="s">
        <v>147</v>
      </c>
      <c r="W141" s="54">
        <v>45811</v>
      </c>
      <c r="X141" s="69" t="s">
        <v>1991</v>
      </c>
      <c r="Y141" t="e">
        <f>VLOOKUP(A141,#REF!,2,FALSE)</f>
        <v>#REF!</v>
      </c>
    </row>
    <row r="142" spans="1:25" ht="15" customHeight="1">
      <c r="A142" s="358" t="s">
        <v>1998</v>
      </c>
      <c r="B142" s="406" t="s">
        <v>50</v>
      </c>
      <c r="C142" s="408">
        <v>45742</v>
      </c>
      <c r="D142" s="361" t="s">
        <v>1999</v>
      </c>
      <c r="E142" s="521"/>
      <c r="F142" s="361"/>
      <c r="G142" s="361"/>
      <c r="H142" s="361">
        <v>87</v>
      </c>
      <c r="I142" s="360"/>
      <c r="J142" s="361" t="s">
        <v>57</v>
      </c>
      <c r="K142" s="361" t="s">
        <v>57</v>
      </c>
      <c r="L142" s="361" t="s">
        <v>63</v>
      </c>
      <c r="M142" s="49" t="s">
        <v>147</v>
      </c>
      <c r="N142" s="49" t="s">
        <v>147</v>
      </c>
      <c r="O142" s="195">
        <v>45691</v>
      </c>
      <c r="P142" s="30" t="s">
        <v>147</v>
      </c>
      <c r="Q142" s="69" t="s">
        <v>147</v>
      </c>
      <c r="R142" s="43" t="s">
        <v>1988</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1988</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1991</v>
      </c>
    </row>
    <row r="145" spans="1:25" ht="15" customHeight="1">
      <c r="A145" s="358" t="s">
        <v>1043</v>
      </c>
      <c r="B145" s="406" t="s">
        <v>50</v>
      </c>
      <c r="C145" s="359">
        <v>45991</v>
      </c>
      <c r="D145" s="410" t="s">
        <v>499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1961</v>
      </c>
      <c r="B146" s="406" t="s">
        <v>50</v>
      </c>
      <c r="C146" s="359">
        <v>45991</v>
      </c>
      <c r="D146" s="418" t="s">
        <v>1962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501</v>
      </c>
      <c r="B148" s="406" t="s">
        <v>50</v>
      </c>
      <c r="C148" s="400">
        <v>45991</v>
      </c>
      <c r="D148" s="410" t="s">
        <v>503</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1988</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1988</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1988</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1988</v>
      </c>
      <c r="S153" s="43" t="s">
        <v>147</v>
      </c>
      <c r="T153" s="157" t="s">
        <v>147</v>
      </c>
      <c r="U153" s="157" t="s">
        <v>147</v>
      </c>
      <c r="V153" s="43" t="s">
        <v>147</v>
      </c>
      <c r="W153" s="54">
        <v>45807</v>
      </c>
      <c r="X153" s="69" t="s">
        <v>1991</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1988</v>
      </c>
      <c r="S154" s="43" t="s">
        <v>147</v>
      </c>
      <c r="T154" s="157" t="s">
        <v>147</v>
      </c>
      <c r="U154" s="157" t="s">
        <v>147</v>
      </c>
      <c r="V154" s="43" t="s">
        <v>147</v>
      </c>
      <c r="W154" s="166">
        <v>45792</v>
      </c>
      <c r="X154" s="148" t="s">
        <v>1991</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1988</v>
      </c>
      <c r="S155" s="43" t="s">
        <v>147</v>
      </c>
      <c r="T155" s="43" t="s">
        <v>147</v>
      </c>
      <c r="U155" s="157" t="s">
        <v>147</v>
      </c>
      <c r="V155" s="43" t="s">
        <v>147</v>
      </c>
      <c r="W155" s="356">
        <v>45821</v>
      </c>
      <c r="X155" s="69" t="s">
        <v>1991</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1988</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1969</v>
      </c>
      <c r="E157" s="704"/>
      <c r="F157" s="419"/>
      <c r="G157" s="419"/>
      <c r="H157" s="419">
        <v>79</v>
      </c>
      <c r="I157" s="360"/>
      <c r="J157" s="361" t="s">
        <v>57</v>
      </c>
      <c r="K157" s="553" t="s">
        <v>57</v>
      </c>
      <c r="L157" s="361" t="s">
        <v>63</v>
      </c>
      <c r="M157" s="195">
        <v>45735</v>
      </c>
      <c r="N157" s="30" t="s">
        <v>64</v>
      </c>
      <c r="O157" s="54">
        <v>45737</v>
      </c>
      <c r="P157" s="49" t="s">
        <v>64</v>
      </c>
      <c r="Q157" s="69" t="s">
        <v>64</v>
      </c>
      <c r="R157" s="69" t="s">
        <v>1988</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1988</v>
      </c>
      <c r="S158" s="43" t="s">
        <v>147</v>
      </c>
      <c r="T158" s="43" t="s">
        <v>147</v>
      </c>
      <c r="U158" s="157" t="s">
        <v>147</v>
      </c>
      <c r="V158" s="157" t="s">
        <v>147</v>
      </c>
      <c r="W158" s="356">
        <v>45817</v>
      </c>
      <c r="X158" s="69" t="s">
        <v>1991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1991</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1991</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1991</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1991</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508</v>
      </c>
      <c r="B169" s="406" t="s">
        <v>50</v>
      </c>
      <c r="C169" s="579">
        <v>45991</v>
      </c>
      <c r="D169" s="410" t="s">
        <v>509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9" t="s">
        <v>2001</v>
      </c>
      <c r="C1" s="1359"/>
      <c r="D1" s="558"/>
      <c r="E1" s="1359" t="s">
        <v>2002</v>
      </c>
      <c r="F1" s="1359"/>
    </row>
    <row r="2" spans="1:25">
      <c r="B2" s="44" t="s">
        <v>2003</v>
      </c>
      <c r="E2" s="44" t="s">
        <v>22</v>
      </c>
      <c r="F2" t="s">
        <v>1013</v>
      </c>
      <c r="P2" s="44" t="s">
        <v>27</v>
      </c>
      <c r="Q2" t="s">
        <v>2004</v>
      </c>
    </row>
    <row r="3" spans="1:25">
      <c r="B3" s="44" t="s">
        <v>22</v>
      </c>
      <c r="C3" t="s">
        <v>1019</v>
      </c>
      <c r="K3" s="44" t="s">
        <v>2005</v>
      </c>
      <c r="L3" t="s">
        <v>2006</v>
      </c>
      <c r="P3" s="44" t="s">
        <v>2005</v>
      </c>
      <c r="Q3" t="s">
        <v>2006</v>
      </c>
    </row>
    <row r="4" spans="1:25">
      <c r="B4" t="s">
        <v>137</v>
      </c>
      <c r="C4">
        <v>113260</v>
      </c>
      <c r="E4" s="44" t="s">
        <v>2003</v>
      </c>
      <c r="F4" t="s">
        <v>1019</v>
      </c>
      <c r="W4" t="s">
        <v>2007</v>
      </c>
      <c r="X4">
        <v>22</v>
      </c>
    </row>
    <row r="5" spans="1:25">
      <c r="B5" t="s">
        <v>72</v>
      </c>
      <c r="C5">
        <v>32741</v>
      </c>
      <c r="E5" t="s">
        <v>1019</v>
      </c>
      <c r="F5">
        <v>176043</v>
      </c>
      <c r="K5" s="44" t="s">
        <v>2008</v>
      </c>
      <c r="P5" s="44" t="s">
        <v>2008</v>
      </c>
      <c r="W5" t="s">
        <v>2009</v>
      </c>
      <c r="X5">
        <v>13</v>
      </c>
    </row>
    <row r="6" spans="1:25">
      <c r="B6" t="s">
        <v>100</v>
      </c>
      <c r="C6">
        <v>22387</v>
      </c>
      <c r="K6" s="44" t="s">
        <v>27</v>
      </c>
      <c r="L6" s="44" t="s">
        <v>2010</v>
      </c>
      <c r="M6" t="s">
        <v>1019</v>
      </c>
      <c r="P6" s="44" t="s">
        <v>2011</v>
      </c>
      <c r="Q6" s="44" t="s">
        <v>2010</v>
      </c>
      <c r="R6" t="s">
        <v>1019</v>
      </c>
    </row>
    <row r="7" spans="1:25">
      <c r="B7" t="s">
        <v>1046</v>
      </c>
      <c r="C7">
        <v>212091</v>
      </c>
      <c r="K7" t="s">
        <v>2004</v>
      </c>
      <c r="L7" t="s">
        <v>631</v>
      </c>
      <c r="M7">
        <v>1</v>
      </c>
      <c r="P7" t="s">
        <v>2012</v>
      </c>
      <c r="R7">
        <v>1</v>
      </c>
      <c r="X7" t="s">
        <v>2013</v>
      </c>
      <c r="Y7" t="s">
        <v>2014</v>
      </c>
    </row>
    <row r="8" spans="1:25">
      <c r="B8" t="s">
        <v>51</v>
      </c>
      <c r="C8">
        <v>446</v>
      </c>
      <c r="L8" t="s">
        <v>633</v>
      </c>
      <c r="M8">
        <v>1</v>
      </c>
      <c r="P8" t="s">
        <v>2015</v>
      </c>
      <c r="R8">
        <v>1</v>
      </c>
      <c r="V8" t="s">
        <v>2016</v>
      </c>
      <c r="W8" s="257">
        <v>203521</v>
      </c>
      <c r="X8" s="313">
        <f>X5/X4</f>
        <v>0.59090909090909094</v>
      </c>
      <c r="Y8" s="313">
        <f>W9/W8</f>
        <v>0.31446386367991508</v>
      </c>
    </row>
    <row r="9" spans="1:25">
      <c r="B9" t="s">
        <v>22</v>
      </c>
      <c r="C9">
        <v>0</v>
      </c>
      <c r="L9" t="s">
        <v>2017</v>
      </c>
      <c r="M9">
        <v>1</v>
      </c>
      <c r="P9" t="s">
        <v>2018</v>
      </c>
      <c r="Q9" t="s">
        <v>2017</v>
      </c>
      <c r="R9">
        <v>1</v>
      </c>
      <c r="V9" t="s">
        <v>2019</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2020</v>
      </c>
      <c r="R12">
        <v>1</v>
      </c>
    </row>
    <row r="13" spans="1:25">
      <c r="B13" t="s">
        <v>235</v>
      </c>
      <c r="C13">
        <v>8065</v>
      </c>
      <c r="L13" t="s">
        <v>2021</v>
      </c>
      <c r="M13">
        <v>1</v>
      </c>
      <c r="Q13" t="s">
        <v>968</v>
      </c>
      <c r="R13">
        <v>1</v>
      </c>
    </row>
    <row r="14" spans="1:25">
      <c r="B14" t="s">
        <v>141</v>
      </c>
      <c r="C14">
        <v>7655</v>
      </c>
      <c r="L14" t="s">
        <v>810</v>
      </c>
      <c r="M14">
        <v>1</v>
      </c>
      <c r="P14" t="s">
        <v>2022</v>
      </c>
      <c r="R14">
        <v>5</v>
      </c>
    </row>
    <row r="15" spans="1:25">
      <c r="B15" t="s">
        <v>203</v>
      </c>
      <c r="C15">
        <v>3</v>
      </c>
      <c r="L15" t="s">
        <v>2020</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2023</v>
      </c>
      <c r="M21">
        <v>1</v>
      </c>
    </row>
    <row r="22" spans="2:13">
      <c r="L22" t="s">
        <v>968</v>
      </c>
      <c r="M22">
        <v>1</v>
      </c>
    </row>
    <row r="23" spans="2:13">
      <c r="L23" t="s">
        <v>858</v>
      </c>
      <c r="M23">
        <v>1</v>
      </c>
    </row>
    <row r="24" spans="2:13">
      <c r="L24" t="s">
        <v>879</v>
      </c>
      <c r="M24">
        <v>1</v>
      </c>
    </row>
    <row r="25" spans="2:13">
      <c r="L25" t="s">
        <v>197</v>
      </c>
      <c r="M25">
        <v>1</v>
      </c>
    </row>
    <row r="26" spans="2:13">
      <c r="K26" t="s">
        <v>2024</v>
      </c>
      <c r="M26">
        <v>19</v>
      </c>
    </row>
    <row r="27" spans="2:13">
      <c r="K27" t="s">
        <v>2025</v>
      </c>
      <c r="L27" t="s">
        <v>804</v>
      </c>
      <c r="M27">
        <v>1</v>
      </c>
    </row>
    <row r="28" spans="2:13">
      <c r="L28" t="s">
        <v>806</v>
      </c>
      <c r="M28">
        <v>1</v>
      </c>
    </row>
    <row r="29" spans="2:13">
      <c r="L29" t="s">
        <v>808</v>
      </c>
      <c r="M29">
        <v>1</v>
      </c>
    </row>
    <row r="30" spans="2:13">
      <c r="L30" t="s">
        <v>824</v>
      </c>
      <c r="M30">
        <v>1</v>
      </c>
    </row>
    <row r="31" spans="2:13">
      <c r="L31" t="s">
        <v>828</v>
      </c>
      <c r="M31">
        <v>1</v>
      </c>
    </row>
    <row r="32" spans="2:13">
      <c r="L32" t="s">
        <v>2026</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2027</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0"/>
      <c r="B1" s="1360"/>
      <c r="C1" s="1360"/>
      <c r="D1" s="1360"/>
      <c r="E1" s="1360"/>
      <c r="F1" s="1360"/>
      <c r="G1" s="1360"/>
      <c r="H1" s="1361" t="s">
        <v>2028</v>
      </c>
      <c r="I1" s="1361"/>
      <c r="J1" s="1361"/>
      <c r="K1" s="1361"/>
      <c r="L1" s="1361"/>
      <c r="M1" s="1361"/>
      <c r="N1" s="1361"/>
      <c r="O1" s="1361"/>
      <c r="P1" s="260"/>
      <c r="Q1" s="1362" t="s">
        <v>34</v>
      </c>
      <c r="R1" s="1362"/>
      <c r="S1" s="1358"/>
      <c r="T1" s="1362"/>
      <c r="U1" s="1362"/>
      <c r="V1" s="1362"/>
      <c r="W1" s="1362"/>
      <c r="X1" s="1362"/>
      <c r="Y1" s="264"/>
    </row>
    <row r="2" spans="1:26" ht="15.75" thickBot="1">
      <c r="A2" s="265"/>
      <c r="B2" s="266"/>
      <c r="C2" s="266"/>
      <c r="D2" s="266"/>
      <c r="E2" s="266"/>
      <c r="F2" s="266"/>
      <c r="G2" s="266"/>
      <c r="H2" s="267"/>
      <c r="I2" s="267"/>
      <c r="J2" s="267"/>
      <c r="K2" s="267"/>
      <c r="L2" s="267"/>
      <c r="M2" s="267"/>
      <c r="N2" s="267"/>
      <c r="O2" s="267"/>
      <c r="P2" s="260"/>
      <c r="Q2" s="264"/>
      <c r="R2" s="264" t="s">
        <v>2029</v>
      </c>
      <c r="S2" s="3" t="s">
        <v>1914</v>
      </c>
      <c r="T2" s="264" t="s">
        <v>1915</v>
      </c>
      <c r="U2" s="264" t="s">
        <v>1915</v>
      </c>
      <c r="V2" s="264" t="s">
        <v>1915</v>
      </c>
      <c r="W2" s="264" t="s">
        <v>1915</v>
      </c>
      <c r="X2" s="264" t="s">
        <v>1916</v>
      </c>
      <c r="Y2" s="264" t="s">
        <v>2030</v>
      </c>
    </row>
    <row r="3" spans="1:26" ht="15.75" thickBot="1">
      <c r="A3" s="263" t="s">
        <v>2010</v>
      </c>
      <c r="B3" s="259" t="s">
        <v>20</v>
      </c>
      <c r="C3" s="259" t="s">
        <v>2031</v>
      </c>
      <c r="D3" s="259" t="s">
        <v>26</v>
      </c>
      <c r="E3" s="259" t="s">
        <v>2005</v>
      </c>
      <c r="F3" s="259" t="s">
        <v>2032</v>
      </c>
      <c r="G3" s="259" t="s">
        <v>27</v>
      </c>
      <c r="H3" s="207" t="s">
        <v>28</v>
      </c>
      <c r="I3" s="207" t="s">
        <v>2033</v>
      </c>
      <c r="J3" s="207" t="s">
        <v>2034</v>
      </c>
      <c r="K3" s="207" t="s">
        <v>2035</v>
      </c>
      <c r="L3" s="207" t="s">
        <v>1991</v>
      </c>
      <c r="M3" s="207" t="s">
        <v>2036</v>
      </c>
      <c r="N3" s="207" t="s">
        <v>2037</v>
      </c>
      <c r="O3" s="206" t="s">
        <v>1919</v>
      </c>
      <c r="P3" s="260" t="s">
        <v>2011</v>
      </c>
      <c r="Q3" s="261" t="s">
        <v>34</v>
      </c>
      <c r="R3" s="261" t="s">
        <v>2033</v>
      </c>
      <c r="S3" s="5" t="s">
        <v>1920</v>
      </c>
      <c r="T3" s="261" t="s">
        <v>2038</v>
      </c>
      <c r="U3" s="261" t="s">
        <v>43</v>
      </c>
      <c r="V3" s="261" t="s">
        <v>1921</v>
      </c>
      <c r="W3" s="261" t="s">
        <v>46</v>
      </c>
      <c r="X3" s="261" t="s">
        <v>622</v>
      </c>
      <c r="Y3" s="261" t="s">
        <v>2039</v>
      </c>
      <c r="Z3" s="312" t="s">
        <v>2040</v>
      </c>
    </row>
    <row r="4" spans="1:26" ht="15.75" thickBot="1">
      <c r="A4" s="121" t="s">
        <v>78</v>
      </c>
      <c r="B4" s="102" t="s">
        <v>50</v>
      </c>
      <c r="C4" s="77">
        <v>45807</v>
      </c>
      <c r="D4" s="268"/>
      <c r="E4" s="269" t="s">
        <v>2041</v>
      </c>
      <c r="F4" s="268"/>
      <c r="G4" s="270" t="s">
        <v>2004</v>
      </c>
      <c r="H4" s="268"/>
      <c r="I4" s="268"/>
      <c r="J4" s="271"/>
      <c r="K4" s="205"/>
      <c r="L4" s="205"/>
      <c r="M4" s="205"/>
      <c r="N4" s="272"/>
      <c r="O4" s="273"/>
      <c r="P4" s="274" t="s">
        <v>2042</v>
      </c>
      <c r="Q4" s="275" t="s">
        <v>69</v>
      </c>
      <c r="R4" s="131" t="s">
        <v>2043</v>
      </c>
      <c r="S4" s="131"/>
      <c r="T4" s="276"/>
      <c r="U4" s="277"/>
      <c r="V4" s="277"/>
      <c r="W4" s="277"/>
      <c r="X4" s="277"/>
      <c r="Y4" s="277"/>
      <c r="Z4" t="e">
        <f>VLOOKUP(A4,#REF!,9,FALSE)</f>
        <v>#REF!</v>
      </c>
    </row>
    <row r="5" spans="1:26" ht="15.75" thickBot="1">
      <c r="A5" s="278" t="s">
        <v>1961</v>
      </c>
      <c r="B5" s="102" t="s">
        <v>50</v>
      </c>
      <c r="C5" s="215">
        <v>45807</v>
      </c>
      <c r="D5" s="268"/>
      <c r="E5" s="269" t="s">
        <v>2041</v>
      </c>
      <c r="F5" s="268"/>
      <c r="G5" s="270" t="s">
        <v>2004</v>
      </c>
      <c r="H5" s="268"/>
      <c r="I5" s="268"/>
      <c r="J5" s="279"/>
      <c r="K5" s="205"/>
      <c r="L5" s="205"/>
      <c r="M5" s="205"/>
      <c r="N5" s="272"/>
      <c r="O5" s="273"/>
      <c r="P5" s="274" t="s">
        <v>2042</v>
      </c>
      <c r="Q5" s="275" t="s">
        <v>69</v>
      </c>
      <c r="R5" s="131" t="s">
        <v>2043</v>
      </c>
      <c r="S5" s="131"/>
      <c r="T5" s="276"/>
      <c r="U5" s="277"/>
      <c r="V5" s="277"/>
      <c r="W5" s="277"/>
      <c r="X5" s="277"/>
      <c r="Y5" s="277"/>
      <c r="Z5" t="e">
        <f>VLOOKUP(A5,#REF!,9,FALSE)</f>
        <v>#REF!</v>
      </c>
    </row>
    <row r="6" spans="1:26" ht="15.75" thickBot="1">
      <c r="A6" s="121" t="s">
        <v>1043</v>
      </c>
      <c r="B6" s="102" t="s">
        <v>50</v>
      </c>
      <c r="C6" s="215">
        <v>45807</v>
      </c>
      <c r="D6" s="268"/>
      <c r="E6" s="269" t="s">
        <v>2041</v>
      </c>
      <c r="F6" s="268"/>
      <c r="G6" s="270" t="s">
        <v>2004</v>
      </c>
      <c r="H6" s="268"/>
      <c r="I6" s="268"/>
      <c r="J6" s="279"/>
      <c r="K6" s="205"/>
      <c r="L6" s="205"/>
      <c r="M6" s="205"/>
      <c r="N6" s="272"/>
      <c r="O6" s="273"/>
      <c r="P6" s="274" t="s">
        <v>2042</v>
      </c>
      <c r="Q6" s="275" t="s">
        <v>69</v>
      </c>
      <c r="R6" s="131" t="s">
        <v>2043</v>
      </c>
      <c r="S6" s="131"/>
      <c r="T6" s="276"/>
      <c r="U6" s="277"/>
      <c r="V6" s="277"/>
      <c r="W6" s="277"/>
      <c r="X6" s="277"/>
      <c r="Y6" s="277"/>
      <c r="Z6" t="e">
        <f>VLOOKUP(A6,#REF!,9,FALSE)</f>
        <v>#REF!</v>
      </c>
    </row>
    <row r="7" spans="1:26" ht="15.75" thickBot="1">
      <c r="A7" s="121" t="s">
        <v>1060</v>
      </c>
      <c r="B7" s="102" t="s">
        <v>50</v>
      </c>
      <c r="C7" s="215">
        <v>45807</v>
      </c>
      <c r="D7" s="268"/>
      <c r="E7" s="269" t="s">
        <v>2041</v>
      </c>
      <c r="F7" s="268"/>
      <c r="G7" s="270" t="s">
        <v>2004</v>
      </c>
      <c r="H7" s="268"/>
      <c r="I7" s="268"/>
      <c r="J7" s="279"/>
      <c r="K7" s="205"/>
      <c r="L7" s="205"/>
      <c r="M7" s="205"/>
      <c r="N7" s="272"/>
      <c r="O7" s="273"/>
      <c r="P7" s="274" t="s">
        <v>2042</v>
      </c>
      <c r="Q7" s="275" t="s">
        <v>69</v>
      </c>
      <c r="R7" s="131" t="s">
        <v>2043</v>
      </c>
      <c r="S7" s="131"/>
      <c r="T7" s="276"/>
      <c r="U7" s="277"/>
      <c r="V7" s="277"/>
      <c r="W7" s="277"/>
      <c r="X7" s="277"/>
      <c r="Y7" s="277"/>
      <c r="Z7" t="e">
        <f>VLOOKUP(A7,#REF!,9,FALSE)</f>
        <v>#REF!</v>
      </c>
    </row>
    <row r="8" spans="1:26" ht="15.75" thickBot="1">
      <c r="A8" s="278" t="s">
        <v>2044</v>
      </c>
      <c r="B8" s="102" t="s">
        <v>50</v>
      </c>
      <c r="C8" s="215">
        <v>45807</v>
      </c>
      <c r="D8" s="268"/>
      <c r="E8" s="269" t="s">
        <v>2041</v>
      </c>
      <c r="F8" s="268"/>
      <c r="G8" s="270" t="s">
        <v>2004</v>
      </c>
      <c r="H8" s="268"/>
      <c r="I8" s="268"/>
      <c r="J8" s="279"/>
      <c r="K8" s="205"/>
      <c r="L8" s="205"/>
      <c r="M8" s="205"/>
      <c r="N8" s="272"/>
      <c r="O8" s="273"/>
      <c r="P8" s="274" t="s">
        <v>2015</v>
      </c>
      <c r="Q8" s="275" t="s">
        <v>2045</v>
      </c>
      <c r="R8" s="131" t="s">
        <v>2046</v>
      </c>
      <c r="S8" s="131"/>
      <c r="T8" s="276"/>
      <c r="U8" s="277"/>
      <c r="V8" s="277"/>
      <c r="W8" s="277"/>
      <c r="X8" s="277"/>
      <c r="Y8" s="277"/>
      <c r="Z8" t="e">
        <f>VLOOKUP(A8,#REF!,9,FALSE)</f>
        <v>#REF!</v>
      </c>
    </row>
    <row r="9" spans="1:26" ht="15.75" thickBot="1">
      <c r="A9" s="121" t="s">
        <v>1068</v>
      </c>
      <c r="B9" s="102" t="s">
        <v>50</v>
      </c>
      <c r="C9" s="215">
        <v>45807</v>
      </c>
      <c r="D9" s="280"/>
      <c r="E9" s="269" t="s">
        <v>2041</v>
      </c>
      <c r="F9" s="280"/>
      <c r="G9" s="281" t="s">
        <v>2004</v>
      </c>
      <c r="H9" s="268"/>
      <c r="I9" s="268"/>
      <c r="J9" s="279"/>
      <c r="K9" s="205"/>
      <c r="L9" s="205"/>
      <c r="M9" s="205"/>
      <c r="N9" s="272"/>
      <c r="O9" s="273"/>
      <c r="P9" s="274" t="s">
        <v>2042</v>
      </c>
      <c r="Q9" s="275" t="s">
        <v>69</v>
      </c>
      <c r="R9" s="131" t="s">
        <v>2043</v>
      </c>
      <c r="S9" s="131"/>
      <c r="T9" s="276"/>
      <c r="U9" s="277"/>
      <c r="V9" s="277"/>
      <c r="W9" s="277"/>
      <c r="X9" s="277"/>
      <c r="Y9" s="277"/>
      <c r="Z9" t="e">
        <f>VLOOKUP(A9,#REF!,9,FALSE)</f>
        <v>#REF!</v>
      </c>
    </row>
    <row r="10" spans="1:26" ht="15.75" thickBot="1">
      <c r="A10" s="121" t="s">
        <v>1045</v>
      </c>
      <c r="B10" s="102" t="s">
        <v>50</v>
      </c>
      <c r="C10" s="215" t="e">
        <v>#N/A</v>
      </c>
      <c r="D10" s="282"/>
      <c r="E10" s="269" t="s">
        <v>2041</v>
      </c>
      <c r="F10" s="282"/>
      <c r="G10" s="283" t="s">
        <v>2004</v>
      </c>
      <c r="H10" s="230"/>
      <c r="I10" s="230"/>
      <c r="J10" s="45"/>
      <c r="K10" s="204"/>
      <c r="L10" s="204"/>
      <c r="M10" s="204"/>
      <c r="N10" s="284"/>
      <c r="O10" s="285"/>
      <c r="P10" s="274" t="s">
        <v>2042</v>
      </c>
      <c r="Q10" s="275" t="s">
        <v>58</v>
      </c>
      <c r="R10" s="131" t="s">
        <v>2043</v>
      </c>
      <c r="S10" s="131"/>
      <c r="T10" s="276"/>
      <c r="U10" s="277"/>
      <c r="V10" s="277"/>
      <c r="W10" s="277"/>
      <c r="X10" s="277"/>
      <c r="Y10" s="277"/>
      <c r="Z10" t="e">
        <f>VLOOKUP(A10,#REF!,9,FALSE)</f>
        <v>#REF!</v>
      </c>
    </row>
    <row r="11" spans="1:26" ht="15.75" thickBot="1">
      <c r="A11" s="121" t="s">
        <v>505</v>
      </c>
      <c r="B11" s="102" t="s">
        <v>50</v>
      </c>
      <c r="C11" s="215">
        <v>45807</v>
      </c>
      <c r="D11" s="282"/>
      <c r="E11" s="269" t="s">
        <v>2041</v>
      </c>
      <c r="F11" s="282"/>
      <c r="G11" s="283" t="s">
        <v>2004</v>
      </c>
      <c r="H11" s="230"/>
      <c r="I11" s="230"/>
      <c r="J11" s="45"/>
      <c r="K11" s="204"/>
      <c r="L11" s="204"/>
      <c r="M11" s="204"/>
      <c r="N11" s="284"/>
      <c r="O11" s="285"/>
      <c r="P11" s="274" t="s">
        <v>2042</v>
      </c>
      <c r="Q11" s="275" t="s">
        <v>69</v>
      </c>
      <c r="R11" s="131" t="s">
        <v>2043</v>
      </c>
      <c r="S11" s="131"/>
      <c r="T11" s="276"/>
      <c r="U11" s="277"/>
      <c r="V11" s="277"/>
      <c r="W11" s="277"/>
      <c r="X11" s="277"/>
      <c r="Y11" s="277"/>
      <c r="Z11" t="e">
        <f>VLOOKUP(A11,#REF!,9,FALSE)</f>
        <v>#REF!</v>
      </c>
    </row>
    <row r="12" spans="1:26" ht="15.75" thickBot="1">
      <c r="A12" s="121" t="s">
        <v>1040</v>
      </c>
      <c r="B12" s="102" t="s">
        <v>50</v>
      </c>
      <c r="C12" s="215" t="e">
        <v>#N/A</v>
      </c>
      <c r="D12" s="282"/>
      <c r="E12" s="269" t="s">
        <v>2041</v>
      </c>
      <c r="F12" s="282"/>
      <c r="G12" s="283" t="s">
        <v>2004</v>
      </c>
      <c r="H12" s="230"/>
      <c r="I12" s="230"/>
      <c r="J12" s="45"/>
      <c r="K12" s="204"/>
      <c r="L12" s="204"/>
      <c r="M12" s="204"/>
      <c r="N12" s="284"/>
      <c r="O12" s="285"/>
      <c r="P12" s="274" t="s">
        <v>2042</v>
      </c>
      <c r="Q12" s="275" t="s">
        <v>69</v>
      </c>
      <c r="R12" s="131" t="s">
        <v>2043</v>
      </c>
      <c r="S12" s="131"/>
      <c r="T12" s="276"/>
      <c r="U12" s="277"/>
      <c r="V12" s="277"/>
      <c r="W12" s="277"/>
      <c r="X12" s="277"/>
      <c r="Y12" s="277"/>
      <c r="Z12" t="e">
        <f>VLOOKUP(A12,#REF!,9,FALSE)</f>
        <v>#REF!</v>
      </c>
    </row>
    <row r="13" spans="1:26" ht="15.75" thickBot="1">
      <c r="A13" s="121" t="s">
        <v>1066</v>
      </c>
      <c r="B13" s="102" t="s">
        <v>50</v>
      </c>
      <c r="C13" s="215" t="e">
        <v>#N/A</v>
      </c>
      <c r="D13" s="282"/>
      <c r="E13" s="269" t="s">
        <v>2041</v>
      </c>
      <c r="F13" s="282"/>
      <c r="G13" s="283" t="s">
        <v>2004</v>
      </c>
      <c r="H13" s="230"/>
      <c r="I13" s="230"/>
      <c r="J13" s="45"/>
      <c r="K13" s="204"/>
      <c r="L13" s="204"/>
      <c r="M13" s="204"/>
      <c r="N13" s="284"/>
      <c r="O13" s="285"/>
      <c r="P13" s="274" t="s">
        <v>2042</v>
      </c>
      <c r="Q13" s="275" t="s">
        <v>69</v>
      </c>
      <c r="R13" s="131" t="s">
        <v>2043</v>
      </c>
      <c r="S13" s="131"/>
      <c r="T13" s="276"/>
      <c r="U13" s="277"/>
      <c r="V13" s="277"/>
      <c r="W13" s="277"/>
      <c r="X13" s="277"/>
      <c r="Y13" s="277"/>
      <c r="Z13" t="e">
        <f>VLOOKUP(A13,#REF!,9,FALSE)</f>
        <v>#REF!</v>
      </c>
    </row>
    <row r="14" spans="1:26" ht="15.75" thickBot="1">
      <c r="A14" s="278" t="s">
        <v>501</v>
      </c>
      <c r="B14" s="102" t="s">
        <v>50</v>
      </c>
      <c r="C14" s="215">
        <v>45807</v>
      </c>
      <c r="D14" s="282"/>
      <c r="E14" s="269" t="s">
        <v>2041</v>
      </c>
      <c r="F14" s="282"/>
      <c r="G14" s="283" t="s">
        <v>2004</v>
      </c>
      <c r="H14" s="230"/>
      <c r="I14" s="230"/>
      <c r="J14" s="45"/>
      <c r="K14" s="204"/>
      <c r="L14" s="204"/>
      <c r="M14" s="204"/>
      <c r="N14" s="284"/>
      <c r="O14" s="285"/>
      <c r="P14" s="274" t="s">
        <v>2042</v>
      </c>
      <c r="Q14" s="275" t="s">
        <v>69</v>
      </c>
      <c r="R14" s="131" t="s">
        <v>2043</v>
      </c>
      <c r="S14" s="131"/>
      <c r="T14" s="276"/>
      <c r="U14" s="277"/>
      <c r="V14" s="277"/>
      <c r="W14" s="277"/>
      <c r="X14" s="277"/>
      <c r="Y14" s="277"/>
      <c r="Z14" t="e">
        <f>VLOOKUP(A14,#REF!,9,FALSE)</f>
        <v>#REF!</v>
      </c>
    </row>
    <row r="15" spans="1:26" ht="15.75" thickBot="1">
      <c r="A15" s="121" t="s">
        <v>1044</v>
      </c>
      <c r="B15" s="102" t="s">
        <v>50</v>
      </c>
      <c r="C15" s="215" t="e">
        <v>#N/A</v>
      </c>
      <c r="D15" s="282"/>
      <c r="E15" s="269" t="s">
        <v>2041</v>
      </c>
      <c r="F15" s="282"/>
      <c r="G15" s="283" t="s">
        <v>2004</v>
      </c>
      <c r="H15" s="230"/>
      <c r="I15" s="230"/>
      <c r="J15" s="45"/>
      <c r="K15" s="204"/>
      <c r="L15" s="204"/>
      <c r="M15" s="204"/>
      <c r="N15" s="284"/>
      <c r="O15" s="285"/>
      <c r="P15" s="274" t="s">
        <v>2042</v>
      </c>
      <c r="Q15" s="275" t="s">
        <v>69</v>
      </c>
      <c r="R15" s="131" t="s">
        <v>2043</v>
      </c>
      <c r="S15" s="131"/>
      <c r="T15" s="276"/>
      <c r="U15" s="277"/>
      <c r="V15" s="277"/>
      <c r="W15" s="277"/>
      <c r="X15" s="277"/>
      <c r="Y15" s="277"/>
      <c r="Z15" t="e">
        <f>VLOOKUP(A15,#REF!,9,FALSE)</f>
        <v>#REF!</v>
      </c>
    </row>
    <row r="16" spans="1:26" ht="15.75" thickBot="1">
      <c r="A16" s="286" t="s">
        <v>2047</v>
      </c>
      <c r="B16" s="102" t="s">
        <v>50</v>
      </c>
      <c r="C16" s="215" t="e">
        <v>#N/A</v>
      </c>
      <c r="D16" s="282"/>
      <c r="E16" s="269" t="s">
        <v>2041</v>
      </c>
      <c r="F16" s="282"/>
      <c r="G16" s="283" t="s">
        <v>2004</v>
      </c>
      <c r="H16" s="230"/>
      <c r="I16" s="230"/>
      <c r="J16" s="45"/>
      <c r="K16" s="204"/>
      <c r="L16" s="204"/>
      <c r="M16" s="204"/>
      <c r="N16" s="284"/>
      <c r="O16" s="285"/>
      <c r="P16" s="274" t="s">
        <v>2042</v>
      </c>
      <c r="Q16" s="275" t="s">
        <v>69</v>
      </c>
      <c r="R16" s="131" t="s">
        <v>2043</v>
      </c>
      <c r="S16" s="131"/>
      <c r="T16" s="276"/>
      <c r="U16" s="277"/>
      <c r="V16" s="277"/>
      <c r="W16" s="277"/>
      <c r="X16" s="277"/>
      <c r="Y16" s="277"/>
      <c r="Z16" t="e">
        <f>VLOOKUP(A16,#REF!,9,FALSE)</f>
        <v>#REF!</v>
      </c>
    </row>
    <row r="17" spans="1:26" ht="15.75" thickBot="1">
      <c r="A17" s="275" t="s">
        <v>879</v>
      </c>
      <c r="B17" s="102" t="s">
        <v>50</v>
      </c>
      <c r="C17" s="215" t="e">
        <v>#N/A</v>
      </c>
      <c r="D17" s="282"/>
      <c r="E17" s="269" t="s">
        <v>2006</v>
      </c>
      <c r="F17" s="282"/>
      <c r="G17" s="283" t="s">
        <v>2004</v>
      </c>
      <c r="H17" s="230"/>
      <c r="I17" s="230"/>
      <c r="J17" s="45"/>
      <c r="K17" s="204"/>
      <c r="L17" s="204"/>
      <c r="M17" s="204"/>
      <c r="N17" s="284"/>
      <c r="O17" s="285"/>
      <c r="P17" s="274"/>
      <c r="Q17" s="275" t="s">
        <v>69</v>
      </c>
      <c r="R17" s="131" t="s">
        <v>2043</v>
      </c>
      <c r="S17" s="131"/>
      <c r="T17" s="276"/>
      <c r="U17" s="277"/>
      <c r="V17" s="277"/>
      <c r="W17" s="277"/>
      <c r="X17" s="277"/>
      <c r="Y17" s="277"/>
      <c r="Z17" t="e">
        <f>VLOOKUP(A17,#REF!,9,FALSE)</f>
        <v>#REF!</v>
      </c>
    </row>
    <row r="18" spans="1:26" ht="15.75" thickBot="1">
      <c r="A18" s="275" t="s">
        <v>858</v>
      </c>
      <c r="B18" s="102" t="s">
        <v>50</v>
      </c>
      <c r="C18" s="215">
        <v>45807</v>
      </c>
      <c r="D18" s="282"/>
      <c r="E18" s="269" t="s">
        <v>2006</v>
      </c>
      <c r="F18" s="282"/>
      <c r="G18" s="283" t="s">
        <v>2004</v>
      </c>
      <c r="H18" s="230"/>
      <c r="I18" s="230"/>
      <c r="J18" s="45"/>
      <c r="K18" s="204"/>
      <c r="L18" s="204"/>
      <c r="M18" s="204"/>
      <c r="N18" s="284"/>
      <c r="O18" s="285"/>
      <c r="P18" s="274" t="s">
        <v>2012</v>
      </c>
      <c r="Q18" s="275"/>
      <c r="R18" s="131" t="s">
        <v>2043</v>
      </c>
      <c r="S18" s="131"/>
      <c r="T18" s="276"/>
      <c r="U18" s="277"/>
      <c r="V18" s="277"/>
      <c r="W18" s="277"/>
      <c r="X18" s="277"/>
      <c r="Y18" s="277"/>
      <c r="Z18" t="e">
        <f>VLOOKUP(A18,#REF!,9,FALSE)</f>
        <v>#REF!</v>
      </c>
    </row>
    <row r="19" spans="1:26" ht="15.75" thickBot="1">
      <c r="A19" s="275" t="s">
        <v>861</v>
      </c>
      <c r="B19" s="102" t="s">
        <v>50</v>
      </c>
      <c r="C19" s="215" t="e">
        <v>#N/A</v>
      </c>
      <c r="D19" s="282"/>
      <c r="E19" s="269" t="s">
        <v>2006</v>
      </c>
      <c r="F19" s="282"/>
      <c r="G19" s="283" t="s">
        <v>2025</v>
      </c>
      <c r="H19" s="230"/>
      <c r="I19" s="230"/>
      <c r="J19" s="45"/>
      <c r="K19" s="204"/>
      <c r="L19" s="204"/>
      <c r="M19" s="204"/>
      <c r="N19" s="284"/>
      <c r="O19" s="285"/>
      <c r="P19" s="274"/>
      <c r="Q19" s="275" t="s">
        <v>2025</v>
      </c>
      <c r="R19" s="131" t="s">
        <v>2043</v>
      </c>
      <c r="S19" s="131"/>
      <c r="T19" s="276"/>
      <c r="U19" s="277"/>
      <c r="V19" s="277"/>
      <c r="W19" s="277"/>
      <c r="X19" s="277"/>
      <c r="Y19" s="277"/>
      <c r="Z19" t="e">
        <f>VLOOKUP(A19,#REF!,9,FALSE)</f>
        <v>#REF!</v>
      </c>
    </row>
    <row r="20" spans="1:26" ht="15.75" thickBot="1">
      <c r="A20" s="275" t="s">
        <v>804</v>
      </c>
      <c r="B20" s="102" t="s">
        <v>50</v>
      </c>
      <c r="C20" s="215" t="e">
        <v>#N/A</v>
      </c>
      <c r="D20" s="282"/>
      <c r="E20" s="269" t="s">
        <v>2006</v>
      </c>
      <c r="F20" s="282"/>
      <c r="G20" s="283" t="s">
        <v>2025</v>
      </c>
      <c r="H20" s="230"/>
      <c r="I20" s="230"/>
      <c r="J20" s="45"/>
      <c r="K20" s="204"/>
      <c r="L20" s="204"/>
      <c r="M20" s="204"/>
      <c r="N20" s="284"/>
      <c r="O20" s="285"/>
      <c r="P20" s="274"/>
      <c r="Q20" s="275" t="s">
        <v>2025</v>
      </c>
      <c r="R20" s="131" t="s">
        <v>2043</v>
      </c>
      <c r="S20" s="131"/>
      <c r="T20" s="276"/>
      <c r="U20" s="277"/>
      <c r="V20" s="277"/>
      <c r="W20" s="277"/>
      <c r="X20" s="277"/>
      <c r="Y20" s="277"/>
      <c r="Z20" t="e">
        <f>VLOOKUP(A20,#REF!,9,FALSE)</f>
        <v>#REF!</v>
      </c>
    </row>
    <row r="21" spans="1:26" s="214" customFormat="1" ht="15.75" thickBot="1">
      <c r="A21" s="262" t="s">
        <v>2021</v>
      </c>
      <c r="B21" s="102" t="e">
        <v>#N/A</v>
      </c>
      <c r="C21" s="231">
        <v>45807</v>
      </c>
      <c r="D21" s="282"/>
      <c r="E21" s="269" t="s">
        <v>2006</v>
      </c>
      <c r="F21" s="282"/>
      <c r="G21" s="283" t="s">
        <v>2004</v>
      </c>
      <c r="H21" s="230"/>
      <c r="I21" s="230"/>
      <c r="J21" s="230"/>
      <c r="K21" s="229"/>
      <c r="L21" s="229"/>
      <c r="M21" s="229"/>
      <c r="N21" s="284"/>
      <c r="O21" s="285"/>
      <c r="P21" s="274"/>
      <c r="Q21" s="225" t="s">
        <v>64</v>
      </c>
      <c r="R21" s="131" t="s">
        <v>2043</v>
      </c>
      <c r="S21" s="228"/>
      <c r="T21" s="227"/>
      <c r="U21" s="226"/>
      <c r="V21" s="226"/>
      <c r="W21" s="226"/>
      <c r="X21" s="226"/>
      <c r="Y21" s="226" t="s">
        <v>2048</v>
      </c>
      <c r="Z21" t="e">
        <f>VLOOKUP(A21,#REF!,9,FALSE)</f>
        <v>#REF!</v>
      </c>
    </row>
    <row r="22" spans="1:26" ht="15.75" thickBot="1">
      <c r="A22" s="275" t="s">
        <v>806</v>
      </c>
      <c r="B22" s="102" t="s">
        <v>50</v>
      </c>
      <c r="C22" s="215" t="e">
        <v>#N/A</v>
      </c>
      <c r="D22" s="282"/>
      <c r="E22" s="269" t="s">
        <v>2006</v>
      </c>
      <c r="F22" s="282"/>
      <c r="G22" s="283" t="s">
        <v>2025</v>
      </c>
      <c r="H22" s="230"/>
      <c r="I22" s="230"/>
      <c r="J22" s="45"/>
      <c r="K22" s="204"/>
      <c r="L22" s="204"/>
      <c r="M22" s="204"/>
      <c r="N22" s="284"/>
      <c r="O22" s="285"/>
      <c r="P22" s="274"/>
      <c r="Q22" s="275" t="s">
        <v>2025</v>
      </c>
      <c r="R22" s="131" t="s">
        <v>2043</v>
      </c>
      <c r="S22" s="131"/>
      <c r="T22" s="276"/>
      <c r="U22" s="277"/>
      <c r="V22" s="277"/>
      <c r="W22" s="277"/>
      <c r="X22" s="277"/>
      <c r="Y22" s="277"/>
      <c r="Z22" t="e">
        <f>VLOOKUP(A22,#REF!,9,FALSE)</f>
        <v>#REF!</v>
      </c>
    </row>
    <row r="23" spans="1:26" ht="15.75" thickBot="1">
      <c r="A23" s="275" t="s">
        <v>789</v>
      </c>
      <c r="B23" s="102" t="s">
        <v>50</v>
      </c>
      <c r="C23" s="215" t="e">
        <v>#N/A</v>
      </c>
      <c r="D23" s="282"/>
      <c r="E23" s="269" t="s">
        <v>2006</v>
      </c>
      <c r="F23" s="282"/>
      <c r="G23" s="283" t="s">
        <v>2004</v>
      </c>
      <c r="H23" s="230"/>
      <c r="I23" s="230"/>
      <c r="J23" s="45"/>
      <c r="K23" s="204"/>
      <c r="L23" s="204"/>
      <c r="M23" s="204"/>
      <c r="N23" s="284"/>
      <c r="O23" s="285"/>
      <c r="P23" s="274"/>
      <c r="Q23" s="275" t="s">
        <v>64</v>
      </c>
      <c r="R23" s="131" t="s">
        <v>2043</v>
      </c>
      <c r="S23" s="131"/>
      <c r="T23" s="276"/>
      <c r="U23" s="277"/>
      <c r="V23" s="277"/>
      <c r="W23" s="277"/>
      <c r="X23" s="277"/>
      <c r="Y23" s="277" t="s">
        <v>2049</v>
      </c>
      <c r="Z23" t="e">
        <f>VLOOKUP(A23,#REF!,9,FALSE)</f>
        <v>#REF!</v>
      </c>
    </row>
    <row r="24" spans="1:26" s="214" customFormat="1" ht="69.599999999999994" customHeight="1" thickBot="1">
      <c r="A24" s="225" t="s">
        <v>2017</v>
      </c>
      <c r="B24" s="232" t="e">
        <v>#N/A</v>
      </c>
      <c r="C24" s="231">
        <v>45716</v>
      </c>
      <c r="D24" s="282"/>
      <c r="E24" s="269" t="s">
        <v>2006</v>
      </c>
      <c r="F24" s="282"/>
      <c r="G24" s="283" t="s">
        <v>2004</v>
      </c>
      <c r="H24" s="230"/>
      <c r="I24" s="230"/>
      <c r="J24" s="230"/>
      <c r="K24" s="229"/>
      <c r="L24" s="229"/>
      <c r="M24" s="229"/>
      <c r="N24" s="284"/>
      <c r="O24" s="285"/>
      <c r="P24" s="274" t="s">
        <v>2018</v>
      </c>
      <c r="Q24" s="225" t="s">
        <v>64</v>
      </c>
      <c r="R24" s="131" t="s">
        <v>2043</v>
      </c>
      <c r="S24" s="228"/>
      <c r="T24" s="227"/>
      <c r="U24" s="226"/>
      <c r="V24" s="226"/>
      <c r="W24" s="226"/>
      <c r="X24" s="226"/>
      <c r="Y24" s="226" t="s">
        <v>2049</v>
      </c>
      <c r="Z24" t="e">
        <f>VLOOKUP(A24,#REF!,9,FALSE)</f>
        <v>#REF!</v>
      </c>
    </row>
    <row r="25" spans="1:26" ht="15.75" thickBot="1">
      <c r="A25" s="275" t="s">
        <v>793</v>
      </c>
      <c r="B25" s="102" t="s">
        <v>50</v>
      </c>
      <c r="C25" s="215">
        <v>45772</v>
      </c>
      <c r="D25" s="282"/>
      <c r="E25" s="269" t="s">
        <v>2006</v>
      </c>
      <c r="F25" s="282"/>
      <c r="G25" s="283" t="s">
        <v>2004</v>
      </c>
      <c r="H25" s="230"/>
      <c r="I25" s="230"/>
      <c r="J25" s="45"/>
      <c r="K25" s="204"/>
      <c r="L25" s="204"/>
      <c r="M25" s="204"/>
      <c r="N25" s="284"/>
      <c r="O25" s="285"/>
      <c r="P25" s="274" t="s">
        <v>2018</v>
      </c>
      <c r="Q25" s="275" t="s">
        <v>64</v>
      </c>
      <c r="R25" s="131" t="s">
        <v>2043</v>
      </c>
      <c r="S25" s="131"/>
      <c r="T25" s="276"/>
      <c r="U25" s="277"/>
      <c r="V25" s="277"/>
      <c r="W25" s="277"/>
      <c r="X25" s="277"/>
      <c r="Y25" s="277"/>
      <c r="Z25" t="e">
        <f>VLOOKUP(A25,#REF!,9,FALSE)</f>
        <v>#REF!</v>
      </c>
    </row>
    <row r="26" spans="1:26" ht="15.75" thickBot="1">
      <c r="A26" s="275" t="s">
        <v>796</v>
      </c>
      <c r="B26" s="102" t="s">
        <v>50</v>
      </c>
      <c r="C26" s="215">
        <v>45772</v>
      </c>
      <c r="D26" s="282"/>
      <c r="E26" s="269" t="s">
        <v>2006</v>
      </c>
      <c r="F26" s="282"/>
      <c r="G26" s="283" t="s">
        <v>2004</v>
      </c>
      <c r="H26" s="230"/>
      <c r="I26" s="230"/>
      <c r="J26" s="45"/>
      <c r="K26" s="204"/>
      <c r="L26" s="204"/>
      <c r="M26" s="204"/>
      <c r="N26" s="284"/>
      <c r="O26" s="285"/>
      <c r="P26" s="274" t="s">
        <v>2018</v>
      </c>
      <c r="Q26" s="275" t="s">
        <v>64</v>
      </c>
      <c r="R26" s="131" t="s">
        <v>2043</v>
      </c>
      <c r="S26" s="131"/>
      <c r="T26" s="276"/>
      <c r="U26" s="277"/>
      <c r="V26" s="277"/>
      <c r="W26" s="277"/>
      <c r="X26" s="277"/>
      <c r="Y26" s="277"/>
      <c r="Z26" t="e">
        <f>VLOOKUP(A26,#REF!,9,FALSE)</f>
        <v>#REF!</v>
      </c>
    </row>
    <row r="27" spans="1:26" ht="15.75" thickBot="1">
      <c r="A27" s="275" t="s">
        <v>968</v>
      </c>
      <c r="B27" s="102" t="s">
        <v>50</v>
      </c>
      <c r="C27" s="215">
        <v>45772</v>
      </c>
      <c r="D27" s="282"/>
      <c r="E27" s="269" t="s">
        <v>2006</v>
      </c>
      <c r="F27" s="282"/>
      <c r="G27" s="283" t="s">
        <v>2004</v>
      </c>
      <c r="H27" s="230"/>
      <c r="I27" s="230"/>
      <c r="J27" s="45"/>
      <c r="K27" s="204"/>
      <c r="L27" s="204"/>
      <c r="M27" s="204"/>
      <c r="N27" s="284"/>
      <c r="O27" s="285"/>
      <c r="P27" s="274" t="s">
        <v>2018</v>
      </c>
      <c r="Q27" s="275" t="s">
        <v>64</v>
      </c>
      <c r="R27" s="131" t="s">
        <v>2043</v>
      </c>
      <c r="S27" s="131"/>
      <c r="T27" s="276"/>
      <c r="U27" s="277"/>
      <c r="V27" s="277"/>
      <c r="W27" s="277"/>
      <c r="X27" s="277"/>
      <c r="Y27" s="277"/>
      <c r="Z27" t="e">
        <f>VLOOKUP(A27,#REF!,9,FALSE)</f>
        <v>#REF!</v>
      </c>
    </row>
    <row r="28" spans="1:26" ht="70.150000000000006" customHeight="1" thickBot="1">
      <c r="A28" s="225" t="s">
        <v>2020</v>
      </c>
      <c r="B28" s="232"/>
      <c r="C28" s="231"/>
      <c r="D28" s="282"/>
      <c r="E28" s="269" t="s">
        <v>2006</v>
      </c>
      <c r="F28" s="282"/>
      <c r="G28" s="283" t="s">
        <v>2004</v>
      </c>
      <c r="H28" s="230"/>
      <c r="I28" s="230"/>
      <c r="J28" s="230"/>
      <c r="K28" s="229"/>
      <c r="L28" s="229"/>
      <c r="M28" s="229"/>
      <c r="N28" s="284"/>
      <c r="O28" s="285"/>
      <c r="P28" s="274" t="s">
        <v>2018</v>
      </c>
      <c r="Q28" s="225" t="s">
        <v>64</v>
      </c>
      <c r="R28" s="131" t="s">
        <v>2043</v>
      </c>
      <c r="S28" s="228"/>
      <c r="T28" s="227"/>
      <c r="U28" s="226"/>
      <c r="V28" s="226"/>
      <c r="W28" s="226"/>
      <c r="X28" s="226"/>
      <c r="Y28" s="288" t="s">
        <v>2050</v>
      </c>
      <c r="Z28" t="e">
        <f>VLOOKUP(A28,#REF!,9,FALSE)</f>
        <v>#REF!</v>
      </c>
    </row>
    <row r="29" spans="1:26" s="214" customFormat="1" ht="69.599999999999994" customHeight="1" thickBot="1">
      <c r="A29" s="225" t="s">
        <v>2023</v>
      </c>
      <c r="B29" s="232" t="e">
        <v>#N/A</v>
      </c>
      <c r="C29" s="231" t="e">
        <v>#N/A</v>
      </c>
      <c r="D29" s="282"/>
      <c r="E29" s="269" t="s">
        <v>2006</v>
      </c>
      <c r="F29" s="282"/>
      <c r="G29" s="283" t="s">
        <v>2004</v>
      </c>
      <c r="H29" s="230"/>
      <c r="I29" s="230"/>
      <c r="J29" s="230"/>
      <c r="K29" s="229"/>
      <c r="L29" s="229"/>
      <c r="M29" s="229"/>
      <c r="N29" s="284"/>
      <c r="O29" s="285"/>
      <c r="P29" s="274"/>
      <c r="Q29" s="220" t="s">
        <v>64</v>
      </c>
      <c r="R29" s="131" t="s">
        <v>2043</v>
      </c>
      <c r="S29" s="228"/>
      <c r="T29" s="227"/>
      <c r="U29" s="226"/>
      <c r="V29" s="226"/>
      <c r="W29" s="226"/>
      <c r="X29" s="226"/>
      <c r="Y29" s="226" t="s">
        <v>2050</v>
      </c>
      <c r="Z29" t="e">
        <f>VLOOKUP(A29,#REF!,9,FALSE)</f>
        <v>#REF!</v>
      </c>
    </row>
    <row r="30" spans="1:26" ht="15.75" thickBot="1">
      <c r="A30" s="275" t="s">
        <v>824</v>
      </c>
      <c r="B30" s="102" t="s">
        <v>50</v>
      </c>
      <c r="C30" s="215">
        <v>45772</v>
      </c>
      <c r="D30" s="282"/>
      <c r="E30" s="269" t="s">
        <v>2006</v>
      </c>
      <c r="F30" s="282"/>
      <c r="G30" s="283" t="s">
        <v>2025</v>
      </c>
      <c r="H30" s="230"/>
      <c r="I30" s="230"/>
      <c r="J30" s="45"/>
      <c r="K30" s="204"/>
      <c r="L30" s="204"/>
      <c r="M30" s="204"/>
      <c r="N30" s="284"/>
      <c r="O30" s="285"/>
      <c r="P30" s="274"/>
      <c r="Q30" s="275" t="s">
        <v>2025</v>
      </c>
      <c r="R30" s="131" t="s">
        <v>2043</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2006</v>
      </c>
      <c r="F31" s="289"/>
      <c r="G31" s="290" t="s">
        <v>2025</v>
      </c>
      <c r="H31" s="222"/>
      <c r="I31" s="222"/>
      <c r="J31" s="236"/>
      <c r="K31" s="237"/>
      <c r="L31" s="237"/>
      <c r="M31" s="237"/>
      <c r="N31" s="222"/>
      <c r="O31" s="291"/>
      <c r="P31" s="274"/>
      <c r="Q31" s="233" t="s">
        <v>2025</v>
      </c>
      <c r="R31" s="131" t="s">
        <v>2043</v>
      </c>
      <c r="S31" s="238"/>
      <c r="T31" s="239"/>
      <c r="U31" s="240"/>
      <c r="V31" s="240"/>
      <c r="W31" s="240"/>
      <c r="X31" s="240"/>
      <c r="Y31" s="240" t="s">
        <v>2051</v>
      </c>
      <c r="Z31" t="e">
        <f>VLOOKUP(A31,#REF!,9,FALSE)</f>
        <v>#REF!</v>
      </c>
    </row>
    <row r="32" spans="1:26" ht="15.75" thickBot="1">
      <c r="A32" s="275" t="s">
        <v>828</v>
      </c>
      <c r="B32" s="102" t="s">
        <v>50</v>
      </c>
      <c r="C32" s="215">
        <v>45772</v>
      </c>
      <c r="D32" s="282"/>
      <c r="E32" s="269" t="s">
        <v>2006</v>
      </c>
      <c r="F32" s="282"/>
      <c r="G32" s="283" t="s">
        <v>2025</v>
      </c>
      <c r="H32" s="230"/>
      <c r="I32" s="230"/>
      <c r="J32" s="45"/>
      <c r="K32" s="204"/>
      <c r="L32" s="204"/>
      <c r="M32" s="204"/>
      <c r="N32" s="284"/>
      <c r="O32" s="285"/>
      <c r="P32" s="274"/>
      <c r="Q32" s="275" t="s">
        <v>2025</v>
      </c>
      <c r="R32" s="131" t="s">
        <v>2043</v>
      </c>
      <c r="S32" s="131"/>
      <c r="T32" s="276"/>
      <c r="U32" s="277"/>
      <c r="V32" s="277"/>
      <c r="W32" s="277"/>
      <c r="X32" s="277"/>
      <c r="Y32" s="277"/>
      <c r="Z32" t="e">
        <f>VLOOKUP(A32,#REF!,9,FALSE)</f>
        <v>#REF!</v>
      </c>
    </row>
    <row r="33" spans="1:26" ht="15.75" thickBot="1">
      <c r="A33" s="275" t="s">
        <v>816</v>
      </c>
      <c r="B33" s="102" t="s">
        <v>50</v>
      </c>
      <c r="C33" s="215">
        <v>45831</v>
      </c>
      <c r="D33" s="282"/>
      <c r="E33" s="269" t="s">
        <v>2006</v>
      </c>
      <c r="F33" s="282"/>
      <c r="G33" s="283" t="s">
        <v>2004</v>
      </c>
      <c r="H33" s="230"/>
      <c r="I33" s="230"/>
      <c r="J33" s="45"/>
      <c r="K33" s="204"/>
      <c r="L33" s="204"/>
      <c r="M33" s="204"/>
      <c r="N33" s="284"/>
      <c r="O33" s="285"/>
      <c r="P33" s="274"/>
      <c r="Q33" s="225" t="s">
        <v>64</v>
      </c>
      <c r="R33" s="131" t="s">
        <v>2043</v>
      </c>
      <c r="S33" s="131"/>
      <c r="T33" s="276"/>
      <c r="U33" s="277"/>
      <c r="V33" s="277"/>
      <c r="W33" s="277"/>
      <c r="X33" s="277"/>
      <c r="Y33" s="277"/>
      <c r="Z33" t="e">
        <f>VLOOKUP(A33,#REF!,9,FALSE)</f>
        <v>#REF!</v>
      </c>
    </row>
    <row r="34" spans="1:26" ht="15.75" thickBot="1">
      <c r="A34" s="275" t="s">
        <v>810</v>
      </c>
      <c r="B34" s="102" t="s">
        <v>50</v>
      </c>
      <c r="C34" s="215">
        <v>45831</v>
      </c>
      <c r="D34" s="282"/>
      <c r="E34" s="269" t="s">
        <v>2006</v>
      </c>
      <c r="F34" s="282"/>
      <c r="G34" s="283" t="s">
        <v>2004</v>
      </c>
      <c r="H34" s="230"/>
      <c r="I34" s="230"/>
      <c r="J34" s="45"/>
      <c r="K34" s="204"/>
      <c r="L34" s="204"/>
      <c r="M34" s="204"/>
      <c r="N34" s="284"/>
      <c r="O34" s="285"/>
      <c r="P34" s="274"/>
      <c r="Q34" s="275" t="s">
        <v>64</v>
      </c>
      <c r="R34" s="131" t="s">
        <v>2043</v>
      </c>
      <c r="S34" s="131"/>
      <c r="T34" s="276"/>
      <c r="U34" s="277"/>
      <c r="V34" s="277"/>
      <c r="W34" s="277"/>
      <c r="X34" s="277"/>
      <c r="Y34" s="277"/>
      <c r="Z34" t="e">
        <f>VLOOKUP(A34,#REF!,9,FALSE)</f>
        <v>#REF!</v>
      </c>
    </row>
    <row r="35" spans="1:26" ht="15.75" thickBot="1">
      <c r="A35" s="275" t="s">
        <v>812</v>
      </c>
      <c r="B35" s="102" t="s">
        <v>50</v>
      </c>
      <c r="C35" s="215">
        <v>45831</v>
      </c>
      <c r="D35" s="282"/>
      <c r="E35" s="269" t="s">
        <v>2006</v>
      </c>
      <c r="F35" s="282"/>
      <c r="G35" s="283" t="s">
        <v>2004</v>
      </c>
      <c r="H35" s="230"/>
      <c r="I35" s="230"/>
      <c r="J35" s="45"/>
      <c r="K35" s="204"/>
      <c r="L35" s="204"/>
      <c r="M35" s="204"/>
      <c r="N35" s="284"/>
      <c r="O35" s="285"/>
      <c r="P35" s="274"/>
      <c r="Q35" s="275" t="s">
        <v>64</v>
      </c>
      <c r="R35" s="131" t="s">
        <v>2043</v>
      </c>
      <c r="S35" s="131"/>
      <c r="T35" s="276"/>
      <c r="U35" s="277"/>
      <c r="V35" s="277"/>
      <c r="W35" s="277"/>
      <c r="X35" s="277"/>
      <c r="Y35" s="277"/>
      <c r="Z35" t="e">
        <f>VLOOKUP(A35,#REF!,9,FALSE)</f>
        <v>#REF!</v>
      </c>
    </row>
    <row r="36" spans="1:26" ht="15.75" thickBot="1">
      <c r="A36" s="275" t="s">
        <v>808</v>
      </c>
      <c r="B36" s="102" t="s">
        <v>50</v>
      </c>
      <c r="C36" s="215">
        <v>45772</v>
      </c>
      <c r="D36" s="282"/>
      <c r="E36" s="269" t="s">
        <v>2006</v>
      </c>
      <c r="F36" s="282"/>
      <c r="G36" s="283" t="s">
        <v>2025</v>
      </c>
      <c r="H36" s="230"/>
      <c r="I36" s="230"/>
      <c r="J36" s="45"/>
      <c r="K36" s="204"/>
      <c r="L36" s="204"/>
      <c r="M36" s="204"/>
      <c r="N36" s="284"/>
      <c r="O36" s="285"/>
      <c r="P36" s="274"/>
      <c r="Q36" s="275" t="s">
        <v>2025</v>
      </c>
      <c r="R36" s="131" t="s">
        <v>2043</v>
      </c>
      <c r="S36" s="131"/>
      <c r="T36" s="276"/>
      <c r="U36" s="277"/>
      <c r="V36" s="277"/>
      <c r="W36" s="277"/>
      <c r="X36" s="277"/>
      <c r="Y36" s="277"/>
      <c r="Z36" t="e">
        <f>VLOOKUP(A36,#REF!,9,FALSE)</f>
        <v>#REF!</v>
      </c>
    </row>
    <row r="37" spans="1:26" ht="15.75" thickBot="1">
      <c r="A37" s="275" t="s">
        <v>818</v>
      </c>
      <c r="B37" s="102" t="s">
        <v>50</v>
      </c>
      <c r="C37" s="215">
        <v>45831</v>
      </c>
      <c r="D37" s="282"/>
      <c r="E37" s="269" t="s">
        <v>2006</v>
      </c>
      <c r="F37" s="282"/>
      <c r="G37" s="283" t="s">
        <v>2004</v>
      </c>
      <c r="H37" s="230"/>
      <c r="I37" s="230"/>
      <c r="J37" s="45"/>
      <c r="K37" s="204"/>
      <c r="L37" s="204"/>
      <c r="M37" s="204"/>
      <c r="N37" s="284"/>
      <c r="O37" s="285"/>
      <c r="P37" s="274"/>
      <c r="Q37" s="275" t="s">
        <v>64</v>
      </c>
      <c r="R37" s="131" t="s">
        <v>2043</v>
      </c>
      <c r="S37" s="131"/>
      <c r="T37" s="276"/>
      <c r="U37" s="277"/>
      <c r="V37" s="277"/>
      <c r="W37" s="277"/>
      <c r="X37" s="277"/>
      <c r="Y37" s="277"/>
      <c r="Z37" t="e">
        <f>VLOOKUP(A37,#REF!,9,FALSE)</f>
        <v>#REF!</v>
      </c>
    </row>
    <row r="38" spans="1:26" ht="15.75" thickBot="1">
      <c r="A38" s="275" t="s">
        <v>822</v>
      </c>
      <c r="B38" s="102" t="s">
        <v>50</v>
      </c>
      <c r="C38" s="215">
        <v>45831</v>
      </c>
      <c r="D38" s="282"/>
      <c r="E38" s="269" t="s">
        <v>2006</v>
      </c>
      <c r="F38" s="282"/>
      <c r="G38" s="283" t="s">
        <v>2004</v>
      </c>
      <c r="H38" s="230"/>
      <c r="I38" s="230"/>
      <c r="J38" s="45"/>
      <c r="K38" s="204"/>
      <c r="L38" s="204"/>
      <c r="M38" s="204"/>
      <c r="N38" s="284"/>
      <c r="O38" s="285"/>
      <c r="P38" s="274"/>
      <c r="Q38" s="275" t="s">
        <v>64</v>
      </c>
      <c r="R38" s="131" t="s">
        <v>2043</v>
      </c>
      <c r="S38" s="131"/>
      <c r="T38" s="276"/>
      <c r="U38" s="277"/>
      <c r="V38" s="277"/>
      <c r="W38" s="277"/>
      <c r="X38" s="277"/>
      <c r="Y38" s="277"/>
      <c r="Z38" t="e">
        <f>VLOOKUP(A38,#REF!,9,FALSE)</f>
        <v>#REF!</v>
      </c>
    </row>
    <row r="39" spans="1:26" s="216" customFormat="1" ht="70.150000000000006" customHeight="1" thickBot="1">
      <c r="A39" s="220" t="s">
        <v>2026</v>
      </c>
      <c r="B39" s="224" t="e">
        <v>#N/A</v>
      </c>
      <c r="C39" s="223" t="e">
        <v>#N/A</v>
      </c>
      <c r="D39" s="289"/>
      <c r="E39" s="269" t="s">
        <v>2006</v>
      </c>
      <c r="F39" s="289"/>
      <c r="G39" s="290" t="s">
        <v>2025</v>
      </c>
      <c r="H39" s="222"/>
      <c r="I39" s="222"/>
      <c r="J39" s="222"/>
      <c r="K39" s="221"/>
      <c r="L39" s="221"/>
      <c r="M39" s="221"/>
      <c r="N39" s="222"/>
      <c r="O39" s="291"/>
      <c r="P39" s="274"/>
      <c r="Q39" s="220" t="s">
        <v>2025</v>
      </c>
      <c r="R39" s="131" t="s">
        <v>2043</v>
      </c>
      <c r="S39" s="219"/>
      <c r="T39" s="218"/>
      <c r="U39" s="217"/>
      <c r="V39" s="217"/>
      <c r="W39" s="217"/>
      <c r="X39" s="217"/>
      <c r="Y39" s="217" t="s">
        <v>2050</v>
      </c>
      <c r="Z39" t="e">
        <f>VLOOKUP(A39,#REF!,9,FALSE)</f>
        <v>#REF!</v>
      </c>
    </row>
    <row r="40" spans="1:26" ht="15.75" thickBot="1">
      <c r="A40" s="275" t="s">
        <v>826</v>
      </c>
      <c r="B40" s="102" t="s">
        <v>50</v>
      </c>
      <c r="C40" s="215">
        <v>45831</v>
      </c>
      <c r="D40" s="282"/>
      <c r="E40" s="269" t="s">
        <v>2006</v>
      </c>
      <c r="F40" s="282"/>
      <c r="G40" s="283" t="s">
        <v>2004</v>
      </c>
      <c r="H40" s="230"/>
      <c r="I40" s="230"/>
      <c r="J40" s="45"/>
      <c r="K40" s="204"/>
      <c r="L40" s="204"/>
      <c r="M40" s="204"/>
      <c r="N40" s="284"/>
      <c r="O40" s="285"/>
      <c r="P40" s="274"/>
      <c r="Q40" s="275" t="s">
        <v>64</v>
      </c>
      <c r="R40" s="131" t="s">
        <v>2043</v>
      </c>
      <c r="S40" s="131"/>
      <c r="T40" s="276"/>
      <c r="U40" s="277"/>
      <c r="V40" s="277"/>
      <c r="W40" s="277"/>
      <c r="X40" s="277"/>
      <c r="Y40" s="277"/>
      <c r="Z40" t="e">
        <f>VLOOKUP(A40,#REF!,9,FALSE)</f>
        <v>#REF!</v>
      </c>
    </row>
    <row r="41" spans="1:26" ht="15.75" thickBot="1">
      <c r="A41" s="275" t="s">
        <v>87</v>
      </c>
      <c r="B41" s="102" t="s">
        <v>50</v>
      </c>
      <c r="C41" s="215">
        <v>45807</v>
      </c>
      <c r="D41" s="282"/>
      <c r="E41" s="269" t="s">
        <v>2041</v>
      </c>
      <c r="F41" s="282"/>
      <c r="G41" s="283" t="s">
        <v>2004</v>
      </c>
      <c r="H41" s="230"/>
      <c r="I41" s="230"/>
      <c r="J41" s="45"/>
      <c r="K41" s="204"/>
      <c r="L41" s="204"/>
      <c r="M41" s="204"/>
      <c r="N41" s="284"/>
      <c r="O41" s="285"/>
      <c r="P41" s="274" t="s">
        <v>2042</v>
      </c>
      <c r="Q41" s="275" t="s">
        <v>58</v>
      </c>
      <c r="R41" s="131" t="s">
        <v>2043</v>
      </c>
      <c r="S41" s="131"/>
      <c r="T41" s="276"/>
      <c r="U41" s="277"/>
      <c r="V41" s="277"/>
      <c r="W41" s="277"/>
      <c r="X41" s="277"/>
      <c r="Y41" s="277"/>
      <c r="Z41" t="e">
        <f>VLOOKUP(A41,#REF!,9,FALSE)</f>
        <v>#REF!</v>
      </c>
    </row>
    <row r="42" spans="1:26" ht="15.75" thickBot="1">
      <c r="A42" s="275" t="s">
        <v>85</v>
      </c>
      <c r="B42" s="102" t="s">
        <v>50</v>
      </c>
      <c r="C42" s="215">
        <v>45807</v>
      </c>
      <c r="D42" s="282"/>
      <c r="E42" s="269" t="s">
        <v>2041</v>
      </c>
      <c r="F42" s="282"/>
      <c r="G42" s="283" t="s">
        <v>2004</v>
      </c>
      <c r="H42" s="230"/>
      <c r="I42" s="230"/>
      <c r="J42" s="45"/>
      <c r="K42" s="204"/>
      <c r="L42" s="204"/>
      <c r="M42" s="204"/>
      <c r="N42" s="284"/>
      <c r="O42" s="285"/>
      <c r="P42" s="274" t="s">
        <v>2042</v>
      </c>
      <c r="Q42" s="275" t="s">
        <v>64</v>
      </c>
      <c r="R42" s="131" t="s">
        <v>2043</v>
      </c>
      <c r="S42" s="131"/>
      <c r="T42" s="276"/>
      <c r="U42" s="277"/>
      <c r="V42" s="277"/>
      <c r="W42" s="277"/>
      <c r="X42" s="277"/>
      <c r="Y42" s="277"/>
      <c r="Z42" t="e">
        <f>VLOOKUP(A42,#REF!,9,FALSE)</f>
        <v>#REF!</v>
      </c>
    </row>
    <row r="43" spans="1:26" ht="15.75" thickBot="1">
      <c r="A43" s="275" t="s">
        <v>508</v>
      </c>
      <c r="B43" s="102" t="s">
        <v>50</v>
      </c>
      <c r="C43" s="215">
        <v>45807</v>
      </c>
      <c r="D43" s="282"/>
      <c r="E43" s="269" t="s">
        <v>2041</v>
      </c>
      <c r="F43" s="282"/>
      <c r="G43" s="283" t="s">
        <v>2004</v>
      </c>
      <c r="H43" s="230"/>
      <c r="I43" s="230"/>
      <c r="J43" s="45"/>
      <c r="K43" s="204"/>
      <c r="L43" s="204"/>
      <c r="M43" s="204"/>
      <c r="N43" s="284"/>
      <c r="O43" s="285"/>
      <c r="P43" s="274" t="s">
        <v>2042</v>
      </c>
      <c r="Q43" s="275" t="s">
        <v>58</v>
      </c>
      <c r="R43" s="131" t="s">
        <v>2043</v>
      </c>
      <c r="S43" s="131"/>
      <c r="T43" s="276"/>
      <c r="U43" s="277"/>
      <c r="V43" s="277"/>
      <c r="W43" s="277"/>
      <c r="X43" s="277"/>
      <c r="Y43" s="277"/>
      <c r="Z43" t="e">
        <f>VLOOKUP(A43,#REF!,9,FALSE)</f>
        <v>#REF!</v>
      </c>
    </row>
    <row r="44" spans="1:26" ht="15.75" thickBot="1">
      <c r="A44" s="275" t="s">
        <v>82</v>
      </c>
      <c r="B44" s="102" t="s">
        <v>50</v>
      </c>
      <c r="C44" s="215">
        <v>45807</v>
      </c>
      <c r="D44" s="282"/>
      <c r="E44" s="269" t="s">
        <v>2041</v>
      </c>
      <c r="F44" s="282"/>
      <c r="G44" s="283" t="s">
        <v>2004</v>
      </c>
      <c r="H44" s="230"/>
      <c r="I44" s="230"/>
      <c r="J44" s="45"/>
      <c r="K44" s="204"/>
      <c r="L44" s="204"/>
      <c r="M44" s="204"/>
      <c r="N44" s="284"/>
      <c r="O44" s="285"/>
      <c r="P44" s="274" t="s">
        <v>2012</v>
      </c>
      <c r="Q44" s="275" t="s">
        <v>64</v>
      </c>
      <c r="R44" s="131" t="s">
        <v>2043</v>
      </c>
      <c r="S44" s="131"/>
      <c r="T44" s="276"/>
      <c r="U44" s="277"/>
      <c r="V44" s="277"/>
      <c r="W44" s="277"/>
      <c r="X44" s="277"/>
      <c r="Y44" s="277"/>
      <c r="Z44" t="e">
        <f>VLOOKUP(A44,#REF!,9,FALSE)</f>
        <v>#REF!</v>
      </c>
    </row>
    <row r="45" spans="1:26" ht="15.75" thickBot="1">
      <c r="A45" s="335" t="s">
        <v>631</v>
      </c>
      <c r="B45" s="102" t="s">
        <v>50</v>
      </c>
      <c r="C45" s="215">
        <v>45807</v>
      </c>
      <c r="D45" s="282"/>
      <c r="E45" s="269" t="s">
        <v>2006</v>
      </c>
      <c r="F45" s="282"/>
      <c r="G45" s="283" t="s">
        <v>2004</v>
      </c>
      <c r="H45" s="230"/>
      <c r="I45" s="230"/>
      <c r="J45" s="45"/>
      <c r="K45" s="204"/>
      <c r="L45" s="204"/>
      <c r="M45" s="204"/>
      <c r="N45" s="284"/>
      <c r="O45" s="285"/>
      <c r="P45" s="274"/>
      <c r="Q45" s="275" t="s">
        <v>58</v>
      </c>
      <c r="R45" s="131" t="s">
        <v>2043</v>
      </c>
      <c r="S45" s="131"/>
      <c r="T45" s="276"/>
      <c r="U45" s="277"/>
      <c r="V45" s="277"/>
      <c r="W45" s="277"/>
      <c r="X45" s="277"/>
      <c r="Y45" s="277"/>
      <c r="Z45" t="e">
        <f>VLOOKUP(A45,#REF!,9,FALSE)</f>
        <v>#REF!</v>
      </c>
    </row>
    <row r="46" spans="1:26" ht="15.75" thickBot="1">
      <c r="A46" s="292" t="s">
        <v>633</v>
      </c>
      <c r="B46" s="102" t="s">
        <v>50</v>
      </c>
      <c r="C46" s="215">
        <v>45807</v>
      </c>
      <c r="D46" s="282"/>
      <c r="E46" s="269" t="s">
        <v>2006</v>
      </c>
      <c r="F46" s="282"/>
      <c r="G46" s="290" t="s">
        <v>2004</v>
      </c>
      <c r="H46" s="230"/>
      <c r="I46" s="230"/>
      <c r="J46" s="45"/>
      <c r="K46" s="204"/>
      <c r="L46" s="204"/>
      <c r="M46" s="204"/>
      <c r="N46" s="284"/>
      <c r="O46" s="285"/>
      <c r="P46" s="274"/>
      <c r="Q46" s="275" t="s">
        <v>58</v>
      </c>
      <c r="R46" s="131" t="s">
        <v>2043</v>
      </c>
      <c r="S46" s="131"/>
      <c r="T46" s="276"/>
      <c r="U46" s="277"/>
      <c r="V46" s="277"/>
      <c r="W46" s="277"/>
      <c r="X46" s="277"/>
      <c r="Y46" s="277"/>
      <c r="Z46" t="e">
        <f>VLOOKUP(A46,#REF!,9,FALSE)</f>
        <v>#REF!</v>
      </c>
    </row>
    <row r="47" spans="1:26" ht="15.75" thickBot="1">
      <c r="A47" s="293" t="s">
        <v>197</v>
      </c>
      <c r="B47" s="102" t="s">
        <v>50</v>
      </c>
      <c r="C47" s="215">
        <v>45807</v>
      </c>
      <c r="D47" s="282"/>
      <c r="E47" s="269" t="s">
        <v>2006</v>
      </c>
      <c r="F47" s="282"/>
      <c r="G47" s="283" t="s">
        <v>2004</v>
      </c>
      <c r="H47" s="230"/>
      <c r="I47" s="230"/>
      <c r="J47" s="45"/>
      <c r="K47" s="204"/>
      <c r="L47" s="204"/>
      <c r="M47" s="204"/>
      <c r="N47" s="284"/>
      <c r="O47" s="285"/>
      <c r="P47" s="274" t="s">
        <v>2015</v>
      </c>
      <c r="Q47" s="275" t="s">
        <v>58</v>
      </c>
      <c r="R47" s="131" t="s">
        <v>2046</v>
      </c>
      <c r="S47" s="131"/>
      <c r="T47" s="276"/>
      <c r="U47" s="277"/>
      <c r="V47" s="277"/>
      <c r="W47" s="277"/>
      <c r="X47" s="277"/>
      <c r="Y47" s="277"/>
      <c r="Z47" t="e">
        <f>VLOOKUP(A47,#REF!,9,FALSE)</f>
        <v>#REF!</v>
      </c>
    </row>
    <row r="48" spans="1:26" ht="15.75" thickBot="1">
      <c r="A48" s="292" t="s">
        <v>682</v>
      </c>
      <c r="B48" s="102" t="s">
        <v>50</v>
      </c>
      <c r="C48" s="215">
        <v>45807</v>
      </c>
      <c r="D48" s="282"/>
      <c r="E48" s="269" t="s">
        <v>2006</v>
      </c>
      <c r="F48" s="282"/>
      <c r="G48" s="290" t="s">
        <v>2025</v>
      </c>
      <c r="H48" s="230"/>
      <c r="I48" s="230"/>
      <c r="J48" s="45"/>
      <c r="K48" s="204"/>
      <c r="L48" s="204"/>
      <c r="M48" s="204"/>
      <c r="N48" s="284"/>
      <c r="O48" s="285"/>
      <c r="P48" s="274" t="s">
        <v>2052</v>
      </c>
      <c r="Q48" s="275" t="s">
        <v>2025</v>
      </c>
      <c r="R48" s="131" t="s">
        <v>2043</v>
      </c>
      <c r="S48" s="131"/>
      <c r="T48" s="276"/>
      <c r="U48" s="277"/>
      <c r="V48" s="277"/>
      <c r="W48" s="277"/>
      <c r="X48" s="277"/>
      <c r="Y48" s="277"/>
      <c r="Z48" t="e">
        <f>VLOOKUP(A48,#REF!,9,FALSE)</f>
        <v>#REF!</v>
      </c>
    </row>
    <row r="49" spans="1:26" ht="15.75" thickBot="1">
      <c r="A49" s="292" t="s">
        <v>676</v>
      </c>
      <c r="B49" s="102" t="s">
        <v>117</v>
      </c>
      <c r="C49" s="215">
        <v>45772</v>
      </c>
      <c r="D49" s="282"/>
      <c r="E49" s="269" t="s">
        <v>2006</v>
      </c>
      <c r="F49" s="282"/>
      <c r="G49" s="290" t="s">
        <v>2025</v>
      </c>
      <c r="H49" s="230"/>
      <c r="I49" s="230"/>
      <c r="J49" s="45"/>
      <c r="K49" s="204"/>
      <c r="L49" s="204"/>
      <c r="M49" s="204"/>
      <c r="N49" s="284"/>
      <c r="O49" s="285"/>
      <c r="P49" s="274" t="s">
        <v>2052</v>
      </c>
      <c r="Q49" s="275" t="s">
        <v>2025</v>
      </c>
      <c r="R49" s="131" t="s">
        <v>2043</v>
      </c>
      <c r="S49" s="131"/>
      <c r="T49" s="276"/>
      <c r="U49" s="277"/>
      <c r="V49" s="277"/>
      <c r="W49" s="277"/>
      <c r="X49" s="277"/>
      <c r="Y49" s="277"/>
      <c r="Z49" t="e">
        <f>VLOOKUP(A49,#REF!,9,FALSE)</f>
        <v>#REF!</v>
      </c>
    </row>
    <row r="50" spans="1:26" ht="15.75" thickBot="1">
      <c r="A50" s="292" t="s">
        <v>674</v>
      </c>
      <c r="B50" s="102" t="s">
        <v>117</v>
      </c>
      <c r="C50" s="215">
        <v>45772</v>
      </c>
      <c r="D50" s="282"/>
      <c r="E50" s="269" t="s">
        <v>2006</v>
      </c>
      <c r="F50" s="282"/>
      <c r="G50" s="290" t="s">
        <v>2025</v>
      </c>
      <c r="H50" s="230"/>
      <c r="I50" s="230"/>
      <c r="J50" s="45"/>
      <c r="K50" s="204"/>
      <c r="L50" s="204"/>
      <c r="M50" s="204"/>
      <c r="N50" s="284"/>
      <c r="O50" s="285"/>
      <c r="P50" s="274" t="s">
        <v>2052</v>
      </c>
      <c r="Q50" s="275" t="s">
        <v>2025</v>
      </c>
      <c r="R50" s="131" t="s">
        <v>2043</v>
      </c>
      <c r="S50" s="131"/>
      <c r="T50" s="276"/>
      <c r="U50" s="277"/>
      <c r="V50" s="277"/>
      <c r="W50" s="277"/>
      <c r="X50" s="277"/>
      <c r="Y50" s="277"/>
      <c r="Z50" t="e">
        <f>VLOOKUP(A50,#REF!,9,FALSE)</f>
        <v>#REF!</v>
      </c>
    </row>
    <row r="51" spans="1:26" ht="15.75" thickBot="1">
      <c r="A51" s="292" t="s">
        <v>680</v>
      </c>
      <c r="B51" s="102" t="e">
        <v>#N/A</v>
      </c>
      <c r="C51" s="215" t="e">
        <v>#N/A</v>
      </c>
      <c r="D51" s="282"/>
      <c r="E51" s="269" t="s">
        <v>2006</v>
      </c>
      <c r="F51" s="282"/>
      <c r="G51" s="290" t="s">
        <v>2025</v>
      </c>
      <c r="H51" s="230"/>
      <c r="I51" s="230"/>
      <c r="J51" s="45"/>
      <c r="K51" s="204"/>
      <c r="L51" s="204"/>
      <c r="M51" s="204"/>
      <c r="N51" s="284"/>
      <c r="O51" s="285"/>
      <c r="P51" s="274" t="s">
        <v>2052</v>
      </c>
      <c r="Q51" s="275" t="s">
        <v>2025</v>
      </c>
      <c r="R51" s="131" t="s">
        <v>2043</v>
      </c>
      <c r="S51" s="131"/>
      <c r="T51" s="276"/>
      <c r="U51" s="277"/>
      <c r="V51" s="277"/>
      <c r="W51" s="277"/>
      <c r="X51" s="277"/>
      <c r="Y51" s="277"/>
      <c r="Z51" t="e">
        <f>VLOOKUP(A51,#REF!,9,FALSE)</f>
        <v>#REF!</v>
      </c>
    </row>
    <row r="52" spans="1:26" ht="13.9" customHeight="1" thickBot="1">
      <c r="A52" s="292" t="s">
        <v>656</v>
      </c>
      <c r="B52" s="102" t="s">
        <v>117</v>
      </c>
      <c r="C52" s="215">
        <v>45925</v>
      </c>
      <c r="D52" s="282"/>
      <c r="E52" s="269" t="s">
        <v>2041</v>
      </c>
      <c r="F52" s="282"/>
      <c r="G52" s="283" t="s">
        <v>2004</v>
      </c>
      <c r="H52" s="230"/>
      <c r="I52" s="230"/>
      <c r="J52" s="45"/>
      <c r="K52" s="204"/>
      <c r="L52" s="204"/>
      <c r="M52" s="204"/>
      <c r="N52" s="284"/>
      <c r="O52" s="285"/>
      <c r="P52" s="274" t="s">
        <v>2042</v>
      </c>
      <c r="Q52" s="275" t="s">
        <v>64</v>
      </c>
      <c r="R52" s="131" t="s">
        <v>2043</v>
      </c>
      <c r="S52" s="131"/>
      <c r="T52" s="276"/>
      <c r="U52" s="277"/>
      <c r="V52" s="277"/>
      <c r="W52" s="277"/>
      <c r="X52" s="277"/>
      <c r="Y52" s="277"/>
      <c r="Z52" t="e">
        <f>VLOOKUP(A52,#REF!,9,FALSE)</f>
        <v>#REF!</v>
      </c>
    </row>
    <row r="53" spans="1:26" ht="15.75" thickBot="1">
      <c r="A53" s="292" t="s">
        <v>658</v>
      </c>
      <c r="B53" s="102" t="s">
        <v>117</v>
      </c>
      <c r="C53" s="215">
        <v>45925</v>
      </c>
      <c r="D53" s="282"/>
      <c r="E53" s="269" t="s">
        <v>2041</v>
      </c>
      <c r="F53" s="282"/>
      <c r="G53" s="283" t="s">
        <v>2004</v>
      </c>
      <c r="H53" s="230"/>
      <c r="I53" s="230"/>
      <c r="J53" s="45"/>
      <c r="K53" s="204"/>
      <c r="L53" s="204"/>
      <c r="M53" s="204"/>
      <c r="N53" s="284"/>
      <c r="O53" s="285"/>
      <c r="P53" s="274" t="s">
        <v>2042</v>
      </c>
      <c r="Q53" s="275" t="s">
        <v>64</v>
      </c>
      <c r="R53" s="131" t="s">
        <v>2043</v>
      </c>
      <c r="S53" s="131"/>
      <c r="T53" s="276"/>
      <c r="U53" s="277"/>
      <c r="V53" s="277"/>
      <c r="W53" s="277"/>
      <c r="X53" s="277"/>
      <c r="Y53" s="277"/>
      <c r="Z53" t="e">
        <f>VLOOKUP(A53,#REF!,9,FALSE)</f>
        <v>#REF!</v>
      </c>
    </row>
    <row r="54" spans="1:26" ht="15.75" thickBot="1">
      <c r="A54" s="292" t="s">
        <v>654</v>
      </c>
      <c r="B54" s="102" t="s">
        <v>117</v>
      </c>
      <c r="C54" s="215">
        <v>45925</v>
      </c>
      <c r="D54" s="282"/>
      <c r="E54" s="269" t="s">
        <v>2041</v>
      </c>
      <c r="F54" s="282"/>
      <c r="G54" s="283" t="s">
        <v>2004</v>
      </c>
      <c r="H54" s="230"/>
      <c r="I54" s="230"/>
      <c r="J54" s="45"/>
      <c r="K54" s="204"/>
      <c r="L54" s="204"/>
      <c r="M54" s="204"/>
      <c r="N54" s="284"/>
      <c r="O54" s="285"/>
      <c r="P54" s="274" t="s">
        <v>2042</v>
      </c>
      <c r="Q54" s="275" t="s">
        <v>64</v>
      </c>
      <c r="R54" s="131" t="s">
        <v>2043</v>
      </c>
      <c r="S54" s="131"/>
      <c r="T54" s="276"/>
      <c r="U54" s="277"/>
      <c r="V54" s="277"/>
      <c r="W54" s="277"/>
      <c r="X54" s="277"/>
      <c r="Y54" s="277"/>
      <c r="Z54" t="e">
        <f>VLOOKUP(A54,#REF!,9,FALSE)</f>
        <v>#REF!</v>
      </c>
    </row>
    <row r="55" spans="1:26" ht="15.75" thickBot="1">
      <c r="A55" s="292" t="s">
        <v>704</v>
      </c>
      <c r="B55" s="102" t="s">
        <v>117</v>
      </c>
      <c r="C55" s="215">
        <v>45862</v>
      </c>
      <c r="D55" s="282"/>
      <c r="E55" s="269" t="s">
        <v>2041</v>
      </c>
      <c r="F55" s="282"/>
      <c r="G55" s="283" t="s">
        <v>2004</v>
      </c>
      <c r="H55" s="230"/>
      <c r="I55" s="230"/>
      <c r="J55" s="45"/>
      <c r="K55" s="204"/>
      <c r="L55" s="204"/>
      <c r="M55" s="204"/>
      <c r="N55" s="284"/>
      <c r="O55" s="285"/>
      <c r="P55" s="274" t="s">
        <v>2015</v>
      </c>
      <c r="Q55" s="275" t="s">
        <v>58</v>
      </c>
      <c r="R55" s="131" t="s">
        <v>2046</v>
      </c>
      <c r="S55" s="131"/>
      <c r="T55" s="276"/>
      <c r="U55" s="277"/>
      <c r="V55" s="277"/>
      <c r="W55" s="277"/>
      <c r="X55" s="277"/>
      <c r="Y55" s="277"/>
      <c r="Z55" t="e">
        <f>VLOOKUP(A55,#REF!,9,FALSE)</f>
        <v>#REF!</v>
      </c>
    </row>
    <row r="56" spans="1:26" ht="15.75" thickBot="1">
      <c r="A56" s="292" t="s">
        <v>134</v>
      </c>
      <c r="B56" s="102"/>
      <c r="C56" s="215" t="e">
        <v>#N/A</v>
      </c>
      <c r="D56" s="282"/>
      <c r="E56" s="269" t="s">
        <v>2041</v>
      </c>
      <c r="F56" s="282"/>
      <c r="G56" s="283" t="s">
        <v>2004</v>
      </c>
      <c r="H56" s="230"/>
      <c r="I56" s="230"/>
      <c r="J56" s="45"/>
      <c r="K56" s="204"/>
      <c r="L56" s="204"/>
      <c r="M56" s="204"/>
      <c r="N56" s="284"/>
      <c r="O56" s="285"/>
      <c r="P56" s="274" t="s">
        <v>2053</v>
      </c>
      <c r="Q56" s="275" t="s">
        <v>58</v>
      </c>
      <c r="R56" s="131" t="s">
        <v>2046</v>
      </c>
      <c r="S56" s="131"/>
      <c r="T56" s="276"/>
      <c r="U56" s="277"/>
      <c r="V56" s="277"/>
      <c r="W56" s="277"/>
      <c r="X56" s="277"/>
      <c r="Y56" s="277"/>
      <c r="Z56" t="e">
        <f>VLOOKUP(A56,#REF!,9,FALSE)</f>
        <v>#REF!</v>
      </c>
    </row>
    <row r="57" spans="1:26" ht="15.75" thickBot="1">
      <c r="A57" s="162" t="s">
        <v>2054</v>
      </c>
      <c r="B57" s="102" t="s">
        <v>117</v>
      </c>
      <c r="C57" s="294">
        <v>45787</v>
      </c>
      <c r="D57" s="282"/>
      <c r="E57" s="269" t="s">
        <v>2041</v>
      </c>
      <c r="F57" s="282"/>
      <c r="G57" s="283" t="s">
        <v>2004</v>
      </c>
      <c r="H57" s="230"/>
      <c r="I57" s="230"/>
      <c r="J57" s="45"/>
      <c r="K57" s="204"/>
      <c r="L57" s="204"/>
      <c r="M57" s="204"/>
      <c r="N57" s="284"/>
      <c r="O57" s="285"/>
      <c r="P57" s="274" t="s">
        <v>2015</v>
      </c>
      <c r="Q57" s="275" t="s">
        <v>2055</v>
      </c>
      <c r="R57" s="131" t="s">
        <v>2046</v>
      </c>
      <c r="S57" s="131"/>
      <c r="T57" s="276"/>
      <c r="U57" s="277"/>
      <c r="V57" s="277"/>
      <c r="W57" s="277"/>
      <c r="X57" s="277"/>
      <c r="Y57" s="277"/>
      <c r="Z57" t="e">
        <f>VLOOKUP(A57,#REF!,9,FALSE)</f>
        <v>#REF!</v>
      </c>
    </row>
    <row r="58" spans="1:26" ht="15.75" thickBot="1">
      <c r="A58" s="622" t="s">
        <v>654</v>
      </c>
      <c r="B58" s="102" t="s">
        <v>50</v>
      </c>
      <c r="C58" s="296">
        <v>45807</v>
      </c>
      <c r="D58" s="282"/>
      <c r="E58" s="269" t="s">
        <v>2006</v>
      </c>
      <c r="F58" s="282"/>
      <c r="G58" s="283" t="s">
        <v>2004</v>
      </c>
      <c r="H58" s="230"/>
      <c r="I58" s="230"/>
      <c r="J58" s="45"/>
      <c r="K58" s="204"/>
      <c r="L58" s="204"/>
      <c r="M58" s="204"/>
      <c r="N58" s="284"/>
      <c r="O58" s="285"/>
      <c r="P58" s="287"/>
      <c r="Q58" s="275" t="s">
        <v>64</v>
      </c>
      <c r="R58" s="131" t="s">
        <v>2043</v>
      </c>
      <c r="S58" s="131"/>
      <c r="T58" s="276"/>
      <c r="U58" s="277"/>
      <c r="V58" s="277"/>
      <c r="W58" s="277"/>
      <c r="X58" s="277"/>
      <c r="Y58" s="277"/>
    </row>
    <row r="59" spans="1:26" ht="15.75" thickBot="1">
      <c r="A59" s="622" t="s">
        <v>656</v>
      </c>
      <c r="B59" s="102" t="s">
        <v>117</v>
      </c>
      <c r="C59" s="296">
        <v>45772</v>
      </c>
      <c r="D59" s="282"/>
      <c r="E59" s="269" t="s">
        <v>2006</v>
      </c>
      <c r="F59" s="282"/>
      <c r="G59" s="283" t="s">
        <v>2004</v>
      </c>
      <c r="H59" s="230"/>
      <c r="I59" s="230"/>
      <c r="J59" s="45"/>
      <c r="K59" s="204"/>
      <c r="L59" s="204"/>
      <c r="M59" s="204"/>
      <c r="N59" s="284"/>
      <c r="O59" s="285"/>
      <c r="P59" s="287"/>
      <c r="Q59" s="275" t="s">
        <v>64</v>
      </c>
      <c r="R59" s="131" t="s">
        <v>2043</v>
      </c>
      <c r="S59" s="131"/>
      <c r="T59" s="276"/>
      <c r="U59" s="277"/>
      <c r="V59" s="277"/>
      <c r="W59" s="277"/>
      <c r="X59" s="277"/>
      <c r="Y59" s="277"/>
    </row>
    <row r="60" spans="1:26" ht="15.75" thickBot="1">
      <c r="A60" s="623" t="s">
        <v>658</v>
      </c>
      <c r="B60" s="102" t="s">
        <v>117</v>
      </c>
      <c r="C60" s="296">
        <v>45772</v>
      </c>
      <c r="D60" s="282"/>
      <c r="E60" s="269" t="s">
        <v>2006</v>
      </c>
      <c r="F60" s="282"/>
      <c r="G60" s="283" t="s">
        <v>2004</v>
      </c>
      <c r="H60" s="230"/>
      <c r="I60" s="230"/>
      <c r="J60" s="45"/>
      <c r="K60" s="204"/>
      <c r="L60" s="204"/>
      <c r="M60" s="204"/>
      <c r="N60" s="284"/>
      <c r="O60" s="285"/>
      <c r="P60" s="287"/>
      <c r="Q60" s="275" t="s">
        <v>64</v>
      </c>
      <c r="R60" s="131" t="s">
        <v>2043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2035</v>
      </c>
      <c r="B70" s="301">
        <f>SUM(K4:K9)</f>
        <v>0</v>
      </c>
      <c r="C70" s="302" t="e">
        <f>B70/B73</f>
        <v>#DIV/0!</v>
      </c>
    </row>
    <row r="71" spans="1:25">
      <c r="A71" s="300" t="s">
        <v>1991</v>
      </c>
      <c r="B71" s="301">
        <f>SUM(L4:L9)</f>
        <v>0</v>
      </c>
      <c r="C71" s="302" t="e">
        <f>B71/B73</f>
        <v>#DIV/0!</v>
      </c>
    </row>
    <row r="72" spans="1:25">
      <c r="A72" s="300" t="s">
        <v>2036</v>
      </c>
      <c r="B72" s="301">
        <f>SUM(M4:M9)</f>
        <v>0</v>
      </c>
      <c r="C72" s="302" t="e">
        <f>B72/B73</f>
        <v>#DIV/0!</v>
      </c>
    </row>
    <row r="73" spans="1:25">
      <c r="A73" s="300" t="s">
        <v>1019</v>
      </c>
      <c r="B73" s="301">
        <f>SUM(B70:B72)</f>
        <v>0</v>
      </c>
      <c r="C73" s="279"/>
    </row>
    <row r="80" spans="1:25">
      <c r="A80" t="s">
        <v>2056</v>
      </c>
    </row>
    <row r="81" spans="1:1">
      <c r="A81" t="s">
        <v>2057</v>
      </c>
    </row>
    <row r="82" spans="1:1">
      <c r="A82" t="s">
        <v>2042</v>
      </c>
    </row>
    <row r="83" spans="1:1">
      <c r="A83" t="s">
        <v>2058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17CEBAB-CB9D-4C06-B5A9-2D7F6FAE8DE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2025-12-16T17:49:22Z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