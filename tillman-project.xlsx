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52" documentId="8_{E14B221E-02E2-46A3-8CEC-C736815F2DD5}" xr6:coauthVersionLast="47" xr6:coauthVersionMax="47" xr10:uidLastSave="{FF37ACC2-A066-4CDE-B05B-65FCFDC58644}"/>
  <bookViews>
    <workbookView xWindow="28680" yWindow="-120" windowWidth="29040" windowHeight="15720" tabRatio="866" firstSheet="1" activeTab="1"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996" r:id="rId12"/>
    <pivotCache cacheId="5003" r:id="rId13"/>
    <pivotCache cacheId="5008" r:id="rId14"/>
    <pivotCache cacheId="5012" r:id="rId15"/>
    <pivotCache cacheId="5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1" i="2" l="1"/>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7"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6"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1" i="2"/>
  <c r="X72"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1" i="2"/>
  <c r="Y72"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76"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<sst xmlns="http://schemas.openxmlformats.org/spreadsheetml/2006/main" count="14484" uniqueCount="1782">
  <si>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</si>
  <si>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</si>
  <si>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</si>
  <si>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</si>
  <si>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</si>
  <si>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</si>
  <si>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</si>
  <si>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</si>
  <si>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</si>
  <si>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</si>
  <si>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</si>
  <si>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</si>
  <si>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</si>
  <si>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</si>
  <si>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</si>
  <si>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</si>
  <si>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</si>
  <si>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</si>
  <si>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</si>
  <si>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</si>
  <si>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</si>
  <si>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</si>
  <si>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</si>
  <si>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</si>
  <si>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</si>
  <si>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</si>
  <si>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</si>
  <si>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</si>
  <si>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</si>
  <si>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</si>
  <si>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</si>
  <si>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</si>
  <si>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</si>
  <si>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</si>
  <si>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</si>
  <si>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</si>
  <si>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</si>
  <si>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</si>
  <si>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</si>
  <si>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</si>
  <si>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</si>
  <si>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</si>
  <si>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</si>
  <si>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</si>
  <si>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</si>
  <si>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</si>
  <si>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</si>
  <si>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</si>
  <si>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</si>
  <si>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</si>
  <si>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</si>
  <si>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</si>
  <si>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</si>
  <si>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</si>
  <si>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</si>
  <si>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</si>
  <si>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</si>
  <si>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</si>
  <si>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</si>
  <si>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</si>
  <si>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</si>
  <si>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</si>
  <si>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</si>
  <si>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</si>
  <si>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</si>
  <si>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</si>
  <si>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</si>
  <si>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</si>
  <si>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</si>
  <si>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</si>
  <si>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</si>
  <si>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</si>
  <si>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</si>
  <si>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</si>
  <si>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</si>
  <si>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</si>
  <si>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</si>
  <si>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</si>
  <si>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</si>
  <si>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</si>
  <si>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</si>
  <si>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</si>
  <si>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</si>
  <si>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</si>
  <si>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</si>
  <si>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</si>
  <si>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</si>
  <si>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</si>
  <si>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</si>
  <si>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</si>
  <si>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</si>
  <si>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</si>
  <si>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</si>
  <si>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</si>
  <si>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</si>
  <si>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</si>
  <si>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</si>
  <si>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</si>
  <si>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</si>
  <si>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</si>
  <si>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</si>
  <si>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</si>
  <si>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</si>
  <si>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</si>
  <si>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</si>
  <si>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</si>
  <si>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</si>
  <si>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</si>
  <si>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</si>
  <si>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</si>
  <si>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</si>
  <si>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</si>
  <si>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</si>
  <si>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</si>
  <si>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</si>
  <si>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</si>
  <si>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</si>
  <si>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</si>
  <si>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</si>
  <si>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</si>
  <si>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</si>
  <si>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</si>
  <si>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</si>
  <si>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</si>
  <si>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</si>
  <si>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</si>
  <si>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</si>
  <si>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</si>
  <si>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</si>
  <si>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</si>
  <si>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</si>
  <si>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</si>
  <si>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</si>
  <si>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</si>
  <si>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</si>
  <si>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</si>
  <si>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</si>
  <si>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</si>
  <si>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</si>
  <si>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</si>
  <si>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</si>
  <si>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</si>
  <si>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</si>
  <si>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</si>
  <si>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</si>
  <si>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</si>
  <si>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</si>
  <si>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</si>
  <si>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</si>
  <si>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</si>
  <si>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</si>
  <si>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</si>
  <si>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</si>
  <si>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</si>
  <si>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</si>
  <si>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</si>
  <si>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</si>
  <si>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</si>
  <si>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</si>
  <si>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</si>
  <si>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</si>
  <si>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</si>
  <si>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</si>
  <si>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</si>
  <si>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</si>
  <si>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</si>
  <si>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</si>
  <si>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</si>
  <si>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</si>
  <si>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</si>
  <si>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</si>
  <si>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</si>
  <si>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</si>
  <si>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</si>
  <si>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</si>
  <si>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</si>
  <si>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</si>
  <si>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</si>
  <si>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</si>
  <si>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</si>
  <si>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</si>
  <si>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</si>
  <si>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</si>
  <si>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</si>
  <si>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</si>
  <si>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</si>
  <si>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</si>
  <si>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</si>
  <si>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</si>
  <si>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</si>
  <si>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</si>
  <si>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</si>
  <si>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</si>
  <si>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</si>
  <si>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</si>
  <si>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</si>
  <si>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</si>
  <si>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</si>
  <si>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</si>
  <si>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</si>
  <si>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</si>
  <si>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</si>
  <si>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</si>
  <si>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</si>
  <si>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</si>
  <si>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</si>
  <si>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</si>
  <si>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</si>
  <si>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</si>
  <si>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</si>
  <si>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</si>
  <si>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</si>
  <si>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</si>
  <si>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</si>
  <si>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</si>
  <si>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</si>
  <si>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</si>
  <si>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</si>
  <si>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</si>
  <si>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</si>
  <si>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</si>
  <si>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</si>
  <si>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</si>
  <si>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</si>
  <si>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</si>
  <si>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</si>
  <si>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</si>
  <si>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</si>
  <si>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</si>
  <si>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</si>
  <si>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</si>
  <si>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</si>
  <si>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</si>
  <si>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</si>
  <si>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</si>
  <si>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</si>
  <si>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</si>
  <si>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</si>
  <si>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</si>
  <si>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</si>
  <si>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</si>
  <si>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</si>
  <si>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</si>
  <si>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</si>
  <si>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</si>
  <si>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</si>
  <si>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</si>
  <si>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</si>
  <si>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</si>
  <si>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</si>
  <si>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</si>
  <si>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</si>
  <si>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</si>
  <si>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</si>
  <si>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</si>
  <si>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</si>
  <si>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</si>
  <si>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</si>
  <si>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</si>
  <si>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</si>
  <si>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</si>
  <si>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</si>
  <si>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</si>
  <si>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</si>
  <si>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</si>
  <si>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</si>
  <si>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</si>
  <si>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</si>
  <si>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</si>
  <si>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</si>
  <si>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</si>
  <si>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</si>
  <si>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</si>
  <si>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</si>
  <si>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</si>
  <si>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</si>
  <si>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</si>
  <si>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</si>
  <si>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</si>
  <si>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</si>
  <si>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</si>
  <si>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</si>
  <si>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</si>
  <si>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</si>
  <si>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</si>
  <si>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</si>
  <si>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</si>
  <si>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</si>
  <si>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</si>
  <si>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</si>
  <si>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</si>
  <si>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</si>
  <si>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</si>
  <si>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</si>
  <si>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</si>
  <si>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</si>
  <si>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</si>
  <si>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</si>
  <si>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</si>
  <si>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</si>
  <si>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</si>
  <si>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</si>
  <si>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</si>
  <si>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</si>
  <si>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</si>
  <si>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</si>
  <si>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</si>
  <si>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</si>
  <si>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</si>
  <si>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</si>
  <si>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</si>
  <si>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</si>
  <si>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</si>
  <si>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</si>
  <si>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</si>
  <si>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</si>
  <si>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</si>
  <si>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</si>
  <si>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</si>
  <si>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</si>
  <si>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</si>
  <si>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</si>
  <si>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</si>
  <si>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</si>
  <si>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</si>
  <si>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</si>
  <si>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</si>
  <si>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</si>
  <si>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</si>
  <si>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</si>
  <si>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</si>
  <si>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</si>
  <si>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</si>
  <si>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</si>
  <si>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</si>
  <si>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</si>
  <si>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</si>
  <si>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</si>
  <si>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</si>
  <si>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</si>
  <si>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</si>
  <si>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</si>
  <si>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</si>
  <si>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</si>
  <si>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</si>
  <si>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</si>
  <si>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BHUD-FOE-02-W</t>
  </si>
  <si>
    <t xml:space="preserve">Power Connect </t>
  </si>
  <si>
    <t>MAN92070</t>
  </si>
  <si>
    <t>Completed on Track</t>
  </si>
  <si>
    <t>Completed</t>
  </si>
  <si>
    <t>Pending  Tillman QC Form</t>
  </si>
  <si>
    <t>BHZD-FOE-03-W</t>
  </si>
  <si>
    <t>Raven</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</si>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</sst>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1" xfId="0" applyFont="1" applyFill="1" applyBorder="1" applyAlignment="1"/>
    <xf numFmtId="0" fontId="7" fillId="0" borderId="50" xfId="0" applyFont="1" applyFill="1" applyBorder="1" applyAlignment="1"/>
    <xf numFmtId="0" fontId="7" fillId="0" borderId="24" xfId="0" applyFont="1" applyFill="1" applyBorder="1" applyAlignment="1"/>
    <xf numFmtId="0" fontId="7" fillId="0" borderId="35" xfId="0" applyFont="1" applyFill="1" applyBorder="1" applyAlignment="1"/>
    <xf numFmtId="0" fontId="32" fillId="0" borderId="35" xfId="0" applyFont="1" applyFill="1" applyBorder="1" applyAlignment="1"/>
    <xf numFmtId="0" fontId="0" fillId="0" borderId="69" xfId="0" applyFont="1" applyBorder="1" applyAlignment="1">
      <alignment horizontal="center"/>
    </xf>
    <xf numFmtId="0" fontId="0" fillId="0" borderId="69" xfId="0" applyFont="1" applyBorder="1"/>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118" xfId="0" applyFont="1" applyBorder="1" applyAlignment="1">
      <alignment horizontal="center"/>
    </xf>
    <xf numFmtId="0" fontId="0" fillId="4" borderId="118" xfId="0" applyFont="1" applyFill="1" applyBorder="1" applyAlignment="1">
      <alignment horizontal="center"/>
    </xf>
    <xf numFmtId="0" fontId="0" fillId="0" borderId="118" xfId="0" applyFont="1" applyBorder="1"/>
    <xf numFmtId="2" fontId="0" fillId="0" borderId="118" xfId="0" applyNumberFormat="1" applyFont="1" applyBorder="1" applyAlignment="1">
      <alignment horizontal="center"/>
    </xf>
    <xf numFmtId="0" fontId="0" fillId="0" borderId="108" xfId="0" applyFont="1" applyBorder="1" applyAlignment="1">
      <alignment horizontal="center"/>
    </xf>
    <xf numFmtId="14" fontId="0" fillId="0" borderId="100" xfId="0" applyNumberFormat="1" applyFont="1" applyBorder="1" applyAlignment="1">
      <alignment horizontal="center"/>
    </xf>
    <xf numFmtId="3" fontId="0" fillId="4" borderId="100" xfId="0" applyNumberFormat="1" applyFont="1" applyFill="1" applyBorder="1" applyAlignment="1">
      <alignment horizontal="center"/>
    </xf>
    <xf numFmtId="9" fontId="0" fillId="0" borderId="100" xfId="1" applyNumberFormat="1" applyFont="1" applyBorder="1" applyAlignment="1">
      <alignment horizontal="center"/>
    </xf>
    <xf numFmtId="0" fontId="30" fillId="0" borderId="100" xfId="0" applyNumberFormat="1" applyFont="1" applyBorder="1" applyAlignment="1">
      <alignment horizontal="center" wrapText="1"/>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146"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5:AD117" totalsRowShown="0" headerRowDxfId="207" tableBorderDxfId="206">
  <autoFilter ref="A75: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SUM(V76-W76)</calculatedColumnFormula>
    </tableColumn>
    <tableColumn id="25" xr3:uid="{379DDEA3-89EB-4099-83E7-3171E0DEAC62}" name="UG Percentage Complete" dataDxfId="181">
      <calculatedColumnFormula>IFERROR($W76/$V76,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2" totalsRowShown="0" headerRowDxfId="175" tableBorderDxfId="174">
  <autoFilter ref="A26:AD72"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83" tableBorderDxfId="82">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69" tableBorderDxfId="68">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7" zoomScale="80" zoomScaleNormal="80" workbookViewId="0">
      <pane xSplit="1" topLeftCell="AC49" activePane="topRight" state="frozen"/>
      <selection pane="topRight" activeCell="AD63" sqref="AD6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1167">
        <v>51</v>
      </c>
      <c r="I17" s="857" t="s">
        <v>55</v>
      </c>
      <c r="J17" s="492" t="s">
        <v>94</v>
      </c>
      <c r="K17" s="1168"/>
      <c r="L17" s="490"/>
      <c r="M17" s="492" t="s">
        <v>57</v>
      </c>
      <c r="N17" s="1169">
        <v>31462.5</v>
      </c>
      <c r="O17" s="492" t="s">
        <v>57</v>
      </c>
      <c r="P17" s="1170" t="s">
        <v>58</v>
      </c>
      <c r="Q17" s="1171"/>
      <c r="R17" s="1171"/>
      <c r="S17" s="1171"/>
      <c r="T17" s="1171"/>
      <c r="U17" s="1171"/>
      <c r="V17" s="1172">
        <v>2390</v>
      </c>
      <c r="W17" s="486"/>
      <c r="X17" s="1173">
        <f>SUM(V17-W17)</f>
        <v>2390</v>
      </c>
      <c r="Y17" s="684">
        <f>IFERROR($W17/$V17, 0)</f>
        <v>0</v>
      </c>
      <c r="Z17" s="1171"/>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1167">
        <v>18</v>
      </c>
      <c r="I23" s="683" t="s">
        <v>55</v>
      </c>
      <c r="J23" s="483" t="s">
        <v>56</v>
      </c>
      <c r="K23" s="1168"/>
      <c r="L23" s="490"/>
      <c r="M23" s="492" t="s">
        <v>57</v>
      </c>
      <c r="N23" s="1169">
        <v>2490.5</v>
      </c>
      <c r="O23" s="492" t="s">
        <v>57</v>
      </c>
      <c r="P23" s="1170" t="s">
        <v>58</v>
      </c>
      <c r="Q23" s="1171"/>
      <c r="R23" s="1171"/>
      <c r="S23" s="1171"/>
      <c r="T23" s="1171"/>
      <c r="U23" s="1171"/>
      <c r="V23" s="1172">
        <v>130</v>
      </c>
      <c r="W23" s="486"/>
      <c r="X23" s="1173">
        <f>SUM(V23-W23)</f>
        <v>130</v>
      </c>
      <c r="Y23" s="684">
        <f>IFERROR($W23/$V23, 0)</f>
        <v>0</v>
      </c>
      <c r="Z23" s="1171"/>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2"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0"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2858</v>
      </c>
      <c r="X39" s="486">
        <f t="shared" si="3"/>
        <v>-7</v>
      </c>
      <c r="Y39" s="684">
        <f t="shared" si="4"/>
        <v>1.0024552788495265</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1183">
        <v>23475.5</v>
      </c>
      <c r="O60" s="483" t="s">
        <v>57</v>
      </c>
      <c r="P60" s="1184" t="s">
        <v>58</v>
      </c>
      <c r="Q60" s="1185"/>
      <c r="R60" s="1185"/>
      <c r="S60" s="1185"/>
      <c r="T60" s="1185"/>
      <c r="U60" s="1185"/>
      <c r="V60" s="430">
        <v>1890</v>
      </c>
      <c r="W60" s="486"/>
      <c r="X60" s="1173">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1183">
        <v>255.05</v>
      </c>
      <c r="O61" s="483" t="s">
        <v>57</v>
      </c>
      <c r="P61" s="1184" t="s">
        <v>58</v>
      </c>
      <c r="Q61" s="1185"/>
      <c r="R61" s="1185"/>
      <c r="S61" s="1185"/>
      <c r="T61" s="1185"/>
      <c r="U61" s="1185"/>
      <c r="V61" s="430">
        <v>3</v>
      </c>
      <c r="W61" s="486"/>
      <c r="X61" s="1173">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5" t="s">
        <v>209</v>
      </c>
      <c r="B71" s="479" t="s">
        <v>114</v>
      </c>
      <c r="C71" s="481">
        <v>45989</v>
      </c>
      <c r="D71" s="481" t="s">
        <v>210</v>
      </c>
      <c r="E71" s="481">
        <v>45958</v>
      </c>
      <c r="F71" s="479" t="s">
        <v>141</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c r="X71" s="486">
        <f t="shared" si="3"/>
        <v>16290</v>
      </c>
      <c r="Y71" s="684">
        <f t="shared" ref="Y71:Y117" si="5">IFERROR($W71/$V71, 0)</f>
        <v>0</v>
      </c>
      <c r="Z71" s="363"/>
      <c r="AA71" s="366">
        <v>0</v>
      </c>
      <c r="AB71" s="366">
        <v>0</v>
      </c>
      <c r="AC71" s="486">
        <v>0</v>
      </c>
      <c r="AD71" s="780" t="s">
        <v>211</v>
      </c>
      <c r="AE71" s="172"/>
      <c r="AF71" s="400"/>
    </row>
    <row r="72" spans="1:32" ht="24.75" customHeight="1">
      <c r="A72" s="905" t="s">
        <v>212</v>
      </c>
      <c r="B72" s="479" t="s">
        <v>114</v>
      </c>
      <c r="C72" s="481">
        <v>46017</v>
      </c>
      <c r="D72" s="481" t="s">
        <v>213</v>
      </c>
      <c r="E72" s="481">
        <v>45936</v>
      </c>
      <c r="F72" s="479" t="s">
        <v>115</v>
      </c>
      <c r="G72" s="482"/>
      <c r="H72" s="483">
        <v>157</v>
      </c>
      <c r="I72" s="683" t="s">
        <v>55</v>
      </c>
      <c r="J72" s="483" t="s">
        <v>56</v>
      </c>
      <c r="K72" s="483"/>
      <c r="L72" s="481">
        <v>45943</v>
      </c>
      <c r="M72" s="483" t="s">
        <v>57</v>
      </c>
      <c r="N72" s="560">
        <v>64059.5</v>
      </c>
      <c r="O72" s="483" t="s">
        <v>57</v>
      </c>
      <c r="P72" s="809" t="s">
        <v>64</v>
      </c>
      <c r="Q72" s="485">
        <v>45943</v>
      </c>
      <c r="R72" s="485"/>
      <c r="S72" s="485"/>
      <c r="T72" s="485"/>
      <c r="U72" s="485"/>
      <c r="V72" s="486">
        <v>5576</v>
      </c>
      <c r="W72" s="1150">
        <v>2310</v>
      </c>
      <c r="X72" s="486">
        <f t="shared" si="3"/>
        <v>3266</v>
      </c>
      <c r="Y72" s="684">
        <f t="shared" si="5"/>
        <v>0.41427546628407458</v>
      </c>
      <c r="Z72" s="493">
        <v>45971</v>
      </c>
      <c r="AA72" s="366">
        <v>0</v>
      </c>
      <c r="AB72" s="366">
        <v>0</v>
      </c>
      <c r="AC72" s="486">
        <v>0</v>
      </c>
      <c r="AD72" s="780" t="s">
        <v>214</v>
      </c>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904" t="s">
        <v>215</v>
      </c>
      <c r="B75" s="847" t="s">
        <v>20</v>
      </c>
      <c r="C75" s="847" t="s">
        <v>21</v>
      </c>
      <c r="D75" s="847" t="s">
        <v>22</v>
      </c>
      <c r="E75" s="847" t="s">
        <v>23</v>
      </c>
      <c r="F75" s="847" t="s">
        <v>24</v>
      </c>
      <c r="G75" s="847" t="s">
        <v>25</v>
      </c>
      <c r="H75" s="847" t="s">
        <v>26</v>
      </c>
      <c r="I75" s="847" t="s">
        <v>27</v>
      </c>
      <c r="J75" s="847" t="s">
        <v>28</v>
      </c>
      <c r="K75" s="847" t="s">
        <v>29</v>
      </c>
      <c r="L75" s="847" t="s">
        <v>30</v>
      </c>
      <c r="M75" s="847" t="s">
        <v>31</v>
      </c>
      <c r="N75" s="848" t="s">
        <v>32</v>
      </c>
      <c r="O75" s="847" t="s">
        <v>33</v>
      </c>
      <c r="P75" s="849" t="s">
        <v>34</v>
      </c>
      <c r="Q75" s="477" t="s">
        <v>35</v>
      </c>
      <c r="R75" s="477" t="s">
        <v>36</v>
      </c>
      <c r="S75" s="477" t="s">
        <v>37</v>
      </c>
      <c r="T75" s="477" t="s">
        <v>38</v>
      </c>
      <c r="U75" s="477" t="s">
        <v>39</v>
      </c>
      <c r="V75" s="477" t="s">
        <v>40</v>
      </c>
      <c r="W75" s="477" t="s">
        <v>41</v>
      </c>
      <c r="X75" s="477" t="s">
        <v>42</v>
      </c>
      <c r="Y75" s="477" t="s">
        <v>43</v>
      </c>
      <c r="Z75" s="477" t="s">
        <v>44</v>
      </c>
      <c r="AA75" s="478" t="s">
        <v>45</v>
      </c>
      <c r="AB75" s="477" t="s">
        <v>46</v>
      </c>
      <c r="AC75" s="477" t="s">
        <v>47</v>
      </c>
      <c r="AD75" s="850" t="s">
        <v>48</v>
      </c>
      <c r="AE75" s="172"/>
      <c r="AF75" s="400"/>
    </row>
    <row r="76" spans="1:32" ht="24.75" customHeight="1">
      <c r="A76" s="905" t="s">
        <v>216</v>
      </c>
      <c r="B76" s="860" t="s">
        <v>217</v>
      </c>
      <c r="C76" s="481">
        <v>45991</v>
      </c>
      <c r="D76" s="481" t="s">
        <v>60</v>
      </c>
      <c r="E76" s="481">
        <v>45966</v>
      </c>
      <c r="F76" s="481" t="s">
        <v>218</v>
      </c>
      <c r="G76" s="704"/>
      <c r="H76" s="483">
        <v>0</v>
      </c>
      <c r="I76" s="683" t="s">
        <v>55</v>
      </c>
      <c r="J76" s="483" t="s">
        <v>63</v>
      </c>
      <c r="K76" s="492"/>
      <c r="L76" s="481"/>
      <c r="M76" s="483" t="s">
        <v>57</v>
      </c>
      <c r="N76" s="560">
        <v>82825</v>
      </c>
      <c r="O76" s="483" t="s">
        <v>57</v>
      </c>
      <c r="P76" s="809" t="s">
        <v>68</v>
      </c>
      <c r="Q76" s="485">
        <v>45965</v>
      </c>
      <c r="R76" s="485"/>
      <c r="S76" s="485"/>
      <c r="T76" s="485"/>
      <c r="U76" s="485"/>
      <c r="V76" s="430">
        <v>6210</v>
      </c>
      <c r="W76" s="430"/>
      <c r="X76" s="486">
        <f t="shared" ref="X76:X117" si="6">SUM(V76-W76)</f>
        <v>6210</v>
      </c>
      <c r="Y76" s="684">
        <f t="shared" si="5"/>
        <v>0</v>
      </c>
      <c r="Z76" s="363"/>
      <c r="AA76" s="366">
        <v>0</v>
      </c>
      <c r="AB76" s="366">
        <v>0</v>
      </c>
      <c r="AC76" s="41">
        <v>0</v>
      </c>
      <c r="AD76" s="780" t="s">
        <v>219</v>
      </c>
      <c r="AE76" s="172"/>
      <c r="AF76" s="400"/>
    </row>
    <row r="77" spans="1:32" ht="24.75" customHeight="1">
      <c r="A77" s="905" t="s">
        <v>220</v>
      </c>
      <c r="B77" s="860" t="s">
        <v>217</v>
      </c>
      <c r="C77" s="481">
        <v>45976</v>
      </c>
      <c r="D77" s="481" t="s">
        <v>60</v>
      </c>
      <c r="E77" s="481">
        <v>45966</v>
      </c>
      <c r="F77" s="481" t="s">
        <v>221</v>
      </c>
      <c r="G77" s="704" t="s">
        <v>222</v>
      </c>
      <c r="H77" s="483">
        <v>7</v>
      </c>
      <c r="I77" s="683" t="s">
        <v>55</v>
      </c>
      <c r="J77" s="483" t="s">
        <v>63</v>
      </c>
      <c r="K77" s="492"/>
      <c r="L77" s="481"/>
      <c r="M77" s="483" t="s">
        <v>57</v>
      </c>
      <c r="N77" s="560">
        <v>34736.85</v>
      </c>
      <c r="O77" s="483" t="s">
        <v>57</v>
      </c>
      <c r="P77" s="809" t="s">
        <v>68</v>
      </c>
      <c r="Q77" s="485">
        <v>45965</v>
      </c>
      <c r="R77" s="485"/>
      <c r="S77" s="485"/>
      <c r="T77" s="485"/>
      <c r="U77" s="485"/>
      <c r="V77" s="430">
        <v>2601</v>
      </c>
      <c r="W77" s="1149">
        <v>1466</v>
      </c>
      <c r="X77" s="486">
        <f t="shared" si="6"/>
        <v>1135</v>
      </c>
      <c r="Y77" s="684">
        <f t="shared" si="5"/>
        <v>0.5636293733179546</v>
      </c>
      <c r="Z77" s="493">
        <v>45973</v>
      </c>
      <c r="AA77" s="366">
        <v>0</v>
      </c>
      <c r="AB77" s="366">
        <v>0</v>
      </c>
      <c r="AC77" s="41">
        <v>2601</v>
      </c>
      <c r="AD77" s="488" t="s">
        <v>223</v>
      </c>
      <c r="AE77" s="172"/>
      <c r="AF77" s="400"/>
    </row>
    <row r="78" spans="1:32" ht="24.75" customHeight="1">
      <c r="A78" s="906" t="s">
        <v>224</v>
      </c>
      <c r="B78" s="860" t="s">
        <v>217</v>
      </c>
      <c r="C78" s="481">
        <v>45991</v>
      </c>
      <c r="D78" s="489"/>
      <c r="E78" s="490">
        <v>45716</v>
      </c>
      <c r="F78" s="489" t="s">
        <v>225</v>
      </c>
      <c r="G78" s="852" t="s">
        <v>226</v>
      </c>
      <c r="H78" s="492">
        <v>0</v>
      </c>
      <c r="I78" s="857" t="s">
        <v>55</v>
      </c>
      <c r="J78" s="492" t="s">
        <v>63</v>
      </c>
      <c r="K78" s="492" t="s">
        <v>227</v>
      </c>
      <c r="L78" s="481">
        <v>45716</v>
      </c>
      <c r="M78" s="492" t="s">
        <v>57</v>
      </c>
      <c r="N78" s="561">
        <v>14013.5</v>
      </c>
      <c r="O78" s="492" t="s">
        <v>57</v>
      </c>
      <c r="P78" s="806" t="s">
        <v>68</v>
      </c>
      <c r="Q78" s="493">
        <v>45721</v>
      </c>
      <c r="R78" s="493"/>
      <c r="S78" s="493"/>
      <c r="T78" s="493"/>
      <c r="U78" s="493"/>
      <c r="V78" s="41">
        <v>150</v>
      </c>
      <c r="W78" s="495"/>
      <c r="X78" s="486">
        <f t="shared" si="6"/>
        <v>150</v>
      </c>
      <c r="Y78" s="684">
        <f t="shared" si="5"/>
        <v>0</v>
      </c>
      <c r="Z78" s="363"/>
      <c r="AA78" s="366">
        <v>0</v>
      </c>
      <c r="AB78" s="366">
        <v>0</v>
      </c>
      <c r="AC78" s="41">
        <v>0</v>
      </c>
      <c r="AD78" s="173" t="s">
        <v>228</v>
      </c>
      <c r="AE78" s="172"/>
      <c r="AF78" s="400"/>
    </row>
    <row r="79" spans="1:32" ht="24.75" customHeight="1">
      <c r="A79" s="905" t="s">
        <v>229</v>
      </c>
      <c r="B79" s="860" t="s">
        <v>217</v>
      </c>
      <c r="C79" s="481">
        <v>45999</v>
      </c>
      <c r="D79" s="489" t="s">
        <v>60</v>
      </c>
      <c r="E79" s="490"/>
      <c r="F79" s="489" t="s">
        <v>230</v>
      </c>
      <c r="G79" s="491" t="s">
        <v>231</v>
      </c>
      <c r="H79" s="492">
        <v>0</v>
      </c>
      <c r="I79" s="683" t="s">
        <v>55</v>
      </c>
      <c r="J79" s="483" t="s">
        <v>63</v>
      </c>
      <c r="K79" s="483"/>
      <c r="L79" s="481"/>
      <c r="M79" s="492" t="s">
        <v>57</v>
      </c>
      <c r="N79" s="561">
        <v>4911.8999999999996</v>
      </c>
      <c r="O79" s="492" t="s">
        <v>57</v>
      </c>
      <c r="P79" s="806" t="s">
        <v>58</v>
      </c>
      <c r="Q79" s="493"/>
      <c r="R79" s="493"/>
      <c r="S79" s="493"/>
      <c r="T79" s="493"/>
      <c r="U79" s="493"/>
      <c r="V79" s="41">
        <v>294</v>
      </c>
      <c r="W79" s="486"/>
      <c r="X79" s="486">
        <f t="shared" si="6"/>
        <v>294</v>
      </c>
      <c r="Y79" s="684">
        <f t="shared" si="5"/>
        <v>0</v>
      </c>
      <c r="Z79" s="363"/>
      <c r="AA79" s="366">
        <v>0</v>
      </c>
      <c r="AB79" s="366">
        <v>0</v>
      </c>
      <c r="AC79" s="41">
        <v>0</v>
      </c>
      <c r="AD79" s="780" t="s">
        <v>232</v>
      </c>
      <c r="AE79" s="172"/>
      <c r="AF79" s="400"/>
    </row>
    <row r="80" spans="1:32" ht="24.75" customHeight="1">
      <c r="A80" s="905" t="s">
        <v>233</v>
      </c>
      <c r="B80" s="860" t="s">
        <v>217</v>
      </c>
      <c r="C80" s="481">
        <v>46006</v>
      </c>
      <c r="D80" s="489"/>
      <c r="E80" s="490"/>
      <c r="F80" s="489"/>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234</v>
      </c>
      <c r="AE80" s="172"/>
      <c r="AF80" s="400"/>
    </row>
    <row r="81" spans="1:56" ht="24.75" customHeight="1">
      <c r="A81" s="905" t="s">
        <v>235</v>
      </c>
      <c r="B81" s="860" t="s">
        <v>217</v>
      </c>
      <c r="C81" s="481">
        <v>46021</v>
      </c>
      <c r="D81" s="481"/>
      <c r="E81" s="481"/>
      <c r="F81" s="481"/>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217</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217</v>
      </c>
      <c r="C83" s="481">
        <v>45989</v>
      </c>
      <c r="D83" s="490" t="s">
        <v>239</v>
      </c>
      <c r="E83" s="490">
        <v>45959</v>
      </c>
      <c r="F83" s="489" t="s">
        <v>230</v>
      </c>
      <c r="G83" s="856" t="s">
        <v>240</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1149">
        <v>2897</v>
      </c>
      <c r="X83" s="486">
        <f t="shared" si="6"/>
        <v>1100</v>
      </c>
      <c r="Y83" s="684">
        <f t="shared" si="5"/>
        <v>0.7247935951963973</v>
      </c>
      <c r="Z83" s="493">
        <v>45960</v>
      </c>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242</v>
      </c>
      <c r="B84" s="860" t="s">
        <v>217</v>
      </c>
      <c r="C84" s="481">
        <v>45989</v>
      </c>
      <c r="D84" s="490" t="s">
        <v>243</v>
      </c>
      <c r="E84" s="490">
        <v>45964</v>
      </c>
      <c r="F84" s="489" t="s">
        <v>225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1558</v>
      </c>
      <c r="X84" s="486">
        <f t="shared" si="6"/>
        <v>2808</v>
      </c>
      <c r="Y84" s="684">
        <f t="shared" si="5"/>
        <v>0.35684837379752632</v>
      </c>
      <c r="Z84" s="493">
        <v>45971</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244</v>
      </c>
      <c r="B85" s="860" t="s">
        <v>217</v>
      </c>
      <c r="C85" s="481">
        <v>45989</v>
      </c>
      <c r="D85" s="490" t="s">
        <v>245</v>
      </c>
      <c r="E85" s="490">
        <v>45964</v>
      </c>
      <c r="F85" s="489" t="s">
        <v>246</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247</v>
      </c>
      <c r="B86" s="860" t="s">
        <v>217</v>
      </c>
      <c r="C86" s="481">
        <v>45989</v>
      </c>
      <c r="D86" s="490" t="s">
        <v>243</v>
      </c>
      <c r="E86" s="490">
        <v>45975</v>
      </c>
      <c r="F86" s="489" t="s">
        <v>225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248</v>
      </c>
      <c r="AE86" s="101"/>
    </row>
    <row r="87" spans="1:56" ht="24.75" customHeight="1">
      <c r="A87" s="906" t="s">
        <v>249</v>
      </c>
      <c r="B87" s="860" t="s">
        <v>217</v>
      </c>
      <c r="C87" s="481">
        <v>46172</v>
      </c>
      <c r="D87" s="490"/>
      <c r="E87" s="490"/>
      <c r="F87" s="489"/>
      <c r="G87" s="986"/>
      <c r="H87" s="492">
        <v>52</v>
      </c>
      <c r="I87" s="857" t="s">
        <v>55</v>
      </c>
      <c r="J87" s="861" t="s">
        <v>63</v>
      </c>
      <c r="K87" s="483" t="s">
        <v>125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250</v>
      </c>
      <c r="AE87" s="101"/>
    </row>
    <row r="88" spans="1:56" ht="24.75" customHeight="1">
      <c r="A88" s="906" t="s">
        <v>251</v>
      </c>
      <c r="B88" s="860" t="s">
        <v>217</v>
      </c>
      <c r="C88" s="481">
        <v>46172</v>
      </c>
      <c r="D88" s="490"/>
      <c r="E88" s="490"/>
      <c r="F88" s="489"/>
      <c r="G88" s="986"/>
      <c r="H88" s="492">
        <v>56</v>
      </c>
      <c r="I88" s="857" t="s">
        <v>55</v>
      </c>
      <c r="J88" s="861" t="s">
        <v>63</v>
      </c>
      <c r="K88" s="483" t="s">
        <v>125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252</v>
      </c>
      <c r="AE88" s="101"/>
    </row>
    <row r="89" spans="1:56" ht="24.75" customHeight="1">
      <c r="A89" s="906" t="s">
        <v>253</v>
      </c>
      <c r="B89" s="860" t="s">
        <v>217</v>
      </c>
      <c r="C89" s="481">
        <v>46172</v>
      </c>
      <c r="D89" s="490"/>
      <c r="E89" s="490"/>
      <c r="F89" s="489"/>
      <c r="G89" s="856"/>
      <c r="H89" s="861">
        <v>70</v>
      </c>
      <c r="I89" s="857" t="s">
        <v>55</v>
      </c>
      <c r="J89" s="861" t="s">
        <v>63</v>
      </c>
      <c r="K89" s="483" t="s">
        <v>125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254</v>
      </c>
      <c r="AE89" s="101"/>
    </row>
    <row r="90" spans="1:56" ht="24.75" customHeight="1">
      <c r="A90" s="906" t="s">
        <v>255</v>
      </c>
      <c r="B90" s="860" t="s">
        <v>217</v>
      </c>
      <c r="C90" s="481">
        <v>46172</v>
      </c>
      <c r="D90" s="490"/>
      <c r="E90" s="490"/>
      <c r="F90" s="489"/>
      <c r="G90" s="986"/>
      <c r="H90" s="492">
        <v>30</v>
      </c>
      <c r="I90" s="857" t="s">
        <v>55</v>
      </c>
      <c r="J90" s="861" t="s">
        <v>63</v>
      </c>
      <c r="K90" s="483" t="s">
        <v>125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256</v>
      </c>
      <c r="AE90" s="101"/>
    </row>
    <row r="91" spans="1:56" ht="24.75" customHeight="1">
      <c r="A91" s="906" t="s">
        <v>257</v>
      </c>
      <c r="B91" s="860" t="s">
        <v>217</v>
      </c>
      <c r="C91" s="481">
        <v>46172</v>
      </c>
      <c r="D91" s="490"/>
      <c r="E91" s="490"/>
      <c r="F91" s="489"/>
      <c r="G91" s="856"/>
      <c r="H91" s="861">
        <v>48</v>
      </c>
      <c r="I91" s="857" t="s">
        <v>55</v>
      </c>
      <c r="J91" s="861" t="s">
        <v>63</v>
      </c>
      <c r="K91" s="483" t="s">
        <v>125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258</v>
      </c>
      <c r="AE91" s="101"/>
    </row>
    <row r="92" spans="1:56" ht="24.75" customHeight="1">
      <c r="A92" s="906" t="s">
        <v>259</v>
      </c>
      <c r="B92" s="860" t="s">
        <v>217</v>
      </c>
      <c r="C92" s="481">
        <v>46172</v>
      </c>
      <c r="D92" s="490"/>
      <c r="E92" s="490"/>
      <c r="F92" s="489"/>
      <c r="G92" s="856"/>
      <c r="H92" s="861">
        <v>60</v>
      </c>
      <c r="I92" s="857" t="s">
        <v>55</v>
      </c>
      <c r="J92" s="861" t="s">
        <v>63</v>
      </c>
      <c r="K92" s="483" t="s">
        <v>125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258</v>
      </c>
      <c r="AE92" s="101"/>
    </row>
    <row r="93" spans="1:56" ht="24.75" customHeight="1">
      <c r="A93" s="906" t="s">
        <v>260</v>
      </c>
      <c r="B93" s="860" t="s">
        <v>217</v>
      </c>
      <c r="C93" s="481">
        <v>46172</v>
      </c>
      <c r="D93" s="490"/>
      <c r="E93" s="490"/>
      <c r="F93" s="489"/>
      <c r="G93" s="856"/>
      <c r="H93" s="861">
        <v>72</v>
      </c>
      <c r="I93" s="857" t="s">
        <v>55</v>
      </c>
      <c r="J93" s="861" t="s">
        <v>63</v>
      </c>
      <c r="K93" s="483" t="s">
        <v>125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258</v>
      </c>
      <c r="AE93" s="101"/>
    </row>
    <row r="94" spans="1:56" ht="24.75" customHeight="1">
      <c r="A94" s="906" t="s">
        <v>261</v>
      </c>
      <c r="B94" s="860" t="s">
        <v>217</v>
      </c>
      <c r="C94" s="481">
        <v>46172</v>
      </c>
      <c r="D94" s="490"/>
      <c r="E94" s="490"/>
      <c r="F94" s="489"/>
      <c r="G94" s="986"/>
      <c r="H94" s="492">
        <v>20</v>
      </c>
      <c r="I94" s="857" t="s">
        <v>55</v>
      </c>
      <c r="J94" s="861" t="s">
        <v>63</v>
      </c>
      <c r="K94" s="483" t="s">
        <v>125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252</v>
      </c>
      <c r="AE94" s="101"/>
    </row>
    <row r="95" spans="1:56" ht="24.75" customHeight="1">
      <c r="A95" s="906" t="s">
        <v>262</v>
      </c>
      <c r="B95" s="860" t="s">
        <v>217</v>
      </c>
      <c r="C95" s="481">
        <v>46111</v>
      </c>
      <c r="D95" s="490"/>
      <c r="E95" s="490"/>
      <c r="F95" s="489"/>
      <c r="G95" s="856"/>
      <c r="H95" s="492">
        <v>0</v>
      </c>
      <c r="I95" s="483" t="s">
        <v>55</v>
      </c>
      <c r="J95" s="483" t="s">
        <v>94</v>
      </c>
      <c r="K95" s="483" t="s">
        <v>116</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263</v>
      </c>
      <c r="AE95" s="101"/>
    </row>
    <row r="96" spans="1:56" ht="24.75" customHeight="1">
      <c r="A96" s="905" t="s">
        <v>264</v>
      </c>
      <c r="B96" s="860" t="s">
        <v>217</v>
      </c>
      <c r="C96" s="481">
        <v>46111</v>
      </c>
      <c r="D96" s="490"/>
      <c r="E96" s="490"/>
      <c r="F96" s="489"/>
      <c r="G96" s="986"/>
      <c r="H96" s="492">
        <v>20</v>
      </c>
      <c r="I96" s="857" t="s">
        <v>55</v>
      </c>
      <c r="J96" s="861" t="s">
        <v>63</v>
      </c>
      <c r="K96" s="483"/>
      <c r="L96" s="490"/>
      <c r="M96" s="492" t="s">
        <v>57</v>
      </c>
      <c r="N96" s="561">
        <v>1733.25</v>
      </c>
      <c r="O96" s="492" t="s">
        <v>57</v>
      </c>
      <c r="P96" s="806" t="s">
        <v>58</v>
      </c>
      <c r="Q96" s="493"/>
      <c r="R96" s="493"/>
      <c r="S96" s="493"/>
      <c r="T96" s="493"/>
      <c r="U96" s="493"/>
      <c r="V96" s="41">
        <v>255</v>
      </c>
      <c r="W96" s="486"/>
      <c r="X96" s="486">
        <f>SUM(V96-W96)</f>
        <v>255</v>
      </c>
      <c r="Y96" s="684">
        <f>IFERROR($W96/$V96, 0)</f>
        <v>0</v>
      </c>
      <c r="Z96" s="363"/>
      <c r="AA96" s="366">
        <v>0</v>
      </c>
      <c r="AB96" s="366">
        <v>0</v>
      </c>
      <c r="AC96" s="664">
        <v>0</v>
      </c>
      <c r="AD96" s="1076" t="s">
        <v>265</v>
      </c>
      <c r="AE96" s="101"/>
    </row>
    <row r="97" spans="1:31" ht="24.75" customHeight="1">
      <c r="A97" s="905" t="s">
        <v>266</v>
      </c>
      <c r="B97" s="860" t="s">
        <v>217</v>
      </c>
      <c r="C97" s="481">
        <v>46111</v>
      </c>
      <c r="D97" s="489"/>
      <c r="E97" s="490"/>
      <c r="F97" s="489"/>
      <c r="G97" s="491"/>
      <c r="H97" s="492">
        <v>0</v>
      </c>
      <c r="I97" s="857" t="s">
        <v>55</v>
      </c>
      <c r="J97" s="492" t="s">
        <v>63</v>
      </c>
      <c r="K97" s="483"/>
      <c r="L97" s="490"/>
      <c r="M97" s="492" t="s">
        <v>57</v>
      </c>
      <c r="N97" s="561">
        <v>3995.4</v>
      </c>
      <c r="O97" s="492" t="s">
        <v>57</v>
      </c>
      <c r="P97" s="806" t="s">
        <v>58</v>
      </c>
      <c r="Q97" s="493"/>
      <c r="R97" s="493"/>
      <c r="S97" s="493"/>
      <c r="T97" s="493"/>
      <c r="U97" s="493"/>
      <c r="V97" s="41">
        <v>294</v>
      </c>
      <c r="W97" s="486"/>
      <c r="X97" s="486">
        <f t="shared" si="6"/>
        <v>294</v>
      </c>
      <c r="Y97" s="684">
        <f t="shared" si="5"/>
        <v>0</v>
      </c>
      <c r="Z97" s="363"/>
      <c r="AA97" s="366">
        <v>0</v>
      </c>
      <c r="AB97" s="366">
        <v>0</v>
      </c>
      <c r="AC97" s="41">
        <v>0</v>
      </c>
      <c r="AD97" s="780" t="s">
        <v>267</v>
      </c>
      <c r="AE97" s="101"/>
    </row>
    <row r="98" spans="1:31" ht="24.75" customHeight="1">
      <c r="A98" s="905" t="s">
        <v>268</v>
      </c>
      <c r="B98" s="860" t="s">
        <v>217</v>
      </c>
      <c r="C98" s="481">
        <v>46040</v>
      </c>
      <c r="D98" s="489"/>
      <c r="E98" s="490"/>
      <c r="F98" s="489"/>
      <c r="G98" s="491"/>
      <c r="H98" s="492">
        <v>0</v>
      </c>
      <c r="I98" s="857" t="s">
        <v>55</v>
      </c>
      <c r="J98" s="492" t="s">
        <v>63</v>
      </c>
      <c r="K98" s="483"/>
      <c r="L98" s="490"/>
      <c r="M98" s="492" t="s">
        <v>57</v>
      </c>
      <c r="N98" s="561">
        <v>18171.599999999999</v>
      </c>
      <c r="O98" s="492" t="s">
        <v>57</v>
      </c>
      <c r="P98" s="806" t="s">
        <v>58</v>
      </c>
      <c r="Q98" s="493"/>
      <c r="R98" s="493"/>
      <c r="S98" s="493"/>
      <c r="T98" s="493"/>
      <c r="U98" s="493"/>
      <c r="V98" s="41">
        <v>1514</v>
      </c>
      <c r="W98" s="486"/>
      <c r="X98" s="486">
        <f>SUM(V98-W98)</f>
        <v>1514</v>
      </c>
      <c r="Y98" s="684">
        <f>IFERROR($W98/$V98, 0)</f>
        <v>0</v>
      </c>
      <c r="Z98" s="363"/>
      <c r="AA98" s="366">
        <v>0</v>
      </c>
      <c r="AB98" s="366">
        <v>0</v>
      </c>
      <c r="AC98" s="41">
        <v>0</v>
      </c>
      <c r="AD98" s="780" t="s">
        <v>269</v>
      </c>
      <c r="AE98" s="101"/>
    </row>
    <row r="99" spans="1:31" ht="24.75" customHeight="1">
      <c r="A99" s="905" t="s">
        <v>270</v>
      </c>
      <c r="B99" s="860" t="s">
        <v>217</v>
      </c>
      <c r="C99" s="481">
        <v>46002</v>
      </c>
      <c r="D99" s="489"/>
      <c r="E99" s="490"/>
      <c r="F99" s="489"/>
      <c r="G99" s="491"/>
      <c r="H99" s="492">
        <v>0</v>
      </c>
      <c r="I99" s="857" t="s">
        <v>55</v>
      </c>
      <c r="J99" s="492" t="s">
        <v>63</v>
      </c>
      <c r="K99" s="483"/>
      <c r="L99" s="490"/>
      <c r="M99" s="492" t="s">
        <v>57</v>
      </c>
      <c r="N99" s="561">
        <v>1675.2</v>
      </c>
      <c r="O99" s="492" t="s">
        <v>57</v>
      </c>
      <c r="P99" s="806" t="s">
        <v>58</v>
      </c>
      <c r="Q99" s="493"/>
      <c r="R99" s="493"/>
      <c r="S99" s="493"/>
      <c r="T99" s="493"/>
      <c r="U99" s="493"/>
      <c r="V99" s="41">
        <v>123</v>
      </c>
      <c r="W99" s="486"/>
      <c r="X99" s="486">
        <f t="shared" si="6"/>
        <v>123</v>
      </c>
      <c r="Y99" s="684">
        <f t="shared" si="5"/>
        <v>0</v>
      </c>
      <c r="Z99" s="363"/>
      <c r="AA99" s="366">
        <v>0</v>
      </c>
      <c r="AB99" s="366">
        <v>0</v>
      </c>
      <c r="AC99" s="41">
        <v>0</v>
      </c>
      <c r="AD99" s="780" t="s">
        <v>271</v>
      </c>
      <c r="AE99" s="101"/>
    </row>
    <row r="100" spans="1:31" ht="24.75" customHeight="1">
      <c r="A100" s="905" t="s">
        <v>272</v>
      </c>
      <c r="B100" s="860" t="s">
        <v>217</v>
      </c>
      <c r="C100" s="481">
        <v>46009</v>
      </c>
      <c r="D100" s="489"/>
      <c r="E100" s="490"/>
      <c r="F100" s="489"/>
      <c r="G100" s="491"/>
      <c r="H100" s="492">
        <v>0</v>
      </c>
      <c r="I100" s="857" t="s">
        <v>55</v>
      </c>
      <c r="J100" s="492" t="s">
        <v>63</v>
      </c>
      <c r="K100" s="483"/>
      <c r="L100" s="490"/>
      <c r="M100" s="492" t="s">
        <v>57</v>
      </c>
      <c r="N100" s="561">
        <v>105558.2</v>
      </c>
      <c r="O100" s="492" t="s">
        <v>57</v>
      </c>
      <c r="P100" s="806" t="s">
        <v>58</v>
      </c>
      <c r="Q100" s="493"/>
      <c r="R100" s="493"/>
      <c r="S100" s="493"/>
      <c r="T100" s="493"/>
      <c r="U100" s="493"/>
      <c r="V100" s="41">
        <v>7753</v>
      </c>
      <c r="W100" s="486"/>
      <c r="X100" s="486">
        <f>SUM(V100-W100)</f>
        <v>7753</v>
      </c>
      <c r="Y100" s="684">
        <f>IFERROR($W100/$V100, 0)</f>
        <v>0</v>
      </c>
      <c r="Z100" s="363"/>
      <c r="AA100" s="366">
        <v>0</v>
      </c>
      <c r="AB100" s="366">
        <v>0</v>
      </c>
      <c r="AC100" s="41">
        <v>0</v>
      </c>
      <c r="AD100" s="488" t="s">
        <v>273</v>
      </c>
      <c r="AE100" s="101"/>
    </row>
    <row r="101" spans="1:31" ht="24.75" customHeight="1">
      <c r="A101" s="905" t="s">
        <v>274</v>
      </c>
      <c r="B101" s="860" t="s">
        <v>217</v>
      </c>
      <c r="C101" s="481">
        <v>45960</v>
      </c>
      <c r="D101" s="489" t="s">
        <v>60</v>
      </c>
      <c r="E101" s="490">
        <v>45867</v>
      </c>
      <c r="F101" s="489" t="s">
        <v>221</v>
      </c>
      <c r="G101" s="852" t="s">
        <v>275</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486">
        <v>2733</v>
      </c>
      <c r="X101" s="486">
        <f t="shared" si="6"/>
        <v>2092</v>
      </c>
      <c r="Y101" s="684">
        <f t="shared" si="5"/>
        <v>0.56642487046632128</v>
      </c>
      <c r="Z101" s="493">
        <v>45884</v>
      </c>
      <c r="AA101" s="366">
        <v>0</v>
      </c>
      <c r="AB101" s="366">
        <v>0</v>
      </c>
      <c r="AC101" s="41">
        <v>0</v>
      </c>
      <c r="AD101" s="488"/>
      <c r="AE101" s="101"/>
    </row>
    <row r="102" spans="1:31" ht="24.75" customHeight="1">
      <c r="A102" s="906" t="s">
        <v>276</v>
      </c>
      <c r="B102" s="860" t="s">
        <v>217</v>
      </c>
      <c r="C102" s="481">
        <v>45960</v>
      </c>
      <c r="D102" s="489" t="s">
        <v>245</v>
      </c>
      <c r="E102" s="490">
        <v>45923</v>
      </c>
      <c r="F102" s="489" t="s">
        <v>246</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277</v>
      </c>
      <c r="AE102" s="101"/>
    </row>
    <row r="103" spans="1:31" ht="24.75" customHeight="1">
      <c r="A103" s="905" t="s">
        <v>278</v>
      </c>
      <c r="B103" s="860" t="s">
        <v>217</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279</v>
      </c>
      <c r="B104" s="860" t="s">
        <v>217</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250</v>
      </c>
      <c r="AE104" s="101"/>
    </row>
    <row r="105" spans="1:31" ht="24.75" customHeight="1">
      <c r="A105" s="905" t="s">
        <v>280</v>
      </c>
      <c r="B105" s="508" t="s">
        <v>281</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282</v>
      </c>
      <c r="AE105" s="101"/>
    </row>
    <row r="106" spans="1:31" ht="24.75" customHeight="1">
      <c r="A106" s="906" t="s">
        <v>283</v>
      </c>
      <c r="B106" s="508" t="s">
        <v>281</v>
      </c>
      <c r="C106" s="481">
        <v>46053</v>
      </c>
      <c r="D106" s="489"/>
      <c r="E106" s="490"/>
      <c r="F106" s="489"/>
      <c r="G106" s="491"/>
      <c r="H106" s="492">
        <v>30</v>
      </c>
      <c r="I106" s="857" t="s">
        <v>55</v>
      </c>
      <c r="J106" s="861" t="s">
        <v>63</v>
      </c>
      <c r="K106" s="483" t="s">
        <v>125</v>
      </c>
      <c r="L106" s="490"/>
      <c r="M106" s="492" t="s">
        <v>95</v>
      </c>
      <c r="N106" s="561"/>
      <c r="O106" s="492" t="s">
        <v>95</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284</v>
      </c>
      <c r="B107" s="508" t="s">
        <v>281</v>
      </c>
      <c r="C107" s="481">
        <v>46053</v>
      </c>
      <c r="D107" s="489" t="s">
        <v>245</v>
      </c>
      <c r="E107" s="490">
        <v>45975</v>
      </c>
      <c r="F107" s="489" t="s">
        <v>225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285</v>
      </c>
      <c r="AE107" s="101"/>
    </row>
    <row r="108" spans="1:31" ht="24.75" customHeight="1">
      <c r="A108" s="905" t="s">
        <v>286</v>
      </c>
      <c r="B108" s="508" t="s">
        <v>281</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287</v>
      </c>
      <c r="AE108" s="101"/>
    </row>
    <row r="109" spans="1:31" ht="24.75" customHeight="1">
      <c r="A109" s="905" t="s">
        <v>288</v>
      </c>
      <c r="B109" s="508" t="s">
        <v>281</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289</v>
      </c>
      <c r="AE109" s="101"/>
    </row>
    <row r="110" spans="1:31" ht="24.75" customHeight="1">
      <c r="A110" s="905" t="s">
        <v>290</v>
      </c>
      <c r="B110" s="508" t="s">
        <v>281</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289</v>
      </c>
      <c r="AE110" s="101"/>
    </row>
    <row r="111" spans="1:31" ht="24.75" customHeight="1">
      <c r="A111" s="905" t="s">
        <v>291</v>
      </c>
      <c r="B111" s="508" t="s">
        <v>281</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282</v>
      </c>
      <c r="AE111" s="101"/>
    </row>
    <row r="112" spans="1:31" ht="24.75" customHeight="1">
      <c r="A112" s="905" t="s">
        <v>292</v>
      </c>
      <c r="B112" s="508" t="s">
        <v>281</v>
      </c>
      <c r="C112" s="481">
        <v>46053</v>
      </c>
      <c r="D112" s="489" t="s">
        <v>245</v>
      </c>
      <c r="E112" s="490">
        <v>45964</v>
      </c>
      <c r="F112" s="489" t="s">
        <v>225</v>
      </c>
      <c r="G112" s="491"/>
      <c r="H112" s="492">
        <v>82</v>
      </c>
      <c r="I112" s="857" t="s">
        <v>55</v>
      </c>
      <c r="J112" s="492" t="s">
        <v>63</v>
      </c>
      <c r="K112" s="483"/>
      <c r="L112" s="490"/>
      <c r="M112" s="492" t="s">
        <v>57</v>
      </c>
      <c r="N112" s="561">
        <v>101871</v>
      </c>
      <c r="O112" s="492" t="s">
        <v>57</v>
      </c>
      <c r="P112" s="806" t="s">
        <v>58</v>
      </c>
      <c r="Q112" s="493">
        <v>45965</v>
      </c>
      <c r="R112" s="493"/>
      <c r="S112" s="493"/>
      <c r="T112" s="493"/>
      <c r="U112" s="493"/>
      <c r="V112" s="41">
        <v>8100</v>
      </c>
      <c r="W112" s="1150">
        <v>6523</v>
      </c>
      <c r="X112" s="486">
        <f t="shared" si="6"/>
        <v>1577</v>
      </c>
      <c r="Y112" s="684">
        <f t="shared" si="5"/>
        <v>0.8053086419753086</v>
      </c>
      <c r="Z112" s="493">
        <v>45973</v>
      </c>
      <c r="AA112" s="366">
        <v>0</v>
      </c>
      <c r="AB112" s="366">
        <v>0</v>
      </c>
      <c r="AC112" s="41">
        <v>0</v>
      </c>
      <c r="AD112" s="780" t="s">
        <v>282</v>
      </c>
      <c r="AE112" s="101"/>
    </row>
    <row r="113" spans="1:31" ht="24.75" customHeight="1">
      <c r="A113" s="906" t="s">
        <v>293</v>
      </c>
      <c r="B113" s="508" t="s">
        <v>281</v>
      </c>
      <c r="C113" s="481">
        <v>46053</v>
      </c>
      <c r="D113" s="489"/>
      <c r="E113" s="490"/>
      <c r="F113" s="489"/>
      <c r="G113" s="491"/>
      <c r="H113" s="492">
        <v>86</v>
      </c>
      <c r="I113" s="857" t="s">
        <v>55</v>
      </c>
      <c r="J113" s="861" t="s">
        <v>63</v>
      </c>
      <c r="K113" s="483" t="s">
        <v>125</v>
      </c>
      <c r="L113" s="490"/>
      <c r="M113" s="492" t="s">
        <v>95</v>
      </c>
      <c r="N113" s="561"/>
      <c r="O113" s="492" t="s">
        <v>95</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294</v>
      </c>
      <c r="B114" s="508" t="s">
        <v>281</v>
      </c>
      <c r="C114" s="481">
        <v>46053</v>
      </c>
      <c r="D114" s="489" t="s">
        <v>245</v>
      </c>
      <c r="E114" s="490">
        <v>45974</v>
      </c>
      <c r="F114" s="489" t="s">
        <v>225</v>
      </c>
      <c r="G114" s="491"/>
      <c r="H114" s="492">
        <v>77</v>
      </c>
      <c r="I114" s="857" t="s">
        <v>55</v>
      </c>
      <c r="J114" s="492" t="s">
        <v>63</v>
      </c>
      <c r="K114" s="483"/>
      <c r="L114" s="490"/>
      <c r="M114" s="492" t="s">
        <v>57</v>
      </c>
      <c r="N114" s="561">
        <v>90786</v>
      </c>
      <c r="O114" s="492" t="s">
        <v>57</v>
      </c>
      <c r="P114" s="806" t="s">
        <v>58</v>
      </c>
      <c r="Q114" s="493">
        <v>45965</v>
      </c>
      <c r="R114" s="493"/>
      <c r="S114" s="493"/>
      <c r="T114" s="493"/>
      <c r="U114" s="493"/>
      <c r="V114" s="41">
        <v>8013</v>
      </c>
      <c r="W114" s="486"/>
      <c r="X114" s="486">
        <f t="shared" si="6"/>
        <v>8013</v>
      </c>
      <c r="Y114" s="684">
        <f t="shared" si="5"/>
        <v>0</v>
      </c>
      <c r="Z114" s="363"/>
      <c r="AA114" s="366">
        <v>0</v>
      </c>
      <c r="AB114" s="366">
        <v>0</v>
      </c>
      <c r="AC114" s="41">
        <v>0</v>
      </c>
      <c r="AD114" s="780" t="s">
        <v>282</v>
      </c>
      <c r="AE114" s="101"/>
    </row>
    <row r="115" spans="1:31" ht="24.75" customHeight="1">
      <c r="A115" s="905" t="s">
        <v>295</v>
      </c>
      <c r="B115" s="508" t="s">
        <v>281</v>
      </c>
      <c r="C115" s="481">
        <v>46053</v>
      </c>
      <c r="D115" s="489" t="s">
        <v>239</v>
      </c>
      <c r="E115" s="490">
        <v>45975</v>
      </c>
      <c r="F115" s="489" t="s">
        <v>230</v>
      </c>
      <c r="G115" s="491"/>
      <c r="H115" s="492">
        <v>75</v>
      </c>
      <c r="I115" s="857" t="s">
        <v>55</v>
      </c>
      <c r="J115" s="492" t="s">
        <v>63</v>
      </c>
      <c r="K115" s="483"/>
      <c r="L115" s="490"/>
      <c r="M115" s="492" t="s">
        <v>57</v>
      </c>
      <c r="N115" s="561">
        <v>82330</v>
      </c>
      <c r="O115" s="492" t="s">
        <v>57</v>
      </c>
      <c r="P115" s="806" t="s">
        <v>58</v>
      </c>
      <c r="Q115" s="493">
        <v>45965</v>
      </c>
      <c r="R115" s="493"/>
      <c r="S115" s="493"/>
      <c r="T115" s="493"/>
      <c r="U115" s="493"/>
      <c r="V115" s="41">
        <v>7126</v>
      </c>
      <c r="W115" s="486"/>
      <c r="X115" s="486">
        <f t="shared" si="6"/>
        <v>7126</v>
      </c>
      <c r="Y115" s="684">
        <f t="shared" si="5"/>
        <v>0</v>
      </c>
      <c r="Z115" s="363"/>
      <c r="AA115" s="366">
        <v>0</v>
      </c>
      <c r="AB115" s="366">
        <v>0</v>
      </c>
      <c r="AC115" s="41">
        <v>0</v>
      </c>
      <c r="AD115" s="780" t="s">
        <v>282</v>
      </c>
      <c r="AE115" s="101"/>
    </row>
    <row r="116" spans="1:31" ht="24.75" customHeight="1">
      <c r="A116" s="905" t="s">
        <v>296</v>
      </c>
      <c r="B116" s="508" t="s">
        <v>281</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282</v>
      </c>
      <c r="AE116" s="101"/>
    </row>
    <row r="117" spans="1:31" ht="24.75" customHeight="1">
      <c r="A117" s="1053" t="s">
        <v>297</v>
      </c>
      <c r="B117" s="1048" t="s">
        <v>281</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282</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298</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299</v>
      </c>
      <c r="B121" s="464" t="s">
        <v>300</v>
      </c>
      <c r="C121" s="386">
        <v>46045</v>
      </c>
      <c r="D121" s="1032" t="s">
        <v>140</v>
      </c>
      <c r="E121" s="386"/>
      <c r="F121" s="385" t="s">
        <v>301</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302</v>
      </c>
      <c r="AE121" s="400"/>
    </row>
    <row r="122" spans="1:31" ht="24.75" customHeight="1">
      <c r="A122" s="1077" t="s">
        <v>303</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304</v>
      </c>
      <c r="AE122" s="400"/>
    </row>
    <row r="123" spans="1:31" ht="24.75" customHeight="1">
      <c r="A123" s="1077" t="s">
        <v>305</v>
      </c>
      <c r="B123" s="464" t="s">
        <v>300</v>
      </c>
      <c r="C123" s="386">
        <v>46045</v>
      </c>
      <c r="D123" s="1032" t="s">
        <v>140</v>
      </c>
      <c r="E123" s="386">
        <v>45959</v>
      </c>
      <c r="F123" s="385" t="s">
        <v>301</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306</v>
      </c>
      <c r="AE123" s="400"/>
    </row>
    <row r="124" spans="1:31" ht="24.75" customHeight="1">
      <c r="A124" s="1077" t="s">
        <v>307</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308</v>
      </c>
      <c r="AE124" s="400"/>
    </row>
    <row r="125" spans="1:31" ht="24.75" customHeight="1">
      <c r="A125" s="1077" t="s">
        <v>309</v>
      </c>
      <c r="B125" s="464" t="s">
        <v>300</v>
      </c>
      <c r="C125" s="386">
        <v>46045</v>
      </c>
      <c r="D125" s="1032" t="s">
        <v>140</v>
      </c>
      <c r="E125" s="386">
        <v>45959</v>
      </c>
      <c r="F125" s="385" t="s">
        <v>301</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310</v>
      </c>
      <c r="AE125" s="400"/>
    </row>
    <row r="126" spans="1:31" ht="24.75" customHeight="1">
      <c r="A126" s="1077" t="s">
        <v>311</v>
      </c>
      <c r="B126" s="464" t="s">
        <v>300</v>
      </c>
      <c r="C126" s="386">
        <v>46045</v>
      </c>
      <c r="D126" s="1032" t="s">
        <v>140</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302</v>
      </c>
      <c r="AE126" s="400"/>
    </row>
    <row r="127" spans="1:31" ht="24.75" customHeight="1">
      <c r="A127" s="1077" t="s">
        <v>312</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313</v>
      </c>
      <c r="AE127" s="400"/>
    </row>
    <row r="128" spans="1:31" ht="24.75" customHeight="1">
      <c r="A128" s="1077" t="s">
        <v>314</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302</v>
      </c>
      <c r="AE128" s="400"/>
    </row>
    <row r="129" spans="1:31" ht="24.75" customHeight="1">
      <c r="A129" s="1077" t="s">
        <v>315</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302</v>
      </c>
      <c r="AE129" s="400"/>
    </row>
    <row r="130" spans="1:31" ht="24.75" customHeight="1">
      <c r="A130" s="1077" t="s">
        <v>316</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302</v>
      </c>
      <c r="AE130" s="400"/>
    </row>
    <row r="131" spans="1:31" ht="24.75" customHeight="1">
      <c r="A131" s="1077" t="s">
        <v>317</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302</v>
      </c>
      <c r="AE131" s="400"/>
    </row>
    <row r="132" spans="1:31" ht="24.75" customHeight="1">
      <c r="A132" s="1077" t="s">
        <v>318</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302</v>
      </c>
      <c r="AE132" s="400"/>
    </row>
    <row r="133" spans="1:31" ht="24.75" customHeight="1">
      <c r="A133" s="1077" t="s">
        <v>319</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302</v>
      </c>
      <c r="AE133" s="400"/>
    </row>
    <row r="134" spans="1:31" ht="24.75" customHeight="1">
      <c r="A134" s="1055" t="s">
        <v>320</v>
      </c>
      <c r="B134" s="464" t="s">
        <v>300</v>
      </c>
      <c r="C134" s="386">
        <v>46045</v>
      </c>
      <c r="D134" s="1032" t="s">
        <v>140</v>
      </c>
      <c r="E134" s="386">
        <v>45959</v>
      </c>
      <c r="F134" s="385" t="s">
        <v>133</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07">
        <v>2545</v>
      </c>
      <c r="X134" s="486">
        <f t="shared" ref="X134:X150" si="9">SUM(V134-W134)</f>
        <v>4390</v>
      </c>
      <c r="Y134" s="893">
        <f t="shared" ref="Y134:Y150" si="10">IFERROR($W134/$V134, 0)</f>
        <v>0.36697909156452774</v>
      </c>
      <c r="Z134" s="125">
        <v>45973</v>
      </c>
      <c r="AA134" s="619">
        <v>0</v>
      </c>
      <c r="AB134" s="619">
        <v>0</v>
      </c>
      <c r="AC134" s="1038">
        <v>0</v>
      </c>
      <c r="AD134" s="450" t="s">
        <v>321</v>
      </c>
      <c r="AE134" s="400"/>
    </row>
    <row r="135" spans="1:31" ht="24.75" customHeight="1">
      <c r="A135" s="1055" t="s">
        <v>322</v>
      </c>
      <c r="B135" s="464" t="s">
        <v>300</v>
      </c>
      <c r="C135" s="386">
        <v>46045</v>
      </c>
      <c r="D135" s="1032" t="s">
        <v>140</v>
      </c>
      <c r="E135" s="386">
        <v>45959</v>
      </c>
      <c r="F135" s="385" t="s">
        <v>133</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323</v>
      </c>
      <c r="AE135" s="400"/>
    </row>
    <row r="136" spans="1:31" ht="24.75" customHeight="1">
      <c r="A136" s="1055" t="s">
        <v>324</v>
      </c>
      <c r="B136" s="464" t="s">
        <v>300</v>
      </c>
      <c r="C136" s="386">
        <v>46045</v>
      </c>
      <c r="D136" s="1032" t="s">
        <v>140</v>
      </c>
      <c r="E136" s="386">
        <v>45959</v>
      </c>
      <c r="F136" s="385" t="s">
        <v>133</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323</v>
      </c>
      <c r="AE136" s="400"/>
    </row>
    <row r="137" spans="1:31" ht="24.75" customHeight="1">
      <c r="A137" s="1055" t="s">
        <v>325</v>
      </c>
      <c r="B137" s="464" t="s">
        <v>300</v>
      </c>
      <c r="C137" s="386">
        <v>46045</v>
      </c>
      <c r="D137" s="1032" t="s">
        <v>140</v>
      </c>
      <c r="E137" s="386">
        <v>45959</v>
      </c>
      <c r="F137" s="385" t="s">
        <v>133</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157">
        <v>45968</v>
      </c>
      <c r="AA137" s="619">
        <v>0</v>
      </c>
      <c r="AB137" s="619">
        <v>0</v>
      </c>
      <c r="AC137" s="1038">
        <v>0</v>
      </c>
      <c r="AD137" s="450" t="s">
        <v>326</v>
      </c>
      <c r="AE137" s="400"/>
    </row>
    <row r="138" spans="1:31" ht="24.75" customHeight="1">
      <c r="A138" s="1055" t="s">
        <v>327</v>
      </c>
      <c r="B138" s="464" t="s">
        <v>300</v>
      </c>
      <c r="C138" s="386">
        <v>46045</v>
      </c>
      <c r="D138" s="1032" t="s">
        <v>140</v>
      </c>
      <c r="E138" s="386">
        <v>45959</v>
      </c>
      <c r="F138" s="385" t="s">
        <v>133</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c r="X138" s="486">
        <f t="shared" si="9"/>
        <v>7782</v>
      </c>
      <c r="Y138" s="903">
        <f t="shared" si="10"/>
        <v>0</v>
      </c>
      <c r="Z138" s="55"/>
      <c r="AA138" s="619">
        <v>0</v>
      </c>
      <c r="AB138" s="619">
        <v>0</v>
      </c>
      <c r="AC138" s="1038">
        <v>0</v>
      </c>
      <c r="AD138" s="450" t="s">
        <v>328</v>
      </c>
      <c r="AE138" s="400"/>
    </row>
    <row r="139" spans="1:31" ht="24.75" customHeight="1">
      <c r="A139" s="1055" t="s">
        <v>329</v>
      </c>
      <c r="B139" s="464" t="s">
        <v>300</v>
      </c>
      <c r="C139" s="386">
        <v>46045</v>
      </c>
      <c r="D139" s="1032" t="s">
        <v>140</v>
      </c>
      <c r="E139" s="386">
        <v>45959</v>
      </c>
      <c r="F139" s="385" t="s">
        <v>133</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330</v>
      </c>
      <c r="AE139" s="400"/>
    </row>
    <row r="140" spans="1:31" ht="24.75" customHeight="1">
      <c r="A140" s="1055" t="s">
        <v>331</v>
      </c>
      <c r="B140" s="464" t="s">
        <v>300</v>
      </c>
      <c r="C140" s="386">
        <v>46045</v>
      </c>
      <c r="D140" s="1032" t="s">
        <v>140</v>
      </c>
      <c r="E140" s="386">
        <v>45959</v>
      </c>
      <c r="F140" s="385" t="s">
        <v>133</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07">
        <v>598</v>
      </c>
      <c r="X140" s="486">
        <f t="shared" si="9"/>
        <v>6859</v>
      </c>
      <c r="Y140" s="903">
        <f t="shared" si="10"/>
        <v>8.0193107147646506E-2</v>
      </c>
      <c r="Z140" s="1157">
        <v>45974</v>
      </c>
      <c r="AA140" s="619">
        <v>0</v>
      </c>
      <c r="AB140" s="619">
        <v>0</v>
      </c>
      <c r="AC140" s="1038">
        <v>0</v>
      </c>
      <c r="AD140" s="450" t="s">
        <v>328</v>
      </c>
      <c r="AE140" s="400"/>
    </row>
    <row r="141" spans="1:31" ht="24.75" customHeight="1">
      <c r="A141" s="1055" t="s">
        <v>332</v>
      </c>
      <c r="B141" s="464" t="s">
        <v>300</v>
      </c>
      <c r="C141" s="386">
        <v>46045</v>
      </c>
      <c r="D141" s="1032" t="s">
        <v>140</v>
      </c>
      <c r="E141" s="386">
        <v>45959</v>
      </c>
      <c r="F141" s="385" t="s">
        <v>133</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328</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328</v>
      </c>
      <c r="AE142" s="400"/>
    </row>
    <row r="143" spans="1:31" ht="24.75" customHeight="1">
      <c r="A143" s="1055" t="s">
        <v>334</v>
      </c>
      <c r="B143" s="464" t="s">
        <v>300</v>
      </c>
      <c r="C143" s="386">
        <v>46045</v>
      </c>
      <c r="D143" s="1032" t="s">
        <v>140</v>
      </c>
      <c r="E143" s="386">
        <v>45959</v>
      </c>
      <c r="F143" s="385" t="s">
        <v>133</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328</v>
      </c>
      <c r="AE143" s="400"/>
    </row>
    <row r="144" spans="1:31" ht="24.75" customHeight="1">
      <c r="A144" s="1055" t="s">
        <v>335</v>
      </c>
      <c r="B144" s="464" t="s">
        <v>300</v>
      </c>
      <c r="C144" s="386">
        <v>46045</v>
      </c>
      <c r="D144" s="1032" t="s">
        <v>140</v>
      </c>
      <c r="E144" s="386">
        <v>45959</v>
      </c>
      <c r="F144" s="385" t="s">
        <v>133</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328</v>
      </c>
      <c r="AE144" s="400"/>
    </row>
    <row r="145" spans="1:31" ht="24.75" customHeight="1">
      <c r="A145" s="1055" t="s">
        <v>336</v>
      </c>
      <c r="B145" s="464" t="s">
        <v>300</v>
      </c>
      <c r="C145" s="386">
        <v>46045</v>
      </c>
      <c r="D145" s="1032" t="s">
        <v>140</v>
      </c>
      <c r="E145" s="386">
        <v>45959</v>
      </c>
      <c r="F145" s="385" t="s">
        <v>133</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328</v>
      </c>
      <c r="AE145" s="400"/>
    </row>
    <row r="146" spans="1:31" ht="24.75" customHeight="1">
      <c r="A146" s="1055" t="s">
        <v>337</v>
      </c>
      <c r="B146" s="464" t="s">
        <v>300</v>
      </c>
      <c r="C146" s="386">
        <v>46045</v>
      </c>
      <c r="D146" s="1032" t="s">
        <v>140</v>
      </c>
      <c r="E146" s="386">
        <v>45959</v>
      </c>
      <c r="F146" s="385" t="s">
        <v>133</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300</v>
      </c>
      <c r="C147" s="386">
        <v>46045</v>
      </c>
      <c r="D147" s="1032" t="s">
        <v>140</v>
      </c>
      <c r="E147" s="386">
        <v>45959</v>
      </c>
      <c r="F147" s="385" t="s">
        <v>133</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328</v>
      </c>
      <c r="AE147" s="400"/>
    </row>
    <row r="148" spans="1:31" ht="24.75" customHeight="1">
      <c r="A148" s="1055" t="s">
        <v>340</v>
      </c>
      <c r="B148" s="464" t="s">
        <v>300</v>
      </c>
      <c r="C148" s="386">
        <v>46045</v>
      </c>
      <c r="D148" s="1032" t="s">
        <v>140</v>
      </c>
      <c r="E148" s="386">
        <v>45959</v>
      </c>
      <c r="F148" s="385" t="s">
        <v>133</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300</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3189</v>
      </c>
      <c r="W149" s="107"/>
      <c r="X149" s="107">
        <f>SUM(V149-W149)</f>
        <v>3189</v>
      </c>
      <c r="Y149" s="903">
        <f>IFERROR($W149/$V149, 0)</f>
        <v>0</v>
      </c>
      <c r="Z149" s="55"/>
      <c r="AA149" s="619">
        <v>0</v>
      </c>
      <c r="AB149" s="619">
        <v>0</v>
      </c>
      <c r="AC149" s="1038">
        <v>0</v>
      </c>
      <c r="AD149" s="450" t="s">
        <v>343</v>
      </c>
      <c r="AE149" s="400"/>
    </row>
    <row r="150" spans="1:31" ht="24.75" customHeight="1">
      <c r="A150" s="1056" t="s">
        <v>344</v>
      </c>
      <c r="B150" s="464" t="s">
        <v>300</v>
      </c>
      <c r="C150" s="386">
        <v>46045</v>
      </c>
      <c r="D150" s="1032" t="s">
        <v>140</v>
      </c>
      <c r="E150" s="386">
        <v>45959</v>
      </c>
      <c r="F150" s="385" t="s">
        <v>133</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157">
        <v>45974</v>
      </c>
      <c r="AA150" s="619">
        <v>0</v>
      </c>
      <c r="AB150" s="619">
        <v>0</v>
      </c>
      <c r="AC150" s="1038">
        <v>0</v>
      </c>
      <c r="AD150" s="450" t="s">
        <v>328</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Q76:U119 L27:L74 Q27:U74 L76:L119 D121:D150 Q12:U25 L2:L25" xr:uid="{1D31F93E-3D68-4310-94BF-578ADAD65882}"/>
    <dataValidation type="list" allowBlank="1" showInputMessage="1" showErrorMessage="1" sqref="J93 J121:J150 J111:J112 J114:J119 J97:J105 J76:J85 J2:J25 J27:J74" xr:uid="{5598570D-D2DE-4A6E-ABB1-14F4B3480632}">
      <formula1>"Received, Pending, Not Required"</formula1>
    </dataValidation>
    <dataValidation type="list" allowBlank="1" showInputMessage="1" showErrorMessage="1" sqref="I4 I93 I6:I11 I111:I112 I114:I119 I95 I134:I1048576 I97:I105 I76:I85 I13:I25 I55:I74"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76:K82 K134:K1048576 K86:K119 K2:K25 K27:K74"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4 P76:P119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346</v>
      </c>
      <c r="B2" s="508" t="s">
        <v>217</v>
      </c>
      <c r="C2" s="481">
        <v>45868</v>
      </c>
      <c r="D2" s="489" t="s">
        <v>347</v>
      </c>
      <c r="E2" s="490">
        <v>45716</v>
      </c>
      <c r="F2" s="489" t="s">
        <v>225</v>
      </c>
      <c r="G2" s="615" t="s">
        <v>348</v>
      </c>
      <c r="H2" s="492">
        <v>0</v>
      </c>
      <c r="I2" s="498" t="s">
        <v>349</v>
      </c>
      <c r="J2" s="492" t="s">
        <v>63</v>
      </c>
      <c r="K2" s="504"/>
      <c r="L2" s="481">
        <v>45716</v>
      </c>
      <c r="M2" s="492" t="s">
        <v>57</v>
      </c>
      <c r="N2" s="561">
        <v>64932.55</v>
      </c>
      <c r="O2" s="492" t="s">
        <v>57</v>
      </c>
      <c r="P2" s="830" t="s">
        <v>350</v>
      </c>
      <c r="Q2" s="493">
        <v>45721</v>
      </c>
      <c r="R2" s="493"/>
      <c r="S2" s="493"/>
      <c r="T2" s="493"/>
      <c r="U2" s="501" t="s">
        <v>351</v>
      </c>
      <c r="V2" s="41">
        <v>5151</v>
      </c>
      <c r="W2" s="765">
        <v>5207</v>
      </c>
      <c r="X2" s="107">
        <f>SUM(V2-W2)</f>
        <v>-56</v>
      </c>
      <c r="Y2" s="22">
        <f>IFERROR($W2/$V2, 0)</f>
        <v>1.0108716754028344</v>
      </c>
      <c r="Z2" s="700">
        <v>45748</v>
      </c>
      <c r="AA2" s="366">
        <v>1</v>
      </c>
      <c r="AB2" s="366">
        <v>1</v>
      </c>
      <c r="AC2" s="41">
        <v>0</v>
      </c>
      <c r="AD2" s="908"/>
    </row>
    <row r="3" spans="1:30" ht="39.75" customHeight="1">
      <c r="A3" s="920" t="s">
        <v>352</v>
      </c>
      <c r="B3" s="508" t="s">
        <v>217</v>
      </c>
      <c r="C3" s="481">
        <v>45991</v>
      </c>
      <c r="D3" s="490" t="s">
        <v>353</v>
      </c>
      <c r="E3" s="442">
        <v>45707</v>
      </c>
      <c r="F3" s="489" t="s">
        <v>225</v>
      </c>
      <c r="G3" s="509" t="s">
        <v>354</v>
      </c>
      <c r="H3" s="498">
        <v>0</v>
      </c>
      <c r="I3" s="498" t="s">
        <v>349</v>
      </c>
      <c r="J3" s="498" t="s">
        <v>63</v>
      </c>
      <c r="K3" s="498"/>
      <c r="L3" s="490">
        <v>45708</v>
      </c>
      <c r="M3" s="498" t="s">
        <v>57</v>
      </c>
      <c r="N3" s="562">
        <v>87944.4</v>
      </c>
      <c r="O3" s="498" t="s">
        <v>57</v>
      </c>
      <c r="P3" s="830" t="s">
        <v>350</v>
      </c>
      <c r="Q3" s="493">
        <v>45709</v>
      </c>
      <c r="R3" s="493"/>
      <c r="S3" s="493"/>
      <c r="T3" s="493"/>
      <c r="U3" s="501" t="s">
        <v>351</v>
      </c>
      <c r="V3" s="510">
        <v>7008</v>
      </c>
      <c r="W3" s="764">
        <v>7258</v>
      </c>
      <c r="X3" s="107">
        <f t="shared" ref="X3" si="0">SUM(V3-W3)</f>
        <v>-250</v>
      </c>
      <c r="Y3" s="22">
        <f t="shared" ref="Y3" si="1">IFERROR($W3/$V3, 0)</f>
        <v>1.0356735159817352</v>
      </c>
      <c r="Z3" s="700">
        <v>45747</v>
      </c>
      <c r="AA3" s="487">
        <v>1</v>
      </c>
      <c r="AB3" s="487">
        <v>1</v>
      </c>
      <c r="AC3" s="839">
        <v>0</v>
      </c>
      <c r="AD3" s="909" t="s">
        <v>355</v>
      </c>
    </row>
    <row r="4" spans="1:30" ht="39.75" customHeight="1">
      <c r="A4" s="872" t="s">
        <v>356</v>
      </c>
      <c r="B4" s="860" t="s">
        <v>217</v>
      </c>
      <c r="C4" s="490">
        <v>45807</v>
      </c>
      <c r="D4" s="479" t="s">
        <v>347</v>
      </c>
      <c r="E4" s="489" t="s">
        <v>52</v>
      </c>
      <c r="F4" s="479" t="s">
        <v>225</v>
      </c>
      <c r="G4" s="852" t="s">
        <v>357</v>
      </c>
      <c r="H4" s="483">
        <v>84</v>
      </c>
      <c r="I4" s="857" t="s">
        <v>349</v>
      </c>
      <c r="J4" s="492" t="s">
        <v>63</v>
      </c>
      <c r="K4" s="873"/>
      <c r="L4" s="481">
        <v>45716</v>
      </c>
      <c r="M4" s="492" t="s">
        <v>57</v>
      </c>
      <c r="N4" s="560">
        <v>2812.95</v>
      </c>
      <c r="O4" s="492" t="s">
        <v>57</v>
      </c>
      <c r="P4" s="830" t="s">
        <v>350</v>
      </c>
      <c r="Q4" s="493">
        <v>45792</v>
      </c>
      <c r="R4" s="493">
        <v>45947</v>
      </c>
      <c r="S4" s="363"/>
      <c r="T4" s="363"/>
      <c r="U4" s="501" t="s">
        <v>351</v>
      </c>
      <c r="V4" s="41">
        <v>285</v>
      </c>
      <c r="W4" s="874">
        <v>285</v>
      </c>
      <c r="X4" s="486">
        <f>SUM(V4-W4)</f>
        <v>0</v>
      </c>
      <c r="Y4" s="684">
        <f>IFERROR($W4/$V4, 0)</f>
        <v>1</v>
      </c>
      <c r="Z4" s="493">
        <v>45798</v>
      </c>
      <c r="AA4" s="684">
        <v>1</v>
      </c>
      <c r="AB4" s="684">
        <v>1</v>
      </c>
      <c r="AC4" s="486">
        <v>3451</v>
      </c>
      <c r="AD4" s="686"/>
    </row>
    <row r="5" spans="1:30" ht="39.75" customHeight="1">
      <c r="A5" s="872" t="s">
        <v>358</v>
      </c>
      <c r="B5" s="508" t="s">
        <v>217</v>
      </c>
      <c r="C5" s="481">
        <v>45991</v>
      </c>
      <c r="D5" s="489" t="s">
        <v>353</v>
      </c>
      <c r="E5" s="490">
        <v>45866</v>
      </c>
      <c r="F5" s="489" t="s">
        <v>225</v>
      </c>
      <c r="G5" s="491" t="s">
        <v>359</v>
      </c>
      <c r="H5" s="492">
        <v>0</v>
      </c>
      <c r="I5" s="498" t="s">
        <v>349</v>
      </c>
      <c r="J5" s="492" t="s">
        <v>63</v>
      </c>
      <c r="K5" s="504"/>
      <c r="L5" s="490">
        <v>45863</v>
      </c>
      <c r="M5" s="492" t="s">
        <v>57</v>
      </c>
      <c r="N5" s="561">
        <v>143407.25</v>
      </c>
      <c r="O5" s="492" t="s">
        <v>57</v>
      </c>
      <c r="P5" s="830" t="s">
        <v>350</v>
      </c>
      <c r="Q5" s="493">
        <v>45863</v>
      </c>
      <c r="R5" s="493"/>
      <c r="S5" s="493"/>
      <c r="T5" s="493"/>
      <c r="U5" s="501" t="s">
        <v>351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360</v>
      </c>
      <c r="B6" s="508" t="s">
        <v>217</v>
      </c>
      <c r="C6" s="481">
        <v>45991</v>
      </c>
      <c r="D6" s="489" t="s">
        <v>60</v>
      </c>
      <c r="E6" s="490">
        <v>45880</v>
      </c>
      <c r="F6" s="489" t="s">
        <v>230</v>
      </c>
      <c r="G6" s="491" t="s">
        <v>361</v>
      </c>
      <c r="H6" s="492">
        <v>0</v>
      </c>
      <c r="I6" s="498" t="s">
        <v>349</v>
      </c>
      <c r="J6" s="492" t="s">
        <v>63</v>
      </c>
      <c r="K6" s="504"/>
      <c r="L6" s="490">
        <v>45881</v>
      </c>
      <c r="M6" s="492" t="s">
        <v>57</v>
      </c>
      <c r="N6" s="561">
        <v>4815.6499999999996</v>
      </c>
      <c r="O6" s="492" t="s">
        <v>57</v>
      </c>
      <c r="P6" s="830" t="s">
        <v>350</v>
      </c>
      <c r="Q6" s="493">
        <v>45881</v>
      </c>
      <c r="R6" s="493">
        <v>45947</v>
      </c>
      <c r="S6" s="493"/>
      <c r="T6" s="493"/>
      <c r="U6" s="501" t="s">
        <v>351</v>
      </c>
      <c r="V6" s="41">
        <v>321</v>
      </c>
      <c r="W6" s="765">
        <v>367</v>
      </c>
      <c r="X6" s="107">
        <f>SUM(V6-W6)</f>
        <v>-46</v>
      </c>
      <c r="Y6" s="22">
        <f>IFERROR($W6/$V6, 0)</f>
        <v>1.1433021806853583</v>
      </c>
      <c r="Z6" s="700">
        <v>45905</v>
      </c>
      <c r="AA6" s="366">
        <v>0</v>
      </c>
      <c r="AB6" s="366">
        <v>0</v>
      </c>
      <c r="AC6" s="41">
        <v>0</v>
      </c>
      <c r="AD6" s="533"/>
    </row>
    <row r="7" spans="1:30" ht="39.75" customHeight="1">
      <c r="A7" s="984" t="s">
        <v>362</v>
      </c>
      <c r="B7" s="863" t="s">
        <v>217</v>
      </c>
      <c r="C7" s="864">
        <v>45955</v>
      </c>
      <c r="D7" s="865" t="s">
        <v>140</v>
      </c>
      <c r="E7" s="865">
        <v>45919</v>
      </c>
      <c r="F7" s="865" t="s">
        <v>246</v>
      </c>
      <c r="G7" s="866" t="s">
        <v>363</v>
      </c>
      <c r="H7" s="405">
        <v>0</v>
      </c>
      <c r="I7" s="867" t="s">
        <v>349</v>
      </c>
      <c r="J7" s="405" t="s">
        <v>63</v>
      </c>
      <c r="K7" s="405"/>
      <c r="L7" s="865" t="s">
        <v>52</v>
      </c>
      <c r="M7" s="405" t="s">
        <v>57</v>
      </c>
      <c r="N7" s="868">
        <v>4646.75</v>
      </c>
      <c r="O7" s="405" t="s">
        <v>95</v>
      </c>
      <c r="P7" s="956" t="s">
        <v>350</v>
      </c>
      <c r="Q7" s="616"/>
      <c r="R7" s="616">
        <v>45947</v>
      </c>
      <c r="S7" s="616"/>
      <c r="T7" s="616"/>
      <c r="U7" s="501" t="s">
        <v>351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364</v>
      </c>
      <c r="B8" s="479" t="s">
        <v>114</v>
      </c>
      <c r="C8" s="490">
        <v>45960</v>
      </c>
      <c r="D8" s="481" t="s">
        <v>60</v>
      </c>
      <c r="E8" s="490">
        <v>45918</v>
      </c>
      <c r="F8" s="479" t="s">
        <v>115</v>
      </c>
      <c r="G8" s="50" t="s">
        <v>365</v>
      </c>
      <c r="H8" s="1065">
        <v>0</v>
      </c>
      <c r="I8" s="683" t="s">
        <v>349</v>
      </c>
      <c r="J8" s="483" t="s">
        <v>63</v>
      </c>
      <c r="K8" s="483"/>
      <c r="L8" s="490">
        <v>45918</v>
      </c>
      <c r="M8" s="492" t="s">
        <v>57</v>
      </c>
      <c r="N8" s="561">
        <v>9611.9500000000007</v>
      </c>
      <c r="O8" s="492" t="s">
        <v>57</v>
      </c>
      <c r="P8" s="830" t="s">
        <v>350</v>
      </c>
      <c r="Q8" s="493">
        <v>45918</v>
      </c>
      <c r="R8" s="493"/>
      <c r="S8" s="493"/>
      <c r="T8" s="493"/>
      <c r="U8" s="501" t="s">
        <v>351</v>
      </c>
      <c r="V8" s="41">
        <v>807</v>
      </c>
      <c r="W8" s="765">
        <v>896</v>
      </c>
      <c r="X8" s="107">
        <f t="shared" si="4"/>
        <v>-89</v>
      </c>
      <c r="Y8" s="679">
        <f t="shared" si="5"/>
        <v>1.110285006195787</v>
      </c>
      <c r="Z8" s="700">
        <v>45938</v>
      </c>
      <c r="AA8" s="684">
        <v>1</v>
      </c>
      <c r="AB8" s="684">
        <v>1</v>
      </c>
      <c r="AC8" s="664">
        <v>0</v>
      </c>
      <c r="AD8" s="488" t="s">
        <v>366</v>
      </c>
    </row>
    <row r="9" spans="1:30" ht="39.75" customHeight="1">
      <c r="A9" s="875" t="s">
        <v>367</v>
      </c>
      <c r="B9" s="479" t="s">
        <v>114</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351</v>
      </c>
      <c r="V9" s="41">
        <v>3566</v>
      </c>
      <c r="W9" s="765">
        <v>3704</v>
      </c>
      <c r="X9" s="107">
        <f t="shared" si="4"/>
        <v>-138</v>
      </c>
      <c r="Y9" s="22">
        <f t="shared" si="5"/>
        <v>1.0386988222097588</v>
      </c>
      <c r="Z9" s="700">
        <v>45904</v>
      </c>
      <c r="AA9" s="366">
        <v>1</v>
      </c>
      <c r="AB9" s="366">
        <v>1</v>
      </c>
      <c r="AC9" s="664">
        <v>0</v>
      </c>
      <c r="AD9" s="533" t="s">
        <v>368</v>
      </c>
    </row>
    <row r="10" spans="1:30" ht="39.75" customHeight="1">
      <c r="A10" s="875" t="s">
        <v>369</v>
      </c>
      <c r="B10" s="479" t="s">
        <v>114</v>
      </c>
      <c r="C10" s="490">
        <v>45930</v>
      </c>
      <c r="D10" s="481" t="s">
        <v>140</v>
      </c>
      <c r="E10" s="481">
        <v>45896</v>
      </c>
      <c r="F10" s="479" t="s">
        <v>133</v>
      </c>
      <c r="G10" s="479" t="s">
        <v>370</v>
      </c>
      <c r="H10" s="483">
        <v>66</v>
      </c>
      <c r="I10" s="483" t="s">
        <v>349</v>
      </c>
      <c r="J10" s="483" t="s">
        <v>63</v>
      </c>
      <c r="K10" s="483"/>
      <c r="L10" s="481">
        <v>45897</v>
      </c>
      <c r="M10" s="483" t="s">
        <v>57</v>
      </c>
      <c r="N10" s="560">
        <v>44896.1</v>
      </c>
      <c r="O10" s="483" t="s">
        <v>57</v>
      </c>
      <c r="P10" s="830" t="s">
        <v>350</v>
      </c>
      <c r="Q10" s="485">
        <v>45897</v>
      </c>
      <c r="R10" s="496"/>
      <c r="S10" s="496"/>
      <c r="T10" s="496"/>
      <c r="U10" s="501" t="s">
        <v>351</v>
      </c>
      <c r="V10" s="486">
        <v>2385</v>
      </c>
      <c r="W10" s="765">
        <v>2385</v>
      </c>
      <c r="X10" s="107">
        <f t="shared" si="4"/>
        <v>0</v>
      </c>
      <c r="Y10" s="22">
        <f t="shared" si="5"/>
        <v>1</v>
      </c>
      <c r="Z10" s="700">
        <v>45918</v>
      </c>
      <c r="AA10" s="366">
        <v>1</v>
      </c>
      <c r="AB10" s="366">
        <v>1</v>
      </c>
      <c r="AC10" s="664">
        <v>0</v>
      </c>
      <c r="AD10" s="427" t="s">
        <v>371</v>
      </c>
    </row>
    <row r="11" spans="1:30" ht="39.75" customHeight="1">
      <c r="A11" s="875" t="s">
        <v>372</v>
      </c>
      <c r="B11" s="479" t="s">
        <v>114</v>
      </c>
      <c r="C11" s="490">
        <v>45930</v>
      </c>
      <c r="D11" s="481" t="s">
        <v>140</v>
      </c>
      <c r="E11" s="661">
        <v>45910</v>
      </c>
      <c r="F11" s="479" t="s">
        <v>115</v>
      </c>
      <c r="G11" s="479" t="s">
        <v>373</v>
      </c>
      <c r="H11" s="483">
        <v>80</v>
      </c>
      <c r="I11" s="483" t="s">
        <v>349</v>
      </c>
      <c r="J11" s="483" t="s">
        <v>63</v>
      </c>
      <c r="K11" s="483"/>
      <c r="L11" s="481">
        <v>45903</v>
      </c>
      <c r="M11" s="483" t="s">
        <v>57</v>
      </c>
      <c r="N11" s="560">
        <v>59116.7</v>
      </c>
      <c r="O11" s="483" t="s">
        <v>57</v>
      </c>
      <c r="P11" s="830" t="s">
        <v>350</v>
      </c>
      <c r="Q11" s="485">
        <v>45903</v>
      </c>
      <c r="R11" s="496"/>
      <c r="S11" s="496"/>
      <c r="T11" s="485"/>
      <c r="U11" s="501" t="s">
        <v>351</v>
      </c>
      <c r="V11" s="486">
        <v>4833</v>
      </c>
      <c r="W11" s="765">
        <v>4446</v>
      </c>
      <c r="X11" s="107">
        <f t="shared" si="4"/>
        <v>387</v>
      </c>
      <c r="Y11" s="22">
        <f t="shared" si="5"/>
        <v>0.91992551210428308</v>
      </c>
      <c r="Z11" s="700">
        <v>45923</v>
      </c>
      <c r="AA11" s="366">
        <v>1</v>
      </c>
      <c r="AB11" s="366">
        <v>1</v>
      </c>
      <c r="AC11" s="664">
        <v>0</v>
      </c>
      <c r="AD11" s="427" t="s">
        <v>374</v>
      </c>
    </row>
    <row r="12" spans="1:30" ht="39.75" customHeight="1">
      <c r="A12" s="872" t="s">
        <v>375</v>
      </c>
      <c r="B12" s="479" t="s">
        <v>114</v>
      </c>
      <c r="C12" s="490">
        <v>45930</v>
      </c>
      <c r="D12" s="481" t="s">
        <v>140</v>
      </c>
      <c r="E12" s="661">
        <v>45910</v>
      </c>
      <c r="F12" s="661" t="s">
        <v>133</v>
      </c>
      <c r="G12" s="704" t="s">
        <v>376</v>
      </c>
      <c r="H12" s="483">
        <v>67</v>
      </c>
      <c r="I12" s="683" t="s">
        <v>349</v>
      </c>
      <c r="J12" s="483" t="s">
        <v>63</v>
      </c>
      <c r="K12" s="483"/>
      <c r="L12" s="481">
        <v>45903</v>
      </c>
      <c r="M12" s="483" t="s">
        <v>57</v>
      </c>
      <c r="N12" s="560">
        <v>40406</v>
      </c>
      <c r="O12" s="483" t="s">
        <v>57</v>
      </c>
      <c r="P12" s="830" t="s">
        <v>350</v>
      </c>
      <c r="Q12" s="485">
        <v>45903</v>
      </c>
      <c r="R12" s="570"/>
      <c r="S12" s="570"/>
      <c r="T12" s="570"/>
      <c r="U12" s="501" t="s">
        <v>351</v>
      </c>
      <c r="V12" s="486">
        <v>3895</v>
      </c>
      <c r="W12" s="765">
        <v>3809</v>
      </c>
      <c r="X12" s="107">
        <f t="shared" si="4"/>
        <v>86</v>
      </c>
      <c r="Y12" s="679">
        <f t="shared" si="5"/>
        <v>0.97792041078305525</v>
      </c>
      <c r="Z12" s="700">
        <v>45924</v>
      </c>
      <c r="AA12" s="366">
        <v>1</v>
      </c>
      <c r="AB12" s="366">
        <v>1</v>
      </c>
      <c r="AC12" s="664">
        <v>0</v>
      </c>
      <c r="AD12" s="910" t="s">
        <v>377</v>
      </c>
    </row>
    <row r="13" spans="1:30" ht="39.75" customHeight="1">
      <c r="A13" s="972" t="s">
        <v>378</v>
      </c>
      <c r="B13" s="479" t="s">
        <v>114</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351</v>
      </c>
      <c r="V13" s="486">
        <v>2071</v>
      </c>
      <c r="W13" s="765">
        <v>2072</v>
      </c>
      <c r="X13" s="486">
        <f>SUM(V13-W13)</f>
        <v>-1</v>
      </c>
      <c r="Y13" s="684">
        <f t="shared" ref="Y13" si="6">IFERROR($W13/$V13, 0)</f>
        <v>1.000482858522453</v>
      </c>
      <c r="Z13" s="493">
        <v>45958</v>
      </c>
      <c r="AA13" s="366">
        <v>1</v>
      </c>
      <c r="AB13" s="366">
        <v>1</v>
      </c>
      <c r="AC13" s="811">
        <v>0</v>
      </c>
      <c r="AD13" s="488" t="s">
        <v>379</v>
      </c>
    </row>
    <row r="14" spans="1:30" ht="39.75" customHeight="1">
      <c r="A14" s="875" t="s">
        <v>380</v>
      </c>
      <c r="B14" s="479" t="s">
        <v>114</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351</v>
      </c>
      <c r="V14" s="486">
        <v>5653</v>
      </c>
      <c r="W14" s="765">
        <v>5653</v>
      </c>
      <c r="X14" s="107">
        <f t="shared" si="4"/>
        <v>0</v>
      </c>
      <c r="Y14" s="679">
        <f t="shared" si="5"/>
        <v>1</v>
      </c>
      <c r="Z14" s="700">
        <v>45932</v>
      </c>
      <c r="AA14" s="366">
        <v>1</v>
      </c>
      <c r="AB14" s="366">
        <v>1</v>
      </c>
      <c r="AC14" s="811">
        <v>0</v>
      </c>
      <c r="AD14" s="910" t="s">
        <v>381</v>
      </c>
    </row>
    <row r="15" spans="1:30" ht="39.75" customHeight="1">
      <c r="A15" s="872" t="s">
        <v>382</v>
      </c>
      <c r="B15" s="479" t="s">
        <v>114</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351</v>
      </c>
      <c r="V15" s="486">
        <v>2188</v>
      </c>
      <c r="W15" s="765">
        <v>2278</v>
      </c>
      <c r="X15" s="107">
        <f>SUM(V15-W15)</f>
        <v>-90</v>
      </c>
      <c r="Y15" s="679">
        <f>IFERROR($W15/$V15, 0)</f>
        <v>1.0411334552102376</v>
      </c>
      <c r="Z15" s="700">
        <v>45931</v>
      </c>
      <c r="AA15" s="366">
        <v>1</v>
      </c>
      <c r="AB15" s="366">
        <v>1</v>
      </c>
      <c r="AC15" s="811">
        <v>0</v>
      </c>
      <c r="AD15" s="910" t="s">
        <v>383</v>
      </c>
    </row>
    <row r="16" spans="1:30" ht="39.75" customHeight="1">
      <c r="A16" s="972" t="s">
        <v>384</v>
      </c>
      <c r="B16" s="479" t="s">
        <v>114</v>
      </c>
      <c r="C16" s="490">
        <v>45960</v>
      </c>
      <c r="D16" s="481" t="s">
        <v>207</v>
      </c>
      <c r="E16" s="481">
        <v>45932</v>
      </c>
      <c r="F16" s="479" t="s">
        <v>115</v>
      </c>
      <c r="G16" s="704"/>
      <c r="H16" s="483">
        <v>79</v>
      </c>
      <c r="I16" s="683" t="s">
        <v>349</v>
      </c>
      <c r="J16" s="483" t="s">
        <v>63</v>
      </c>
      <c r="K16" s="483"/>
      <c r="L16" s="481">
        <v>45933</v>
      </c>
      <c r="M16" s="483" t="s">
        <v>57</v>
      </c>
      <c r="N16" s="560">
        <v>45014</v>
      </c>
      <c r="O16" s="483" t="s">
        <v>57</v>
      </c>
      <c r="P16" s="830" t="s">
        <v>350</v>
      </c>
      <c r="Q16" s="485">
        <v>45933</v>
      </c>
      <c r="R16" s="570"/>
      <c r="S16" s="570"/>
      <c r="T16" s="570"/>
      <c r="U16" s="501" t="s">
        <v>351</v>
      </c>
      <c r="V16" s="486">
        <v>3378</v>
      </c>
      <c r="W16" s="765">
        <v>3372</v>
      </c>
      <c r="X16" s="486">
        <f>SUM(V16-W16)</f>
        <v>6</v>
      </c>
      <c r="Y16" s="684">
        <f t="shared" ref="Y16" si="7">IFERROR($W16/$V16, 0)</f>
        <v>0.9982238010657194</v>
      </c>
      <c r="Z16" s="493">
        <v>45958</v>
      </c>
      <c r="AA16" s="366">
        <v>1</v>
      </c>
      <c r="AB16" s="366">
        <v>1</v>
      </c>
      <c r="AC16" s="811">
        <v>0</v>
      </c>
      <c r="AD16" s="998" t="s">
        <v>385</v>
      </c>
    </row>
    <row r="17" spans="1:30" ht="39.75" customHeight="1">
      <c r="A17" s="972" t="s">
        <v>386</v>
      </c>
      <c r="B17" s="479" t="s">
        <v>114</v>
      </c>
      <c r="C17" s="490">
        <v>45960</v>
      </c>
      <c r="D17" s="481" t="s">
        <v>140</v>
      </c>
      <c r="E17" s="481">
        <v>45936</v>
      </c>
      <c r="F17" s="479" t="s">
        <v>115</v>
      </c>
      <c r="G17" s="704"/>
      <c r="H17" s="483">
        <v>75</v>
      </c>
      <c r="I17" s="683" t="s">
        <v>349</v>
      </c>
      <c r="J17" s="483" t="s">
        <v>63</v>
      </c>
      <c r="K17" s="483"/>
      <c r="L17" s="481">
        <v>45936</v>
      </c>
      <c r="M17" s="483" t="s">
        <v>57</v>
      </c>
      <c r="N17" s="560">
        <v>38796</v>
      </c>
      <c r="O17" s="483" t="s">
        <v>57</v>
      </c>
      <c r="P17" s="830" t="s">
        <v>350</v>
      </c>
      <c r="Q17" s="485">
        <v>45936</v>
      </c>
      <c r="R17" s="570"/>
      <c r="S17" s="570"/>
      <c r="T17" s="570"/>
      <c r="U17" s="501" t="s">
        <v>351</v>
      </c>
      <c r="V17" s="430">
        <v>2874</v>
      </c>
      <c r="W17" s="997">
        <v>2875</v>
      </c>
      <c r="X17" s="107">
        <f t="shared" ref="X17" si="8">SUM(V17-W17)</f>
        <v>-1</v>
      </c>
      <c r="Y17" s="679">
        <f t="shared" ref="Y17" si="9">IFERROR($W17/$V17, 0)</f>
        <v>1.0003479471120389</v>
      </c>
      <c r="Z17" s="700">
        <v>45944</v>
      </c>
      <c r="AA17" s="366">
        <v>1</v>
      </c>
      <c r="AB17" s="366">
        <v>1</v>
      </c>
      <c r="AC17" s="486">
        <v>0</v>
      </c>
      <c r="AD17" s="173" t="s">
        <v>387</v>
      </c>
    </row>
    <row r="18" spans="1:30" ht="39.75" customHeight="1">
      <c r="A18" s="872" t="s">
        <v>388</v>
      </c>
      <c r="B18" s="703" t="s">
        <v>114</v>
      </c>
      <c r="C18" s="490">
        <v>45930</v>
      </c>
      <c r="D18" s="661" t="s">
        <v>60</v>
      </c>
      <c r="E18" s="481">
        <v>45902</v>
      </c>
      <c r="F18" s="479" t="s">
        <v>115</v>
      </c>
      <c r="G18" s="781"/>
      <c r="H18" s="483">
        <v>0</v>
      </c>
      <c r="I18" s="683" t="s">
        <v>349</v>
      </c>
      <c r="J18" s="483" t="s">
        <v>63</v>
      </c>
      <c r="K18" s="483"/>
      <c r="L18" s="490">
        <v>45902</v>
      </c>
      <c r="M18" s="483" t="s">
        <v>57</v>
      </c>
      <c r="N18" s="560">
        <v>5604.6</v>
      </c>
      <c r="O18" s="483" t="s">
        <v>57</v>
      </c>
      <c r="P18" s="830" t="s">
        <v>350</v>
      </c>
      <c r="Q18" s="493">
        <v>45902</v>
      </c>
      <c r="R18" s="485"/>
      <c r="S18" s="485"/>
      <c r="T18" s="485"/>
      <c r="U18" s="501" t="s">
        <v>351</v>
      </c>
      <c r="V18" s="486">
        <v>328</v>
      </c>
      <c r="W18" s="765">
        <v>335</v>
      </c>
      <c r="X18" s="486">
        <f t="shared" si="4"/>
        <v>-7</v>
      </c>
      <c r="Y18" s="487">
        <f t="shared" si="5"/>
        <v>1.0213414634146341</v>
      </c>
      <c r="Z18" s="493">
        <v>45922</v>
      </c>
      <c r="AA18" s="366">
        <v>1</v>
      </c>
      <c r="AB18" s="366">
        <v>1</v>
      </c>
      <c r="AC18" s="486">
        <v>0</v>
      </c>
      <c r="AD18" s="780" t="s">
        <v>389</v>
      </c>
    </row>
    <row r="19" spans="1:30" ht="39.75" customHeight="1">
      <c r="A19" s="872" t="s">
        <v>390</v>
      </c>
      <c r="B19" s="479" t="s">
        <v>114</v>
      </c>
      <c r="C19" s="490">
        <v>45960</v>
      </c>
      <c r="D19" s="481" t="s">
        <v>391</v>
      </c>
      <c r="E19" s="481">
        <v>45915</v>
      </c>
      <c r="F19" s="479" t="s">
        <v>392</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351</v>
      </c>
      <c r="V19" s="811">
        <v>14150</v>
      </c>
      <c r="W19" s="921">
        <v>15469</v>
      </c>
      <c r="X19" s="107">
        <f t="shared" si="4"/>
        <v>-1319</v>
      </c>
      <c r="Y19" s="679">
        <f t="shared" si="5"/>
        <v>1.0932155477031802</v>
      </c>
      <c r="Z19" s="700">
        <v>45926</v>
      </c>
      <c r="AA19" s="366">
        <v>1</v>
      </c>
      <c r="AB19" s="366">
        <v>1</v>
      </c>
      <c r="AC19" s="486">
        <v>0</v>
      </c>
      <c r="AD19" s="908" t="s">
        <v>393</v>
      </c>
    </row>
    <row r="20" spans="1:30" ht="39.75" customHeight="1">
      <c r="A20" s="972" t="s">
        <v>394</v>
      </c>
      <c r="B20" s="479" t="s">
        <v>114</v>
      </c>
      <c r="C20" s="490">
        <v>45930</v>
      </c>
      <c r="D20" s="481" t="s">
        <v>395</v>
      </c>
      <c r="E20" s="481">
        <v>45916</v>
      </c>
      <c r="F20" s="479" t="s">
        <v>115</v>
      </c>
      <c r="G20" s="704"/>
      <c r="H20" s="483">
        <v>84</v>
      </c>
      <c r="I20" s="683" t="s">
        <v>349</v>
      </c>
      <c r="J20" s="483" t="s">
        <v>56</v>
      </c>
      <c r="K20" s="483"/>
      <c r="L20" s="479" t="s">
        <v>350</v>
      </c>
      <c r="M20" s="483" t="s">
        <v>57</v>
      </c>
      <c r="N20" s="560">
        <v>30892</v>
      </c>
      <c r="O20" s="483" t="s">
        <v>57</v>
      </c>
      <c r="P20" s="830" t="s">
        <v>350</v>
      </c>
      <c r="Q20" s="485">
        <v>45911</v>
      </c>
      <c r="R20" s="485"/>
      <c r="S20" s="485"/>
      <c r="T20" s="485"/>
      <c r="U20" s="501" t="s">
        <v>351</v>
      </c>
      <c r="V20" s="811">
        <v>2811</v>
      </c>
      <c r="W20" s="921">
        <v>2732</v>
      </c>
      <c r="X20" s="107">
        <f>SUM(V20-W20)</f>
        <v>79</v>
      </c>
      <c r="Y20" s="22">
        <f>IFERROR($W20/$V20, 0)</f>
        <v>0.97189612237637857</v>
      </c>
      <c r="Z20" s="700">
        <v>45922</v>
      </c>
      <c r="AA20" s="366">
        <v>1</v>
      </c>
      <c r="AB20" s="366">
        <v>1</v>
      </c>
      <c r="AC20" s="486">
        <v>0</v>
      </c>
      <c r="AD20" s="686" t="s">
        <v>396</v>
      </c>
    </row>
    <row r="21" spans="1:30" ht="39.75" customHeight="1">
      <c r="A21" s="872" t="s">
        <v>397</v>
      </c>
      <c r="B21" s="851" t="s">
        <v>50</v>
      </c>
      <c r="C21" s="661">
        <v>45838</v>
      </c>
      <c r="D21" s="489" t="s">
        <v>398</v>
      </c>
      <c r="E21" s="490">
        <v>45727</v>
      </c>
      <c r="F21" s="489" t="s">
        <v>61</v>
      </c>
      <c r="G21" s="876" t="s">
        <v>399</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351</v>
      </c>
      <c r="V21" s="877">
        <v>4979</v>
      </c>
      <c r="W21" s="765">
        <v>5020</v>
      </c>
      <c r="X21" s="486">
        <f t="shared" si="4"/>
        <v>-41</v>
      </c>
      <c r="Y21" s="684">
        <f t="shared" si="5"/>
        <v>1.0082345852580838</v>
      </c>
      <c r="Z21" s="493">
        <v>45741</v>
      </c>
      <c r="AA21" s="684">
        <v>1</v>
      </c>
      <c r="AB21" s="684">
        <v>1</v>
      </c>
      <c r="AC21" s="363">
        <v>0</v>
      </c>
      <c r="AD21" s="686" t="s">
        <v>400</v>
      </c>
    </row>
    <row r="22" spans="1:30" ht="39.75" customHeight="1">
      <c r="A22" s="970" t="s">
        <v>401</v>
      </c>
      <c r="B22" s="528" t="s">
        <v>50</v>
      </c>
      <c r="C22" s="514">
        <v>45772</v>
      </c>
      <c r="D22" s="529" t="s">
        <v>402</v>
      </c>
      <c r="E22" s="529">
        <v>45693</v>
      </c>
      <c r="F22" s="519" t="s">
        <v>61</v>
      </c>
      <c r="G22" s="530" t="s">
        <v>403</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351</v>
      </c>
      <c r="V22" s="510">
        <v>7980</v>
      </c>
      <c r="W22" s="764">
        <v>7901</v>
      </c>
      <c r="X22" s="107">
        <f t="shared" si="4"/>
        <v>79</v>
      </c>
      <c r="Y22" s="22">
        <f t="shared" si="5"/>
        <v>0.99010025062656637</v>
      </c>
      <c r="Z22" s="700">
        <v>45713</v>
      </c>
      <c r="AA22" s="487">
        <v>1</v>
      </c>
      <c r="AB22" s="487">
        <v>1</v>
      </c>
      <c r="AC22" s="839">
        <v>0</v>
      </c>
      <c r="AD22" s="176" t="s">
        <v>404</v>
      </c>
    </row>
    <row r="23" spans="1:30" ht="39.75" customHeight="1">
      <c r="A23" s="970" t="s">
        <v>405</v>
      </c>
      <c r="B23" s="528" t="s">
        <v>50</v>
      </c>
      <c r="C23" s="514">
        <v>45772</v>
      </c>
      <c r="D23" s="529" t="s">
        <v>402</v>
      </c>
      <c r="E23" s="529">
        <v>45698</v>
      </c>
      <c r="F23" s="514" t="s">
        <v>61</v>
      </c>
      <c r="G23" s="530" t="s">
        <v>406</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351</v>
      </c>
      <c r="V23" s="510">
        <v>7562</v>
      </c>
      <c r="W23" s="764">
        <v>7556</v>
      </c>
      <c r="X23" s="107">
        <f t="shared" si="4"/>
        <v>6</v>
      </c>
      <c r="Y23" s="22">
        <f t="shared" si="5"/>
        <v>0.99920655911134626</v>
      </c>
      <c r="Z23" s="700">
        <v>45709</v>
      </c>
      <c r="AA23" s="487">
        <v>1</v>
      </c>
      <c r="AB23" s="487">
        <v>1</v>
      </c>
      <c r="AC23" s="839">
        <v>0</v>
      </c>
      <c r="AD23" s="204" t="s">
        <v>407</v>
      </c>
    </row>
    <row r="24" spans="1:30" ht="39.75" customHeight="1">
      <c r="A24" s="878" t="s">
        <v>408</v>
      </c>
      <c r="B24" s="851" t="s">
        <v>50</v>
      </c>
      <c r="C24" s="490">
        <v>45772</v>
      </c>
      <c r="D24" s="490" t="s">
        <v>398</v>
      </c>
      <c r="E24" s="854">
        <v>45686</v>
      </c>
      <c r="F24" s="489" t="s">
        <v>61</v>
      </c>
      <c r="G24" s="879" t="s">
        <v>409</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351</v>
      </c>
      <c r="V24" s="881">
        <v>5005</v>
      </c>
      <c r="W24" s="882">
        <v>4996</v>
      </c>
      <c r="X24" s="486">
        <f t="shared" si="4"/>
        <v>9</v>
      </c>
      <c r="Y24" s="684">
        <f t="shared" si="5"/>
        <v>0.99820179820179822</v>
      </c>
      <c r="Z24" s="493">
        <v>45708</v>
      </c>
      <c r="AA24" s="684">
        <v>1</v>
      </c>
      <c r="AB24" s="684">
        <v>1</v>
      </c>
      <c r="AC24" s="839">
        <v>0</v>
      </c>
      <c r="AD24" s="885" t="s">
        <v>410</v>
      </c>
    </row>
    <row r="25" spans="1:30" ht="39.75" customHeight="1">
      <c r="A25" s="878" t="s">
        <v>411</v>
      </c>
      <c r="B25" s="851" t="s">
        <v>50</v>
      </c>
      <c r="C25" s="490">
        <v>45772</v>
      </c>
      <c r="D25" s="854" t="s">
        <v>412</v>
      </c>
      <c r="E25" s="854">
        <v>45694</v>
      </c>
      <c r="F25" s="854" t="s">
        <v>61</v>
      </c>
      <c r="G25" s="879" t="s">
        <v>413</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351</v>
      </c>
      <c r="V25" s="877">
        <v>4979</v>
      </c>
      <c r="W25" s="882">
        <v>4984</v>
      </c>
      <c r="X25" s="486">
        <f t="shared" si="4"/>
        <v>-5</v>
      </c>
      <c r="Y25" s="684">
        <f t="shared" si="5"/>
        <v>1.0010042177144005</v>
      </c>
      <c r="Z25" s="493">
        <v>45714</v>
      </c>
      <c r="AA25" s="684">
        <v>1</v>
      </c>
      <c r="AB25" s="684">
        <v>1</v>
      </c>
      <c r="AC25" s="839">
        <v>0</v>
      </c>
      <c r="AD25" s="149" t="s">
        <v>414</v>
      </c>
    </row>
    <row r="26" spans="1:30" ht="39.75" customHeight="1">
      <c r="A26" s="872" t="s">
        <v>415</v>
      </c>
      <c r="B26" s="883" t="s">
        <v>50</v>
      </c>
      <c r="C26" s="661">
        <v>45688</v>
      </c>
      <c r="D26" s="661" t="s">
        <v>402</v>
      </c>
      <c r="E26" s="661">
        <v>45695</v>
      </c>
      <c r="F26" s="481" t="s">
        <v>61</v>
      </c>
      <c r="G26" s="884" t="s">
        <v>416</v>
      </c>
      <c r="H26" s="483">
        <v>88</v>
      </c>
      <c r="I26" s="683" t="s">
        <v>417</v>
      </c>
      <c r="J26" s="483" t="s">
        <v>63</v>
      </c>
      <c r="K26" s="857"/>
      <c r="L26" s="479" t="s">
        <v>350</v>
      </c>
      <c r="M26" s="683" t="s">
        <v>57</v>
      </c>
      <c r="N26" s="560">
        <v>43130</v>
      </c>
      <c r="O26" s="683" t="s">
        <v>57</v>
      </c>
      <c r="P26" s="830" t="s">
        <v>350</v>
      </c>
      <c r="Q26" s="485">
        <v>45691</v>
      </c>
      <c r="R26" s="485">
        <v>45870</v>
      </c>
      <c r="S26" s="485">
        <v>45908</v>
      </c>
      <c r="T26" s="485"/>
      <c r="U26" s="501" t="s">
        <v>351</v>
      </c>
      <c r="V26" s="486">
        <v>2931</v>
      </c>
      <c r="W26" s="765">
        <v>3257</v>
      </c>
      <c r="X26" s="486">
        <f t="shared" si="4"/>
        <v>-326</v>
      </c>
      <c r="Y26" s="684">
        <f t="shared" si="5"/>
        <v>1.11122483793927</v>
      </c>
      <c r="Z26" s="485">
        <v>45750</v>
      </c>
      <c r="AA26" s="516">
        <v>1</v>
      </c>
      <c r="AB26" s="516">
        <v>1</v>
      </c>
      <c r="AC26" s="664">
        <v>0</v>
      </c>
      <c r="AD26" s="923" t="s">
        <v>418</v>
      </c>
    </row>
    <row r="27" spans="1:30" ht="39.75" customHeight="1">
      <c r="A27" s="872" t="s">
        <v>419</v>
      </c>
      <c r="B27" s="851" t="s">
        <v>50</v>
      </c>
      <c r="C27" s="854">
        <v>45688</v>
      </c>
      <c r="D27" s="490" t="s">
        <v>60</v>
      </c>
      <c r="E27" s="854">
        <v>45686</v>
      </c>
      <c r="F27" s="854" t="s">
        <v>61</v>
      </c>
      <c r="G27" s="879" t="s">
        <v>420</v>
      </c>
      <c r="H27" s="492">
        <v>88</v>
      </c>
      <c r="I27" s="857" t="s">
        <v>417</v>
      </c>
      <c r="J27" s="492" t="s">
        <v>63</v>
      </c>
      <c r="K27" s="492"/>
      <c r="L27" s="858">
        <v>45706</v>
      </c>
      <c r="M27" s="857" t="s">
        <v>57</v>
      </c>
      <c r="N27" s="561">
        <v>69212.5</v>
      </c>
      <c r="O27" s="857" t="s">
        <v>57</v>
      </c>
      <c r="P27" s="830" t="s">
        <v>350</v>
      </c>
      <c r="Q27" s="493">
        <v>45679</v>
      </c>
      <c r="R27" s="493">
        <v>45917</v>
      </c>
      <c r="S27" s="493">
        <v>45918</v>
      </c>
      <c r="T27" s="493"/>
      <c r="U27" s="501" t="s">
        <v>351</v>
      </c>
      <c r="V27" s="41">
        <v>5661</v>
      </c>
      <c r="W27" s="765">
        <v>5752</v>
      </c>
      <c r="X27" s="486">
        <f t="shared" si="4"/>
        <v>-91</v>
      </c>
      <c r="Y27" s="684">
        <f t="shared" si="5"/>
        <v>1.0160748984278396</v>
      </c>
      <c r="Z27" s="493">
        <v>45681</v>
      </c>
      <c r="AA27" s="684">
        <v>1</v>
      </c>
      <c r="AB27" s="684">
        <v>1</v>
      </c>
      <c r="AC27" s="839">
        <v>0</v>
      </c>
      <c r="AD27" s="149" t="s">
        <v>421</v>
      </c>
    </row>
    <row r="28" spans="1:30" ht="39.75" customHeight="1">
      <c r="A28" s="872" t="s">
        <v>422</v>
      </c>
      <c r="B28" s="851" t="s">
        <v>50</v>
      </c>
      <c r="C28" s="490">
        <v>45772</v>
      </c>
      <c r="D28" s="489" t="s">
        <v>412</v>
      </c>
      <c r="E28" s="490">
        <v>45743</v>
      </c>
      <c r="F28" s="489" t="s">
        <v>61</v>
      </c>
      <c r="G28" s="852" t="s">
        <v>423</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351</v>
      </c>
      <c r="V28" s="41">
        <v>3967</v>
      </c>
      <c r="W28" s="765">
        <v>3936</v>
      </c>
      <c r="X28" s="486">
        <f t="shared" si="4"/>
        <v>31</v>
      </c>
      <c r="Y28" s="684">
        <f t="shared" si="5"/>
        <v>0.99218553062767834</v>
      </c>
      <c r="Z28" s="493">
        <v>45756</v>
      </c>
      <c r="AA28" s="684">
        <v>1</v>
      </c>
      <c r="AB28" s="684">
        <v>1</v>
      </c>
      <c r="AC28" s="664">
        <v>0</v>
      </c>
      <c r="AD28" s="922" t="s">
        <v>424</v>
      </c>
    </row>
    <row r="29" spans="1:30" ht="39.75" customHeight="1">
      <c r="A29" s="872" t="s">
        <v>425</v>
      </c>
      <c r="B29" s="851" t="s">
        <v>50</v>
      </c>
      <c r="C29" s="481">
        <v>45960</v>
      </c>
      <c r="D29" s="479" t="s">
        <v>245</v>
      </c>
      <c r="E29" s="481">
        <v>45927</v>
      </c>
      <c r="F29" s="479" t="s">
        <v>102</v>
      </c>
      <c r="G29" s="704" t="s">
        <v>426</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351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427</v>
      </c>
      <c r="B30" s="851" t="s">
        <v>50</v>
      </c>
      <c r="C30" s="481">
        <v>45991</v>
      </c>
      <c r="D30" s="481" t="s">
        <v>60</v>
      </c>
      <c r="E30" s="490">
        <v>45743</v>
      </c>
      <c r="F30" s="489" t="s">
        <v>61</v>
      </c>
      <c r="G30" s="852" t="s">
        <v>428</v>
      </c>
      <c r="H30" s="492">
        <v>70</v>
      </c>
      <c r="I30" s="683" t="s">
        <v>349</v>
      </c>
      <c r="J30" s="483" t="s">
        <v>63</v>
      </c>
      <c r="K30" s="853"/>
      <c r="L30" s="490">
        <v>45741</v>
      </c>
      <c r="M30" s="483" t="s">
        <v>57</v>
      </c>
      <c r="N30" s="561">
        <v>67735.5</v>
      </c>
      <c r="O30" s="483" t="s">
        <v>57</v>
      </c>
      <c r="P30" s="830" t="s">
        <v>350</v>
      </c>
      <c r="Q30" s="493">
        <v>45779</v>
      </c>
      <c r="R30" s="493"/>
      <c r="S30" s="493"/>
      <c r="T30" s="493"/>
      <c r="U30" s="501" t="s">
        <v>351</v>
      </c>
      <c r="V30" s="41">
        <v>6152</v>
      </c>
      <c r="W30" s="765">
        <v>5723</v>
      </c>
      <c r="X30" s="107">
        <f>SUM(V30-W30)</f>
        <v>429</v>
      </c>
      <c r="Y30" s="679">
        <f>IFERROR($W30/$V30, 0)</f>
        <v>0.9302665799739922</v>
      </c>
      <c r="Z30" s="700">
        <v>45792</v>
      </c>
      <c r="AA30" s="366">
        <v>0</v>
      </c>
      <c r="AB30" s="366">
        <v>0</v>
      </c>
      <c r="AC30" s="664">
        <v>0</v>
      </c>
      <c r="AD30" s="364" t="s">
        <v>429</v>
      </c>
    </row>
    <row r="31" spans="1:30" ht="39.75" customHeight="1">
      <c r="A31" s="920" t="s">
        <v>430</v>
      </c>
      <c r="B31" s="851" t="s">
        <v>50</v>
      </c>
      <c r="C31" s="854">
        <v>45716</v>
      </c>
      <c r="D31" s="854" t="s">
        <v>60</v>
      </c>
      <c r="E31" s="854">
        <v>45701</v>
      </c>
      <c r="F31" s="489" t="s">
        <v>61</v>
      </c>
      <c r="G31" s="879" t="s">
        <v>354</v>
      </c>
      <c r="H31" s="857">
        <v>0</v>
      </c>
      <c r="I31" s="857" t="s">
        <v>350</v>
      </c>
      <c r="J31" s="857" t="s">
        <v>63</v>
      </c>
      <c r="K31" s="857"/>
      <c r="L31" s="854">
        <v>45705</v>
      </c>
      <c r="M31" s="857" t="s">
        <v>57</v>
      </c>
      <c r="N31" s="880">
        <v>1295</v>
      </c>
      <c r="O31" s="857" t="s">
        <v>57</v>
      </c>
      <c r="P31" s="830" t="s">
        <v>350</v>
      </c>
      <c r="Q31" s="531">
        <v>45706</v>
      </c>
      <c r="R31" s="531">
        <v>45826</v>
      </c>
      <c r="S31" s="531"/>
      <c r="T31" s="531"/>
      <c r="U31" s="501" t="s">
        <v>351</v>
      </c>
      <c r="V31" s="881">
        <v>153</v>
      </c>
      <c r="W31" s="764">
        <v>153</v>
      </c>
      <c r="X31" s="107">
        <f t="shared" si="4"/>
        <v>0</v>
      </c>
      <c r="Y31" s="679">
        <f t="shared" si="5"/>
        <v>1</v>
      </c>
      <c r="Z31" s="700">
        <v>45754</v>
      </c>
      <c r="AA31" s="487">
        <v>1</v>
      </c>
      <c r="AB31" s="487">
        <v>1</v>
      </c>
      <c r="AC31" s="839">
        <v>0</v>
      </c>
      <c r="AD31" s="176" t="s">
        <v>431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432</v>
      </c>
      <c r="B2" s="860" t="s">
        <v>217</v>
      </c>
      <c r="C2" s="481">
        <v>45960</v>
      </c>
      <c r="D2" s="481" t="s">
        <v>433</v>
      </c>
      <c r="E2" s="481">
        <v>45909</v>
      </c>
      <c r="F2" s="481" t="s">
        <v>230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434</v>
      </c>
    </row>
    <row r="3" spans="1:30" ht="39.75" customHeight="1">
      <c r="A3" s="969" t="s">
        <v>435</v>
      </c>
      <c r="B3" s="860" t="s">
        <v>217</v>
      </c>
      <c r="C3" s="481">
        <v>45960</v>
      </c>
      <c r="D3" s="481" t="s">
        <v>436</v>
      </c>
      <c r="E3" s="481">
        <v>45897</v>
      </c>
      <c r="F3" s="479" t="s">
        <v>246</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437</v>
      </c>
    </row>
    <row r="4" spans="1:30" ht="39.75" customHeight="1">
      <c r="A4" s="969" t="s">
        <v>438</v>
      </c>
      <c r="B4" s="860" t="s">
        <v>217</v>
      </c>
      <c r="C4" s="481">
        <v>45960</v>
      </c>
      <c r="D4" s="481" t="s">
        <v>243</v>
      </c>
      <c r="E4" s="481">
        <v>45852</v>
      </c>
      <c r="F4" s="661" t="s">
        <v>225</v>
      </c>
      <c r="G4" s="704" t="s">
        <v>439</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440</v>
      </c>
      <c r="B5" s="860" t="s">
        <v>217</v>
      </c>
      <c r="C5" s="481">
        <v>45960</v>
      </c>
      <c r="D5" s="481" t="s">
        <v>60</v>
      </c>
      <c r="E5" s="481">
        <v>45905</v>
      </c>
      <c r="F5" s="481" t="s">
        <v>230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441</v>
      </c>
      <c r="AA5" s="366">
        <v>0</v>
      </c>
      <c r="AB5" s="366">
        <v>0</v>
      </c>
      <c r="AC5" s="41">
        <v>0</v>
      </c>
      <c r="AD5" s="173" t="s">
        <v>442</v>
      </c>
    </row>
    <row r="6" spans="1:30" ht="39.75" customHeight="1">
      <c r="A6" s="871" t="s">
        <v>443</v>
      </c>
      <c r="B6" s="508" t="s">
        <v>217</v>
      </c>
      <c r="C6" s="481">
        <v>45991</v>
      </c>
      <c r="D6" s="489" t="s">
        <v>444</v>
      </c>
      <c r="E6" s="490">
        <v>45716</v>
      </c>
      <c r="F6" s="489" t="s">
        <v>230</v>
      </c>
      <c r="G6" s="491" t="s">
        <v>445</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446</v>
      </c>
      <c r="B7" s="508" t="s">
        <v>217</v>
      </c>
      <c r="C7" s="481">
        <v>45991</v>
      </c>
      <c r="D7" s="489" t="s">
        <v>353</v>
      </c>
      <c r="E7" s="490">
        <v>45716</v>
      </c>
      <c r="F7" s="489" t="s">
        <v>225</v>
      </c>
      <c r="G7" s="491" t="s">
        <v>447</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448</v>
      </c>
      <c r="B8" s="860" t="s">
        <v>217</v>
      </c>
      <c r="C8" s="481">
        <v>45991</v>
      </c>
      <c r="D8" s="489" t="s">
        <v>243</v>
      </c>
      <c r="E8" s="490">
        <v>45880</v>
      </c>
      <c r="F8" s="489" t="s">
        <v>225</v>
      </c>
      <c r="G8" s="852" t="s">
        <v>449</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450</v>
      </c>
    </row>
    <row r="9" spans="1:30" ht="39.75" customHeight="1">
      <c r="A9" s="969" t="s">
        <v>451</v>
      </c>
      <c r="B9" s="860" t="s">
        <v>217</v>
      </c>
      <c r="C9" s="481">
        <v>45991</v>
      </c>
      <c r="D9" s="489" t="s">
        <v>243</v>
      </c>
      <c r="E9" s="490">
        <v>45880</v>
      </c>
      <c r="F9" s="489" t="s">
        <v>225</v>
      </c>
      <c r="G9" s="852" t="s">
        <v>452</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453</v>
      </c>
      <c r="B10" s="860" t="s">
        <v>217</v>
      </c>
      <c r="C10" s="481">
        <v>45991</v>
      </c>
      <c r="D10" s="490" t="s">
        <v>243</v>
      </c>
      <c r="E10" s="490">
        <v>45950</v>
      </c>
      <c r="F10" s="489" t="s">
        <v>225</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454</v>
      </c>
    </row>
    <row r="11" spans="1:30" ht="39.75" customHeight="1">
      <c r="A11" s="969" t="s">
        <v>455</v>
      </c>
      <c r="B11" s="860" t="s">
        <v>217</v>
      </c>
      <c r="C11" s="481">
        <v>45960</v>
      </c>
      <c r="D11" s="490" t="s">
        <v>243</v>
      </c>
      <c r="E11" s="490">
        <v>45930</v>
      </c>
      <c r="F11" s="489" t="s">
        <v>225</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454</v>
      </c>
    </row>
    <row r="12" spans="1:30" ht="39.75" customHeight="1">
      <c r="A12" s="969" t="s">
        <v>456</v>
      </c>
      <c r="B12" s="860" t="s">
        <v>217</v>
      </c>
      <c r="C12" s="481">
        <v>45960</v>
      </c>
      <c r="D12" s="490" t="s">
        <v>245</v>
      </c>
      <c r="E12" s="490">
        <v>45950</v>
      </c>
      <c r="F12" s="489" t="s">
        <v>246</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457</v>
      </c>
    </row>
    <row r="13" spans="1:30" ht="39.75" customHeight="1">
      <c r="A13" s="969" t="s">
        <v>458</v>
      </c>
      <c r="B13" s="860" t="s">
        <v>217</v>
      </c>
      <c r="C13" s="481">
        <v>45960</v>
      </c>
      <c r="D13" s="490" t="s">
        <v>245</v>
      </c>
      <c r="E13" s="490">
        <v>45937</v>
      </c>
      <c r="F13" s="489" t="s">
        <v>246</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454</v>
      </c>
    </row>
    <row r="14" spans="1:30" ht="39.75" customHeight="1">
      <c r="A14" s="969" t="s">
        <v>459</v>
      </c>
      <c r="B14" s="860" t="s">
        <v>217</v>
      </c>
      <c r="C14" s="481">
        <v>45960</v>
      </c>
      <c r="D14" s="489" t="s">
        <v>245</v>
      </c>
      <c r="E14" s="490">
        <v>45966</v>
      </c>
      <c r="F14" s="489" t="s">
        <v>246</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460</v>
      </c>
      <c r="B15" s="860" t="s">
        <v>217</v>
      </c>
      <c r="C15" s="481">
        <v>45960</v>
      </c>
      <c r="D15" s="489" t="s">
        <v>245</v>
      </c>
      <c r="E15" s="490">
        <v>45944</v>
      </c>
      <c r="F15" s="489" t="s">
        <v>246</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461</v>
      </c>
    </row>
    <row r="16" spans="1:30" ht="39.75" customHeight="1">
      <c r="A16" s="969" t="s">
        <v>462</v>
      </c>
      <c r="B16" s="860" t="s">
        <v>217</v>
      </c>
      <c r="C16" s="481" t="s">
        <v>463</v>
      </c>
      <c r="D16" s="489" t="s">
        <v>60</v>
      </c>
      <c r="E16" s="490">
        <v>45964</v>
      </c>
      <c r="F16" s="489" t="s">
        <v>225</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219</v>
      </c>
    </row>
    <row r="17" spans="1:30" ht="39.75" customHeight="1">
      <c r="A17" s="513" t="s">
        <v>464</v>
      </c>
      <c r="B17" s="479" t="s">
        <v>114</v>
      </c>
      <c r="C17" s="481">
        <v>45868</v>
      </c>
      <c r="D17" s="481" t="s">
        <v>60</v>
      </c>
      <c r="E17" s="481">
        <v>45793</v>
      </c>
      <c r="F17" s="505" t="s">
        <v>115</v>
      </c>
      <c r="G17" s="1066" t="s">
        <v>465</v>
      </c>
      <c r="H17" s="483">
        <v>0</v>
      </c>
      <c r="I17" s="483" t="s">
        <v>349</v>
      </c>
      <c r="J17" s="483" t="s">
        <v>63</v>
      </c>
      <c r="K17" s="983"/>
      <c r="L17" s="481">
        <v>45793</v>
      </c>
      <c r="M17" s="483" t="s">
        <v>57</v>
      </c>
      <c r="N17" s="560">
        <v>53589.8</v>
      </c>
      <c r="O17" s="483" t="s">
        <v>57</v>
      </c>
      <c r="P17" s="644" t="s">
        <v>350</v>
      </c>
      <c r="Q17" s="485">
        <v>45793</v>
      </c>
      <c r="R17" s="485" t="s">
        <v>466</v>
      </c>
      <c r="S17" s="485"/>
      <c r="T17" s="485"/>
      <c r="U17" s="485">
        <v>45917</v>
      </c>
      <c r="V17" s="486">
        <v>8305</v>
      </c>
      <c r="W17" s="645">
        <v>8818</v>
      </c>
      <c r="X17" s="107">
        <f t="shared" si="0"/>
        <v>-513</v>
      </c>
      <c r="Y17" s="22">
        <f t="shared" si="1"/>
        <v>1.0617700180614087</v>
      </c>
      <c r="Z17" s="674">
        <v>45810</v>
      </c>
      <c r="AA17" s="366">
        <v>1</v>
      </c>
      <c r="AB17" s="366">
        <v>1</v>
      </c>
      <c r="AC17" s="664">
        <v>0</v>
      </c>
      <c r="AD17" s="427" t="s">
        <v>467</v>
      </c>
    </row>
    <row r="18" spans="1:30" ht="39.75" customHeight="1">
      <c r="A18" s="969" t="s">
        <v>468</v>
      </c>
      <c r="B18" s="479" t="s">
        <v>114</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469</v>
      </c>
    </row>
    <row r="19" spans="1:30" ht="39.75" customHeight="1">
      <c r="A19" s="969" t="s">
        <v>470</v>
      </c>
      <c r="B19" s="479" t="s">
        <v>114</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471</v>
      </c>
    </row>
    <row r="20" spans="1:30" ht="39.75" customHeight="1">
      <c r="A20" s="969" t="s">
        <v>472</v>
      </c>
      <c r="B20" s="479" t="s">
        <v>114</v>
      </c>
      <c r="C20" s="490">
        <v>45991</v>
      </c>
      <c r="D20" s="481" t="s">
        <v>207</v>
      </c>
      <c r="E20" s="481">
        <v>45953</v>
      </c>
      <c r="F20" s="479" t="s">
        <v>141</v>
      </c>
      <c r="G20" s="704" t="s">
        <v>473</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474</v>
      </c>
    </row>
    <row r="21" spans="1:30" ht="39.75" customHeight="1">
      <c r="A21" s="969" t="s">
        <v>475</v>
      </c>
      <c r="B21" s="479" t="s">
        <v>114</v>
      </c>
      <c r="C21" s="505">
        <v>45838</v>
      </c>
      <c r="D21" s="505" t="s">
        <v>140</v>
      </c>
      <c r="E21" s="490">
        <v>45786</v>
      </c>
      <c r="F21" s="505" t="s">
        <v>133</v>
      </c>
      <c r="G21" s="981" t="s">
        <v>476</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477</v>
      </c>
    </row>
    <row r="22" spans="1:30" ht="39.75" customHeight="1">
      <c r="A22" s="969" t="s">
        <v>478</v>
      </c>
      <c r="B22" s="703" t="s">
        <v>114</v>
      </c>
      <c r="C22" s="490">
        <v>45991</v>
      </c>
      <c r="D22" s="479" t="s">
        <v>479</v>
      </c>
      <c r="E22" s="481">
        <v>45936</v>
      </c>
      <c r="F22" s="479" t="s">
        <v>115</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480</v>
      </c>
    </row>
    <row r="23" spans="1:30" ht="39.75" customHeight="1">
      <c r="A23" s="969" t="s">
        <v>481</v>
      </c>
      <c r="B23" s="703" t="s">
        <v>114</v>
      </c>
      <c r="C23" s="490">
        <v>45991</v>
      </c>
      <c r="D23" s="481" t="s">
        <v>207</v>
      </c>
      <c r="E23" s="481">
        <v>45961</v>
      </c>
      <c r="F23" s="479" t="s">
        <v>115</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482</v>
      </c>
    </row>
    <row r="24" spans="1:30" ht="39.75" customHeight="1">
      <c r="A24" s="969" t="s">
        <v>483</v>
      </c>
      <c r="B24" s="479" t="s">
        <v>114</v>
      </c>
      <c r="C24" s="490">
        <v>45960</v>
      </c>
      <c r="D24" s="481" t="s">
        <v>210</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484</v>
      </c>
    </row>
    <row r="25" spans="1:30" ht="39.75" customHeight="1">
      <c r="A25" s="646" t="s">
        <v>485</v>
      </c>
      <c r="B25" s="480" t="s">
        <v>50</v>
      </c>
      <c r="C25" s="490">
        <v>45742</v>
      </c>
      <c r="D25" s="490" t="s">
        <v>486</v>
      </c>
      <c r="E25" s="442">
        <v>45680</v>
      </c>
      <c r="F25" s="489" t="s">
        <v>61</v>
      </c>
      <c r="G25" s="509" t="s">
        <v>487</v>
      </c>
      <c r="H25" s="492">
        <v>79</v>
      </c>
      <c r="I25" s="498" t="s">
        <v>417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488</v>
      </c>
    </row>
    <row r="26" spans="1:30" ht="39.75" customHeight="1">
      <c r="A26" s="969" t="s">
        <v>489</v>
      </c>
      <c r="B26" s="851" t="s">
        <v>50</v>
      </c>
      <c r="C26" s="481">
        <v>45991</v>
      </c>
      <c r="D26" s="481" t="s">
        <v>60</v>
      </c>
      <c r="E26" s="490">
        <v>45743</v>
      </c>
      <c r="F26" s="489" t="s">
        <v>61</v>
      </c>
      <c r="G26" s="852" t="s">
        <v>490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491</v>
      </c>
      <c r="B27" s="480" t="s">
        <v>50</v>
      </c>
      <c r="C27" s="481">
        <v>45991</v>
      </c>
      <c r="D27" s="489" t="s">
        <v>492</v>
      </c>
      <c r="E27" s="442">
        <v>45735</v>
      </c>
      <c r="F27" s="489" t="s">
        <v>61</v>
      </c>
      <c r="G27" s="491" t="s">
        <v>493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494</v>
      </c>
    </row>
    <row r="28" spans="1:30" ht="39.75" customHeight="1">
      <c r="A28" s="969" t="s">
        <v>495</v>
      </c>
      <c r="B28" s="851" t="s">
        <v>50</v>
      </c>
      <c r="C28" s="481">
        <v>45991</v>
      </c>
      <c r="D28" s="481" t="s">
        <v>60</v>
      </c>
      <c r="E28" s="490">
        <v>45779</v>
      </c>
      <c r="F28" s="489" t="s">
        <v>61</v>
      </c>
      <c r="G28" s="852" t="s">
        <v>496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497</v>
      </c>
    </row>
    <row r="29" spans="1:30" ht="39.75" customHeight="1">
      <c r="A29" s="969" t="s">
        <v>498</v>
      </c>
      <c r="B29" s="851" t="s">
        <v>50</v>
      </c>
      <c r="C29" s="481">
        <v>46008</v>
      </c>
      <c r="D29" s="481" t="s">
        <v>499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500</v>
      </c>
      <c r="B30" s="851" t="s">
        <v>50</v>
      </c>
      <c r="C30" s="481">
        <v>46008</v>
      </c>
      <c r="D30" s="481" t="s">
        <v>501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217</v>
      </c>
      <c r="C2" s="51">
        <v>45807</v>
      </c>
      <c r="D2" s="51" t="s">
        <v>506</v>
      </c>
      <c r="E2" s="51">
        <v>45706</v>
      </c>
      <c r="F2" s="50" t="s">
        <v>225</v>
      </c>
      <c r="G2" s="393" t="s">
        <v>507</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417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417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417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417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417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417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417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417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417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417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347</v>
      </c>
      <c r="E35" s="51">
        <v>45727</v>
      </c>
      <c r="F35" s="50" t="s">
        <v>584</v>
      </c>
      <c r="G35" s="606" t="s">
        <v>585</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398</v>
      </c>
      <c r="E37" s="51">
        <v>45716</v>
      </c>
      <c r="F37" s="50" t="s">
        <v>590</v>
      </c>
      <c r="G37" s="690" t="s">
        <v>591</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398</v>
      </c>
      <c r="E40" s="680">
        <v>45695</v>
      </c>
      <c r="F40" s="50" t="s">
        <v>590</v>
      </c>
      <c r="G40" s="590" t="s">
        <v>406</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402</v>
      </c>
      <c r="E43" s="392">
        <v>45692</v>
      </c>
      <c r="F43" s="51" t="s">
        <v>584</v>
      </c>
      <c r="G43" s="590" t="s">
        <v>605</v>
      </c>
      <c r="H43" s="391">
        <v>90</v>
      </c>
      <c r="I43" s="391" t="s">
        <v>417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486</v>
      </c>
      <c r="E44" s="680">
        <v>45692</v>
      </c>
      <c r="F44" s="680" t="s">
        <v>230</v>
      </c>
      <c r="G44" s="681" t="s">
        <v>608</v>
      </c>
      <c r="H44" s="52">
        <v>86</v>
      </c>
      <c r="I44" s="682" t="s">
        <v>417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230</v>
      </c>
      <c r="G46" s="390" t="s">
        <v>616</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486</v>
      </c>
      <c r="E47" s="680">
        <v>45691</v>
      </c>
      <c r="F47" s="680" t="s">
        <v>230</v>
      </c>
      <c r="G47" s="681" t="s">
        <v>618</v>
      </c>
      <c r="H47" s="52">
        <v>73</v>
      </c>
      <c r="I47" s="689" t="s">
        <v>417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230</v>
      </c>
      <c r="G48" s="590" t="s">
        <v>621</v>
      </c>
      <c r="H48" s="52">
        <v>65</v>
      </c>
      <c r="I48" s="391" t="s">
        <v>417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398</v>
      </c>
      <c r="E49" s="51">
        <v>45743</v>
      </c>
      <c r="F49" s="50" t="s">
        <v>590</v>
      </c>
      <c r="G49" s="390" t="s">
        <v>623</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398</v>
      </c>
      <c r="E50" s="51">
        <v>45743</v>
      </c>
      <c r="F50" s="50" t="s">
        <v>590</v>
      </c>
      <c r="G50" s="692" t="s">
        <v>625</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230</v>
      </c>
      <c r="G52" s="390" t="s">
        <v>629</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398</v>
      </c>
      <c r="E60" s="680">
        <v>45684</v>
      </c>
      <c r="F60" s="50" t="s">
        <v>590</v>
      </c>
      <c r="G60" s="681" t="s">
        <v>649</v>
      </c>
      <c r="H60" s="52">
        <v>90</v>
      </c>
      <c r="I60" s="682" t="s">
        <v>417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402</v>
      </c>
      <c r="E61" s="51">
        <v>45716</v>
      </c>
      <c r="F61" s="50" t="s">
        <v>584</v>
      </c>
      <c r="G61" s="692" t="s">
        <v>651</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417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230</v>
      </c>
      <c r="G64" s="393" t="s">
        <v>659</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402</v>
      </c>
      <c r="E65" s="680">
        <v>45692</v>
      </c>
      <c r="F65" s="680" t="s">
        <v>584</v>
      </c>
      <c r="G65" s="681" t="s">
        <v>662</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417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230</v>
      </c>
      <c r="G68" s="818" t="s">
        <v>670</v>
      </c>
      <c r="H68" s="798">
        <v>85</v>
      </c>
      <c r="I68" s="804" t="s">
        <v>349</v>
      </c>
      <c r="J68" s="798" t="s">
        <v>63</v>
      </c>
      <c r="K68" s="57">
        <v>45707</v>
      </c>
      <c r="L68" s="798" t="s">
        <v>57</v>
      </c>
      <c r="M68" s="440" t="s">
        <v>671</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230</v>
      </c>
      <c r="G71" s="818" t="s">
        <v>678</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230</v>
      </c>
      <c r="G72" s="1124" t="s">
        <v>680</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402</v>
      </c>
      <c r="E73" s="77">
        <v>45700</v>
      </c>
      <c r="F73" s="77" t="s">
        <v>584</v>
      </c>
      <c r="G73" s="1124" t="s">
        <v>682</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417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398</v>
      </c>
      <c r="E76" s="57">
        <v>45695</v>
      </c>
      <c r="F76" s="794" t="s">
        <v>590</v>
      </c>
      <c r="G76" s="818" t="s">
        <v>689</v>
      </c>
      <c r="H76" s="798">
        <v>0</v>
      </c>
      <c r="I76" s="814" t="s">
        <v>417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230</v>
      </c>
      <c r="G79" s="986" t="s">
        <v>699</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398</v>
      </c>
      <c r="E80" s="51">
        <v>45807</v>
      </c>
      <c r="F80" s="385" t="s">
        <v>590</v>
      </c>
      <c r="G80" s="385" t="s">
        <v>702</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398</v>
      </c>
      <c r="E81" s="392">
        <v>45686</v>
      </c>
      <c r="F81" s="50" t="s">
        <v>590</v>
      </c>
      <c r="G81" s="590" t="s">
        <v>704</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217</v>
      </c>
      <c r="C88" s="51">
        <v>45711</v>
      </c>
      <c r="D88" s="50" t="s">
        <v>140</v>
      </c>
      <c r="E88" s="51">
        <v>45707</v>
      </c>
      <c r="F88" s="50" t="s">
        <v>710</v>
      </c>
      <c r="G88" s="390" t="s">
        <v>711</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217</v>
      </c>
      <c r="C89" s="386">
        <v>45991</v>
      </c>
      <c r="D89" s="50" t="s">
        <v>713</v>
      </c>
      <c r="E89" s="51">
        <v>45735</v>
      </c>
      <c r="F89" s="50" t="s">
        <v>225</v>
      </c>
      <c r="G89" s="390" t="s">
        <v>714</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349</v>
      </c>
      <c r="J119" s="520" t="s">
        <v>63</v>
      </c>
      <c r="K119" s="521" t="s">
        <v>791</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398</v>
      </c>
      <c r="E132" s="57">
        <v>45716</v>
      </c>
      <c r="F132" s="794" t="s">
        <v>590</v>
      </c>
      <c r="G132" s="931" t="s">
        <v>824</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417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412</v>
      </c>
      <c r="E134" s="57">
        <v>45743</v>
      </c>
      <c r="F134" s="794" t="s">
        <v>590</v>
      </c>
      <c r="G134" s="797" t="s">
        <v>829</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347</v>
      </c>
      <c r="E139" s="57">
        <v>45694</v>
      </c>
      <c r="F139" s="57" t="s">
        <v>584</v>
      </c>
      <c r="G139" s="818" t="s">
        <v>841</v>
      </c>
      <c r="H139" s="798">
        <v>0</v>
      </c>
      <c r="I139" s="814" t="s">
        <v>417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230</v>
      </c>
      <c r="G141" s="797" t="s">
        <v>847</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217</v>
      </c>
      <c r="C147" s="490">
        <v>45807</v>
      </c>
      <c r="D147" s="479" t="s">
        <v>51</v>
      </c>
      <c r="E147" s="489" t="s">
        <v>52</v>
      </c>
      <c r="F147" s="479" t="s">
        <v>667</v>
      </c>
      <c r="G147" s="704" t="s">
        <v>445</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217</v>
      </c>
      <c r="C148" s="490">
        <v>45807</v>
      </c>
      <c r="D148" s="489" t="s">
        <v>51</v>
      </c>
      <c r="E148" s="489" t="s">
        <v>52</v>
      </c>
      <c r="F148" s="489" t="s">
        <v>667</v>
      </c>
      <c r="G148" s="852" t="s">
        <v>855</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217</v>
      </c>
      <c r="C149" s="490">
        <v>45807</v>
      </c>
      <c r="D149" s="489" t="s">
        <v>51</v>
      </c>
      <c r="E149" s="489" t="s">
        <v>52</v>
      </c>
      <c r="F149" s="489" t="s">
        <v>667</v>
      </c>
      <c r="G149" s="852" t="s">
        <v>857</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402</v>
      </c>
      <c r="E152" s="854">
        <v>45698</v>
      </c>
      <c r="F152" s="490" t="s">
        <v>584</v>
      </c>
      <c r="G152" s="856" t="s">
        <v>864</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5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398</v>
      </c>
      <c r="K5" s="1158">
        <v>6147</v>
      </c>
      <c r="N5" t="s">
        <v>398</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419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412</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402</v>
      </c>
      <c r="K16" s="1158">
        <v>4828</v>
      </c>
    </row>
    <row r="17" spans="1:11">
      <c r="A17" t="s">
        <v>598</v>
      </c>
      <c r="B17" s="1158"/>
      <c r="C17" s="1158"/>
      <c r="D17" s="1158"/>
      <c r="E17" s="1158">
        <v>547</v>
      </c>
      <c r="F17" s="1158">
        <v>792</v>
      </c>
      <c r="G17" s="1158">
        <v>1339</v>
      </c>
      <c r="J17" t="s">
        <v>412</v>
      </c>
      <c r="K17" s="1158">
        <v>6718</v>
      </c>
    </row>
    <row r="18" spans="1:11">
      <c r="A18" t="s">
        <v>601</v>
      </c>
      <c r="B18" s="1158"/>
      <c r="C18" s="1158"/>
      <c r="D18" s="1158"/>
      <c r="E18" s="1158"/>
      <c r="F18" s="1158">
        <v>823</v>
      </c>
      <c r="G18" s="1158">
        <v>823</v>
      </c>
      <c r="J18" t="s">
        <v>347</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419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408</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485</v>
      </c>
      <c r="B32" s="1158"/>
      <c r="C32" s="1158"/>
      <c r="D32" s="1158"/>
      <c r="E32" s="1158"/>
      <c r="F32" s="1158"/>
      <c r="G32" s="1158"/>
    </row>
    <row r="33" spans="1:7">
      <c r="A33" t="s">
        <v>594</v>
      </c>
      <c r="B33" s="1158"/>
      <c r="C33" s="1158"/>
      <c r="D33" s="1158"/>
      <c r="E33" s="1158"/>
      <c r="F33" s="1158">
        <v>1095</v>
      </c>
      <c r="G33" s="1158">
        <v>1095</v>
      </c>
    </row>
    <row r="34" spans="1:7">
      <c r="A34" t="s">
        <v>405</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419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408</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485</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405</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401</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411</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419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408</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485</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405</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401</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411</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419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408</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485</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405</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401</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411</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419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485</v>
      </c>
      <c r="B188" s="1158"/>
      <c r="C188" s="1158"/>
      <c r="D188" s="1158"/>
      <c r="E188" s="1158"/>
      <c r="F188" s="1158"/>
      <c r="G188" s="1158"/>
    </row>
    <row r="189" spans="1:7">
      <c r="A189" t="s">
        <v>567</v>
      </c>
      <c r="B189" s="1158"/>
      <c r="C189" s="1158"/>
      <c r="D189" s="1158"/>
      <c r="E189" s="1158"/>
      <c r="F189" s="1158"/>
      <c r="G189" s="1158"/>
    </row>
    <row r="190" spans="1:7">
      <c r="A190" t="s">
        <v>401</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419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408</v>
      </c>
      <c r="B231" s="1158"/>
      <c r="C231" s="1158"/>
      <c r="D231" s="1158"/>
      <c r="E231" s="1158"/>
      <c r="F231" s="1158"/>
      <c r="G231" s="1158"/>
    </row>
    <row r="232" spans="1:7">
      <c r="A232" t="s">
        <v>401</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397</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446</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408</v>
      </c>
      <c r="B264" s="1158">
        <v>0</v>
      </c>
      <c r="C264" s="1158"/>
      <c r="D264" s="1158"/>
      <c r="E264" s="1158"/>
      <c r="F264" s="1158"/>
      <c r="G264" s="1158">
        <v>0</v>
      </c>
    </row>
    <row r="265" spans="1:7">
      <c r="A265" t="s">
        <v>594</v>
      </c>
      <c r="B265" s="1158">
        <v>745</v>
      </c>
      <c r="C265" s="1158"/>
      <c r="D265" s="1158"/>
      <c r="E265" s="1158"/>
      <c r="F265" s="1158"/>
      <c r="G265" s="1158">
        <v>745</v>
      </c>
    </row>
    <row r="266" spans="1:7">
      <c r="A266" t="s">
        <v>401</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446</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352</v>
      </c>
      <c r="B284" s="1158">
        <v>2227</v>
      </c>
      <c r="C284" s="1158"/>
      <c r="D284" s="1158"/>
      <c r="E284" s="1158"/>
      <c r="F284" s="1158"/>
      <c r="G284" s="1158">
        <v>2227</v>
      </c>
    </row>
    <row r="285" spans="1:7">
      <c r="A285" t="s">
        <v>415</v>
      </c>
      <c r="B285" s="1158"/>
      <c r="C285" s="1158">
        <v>0</v>
      </c>
      <c r="D285" s="1158">
        <v>0</v>
      </c>
      <c r="E285" s="1158">
        <v>344</v>
      </c>
      <c r="F285" s="1158"/>
      <c r="G285" s="1158">
        <v>344</v>
      </c>
    </row>
    <row r="286" spans="1:7">
      <c r="A286" t="s">
        <v>346</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443</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415</v>
      </c>
      <c r="B309" s="1158"/>
      <c r="C309" s="1158"/>
      <c r="D309" s="1158"/>
      <c r="E309" s="1158"/>
      <c r="F309" s="1158"/>
      <c r="G309" s="1158"/>
    </row>
    <row r="310" spans="1:7">
      <c r="A310" t="s">
        <v>346</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443</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491</v>
      </c>
      <c r="B316" s="1158">
        <v>590</v>
      </c>
      <c r="C316" s="1158">
        <v>343</v>
      </c>
      <c r="D316" s="1158"/>
      <c r="E316" s="1158"/>
      <c r="F316" s="1158"/>
      <c r="G316" s="1158">
        <v>933</v>
      </c>
    </row>
    <row r="317" spans="1:7">
      <c r="A317" t="s">
        <v>430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422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422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422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401</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491</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401</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397</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495</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401</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397</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475</v>
      </c>
      <c r="B470" s="1158">
        <v>644</v>
      </c>
      <c r="C470" s="1158">
        <v>1430</v>
      </c>
      <c r="D470" s="1158">
        <v>970</v>
      </c>
      <c r="E470" s="1158"/>
      <c r="F470" s="1158"/>
      <c r="G470" s="1158">
        <v>3044</v>
      </c>
    </row>
    <row r="471" spans="1:7">
      <c r="A471" t="s">
        <v>356</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397</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475</v>
      </c>
      <c r="B485" s="1158">
        <v>948</v>
      </c>
      <c r="C485" s="1158"/>
      <c r="D485" s="1158">
        <v>736</v>
      </c>
      <c r="E485" s="1158"/>
      <c r="F485" s="1158">
        <v>1684</v>
      </c>
    </row>
    <row r="486" spans="1:7">
      <c r="A486" t="s">
        <v>464</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491</v>
      </c>
      <c r="B501" s="1158"/>
      <c r="C501" s="1158"/>
      <c r="D501" s="1158"/>
      <c r="E501" s="1158">
        <v>341</v>
      </c>
      <c r="F501" s="1158"/>
      <c r="G501" s="1158">
        <v>341</v>
      </c>
    </row>
    <row r="502" spans="1:7">
      <c r="A502" t="s">
        <v>908</v>
      </c>
      <c r="B502" s="1158"/>
      <c r="C502" s="1158"/>
      <c r="D502" s="1158"/>
      <c r="E502" s="1158"/>
      <c r="F502" s="1158"/>
      <c r="G502" s="1158"/>
    </row>
    <row r="503" spans="1:7">
      <c r="A503" t="s">
        <v>475</v>
      </c>
      <c r="B503" s="1158">
        <v>1957</v>
      </c>
      <c r="C503" s="1158"/>
      <c r="D503" s="1158"/>
      <c r="E503" s="1158"/>
      <c r="F503" s="1158"/>
      <c r="G503" s="1158">
        <v>1957</v>
      </c>
    </row>
    <row r="504" spans="1:7">
      <c r="A504" t="s">
        <v>464</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464</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346</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475</v>
      </c>
      <c r="B537" s="1158"/>
      <c r="C537" s="1158"/>
      <c r="D537" s="1158"/>
      <c r="E537" s="1158"/>
      <c r="F537" s="1158"/>
      <c r="G537" s="1158"/>
    </row>
    <row r="538" spans="1:7">
      <c r="A538" t="s">
        <v>464</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346</v>
      </c>
      <c r="B549" s="1158"/>
      <c r="C549" s="1158"/>
      <c r="D549" s="1158"/>
      <c r="E549" s="1158">
        <v>676</v>
      </c>
      <c r="F549" s="1158">
        <v>430</v>
      </c>
      <c r="G549" s="1158">
        <v>1106</v>
      </c>
    </row>
    <row r="550" spans="1:7">
      <c r="A550" t="s">
        <v>491</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464</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346</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475</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352</v>
      </c>
      <c r="B578" s="1158"/>
      <c r="C578" s="1158"/>
      <c r="D578" s="1158"/>
      <c r="E578" s="1158"/>
      <c r="F578" s="1158">
        <v>198</v>
      </c>
      <c r="G578" s="1158">
        <v>198</v>
      </c>
    </row>
    <row r="579" spans="1:7">
      <c r="A579" t="s">
        <v>346</v>
      </c>
      <c r="B579" s="1158"/>
      <c r="C579" s="1158"/>
      <c r="D579" s="1158"/>
      <c r="E579" s="1158"/>
      <c r="F579" s="1158"/>
      <c r="G579" s="1158"/>
    </row>
    <row r="580" spans="1:7">
      <c r="A580" t="s">
        <v>443</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446</v>
      </c>
      <c r="B590" s="1158"/>
      <c r="C590" s="1158">
        <v>403</v>
      </c>
      <c r="D590" s="1158">
        <v>39</v>
      </c>
      <c r="E590" s="1158"/>
      <c r="F590" s="1158"/>
      <c r="G590" s="1158">
        <v>442</v>
      </c>
    </row>
    <row r="591" spans="1:7">
      <c r="A591" t="s">
        <v>352</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464</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446</v>
      </c>
      <c r="B604" s="1158"/>
      <c r="C604" s="1158">
        <v>318</v>
      </c>
      <c r="D604" s="1158"/>
      <c r="E604" s="1158"/>
      <c r="F604" s="1158"/>
      <c r="G604" s="1158">
        <v>318</v>
      </c>
    </row>
    <row r="605" spans="1:7">
      <c r="A605" t="s">
        <v>352</v>
      </c>
      <c r="B605" s="1158"/>
      <c r="C605" s="1158"/>
      <c r="D605" s="1158">
        <v>461</v>
      </c>
      <c r="E605" s="1158">
        <v>880</v>
      </c>
      <c r="F605" s="1158">
        <v>585</v>
      </c>
      <c r="G605" s="1158">
        <v>1926</v>
      </c>
    </row>
    <row r="606" spans="1:7">
      <c r="A606" t="s">
        <v>443</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464</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408</v>
      </c>
      <c r="B624" s="1158"/>
      <c r="C624" s="1158"/>
      <c r="D624" s="1158"/>
      <c r="E624" s="1158"/>
      <c r="F624" s="1158">
        <v>183</v>
      </c>
      <c r="G624" s="1158">
        <v>183</v>
      </c>
    </row>
    <row r="625" spans="1:7">
      <c r="A625" t="s">
        <v>352</v>
      </c>
      <c r="B625" s="1158">
        <v>345</v>
      </c>
      <c r="C625" s="1158"/>
      <c r="D625" s="1158"/>
      <c r="E625" s="1158"/>
      <c r="F625" s="1158"/>
      <c r="G625" s="1158">
        <v>345</v>
      </c>
    </row>
    <row r="626" spans="1:7">
      <c r="A626" t="s">
        <v>464</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438</v>
      </c>
      <c r="B632" s="1158"/>
      <c r="C632" s="1158"/>
      <c r="D632" s="1158">
        <v>314</v>
      </c>
      <c r="E632" s="1158"/>
      <c r="F632" s="1158"/>
      <c r="G632" s="1158">
        <v>314</v>
      </c>
    </row>
    <row r="633" spans="1:7">
      <c r="A633" t="s">
        <v>358</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438</v>
      </c>
      <c r="B641" s="1158"/>
      <c r="C641" s="1158"/>
      <c r="D641" s="1158"/>
      <c r="E641" s="1158"/>
      <c r="F641" s="1158"/>
      <c r="G641" s="1158"/>
    </row>
    <row r="642" spans="1:7">
      <c r="A642" t="s">
        <v>358</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446</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358</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443</v>
      </c>
      <c r="B665" s="1158"/>
      <c r="C665" s="1158"/>
      <c r="D665" s="1158">
        <v>499</v>
      </c>
      <c r="E665" s="1158">
        <v>231</v>
      </c>
      <c r="F665" s="1158">
        <v>316</v>
      </c>
      <c r="G665" s="1158">
        <v>1046</v>
      </c>
    </row>
    <row r="666" spans="1:7">
      <c r="A666" t="s">
        <v>491</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438</v>
      </c>
      <c r="B669" s="1158"/>
      <c r="C669" s="1158">
        <v>430</v>
      </c>
      <c r="D669" s="1158"/>
      <c r="E669" s="1158"/>
      <c r="F669" s="1158"/>
      <c r="G669" s="1158">
        <v>430</v>
      </c>
    </row>
    <row r="670" spans="1:7">
      <c r="A670" t="s">
        <v>358</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446</v>
      </c>
      <c r="B684" s="1158"/>
      <c r="C684" s="1158"/>
      <c r="D684" s="1158">
        <v>358</v>
      </c>
      <c r="E684" s="1158"/>
      <c r="F684" s="1158"/>
      <c r="G684" s="1158">
        <v>358</v>
      </c>
    </row>
    <row r="685" spans="1:7">
      <c r="A685" t="s">
        <v>352</v>
      </c>
      <c r="B685" s="1158"/>
      <c r="C685" s="1158"/>
      <c r="D685" s="1158">
        <v>1241</v>
      </c>
      <c r="E685" s="1158"/>
      <c r="F685" s="1158"/>
      <c r="G685" s="1158">
        <v>1241</v>
      </c>
    </row>
    <row r="686" spans="1:7">
      <c r="A686" t="s">
        <v>443</v>
      </c>
      <c r="B686" s="1158">
        <v>503</v>
      </c>
      <c r="C686" s="1158">
        <v>295</v>
      </c>
      <c r="D686" s="1158"/>
      <c r="E686" s="1158"/>
      <c r="F686" s="1158">
        <v>6</v>
      </c>
      <c r="G686" s="1158">
        <v>804</v>
      </c>
    </row>
    <row r="687" spans="1:7">
      <c r="A687" t="s">
        <v>491</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358</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446</v>
      </c>
      <c r="B706" s="1158"/>
      <c r="C706" s="1158"/>
      <c r="D706" s="1158"/>
      <c r="E706" s="1158">
        <v>99</v>
      </c>
      <c r="F706" s="1158"/>
      <c r="G706" s="1158">
        <v>99</v>
      </c>
    </row>
    <row r="707" spans="1:7">
      <c r="A707" t="s">
        <v>352</v>
      </c>
      <c r="B707" s="1158"/>
      <c r="C707" s="1158"/>
      <c r="D707" s="1158"/>
      <c r="E707" s="1158"/>
      <c r="F707" s="1158"/>
      <c r="G707" s="1158"/>
    </row>
    <row r="708" spans="1:7">
      <c r="A708" t="s">
        <v>675</v>
      </c>
      <c r="B708" s="1158"/>
      <c r="C708" s="1158"/>
      <c r="D708" s="1158"/>
      <c r="E708" s="1158"/>
      <c r="F708" s="1158"/>
      <c r="G708" s="1158"/>
    </row>
    <row r="709" spans="1:7">
      <c r="A709" t="s">
        <v>443</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367</v>
      </c>
      <c r="B719" s="1158"/>
      <c r="C719" s="1158"/>
      <c r="D719" s="1158"/>
      <c r="E719" s="1158">
        <v>903</v>
      </c>
      <c r="F719" s="1158"/>
      <c r="G719" s="1158">
        <v>903</v>
      </c>
    </row>
    <row r="720" spans="1:7">
      <c r="A720" t="s">
        <v>360</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491</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367</v>
      </c>
      <c r="B731" s="1158">
        <v>254</v>
      </c>
      <c r="C731" s="1158">
        <v>1686</v>
      </c>
      <c r="D731" s="1158">
        <v>611</v>
      </c>
      <c r="E731" s="1158"/>
      <c r="F731" s="1158"/>
      <c r="G731" s="1158">
        <v>2551</v>
      </c>
    </row>
    <row r="732" spans="1:7">
      <c r="A732" t="s">
        <v>360</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435</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446</v>
      </c>
      <c r="B742" s="1158"/>
      <c r="C742" s="1158"/>
      <c r="D742" s="1158"/>
      <c r="E742" s="1158"/>
      <c r="F742" s="1158"/>
      <c r="G742" s="1158"/>
    </row>
    <row r="743" spans="1:7">
      <c r="A743" t="s">
        <v>352</v>
      </c>
      <c r="B743" s="1158"/>
      <c r="C743" s="1158"/>
      <c r="D743" s="1158">
        <v>139</v>
      </c>
      <c r="E743" s="1158"/>
      <c r="F743" s="1158"/>
      <c r="G743" s="1158">
        <v>139</v>
      </c>
    </row>
    <row r="744" spans="1:7">
      <c r="A744" t="s">
        <v>443</v>
      </c>
      <c r="B744" s="1158"/>
      <c r="C744" s="1158"/>
      <c r="D744" s="1158"/>
      <c r="E744" s="1158"/>
      <c r="F744" s="1158"/>
      <c r="G744" s="1158"/>
    </row>
    <row r="745" spans="1:7">
      <c r="A745" t="s">
        <v>495</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367</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448</v>
      </c>
      <c r="B753" s="1158"/>
      <c r="C753" s="1158">
        <v>251</v>
      </c>
      <c r="D753" s="1158">
        <v>253</v>
      </c>
      <c r="E753" s="1158">
        <v>1076</v>
      </c>
      <c r="F753" s="1158"/>
      <c r="G753" s="1158">
        <v>1580</v>
      </c>
    </row>
    <row r="754" spans="1:7">
      <c r="A754" t="s">
        <v>435</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369</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446</v>
      </c>
      <c r="B762" s="1158"/>
      <c r="C762" s="1158"/>
      <c r="D762" s="1158"/>
      <c r="E762" s="1158"/>
      <c r="F762" s="1158"/>
      <c r="G762" s="1158"/>
    </row>
    <row r="763" spans="1:7">
      <c r="A763" t="s">
        <v>352</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438</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448</v>
      </c>
      <c r="B770" s="1158"/>
      <c r="C770" s="1158">
        <v>120</v>
      </c>
      <c r="D770" s="1158">
        <v>190</v>
      </c>
      <c r="E770" s="1158"/>
      <c r="F770" s="1158"/>
      <c r="G770" s="1158">
        <v>310</v>
      </c>
    </row>
    <row r="771" spans="1:7">
      <c r="A771" t="s">
        <v>435</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369</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388</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372</v>
      </c>
      <c r="B778" s="1158"/>
      <c r="C778" s="1158">
        <v>1231</v>
      </c>
      <c r="D778" s="1158">
        <v>1538</v>
      </c>
      <c r="E778" s="1158">
        <v>1377</v>
      </c>
      <c r="F778" s="1158"/>
      <c r="G778" s="1158">
        <v>4146</v>
      </c>
    </row>
    <row r="779" spans="1:7">
      <c r="A779" t="s">
        <v>375</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451</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446</v>
      </c>
      <c r="B789" s="1158"/>
      <c r="C789" s="1158"/>
      <c r="D789" s="1158"/>
      <c r="E789" s="1158"/>
      <c r="F789" s="1158"/>
      <c r="G789" s="1158"/>
    </row>
    <row r="790" spans="1:7">
      <c r="A790" t="s">
        <v>83</v>
      </c>
      <c r="B790" s="1158">
        <v>229</v>
      </c>
      <c r="C790" s="1158"/>
      <c r="D790" s="1158"/>
      <c r="E790" s="1158"/>
      <c r="F790" s="1158"/>
      <c r="G790" s="1158">
        <v>229</v>
      </c>
    </row>
    <row r="791" spans="1:7">
      <c r="A791" t="s">
        <v>495</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438</v>
      </c>
      <c r="B793" s="1158"/>
      <c r="C793" s="1158">
        <v>665</v>
      </c>
      <c r="D793" s="1158">
        <v>753</v>
      </c>
      <c r="E793" s="1158">
        <v>305</v>
      </c>
      <c r="F793" s="1158"/>
      <c r="G793" s="1158">
        <v>1723</v>
      </c>
    </row>
    <row r="794" spans="1:7">
      <c r="A794" t="s">
        <v>448</v>
      </c>
      <c r="B794" s="1158">
        <v>479</v>
      </c>
      <c r="C794" s="1158"/>
      <c r="D794" s="1158"/>
      <c r="E794" s="1158">
        <v>170</v>
      </c>
      <c r="F794" s="1158"/>
      <c r="G794" s="1158">
        <v>649</v>
      </c>
    </row>
    <row r="795" spans="1:7">
      <c r="A795" t="s">
        <v>435</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372</v>
      </c>
      <c r="B798" s="1158">
        <v>600</v>
      </c>
      <c r="C798" s="1158"/>
      <c r="D798" s="1158"/>
      <c r="E798" s="1158"/>
      <c r="F798" s="1158"/>
      <c r="G798" s="1158">
        <v>600</v>
      </c>
    </row>
    <row r="799" spans="1:7">
      <c r="A799" t="s">
        <v>375</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451</v>
      </c>
      <c r="B802" s="1158">
        <v>454</v>
      </c>
      <c r="C802" s="1158">
        <v>251</v>
      </c>
      <c r="D802" s="1158">
        <v>224</v>
      </c>
      <c r="E802" s="1158">
        <v>789</v>
      </c>
      <c r="F802" s="1158"/>
      <c r="G802" s="1158">
        <v>1718</v>
      </c>
    </row>
    <row r="803" spans="1:7">
      <c r="A803" t="s">
        <v>425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380</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495</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438</v>
      </c>
      <c r="B817" s="1158"/>
      <c r="C817" s="1158"/>
      <c r="D817" s="1158"/>
      <c r="E817" s="1158"/>
      <c r="F817" s="1158"/>
      <c r="G817" s="1158"/>
    </row>
    <row r="818" spans="1:7">
      <c r="A818" t="s">
        <v>448</v>
      </c>
      <c r="B818" s="1158"/>
      <c r="C818" s="1158"/>
      <c r="D818" s="1158"/>
      <c r="E818" s="1158">
        <v>725</v>
      </c>
      <c r="F818" s="1158"/>
      <c r="G818" s="1158">
        <v>725</v>
      </c>
    </row>
    <row r="819" spans="1:7">
      <c r="A819" t="s">
        <v>435</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375</v>
      </c>
      <c r="B821" s="1158"/>
      <c r="C821" s="1158"/>
      <c r="D821" s="1158">
        <v>334</v>
      </c>
      <c r="E821" s="1158"/>
      <c r="F821" s="1158"/>
      <c r="G821" s="1158">
        <v>334</v>
      </c>
    </row>
    <row r="822" spans="1:7">
      <c r="A822" t="s">
        <v>933</v>
      </c>
      <c r="B822" s="1158"/>
      <c r="C822" s="1158">
        <v>216</v>
      </c>
      <c r="D822" s="1158"/>
      <c r="E822" s="1158"/>
      <c r="F822" s="1158"/>
      <c r="G822" s="1158">
        <v>216</v>
      </c>
    </row>
    <row r="823" spans="1:7">
      <c r="A823" t="s">
        <v>451</v>
      </c>
      <c r="B823" s="1158">
        <v>1088</v>
      </c>
      <c r="C823" s="1158">
        <v>557</v>
      </c>
      <c r="D823" s="1158">
        <v>512</v>
      </c>
      <c r="E823" s="1158">
        <v>369</v>
      </c>
      <c r="F823" s="1158"/>
      <c r="G823" s="1158">
        <v>2526</v>
      </c>
    </row>
    <row r="824" spans="1:7">
      <c r="A824" t="s">
        <v>425</v>
      </c>
      <c r="B824" s="1158">
        <v>192</v>
      </c>
      <c r="C824" s="1158"/>
      <c r="D824" s="1158"/>
      <c r="E824" s="1158"/>
      <c r="F824" s="1158"/>
      <c r="G824" s="1158">
        <v>192</v>
      </c>
    </row>
    <row r="825" spans="1:7">
      <c r="A825" t="s">
        <v>380</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364</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432</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435</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380</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382</v>
      </c>
      <c r="B845" s="1158">
        <v>1768</v>
      </c>
      <c r="C845" s="1158">
        <v>510</v>
      </c>
      <c r="D845" s="1158"/>
      <c r="E845" s="1158"/>
      <c r="F845" s="1158"/>
      <c r="G845" s="1158">
        <v>2278</v>
      </c>
    </row>
    <row r="846" spans="1:7">
      <c r="A846" t="s">
        <v>500</v>
      </c>
      <c r="B846" s="1158">
        <v>220</v>
      </c>
      <c r="C846" s="1158">
        <v>435</v>
      </c>
      <c r="D846" s="1158">
        <v>227</v>
      </c>
      <c r="E846" s="1158">
        <v>487</v>
      </c>
      <c r="F846" s="1158">
        <v>123</v>
      </c>
      <c r="G846" s="1158">
        <v>1492</v>
      </c>
    </row>
    <row r="847" spans="1:7">
      <c r="A847" t="s">
        <v>440</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455</v>
      </c>
      <c r="B850" s="1158"/>
      <c r="C850" s="1158">
        <v>927</v>
      </c>
      <c r="D850" s="1158">
        <v>1221</v>
      </c>
      <c r="E850" s="1158">
        <v>1023</v>
      </c>
      <c r="F850" s="1158"/>
      <c r="G850" s="1158">
        <v>3171</v>
      </c>
    </row>
    <row r="851" spans="1:7">
      <c r="A851" t="s">
        <v>386</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458</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495</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438</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364</v>
      </c>
      <c r="B864" s="1158"/>
      <c r="C864" s="1158"/>
      <c r="D864" s="1158"/>
      <c r="E864" s="1158"/>
      <c r="F864" s="1158"/>
      <c r="G864" s="1158"/>
    </row>
    <row r="865" spans="1:7">
      <c r="A865" t="s">
        <v>500</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455</v>
      </c>
      <c r="B867" s="1158">
        <v>1100</v>
      </c>
      <c r="C867" s="1158">
        <v>527</v>
      </c>
      <c r="D867" s="1158">
        <v>553</v>
      </c>
      <c r="E867" s="1158"/>
      <c r="F867" s="1158"/>
      <c r="G867" s="1158">
        <v>2180</v>
      </c>
    </row>
    <row r="868" spans="1:7">
      <c r="A868" t="s">
        <v>386</v>
      </c>
      <c r="B868" s="1158"/>
      <c r="C868" s="1158">
        <v>230</v>
      </c>
      <c r="D868" s="1158"/>
      <c r="E868" s="1158"/>
      <c r="F868" s="1158"/>
      <c r="G868" s="1158">
        <v>230</v>
      </c>
    </row>
    <row r="869" spans="1:7">
      <c r="A869" t="s">
        <v>775</v>
      </c>
      <c r="B869" s="1158">
        <v>853</v>
      </c>
      <c r="C869" s="1158"/>
      <c r="D869" s="1158"/>
      <c r="E869" s="1158"/>
      <c r="F869" s="1158"/>
      <c r="G869" s="1158">
        <v>853</v>
      </c>
    </row>
    <row r="870" spans="1:7">
      <c r="A870" t="s">
        <v>458</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470</v>
      </c>
      <c r="B872" s="1158"/>
      <c r="C872" s="1158">
        <v>1182</v>
      </c>
      <c r="D872" s="1158">
        <v>1604</v>
      </c>
      <c r="E872" s="1158">
        <v>1268</v>
      </c>
      <c r="F872" s="1158"/>
      <c r="G872" s="1158">
        <v>4054</v>
      </c>
    </row>
    <row r="873" spans="1:7">
      <c r="A873" t="s">
        <v>460</v>
      </c>
      <c r="B873" s="1158"/>
      <c r="C873" s="1158"/>
      <c r="D873" s="1158">
        <v>1624</v>
      </c>
      <c r="E873" s="1158">
        <v>551</v>
      </c>
      <c r="F873" s="1158"/>
      <c r="G873" s="1158">
        <v>2175</v>
      </c>
    </row>
    <row r="874" spans="1:7">
      <c r="A874" t="s">
        <v>456</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438</v>
      </c>
      <c r="B882" s="1158"/>
      <c r="C882" s="1158"/>
      <c r="D882" s="1158"/>
      <c r="E882" s="1158"/>
      <c r="F882" s="1158"/>
      <c r="G882" s="1158"/>
    </row>
    <row r="883" spans="1:7">
      <c r="A883" t="s">
        <v>358</v>
      </c>
      <c r="B883" s="1158"/>
      <c r="C883" s="1158"/>
      <c r="D883" s="1158"/>
      <c r="E883" s="1158"/>
      <c r="F883" s="1158">
        <v>60</v>
      </c>
      <c r="G883" s="1158">
        <v>60</v>
      </c>
    </row>
    <row r="884" spans="1:7">
      <c r="A884" t="s">
        <v>274</v>
      </c>
      <c r="B884" s="1158"/>
      <c r="C884" s="1158"/>
      <c r="D884" s="1158"/>
      <c r="E884" s="1158"/>
      <c r="F884" s="1158"/>
      <c r="G884" s="1158"/>
    </row>
    <row r="885" spans="1:7">
      <c r="A885" t="s">
        <v>435</v>
      </c>
      <c r="B885" s="1158"/>
      <c r="C885" s="1158"/>
      <c r="D885" s="1158"/>
      <c r="E885" s="1158"/>
      <c r="F885" s="1158"/>
      <c r="G885" s="1158"/>
    </row>
    <row r="886" spans="1:7">
      <c r="A886" t="s">
        <v>80</v>
      </c>
      <c r="B886" s="1158">
        <v>188</v>
      </c>
      <c r="C886" s="1158">
        <v>140</v>
      </c>
      <c r="D886" s="1158"/>
      <c r="E886" s="1158"/>
      <c r="F886" s="1158"/>
      <c r="G886" s="1158">
        <v>328</v>
      </c>
    </row>
    <row r="887" spans="1:7">
      <c r="A887" t="s">
        <v>364</v>
      </c>
      <c r="B887" s="1158">
        <v>270</v>
      </c>
      <c r="C887" s="1158">
        <v>60</v>
      </c>
      <c r="D887" s="1158"/>
      <c r="E887" s="1158"/>
      <c r="F887" s="1158"/>
      <c r="G887" s="1158">
        <v>330</v>
      </c>
    </row>
    <row r="888" spans="1:7">
      <c r="A888" t="s">
        <v>382</v>
      </c>
      <c r="B888" s="1158"/>
      <c r="C888" s="1158"/>
      <c r="D888" s="1158"/>
      <c r="E888" s="1158"/>
      <c r="F888" s="1158"/>
      <c r="G888" s="1158"/>
    </row>
    <row r="889" spans="1:7">
      <c r="A889" t="s">
        <v>500</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455</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384</v>
      </c>
      <c r="B893" s="1158"/>
      <c r="C893" s="1158">
        <v>1509</v>
      </c>
      <c r="D893" s="1158">
        <v>1087</v>
      </c>
      <c r="E893" s="1158">
        <v>777</v>
      </c>
      <c r="F893" s="1158"/>
      <c r="G893" s="1158">
        <v>3373</v>
      </c>
    </row>
    <row r="894" spans="1:7">
      <c r="A894" t="s">
        <v>470</v>
      </c>
      <c r="B894" s="1158">
        <v>1310</v>
      </c>
      <c r="C894" s="1158"/>
      <c r="D894" s="1158"/>
      <c r="E894" s="1158"/>
      <c r="F894" s="1158"/>
      <c r="G894" s="1158">
        <v>1310</v>
      </c>
    </row>
    <row r="895" spans="1:7">
      <c r="A895" t="s">
        <v>460</v>
      </c>
      <c r="B895" s="1158"/>
      <c r="C895" s="1158"/>
      <c r="D895" s="1158"/>
      <c r="E895" s="1158"/>
      <c r="F895" s="1158">
        <v>168</v>
      </c>
      <c r="G895" s="1158">
        <v>168</v>
      </c>
    </row>
    <row r="896" spans="1:7">
      <c r="A896" t="s">
        <v>456</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378</v>
      </c>
      <c r="B898" s="1158"/>
      <c r="C898" s="1158">
        <v>1678</v>
      </c>
      <c r="D898" s="1158"/>
      <c r="E898" s="1158">
        <v>394</v>
      </c>
      <c r="F898" s="1158"/>
      <c r="G898" s="1158">
        <v>2072</v>
      </c>
    </row>
    <row r="899" spans="1:7">
      <c r="A899" t="s">
        <v>453</v>
      </c>
      <c r="B899" s="1158"/>
      <c r="C899" s="1158"/>
      <c r="D899" s="1158">
        <v>3179</v>
      </c>
      <c r="E899" s="1158"/>
      <c r="F899" s="1158"/>
      <c r="G899" s="1158">
        <v>3179</v>
      </c>
    </row>
    <row r="900" spans="1:7">
      <c r="A900" t="s">
        <v>472</v>
      </c>
      <c r="B900" s="1158"/>
      <c r="C900" s="1158"/>
      <c r="D900" s="1158"/>
      <c r="E900" s="1158">
        <v>978</v>
      </c>
      <c r="F900" s="1158"/>
      <c r="G900" s="1158">
        <v>978</v>
      </c>
    </row>
    <row r="901" spans="1:7">
      <c r="A901" t="s">
        <v>478</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360</v>
      </c>
      <c r="B909" s="1158"/>
      <c r="C909" s="1158"/>
      <c r="D909" s="1158"/>
      <c r="E909" s="1158"/>
      <c r="F909" s="1158"/>
      <c r="G909" s="1158"/>
    </row>
    <row r="910" spans="1:7">
      <c r="A910" t="s">
        <v>435</v>
      </c>
      <c r="B910" s="1158"/>
      <c r="C910" s="1158"/>
      <c r="D910" s="1158"/>
      <c r="E910" s="1158"/>
      <c r="F910" s="1158"/>
      <c r="G910" s="1158"/>
    </row>
    <row r="911" spans="1:7">
      <c r="A911" t="s">
        <v>451</v>
      </c>
      <c r="B911" s="1158"/>
      <c r="C911" s="1158"/>
      <c r="D911" s="1158"/>
      <c r="E911" s="1158"/>
      <c r="F911" s="1158">
        <v>569</v>
      </c>
      <c r="G911" s="1158">
        <v>569</v>
      </c>
    </row>
    <row r="912" spans="1:7">
      <c r="A912" t="s">
        <v>500</v>
      </c>
      <c r="B912" s="1158"/>
      <c r="C912" s="1158"/>
      <c r="D912" s="1158"/>
      <c r="E912" s="1158"/>
      <c r="F912" s="1158"/>
      <c r="G912" s="1158"/>
    </row>
    <row r="913" spans="1:7">
      <c r="A913" t="s">
        <v>440</v>
      </c>
      <c r="B913" s="1158"/>
      <c r="C913" s="1158"/>
      <c r="D913" s="1158">
        <v>150</v>
      </c>
      <c r="E913" s="1158"/>
      <c r="F913" s="1158"/>
      <c r="G913" s="1158">
        <v>150</v>
      </c>
    </row>
    <row r="914" spans="1:7">
      <c r="A914" t="s">
        <v>458</v>
      </c>
      <c r="B914" s="1158"/>
      <c r="C914" s="1158"/>
      <c r="D914" s="1158"/>
      <c r="E914" s="1158"/>
      <c r="F914" s="1158"/>
      <c r="G914" s="1158"/>
    </row>
    <row r="915" spans="1:7">
      <c r="A915" t="s">
        <v>470</v>
      </c>
      <c r="B915" s="1158">
        <v>701</v>
      </c>
      <c r="C915" s="1158"/>
      <c r="D915" s="1158"/>
      <c r="E915" s="1158"/>
      <c r="F915" s="1158"/>
      <c r="G915" s="1158">
        <v>701</v>
      </c>
    </row>
    <row r="916" spans="1:7">
      <c r="A916" t="s">
        <v>460</v>
      </c>
      <c r="B916" s="1158">
        <v>463</v>
      </c>
      <c r="C916" s="1158">
        <v>633</v>
      </c>
      <c r="D916" s="1158">
        <v>625</v>
      </c>
      <c r="E916" s="1158"/>
      <c r="F916" s="1158"/>
      <c r="G916" s="1158">
        <v>1721</v>
      </c>
    </row>
    <row r="917" spans="1:7">
      <c r="A917" t="s">
        <v>456</v>
      </c>
      <c r="B917" s="1158"/>
      <c r="C917" s="1158"/>
      <c r="D917" s="1158"/>
      <c r="E917" s="1158"/>
      <c r="F917" s="1158"/>
      <c r="G917" s="1158"/>
    </row>
    <row r="918" spans="1:7">
      <c r="A918" t="s">
        <v>453</v>
      </c>
      <c r="B918" s="1158">
        <v>882</v>
      </c>
      <c r="C918" s="1158">
        <v>1072</v>
      </c>
      <c r="D918" s="1158">
        <v>1034</v>
      </c>
      <c r="E918" s="1158">
        <v>209</v>
      </c>
      <c r="F918" s="1158"/>
      <c r="G918" s="1158">
        <v>3197</v>
      </c>
    </row>
    <row r="919" spans="1:7">
      <c r="A919" t="s">
        <v>472</v>
      </c>
      <c r="B919" s="1158">
        <v>1420</v>
      </c>
      <c r="C919" s="1158">
        <v>990</v>
      </c>
      <c r="D919" s="1158">
        <v>549</v>
      </c>
      <c r="E919" s="1158"/>
      <c r="F919" s="1158"/>
      <c r="G919" s="1158">
        <v>2959</v>
      </c>
    </row>
    <row r="920" spans="1:7">
      <c r="A920" t="s">
        <v>478</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468</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462</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481</v>
      </c>
      <c r="B926" s="1158"/>
      <c r="C926" s="1158"/>
      <c r="D926" s="1158">
        <v>1031</v>
      </c>
      <c r="E926" s="1158"/>
      <c r="F926" s="1158"/>
      <c r="G926" s="1158">
        <v>1031</v>
      </c>
    </row>
    <row r="927" spans="1:7">
      <c r="A927" t="s">
        <v>459</v>
      </c>
      <c r="B927" s="1158"/>
      <c r="C927" s="1158"/>
      <c r="D927" s="1158"/>
      <c r="E927" s="1158">
        <v>1063</v>
      </c>
      <c r="F927" s="1158">
        <v>1263</v>
      </c>
      <c r="G927" s="1158">
        <v>2326</v>
      </c>
    </row>
    <row r="928" spans="1:7">
      <c r="A928" t="s">
        <v>498</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432</v>
      </c>
      <c r="B939" s="1158"/>
      <c r="C939" s="1158"/>
      <c r="D939" s="1158"/>
      <c r="E939" s="1158"/>
      <c r="F939" s="1158"/>
      <c r="G939" s="1158"/>
    </row>
    <row r="940" spans="1:7">
      <c r="A940" t="s">
        <v>500</v>
      </c>
      <c r="B940" s="1158">
        <v>560</v>
      </c>
      <c r="C940" s="1158"/>
      <c r="D940" s="1158"/>
      <c r="E940" s="1158"/>
      <c r="F940" s="1158"/>
      <c r="G940" s="1158">
        <v>560</v>
      </c>
    </row>
    <row r="941" spans="1:7">
      <c r="A941" t="s">
        <v>458</v>
      </c>
      <c r="B941" s="1158"/>
      <c r="C941" s="1158"/>
      <c r="D941" s="1158"/>
      <c r="E941" s="1158"/>
      <c r="F941" s="1158"/>
      <c r="G941" s="1158"/>
    </row>
    <row r="942" spans="1:7">
      <c r="A942" t="s">
        <v>470</v>
      </c>
      <c r="B942" s="1158">
        <v>138</v>
      </c>
      <c r="C942" s="1158"/>
      <c r="D942" s="1158"/>
      <c r="E942" s="1158"/>
      <c r="F942" s="1158"/>
      <c r="G942" s="1158">
        <v>138</v>
      </c>
    </row>
    <row r="943" spans="1:7">
      <c r="A943" t="s">
        <v>456</v>
      </c>
      <c r="B943" s="1158"/>
      <c r="C943" s="1158"/>
      <c r="D943" s="1158"/>
      <c r="E943" s="1158"/>
      <c r="F943" s="1158"/>
      <c r="G943" s="1158"/>
    </row>
    <row r="944" spans="1:7">
      <c r="A944" t="s">
        <v>453</v>
      </c>
      <c r="B944" s="1158">
        <v>96</v>
      </c>
      <c r="C944" s="1158"/>
      <c r="D944" s="1158"/>
      <c r="E944" s="1158"/>
      <c r="F944" s="1158"/>
      <c r="G944" s="1158">
        <v>96</v>
      </c>
    </row>
    <row r="945" spans="1:7">
      <c r="A945" t="s">
        <v>472</v>
      </c>
      <c r="B945" s="1158">
        <v>632</v>
      </c>
      <c r="C945" s="1158"/>
      <c r="D945" s="1158"/>
      <c r="E945" s="1158"/>
      <c r="F945" s="1158"/>
      <c r="G945" s="1158">
        <v>632</v>
      </c>
    </row>
    <row r="946" spans="1:7">
      <c r="A946" t="s">
        <v>478</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481</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1870</v>
      </c>
      <c r="E952" s="1158">
        <v>988</v>
      </c>
      <c r="F952" s="1158"/>
      <c r="G952" s="1158">
        <v>2858</v>
      </c>
    </row>
    <row r="953" spans="1:7">
      <c r="A953" t="s">
        <v>139</v>
      </c>
      <c r="B953" s="1158"/>
      <c r="C953" s="1158"/>
      <c r="D953" s="1158">
        <v>877</v>
      </c>
      <c r="E953" s="1158">
        <v>814</v>
      </c>
      <c r="F953" s="1158"/>
      <c r="G953" s="1158">
        <v>1691</v>
      </c>
    </row>
    <row r="954" spans="1:7">
      <c r="A954" t="s">
        <v>220</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11492</v>
      </c>
      <c r="E963" s="1158">
        <v>12453</v>
      </c>
      <c r="F963" s="1158">
        <v>3377</v>
      </c>
      <c r="G963" s="1158">
        <v>37548</v>
      </c>
    </row>
    <row r="966" spans="1:7">
      <c r="A966" s="44" t="s">
        <v>873</v>
      </c>
      <c r="B966" s="44" t="s">
        <v>871</v>
      </c>
    </row>
    <row r="967" spans="1:7">
      <c r="A967" s="44" t="s">
        <v>874</v>
      </c>
      <c r="B967" s="112">
        <v>45978</v>
      </c>
      <c r="C967" t="s">
        <v>875</v>
      </c>
    </row>
    <row r="968" spans="1:7">
      <c r="A968" t="s">
        <v>274</v>
      </c>
      <c r="B968" s="1158"/>
      <c r="C968" s="1158"/>
    </row>
    <row r="969" spans="1:7">
      <c r="A969" t="s">
        <v>478</v>
      </c>
      <c r="B969" s="1158"/>
      <c r="C969" s="1158"/>
    </row>
    <row r="970" spans="1:7">
      <c r="A970" t="s">
        <v>238</v>
      </c>
      <c r="B970" s="1158"/>
      <c r="C970" s="1158"/>
    </row>
    <row r="971" spans="1:7">
      <c r="A971" t="s">
        <v>481</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c r="C977" s="1158"/>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c r="C982" s="11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workbookViewId="0">
      <pane ySplit="1" topLeftCell="A2026" activePane="bottomLeft" state="frozen"/>
      <selection pane="bottomLeft" activeCell="F2041" sqref="F204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486</v>
      </c>
      <c r="C2" s="153">
        <v>45698</v>
      </c>
      <c r="D2" s="142">
        <v>2677</v>
      </c>
      <c r="E2" s="142"/>
      <c r="F2" s="142"/>
      <c r="G2" t="str">
        <f>TEXT(C2,"mmmm")</f>
        <v>February</v>
      </c>
    </row>
    <row r="3" spans="1:7" ht="15.75">
      <c r="A3" s="118" t="s">
        <v>419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419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419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419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419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419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398</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486</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486</v>
      </c>
      <c r="C28" s="154">
        <v>45707</v>
      </c>
      <c r="D28" s="118">
        <v>1319</v>
      </c>
      <c r="E28" s="118"/>
      <c r="F28" s="119"/>
      <c r="G28" t="str">
        <f t="shared" si="0"/>
        <v>February</v>
      </c>
    </row>
    <row r="29" spans="1:7" ht="15.75">
      <c r="A29" s="118" t="s">
        <v>419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486</v>
      </c>
      <c r="C32" s="154">
        <v>45707</v>
      </c>
      <c r="D32" s="118">
        <v>1978</v>
      </c>
      <c r="E32" s="118"/>
      <c r="F32" s="119" t="s">
        <v>952</v>
      </c>
      <c r="G32" t="str">
        <f t="shared" si="0"/>
        <v>February</v>
      </c>
    </row>
    <row r="33" spans="1:7">
      <c r="A33" s="118" t="s">
        <v>661</v>
      </c>
      <c r="B33" s="247" t="s">
        <v>402</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419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486</v>
      </c>
      <c r="C39" s="154">
        <v>45708</v>
      </c>
      <c r="D39" s="118">
        <v>851</v>
      </c>
      <c r="E39" s="118"/>
      <c r="F39" s="119" t="s">
        <v>956</v>
      </c>
      <c r="G39" t="str">
        <f t="shared" si="0"/>
        <v>February</v>
      </c>
    </row>
    <row r="40" spans="1:7">
      <c r="A40" s="118" t="s">
        <v>661</v>
      </c>
      <c r="B40" s="247" t="s">
        <v>402</v>
      </c>
      <c r="C40" s="154">
        <v>45708</v>
      </c>
      <c r="D40" s="118">
        <v>1334</v>
      </c>
      <c r="E40" s="118"/>
      <c r="F40" s="119"/>
      <c r="G40" t="str">
        <f t="shared" si="0"/>
        <v>February</v>
      </c>
    </row>
    <row r="41" spans="1:7">
      <c r="A41" s="118" t="s">
        <v>597</v>
      </c>
      <c r="B41" s="155" t="s">
        <v>398</v>
      </c>
      <c r="C41" s="154">
        <v>45708</v>
      </c>
      <c r="D41" s="118">
        <v>1400</v>
      </c>
      <c r="E41" s="118"/>
      <c r="F41" s="119"/>
      <c r="G41" t="str">
        <f t="shared" si="0"/>
        <v>February</v>
      </c>
    </row>
    <row r="42" spans="1:7">
      <c r="A42" s="118" t="s">
        <v>408</v>
      </c>
      <c r="B42" s="155" t="s">
        <v>398</v>
      </c>
      <c r="C42" s="154">
        <v>45708</v>
      </c>
      <c r="D42" s="118">
        <v>1806</v>
      </c>
      <c r="E42" s="118"/>
      <c r="F42" s="119"/>
      <c r="G42" t="str">
        <f t="shared" si="0"/>
        <v>February</v>
      </c>
    </row>
    <row r="43" spans="1:7">
      <c r="A43" s="118" t="s">
        <v>520</v>
      </c>
      <c r="B43" s="247" t="s">
        <v>402</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485</v>
      </c>
      <c r="B45" s="247" t="s">
        <v>486</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408</v>
      </c>
      <c r="B51" s="155" t="s">
        <v>398</v>
      </c>
      <c r="C51" s="154">
        <v>45709</v>
      </c>
      <c r="D51" s="118">
        <v>345</v>
      </c>
      <c r="E51" s="118"/>
      <c r="F51" s="119"/>
      <c r="G51" t="str">
        <f t="shared" si="0"/>
        <v>February</v>
      </c>
    </row>
    <row r="52" spans="1:7">
      <c r="A52" s="118" t="s">
        <v>520</v>
      </c>
      <c r="B52" s="247" t="s">
        <v>402</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398</v>
      </c>
      <c r="C54" s="154">
        <v>45709</v>
      </c>
      <c r="D54" s="118">
        <v>1462</v>
      </c>
      <c r="E54" s="118"/>
      <c r="F54" s="119" t="s">
        <v>947</v>
      </c>
      <c r="G54" t="str">
        <f t="shared" si="0"/>
        <v>February</v>
      </c>
    </row>
    <row r="55" spans="1:7">
      <c r="A55" s="118" t="s">
        <v>405</v>
      </c>
      <c r="B55" s="247" t="s">
        <v>402</v>
      </c>
      <c r="C55" s="154">
        <v>45709</v>
      </c>
      <c r="D55" s="118">
        <v>2989</v>
      </c>
      <c r="E55" s="118"/>
      <c r="F55" s="119"/>
      <c r="G55" t="str">
        <f t="shared" si="0"/>
        <v>February</v>
      </c>
    </row>
    <row r="56" spans="1:7" ht="15.75">
      <c r="A56" s="118" t="s">
        <v>419</v>
      </c>
      <c r="B56" s="246" t="s">
        <v>884</v>
      </c>
      <c r="C56" s="154">
        <v>45712</v>
      </c>
      <c r="D56" s="118">
        <v>73</v>
      </c>
      <c r="E56" s="118"/>
      <c r="F56" s="119"/>
      <c r="G56" t="str">
        <f t="shared" si="0"/>
        <v>February</v>
      </c>
    </row>
    <row r="57" spans="1:7">
      <c r="A57" s="118" t="s">
        <v>520</v>
      </c>
      <c r="B57" s="247" t="s">
        <v>402</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486</v>
      </c>
      <c r="C60" s="154">
        <v>45713</v>
      </c>
      <c r="D60" s="118"/>
      <c r="E60" s="118"/>
      <c r="F60" s="119"/>
      <c r="G60" t="str">
        <f t="shared" si="0"/>
        <v>February</v>
      </c>
    </row>
    <row r="61" spans="1:7">
      <c r="A61" s="118" t="s">
        <v>648</v>
      </c>
      <c r="B61" s="155" t="s">
        <v>398</v>
      </c>
      <c r="C61" s="154">
        <v>45713</v>
      </c>
      <c r="D61" s="118"/>
      <c r="E61" s="118"/>
      <c r="F61" s="119"/>
      <c r="G61" t="str">
        <f t="shared" si="0"/>
        <v>February</v>
      </c>
    </row>
    <row r="62" spans="1:7">
      <c r="A62" s="118" t="s">
        <v>485</v>
      </c>
      <c r="B62" s="248" t="s">
        <v>486</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402</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486</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402</v>
      </c>
      <c r="C76" s="154">
        <v>45713</v>
      </c>
      <c r="D76" s="118"/>
      <c r="E76" s="118"/>
      <c r="F76" s="119"/>
      <c r="G76" t="str">
        <f t="shared" si="1"/>
        <v>February</v>
      </c>
    </row>
    <row r="77" spans="1:7">
      <c r="A77" s="118" t="s">
        <v>597</v>
      </c>
      <c r="B77" s="155" t="s">
        <v>398</v>
      </c>
      <c r="C77" s="154">
        <v>45713</v>
      </c>
      <c r="D77" s="118"/>
      <c r="E77" s="118"/>
      <c r="F77" s="119"/>
      <c r="G77" t="str">
        <f t="shared" si="1"/>
        <v>February</v>
      </c>
    </row>
    <row r="78" spans="1:7">
      <c r="A78" s="118" t="s">
        <v>408</v>
      </c>
      <c r="B78" s="155" t="s">
        <v>398</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405</v>
      </c>
      <c r="B80" s="248" t="s">
        <v>402</v>
      </c>
      <c r="C80" s="154">
        <v>45713</v>
      </c>
      <c r="D80" s="118">
        <v>967</v>
      </c>
      <c r="E80" s="118"/>
      <c r="F80" s="119"/>
      <c r="G80" t="str">
        <f t="shared" si="1"/>
        <v>February</v>
      </c>
    </row>
    <row r="81" spans="1:7">
      <c r="A81" s="118" t="s">
        <v>401</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486</v>
      </c>
      <c r="C84" s="154">
        <v>45714</v>
      </c>
      <c r="D84" s="118"/>
      <c r="E84" s="118"/>
      <c r="F84" s="119"/>
      <c r="G84" t="str">
        <f t="shared" si="1"/>
        <v>February</v>
      </c>
    </row>
    <row r="85" spans="1:7" ht="15.75">
      <c r="A85" s="118" t="s">
        <v>419</v>
      </c>
      <c r="B85" s="246" t="s">
        <v>884</v>
      </c>
      <c r="C85" s="154">
        <v>45714</v>
      </c>
      <c r="D85" s="118">
        <v>25</v>
      </c>
      <c r="E85" s="118"/>
      <c r="F85" s="119"/>
      <c r="G85" t="str">
        <f t="shared" si="1"/>
        <v>February</v>
      </c>
    </row>
    <row r="86" spans="1:7">
      <c r="A86" s="118" t="s">
        <v>648</v>
      </c>
      <c r="B86" s="155" t="s">
        <v>398</v>
      </c>
      <c r="C86" s="154">
        <v>45714</v>
      </c>
      <c r="D86" s="118"/>
      <c r="E86" s="118"/>
      <c r="F86" s="119"/>
      <c r="G86" t="str">
        <f t="shared" si="1"/>
        <v>February</v>
      </c>
    </row>
    <row r="87" spans="1:7">
      <c r="A87" s="118" t="s">
        <v>485</v>
      </c>
      <c r="B87" s="248" t="s">
        <v>486</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402</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486</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402</v>
      </c>
      <c r="C101" s="154">
        <v>45714</v>
      </c>
      <c r="D101" s="118">
        <v>992</v>
      </c>
      <c r="E101" s="118"/>
      <c r="F101" s="119"/>
      <c r="G101" t="str">
        <f t="shared" si="1"/>
        <v>February</v>
      </c>
    </row>
    <row r="102" spans="1:7">
      <c r="A102" s="118" t="s">
        <v>597</v>
      </c>
      <c r="B102" s="155" t="s">
        <v>398</v>
      </c>
      <c r="C102" s="154">
        <v>45714</v>
      </c>
      <c r="D102" s="118"/>
      <c r="E102" s="118"/>
      <c r="F102" s="119"/>
      <c r="G102" t="str">
        <f t="shared" si="1"/>
        <v>February</v>
      </c>
    </row>
    <row r="103" spans="1:7">
      <c r="A103" s="118" t="s">
        <v>408</v>
      </c>
      <c r="B103" s="155" t="s">
        <v>398</v>
      </c>
      <c r="C103" s="154">
        <v>45714</v>
      </c>
      <c r="D103" s="118">
        <v>400</v>
      </c>
      <c r="E103" s="118"/>
      <c r="F103" s="119" t="s">
        <v>954</v>
      </c>
      <c r="G103" t="str">
        <f t="shared" si="1"/>
        <v>February</v>
      </c>
    </row>
    <row r="104" spans="1:7">
      <c r="A104" s="118" t="s">
        <v>520</v>
      </c>
      <c r="B104" s="214" t="s">
        <v>402</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405</v>
      </c>
      <c r="B106" s="248" t="s">
        <v>402</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401</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411</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412</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486</v>
      </c>
      <c r="C115" s="123">
        <v>45715</v>
      </c>
      <c r="D115" s="119"/>
      <c r="E115" s="119"/>
      <c r="F115" s="119"/>
      <c r="G115" t="str">
        <f t="shared" si="1"/>
        <v>February</v>
      </c>
    </row>
    <row r="116" spans="1:7" ht="15.75">
      <c r="A116" s="118" t="s">
        <v>419</v>
      </c>
      <c r="B116" s="246" t="s">
        <v>884</v>
      </c>
      <c r="C116" s="123">
        <v>45715</v>
      </c>
      <c r="D116" s="119"/>
      <c r="E116" s="119"/>
      <c r="F116" s="135" t="s">
        <v>971</v>
      </c>
      <c r="G116" t="str">
        <f t="shared" si="1"/>
        <v>February</v>
      </c>
    </row>
    <row r="117" spans="1:7">
      <c r="A117" s="118" t="s">
        <v>648</v>
      </c>
      <c r="B117" s="155" t="s">
        <v>398</v>
      </c>
      <c r="C117" s="123">
        <v>45715</v>
      </c>
      <c r="D117" s="119">
        <v>437</v>
      </c>
      <c r="E117" s="119"/>
      <c r="F117" s="119" t="s">
        <v>972</v>
      </c>
      <c r="G117" t="str">
        <f t="shared" si="1"/>
        <v>February</v>
      </c>
    </row>
    <row r="118" spans="1:7">
      <c r="A118" s="118" t="s">
        <v>485</v>
      </c>
      <c r="B118" s="248" t="s">
        <v>486</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402</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486</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402</v>
      </c>
      <c r="C132" s="123">
        <v>45715</v>
      </c>
      <c r="D132" s="119">
        <v>513</v>
      </c>
      <c r="E132" s="119"/>
      <c r="F132" s="135" t="s">
        <v>947</v>
      </c>
      <c r="G132" t="str">
        <f t="shared" si="2"/>
        <v>February</v>
      </c>
    </row>
    <row r="133" spans="1:7">
      <c r="A133" s="118" t="s">
        <v>597</v>
      </c>
      <c r="B133" s="155" t="s">
        <v>398</v>
      </c>
      <c r="C133" s="123">
        <v>45715</v>
      </c>
      <c r="D133" s="119"/>
      <c r="E133" s="119"/>
      <c r="F133" s="135" t="s">
        <v>974</v>
      </c>
      <c r="G133" t="str">
        <f t="shared" si="2"/>
        <v>February</v>
      </c>
    </row>
    <row r="134" spans="1:7">
      <c r="A134" s="118" t="s">
        <v>408</v>
      </c>
      <c r="B134" s="155" t="s">
        <v>398</v>
      </c>
      <c r="C134" s="123">
        <v>45715</v>
      </c>
      <c r="D134" s="119"/>
      <c r="E134" s="119"/>
      <c r="F134" s="135" t="s">
        <v>974</v>
      </c>
      <c r="G134" t="str">
        <f t="shared" si="2"/>
        <v>February</v>
      </c>
    </row>
    <row r="135" spans="1:7">
      <c r="A135" s="118" t="s">
        <v>520</v>
      </c>
      <c r="B135" s="214" t="s">
        <v>402</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405</v>
      </c>
      <c r="B137" s="248" t="s">
        <v>402</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401</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411</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412</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486</v>
      </c>
      <c r="C146" s="123">
        <v>45716</v>
      </c>
      <c r="D146" s="124" t="s">
        <v>974</v>
      </c>
      <c r="E146" s="124"/>
      <c r="F146" s="119"/>
      <c r="G146" t="str">
        <f t="shared" si="2"/>
        <v>February</v>
      </c>
    </row>
    <row r="147" spans="1:7" ht="15.75">
      <c r="A147" s="118" t="s">
        <v>419</v>
      </c>
      <c r="B147" s="246" t="s">
        <v>884</v>
      </c>
      <c r="C147" s="123">
        <v>45716</v>
      </c>
      <c r="D147" s="124"/>
      <c r="E147" s="124"/>
      <c r="F147" s="124" t="s">
        <v>971</v>
      </c>
      <c r="G147" t="str">
        <f t="shared" si="2"/>
        <v>February</v>
      </c>
    </row>
    <row r="148" spans="1:7">
      <c r="A148" s="118" t="s">
        <v>648</v>
      </c>
      <c r="B148" s="155" t="s">
        <v>398</v>
      </c>
      <c r="C148" s="123">
        <v>45716</v>
      </c>
      <c r="D148" s="124" t="s">
        <v>974</v>
      </c>
      <c r="E148" s="124"/>
      <c r="F148" s="119"/>
      <c r="G148" t="str">
        <f t="shared" si="2"/>
        <v>February</v>
      </c>
    </row>
    <row r="149" spans="1:7">
      <c r="A149" s="118" t="s">
        <v>485</v>
      </c>
      <c r="B149" s="248" t="s">
        <v>486</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402</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486</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402</v>
      </c>
      <c r="C163" s="123">
        <v>45716</v>
      </c>
      <c r="D163" s="124" t="s">
        <v>974</v>
      </c>
      <c r="E163" s="124"/>
      <c r="F163" s="119"/>
      <c r="G163" t="str">
        <f t="shared" si="2"/>
        <v>February</v>
      </c>
    </row>
    <row r="164" spans="1:7">
      <c r="A164" s="118" t="s">
        <v>597</v>
      </c>
      <c r="B164" s="155" t="s">
        <v>398</v>
      </c>
      <c r="C164" s="123">
        <v>45716</v>
      </c>
      <c r="D164" s="124">
        <v>886</v>
      </c>
      <c r="E164" s="124"/>
      <c r="F164" s="119" t="s">
        <v>959</v>
      </c>
      <c r="G164" t="str">
        <f t="shared" si="2"/>
        <v>February</v>
      </c>
    </row>
    <row r="165" spans="1:7">
      <c r="A165" s="118" t="s">
        <v>408</v>
      </c>
      <c r="B165" s="155" t="s">
        <v>398</v>
      </c>
      <c r="C165" s="123">
        <v>45716</v>
      </c>
      <c r="D165" s="124">
        <v>384</v>
      </c>
      <c r="E165" s="124"/>
      <c r="F165" s="119" t="s">
        <v>957</v>
      </c>
      <c r="G165" t="str">
        <f t="shared" si="2"/>
        <v>February</v>
      </c>
    </row>
    <row r="166" spans="1:7">
      <c r="A166" s="118" t="s">
        <v>520</v>
      </c>
      <c r="B166" s="214" t="s">
        <v>402</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405</v>
      </c>
      <c r="B168" s="248" t="s">
        <v>402</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401</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411</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412</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486</v>
      </c>
      <c r="C177" s="123">
        <v>45719</v>
      </c>
      <c r="D177" s="124" t="s">
        <v>974</v>
      </c>
      <c r="E177" s="124"/>
      <c r="F177" s="119"/>
      <c r="G177" t="str">
        <f t="shared" si="2"/>
        <v>March</v>
      </c>
    </row>
    <row r="178" spans="1:7" ht="15.75">
      <c r="A178" s="118" t="s">
        <v>419</v>
      </c>
      <c r="B178" s="246" t="s">
        <v>884</v>
      </c>
      <c r="C178" s="123">
        <v>45719</v>
      </c>
      <c r="D178" s="124" t="s">
        <v>974</v>
      </c>
      <c r="E178" s="124"/>
      <c r="F178" s="119"/>
      <c r="G178" t="str">
        <f t="shared" si="2"/>
        <v>March</v>
      </c>
    </row>
    <row r="179" spans="1:7">
      <c r="A179" s="118" t="s">
        <v>648</v>
      </c>
      <c r="B179" s="155" t="s">
        <v>398</v>
      </c>
      <c r="C179" s="123">
        <v>45719</v>
      </c>
      <c r="D179" s="124" t="s">
        <v>974</v>
      </c>
      <c r="E179" s="124"/>
      <c r="F179" s="119"/>
      <c r="G179" t="str">
        <f t="shared" si="2"/>
        <v>March</v>
      </c>
    </row>
    <row r="180" spans="1:7">
      <c r="A180" s="118" t="s">
        <v>485</v>
      </c>
      <c r="B180" s="248" t="s">
        <v>486</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402</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486</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402</v>
      </c>
      <c r="C194" s="123">
        <v>45719</v>
      </c>
      <c r="D194" s="124" t="s">
        <v>974</v>
      </c>
      <c r="E194" s="124"/>
      <c r="F194" s="119"/>
      <c r="G194" t="str">
        <f t="shared" si="2"/>
        <v>March</v>
      </c>
    </row>
    <row r="195" spans="1:7">
      <c r="A195" s="118" t="s">
        <v>597</v>
      </c>
      <c r="B195" s="155" t="s">
        <v>398</v>
      </c>
      <c r="C195" s="123">
        <v>45719</v>
      </c>
      <c r="D195" s="124">
        <v>134</v>
      </c>
      <c r="E195" s="124"/>
      <c r="F195" s="119"/>
      <c r="G195" t="str">
        <f t="shared" ref="G195:G258" si="3">TEXT(C195,"mmmm")</f>
        <v>March</v>
      </c>
    </row>
    <row r="196" spans="1:7">
      <c r="A196" s="118" t="s">
        <v>408</v>
      </c>
      <c r="B196" s="155" t="s">
        <v>398</v>
      </c>
      <c r="C196" s="123">
        <v>45719</v>
      </c>
      <c r="D196" s="124"/>
      <c r="E196" s="124"/>
      <c r="F196" s="124" t="s">
        <v>964</v>
      </c>
      <c r="G196" t="str">
        <f t="shared" si="3"/>
        <v>March</v>
      </c>
    </row>
    <row r="197" spans="1:7">
      <c r="A197" s="118" t="s">
        <v>520</v>
      </c>
      <c r="B197" s="214" t="s">
        <v>402</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405</v>
      </c>
      <c r="B199" s="248" t="s">
        <v>402</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401</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411</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412</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419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398</v>
      </c>
      <c r="C216" s="123">
        <v>45720</v>
      </c>
      <c r="D216" s="124">
        <v>408</v>
      </c>
      <c r="E216" s="124"/>
      <c r="F216" s="119" t="s">
        <v>967</v>
      </c>
      <c r="G216" t="str">
        <f t="shared" si="3"/>
        <v>March</v>
      </c>
    </row>
    <row r="217" spans="1:8">
      <c r="A217" s="118" t="s">
        <v>408</v>
      </c>
      <c r="B217" s="155" t="s">
        <v>398</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412</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486</v>
      </c>
      <c r="C226" s="123">
        <v>45721</v>
      </c>
      <c r="D226" s="124">
        <v>0</v>
      </c>
      <c r="E226" s="124"/>
      <c r="F226" s="119"/>
      <c r="G226" t="str">
        <f t="shared" si="3"/>
        <v>March</v>
      </c>
    </row>
    <row r="227" spans="1:7" ht="15.75">
      <c r="A227" s="118" t="s">
        <v>419</v>
      </c>
      <c r="B227" s="246" t="s">
        <v>884</v>
      </c>
      <c r="C227" s="123">
        <v>45721</v>
      </c>
      <c r="D227" s="124">
        <v>367</v>
      </c>
      <c r="E227" s="124"/>
      <c r="F227" s="119"/>
      <c r="G227" t="str">
        <f t="shared" si="3"/>
        <v>March</v>
      </c>
    </row>
    <row r="228" spans="1:7">
      <c r="A228" s="118" t="s">
        <v>648</v>
      </c>
      <c r="B228" s="155" t="s">
        <v>398</v>
      </c>
      <c r="C228" s="123">
        <v>45721</v>
      </c>
      <c r="D228" s="124">
        <v>0</v>
      </c>
      <c r="E228" s="124"/>
      <c r="F228" s="119"/>
      <c r="G228" t="str">
        <f t="shared" si="3"/>
        <v>March</v>
      </c>
    </row>
    <row r="229" spans="1:7">
      <c r="A229" s="118" t="s">
        <v>485</v>
      </c>
      <c r="B229" s="248" t="s">
        <v>486</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402</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486</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402</v>
      </c>
      <c r="C243" s="123">
        <v>45721</v>
      </c>
      <c r="D243" s="124">
        <v>0</v>
      </c>
      <c r="E243" s="124"/>
      <c r="F243" s="119"/>
      <c r="G243" t="str">
        <f t="shared" si="3"/>
        <v>March</v>
      </c>
    </row>
    <row r="244" spans="1:7">
      <c r="A244" s="118" t="s">
        <v>597</v>
      </c>
      <c r="B244" s="155" t="s">
        <v>398</v>
      </c>
      <c r="C244" s="123">
        <v>45721</v>
      </c>
      <c r="D244" s="124">
        <v>452</v>
      </c>
      <c r="E244" s="124"/>
      <c r="F244" s="110" t="s">
        <v>986</v>
      </c>
      <c r="G244" t="str">
        <f t="shared" si="3"/>
        <v>March</v>
      </c>
    </row>
    <row r="245" spans="1:7">
      <c r="A245" s="118" t="s">
        <v>408</v>
      </c>
      <c r="B245" s="155" t="s">
        <v>398</v>
      </c>
      <c r="C245" s="123">
        <v>45721</v>
      </c>
      <c r="D245" s="124">
        <v>0</v>
      </c>
      <c r="E245" s="124"/>
      <c r="F245" s="119"/>
      <c r="G245" t="str">
        <f t="shared" si="3"/>
        <v>March</v>
      </c>
    </row>
    <row r="246" spans="1:7">
      <c r="A246" s="118" t="s">
        <v>520</v>
      </c>
      <c r="B246" s="214" t="s">
        <v>402</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405</v>
      </c>
      <c r="B248" s="248" t="s">
        <v>402</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401</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411</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412</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486</v>
      </c>
      <c r="C263" s="123">
        <v>45722</v>
      </c>
      <c r="D263" s="135">
        <v>0</v>
      </c>
      <c r="E263" s="135"/>
      <c r="F263" s="119"/>
      <c r="G263" t="str">
        <f t="shared" si="4"/>
        <v>March</v>
      </c>
    </row>
    <row r="264" spans="1:7" ht="15.75">
      <c r="A264" s="118" t="s">
        <v>419</v>
      </c>
      <c r="B264" s="246" t="s">
        <v>884</v>
      </c>
      <c r="C264" s="123">
        <v>45722</v>
      </c>
      <c r="D264" s="135">
        <v>245</v>
      </c>
      <c r="E264" s="135"/>
      <c r="F264" s="110" t="s">
        <v>963</v>
      </c>
      <c r="G264" t="str">
        <f t="shared" si="4"/>
        <v>March</v>
      </c>
    </row>
    <row r="265" spans="1:7">
      <c r="A265" s="118" t="s">
        <v>648</v>
      </c>
      <c r="B265" s="155" t="s">
        <v>398</v>
      </c>
      <c r="C265" s="123">
        <v>45722</v>
      </c>
      <c r="D265" s="135">
        <v>0</v>
      </c>
      <c r="E265" s="135"/>
      <c r="F265" s="119"/>
      <c r="G265" t="str">
        <f t="shared" si="4"/>
        <v>March</v>
      </c>
    </row>
    <row r="266" spans="1:7">
      <c r="A266" s="118" t="s">
        <v>485</v>
      </c>
      <c r="B266" s="248" t="s">
        <v>486</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402</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486</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402</v>
      </c>
      <c r="C280" s="123">
        <v>45722</v>
      </c>
      <c r="D280" s="135">
        <v>0</v>
      </c>
      <c r="E280" s="135"/>
      <c r="F280" s="119"/>
      <c r="G280" t="str">
        <f t="shared" si="4"/>
        <v>March</v>
      </c>
    </row>
    <row r="281" spans="1:7">
      <c r="A281" s="118" t="s">
        <v>597</v>
      </c>
      <c r="B281" s="155" t="s">
        <v>398</v>
      </c>
      <c r="C281" s="123">
        <v>45722</v>
      </c>
      <c r="D281" s="135">
        <v>0</v>
      </c>
      <c r="E281" s="135"/>
      <c r="F281" s="119"/>
      <c r="G281" t="str">
        <f t="shared" si="4"/>
        <v>March</v>
      </c>
    </row>
    <row r="282" spans="1:7">
      <c r="A282" s="118" t="s">
        <v>408</v>
      </c>
      <c r="B282" s="155" t="s">
        <v>398</v>
      </c>
      <c r="C282" s="123">
        <v>45722</v>
      </c>
      <c r="D282" s="135">
        <v>0</v>
      </c>
      <c r="E282" s="135"/>
      <c r="F282" s="119"/>
      <c r="G282" t="str">
        <f t="shared" si="4"/>
        <v>March</v>
      </c>
    </row>
    <row r="283" spans="1:7">
      <c r="A283" s="118" t="s">
        <v>520</v>
      </c>
      <c r="B283" s="214" t="s">
        <v>402</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405</v>
      </c>
      <c r="B285" s="248" t="s">
        <v>402</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401</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411</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412</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398</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486</v>
      </c>
      <c r="C303" s="56">
        <v>45723</v>
      </c>
      <c r="D303" s="135">
        <v>0</v>
      </c>
      <c r="E303" s="135"/>
      <c r="G303" t="str">
        <f t="shared" si="4"/>
        <v>March</v>
      </c>
    </row>
    <row r="304" spans="1:7" ht="15.75">
      <c r="A304" s="118" t="s">
        <v>419</v>
      </c>
      <c r="B304" s="246" t="s">
        <v>884</v>
      </c>
      <c r="C304" s="56">
        <v>45723</v>
      </c>
      <c r="D304" s="135">
        <v>0</v>
      </c>
      <c r="E304" s="135"/>
      <c r="F304" s="135" t="s">
        <v>996</v>
      </c>
      <c r="G304" t="str">
        <f t="shared" si="4"/>
        <v>March</v>
      </c>
    </row>
    <row r="305" spans="1:7">
      <c r="A305" s="118" t="s">
        <v>648</v>
      </c>
      <c r="B305" s="155" t="s">
        <v>398</v>
      </c>
      <c r="C305" s="56">
        <v>45723</v>
      </c>
      <c r="D305" s="135">
        <v>0</v>
      </c>
      <c r="E305" s="135"/>
      <c r="G305" t="str">
        <f t="shared" si="4"/>
        <v>March</v>
      </c>
    </row>
    <row r="306" spans="1:7">
      <c r="A306" s="118" t="s">
        <v>485</v>
      </c>
      <c r="B306" s="248" t="s">
        <v>486</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402</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486</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402</v>
      </c>
      <c r="C320" s="56">
        <v>45723</v>
      </c>
      <c r="D320" s="135">
        <v>201</v>
      </c>
      <c r="E320" s="135"/>
      <c r="F320" s="135" t="s">
        <v>997</v>
      </c>
      <c r="G320" t="str">
        <f t="shared" si="4"/>
        <v>March</v>
      </c>
    </row>
    <row r="321" spans="1:7">
      <c r="A321" s="118" t="s">
        <v>597</v>
      </c>
      <c r="B321" s="155" t="s">
        <v>398</v>
      </c>
      <c r="C321" s="56">
        <v>45723</v>
      </c>
      <c r="D321" s="135">
        <v>875</v>
      </c>
      <c r="E321" s="135"/>
      <c r="F321" s="135" t="s">
        <v>998</v>
      </c>
      <c r="G321" t="str">
        <f t="shared" si="4"/>
        <v>March</v>
      </c>
    </row>
    <row r="322" spans="1:7">
      <c r="A322" s="118" t="s">
        <v>408</v>
      </c>
      <c r="B322" s="155" t="s">
        <v>398</v>
      </c>
      <c r="C322" s="56">
        <v>45723</v>
      </c>
      <c r="D322" s="135">
        <v>0</v>
      </c>
      <c r="E322" s="135"/>
      <c r="G322" t="str">
        <f t="shared" si="4"/>
        <v>March</v>
      </c>
    </row>
    <row r="323" spans="1:7">
      <c r="A323" s="118" t="s">
        <v>520</v>
      </c>
      <c r="B323" s="214" t="s">
        <v>402</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405</v>
      </c>
      <c r="B325" s="248" t="s">
        <v>402</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401</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411</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412</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398</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486</v>
      </c>
      <c r="C344" s="56">
        <v>45726</v>
      </c>
      <c r="D344" s="135">
        <v>0</v>
      </c>
      <c r="E344" s="135"/>
      <c r="G344" t="str">
        <f t="shared" si="5"/>
        <v>March</v>
      </c>
    </row>
    <row r="345" spans="1:7" ht="15.75">
      <c r="A345" s="118" t="s">
        <v>419</v>
      </c>
      <c r="B345" s="246" t="s">
        <v>884</v>
      </c>
      <c r="C345" s="56">
        <v>45726</v>
      </c>
      <c r="D345" s="135">
        <v>0</v>
      </c>
      <c r="E345" s="135"/>
      <c r="F345" s="135" t="s">
        <v>1003</v>
      </c>
      <c r="G345" t="str">
        <f t="shared" si="5"/>
        <v>March</v>
      </c>
    </row>
    <row r="346" spans="1:7">
      <c r="A346" s="118" t="s">
        <v>648</v>
      </c>
      <c r="B346" s="155" t="s">
        <v>398</v>
      </c>
      <c r="C346" s="56">
        <v>45726</v>
      </c>
      <c r="D346" s="135">
        <v>0</v>
      </c>
      <c r="E346" s="135"/>
      <c r="G346" t="str">
        <f t="shared" si="5"/>
        <v>March</v>
      </c>
    </row>
    <row r="347" spans="1:7">
      <c r="A347" s="118" t="s">
        <v>485</v>
      </c>
      <c r="B347" s="248" t="s">
        <v>486</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402</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486</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402</v>
      </c>
      <c r="C361" s="56">
        <v>45726</v>
      </c>
      <c r="D361" s="135">
        <v>0</v>
      </c>
      <c r="E361" s="135"/>
      <c r="G361" t="str">
        <f t="shared" si="5"/>
        <v>March</v>
      </c>
    </row>
    <row r="362" spans="1:7">
      <c r="A362" s="118" t="s">
        <v>597</v>
      </c>
      <c r="B362" s="155" t="s">
        <v>398</v>
      </c>
      <c r="C362" s="56">
        <v>45726</v>
      </c>
      <c r="D362" s="135">
        <v>0</v>
      </c>
      <c r="E362" s="135"/>
      <c r="G362" t="str">
        <f t="shared" si="5"/>
        <v>March</v>
      </c>
    </row>
    <row r="363" spans="1:7">
      <c r="A363" s="118" t="s">
        <v>408</v>
      </c>
      <c r="B363" s="155" t="s">
        <v>398</v>
      </c>
      <c r="C363" s="56">
        <v>45726</v>
      </c>
      <c r="D363" s="135">
        <v>0</v>
      </c>
      <c r="E363" s="135"/>
      <c r="G363" t="str">
        <f t="shared" si="5"/>
        <v>March</v>
      </c>
    </row>
    <row r="364" spans="1:7">
      <c r="A364" s="118" t="s">
        <v>520</v>
      </c>
      <c r="B364" s="214" t="s">
        <v>402</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405</v>
      </c>
      <c r="B366" s="248" t="s">
        <v>402</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401</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411</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412</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398</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486</v>
      </c>
      <c r="C385" s="56">
        <v>45727</v>
      </c>
      <c r="D385" s="124">
        <v>0</v>
      </c>
      <c r="E385" s="124"/>
      <c r="G385" t="str">
        <f t="shared" si="5"/>
        <v>March</v>
      </c>
    </row>
    <row r="386" spans="1:7" ht="15.75">
      <c r="A386" s="118" t="s">
        <v>419</v>
      </c>
      <c r="B386" s="246" t="s">
        <v>884</v>
      </c>
      <c r="C386" s="56">
        <v>45727</v>
      </c>
      <c r="D386" s="124">
        <v>0</v>
      </c>
      <c r="E386" s="124"/>
      <c r="F386" s="124" t="s">
        <v>973</v>
      </c>
      <c r="G386" t="str">
        <f t="shared" si="5"/>
        <v>March</v>
      </c>
    </row>
    <row r="387" spans="1:7">
      <c r="A387" s="118" t="s">
        <v>648</v>
      </c>
      <c r="B387" s="155" t="s">
        <v>398</v>
      </c>
      <c r="C387" s="56">
        <v>45727</v>
      </c>
      <c r="D387" s="124">
        <v>0</v>
      </c>
      <c r="E387" s="124"/>
      <c r="G387" t="str">
        <f t="shared" ref="G387:G450" si="6">TEXT(C387,"mmmm")</f>
        <v>March</v>
      </c>
    </row>
    <row r="388" spans="1:7">
      <c r="A388" s="118" t="s">
        <v>485</v>
      </c>
      <c r="B388" s="248" t="s">
        <v>486</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402</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486</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402</v>
      </c>
      <c r="C402" s="56">
        <v>45727</v>
      </c>
      <c r="D402" s="124">
        <v>0</v>
      </c>
      <c r="E402" s="124"/>
      <c r="G402" t="str">
        <f t="shared" si="6"/>
        <v>March</v>
      </c>
    </row>
    <row r="403" spans="1:7">
      <c r="A403" s="118" t="s">
        <v>597</v>
      </c>
      <c r="B403" s="155" t="s">
        <v>398</v>
      </c>
      <c r="C403" s="56">
        <v>45727</v>
      </c>
      <c r="D403" s="124">
        <v>199</v>
      </c>
      <c r="E403" s="124"/>
      <c r="F403" s="110" t="s">
        <v>954</v>
      </c>
      <c r="G403" t="str">
        <f t="shared" si="6"/>
        <v>March</v>
      </c>
    </row>
    <row r="404" spans="1:7">
      <c r="A404" s="118" t="s">
        <v>408</v>
      </c>
      <c r="B404" s="155" t="s">
        <v>398</v>
      </c>
      <c r="C404" s="56">
        <v>45727</v>
      </c>
      <c r="D404" s="124">
        <v>0</v>
      </c>
      <c r="E404" s="124"/>
      <c r="G404" t="str">
        <f t="shared" si="6"/>
        <v>March</v>
      </c>
    </row>
    <row r="405" spans="1:7">
      <c r="A405" s="118" t="s">
        <v>520</v>
      </c>
      <c r="B405" s="214" t="s">
        <v>402</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405</v>
      </c>
      <c r="B407" s="248" t="s">
        <v>402</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401</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411</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412</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398</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398</v>
      </c>
      <c r="C426" s="56">
        <v>45727</v>
      </c>
      <c r="D426" s="124">
        <v>304</v>
      </c>
      <c r="E426" s="124"/>
      <c r="G426" t="str">
        <f t="shared" si="6"/>
        <v>March</v>
      </c>
    </row>
    <row r="427" spans="1:7">
      <c r="A427" s="119" t="s">
        <v>890</v>
      </c>
      <c r="B427" s="158" t="s">
        <v>402</v>
      </c>
      <c r="C427" s="56">
        <v>45727</v>
      </c>
      <c r="D427" s="151">
        <v>1617</v>
      </c>
      <c r="E427" s="151"/>
      <c r="G427" t="str">
        <f t="shared" si="6"/>
        <v>March</v>
      </c>
    </row>
    <row r="428" spans="1:7">
      <c r="A428" s="119" t="s">
        <v>681</v>
      </c>
      <c r="B428" s="158" t="s">
        <v>402</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486</v>
      </c>
      <c r="C431" s="56">
        <v>45728</v>
      </c>
      <c r="D431" s="124"/>
      <c r="E431" s="124"/>
      <c r="F431" s="124" t="s">
        <v>974</v>
      </c>
      <c r="G431" t="str">
        <f t="shared" si="6"/>
        <v>March</v>
      </c>
    </row>
    <row r="432" spans="1:7" ht="15.75">
      <c r="A432" s="118" t="s">
        <v>419</v>
      </c>
      <c r="B432" s="246" t="s">
        <v>884</v>
      </c>
      <c r="C432" s="56">
        <v>45728</v>
      </c>
      <c r="D432" s="124"/>
      <c r="E432" s="124"/>
      <c r="F432" s="124" t="s">
        <v>1007</v>
      </c>
      <c r="G432" t="str">
        <f t="shared" si="6"/>
        <v>March</v>
      </c>
    </row>
    <row r="433" spans="1:7">
      <c r="A433" s="118" t="s">
        <v>648</v>
      </c>
      <c r="B433" s="155" t="s">
        <v>398</v>
      </c>
      <c r="C433" s="56">
        <v>45728</v>
      </c>
      <c r="D433" s="124" t="s">
        <v>974</v>
      </c>
      <c r="E433" s="124"/>
      <c r="G433" t="str">
        <f t="shared" si="6"/>
        <v>March</v>
      </c>
    </row>
    <row r="434" spans="1:7">
      <c r="A434" s="118" t="s">
        <v>485</v>
      </c>
      <c r="B434" s="248" t="s">
        <v>486</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402</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486</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402</v>
      </c>
      <c r="C448" s="56">
        <v>45728</v>
      </c>
      <c r="D448" s="124" t="s">
        <v>974</v>
      </c>
      <c r="E448" s="124"/>
      <c r="G448" t="str">
        <f t="shared" si="6"/>
        <v>March</v>
      </c>
    </row>
    <row r="449" spans="1:7">
      <c r="A449" s="118" t="s">
        <v>597</v>
      </c>
      <c r="B449" s="155" t="s">
        <v>398</v>
      </c>
      <c r="C449" s="56">
        <v>45728</v>
      </c>
      <c r="D449" s="124" t="s">
        <v>974</v>
      </c>
      <c r="E449" s="124"/>
      <c r="G449" t="str">
        <f t="shared" si="6"/>
        <v>March</v>
      </c>
    </row>
    <row r="450" spans="1:7">
      <c r="A450" s="118" t="s">
        <v>408</v>
      </c>
      <c r="B450" s="155" t="s">
        <v>398</v>
      </c>
      <c r="C450" s="56">
        <v>45728</v>
      </c>
      <c r="D450" s="124" t="s">
        <v>974</v>
      </c>
      <c r="E450" s="124"/>
      <c r="G450" t="str">
        <f t="shared" si="6"/>
        <v>March</v>
      </c>
    </row>
    <row r="451" spans="1:7">
      <c r="A451" s="118" t="s">
        <v>520</v>
      </c>
      <c r="B451" s="214" t="s">
        <v>402</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405</v>
      </c>
      <c r="B453" s="248" t="s">
        <v>402</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401</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411</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412</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398</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398</v>
      </c>
      <c r="C472" s="56">
        <v>45728</v>
      </c>
      <c r="D472" s="124">
        <v>205</v>
      </c>
      <c r="E472" s="124"/>
      <c r="G472" t="str">
        <f t="shared" si="7"/>
        <v>March</v>
      </c>
    </row>
    <row r="473" spans="1:7">
      <c r="A473" s="119" t="s">
        <v>890</v>
      </c>
      <c r="B473" s="158" t="s">
        <v>402</v>
      </c>
      <c r="C473" s="56">
        <v>45728</v>
      </c>
      <c r="D473" s="124" t="s">
        <v>974</v>
      </c>
      <c r="E473" s="124"/>
      <c r="G473" t="str">
        <f t="shared" si="7"/>
        <v>March</v>
      </c>
    </row>
    <row r="474" spans="1:7">
      <c r="A474" s="119" t="s">
        <v>681</v>
      </c>
      <c r="B474" s="158" t="s">
        <v>402</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402</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486</v>
      </c>
      <c r="C481" s="56">
        <v>45729</v>
      </c>
      <c r="D481" s="124"/>
      <c r="E481" s="124"/>
      <c r="G481" t="str">
        <f t="shared" si="7"/>
        <v>March</v>
      </c>
    </row>
    <row r="482" spans="1:7" ht="15.75">
      <c r="A482" s="118" t="s">
        <v>419</v>
      </c>
      <c r="B482" s="246" t="s">
        <v>884</v>
      </c>
      <c r="C482" s="56">
        <v>45729</v>
      </c>
      <c r="D482" s="124"/>
      <c r="E482" s="124"/>
      <c r="F482" s="124" t="s">
        <v>1007</v>
      </c>
      <c r="G482" t="str">
        <f t="shared" si="7"/>
        <v>March</v>
      </c>
    </row>
    <row r="483" spans="1:7">
      <c r="A483" s="118" t="s">
        <v>648</v>
      </c>
      <c r="B483" s="155" t="s">
        <v>398</v>
      </c>
      <c r="C483" s="56">
        <v>45729</v>
      </c>
      <c r="D483" s="124"/>
      <c r="E483" s="124"/>
      <c r="G483" t="str">
        <f t="shared" si="7"/>
        <v>March</v>
      </c>
    </row>
    <row r="484" spans="1:7">
      <c r="A484" s="118" t="s">
        <v>485</v>
      </c>
      <c r="B484" s="248" t="s">
        <v>486</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402</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486</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402</v>
      </c>
      <c r="C498" s="56">
        <v>45729</v>
      </c>
      <c r="D498" s="124" t="s">
        <v>974</v>
      </c>
      <c r="E498" s="124"/>
      <c r="G498" t="str">
        <f t="shared" si="7"/>
        <v>March</v>
      </c>
    </row>
    <row r="499" spans="1:7">
      <c r="A499" s="118" t="s">
        <v>597</v>
      </c>
      <c r="B499" s="155" t="s">
        <v>398</v>
      </c>
      <c r="C499" s="56">
        <v>45729</v>
      </c>
      <c r="D499" s="124" t="s">
        <v>974</v>
      </c>
      <c r="E499" s="124"/>
      <c r="G499" t="str">
        <f t="shared" si="7"/>
        <v>March</v>
      </c>
    </row>
    <row r="500" spans="1:7">
      <c r="A500" s="118" t="s">
        <v>408</v>
      </c>
      <c r="B500" s="155" t="s">
        <v>398</v>
      </c>
      <c r="C500" s="56">
        <v>45729</v>
      </c>
      <c r="D500" s="124" t="s">
        <v>974</v>
      </c>
      <c r="E500" s="124"/>
      <c r="G500" t="str">
        <f t="shared" si="7"/>
        <v>March</v>
      </c>
    </row>
    <row r="501" spans="1:7">
      <c r="A501" s="118" t="s">
        <v>520</v>
      </c>
      <c r="B501" s="214" t="s">
        <v>402</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405</v>
      </c>
      <c r="B503" s="248" t="s">
        <v>402</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401</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411</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412</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398</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398</v>
      </c>
      <c r="C522" s="56">
        <v>45729</v>
      </c>
      <c r="D522" s="124">
        <v>451</v>
      </c>
      <c r="E522" s="124"/>
      <c r="G522" t="str">
        <f t="shared" si="8"/>
        <v>March</v>
      </c>
    </row>
    <row r="523" spans="1:7">
      <c r="A523" s="119" t="s">
        <v>890</v>
      </c>
      <c r="B523" s="158" t="s">
        <v>402</v>
      </c>
      <c r="C523" s="56">
        <v>45729</v>
      </c>
      <c r="D523" s="124">
        <v>101</v>
      </c>
      <c r="E523" s="124"/>
      <c r="G523" t="str">
        <f t="shared" si="8"/>
        <v>March</v>
      </c>
    </row>
    <row r="524" spans="1:7">
      <c r="A524" s="119" t="s">
        <v>681</v>
      </c>
      <c r="B524" s="158" t="s">
        <v>402</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402</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402</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486</v>
      </c>
      <c r="C532" s="56">
        <v>45730</v>
      </c>
      <c r="D532" s="124"/>
      <c r="E532" s="124"/>
      <c r="F532" s="124" t="s">
        <v>974</v>
      </c>
      <c r="G532" t="str">
        <f t="shared" si="8"/>
        <v>March</v>
      </c>
    </row>
    <row r="533" spans="1:7" ht="15.75">
      <c r="A533" s="118" t="s">
        <v>419</v>
      </c>
      <c r="B533" s="246" t="s">
        <v>884</v>
      </c>
      <c r="C533" s="56">
        <v>45730</v>
      </c>
      <c r="D533" s="124"/>
      <c r="E533" s="124"/>
      <c r="F533" s="124" t="s">
        <v>1007</v>
      </c>
      <c r="G533" t="str">
        <f t="shared" si="8"/>
        <v>March</v>
      </c>
    </row>
    <row r="534" spans="1:7">
      <c r="A534" s="118" t="s">
        <v>648</v>
      </c>
      <c r="B534" s="155" t="s">
        <v>398</v>
      </c>
      <c r="C534" s="56">
        <v>45730</v>
      </c>
      <c r="D534" s="124"/>
      <c r="E534" s="124"/>
      <c r="F534" s="124" t="s">
        <v>974</v>
      </c>
      <c r="G534" t="str">
        <f t="shared" si="8"/>
        <v>March</v>
      </c>
    </row>
    <row r="535" spans="1:7">
      <c r="A535" s="118" t="s">
        <v>485</v>
      </c>
      <c r="B535" s="248" t="s">
        <v>486</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402</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486</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402</v>
      </c>
      <c r="C549" s="56">
        <v>45730</v>
      </c>
      <c r="D549" s="124"/>
      <c r="E549" s="124"/>
      <c r="F549" s="124" t="s">
        <v>974</v>
      </c>
      <c r="G549" t="str">
        <f t="shared" si="8"/>
        <v>March</v>
      </c>
    </row>
    <row r="550" spans="1:7">
      <c r="A550" s="118" t="s">
        <v>597</v>
      </c>
      <c r="B550" s="155" t="s">
        <v>398</v>
      </c>
      <c r="C550" s="56">
        <v>45730</v>
      </c>
      <c r="D550" s="124"/>
      <c r="E550" s="124"/>
      <c r="F550" s="124" t="s">
        <v>974</v>
      </c>
      <c r="G550" t="str">
        <f t="shared" si="8"/>
        <v>March</v>
      </c>
    </row>
    <row r="551" spans="1:7">
      <c r="A551" s="118" t="s">
        <v>408</v>
      </c>
      <c r="B551" s="155" t="s">
        <v>398</v>
      </c>
      <c r="C551" s="56">
        <v>45730</v>
      </c>
      <c r="D551" s="124"/>
      <c r="E551" s="124"/>
      <c r="F551" s="124" t="s">
        <v>974</v>
      </c>
      <c r="G551" t="str">
        <f t="shared" si="8"/>
        <v>March</v>
      </c>
    </row>
    <row r="552" spans="1:7">
      <c r="A552" s="118" t="s">
        <v>520</v>
      </c>
      <c r="B552" s="214" t="s">
        <v>402</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405</v>
      </c>
      <c r="B554" s="248" t="s">
        <v>402</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401</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411</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412</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398</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398</v>
      </c>
      <c r="C573" s="56">
        <v>45730</v>
      </c>
      <c r="D573" s="124" t="s">
        <v>974</v>
      </c>
      <c r="E573" s="124"/>
      <c r="F573" s="124"/>
      <c r="G573" t="str">
        <f t="shared" si="8"/>
        <v>March</v>
      </c>
    </row>
    <row r="574" spans="1:7">
      <c r="A574" s="119" t="s">
        <v>890</v>
      </c>
      <c r="B574" s="158" t="s">
        <v>402</v>
      </c>
      <c r="C574" s="56">
        <v>45730</v>
      </c>
      <c r="D574" s="124" t="s">
        <v>974</v>
      </c>
      <c r="E574" s="124"/>
      <c r="F574" s="124"/>
      <c r="G574" t="str">
        <f t="shared" si="8"/>
        <v>March</v>
      </c>
    </row>
    <row r="575" spans="1:7">
      <c r="A575" s="119" t="s">
        <v>681</v>
      </c>
      <c r="B575" s="158" t="s">
        <v>402</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402</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402</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419</v>
      </c>
      <c r="B583" s="246" t="s">
        <v>884</v>
      </c>
      <c r="C583" s="56">
        <v>45733</v>
      </c>
      <c r="E583" s="43"/>
      <c r="F583" s="124" t="s">
        <v>1007</v>
      </c>
      <c r="G583" t="str">
        <f t="shared" si="9"/>
        <v>March</v>
      </c>
    </row>
    <row r="584" spans="1:7">
      <c r="A584" s="118" t="s">
        <v>485</v>
      </c>
      <c r="B584" s="248" t="s">
        <v>486</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402</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486</v>
      </c>
      <c r="C589" s="56">
        <v>45733</v>
      </c>
      <c r="E589" s="43"/>
      <c r="F589" s="124" t="s">
        <v>974</v>
      </c>
      <c r="G589" t="str">
        <f t="shared" si="9"/>
        <v>March</v>
      </c>
    </row>
    <row r="590" spans="1:7">
      <c r="A590" s="118" t="s">
        <v>661</v>
      </c>
      <c r="B590" s="248" t="s">
        <v>402</v>
      </c>
      <c r="C590" s="56">
        <v>45733</v>
      </c>
      <c r="E590" s="43"/>
      <c r="F590" s="124" t="s">
        <v>974</v>
      </c>
      <c r="G590" t="str">
        <f t="shared" si="9"/>
        <v>March</v>
      </c>
    </row>
    <row r="591" spans="1:7">
      <c r="A591" s="118" t="s">
        <v>597</v>
      </c>
      <c r="B591" s="155" t="s">
        <v>398</v>
      </c>
      <c r="C591" s="56">
        <v>45733</v>
      </c>
      <c r="E591" s="43"/>
      <c r="F591" s="124" t="s">
        <v>974</v>
      </c>
      <c r="G591" t="str">
        <f t="shared" si="9"/>
        <v>March</v>
      </c>
    </row>
    <row r="592" spans="1:7">
      <c r="A592" s="118" t="s">
        <v>520</v>
      </c>
      <c r="B592" s="214" t="s">
        <v>402</v>
      </c>
      <c r="C592" s="56">
        <v>45733</v>
      </c>
      <c r="E592" s="43"/>
      <c r="F592" s="124" t="s">
        <v>974</v>
      </c>
      <c r="G592" t="str">
        <f t="shared" si="9"/>
        <v>March</v>
      </c>
    </row>
    <row r="593" spans="1:7">
      <c r="A593" s="118" t="s">
        <v>401</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398</v>
      </c>
      <c r="C607" s="56">
        <v>45733</v>
      </c>
      <c r="E607" s="43"/>
      <c r="F607" s="124" t="s">
        <v>974</v>
      </c>
      <c r="G607" t="str">
        <f t="shared" si="9"/>
        <v>March</v>
      </c>
    </row>
    <row r="608" spans="1:7">
      <c r="A608" s="119" t="s">
        <v>890</v>
      </c>
      <c r="B608" s="158" t="s">
        <v>402</v>
      </c>
      <c r="C608" s="56">
        <v>45733</v>
      </c>
      <c r="E608" s="43"/>
      <c r="F608" s="124" t="s">
        <v>974</v>
      </c>
      <c r="G608" t="str">
        <f t="shared" si="9"/>
        <v>March</v>
      </c>
    </row>
    <row r="609" spans="1:7">
      <c r="A609" s="119" t="s">
        <v>681</v>
      </c>
      <c r="B609" s="158" t="s">
        <v>402</v>
      </c>
      <c r="C609" s="56">
        <v>45733</v>
      </c>
      <c r="E609" s="43"/>
      <c r="F609" s="124" t="s">
        <v>974</v>
      </c>
      <c r="G609" t="str">
        <f t="shared" si="9"/>
        <v>March</v>
      </c>
    </row>
    <row r="610" spans="1:7">
      <c r="A610" s="119" t="s">
        <v>650</v>
      </c>
      <c r="B610" s="158" t="s">
        <v>402</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402</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398</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419</v>
      </c>
      <c r="B618" s="246" t="s">
        <v>884</v>
      </c>
      <c r="C618" s="56">
        <v>45734</v>
      </c>
      <c r="E618" s="43"/>
      <c r="F618" s="135" t="s">
        <v>1007</v>
      </c>
      <c r="G618" t="str">
        <f t="shared" si="9"/>
        <v>March</v>
      </c>
    </row>
    <row r="619" spans="1:7">
      <c r="A619" s="118" t="s">
        <v>617</v>
      </c>
      <c r="B619" s="248" t="s">
        <v>486</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398</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419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401</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402</v>
      </c>
      <c r="C633" s="56">
        <v>45735</v>
      </c>
      <c r="D633" s="124">
        <v>200</v>
      </c>
      <c r="E633" s="43"/>
      <c r="F633" s="110" t="s">
        <v>1039</v>
      </c>
      <c r="G633" t="str">
        <f t="shared" si="9"/>
        <v>March</v>
      </c>
    </row>
    <row r="634" spans="1:7">
      <c r="A634" s="214" t="s">
        <v>681</v>
      </c>
      <c r="B634" s="142" t="s">
        <v>402</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398</v>
      </c>
      <c r="C636" s="56">
        <v>45735</v>
      </c>
      <c r="D636" s="124">
        <v>728</v>
      </c>
      <c r="E636" s="43"/>
      <c r="F636" s="110" t="s">
        <v>1042</v>
      </c>
      <c r="G636" t="str">
        <f t="shared" si="9"/>
        <v>March</v>
      </c>
    </row>
    <row r="637" spans="1:7">
      <c r="A637" s="214" t="s">
        <v>823</v>
      </c>
      <c r="B637" s="155" t="s">
        <v>398</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398</v>
      </c>
      <c r="C643" s="56">
        <v>45736</v>
      </c>
      <c r="D643" s="124">
        <v>700</v>
      </c>
      <c r="E643" s="43"/>
      <c r="F643" s="110" t="s">
        <v>1045</v>
      </c>
      <c r="G643" t="str">
        <f t="shared" ref="G643:G706" si="10">TEXT(C643,"mmmm")</f>
        <v>March</v>
      </c>
    </row>
    <row r="644" spans="1:7">
      <c r="A644" s="214" t="s">
        <v>823</v>
      </c>
      <c r="B644" s="155" t="s">
        <v>398</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402</v>
      </c>
      <c r="C647" s="56">
        <v>45736</v>
      </c>
      <c r="D647" s="124" t="s">
        <v>1048</v>
      </c>
      <c r="E647" s="43"/>
      <c r="G647" t="str">
        <f t="shared" si="10"/>
        <v>March</v>
      </c>
    </row>
    <row r="648" spans="1:7" ht="15.75">
      <c r="A648" s="214" t="s">
        <v>401</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398</v>
      </c>
      <c r="C654" s="56">
        <v>45736</v>
      </c>
      <c r="D654" s="124">
        <v>700</v>
      </c>
      <c r="E654" s="43"/>
      <c r="F654" s="110" t="s">
        <v>1045</v>
      </c>
      <c r="G654" t="str">
        <f t="shared" si="10"/>
        <v>March</v>
      </c>
    </row>
    <row r="655" spans="1:7">
      <c r="A655" s="214" t="s">
        <v>823</v>
      </c>
      <c r="B655" s="155" t="s">
        <v>398</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402</v>
      </c>
      <c r="C658" s="56">
        <v>45736</v>
      </c>
      <c r="D658" s="124"/>
      <c r="E658" s="43"/>
      <c r="F658" s="124" t="s">
        <v>1048</v>
      </c>
      <c r="G658" t="str">
        <f t="shared" si="10"/>
        <v>March</v>
      </c>
    </row>
    <row r="659" spans="1:7" ht="15.75">
      <c r="A659" s="214" t="s">
        <v>401</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398</v>
      </c>
      <c r="C664" s="56">
        <v>45737</v>
      </c>
      <c r="D664" s="124">
        <v>709</v>
      </c>
      <c r="E664" s="43"/>
      <c r="F664" s="110" t="s">
        <v>1052</v>
      </c>
      <c r="G664" t="str">
        <f t="shared" si="10"/>
        <v>March</v>
      </c>
    </row>
    <row r="665" spans="1:7">
      <c r="A665" s="214" t="s">
        <v>823</v>
      </c>
      <c r="B665" s="155" t="s">
        <v>398</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402</v>
      </c>
      <c r="C667" s="56">
        <v>45737</v>
      </c>
      <c r="D667" s="124">
        <v>420</v>
      </c>
      <c r="E667" s="43"/>
      <c r="F667" s="110" t="s">
        <v>1055</v>
      </c>
      <c r="G667" t="str">
        <f t="shared" si="10"/>
        <v>March</v>
      </c>
    </row>
    <row r="668" spans="1:7" ht="15.75">
      <c r="A668" s="214" t="s">
        <v>401</v>
      </c>
      <c r="B668" s="246" t="s">
        <v>884</v>
      </c>
      <c r="C668" s="56">
        <v>45737</v>
      </c>
      <c r="D668" s="124">
        <v>270</v>
      </c>
      <c r="E668" s="43"/>
      <c r="F668" s="110" t="s">
        <v>1019</v>
      </c>
      <c r="G668" t="str">
        <f t="shared" si="10"/>
        <v>March</v>
      </c>
    </row>
    <row r="669" spans="1:7">
      <c r="A669" s="214" t="s">
        <v>650</v>
      </c>
      <c r="B669" s="158" t="s">
        <v>402</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402</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402</v>
      </c>
      <c r="C675" s="56">
        <v>45740</v>
      </c>
      <c r="D675" s="142">
        <v>982</v>
      </c>
      <c r="E675" s="43" t="s">
        <v>1060</v>
      </c>
      <c r="F675" s="110" t="s">
        <v>952</v>
      </c>
      <c r="G675" t="str">
        <f t="shared" si="10"/>
        <v>March</v>
      </c>
    </row>
    <row r="676" spans="1:7">
      <c r="A676" s="142" t="s">
        <v>583</v>
      </c>
      <c r="B676" s="142" t="s">
        <v>402</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398</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398</v>
      </c>
      <c r="C682" s="56">
        <v>45740</v>
      </c>
      <c r="D682" s="142"/>
      <c r="E682" s="43"/>
      <c r="F682" s="142" t="s">
        <v>996</v>
      </c>
      <c r="G682" t="str">
        <f t="shared" si="10"/>
        <v>March</v>
      </c>
    </row>
    <row r="683" spans="1:7">
      <c r="A683" s="155" t="s">
        <v>894</v>
      </c>
      <c r="B683" s="155" t="s">
        <v>398</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401</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398</v>
      </c>
      <c r="C687" s="56">
        <v>45741</v>
      </c>
      <c r="D687" s="155"/>
      <c r="E687" s="43"/>
      <c r="F687" s="155" t="s">
        <v>1059</v>
      </c>
      <c r="G687" t="str">
        <f t="shared" si="10"/>
        <v>March</v>
      </c>
    </row>
    <row r="688" spans="1:7">
      <c r="A688" s="142" t="s">
        <v>681</v>
      </c>
      <c r="B688" s="142" t="s">
        <v>402</v>
      </c>
      <c r="C688" s="56">
        <v>45741</v>
      </c>
      <c r="D688" s="142">
        <v>749</v>
      </c>
      <c r="E688" s="43"/>
      <c r="F688" s="110" t="s">
        <v>1068</v>
      </c>
      <c r="G688" t="str">
        <f t="shared" si="10"/>
        <v>March</v>
      </c>
    </row>
    <row r="689" spans="1:7">
      <c r="A689" s="142" t="s">
        <v>401</v>
      </c>
      <c r="B689" s="142" t="s">
        <v>402</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398</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408</v>
      </c>
      <c r="B697" s="155" t="s">
        <v>398</v>
      </c>
      <c r="C697" s="56">
        <v>45741</v>
      </c>
      <c r="D697" s="142"/>
      <c r="E697" s="43"/>
      <c r="F697" s="142" t="s">
        <v>996</v>
      </c>
      <c r="G697" t="str">
        <f t="shared" si="10"/>
        <v>March</v>
      </c>
    </row>
    <row r="698" spans="1:7">
      <c r="A698" s="142" t="s">
        <v>397</v>
      </c>
      <c r="B698" s="155" t="s">
        <v>398</v>
      </c>
      <c r="C698" s="56">
        <v>45741</v>
      </c>
      <c r="D698" s="143">
        <v>1065</v>
      </c>
      <c r="E698" s="142" t="s">
        <v>1064</v>
      </c>
      <c r="F698" s="110" t="s">
        <v>1076</v>
      </c>
      <c r="G698" t="str">
        <f t="shared" si="10"/>
        <v>March</v>
      </c>
    </row>
    <row r="699" spans="1:7">
      <c r="A699" s="142" t="s">
        <v>401</v>
      </c>
      <c r="B699" s="142" t="s">
        <v>412</v>
      </c>
      <c r="C699" s="56">
        <v>45741</v>
      </c>
      <c r="D699" s="142"/>
      <c r="E699" s="43"/>
      <c r="F699" s="142" t="s">
        <v>1077</v>
      </c>
      <c r="G699" t="str">
        <f t="shared" si="10"/>
        <v>March</v>
      </c>
    </row>
    <row r="700" spans="1:7">
      <c r="A700" s="142" t="s">
        <v>703</v>
      </c>
      <c r="B700" s="155" t="s">
        <v>398</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419</v>
      </c>
      <c r="B703" s="246" t="s">
        <v>884</v>
      </c>
      <c r="C703" s="56">
        <v>45741</v>
      </c>
      <c r="D703" s="155"/>
      <c r="E703" s="43"/>
      <c r="F703" s="155" t="s">
        <v>1059</v>
      </c>
      <c r="G703" t="str">
        <f t="shared" si="10"/>
        <v>March</v>
      </c>
    </row>
    <row r="704" spans="1:7">
      <c r="A704" s="142" t="s">
        <v>579</v>
      </c>
      <c r="B704" s="142" t="s">
        <v>412</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446</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402</v>
      </c>
      <c r="C711" s="56">
        <v>45742</v>
      </c>
      <c r="D711" s="214">
        <v>713</v>
      </c>
      <c r="E711" s="110"/>
      <c r="F711" s="110" t="s">
        <v>1081</v>
      </c>
      <c r="G711" t="str">
        <f t="shared" si="11"/>
        <v>March</v>
      </c>
    </row>
    <row r="712" spans="1:7">
      <c r="A712" s="142" t="s">
        <v>401</v>
      </c>
      <c r="B712" s="214" t="s">
        <v>402</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398</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397</v>
      </c>
      <c r="B720" s="155" t="s">
        <v>398</v>
      </c>
      <c r="C720" s="56">
        <v>45742</v>
      </c>
      <c r="D720" s="214">
        <v>825</v>
      </c>
      <c r="E720" s="43" t="s">
        <v>1084</v>
      </c>
      <c r="F720" s="110" t="s">
        <v>959</v>
      </c>
      <c r="G720" t="str">
        <f t="shared" si="11"/>
        <v>March</v>
      </c>
    </row>
    <row r="721" spans="1:7">
      <c r="A721" s="142" t="s">
        <v>401</v>
      </c>
      <c r="B721" s="142" t="s">
        <v>412</v>
      </c>
      <c r="C721" s="56">
        <v>45742</v>
      </c>
      <c r="D721" s="214">
        <v>159</v>
      </c>
      <c r="E721" s="43" t="s">
        <v>1075</v>
      </c>
      <c r="F721" s="110" t="s">
        <v>990</v>
      </c>
      <c r="G721" t="str">
        <f t="shared" si="11"/>
        <v>March</v>
      </c>
    </row>
    <row r="722" spans="1:7">
      <c r="A722" s="142" t="s">
        <v>703</v>
      </c>
      <c r="B722" s="155" t="s">
        <v>398</v>
      </c>
      <c r="C722" s="56">
        <v>45742</v>
      </c>
      <c r="D722" s="214"/>
      <c r="E722" s="43"/>
      <c r="F722" s="214" t="s">
        <v>996</v>
      </c>
      <c r="G722" t="str">
        <f t="shared" si="11"/>
        <v>March</v>
      </c>
    </row>
    <row r="723" spans="1:7">
      <c r="A723" s="142" t="s">
        <v>579</v>
      </c>
      <c r="B723" s="142" t="s">
        <v>412</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446</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412</v>
      </c>
      <c r="C729" s="56">
        <v>45743</v>
      </c>
      <c r="D729" s="214">
        <v>290</v>
      </c>
      <c r="E729" s="43"/>
      <c r="G729" t="str">
        <f t="shared" si="11"/>
        <v>March</v>
      </c>
    </row>
    <row r="730" spans="1:7">
      <c r="A730" s="142" t="s">
        <v>681</v>
      </c>
      <c r="B730" s="142" t="s">
        <v>402</v>
      </c>
      <c r="C730" s="56">
        <v>45743</v>
      </c>
      <c r="D730" s="214"/>
      <c r="E730" s="43"/>
      <c r="F730" s="214" t="s">
        <v>1088</v>
      </c>
      <c r="G730" t="str">
        <f t="shared" si="11"/>
        <v>March</v>
      </c>
    </row>
    <row r="731" spans="1:7">
      <c r="A731" s="142" t="s">
        <v>401</v>
      </c>
      <c r="B731" s="142" t="s">
        <v>402</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398</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397</v>
      </c>
      <c r="B738" s="155" t="s">
        <v>398</v>
      </c>
      <c r="C738" s="56">
        <v>45743</v>
      </c>
      <c r="D738" s="214">
        <v>705</v>
      </c>
      <c r="E738" s="110" t="s">
        <v>1064</v>
      </c>
      <c r="G738" t="str">
        <f t="shared" si="11"/>
        <v>March</v>
      </c>
      <c r="H738" s="165"/>
      <c r="I738" s="165"/>
      <c r="J738" s="165"/>
      <c r="K738" s="165"/>
      <c r="L738" s="165"/>
      <c r="M738" s="165"/>
    </row>
    <row r="739" spans="1:13">
      <c r="A739" s="142" t="s">
        <v>401</v>
      </c>
      <c r="B739" s="142" t="s">
        <v>412</v>
      </c>
      <c r="C739" s="56">
        <v>45743</v>
      </c>
      <c r="D739" s="214">
        <v>416</v>
      </c>
      <c r="E739" s="110" t="s">
        <v>1093</v>
      </c>
      <c r="F739" s="110" t="s">
        <v>1089</v>
      </c>
      <c r="G739" t="str">
        <f t="shared" si="11"/>
        <v>March</v>
      </c>
      <c r="H739" s="165"/>
      <c r="I739" s="258"/>
      <c r="J739" s="258"/>
      <c r="K739" s="165"/>
      <c r="L739" s="165"/>
      <c r="M739" s="165"/>
    </row>
    <row r="740" spans="1:13">
      <c r="A740" s="142" t="s">
        <v>703</v>
      </c>
      <c r="B740" s="155" t="s">
        <v>398</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412</v>
      </c>
      <c r="C746" s="56">
        <v>45744</v>
      </c>
      <c r="D746" s="214">
        <v>673</v>
      </c>
      <c r="E746" s="43"/>
      <c r="G746" t="str">
        <f t="shared" si="11"/>
        <v>March</v>
      </c>
      <c r="H746" s="165"/>
      <c r="I746" s="165"/>
      <c r="J746" s="165"/>
      <c r="K746" s="165"/>
      <c r="L746" s="165"/>
      <c r="M746" s="165"/>
    </row>
    <row r="747" spans="1:13">
      <c r="A747" s="142" t="s">
        <v>821</v>
      </c>
      <c r="B747" s="142" t="s">
        <v>402</v>
      </c>
      <c r="C747" s="56">
        <v>45744</v>
      </c>
      <c r="D747" s="214" t="s">
        <v>974</v>
      </c>
      <c r="E747" s="43"/>
      <c r="G747" t="str">
        <f t="shared" si="11"/>
        <v>March</v>
      </c>
      <c r="H747" s="165"/>
      <c r="I747" s="165"/>
      <c r="J747" s="165"/>
      <c r="K747" s="165"/>
      <c r="L747" s="165"/>
      <c r="M747" s="165"/>
    </row>
    <row r="748" spans="1:13">
      <c r="A748" s="142" t="s">
        <v>401</v>
      </c>
      <c r="B748" s="142" t="s">
        <v>402</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401</v>
      </c>
      <c r="B755" s="142" t="s">
        <v>412</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446</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408</v>
      </c>
      <c r="B763" s="155" t="s">
        <v>398</v>
      </c>
      <c r="C763" s="56">
        <v>45747</v>
      </c>
      <c r="D763" s="214">
        <v>0</v>
      </c>
      <c r="E763" s="43"/>
      <c r="F763" s="214" t="s">
        <v>996</v>
      </c>
      <c r="G763" t="str">
        <f t="shared" si="11"/>
        <v>March</v>
      </c>
    </row>
    <row r="764" spans="1:13">
      <c r="A764" s="142" t="s">
        <v>821</v>
      </c>
      <c r="B764" s="142" t="s">
        <v>402</v>
      </c>
      <c r="C764" s="56">
        <v>45747</v>
      </c>
      <c r="D764" s="213">
        <v>1880</v>
      </c>
      <c r="E764" s="110" t="s">
        <v>1058</v>
      </c>
      <c r="F764" s="110" t="s">
        <v>947</v>
      </c>
      <c r="G764" t="str">
        <f t="shared" si="11"/>
        <v>March</v>
      </c>
    </row>
    <row r="765" spans="1:13">
      <c r="A765" s="142" t="s">
        <v>401</v>
      </c>
      <c r="B765" s="142" t="s">
        <v>402</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401</v>
      </c>
      <c r="B770" s="142" t="s">
        <v>412</v>
      </c>
      <c r="C770" s="56">
        <v>45747</v>
      </c>
      <c r="D770" s="214">
        <v>0</v>
      </c>
      <c r="E770" s="43"/>
      <c r="F770" s="214" t="s">
        <v>1108</v>
      </c>
      <c r="G770" t="str">
        <f t="shared" si="11"/>
        <v>March</v>
      </c>
      <c r="H770" s="258"/>
      <c r="I770" s="258"/>
      <c r="J770" s="258"/>
      <c r="K770" s="165"/>
    </row>
    <row r="771" spans="1:11">
      <c r="A771" s="142" t="s">
        <v>650</v>
      </c>
      <c r="B771" s="155" t="s">
        <v>398</v>
      </c>
      <c r="C771" s="56">
        <v>45747</v>
      </c>
      <c r="D771" s="214">
        <v>0</v>
      </c>
      <c r="E771" s="43"/>
      <c r="F771" s="214" t="s">
        <v>1109</v>
      </c>
      <c r="G771" t="str">
        <f t="shared" ref="G771:G834" si="12">TEXT(C771,"mmmm")</f>
        <v>March</v>
      </c>
      <c r="H771" s="258"/>
      <c r="I771" s="258"/>
      <c r="J771" s="258"/>
      <c r="K771" s="165"/>
    </row>
    <row r="772" spans="1:11">
      <c r="A772" s="142" t="s">
        <v>594</v>
      </c>
      <c r="B772" s="142" t="s">
        <v>402</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446</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352</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398</v>
      </c>
      <c r="C781" s="56">
        <v>45748</v>
      </c>
      <c r="D781" s="142"/>
      <c r="E781" s="43"/>
      <c r="F781" s="142" t="s">
        <v>996</v>
      </c>
      <c r="G781" t="str">
        <f t="shared" si="12"/>
        <v>April</v>
      </c>
      <c r="H781" s="165"/>
      <c r="I781" s="165"/>
      <c r="J781" s="165"/>
      <c r="K781" s="165"/>
    </row>
    <row r="782" spans="1:11">
      <c r="A782" s="142" t="s">
        <v>821</v>
      </c>
      <c r="B782" s="142" t="s">
        <v>402</v>
      </c>
      <c r="C782" s="56">
        <v>45748</v>
      </c>
      <c r="D782" s="142" t="s">
        <v>974</v>
      </c>
      <c r="E782" s="43"/>
      <c r="G782" t="str">
        <f t="shared" si="12"/>
        <v>April</v>
      </c>
      <c r="H782" s="165"/>
      <c r="I782" s="165"/>
      <c r="J782" s="165"/>
      <c r="K782" s="165"/>
    </row>
    <row r="783" spans="1:11">
      <c r="A783" s="142" t="s">
        <v>401</v>
      </c>
      <c r="B783" s="142" t="s">
        <v>402</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398</v>
      </c>
      <c r="C786" s="56">
        <v>45748</v>
      </c>
      <c r="D786" s="142"/>
      <c r="E786" s="43"/>
      <c r="F786" s="142" t="s">
        <v>1018</v>
      </c>
      <c r="G786" t="str">
        <f t="shared" si="12"/>
        <v>April</v>
      </c>
      <c r="H786" s="165"/>
      <c r="I786" s="165"/>
      <c r="J786" s="165"/>
      <c r="K786" s="165"/>
    </row>
    <row r="787" spans="1:11">
      <c r="A787" s="142" t="s">
        <v>415</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446</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346</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398</v>
      </c>
      <c r="C795" s="56">
        <v>45749</v>
      </c>
      <c r="D795" s="142">
        <v>0</v>
      </c>
      <c r="E795" s="43"/>
      <c r="F795" s="142" t="s">
        <v>996</v>
      </c>
      <c r="G795" t="str">
        <f t="shared" si="12"/>
        <v>April</v>
      </c>
      <c r="H795" s="165"/>
      <c r="I795" s="165"/>
      <c r="J795" s="165"/>
      <c r="K795" s="165"/>
    </row>
    <row r="796" spans="1:11">
      <c r="A796" s="142" t="s">
        <v>821</v>
      </c>
      <c r="B796" s="142" t="s">
        <v>402</v>
      </c>
      <c r="C796" s="56">
        <v>45749</v>
      </c>
      <c r="D796" s="142" t="s">
        <v>974</v>
      </c>
      <c r="E796" s="43"/>
      <c r="G796" t="str">
        <f t="shared" si="12"/>
        <v>April</v>
      </c>
      <c r="H796" s="258"/>
      <c r="I796" s="258"/>
      <c r="J796" s="165"/>
      <c r="K796" s="165"/>
    </row>
    <row r="797" spans="1:11">
      <c r="A797" s="142" t="s">
        <v>401</v>
      </c>
      <c r="B797" s="142" t="s">
        <v>402</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398</v>
      </c>
      <c r="C800" s="56">
        <v>45749</v>
      </c>
      <c r="D800" s="142">
        <v>0</v>
      </c>
      <c r="E800" s="43"/>
      <c r="F800" s="142" t="s">
        <v>1018</v>
      </c>
      <c r="G800" t="str">
        <f t="shared" si="12"/>
        <v>April</v>
      </c>
      <c r="H800" s="258"/>
      <c r="I800" s="258"/>
      <c r="J800" s="165"/>
      <c r="K800" s="165"/>
    </row>
    <row r="801" spans="1:11">
      <c r="A801" s="142" t="s">
        <v>415</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446</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346</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398</v>
      </c>
      <c r="C809" s="56">
        <v>45750</v>
      </c>
      <c r="D809" s="43">
        <v>192</v>
      </c>
      <c r="E809" s="43"/>
      <c r="G809" t="str">
        <f t="shared" si="12"/>
        <v>April</v>
      </c>
    </row>
    <row r="810" spans="1:11">
      <c r="A810" s="142" t="s">
        <v>583</v>
      </c>
      <c r="B810" s="142" t="s">
        <v>402</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415</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443</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346</v>
      </c>
      <c r="B821" s="142" t="s">
        <v>885</v>
      </c>
      <c r="C821" s="56">
        <v>45750</v>
      </c>
      <c r="E821" s="43"/>
      <c r="F821" s="142" t="s">
        <v>1123</v>
      </c>
      <c r="G821" t="str">
        <f t="shared" si="12"/>
        <v>April</v>
      </c>
    </row>
    <row r="822" spans="1:7">
      <c r="A822" s="142" t="s">
        <v>401</v>
      </c>
      <c r="B822" s="247" t="s">
        <v>127</v>
      </c>
      <c r="C822" s="56">
        <v>45751</v>
      </c>
      <c r="D822" s="43">
        <v>635</v>
      </c>
      <c r="E822" s="43"/>
      <c r="F822" s="43" t="s">
        <v>1124</v>
      </c>
      <c r="G822" t="str">
        <f t="shared" si="12"/>
        <v>April</v>
      </c>
    </row>
    <row r="823" spans="1:7">
      <c r="A823" s="142" t="s">
        <v>589</v>
      </c>
      <c r="B823" s="155" t="s">
        <v>398</v>
      </c>
      <c r="C823" s="56">
        <v>45751</v>
      </c>
      <c r="E823" s="43"/>
      <c r="F823" s="142" t="s">
        <v>1084</v>
      </c>
      <c r="G823" t="str">
        <f t="shared" si="12"/>
        <v>April</v>
      </c>
    </row>
    <row r="824" spans="1:7">
      <c r="A824" s="142" t="s">
        <v>583</v>
      </c>
      <c r="B824" s="142" t="s">
        <v>402</v>
      </c>
      <c r="C824" s="56">
        <v>45751</v>
      </c>
      <c r="D824" s="43">
        <v>594</v>
      </c>
      <c r="E824" s="43"/>
      <c r="F824" s="43" t="s">
        <v>1125</v>
      </c>
      <c r="G824" t="str">
        <f t="shared" si="12"/>
        <v>April</v>
      </c>
    </row>
    <row r="825" spans="1:7">
      <c r="A825" s="142" t="s">
        <v>401</v>
      </c>
      <c r="B825" s="142" t="s">
        <v>402</v>
      </c>
      <c r="C825" s="56">
        <v>45751</v>
      </c>
      <c r="E825" s="43"/>
      <c r="F825" s="142" t="s">
        <v>1126</v>
      </c>
      <c r="G825" t="str">
        <f t="shared" si="12"/>
        <v>April</v>
      </c>
    </row>
    <row r="826" spans="1:7">
      <c r="A826" s="142" t="s">
        <v>604</v>
      </c>
      <c r="B826" s="142" t="s">
        <v>402</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443</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346</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402</v>
      </c>
      <c r="C837" s="56">
        <v>45754</v>
      </c>
      <c r="D837" s="43">
        <v>367</v>
      </c>
      <c r="E837" s="43"/>
      <c r="F837" s="43" t="s">
        <v>1130</v>
      </c>
      <c r="G837" t="str">
        <f t="shared" si="13"/>
        <v>April</v>
      </c>
    </row>
    <row r="838" spans="1:7">
      <c r="A838" s="142" t="s">
        <v>589</v>
      </c>
      <c r="B838" s="155" t="s">
        <v>398</v>
      </c>
      <c r="C838" s="56">
        <v>45754</v>
      </c>
      <c r="D838" s="142">
        <v>132</v>
      </c>
      <c r="E838" s="43"/>
      <c r="G838" t="str">
        <f t="shared" si="13"/>
        <v>April</v>
      </c>
    </row>
    <row r="839" spans="1:7">
      <c r="A839" s="142" t="s">
        <v>690</v>
      </c>
      <c r="B839" s="155" t="s">
        <v>398</v>
      </c>
      <c r="C839" s="56">
        <v>45754</v>
      </c>
      <c r="D839" s="142">
        <v>370</v>
      </c>
      <c r="E839" s="43"/>
      <c r="G839" t="str">
        <f t="shared" si="13"/>
        <v>April</v>
      </c>
    </row>
    <row r="840" spans="1:7">
      <c r="A840" s="142" t="s">
        <v>491</v>
      </c>
      <c r="B840" s="142" t="s">
        <v>658</v>
      </c>
      <c r="C840" s="56">
        <v>45754</v>
      </c>
      <c r="D840" s="142">
        <v>590</v>
      </c>
      <c r="E840" s="43"/>
      <c r="G840" t="str">
        <f t="shared" si="13"/>
        <v>April</v>
      </c>
    </row>
    <row r="841" spans="1:7" ht="15.75">
      <c r="A841" s="142" t="s">
        <v>430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491</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443</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346</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402</v>
      </c>
      <c r="C859" s="56">
        <v>45756</v>
      </c>
      <c r="E859" s="43"/>
      <c r="F859" s="78" t="s">
        <v>1136</v>
      </c>
      <c r="G859" t="str">
        <f t="shared" si="13"/>
        <v>April</v>
      </c>
    </row>
    <row r="860" spans="1:7">
      <c r="A860" s="142" t="s">
        <v>622</v>
      </c>
      <c r="B860" s="155" t="s">
        <v>398</v>
      </c>
      <c r="C860" s="56">
        <v>45756</v>
      </c>
      <c r="D860" s="156">
        <v>1376</v>
      </c>
      <c r="E860" s="43"/>
      <c r="F860" s="43" t="s">
        <v>1137</v>
      </c>
      <c r="G860" t="str">
        <f t="shared" si="13"/>
        <v>April</v>
      </c>
    </row>
    <row r="861" spans="1:7">
      <c r="A861" s="142" t="s">
        <v>422</v>
      </c>
      <c r="B861" s="142" t="s">
        <v>412</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443</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346</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398</v>
      </c>
      <c r="C871" s="56">
        <v>45757</v>
      </c>
      <c r="D871" s="43">
        <v>875</v>
      </c>
      <c r="E871" s="43"/>
      <c r="F871" s="43" t="s">
        <v>1138</v>
      </c>
      <c r="G871" t="str">
        <f t="shared" si="13"/>
        <v>April</v>
      </c>
    </row>
    <row r="872" spans="1:7">
      <c r="A872" s="142" t="s">
        <v>646</v>
      </c>
      <c r="B872" s="142" t="s">
        <v>412</v>
      </c>
      <c r="C872" s="56">
        <v>45757</v>
      </c>
      <c r="D872" s="43">
        <v>711</v>
      </c>
      <c r="E872" s="43"/>
      <c r="F872" s="43" t="s">
        <v>1139</v>
      </c>
      <c r="G872" t="str">
        <f t="shared" si="13"/>
        <v>April</v>
      </c>
    </row>
    <row r="873" spans="1:7">
      <c r="A873" s="142" t="s">
        <v>422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422</v>
      </c>
      <c r="B877" s="142" t="s">
        <v>412</v>
      </c>
      <c r="C877" s="56">
        <v>45758</v>
      </c>
      <c r="D877" s="43">
        <v>431</v>
      </c>
      <c r="E877" s="43"/>
      <c r="G877" t="str">
        <f t="shared" si="13"/>
        <v>April</v>
      </c>
    </row>
    <row r="878" spans="1:7">
      <c r="A878" s="142" t="s">
        <v>622</v>
      </c>
      <c r="B878" s="155" t="s">
        <v>398</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415</v>
      </c>
      <c r="B881" s="142" t="s">
        <v>506</v>
      </c>
      <c r="C881" s="56">
        <v>45758</v>
      </c>
      <c r="E881" s="43"/>
      <c r="F881" s="142" t="s">
        <v>1018</v>
      </c>
      <c r="G881" t="str">
        <f t="shared" si="13"/>
        <v>April</v>
      </c>
    </row>
    <row r="882" spans="1:7">
      <c r="A882" s="142" t="s">
        <v>583</v>
      </c>
      <c r="B882" s="142" t="s">
        <v>347</v>
      </c>
      <c r="C882" s="56">
        <v>45758</v>
      </c>
      <c r="E882" s="43"/>
      <c r="F882" s="142" t="s">
        <v>1144</v>
      </c>
      <c r="G882" t="str">
        <f t="shared" si="13"/>
        <v>April</v>
      </c>
    </row>
    <row r="883" spans="1:7">
      <c r="A883" s="142" t="s">
        <v>681</v>
      </c>
      <c r="B883" s="142" t="s">
        <v>347</v>
      </c>
      <c r="C883" s="56">
        <v>45758</v>
      </c>
      <c r="E883" s="43"/>
      <c r="F883" s="142" t="s">
        <v>1145</v>
      </c>
      <c r="G883" t="str">
        <f t="shared" si="13"/>
        <v>April</v>
      </c>
    </row>
    <row r="884" spans="1:7">
      <c r="A884" s="142" t="s">
        <v>579</v>
      </c>
      <c r="B884" s="155" t="s">
        <v>398</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422</v>
      </c>
      <c r="B888" s="142" t="s">
        <v>412</v>
      </c>
      <c r="C888" s="56">
        <v>45761</v>
      </c>
      <c r="D888" s="43">
        <v>276</v>
      </c>
      <c r="E888" s="43"/>
      <c r="F888" s="142"/>
      <c r="G888" t="str">
        <f t="shared" si="13"/>
        <v>April</v>
      </c>
    </row>
    <row r="889" spans="1:7">
      <c r="A889" s="142" t="s">
        <v>622</v>
      </c>
      <c r="B889" s="155" t="s">
        <v>398</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412</v>
      </c>
      <c r="C893" s="56">
        <v>45761</v>
      </c>
      <c r="D893" s="43">
        <v>547</v>
      </c>
      <c r="E893" s="43"/>
      <c r="G893" t="str">
        <f t="shared" si="13"/>
        <v>April</v>
      </c>
    </row>
    <row r="894" spans="1:7">
      <c r="A894" s="142" t="s">
        <v>583</v>
      </c>
      <c r="B894" s="142" t="s">
        <v>347</v>
      </c>
      <c r="C894" s="56">
        <v>45761</v>
      </c>
      <c r="E894" s="43"/>
      <c r="G894" t="str">
        <f t="shared" si="13"/>
        <v>April</v>
      </c>
    </row>
    <row r="895" spans="1:7">
      <c r="A895" s="142" t="s">
        <v>681</v>
      </c>
      <c r="B895" s="142" t="s">
        <v>347</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422</v>
      </c>
      <c r="B898" s="142" t="s">
        <v>412</v>
      </c>
      <c r="C898" s="56">
        <v>45762</v>
      </c>
      <c r="D898" s="43">
        <v>779</v>
      </c>
      <c r="E898" s="43"/>
      <c r="F898" s="43" t="s">
        <v>972</v>
      </c>
      <c r="G898" t="str">
        <f t="shared" si="13"/>
        <v>April</v>
      </c>
    </row>
    <row r="899" spans="1:7">
      <c r="A899" s="142" t="s">
        <v>622</v>
      </c>
      <c r="B899" s="155" t="s">
        <v>398</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412</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347</v>
      </c>
      <c r="C905" s="56">
        <v>45762</v>
      </c>
      <c r="E905" s="43"/>
      <c r="F905" s="142" t="s">
        <v>1156</v>
      </c>
      <c r="G905" t="str">
        <f t="shared" si="14"/>
        <v>April</v>
      </c>
    </row>
    <row r="906" spans="1:7">
      <c r="A906" s="142" t="s">
        <v>681</v>
      </c>
      <c r="B906" s="142" t="s">
        <v>347</v>
      </c>
      <c r="C906" s="56">
        <v>45762</v>
      </c>
      <c r="E906" s="43"/>
      <c r="F906" s="142" t="s">
        <v>1156</v>
      </c>
      <c r="G906" t="str">
        <f t="shared" si="14"/>
        <v>April</v>
      </c>
    </row>
    <row r="907" spans="1:7">
      <c r="A907" s="142" t="s">
        <v>661</v>
      </c>
      <c r="B907" s="142" t="s">
        <v>347</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398</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422</v>
      </c>
      <c r="B913" s="142" t="s">
        <v>412</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412</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347</v>
      </c>
      <c r="C920" s="56">
        <v>45763</v>
      </c>
      <c r="E920" s="43"/>
      <c r="F920" s="142" t="s">
        <v>1018</v>
      </c>
      <c r="G920" t="str">
        <f t="shared" si="14"/>
        <v>April</v>
      </c>
    </row>
    <row r="921" spans="1:7">
      <c r="A921" s="142" t="s">
        <v>661</v>
      </c>
      <c r="B921" s="142" t="s">
        <v>347</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422</v>
      </c>
      <c r="B926" s="308" t="s">
        <v>412</v>
      </c>
      <c r="C926" s="56">
        <v>45764</v>
      </c>
      <c r="D926" s="43">
        <v>338</v>
      </c>
      <c r="E926" s="43"/>
      <c r="F926" s="43" t="s">
        <v>1166</v>
      </c>
      <c r="G926" t="str">
        <f t="shared" si="14"/>
        <v>April</v>
      </c>
    </row>
    <row r="927" spans="1:7">
      <c r="A927" s="308" t="s">
        <v>622</v>
      </c>
      <c r="B927" s="155" t="s">
        <v>398</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412</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422</v>
      </c>
      <c r="B938" s="308" t="s">
        <v>412</v>
      </c>
      <c r="C938" s="56">
        <v>45765</v>
      </c>
      <c r="D938" s="43">
        <v>26</v>
      </c>
      <c r="E938" s="43"/>
      <c r="F938" s="43" t="s">
        <v>1172</v>
      </c>
      <c r="G938" t="str">
        <f t="shared" si="14"/>
        <v>April</v>
      </c>
    </row>
    <row r="939" spans="1:7">
      <c r="A939" s="308" t="s">
        <v>622</v>
      </c>
      <c r="B939" s="155" t="s">
        <v>398</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398</v>
      </c>
      <c r="C942" s="56">
        <v>45765</v>
      </c>
      <c r="D942" s="43">
        <v>706</v>
      </c>
      <c r="E942" s="43"/>
      <c r="F942" s="43" t="s">
        <v>990</v>
      </c>
      <c r="G942" t="str">
        <f t="shared" si="14"/>
        <v>April</v>
      </c>
    </row>
    <row r="943" spans="1:7">
      <c r="A943" s="142" t="s">
        <v>828</v>
      </c>
      <c r="B943" s="310" t="s">
        <v>412</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347</v>
      </c>
      <c r="C946" s="56">
        <v>45765</v>
      </c>
      <c r="E946" s="43"/>
      <c r="F946" s="310" t="s">
        <v>1178</v>
      </c>
      <c r="G946" t="str">
        <f t="shared" si="14"/>
        <v>April</v>
      </c>
    </row>
    <row r="947" spans="1:7">
      <c r="A947" s="315" t="s">
        <v>661</v>
      </c>
      <c r="B947" s="315" t="s">
        <v>347</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422</v>
      </c>
      <c r="B951" s="308" t="s">
        <v>412</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412</v>
      </c>
      <c r="C958" s="56">
        <v>45768</v>
      </c>
      <c r="E958" s="43"/>
      <c r="F958" s="171" t="s">
        <v>1151</v>
      </c>
      <c r="G958" t="str">
        <f t="shared" si="15"/>
        <v>April</v>
      </c>
    </row>
    <row r="959" spans="1:7">
      <c r="A959" s="315" t="s">
        <v>650</v>
      </c>
      <c r="B959" s="142" t="s">
        <v>347</v>
      </c>
      <c r="C959" s="56">
        <v>45768</v>
      </c>
      <c r="E959" s="43"/>
      <c r="F959" s="315" t="s">
        <v>1178</v>
      </c>
      <c r="G959" t="str">
        <f t="shared" si="15"/>
        <v>April</v>
      </c>
    </row>
    <row r="960" spans="1:7">
      <c r="A960" s="319" t="s">
        <v>681</v>
      </c>
      <c r="B960" s="142" t="s">
        <v>347</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422</v>
      </c>
      <c r="B963" s="308" t="s">
        <v>412</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412</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402</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422</v>
      </c>
      <c r="B977" s="308" t="s">
        <v>412</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402</v>
      </c>
      <c r="C984" s="56">
        <v>45770</v>
      </c>
      <c r="F984" s="324" t="s">
        <v>1204</v>
      </c>
    </row>
    <row r="985" spans="1:7">
      <c r="A985" s="319" t="s">
        <v>681</v>
      </c>
      <c r="B985" s="319" t="s">
        <v>402</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412</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402</v>
      </c>
      <c r="C997" s="56">
        <v>45771</v>
      </c>
      <c r="F997" s="315" t="s">
        <v>1213</v>
      </c>
      <c r="G997" t="str">
        <f t="shared" si="16"/>
        <v>April</v>
      </c>
    </row>
    <row r="998" spans="1:7">
      <c r="A998" s="319" t="s">
        <v>840</v>
      </c>
      <c r="B998" s="319" t="s">
        <v>402</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412</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412</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398</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412</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398</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401</v>
      </c>
      <c r="B1082" s="142" t="s">
        <v>884</v>
      </c>
      <c r="C1082" s="56">
        <v>45784</v>
      </c>
      <c r="D1082" s="43">
        <v>131</v>
      </c>
      <c r="F1082" s="43" t="s">
        <v>967</v>
      </c>
    </row>
    <row r="1083" spans="1:7" ht="13.5" customHeight="1">
      <c r="A1083" s="328" t="s">
        <v>901</v>
      </c>
      <c r="B1083" s="308" t="s">
        <v>402</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402</v>
      </c>
      <c r="C1093" s="56">
        <v>45785</v>
      </c>
      <c r="D1093" s="43">
        <v>592</v>
      </c>
      <c r="F1093" s="43" t="s">
        <v>1272</v>
      </c>
      <c r="G1093" t="str">
        <f t="shared" si="19"/>
        <v>May</v>
      </c>
    </row>
    <row r="1094" spans="1:7">
      <c r="A1094" s="308" t="s">
        <v>491</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402</v>
      </c>
      <c r="C1105" s="56">
        <v>45786</v>
      </c>
      <c r="D1105" s="43">
        <v>730</v>
      </c>
      <c r="F1105" s="43" t="s">
        <v>1278</v>
      </c>
      <c r="G1105" t="str">
        <f t="shared" si="20"/>
        <v>May</v>
      </c>
    </row>
    <row r="1106" spans="1:7">
      <c r="A1106" s="308" t="s">
        <v>491</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401</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402</v>
      </c>
      <c r="C1119" s="56">
        <v>45790</v>
      </c>
      <c r="D1119" s="43">
        <v>385</v>
      </c>
      <c r="G1119" t="str">
        <f t="shared" si="20"/>
        <v>May</v>
      </c>
    </row>
    <row r="1120" spans="1:7">
      <c r="A1120" s="135" t="s">
        <v>495</v>
      </c>
      <c r="B1120" s="142" t="s">
        <v>884</v>
      </c>
      <c r="C1120" s="56">
        <v>45791</v>
      </c>
      <c r="D1120" s="43">
        <v>153</v>
      </c>
      <c r="G1120" t="str">
        <f t="shared" ref="G1120:G1183" si="21">TEXT(C1120,"mmmm")</f>
        <v>May</v>
      </c>
    </row>
    <row r="1121" spans="1:7">
      <c r="A1121" s="328" t="s">
        <v>397</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402</v>
      </c>
      <c r="C1126" s="56">
        <v>45791</v>
      </c>
      <c r="D1126" s="43">
        <v>678</v>
      </c>
      <c r="G1126" t="str">
        <f t="shared" si="21"/>
        <v>May</v>
      </c>
    </row>
    <row r="1127" spans="1:7">
      <c r="A1127" s="135" t="s">
        <v>397</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402</v>
      </c>
      <c r="C1134" s="56">
        <v>45792</v>
      </c>
      <c r="D1134" s="43">
        <v>381</v>
      </c>
      <c r="G1134" t="str">
        <f t="shared" si="21"/>
        <v>May</v>
      </c>
    </row>
    <row r="1135" spans="1:7">
      <c r="A1135" s="135" t="s">
        <v>397</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402</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475</v>
      </c>
      <c r="B1149" s="308" t="s">
        <v>140</v>
      </c>
      <c r="C1149" s="56">
        <v>45796</v>
      </c>
      <c r="D1149" s="43">
        <v>644</v>
      </c>
      <c r="G1149" t="str">
        <f t="shared" si="21"/>
        <v>May</v>
      </c>
    </row>
    <row r="1150" spans="1:7">
      <c r="A1150" s="142" t="s">
        <v>712</v>
      </c>
      <c r="B1150" s="142" t="s">
        <v>402</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397</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475</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397</v>
      </c>
      <c r="B1161" s="308" t="s">
        <v>884</v>
      </c>
      <c r="C1161" s="56">
        <v>45798</v>
      </c>
      <c r="F1161" s="362" t="s">
        <v>1303</v>
      </c>
      <c r="G1161" t="str">
        <f t="shared" si="21"/>
        <v>May</v>
      </c>
    </row>
    <row r="1162" spans="1:7">
      <c r="A1162" s="308" t="s">
        <v>401</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475</v>
      </c>
      <c r="B1165" s="308" t="s">
        <v>140</v>
      </c>
      <c r="C1165" s="56">
        <v>45798</v>
      </c>
      <c r="D1165" s="43">
        <v>970</v>
      </c>
      <c r="F1165" s="43" t="s">
        <v>1001</v>
      </c>
      <c r="G1165" t="str">
        <f t="shared" si="21"/>
        <v>May</v>
      </c>
    </row>
    <row r="1166" spans="1:7">
      <c r="A1166" s="142" t="s">
        <v>712</v>
      </c>
      <c r="B1166" s="142" t="s">
        <v>402</v>
      </c>
      <c r="C1166" s="56">
        <v>45798</v>
      </c>
      <c r="D1166" s="43">
        <v>600</v>
      </c>
      <c r="G1166" t="str">
        <f t="shared" si="21"/>
        <v>May</v>
      </c>
    </row>
    <row r="1167" spans="1:7">
      <c r="A1167" s="328" t="s">
        <v>356</v>
      </c>
      <c r="B1167" s="308" t="s">
        <v>402</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402</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397</v>
      </c>
      <c r="B1175" s="309" t="s">
        <v>884</v>
      </c>
      <c r="C1175" s="56">
        <v>45800</v>
      </c>
      <c r="D1175" s="43">
        <v>236</v>
      </c>
      <c r="F1175" s="43" t="s">
        <v>990</v>
      </c>
      <c r="G1175" t="str">
        <f t="shared" si="21"/>
        <v>May</v>
      </c>
    </row>
    <row r="1176" spans="1:7">
      <c r="A1176" s="315" t="s">
        <v>401</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402</v>
      </c>
      <c r="C1178" s="56">
        <v>45800</v>
      </c>
      <c r="F1178" s="362" t="s">
        <v>1240</v>
      </c>
      <c r="G1178" t="str">
        <f t="shared" si="21"/>
        <v>May</v>
      </c>
    </row>
    <row r="1179" spans="1:7">
      <c r="A1179" s="328" t="s">
        <v>356</v>
      </c>
      <c r="B1179" s="308" t="s">
        <v>402</v>
      </c>
      <c r="C1179" s="56">
        <v>45800</v>
      </c>
      <c r="D1179" s="43">
        <v>285</v>
      </c>
      <c r="F1179" s="43" t="s">
        <v>1312</v>
      </c>
      <c r="G1179" t="str">
        <f t="shared" si="21"/>
        <v>May</v>
      </c>
    </row>
    <row r="1180" spans="1:7">
      <c r="A1180" s="142" t="s">
        <v>397</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475</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464</v>
      </c>
      <c r="B1185" s="308" t="s">
        <v>884</v>
      </c>
      <c r="C1185" s="56">
        <v>45804</v>
      </c>
      <c r="F1185" s="324" t="s">
        <v>1095</v>
      </c>
      <c r="G1185" t="str">
        <f t="shared" si="22"/>
        <v>May</v>
      </c>
    </row>
    <row r="1186" spans="1:7">
      <c r="A1186" s="142" t="s">
        <v>712</v>
      </c>
      <c r="B1186" s="142" t="s">
        <v>402</v>
      </c>
      <c r="C1186" s="56">
        <v>45804</v>
      </c>
      <c r="D1186" s="43">
        <v>757</v>
      </c>
      <c r="G1186" t="str">
        <f t="shared" si="22"/>
        <v>May</v>
      </c>
    </row>
    <row r="1187" spans="1:7">
      <c r="A1187" s="142" t="s">
        <v>397</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402</v>
      </c>
      <c r="C1190" s="56">
        <v>45805</v>
      </c>
      <c r="D1190" s="43">
        <v>610</v>
      </c>
      <c r="G1190" t="str">
        <f t="shared" si="22"/>
        <v>May</v>
      </c>
    </row>
    <row r="1191" spans="1:7">
      <c r="A1191" s="142" t="s">
        <v>397</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475</v>
      </c>
      <c r="B1196" s="311" t="s">
        <v>140</v>
      </c>
      <c r="C1196" s="56">
        <v>45806</v>
      </c>
      <c r="D1196" s="156">
        <v>736</v>
      </c>
      <c r="F1196" s="43" t="s">
        <v>1320</v>
      </c>
      <c r="G1196" t="str">
        <f t="shared" si="22"/>
        <v>May</v>
      </c>
    </row>
    <row r="1197" spans="1:7">
      <c r="A1197" s="142" t="s">
        <v>712</v>
      </c>
      <c r="B1197" s="142" t="s">
        <v>402</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402</v>
      </c>
      <c r="C1202" s="56">
        <v>45807</v>
      </c>
      <c r="D1202" s="43">
        <v>493</v>
      </c>
      <c r="G1202" t="str">
        <f t="shared" si="22"/>
        <v>May</v>
      </c>
    </row>
    <row r="1203" spans="1:7">
      <c r="A1203" s="142" t="s">
        <v>719</v>
      </c>
      <c r="B1203" s="142" t="s">
        <v>140</v>
      </c>
      <c r="C1203" s="56">
        <v>45810</v>
      </c>
      <c r="D1203" s="43">
        <v>800</v>
      </c>
      <c r="G1203" t="s">
        <v>1322</v>
      </c>
    </row>
    <row r="1204" spans="1:7">
      <c r="A1204" s="360" t="s">
        <v>464</v>
      </c>
      <c r="B1204" s="311" t="s">
        <v>884</v>
      </c>
      <c r="C1204" s="56">
        <v>45810</v>
      </c>
      <c r="D1204" s="43">
        <v>275</v>
      </c>
      <c r="G1204" t="s">
        <v>1322</v>
      </c>
    </row>
    <row r="1205" spans="1:7">
      <c r="A1205" s="360" t="s">
        <v>475</v>
      </c>
      <c r="B1205" s="142" t="s">
        <v>140</v>
      </c>
      <c r="C1205" s="56">
        <v>45810</v>
      </c>
      <c r="D1205" s="156">
        <v>1957</v>
      </c>
      <c r="F1205" s="43" t="s">
        <v>1323</v>
      </c>
      <c r="G1205" t="s">
        <v>1322</v>
      </c>
    </row>
    <row r="1206" spans="1:7">
      <c r="A1206" s="142" t="s">
        <v>712</v>
      </c>
      <c r="B1206" s="142" t="s">
        <v>402</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402</v>
      </c>
      <c r="C1211" s="56">
        <v>45811</v>
      </c>
      <c r="F1211" s="315" t="s">
        <v>1326</v>
      </c>
      <c r="G1211" t="s">
        <v>1322</v>
      </c>
    </row>
    <row r="1212" spans="1:7">
      <c r="A1212" s="142" t="s">
        <v>719</v>
      </c>
      <c r="B1212" s="142" t="s">
        <v>140</v>
      </c>
      <c r="C1212" s="56">
        <v>45811</v>
      </c>
      <c r="D1212" s="43">
        <v>631</v>
      </c>
      <c r="F1212" s="43" t="s">
        <v>1320</v>
      </c>
      <c r="G1212" t="s">
        <v>1322</v>
      </c>
    </row>
    <row r="1213" spans="1:7">
      <c r="A1213" s="360" t="s">
        <v>464</v>
      </c>
      <c r="B1213" s="308" t="s">
        <v>884</v>
      </c>
      <c r="C1213" s="56">
        <v>45811</v>
      </c>
      <c r="D1213" s="43">
        <v>280</v>
      </c>
      <c r="G1213" t="s">
        <v>1322</v>
      </c>
    </row>
    <row r="1214" spans="1:7">
      <c r="A1214" s="360" t="s">
        <v>570</v>
      </c>
      <c r="B1214" s="311" t="s">
        <v>402</v>
      </c>
      <c r="C1214" s="56">
        <v>45811</v>
      </c>
      <c r="F1214" s="142" t="s">
        <v>1018</v>
      </c>
      <c r="G1214" t="s">
        <v>1322</v>
      </c>
    </row>
    <row r="1215" spans="1:7">
      <c r="A1215" s="142" t="s">
        <v>712</v>
      </c>
      <c r="B1215" s="142" t="s">
        <v>402</v>
      </c>
      <c r="C1215" s="56">
        <v>45811</v>
      </c>
      <c r="D1215" s="43">
        <v>948</v>
      </c>
      <c r="G1215" t="s">
        <v>1322</v>
      </c>
    </row>
    <row r="1216" spans="1:7">
      <c r="A1216" s="142" t="s">
        <v>579</v>
      </c>
      <c r="B1216" s="142" t="s">
        <v>127</v>
      </c>
      <c r="C1216" s="56">
        <v>45812</v>
      </c>
      <c r="D1216" s="43">
        <v>83</v>
      </c>
      <c r="G1216" t="s">
        <v>1322</v>
      </c>
    </row>
    <row r="1217" spans="1:7">
      <c r="A1217" s="308" t="s">
        <v>491</v>
      </c>
      <c r="B1217" s="308" t="s">
        <v>127</v>
      </c>
      <c r="C1217" s="56">
        <v>45812</v>
      </c>
      <c r="F1217" s="142" t="s">
        <v>1327</v>
      </c>
      <c r="G1217" t="s">
        <v>1322</v>
      </c>
    </row>
    <row r="1218" spans="1:7">
      <c r="A1218" s="142" t="s">
        <v>719</v>
      </c>
      <c r="B1218" s="142" t="s">
        <v>140</v>
      </c>
      <c r="C1218" s="56">
        <v>45812</v>
      </c>
      <c r="D1218" s="156">
        <v>1401</v>
      </c>
      <c r="G1218" t="s">
        <v>1322</v>
      </c>
    </row>
    <row r="1219" spans="1:7">
      <c r="A1219" s="360" t="s">
        <v>464</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475</v>
      </c>
      <c r="B1221" s="308" t="s">
        <v>140</v>
      </c>
      <c r="C1221" s="56">
        <v>45812</v>
      </c>
      <c r="E1221" s="325">
        <v>8415</v>
      </c>
      <c r="F1221" s="43" t="s">
        <v>1329</v>
      </c>
      <c r="G1221" t="s">
        <v>1322</v>
      </c>
    </row>
    <row r="1222" spans="1:7">
      <c r="A1222" s="142" t="s">
        <v>712</v>
      </c>
      <c r="B1222" s="142" t="s">
        <v>402</v>
      </c>
      <c r="C1222" s="56">
        <v>45812</v>
      </c>
      <c r="F1222" s="142" t="s">
        <v>1327</v>
      </c>
      <c r="G1222" t="s">
        <v>1322</v>
      </c>
    </row>
    <row r="1223" spans="1:7">
      <c r="A1223" s="142" t="s">
        <v>491</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464</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402</v>
      </c>
      <c r="C1228" s="56">
        <v>45813</v>
      </c>
      <c r="D1228" s="156">
        <v>1101</v>
      </c>
      <c r="F1228" s="43" t="s">
        <v>1013</v>
      </c>
      <c r="G1228" t="s">
        <v>1322</v>
      </c>
    </row>
    <row r="1229" spans="1:7">
      <c r="A1229" s="142" t="s">
        <v>712</v>
      </c>
      <c r="B1229" s="142" t="s">
        <v>402</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464</v>
      </c>
      <c r="B1233" s="308" t="s">
        <v>884</v>
      </c>
      <c r="C1233" s="56">
        <v>45817</v>
      </c>
      <c r="D1233" s="43">
        <v>263</v>
      </c>
      <c r="G1233" t="s">
        <v>1322</v>
      </c>
    </row>
    <row r="1234" spans="1:7">
      <c r="A1234" s="142" t="s">
        <v>712</v>
      </c>
      <c r="B1234" s="142" t="s">
        <v>402</v>
      </c>
      <c r="C1234" s="56">
        <v>45817</v>
      </c>
      <c r="D1234" s="43">
        <v>730</v>
      </c>
      <c r="G1234" t="s">
        <v>1322</v>
      </c>
    </row>
    <row r="1235" spans="1:7">
      <c r="A1235" s="155" t="s">
        <v>564</v>
      </c>
      <c r="B1235" s="142" t="s">
        <v>140</v>
      </c>
      <c r="C1235" s="56">
        <v>45818</v>
      </c>
      <c r="D1235" s="156">
        <v>1293</v>
      </c>
      <c r="F1235" s="43" t="s">
        <v>1333</v>
      </c>
      <c r="G1235" t="s">
        <v>1322</v>
      </c>
    </row>
    <row r="1236" spans="1:7">
      <c r="A1236" s="356" t="s">
        <v>464</v>
      </c>
      <c r="B1236" s="308" t="s">
        <v>884</v>
      </c>
      <c r="C1236" s="56">
        <v>45818</v>
      </c>
      <c r="D1236" s="43">
        <v>270</v>
      </c>
      <c r="G1236" t="s">
        <v>1322</v>
      </c>
    </row>
    <row r="1237" spans="1:7">
      <c r="A1237" s="142" t="s">
        <v>712</v>
      </c>
      <c r="B1237" s="142" t="s">
        <v>402</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464</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464</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464</v>
      </c>
      <c r="B1246" s="315" t="s">
        <v>884</v>
      </c>
      <c r="C1246" s="56">
        <v>45821</v>
      </c>
      <c r="F1246" s="315" t="s">
        <v>1335</v>
      </c>
      <c r="G1246" t="s">
        <v>1322</v>
      </c>
    </row>
    <row r="1247" spans="1:7">
      <c r="A1247" s="142" t="s">
        <v>712</v>
      </c>
      <c r="B1247" s="142" t="s">
        <v>402</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464</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402</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464</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402</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464</v>
      </c>
      <c r="B1264" s="319" t="s">
        <v>884</v>
      </c>
      <c r="C1264" s="56">
        <v>45826</v>
      </c>
      <c r="D1264" s="43">
        <v>594</v>
      </c>
      <c r="G1264" t="s">
        <v>1322</v>
      </c>
    </row>
    <row r="1265" spans="1:7">
      <c r="A1265" s="142" t="s">
        <v>712</v>
      </c>
      <c r="B1265" s="142" t="s">
        <v>402</v>
      </c>
      <c r="C1265" s="56">
        <v>45826</v>
      </c>
      <c r="D1265" s="43">
        <v>729</v>
      </c>
      <c r="G1265" t="s">
        <v>1322</v>
      </c>
    </row>
    <row r="1266" spans="1:7">
      <c r="A1266" s="142" t="s">
        <v>712</v>
      </c>
      <c r="B1266" s="142" t="s">
        <v>402</v>
      </c>
      <c r="C1266" s="56">
        <v>45827</v>
      </c>
      <c r="D1266" s="43">
        <v>464</v>
      </c>
      <c r="G1266" t="s">
        <v>1322</v>
      </c>
    </row>
    <row r="1267" spans="1:7">
      <c r="A1267" s="142" t="s">
        <v>346</v>
      </c>
      <c r="B1267" s="142" t="s">
        <v>402</v>
      </c>
      <c r="C1267" s="56">
        <v>45827</v>
      </c>
      <c r="D1267" s="43">
        <v>977</v>
      </c>
      <c r="F1267" s="43" t="s">
        <v>1013</v>
      </c>
      <c r="G1267" t="s">
        <v>1322</v>
      </c>
    </row>
    <row r="1268" spans="1:7">
      <c r="A1268" s="322" t="s">
        <v>907</v>
      </c>
      <c r="B1268" s="398" t="s">
        <v>884</v>
      </c>
      <c r="C1268" s="56">
        <v>45828</v>
      </c>
      <c r="D1268" s="43">
        <v>114</v>
      </c>
      <c r="G1268" t="s">
        <v>1322</v>
      </c>
    </row>
    <row r="1269" spans="1:7">
      <c r="A1269" s="142" t="s">
        <v>464</v>
      </c>
      <c r="B1269" s="315" t="s">
        <v>884</v>
      </c>
      <c r="C1269" s="56">
        <v>45828</v>
      </c>
      <c r="D1269" s="43">
        <v>52</v>
      </c>
      <c r="F1269" s="43" t="s">
        <v>1001</v>
      </c>
      <c r="G1269" t="s">
        <v>1322</v>
      </c>
    </row>
    <row r="1270" spans="1:7">
      <c r="A1270" s="319" t="s">
        <v>475</v>
      </c>
      <c r="B1270" s="319" t="s">
        <v>140</v>
      </c>
      <c r="C1270" s="56">
        <v>45828</v>
      </c>
      <c r="F1270" s="315" t="s">
        <v>1018</v>
      </c>
      <c r="G1270" t="s">
        <v>1322</v>
      </c>
    </row>
    <row r="1271" spans="1:7">
      <c r="A1271" s="142" t="s">
        <v>712</v>
      </c>
      <c r="B1271" s="142" t="s">
        <v>402</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464</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464</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402</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491</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402</v>
      </c>
      <c r="C1295" s="56">
        <v>45834</v>
      </c>
      <c r="D1295" s="43">
        <v>112</v>
      </c>
      <c r="F1295" s="43" t="s">
        <v>1001</v>
      </c>
      <c r="G1295" t="s">
        <v>1322</v>
      </c>
    </row>
    <row r="1296" spans="1:7">
      <c r="A1296" s="308" t="s">
        <v>346</v>
      </c>
      <c r="B1296" s="142" t="s">
        <v>402</v>
      </c>
      <c r="C1296" s="56">
        <v>45834</v>
      </c>
      <c r="D1296" s="43">
        <v>676</v>
      </c>
      <c r="F1296" s="43" t="s">
        <v>1315</v>
      </c>
      <c r="G1296" t="s">
        <v>1322</v>
      </c>
    </row>
    <row r="1297" spans="1:7">
      <c r="A1297" s="142" t="s">
        <v>712</v>
      </c>
      <c r="B1297" s="142" t="s">
        <v>353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346</v>
      </c>
      <c r="B1301" s="321" t="s">
        <v>402</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346</v>
      </c>
      <c r="B1304" s="321" t="s">
        <v>402</v>
      </c>
      <c r="C1304" s="56">
        <v>45838</v>
      </c>
      <c r="D1304" s="43">
        <v>885</v>
      </c>
      <c r="F1304" s="43" t="s">
        <v>1013</v>
      </c>
      <c r="G1304" t="s">
        <v>1322</v>
      </c>
    </row>
    <row r="1305" spans="1:7">
      <c r="A1305" s="142" t="s">
        <v>789</v>
      </c>
      <c r="B1305" s="315" t="s">
        <v>884</v>
      </c>
      <c r="C1305" s="56">
        <v>45839</v>
      </c>
      <c r="D1305" s="43">
        <v>120</v>
      </c>
      <c r="G1305" t="s">
        <v>1355</v>
      </c>
    </row>
    <row r="1306" spans="1:7">
      <c r="A1306" s="319" t="s">
        <v>475</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346</v>
      </c>
      <c r="B1308" s="321" t="s">
        <v>402</v>
      </c>
      <c r="C1308" s="56">
        <v>45839</v>
      </c>
      <c r="D1308" s="43">
        <v>478</v>
      </c>
      <c r="G1308" t="s">
        <v>1355</v>
      </c>
    </row>
    <row r="1309" spans="1:7">
      <c r="A1309" s="142" t="s">
        <v>712</v>
      </c>
      <c r="B1309" s="321" t="s">
        <v>402</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346</v>
      </c>
      <c r="B1314" s="321" t="s">
        <v>402</v>
      </c>
      <c r="C1314" s="56">
        <v>45840</v>
      </c>
      <c r="D1314" s="43">
        <v>490</v>
      </c>
      <c r="F1314" s="43" t="s">
        <v>1001</v>
      </c>
      <c r="G1314" t="s">
        <v>1355</v>
      </c>
    </row>
    <row r="1315" spans="1:7">
      <c r="A1315" s="142" t="s">
        <v>789</v>
      </c>
      <c r="B1315" s="315" t="s">
        <v>884</v>
      </c>
      <c r="C1315" s="56">
        <v>45841</v>
      </c>
      <c r="F1315" s="142" t="s">
        <v>1018</v>
      </c>
      <c r="G1315" t="s">
        <v>1355</v>
      </c>
    </row>
    <row r="1316" spans="1:7">
      <c r="A1316" s="142" t="s">
        <v>346</v>
      </c>
      <c r="B1316" s="321" t="s">
        <v>402</v>
      </c>
      <c r="C1316" s="56">
        <v>45841</v>
      </c>
      <c r="D1316" s="43">
        <v>372</v>
      </c>
      <c r="F1316" s="116" t="s">
        <v>1001</v>
      </c>
      <c r="G1316" t="s">
        <v>1355</v>
      </c>
    </row>
    <row r="1317" spans="1:7" ht="15.75">
      <c r="A1317" s="142" t="s">
        <v>346</v>
      </c>
      <c r="B1317" s="321" t="s">
        <v>353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346</v>
      </c>
      <c r="B1322" s="158" t="s">
        <v>353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443</v>
      </c>
      <c r="B1327" s="158" t="s">
        <v>402</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352</v>
      </c>
      <c r="B1331" s="158" t="s">
        <v>353</v>
      </c>
      <c r="C1331" s="56">
        <v>45849</v>
      </c>
      <c r="D1331" s="43">
        <v>198</v>
      </c>
      <c r="G1331" t="s">
        <v>1355</v>
      </c>
    </row>
    <row r="1332" spans="1:7">
      <c r="A1332" s="251" t="s">
        <v>812</v>
      </c>
      <c r="B1332" s="412" t="s">
        <v>884</v>
      </c>
      <c r="C1332" s="56">
        <v>45852</v>
      </c>
      <c r="F1332" s="43" t="s">
        <v>1018</v>
      </c>
      <c r="G1332" t="s">
        <v>1355</v>
      </c>
    </row>
    <row r="1333" spans="1:7">
      <c r="A1333" s="635" t="s">
        <v>352</v>
      </c>
      <c r="B1333" s="158" t="s">
        <v>353</v>
      </c>
      <c r="C1333" s="56">
        <v>45852</v>
      </c>
      <c r="D1333" s="43">
        <v>862</v>
      </c>
      <c r="G1333" t="s">
        <v>1355</v>
      </c>
    </row>
    <row r="1334" spans="1:7">
      <c r="A1334" s="322" t="s">
        <v>902</v>
      </c>
      <c r="B1334" s="412" t="s">
        <v>884</v>
      </c>
      <c r="C1334" s="56">
        <v>45853</v>
      </c>
      <c r="D1334" s="43">
        <v>203</v>
      </c>
      <c r="G1334" t="s">
        <v>1355</v>
      </c>
    </row>
    <row r="1335" spans="1:7">
      <c r="A1335" s="142" t="s">
        <v>464</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446</v>
      </c>
      <c r="B1337" s="158" t="s">
        <v>353</v>
      </c>
      <c r="C1337" s="56">
        <v>45853</v>
      </c>
      <c r="D1337" s="43">
        <v>403</v>
      </c>
      <c r="G1337" t="s">
        <v>1355</v>
      </c>
    </row>
    <row r="1338" spans="1:7">
      <c r="A1338" s="322" t="s">
        <v>902</v>
      </c>
      <c r="B1338" s="315" t="s">
        <v>884</v>
      </c>
      <c r="C1338" s="56">
        <v>45854</v>
      </c>
      <c r="D1338" s="43">
        <v>170</v>
      </c>
      <c r="G1338" t="s">
        <v>1355</v>
      </c>
    </row>
    <row r="1339" spans="1:7">
      <c r="A1339" s="142" t="s">
        <v>464</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446</v>
      </c>
      <c r="B1343" s="322" t="s">
        <v>353</v>
      </c>
      <c r="C1343" s="56">
        <v>45854</v>
      </c>
      <c r="D1343" s="43">
        <v>39</v>
      </c>
      <c r="G1343" t="s">
        <v>1355</v>
      </c>
    </row>
    <row r="1344" spans="1:7">
      <c r="A1344" s="142" t="s">
        <v>464</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464</v>
      </c>
      <c r="B1348" s="315" t="s">
        <v>884</v>
      </c>
      <c r="C1348" s="56">
        <v>45856</v>
      </c>
      <c r="F1348" s="43" t="s">
        <v>1367</v>
      </c>
      <c r="G1348" t="s">
        <v>1355</v>
      </c>
    </row>
    <row r="1349" spans="1:7">
      <c r="A1349" s="88" t="s">
        <v>902</v>
      </c>
      <c r="B1349" s="315" t="s">
        <v>884</v>
      </c>
      <c r="C1349" s="56">
        <v>45859</v>
      </c>
      <c r="F1349" s="315" t="s">
        <v>1368</v>
      </c>
      <c r="G1349" t="s">
        <v>1355</v>
      </c>
    </row>
    <row r="1350" spans="1:7">
      <c r="A1350" s="409" t="s">
        <v>464</v>
      </c>
      <c r="B1350" s="412" t="s">
        <v>884</v>
      </c>
      <c r="C1350" s="56">
        <v>45859</v>
      </c>
      <c r="D1350" s="43">
        <v>551</v>
      </c>
      <c r="G1350" t="s">
        <v>1355</v>
      </c>
    </row>
    <row r="1351" spans="1:7">
      <c r="A1351" s="409" t="s">
        <v>464</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446</v>
      </c>
      <c r="B1354" s="158" t="s">
        <v>353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464</v>
      </c>
      <c r="B1358" s="412" t="s">
        <v>127</v>
      </c>
      <c r="C1358" s="56">
        <v>45860</v>
      </c>
      <c r="D1358" s="43">
        <v>300</v>
      </c>
      <c r="G1358" t="s">
        <v>1355</v>
      </c>
    </row>
    <row r="1359" spans="1:7">
      <c r="A1359" s="308" t="s">
        <v>464</v>
      </c>
      <c r="B1359" s="308" t="s">
        <v>637</v>
      </c>
      <c r="C1359" s="56">
        <v>45860</v>
      </c>
      <c r="D1359" s="156">
        <v>1107</v>
      </c>
      <c r="G1359" t="s">
        <v>1355</v>
      </c>
    </row>
    <row r="1360" spans="1:7">
      <c r="A1360" s="308" t="s">
        <v>464</v>
      </c>
      <c r="B1360" s="319" t="s">
        <v>884</v>
      </c>
      <c r="C1360" s="56">
        <v>45860</v>
      </c>
      <c r="D1360" s="43">
        <v>316</v>
      </c>
      <c r="G1360" t="s">
        <v>1355</v>
      </c>
    </row>
    <row r="1361" spans="1:7">
      <c r="A1361" s="135" t="s">
        <v>446</v>
      </c>
      <c r="B1361" s="158" t="s">
        <v>353</v>
      </c>
      <c r="C1361" s="56">
        <v>45860</v>
      </c>
      <c r="D1361" s="43">
        <v>318</v>
      </c>
      <c r="G1361" t="s">
        <v>1355</v>
      </c>
    </row>
    <row r="1362" spans="1:7">
      <c r="A1362" s="251" t="s">
        <v>923</v>
      </c>
      <c r="B1362" s="158" t="s">
        <v>353</v>
      </c>
      <c r="C1362" s="56">
        <v>45860</v>
      </c>
      <c r="D1362" s="43">
        <v>605</v>
      </c>
      <c r="G1362" t="s">
        <v>1355</v>
      </c>
    </row>
    <row r="1363" spans="1:7">
      <c r="A1363" s="322" t="s">
        <v>902</v>
      </c>
      <c r="B1363" s="315" t="s">
        <v>884</v>
      </c>
      <c r="C1363" s="56">
        <v>45861</v>
      </c>
      <c r="D1363" s="43">
        <v>272</v>
      </c>
      <c r="F1363" s="43" t="s">
        <v>1372</v>
      </c>
      <c r="G1363" t="s">
        <v>1355</v>
      </c>
    </row>
    <row r="1364" spans="1:7">
      <c r="A1364" s="142" t="s">
        <v>464</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352</v>
      </c>
      <c r="B1370" s="158" t="s">
        <v>353</v>
      </c>
      <c r="C1370" s="56">
        <v>45861</v>
      </c>
      <c r="D1370" s="43">
        <v>461</v>
      </c>
      <c r="G1370" t="s">
        <v>1355</v>
      </c>
    </row>
    <row r="1371" spans="1:7">
      <c r="A1371" s="322" t="s">
        <v>902</v>
      </c>
      <c r="B1371" s="315" t="s">
        <v>884</v>
      </c>
      <c r="C1371" s="56">
        <v>45862</v>
      </c>
      <c r="D1371" s="43">
        <v>79</v>
      </c>
      <c r="F1371" s="43" t="s">
        <v>1376</v>
      </c>
      <c r="G1371" t="s">
        <v>1355</v>
      </c>
    </row>
    <row r="1372" spans="1:7">
      <c r="A1372" s="142" t="s">
        <v>464</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464</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352</v>
      </c>
      <c r="B1378" s="322" t="s">
        <v>353</v>
      </c>
      <c r="C1378" s="56">
        <v>45862</v>
      </c>
      <c r="D1378" s="43">
        <v>880</v>
      </c>
      <c r="G1378" t="s">
        <v>1355</v>
      </c>
    </row>
    <row r="1379" spans="1:7">
      <c r="A1379" s="328" t="s">
        <v>443</v>
      </c>
      <c r="B1379" s="360" t="s">
        <v>402</v>
      </c>
      <c r="C1379" s="56">
        <v>45862</v>
      </c>
      <c r="D1379" s="43">
        <v>868</v>
      </c>
      <c r="F1379" s="43" t="s">
        <v>1382</v>
      </c>
      <c r="G1379" t="s">
        <v>1355</v>
      </c>
    </row>
    <row r="1380" spans="1:7">
      <c r="A1380" s="322" t="s">
        <v>902</v>
      </c>
      <c r="B1380" s="315" t="s">
        <v>884</v>
      </c>
      <c r="C1380" s="56">
        <v>45863</v>
      </c>
      <c r="F1380" s="43" t="s">
        <v>1018</v>
      </c>
      <c r="G1380" t="s">
        <v>1355</v>
      </c>
    </row>
    <row r="1381" spans="1:7">
      <c r="A1381" s="142" t="s">
        <v>464</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352</v>
      </c>
      <c r="B1386" s="158" t="s">
        <v>353</v>
      </c>
      <c r="C1386" s="56">
        <v>45863</v>
      </c>
      <c r="D1386" s="43">
        <v>585</v>
      </c>
      <c r="F1386" s="43" t="s">
        <v>1013</v>
      </c>
      <c r="G1386" t="s">
        <v>1355</v>
      </c>
    </row>
    <row r="1387" spans="1:7">
      <c r="A1387" s="142" t="s">
        <v>464</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352</v>
      </c>
      <c r="B1392" s="158" t="s">
        <v>353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464</v>
      </c>
      <c r="B1401" s="308" t="s">
        <v>1391</v>
      </c>
      <c r="C1401" s="56">
        <v>45868</v>
      </c>
      <c r="E1401" s="325">
        <v>6067</v>
      </c>
      <c r="G1401" t="s">
        <v>1355</v>
      </c>
    </row>
    <row r="1402" spans="1:7">
      <c r="A1402" s="135" t="s">
        <v>438</v>
      </c>
      <c r="B1402" s="322" t="s">
        <v>353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464</v>
      </c>
      <c r="B1406" s="315" t="s">
        <v>1391</v>
      </c>
      <c r="C1406" s="56">
        <v>45869</v>
      </c>
      <c r="E1406" s="325">
        <v>2691</v>
      </c>
      <c r="G1406" t="s">
        <v>1355</v>
      </c>
    </row>
    <row r="1407" spans="1:7">
      <c r="A1407" s="357" t="s">
        <v>358</v>
      </c>
      <c r="B1407" s="158" t="s">
        <v>353</v>
      </c>
      <c r="C1407" s="56">
        <v>45869</v>
      </c>
      <c r="D1407" s="156">
        <v>2390</v>
      </c>
      <c r="G1407" t="s">
        <v>1355</v>
      </c>
    </row>
    <row r="1408" spans="1:7">
      <c r="A1408" s="88" t="s">
        <v>598</v>
      </c>
      <c r="B1408" s="315" t="s">
        <v>1392</v>
      </c>
      <c r="C1408" s="56">
        <v>45870</v>
      </c>
      <c r="D1408" s="43">
        <v>318</v>
      </c>
      <c r="F1408" s="43" t="s">
        <v>1393</v>
      </c>
      <c r="G1408" t="s">
        <v>1394</v>
      </c>
    </row>
    <row r="1409" spans="1:7">
      <c r="A1409" s="88" t="s">
        <v>408</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358</v>
      </c>
      <c r="B1411" s="158" t="s">
        <v>353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358</v>
      </c>
      <c r="B1415" s="315" t="s">
        <v>353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358</v>
      </c>
      <c r="B1418" s="315" t="s">
        <v>353</v>
      </c>
      <c r="C1418" s="56">
        <v>45875</v>
      </c>
      <c r="D1418" s="43">
        <v>840</v>
      </c>
      <c r="G1418" t="s">
        <v>1394</v>
      </c>
    </row>
    <row r="1419" spans="1:7">
      <c r="A1419" s="142" t="s">
        <v>438</v>
      </c>
      <c r="B1419" s="568" t="s">
        <v>353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358</v>
      </c>
      <c r="B1423" s="543" t="s">
        <v>353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358</v>
      </c>
      <c r="B1426" s="315" t="s">
        <v>353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358</v>
      </c>
      <c r="B1430" s="315" t="s">
        <v>353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446</v>
      </c>
      <c r="B1435" s="315" t="s">
        <v>353</v>
      </c>
      <c r="C1435" s="56">
        <v>45881</v>
      </c>
      <c r="D1435" s="43">
        <v>319</v>
      </c>
      <c r="G1435" t="s">
        <v>1394</v>
      </c>
    </row>
    <row r="1436" spans="1:7">
      <c r="A1436" s="569" t="s">
        <v>358</v>
      </c>
      <c r="B1436" s="315" t="s">
        <v>353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358</v>
      </c>
      <c r="B1443" s="315" t="s">
        <v>353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358</v>
      </c>
      <c r="B1447" s="315" t="s">
        <v>353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358</v>
      </c>
      <c r="B1453" s="315" t="s">
        <v>353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358</v>
      </c>
      <c r="B1460" s="315" t="s">
        <v>353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358</v>
      </c>
      <c r="B1466" s="315" t="s">
        <v>353</v>
      </c>
      <c r="C1466" s="56">
        <v>45888</v>
      </c>
      <c r="D1466" s="43">
        <v>408</v>
      </c>
      <c r="F1466" s="116"/>
      <c r="G1466" t="s">
        <v>1394</v>
      </c>
    </row>
    <row r="1467" spans="1:7">
      <c r="A1467" s="601" t="s">
        <v>443</v>
      </c>
      <c r="B1467" s="322" t="s">
        <v>884</v>
      </c>
      <c r="C1467" s="56">
        <v>45888</v>
      </c>
      <c r="F1467" s="142" t="s">
        <v>1409</v>
      </c>
      <c r="G1467" t="s">
        <v>1394</v>
      </c>
    </row>
    <row r="1468" spans="1:7">
      <c r="A1468" s="251" t="s">
        <v>438</v>
      </c>
      <c r="B1468" s="315" t="s">
        <v>353</v>
      </c>
      <c r="C1468" s="56">
        <v>45888</v>
      </c>
      <c r="D1468" s="43">
        <v>430</v>
      </c>
      <c r="F1468" s="171"/>
      <c r="G1468" t="s">
        <v>1394</v>
      </c>
    </row>
    <row r="1469" spans="1:7">
      <c r="A1469" s="88" t="s">
        <v>902</v>
      </c>
      <c r="B1469" s="412" t="s">
        <v>884</v>
      </c>
      <c r="C1469" s="56">
        <v>45889</v>
      </c>
      <c r="D1469" s="43">
        <v>181</v>
      </c>
      <c r="G1469" t="s">
        <v>1394</v>
      </c>
    </row>
    <row r="1470" spans="1:7">
      <c r="A1470" s="88" t="s">
        <v>491</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358</v>
      </c>
      <c r="B1474" s="315" t="s">
        <v>353</v>
      </c>
      <c r="C1474" s="56">
        <v>45889</v>
      </c>
      <c r="D1474" s="43">
        <v>607</v>
      </c>
      <c r="F1474" s="43" t="s">
        <v>1410</v>
      </c>
      <c r="G1474" t="s">
        <v>1394</v>
      </c>
    </row>
    <row r="1475" spans="1:7">
      <c r="A1475" s="601" t="s">
        <v>443</v>
      </c>
      <c r="B1475" s="322" t="s">
        <v>884</v>
      </c>
      <c r="C1475" s="56">
        <v>45889</v>
      </c>
      <c r="D1475" s="43">
        <v>499</v>
      </c>
      <c r="G1475" t="s">
        <v>1394</v>
      </c>
    </row>
    <row r="1476" spans="1:7">
      <c r="A1476" s="88" t="s">
        <v>902</v>
      </c>
      <c r="B1476" s="412" t="s">
        <v>884</v>
      </c>
      <c r="C1476" s="56">
        <v>45890</v>
      </c>
      <c r="D1476" s="43">
        <v>82</v>
      </c>
      <c r="G1476" t="s">
        <v>1394</v>
      </c>
    </row>
    <row r="1477" spans="1:7">
      <c r="A1477" s="88" t="s">
        <v>491</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358</v>
      </c>
      <c r="B1482" s="315" t="s">
        <v>353</v>
      </c>
      <c r="C1482" s="56">
        <v>45890</v>
      </c>
      <c r="D1482" s="156">
        <v>1022</v>
      </c>
      <c r="G1482" t="s">
        <v>1394</v>
      </c>
    </row>
    <row r="1483" spans="1:7">
      <c r="A1483" s="601" t="s">
        <v>443</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358</v>
      </c>
      <c r="B1488" s="315" t="s">
        <v>353</v>
      </c>
      <c r="C1488" s="56">
        <v>45891</v>
      </c>
      <c r="E1488" s="325">
        <v>6090</v>
      </c>
      <c r="F1488" s="43" t="s">
        <v>1414</v>
      </c>
      <c r="G1488" t="s">
        <v>1394</v>
      </c>
    </row>
    <row r="1489" spans="1:7">
      <c r="A1489" s="601" t="s">
        <v>443</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358</v>
      </c>
      <c r="B1495" s="315" t="s">
        <v>353</v>
      </c>
      <c r="C1495" s="56">
        <v>45894</v>
      </c>
      <c r="D1495" s="43">
        <v>639</v>
      </c>
      <c r="G1495" t="s">
        <v>1394</v>
      </c>
    </row>
    <row r="1496" spans="1:7">
      <c r="A1496" s="601" t="s">
        <v>443</v>
      </c>
      <c r="B1496" s="322" t="s">
        <v>884</v>
      </c>
      <c r="C1496" s="56">
        <v>45894</v>
      </c>
      <c r="D1496" s="43">
        <v>503</v>
      </c>
      <c r="G1496" t="s">
        <v>1394</v>
      </c>
    </row>
    <row r="1497" spans="1:7">
      <c r="A1497" s="88" t="s">
        <v>902</v>
      </c>
      <c r="B1497" s="412" t="s">
        <v>884</v>
      </c>
      <c r="C1497" s="56">
        <v>45895</v>
      </c>
      <c r="F1497" s="43" t="s">
        <v>1151</v>
      </c>
      <c r="G1497" t="s">
        <v>1394</v>
      </c>
    </row>
    <row r="1498" spans="1:7">
      <c r="A1498" s="88" t="s">
        <v>491</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443</v>
      </c>
      <c r="B1504" s="650" t="s">
        <v>884</v>
      </c>
      <c r="C1504" s="56">
        <v>45895</v>
      </c>
      <c r="D1504" s="43">
        <v>295</v>
      </c>
      <c r="G1504" t="s">
        <v>1394</v>
      </c>
    </row>
    <row r="1505" spans="1:7">
      <c r="A1505" s="647" t="s">
        <v>352</v>
      </c>
      <c r="B1505" s="360" t="s">
        <v>353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446</v>
      </c>
      <c r="B1512" s="359" t="s">
        <v>353</v>
      </c>
      <c r="C1512" s="56">
        <v>45896</v>
      </c>
      <c r="D1512" s="43">
        <v>358</v>
      </c>
      <c r="F1512" s="43" t="s">
        <v>1423</v>
      </c>
      <c r="G1512" t="s">
        <v>1394</v>
      </c>
    </row>
    <row r="1513" spans="1:7">
      <c r="A1513" s="662" t="s">
        <v>352</v>
      </c>
      <c r="B1513" s="142" t="s">
        <v>353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358</v>
      </c>
      <c r="B1518" s="315" t="s">
        <v>353</v>
      </c>
      <c r="C1518" s="56">
        <v>45897</v>
      </c>
      <c r="F1518" s="43" t="s">
        <v>1013</v>
      </c>
      <c r="G1518" t="s">
        <v>1394</v>
      </c>
    </row>
    <row r="1519" spans="1:7">
      <c r="A1519" s="601" t="s">
        <v>274</v>
      </c>
      <c r="B1519" s="650" t="s">
        <v>884</v>
      </c>
      <c r="C1519" s="56">
        <v>45897</v>
      </c>
      <c r="D1519" s="43">
        <v>320</v>
      </c>
      <c r="G1519" t="s">
        <v>1394</v>
      </c>
    </row>
    <row r="1520" spans="1:7">
      <c r="A1520" s="647" t="s">
        <v>446</v>
      </c>
      <c r="B1520" s="360" t="s">
        <v>353</v>
      </c>
      <c r="C1520" s="56">
        <v>45897</v>
      </c>
      <c r="F1520" s="315" t="s">
        <v>1151</v>
      </c>
      <c r="G1520" t="s">
        <v>1394</v>
      </c>
    </row>
    <row r="1521" spans="1:7">
      <c r="A1521" s="124" t="s">
        <v>352</v>
      </c>
      <c r="B1521" s="359" t="s">
        <v>353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352</v>
      </c>
      <c r="B1524" s="315" t="s">
        <v>353</v>
      </c>
      <c r="C1524" s="56">
        <v>45898</v>
      </c>
      <c r="F1524" s="142" t="s">
        <v>1001</v>
      </c>
      <c r="G1524" t="s">
        <v>1394</v>
      </c>
    </row>
    <row r="1525" spans="1:7">
      <c r="A1525" s="330" t="s">
        <v>443</v>
      </c>
      <c r="B1525" s="319" t="s">
        <v>884</v>
      </c>
      <c r="C1525" s="56">
        <v>45898</v>
      </c>
      <c r="D1525" s="43">
        <v>6</v>
      </c>
      <c r="F1525" s="43" t="s">
        <v>1429</v>
      </c>
      <c r="G1525" t="s">
        <v>1394</v>
      </c>
    </row>
    <row r="1526" spans="1:7">
      <c r="A1526" s="348" t="s">
        <v>358</v>
      </c>
      <c r="B1526" s="315" t="s">
        <v>353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443</v>
      </c>
      <c r="B1531" s="319" t="s">
        <v>884</v>
      </c>
      <c r="C1531" s="56">
        <v>45902</v>
      </c>
      <c r="D1531" s="43">
        <v>15</v>
      </c>
      <c r="F1531" s="43" t="s">
        <v>1435</v>
      </c>
      <c r="G1531" t="s">
        <v>1432</v>
      </c>
    </row>
    <row r="1532" spans="1:7">
      <c r="A1532" s="251" t="s">
        <v>352</v>
      </c>
      <c r="B1532" s="315" t="s">
        <v>353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443</v>
      </c>
      <c r="B1539" s="322" t="s">
        <v>884</v>
      </c>
      <c r="C1539" s="56">
        <v>45903</v>
      </c>
      <c r="D1539" s="43">
        <v>65</v>
      </c>
      <c r="F1539" s="142" t="s">
        <v>1442</v>
      </c>
      <c r="G1539" t="s">
        <v>1432</v>
      </c>
    </row>
    <row r="1540" spans="1:7">
      <c r="A1540" s="667" t="s">
        <v>352</v>
      </c>
      <c r="B1540" s="359" t="s">
        <v>353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367</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446</v>
      </c>
      <c r="B1546" s="315" t="s">
        <v>884</v>
      </c>
      <c r="C1546" s="56">
        <v>45904</v>
      </c>
      <c r="D1546" s="43">
        <v>99</v>
      </c>
      <c r="F1546" s="43" t="s">
        <v>1446</v>
      </c>
      <c r="G1546" t="s">
        <v>1432</v>
      </c>
    </row>
    <row r="1547" spans="1:7">
      <c r="A1547" s="601" t="s">
        <v>443</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360</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367</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367</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367</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435</v>
      </c>
      <c r="B1563" s="650" t="s">
        <v>436</v>
      </c>
      <c r="C1563" s="56">
        <v>45910</v>
      </c>
      <c r="D1563" s="43">
        <v>307</v>
      </c>
      <c r="G1563" t="s">
        <v>1432</v>
      </c>
    </row>
    <row r="1564" spans="1:7">
      <c r="A1564" s="158" t="s">
        <v>360</v>
      </c>
      <c r="B1564" s="706" t="s">
        <v>1313</v>
      </c>
      <c r="C1564" s="56">
        <v>45910</v>
      </c>
      <c r="F1564" s="43" t="s">
        <v>1151</v>
      </c>
      <c r="G1564" t="s">
        <v>1432</v>
      </c>
    </row>
    <row r="1565" spans="1:7">
      <c r="A1565" s="88" t="s">
        <v>907</v>
      </c>
      <c r="B1565" s="412" t="s">
        <v>884</v>
      </c>
      <c r="C1565" s="56">
        <v>45911</v>
      </c>
      <c r="D1565" s="43">
        <v>302</v>
      </c>
      <c r="G1565" t="s">
        <v>1432</v>
      </c>
    </row>
    <row r="1566" spans="1:7">
      <c r="A1566" s="88" t="s">
        <v>491</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435</v>
      </c>
      <c r="B1570" s="251" t="s">
        <v>436</v>
      </c>
      <c r="C1570" s="56">
        <v>45911</v>
      </c>
      <c r="D1570" s="43">
        <v>920</v>
      </c>
      <c r="F1570" s="69"/>
      <c r="G1570" t="s">
        <v>1432</v>
      </c>
    </row>
    <row r="1571" spans="1:7">
      <c r="A1571" s="158" t="s">
        <v>360</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435</v>
      </c>
      <c r="B1574" s="251" t="s">
        <v>436</v>
      </c>
      <c r="C1574" s="56">
        <v>45912</v>
      </c>
      <c r="D1574" s="43">
        <v>610</v>
      </c>
      <c r="F1574" s="69"/>
      <c r="G1574" t="s">
        <v>1432</v>
      </c>
    </row>
    <row r="1575" spans="1:7">
      <c r="A1575" s="158" t="s">
        <v>360</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435</v>
      </c>
      <c r="B1579" s="251" t="s">
        <v>436</v>
      </c>
      <c r="C1579" s="56">
        <v>45915</v>
      </c>
      <c r="D1579" s="43">
        <v>829</v>
      </c>
      <c r="F1579" s="69" t="s">
        <v>1315</v>
      </c>
      <c r="G1579" t="s">
        <v>1432</v>
      </c>
    </row>
    <row r="1580" spans="1:7">
      <c r="A1580" s="116" t="s">
        <v>443</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435</v>
      </c>
      <c r="B1585" s="251" t="s">
        <v>436</v>
      </c>
      <c r="C1585" s="56">
        <v>45916</v>
      </c>
      <c r="F1585" s="756" t="s">
        <v>1001</v>
      </c>
      <c r="G1585" t="s">
        <v>1432</v>
      </c>
    </row>
    <row r="1586" spans="1:7">
      <c r="A1586" s="158" t="s">
        <v>446</v>
      </c>
      <c r="B1586" s="251" t="s">
        <v>884</v>
      </c>
      <c r="C1586" s="56">
        <v>45916</v>
      </c>
      <c r="F1586" s="757" t="s">
        <v>1459</v>
      </c>
      <c r="G1586" t="s">
        <v>1432</v>
      </c>
    </row>
    <row r="1587" spans="1:7">
      <c r="A1587" s="116" t="s">
        <v>443</v>
      </c>
      <c r="B1587" s="382" t="s">
        <v>884</v>
      </c>
      <c r="C1587" s="56">
        <v>45916</v>
      </c>
      <c r="F1587" s="755" t="s">
        <v>1459</v>
      </c>
      <c r="G1587" t="s">
        <v>1432</v>
      </c>
    </row>
    <row r="1588" spans="1:7">
      <c r="A1588" s="667" t="s">
        <v>448</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367</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435</v>
      </c>
      <c r="B1593" s="142" t="s">
        <v>436</v>
      </c>
      <c r="C1593" s="56">
        <v>45917</v>
      </c>
      <c r="D1593" s="43">
        <v>863</v>
      </c>
      <c r="F1593" s="756"/>
      <c r="G1593" t="s">
        <v>1432</v>
      </c>
    </row>
    <row r="1594" spans="1:7">
      <c r="A1594" s="760" t="s">
        <v>448</v>
      </c>
      <c r="B1594" s="309" t="s">
        <v>243</v>
      </c>
      <c r="C1594" s="56">
        <v>45917</v>
      </c>
      <c r="D1594" s="43">
        <v>253</v>
      </c>
      <c r="F1594" s="756"/>
      <c r="G1594" t="s">
        <v>1432</v>
      </c>
    </row>
    <row r="1595" spans="1:7">
      <c r="A1595" s="330" t="s">
        <v>446</v>
      </c>
      <c r="B1595" s="315" t="s">
        <v>884</v>
      </c>
      <c r="C1595" s="56">
        <v>45917</v>
      </c>
      <c r="F1595" s="315" t="s">
        <v>1348</v>
      </c>
      <c r="G1595" t="s">
        <v>1432</v>
      </c>
    </row>
    <row r="1596" spans="1:7">
      <c r="A1596" s="251" t="s">
        <v>352</v>
      </c>
      <c r="B1596" s="315" t="s">
        <v>884</v>
      </c>
      <c r="C1596" s="56">
        <v>45917</v>
      </c>
      <c r="D1596" s="43">
        <v>139</v>
      </c>
      <c r="F1596" s="756"/>
      <c r="G1596" t="s">
        <v>1432</v>
      </c>
    </row>
    <row r="1597" spans="1:7">
      <c r="A1597" s="88" t="s">
        <v>495</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369</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435</v>
      </c>
      <c r="B1603" s="251" t="s">
        <v>436</v>
      </c>
      <c r="C1603" s="56">
        <v>45918</v>
      </c>
      <c r="D1603" s="43">
        <v>499</v>
      </c>
      <c r="F1603" s="756"/>
      <c r="G1603" t="s">
        <v>1432</v>
      </c>
    </row>
    <row r="1604" spans="1:7">
      <c r="A1604" s="667" t="s">
        <v>448</v>
      </c>
      <c r="B1604" s="142" t="s">
        <v>243</v>
      </c>
      <c r="C1604" s="56">
        <v>45918</v>
      </c>
      <c r="D1604" s="156">
        <v>1076</v>
      </c>
      <c r="F1604" s="756"/>
      <c r="G1604" t="s">
        <v>1432</v>
      </c>
    </row>
    <row r="1605" spans="1:7">
      <c r="A1605" s="158" t="s">
        <v>446</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435</v>
      </c>
      <c r="B1608" s="251" t="s">
        <v>436</v>
      </c>
      <c r="C1608" s="56">
        <v>45919</v>
      </c>
      <c r="D1608" s="43">
        <v>475</v>
      </c>
      <c r="F1608" s="756"/>
      <c r="G1608" t="s">
        <v>1432</v>
      </c>
    </row>
    <row r="1609" spans="1:7">
      <c r="A1609" s="667" t="s">
        <v>448</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213</v>
      </c>
      <c r="C1612" s="56">
        <v>45922</v>
      </c>
      <c r="D1612" s="43">
        <v>329</v>
      </c>
      <c r="F1612" s="756"/>
      <c r="G1612" t="s">
        <v>1432</v>
      </c>
    </row>
    <row r="1613" spans="1:7">
      <c r="A1613" s="308" t="s">
        <v>369</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388</v>
      </c>
      <c r="B1615" s="315" t="s">
        <v>884</v>
      </c>
      <c r="C1615" s="56">
        <v>45922</v>
      </c>
      <c r="D1615" s="43">
        <v>335</v>
      </c>
      <c r="F1615" s="756" t="s">
        <v>1315</v>
      </c>
      <c r="G1615" t="s">
        <v>1432</v>
      </c>
    </row>
    <row r="1616" spans="1:7">
      <c r="A1616" s="135" t="s">
        <v>435</v>
      </c>
      <c r="B1616" s="142" t="s">
        <v>436</v>
      </c>
      <c r="C1616" s="56">
        <v>45922</v>
      </c>
      <c r="D1616" s="43">
        <v>839</v>
      </c>
      <c r="F1616" s="756"/>
      <c r="G1616" t="s">
        <v>1432</v>
      </c>
    </row>
    <row r="1617" spans="1:7">
      <c r="A1617" s="769" t="s">
        <v>448</v>
      </c>
      <c r="B1617" s="308" t="s">
        <v>243</v>
      </c>
      <c r="C1617" s="56">
        <v>45922</v>
      </c>
      <c r="F1617" s="315" t="s">
        <v>1472</v>
      </c>
      <c r="G1617" t="s">
        <v>1432</v>
      </c>
    </row>
    <row r="1618" spans="1:7">
      <c r="A1618" s="329" t="s">
        <v>352</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213</v>
      </c>
      <c r="C1621" s="56">
        <v>45923</v>
      </c>
      <c r="D1621" s="43">
        <v>427</v>
      </c>
      <c r="F1621" s="69"/>
      <c r="G1621" t="s">
        <v>1432</v>
      </c>
    </row>
    <row r="1622" spans="1:7">
      <c r="A1622" s="69" t="s">
        <v>369</v>
      </c>
      <c r="B1622" s="774" t="s">
        <v>140</v>
      </c>
      <c r="C1622" s="56">
        <v>45923</v>
      </c>
      <c r="D1622" s="43">
        <v>675</v>
      </c>
      <c r="F1622" s="69"/>
      <c r="G1622" t="s">
        <v>1432</v>
      </c>
    </row>
    <row r="1623" spans="1:7">
      <c r="A1623" s="69" t="s">
        <v>372</v>
      </c>
      <c r="B1623" s="775" t="s">
        <v>140</v>
      </c>
      <c r="C1623" s="56">
        <v>45923</v>
      </c>
      <c r="D1623" s="156">
        <v>1231</v>
      </c>
      <c r="F1623" s="69" t="s">
        <v>1475</v>
      </c>
      <c r="G1623" t="s">
        <v>1432</v>
      </c>
    </row>
    <row r="1624" spans="1:7">
      <c r="A1624" s="773" t="s">
        <v>388</v>
      </c>
      <c r="B1624" s="776" t="s">
        <v>884</v>
      </c>
      <c r="C1624" s="56">
        <v>45923</v>
      </c>
      <c r="E1624" s="140">
        <v>335</v>
      </c>
      <c r="F1624" s="69" t="s">
        <v>1476</v>
      </c>
      <c r="G1624" t="s">
        <v>1432</v>
      </c>
    </row>
    <row r="1625" spans="1:7">
      <c r="A1625" s="777" t="s">
        <v>435</v>
      </c>
      <c r="B1625" s="251" t="s">
        <v>436</v>
      </c>
      <c r="C1625" s="56">
        <v>45923</v>
      </c>
      <c r="F1625" s="782" t="s">
        <v>1477</v>
      </c>
      <c r="G1625" t="s">
        <v>1432</v>
      </c>
    </row>
    <row r="1626" spans="1:7">
      <c r="A1626" s="667" t="s">
        <v>448</v>
      </c>
      <c r="B1626" s="779" t="s">
        <v>243</v>
      </c>
      <c r="C1626" s="56">
        <v>45923</v>
      </c>
      <c r="D1626" s="43">
        <v>120</v>
      </c>
      <c r="F1626" s="69"/>
      <c r="G1626" t="s">
        <v>1432</v>
      </c>
    </row>
    <row r="1627" spans="1:7">
      <c r="A1627" s="158" t="s">
        <v>446</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213</v>
      </c>
      <c r="C1630" s="56">
        <v>45924</v>
      </c>
      <c r="D1630" s="43">
        <v>537</v>
      </c>
      <c r="F1630" s="69"/>
      <c r="G1630" t="s">
        <v>1432</v>
      </c>
    </row>
    <row r="1631" spans="1:7">
      <c r="A1631" s="149" t="s">
        <v>375</v>
      </c>
      <c r="B1631" s="784" t="s">
        <v>140</v>
      </c>
      <c r="C1631" s="347">
        <v>45924</v>
      </c>
      <c r="D1631" s="156">
        <v>1205</v>
      </c>
      <c r="F1631" s="69" t="s">
        <v>1478</v>
      </c>
      <c r="G1631" t="s">
        <v>1432</v>
      </c>
    </row>
    <row r="1632" spans="1:7">
      <c r="A1632" s="69" t="s">
        <v>372</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369</v>
      </c>
      <c r="B1635" s="774" t="s">
        <v>140</v>
      </c>
      <c r="C1635" s="56">
        <v>45924</v>
      </c>
      <c r="D1635" s="162">
        <v>170</v>
      </c>
      <c r="F1635" s="142" t="s">
        <v>1481</v>
      </c>
      <c r="G1635" t="s">
        <v>1432</v>
      </c>
    </row>
    <row r="1636" spans="1:7">
      <c r="A1636" s="785" t="s">
        <v>435</v>
      </c>
      <c r="B1636" s="413" t="s">
        <v>436</v>
      </c>
      <c r="C1636" s="355">
        <v>45924</v>
      </c>
      <c r="D1636" s="43">
        <v>616</v>
      </c>
      <c r="F1636" s="92"/>
      <c r="G1636" t="s">
        <v>1432</v>
      </c>
    </row>
    <row r="1637" spans="1:7">
      <c r="A1637" s="667" t="s">
        <v>448</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438</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369</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213</v>
      </c>
      <c r="C1646" s="56">
        <v>45925</v>
      </c>
      <c r="D1646" s="43">
        <v>646</v>
      </c>
      <c r="F1646" s="69" t="s">
        <v>1104</v>
      </c>
      <c r="G1646" t="s">
        <v>1432</v>
      </c>
    </row>
    <row r="1647" spans="1:7">
      <c r="A1647" s="69" t="s">
        <v>375</v>
      </c>
      <c r="B1647" s="774" t="s">
        <v>140</v>
      </c>
      <c r="C1647" s="56">
        <v>45925</v>
      </c>
      <c r="D1647" s="156">
        <v>1000</v>
      </c>
      <c r="F1647" s="30"/>
      <c r="G1647" t="s">
        <v>1432</v>
      </c>
    </row>
    <row r="1648" spans="1:7">
      <c r="A1648" s="69" t="s">
        <v>372</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435</v>
      </c>
      <c r="B1651" s="251" t="s">
        <v>436</v>
      </c>
      <c r="C1651" s="56">
        <v>45925</v>
      </c>
      <c r="D1651" s="43">
        <v>969</v>
      </c>
      <c r="G1651" t="s">
        <v>1432</v>
      </c>
    </row>
    <row r="1652" spans="1:7">
      <c r="A1652" s="667" t="s">
        <v>448</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213</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436</v>
      </c>
      <c r="C1657" s="56">
        <v>45926</v>
      </c>
      <c r="D1657" s="43">
        <v>300</v>
      </c>
      <c r="G1657" t="s">
        <v>1432</v>
      </c>
    </row>
    <row r="1658" spans="1:7">
      <c r="A1658" s="308" t="s">
        <v>933</v>
      </c>
      <c r="B1658" s="761" t="s">
        <v>1489</v>
      </c>
      <c r="C1658" s="56">
        <v>45926</v>
      </c>
      <c r="D1658" s="43">
        <v>364</v>
      </c>
      <c r="G1658" t="s">
        <v>1432</v>
      </c>
    </row>
    <row r="1659" spans="1:7">
      <c r="A1659" s="135" t="s">
        <v>435</v>
      </c>
      <c r="B1659" s="142" t="s">
        <v>436</v>
      </c>
      <c r="C1659" s="56">
        <v>45926</v>
      </c>
      <c r="D1659" s="43">
        <v>552</v>
      </c>
      <c r="G1659" t="s">
        <v>1432</v>
      </c>
    </row>
    <row r="1660" spans="1:7">
      <c r="A1660" s="769" t="s">
        <v>451</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372</v>
      </c>
      <c r="B1667" s="759" t="s">
        <v>140</v>
      </c>
      <c r="C1667" s="56">
        <v>45929</v>
      </c>
      <c r="D1667" s="43">
        <v>600</v>
      </c>
      <c r="F1667" s="43" t="s">
        <v>1492</v>
      </c>
      <c r="G1667" t="s">
        <v>1432</v>
      </c>
    </row>
    <row r="1668" spans="1:7">
      <c r="A1668" s="315" t="s">
        <v>375</v>
      </c>
      <c r="B1668" s="315" t="s">
        <v>140</v>
      </c>
      <c r="C1668" s="56">
        <v>45929</v>
      </c>
      <c r="D1668" s="156">
        <v>1002</v>
      </c>
      <c r="F1668" s="43" t="s">
        <v>1493</v>
      </c>
      <c r="G1668" t="s">
        <v>1432</v>
      </c>
    </row>
    <row r="1669" spans="1:7">
      <c r="A1669" s="135" t="s">
        <v>435</v>
      </c>
      <c r="B1669" s="142" t="s">
        <v>436</v>
      </c>
      <c r="C1669" s="56">
        <v>45929</v>
      </c>
      <c r="D1669" s="156">
        <v>1375</v>
      </c>
      <c r="G1669" t="s">
        <v>1432</v>
      </c>
    </row>
    <row r="1670" spans="1:7">
      <c r="A1670" s="769" t="s">
        <v>446</v>
      </c>
      <c r="B1670" s="308" t="s">
        <v>243</v>
      </c>
      <c r="C1670" s="56">
        <v>45929</v>
      </c>
      <c r="F1670" s="142" t="s">
        <v>1348</v>
      </c>
      <c r="G1670" t="s">
        <v>1432</v>
      </c>
    </row>
    <row r="1671" spans="1:7">
      <c r="A1671" s="309" t="s">
        <v>932</v>
      </c>
      <c r="B1671" s="309" t="s">
        <v>884</v>
      </c>
      <c r="C1671" s="56">
        <v>45929</v>
      </c>
      <c r="D1671" s="156">
        <v>1418</v>
      </c>
      <c r="G1671" t="s">
        <v>1432</v>
      </c>
    </row>
    <row r="1672" spans="1:7">
      <c r="A1672" s="43" t="s">
        <v>448</v>
      </c>
      <c r="B1672" s="322" t="s">
        <v>243</v>
      </c>
      <c r="C1672" s="56">
        <v>45929</v>
      </c>
      <c r="D1672" s="43">
        <v>479</v>
      </c>
      <c r="G1672" t="s">
        <v>1432</v>
      </c>
    </row>
    <row r="1673" spans="1:7">
      <c r="A1673" s="43" t="s">
        <v>451</v>
      </c>
      <c r="B1673" s="322" t="s">
        <v>243</v>
      </c>
      <c r="C1673" s="56">
        <v>45929</v>
      </c>
      <c r="D1673" s="43">
        <v>454</v>
      </c>
      <c r="G1673" t="s">
        <v>1432</v>
      </c>
    </row>
    <row r="1674" spans="1:7">
      <c r="A1674" s="315" t="s">
        <v>375</v>
      </c>
      <c r="B1674" s="315" t="s">
        <v>140</v>
      </c>
      <c r="C1674" s="56">
        <v>45930</v>
      </c>
      <c r="D1674" s="43">
        <v>268</v>
      </c>
      <c r="E1674" s="140">
        <v>413</v>
      </c>
      <c r="F1674" s="43" t="s">
        <v>1494</v>
      </c>
      <c r="G1674" t="s">
        <v>1432</v>
      </c>
    </row>
    <row r="1675" spans="1:7">
      <c r="A1675" s="88" t="s">
        <v>495</v>
      </c>
      <c r="B1675" s="412" t="s">
        <v>884</v>
      </c>
      <c r="C1675" s="56">
        <v>45930</v>
      </c>
      <c r="D1675" s="43">
        <v>134</v>
      </c>
      <c r="G1675" t="s">
        <v>1432</v>
      </c>
    </row>
    <row r="1676" spans="1:7">
      <c r="A1676" s="88" t="s">
        <v>425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372</v>
      </c>
      <c r="B1681" s="142" t="s">
        <v>884</v>
      </c>
      <c r="C1681" s="314">
        <v>45930</v>
      </c>
      <c r="E1681" s="140">
        <v>886</v>
      </c>
      <c r="G1681" t="s">
        <v>1432</v>
      </c>
    </row>
    <row r="1682" spans="1:7">
      <c r="A1682" s="135" t="s">
        <v>435</v>
      </c>
      <c r="B1682" s="308" t="s">
        <v>436</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451</v>
      </c>
      <c r="B1685" s="322" t="s">
        <v>243</v>
      </c>
      <c r="C1685" s="56">
        <v>45930</v>
      </c>
      <c r="D1685" s="43">
        <v>251</v>
      </c>
      <c r="G1685" t="s">
        <v>1432</v>
      </c>
    </row>
    <row r="1686" spans="1:7">
      <c r="A1686" s="543" t="s">
        <v>438</v>
      </c>
      <c r="B1686" s="360" t="s">
        <v>243</v>
      </c>
      <c r="C1686" s="56">
        <v>45930</v>
      </c>
      <c r="D1686" s="43">
        <v>665</v>
      </c>
      <c r="G1686" t="s">
        <v>1432</v>
      </c>
    </row>
    <row r="1687" spans="1:7">
      <c r="A1687" s="88" t="s">
        <v>907</v>
      </c>
      <c r="B1687" s="412" t="s">
        <v>884</v>
      </c>
      <c r="C1687" s="56">
        <v>45931</v>
      </c>
      <c r="D1687" s="43">
        <v>201</v>
      </c>
      <c r="G1687" t="s">
        <v>1498</v>
      </c>
    </row>
    <row r="1688" spans="1:7">
      <c r="A1688" s="88" t="s">
        <v>425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380</v>
      </c>
      <c r="B1692" s="759" t="s">
        <v>140</v>
      </c>
      <c r="C1692" s="56">
        <v>45931</v>
      </c>
      <c r="D1692" s="156">
        <v>1118</v>
      </c>
      <c r="G1692" t="s">
        <v>1498</v>
      </c>
    </row>
    <row r="1693" spans="1:7">
      <c r="A1693" s="135" t="s">
        <v>435</v>
      </c>
      <c r="B1693" s="142" t="s">
        <v>436</v>
      </c>
      <c r="C1693" s="56">
        <v>45931</v>
      </c>
      <c r="D1693" s="43">
        <v>312</v>
      </c>
      <c r="G1693" t="s">
        <v>1498</v>
      </c>
    </row>
    <row r="1694" spans="1:7">
      <c r="A1694" s="569" t="s">
        <v>438</v>
      </c>
      <c r="B1694" s="142" t="s">
        <v>243</v>
      </c>
      <c r="C1694" s="56">
        <v>45931</v>
      </c>
      <c r="D1694" s="43">
        <v>753</v>
      </c>
      <c r="G1694" t="s">
        <v>1498</v>
      </c>
    </row>
    <row r="1695" spans="1:7">
      <c r="A1695" s="309" t="s">
        <v>451</v>
      </c>
      <c r="B1695" s="359" t="s">
        <v>243</v>
      </c>
      <c r="C1695" s="56">
        <v>45931</v>
      </c>
      <c r="D1695" s="43">
        <v>224</v>
      </c>
      <c r="G1695" t="s">
        <v>1498</v>
      </c>
    </row>
    <row r="1696" spans="1:7">
      <c r="A1696" s="135" t="s">
        <v>495</v>
      </c>
      <c r="B1696" s="315" t="s">
        <v>884</v>
      </c>
      <c r="C1696" s="56">
        <v>45932</v>
      </c>
      <c r="D1696" s="43">
        <v>450</v>
      </c>
      <c r="G1696" t="s">
        <v>1498</v>
      </c>
    </row>
    <row r="1697" spans="1:7">
      <c r="A1697" s="328" t="s">
        <v>425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380</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435</v>
      </c>
      <c r="B1703" s="142" t="s">
        <v>436</v>
      </c>
      <c r="C1703" s="56">
        <v>45932</v>
      </c>
      <c r="D1703" s="156">
        <v>1304</v>
      </c>
      <c r="G1703" t="s">
        <v>1498</v>
      </c>
    </row>
    <row r="1704" spans="1:7">
      <c r="A1704" s="309" t="s">
        <v>932</v>
      </c>
      <c r="B1704" s="309" t="s">
        <v>884</v>
      </c>
      <c r="C1704" s="56">
        <v>45932</v>
      </c>
      <c r="D1704" s="43">
        <v>614</v>
      </c>
      <c r="G1704" t="s">
        <v>1498</v>
      </c>
    </row>
    <row r="1705" spans="1:7">
      <c r="A1705" s="569" t="s">
        <v>438</v>
      </c>
      <c r="B1705" s="142" t="s">
        <v>243</v>
      </c>
      <c r="C1705" s="56">
        <v>45932</v>
      </c>
      <c r="D1705" s="43">
        <v>305</v>
      </c>
      <c r="G1705" t="s">
        <v>1498</v>
      </c>
    </row>
    <row r="1706" spans="1:7">
      <c r="A1706" s="309" t="s">
        <v>451</v>
      </c>
      <c r="B1706" s="359" t="s">
        <v>243</v>
      </c>
      <c r="C1706" s="56">
        <v>45932</v>
      </c>
      <c r="D1706" s="43">
        <v>789</v>
      </c>
      <c r="F1706" s="43" t="s">
        <v>1504</v>
      </c>
      <c r="G1706" t="s">
        <v>1498</v>
      </c>
    </row>
    <row r="1707" spans="1:7">
      <c r="A1707" s="142" t="s">
        <v>448</v>
      </c>
      <c r="B1707" s="142" t="s">
        <v>243</v>
      </c>
      <c r="C1707" s="56">
        <v>45932</v>
      </c>
      <c r="D1707" s="43">
        <v>170</v>
      </c>
      <c r="G1707" t="s">
        <v>1498</v>
      </c>
    </row>
    <row r="1708" spans="1:7">
      <c r="A1708" s="135" t="s">
        <v>495</v>
      </c>
      <c r="B1708" s="315" t="s">
        <v>884</v>
      </c>
      <c r="C1708" s="56">
        <v>45933</v>
      </c>
      <c r="D1708" s="43">
        <v>352</v>
      </c>
      <c r="G1708" t="s">
        <v>1498</v>
      </c>
    </row>
    <row r="1709" spans="1:7">
      <c r="A1709" s="328" t="s">
        <v>907</v>
      </c>
      <c r="B1709" s="315" t="s">
        <v>884</v>
      </c>
      <c r="C1709" s="56">
        <v>45933</v>
      </c>
      <c r="D1709" s="43">
        <v>352</v>
      </c>
      <c r="G1709" t="s">
        <v>1498</v>
      </c>
    </row>
    <row r="1710" spans="1:7">
      <c r="A1710" s="328" t="s">
        <v>425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435</v>
      </c>
      <c r="B1713" s="142" t="s">
        <v>436</v>
      </c>
      <c r="C1713" s="56">
        <v>45933</v>
      </c>
      <c r="D1713" s="43">
        <v>617</v>
      </c>
      <c r="G1713" t="s">
        <v>1498</v>
      </c>
    </row>
    <row r="1714" spans="1:7">
      <c r="A1714" s="309" t="s">
        <v>932</v>
      </c>
      <c r="B1714" s="309" t="s">
        <v>884</v>
      </c>
      <c r="C1714" s="56">
        <v>45933</v>
      </c>
      <c r="D1714" s="43">
        <v>486</v>
      </c>
      <c r="G1714" t="s">
        <v>1498</v>
      </c>
    </row>
    <row r="1715" spans="1:7">
      <c r="A1715" s="310" t="s">
        <v>451</v>
      </c>
      <c r="B1715" s="142" t="s">
        <v>243</v>
      </c>
      <c r="C1715" s="56">
        <v>45933</v>
      </c>
      <c r="F1715" s="43" t="s">
        <v>1507</v>
      </c>
      <c r="G1715" t="s">
        <v>1498</v>
      </c>
    </row>
    <row r="1716" spans="1:7">
      <c r="A1716" s="310" t="s">
        <v>448</v>
      </c>
      <c r="B1716" s="142" t="s">
        <v>243</v>
      </c>
      <c r="C1716" s="56">
        <v>45933</v>
      </c>
      <c r="F1716" s="43" t="s">
        <v>1507</v>
      </c>
      <c r="G1716" t="s">
        <v>1498</v>
      </c>
    </row>
    <row r="1717" spans="1:7">
      <c r="A1717" s="135" t="s">
        <v>907</v>
      </c>
      <c r="B1717" s="315" t="s">
        <v>884</v>
      </c>
      <c r="C1717" s="56">
        <v>45936</v>
      </c>
      <c r="D1717" s="43">
        <v>65</v>
      </c>
      <c r="G1717" t="s">
        <v>1498</v>
      </c>
    </row>
    <row r="1718" spans="1:7">
      <c r="A1718" s="601" t="s">
        <v>495</v>
      </c>
      <c r="B1718" s="315" t="s">
        <v>884</v>
      </c>
      <c r="C1718" s="56">
        <v>45936</v>
      </c>
      <c r="D1718" s="43">
        <v>175</v>
      </c>
      <c r="G1718" t="s">
        <v>1498</v>
      </c>
    </row>
    <row r="1719" spans="1:7">
      <c r="A1719" s="601" t="s">
        <v>425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380</v>
      </c>
      <c r="B1723" s="142" t="s">
        <v>140</v>
      </c>
      <c r="C1723" s="56">
        <v>45936</v>
      </c>
      <c r="D1723" s="156">
        <v>1174</v>
      </c>
      <c r="G1723" t="s">
        <v>1498</v>
      </c>
    </row>
    <row r="1724" spans="1:7">
      <c r="A1724" s="135" t="s">
        <v>435</v>
      </c>
      <c r="B1724" s="142" t="s">
        <v>436</v>
      </c>
      <c r="C1724" s="56">
        <v>45936</v>
      </c>
      <c r="D1724" s="43">
        <v>768</v>
      </c>
      <c r="G1724" t="s">
        <v>1498</v>
      </c>
    </row>
    <row r="1725" spans="1:7">
      <c r="A1725" s="309" t="s">
        <v>932</v>
      </c>
      <c r="B1725" s="309" t="s">
        <v>637</v>
      </c>
      <c r="C1725" s="56">
        <v>45936</v>
      </c>
      <c r="D1725" s="43">
        <v>225</v>
      </c>
      <c r="G1725" t="s">
        <v>1498</v>
      </c>
    </row>
    <row r="1726" spans="1:7">
      <c r="A1726" s="567" t="s">
        <v>438</v>
      </c>
      <c r="B1726" s="310" t="s">
        <v>243</v>
      </c>
      <c r="C1726" s="56">
        <v>45936</v>
      </c>
      <c r="F1726" s="348" t="s">
        <v>1151</v>
      </c>
      <c r="G1726" t="s">
        <v>1498</v>
      </c>
    </row>
    <row r="1727" spans="1:7">
      <c r="A1727" s="315" t="s">
        <v>451</v>
      </c>
      <c r="B1727" s="315" t="s">
        <v>243</v>
      </c>
      <c r="C1727" s="56">
        <v>45936</v>
      </c>
      <c r="D1727" s="156">
        <v>1088</v>
      </c>
      <c r="F1727" s="43" t="s">
        <v>1502</v>
      </c>
      <c r="G1727" t="s">
        <v>1498</v>
      </c>
    </row>
    <row r="1728" spans="1:7">
      <c r="A1728" s="135" t="s">
        <v>495</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380</v>
      </c>
      <c r="B1733" s="142" t="s">
        <v>140</v>
      </c>
      <c r="C1733" s="314">
        <v>45937</v>
      </c>
      <c r="D1733" s="156">
        <v>1597</v>
      </c>
      <c r="F1733" s="43" t="s">
        <v>1511</v>
      </c>
      <c r="G1733" t="s">
        <v>1498</v>
      </c>
    </row>
    <row r="1734" spans="1:7">
      <c r="A1734" s="135" t="s">
        <v>435</v>
      </c>
      <c r="B1734" s="142" t="s">
        <v>436</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451</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425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380</v>
      </c>
      <c r="B1743" s="142" t="s">
        <v>140</v>
      </c>
      <c r="C1743" s="56">
        <v>45938</v>
      </c>
      <c r="D1743" s="43">
        <v>308</v>
      </c>
      <c r="F1743" s="43" t="s">
        <v>1514</v>
      </c>
      <c r="G1743" t="s">
        <v>1498</v>
      </c>
    </row>
    <row r="1744" spans="1:7">
      <c r="A1744" s="666" t="s">
        <v>375</v>
      </c>
      <c r="B1744" s="142" t="s">
        <v>140</v>
      </c>
      <c r="C1744" s="56">
        <v>45938</v>
      </c>
      <c r="D1744" s="43">
        <v>334</v>
      </c>
      <c r="F1744" s="43" t="s">
        <v>1449</v>
      </c>
      <c r="G1744" t="s">
        <v>1498</v>
      </c>
    </row>
    <row r="1745" spans="1:7">
      <c r="A1745" s="308" t="s">
        <v>364</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451</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380</v>
      </c>
      <c r="B1753" s="409" t="s">
        <v>140</v>
      </c>
      <c r="C1753" s="56">
        <v>45939</v>
      </c>
      <c r="F1753" s="636" t="s">
        <v>1018</v>
      </c>
      <c r="G1753" t="s">
        <v>1498</v>
      </c>
    </row>
    <row r="1754" spans="1:7">
      <c r="A1754" s="149" t="s">
        <v>364</v>
      </c>
      <c r="B1754" s="116" t="s">
        <v>1313</v>
      </c>
      <c r="C1754" s="56">
        <v>45939</v>
      </c>
      <c r="F1754" s="43" t="s">
        <v>1370</v>
      </c>
      <c r="G1754" t="s">
        <v>1498</v>
      </c>
    </row>
    <row r="1755" spans="1:7">
      <c r="A1755" s="135" t="s">
        <v>435</v>
      </c>
      <c r="B1755" s="251" t="s">
        <v>436</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451</v>
      </c>
      <c r="B1758" s="321" t="s">
        <v>243</v>
      </c>
      <c r="C1758" s="56">
        <v>45939</v>
      </c>
      <c r="D1758" s="43">
        <v>369</v>
      </c>
      <c r="G1758" t="s">
        <v>1498</v>
      </c>
    </row>
    <row r="1759" spans="1:7">
      <c r="A1759" s="116" t="s">
        <v>448</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380</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432</v>
      </c>
      <c r="B1766" s="348" t="s">
        <v>884</v>
      </c>
      <c r="C1766" s="56">
        <v>45940</v>
      </c>
      <c r="F1766" s="315" t="s">
        <v>1337</v>
      </c>
      <c r="G1766" t="s">
        <v>1498</v>
      </c>
    </row>
    <row r="1767" spans="1:7">
      <c r="A1767" s="319" t="s">
        <v>438</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500</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382</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440</v>
      </c>
      <c r="B1776" s="543" t="s">
        <v>884</v>
      </c>
      <c r="C1776" s="56">
        <v>45943</v>
      </c>
      <c r="D1776" s="43">
        <v>60</v>
      </c>
      <c r="G1776" t="s">
        <v>1498</v>
      </c>
    </row>
    <row r="1777" spans="1:7">
      <c r="A1777" s="124" t="s">
        <v>901</v>
      </c>
      <c r="B1777" s="315" t="s">
        <v>884</v>
      </c>
      <c r="C1777" s="56">
        <v>45944</v>
      </c>
      <c r="D1777" s="43">
        <v>163</v>
      </c>
      <c r="G1777" t="s">
        <v>1498</v>
      </c>
    </row>
    <row r="1778" spans="1:7">
      <c r="A1778" s="634" t="s">
        <v>500</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382</v>
      </c>
      <c r="B1782" s="142" t="s">
        <v>140</v>
      </c>
      <c r="C1782" s="314">
        <v>45944</v>
      </c>
      <c r="D1782" s="43">
        <v>510</v>
      </c>
      <c r="F1782" s="43" t="s">
        <v>1525</v>
      </c>
      <c r="G1782" t="s">
        <v>1498</v>
      </c>
    </row>
    <row r="1783" spans="1:7">
      <c r="A1783" s="829" t="s">
        <v>386</v>
      </c>
      <c r="B1783" s="142" t="s">
        <v>140</v>
      </c>
      <c r="C1783" s="314">
        <v>45944</v>
      </c>
      <c r="D1783" s="43">
        <v>974</v>
      </c>
      <c r="F1783" s="43" t="s">
        <v>1526</v>
      </c>
      <c r="G1783" t="s">
        <v>1498</v>
      </c>
    </row>
    <row r="1784" spans="1:7">
      <c r="A1784" s="319" t="s">
        <v>937</v>
      </c>
      <c r="B1784" s="319" t="s">
        <v>210</v>
      </c>
      <c r="C1784" s="56">
        <v>45944</v>
      </c>
      <c r="D1784" s="156">
        <v>1603</v>
      </c>
      <c r="F1784" s="43" t="s">
        <v>1527</v>
      </c>
      <c r="G1784" t="s">
        <v>1498</v>
      </c>
    </row>
    <row r="1785" spans="1:7">
      <c r="A1785" s="315" t="s">
        <v>932</v>
      </c>
      <c r="B1785" s="315" t="s">
        <v>884</v>
      </c>
      <c r="C1785" s="56">
        <v>45944</v>
      </c>
      <c r="D1785" s="43">
        <v>144</v>
      </c>
      <c r="G1785" t="s">
        <v>1498</v>
      </c>
    </row>
    <row r="1786" spans="1:7">
      <c r="A1786" s="319" t="s">
        <v>455</v>
      </c>
      <c r="B1786" s="319" t="s">
        <v>243</v>
      </c>
      <c r="C1786" s="56">
        <v>45944</v>
      </c>
      <c r="D1786" s="43">
        <v>927</v>
      </c>
      <c r="F1786" s="43" t="s">
        <v>1505</v>
      </c>
      <c r="G1786" t="s">
        <v>1498</v>
      </c>
    </row>
    <row r="1787" spans="1:7">
      <c r="A1787" s="251" t="s">
        <v>440</v>
      </c>
      <c r="B1787" s="315" t="s">
        <v>884</v>
      </c>
      <c r="C1787" s="56">
        <v>45944</v>
      </c>
      <c r="D1787" s="43">
        <v>219</v>
      </c>
      <c r="G1787" t="s">
        <v>1498</v>
      </c>
    </row>
    <row r="1788" spans="1:7">
      <c r="A1788" s="124" t="s">
        <v>901</v>
      </c>
      <c r="B1788" s="315" t="s">
        <v>884</v>
      </c>
      <c r="C1788" s="56">
        <v>45945</v>
      </c>
      <c r="D1788" s="43">
        <v>535</v>
      </c>
      <c r="G1788" t="s">
        <v>1498</v>
      </c>
    </row>
    <row r="1789" spans="1:7">
      <c r="A1789" s="634" t="s">
        <v>500</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386</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210</v>
      </c>
      <c r="C1793" s="56">
        <v>45945</v>
      </c>
      <c r="D1793" s="43">
        <v>791</v>
      </c>
      <c r="F1793" s="43" t="s">
        <v>1532</v>
      </c>
      <c r="G1793" t="s">
        <v>1498</v>
      </c>
    </row>
    <row r="1794" spans="1:7">
      <c r="A1794" s="310" t="s">
        <v>435</v>
      </c>
      <c r="B1794" s="315" t="s">
        <v>884</v>
      </c>
      <c r="C1794" s="56">
        <v>45945</v>
      </c>
      <c r="D1794" s="43">
        <v>986</v>
      </c>
      <c r="G1794" t="s">
        <v>1498</v>
      </c>
    </row>
    <row r="1795" spans="1:7">
      <c r="A1795" s="310" t="s">
        <v>458</v>
      </c>
      <c r="B1795" s="359" t="s">
        <v>1533</v>
      </c>
      <c r="C1795" s="56">
        <v>45945</v>
      </c>
      <c r="D1795" s="156">
        <v>1457</v>
      </c>
      <c r="F1795" s="43" t="s">
        <v>1534</v>
      </c>
      <c r="G1795" t="s">
        <v>1498</v>
      </c>
    </row>
    <row r="1796" spans="1:7">
      <c r="A1796" s="315" t="s">
        <v>455</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500</v>
      </c>
      <c r="B1799" s="142" t="s">
        <v>1489</v>
      </c>
      <c r="C1799" s="314">
        <v>45946</v>
      </c>
      <c r="D1799" s="43">
        <v>487</v>
      </c>
      <c r="F1799" s="43" t="s">
        <v>1536</v>
      </c>
      <c r="G1799" t="s">
        <v>1498</v>
      </c>
    </row>
    <row r="1800" spans="1:7">
      <c r="A1800" s="977" t="s">
        <v>386</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210</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458</v>
      </c>
      <c r="B1805" s="142" t="s">
        <v>1533</v>
      </c>
      <c r="C1805" s="314">
        <v>45946</v>
      </c>
      <c r="D1805" s="156">
        <v>1142</v>
      </c>
      <c r="F1805" s="43" t="s">
        <v>1539</v>
      </c>
      <c r="G1805" t="s">
        <v>1498</v>
      </c>
    </row>
    <row r="1806" spans="1:7">
      <c r="A1806" s="308" t="s">
        <v>455</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500</v>
      </c>
      <c r="B1809" s="142" t="s">
        <v>1489</v>
      </c>
      <c r="C1809" s="56">
        <v>45947</v>
      </c>
      <c r="D1809" s="43">
        <v>123</v>
      </c>
      <c r="F1809" s="43" t="s">
        <v>1454</v>
      </c>
      <c r="G1809" t="s">
        <v>1498</v>
      </c>
    </row>
    <row r="1810" spans="1:7">
      <c r="A1810" s="705" t="s">
        <v>380</v>
      </c>
      <c r="B1810" s="705" t="s">
        <v>884</v>
      </c>
      <c r="C1810" s="56">
        <v>45947</v>
      </c>
      <c r="F1810" s="43" t="s">
        <v>1542</v>
      </c>
      <c r="G1810" t="s">
        <v>1498</v>
      </c>
    </row>
    <row r="1811" spans="1:7">
      <c r="A1811" s="149" t="s">
        <v>937</v>
      </c>
      <c r="B1811" s="116" t="s">
        <v>210</v>
      </c>
      <c r="C1811" s="56">
        <v>45947</v>
      </c>
      <c r="F1811" s="43" t="s">
        <v>1543</v>
      </c>
      <c r="G1811" t="s">
        <v>1498</v>
      </c>
    </row>
    <row r="1812" spans="1:7">
      <c r="A1812" s="636" t="s">
        <v>458</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495</v>
      </c>
      <c r="B1814" s="782" t="s">
        <v>884</v>
      </c>
      <c r="C1814" s="56">
        <v>45950</v>
      </c>
      <c r="D1814" s="43">
        <v>153</v>
      </c>
      <c r="F1814" s="994"/>
      <c r="G1814" t="s">
        <v>1498</v>
      </c>
    </row>
    <row r="1815" spans="1:7">
      <c r="A1815" s="992" t="s">
        <v>500</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210</v>
      </c>
      <c r="C1818" s="56">
        <v>45950</v>
      </c>
      <c r="D1818" s="156">
        <v>3343</v>
      </c>
      <c r="F1818" s="43" t="s">
        <v>1547</v>
      </c>
      <c r="G1818" t="s">
        <v>1498</v>
      </c>
    </row>
    <row r="1819" spans="1:7">
      <c r="A1819" s="995" t="s">
        <v>438</v>
      </c>
      <c r="B1819" s="996" t="s">
        <v>884</v>
      </c>
      <c r="C1819" s="56">
        <v>45950</v>
      </c>
      <c r="D1819" s="43">
        <v>151</v>
      </c>
      <c r="G1819" t="s">
        <v>1498</v>
      </c>
    </row>
    <row r="1820" spans="1:7">
      <c r="A1820" s="782" t="s">
        <v>458</v>
      </c>
      <c r="B1820" s="782" t="s">
        <v>1533</v>
      </c>
      <c r="C1820" s="56">
        <v>45950</v>
      </c>
      <c r="D1820" s="156">
        <v>1186</v>
      </c>
      <c r="F1820" s="43" t="s">
        <v>1373</v>
      </c>
      <c r="G1820" t="s">
        <v>1498</v>
      </c>
    </row>
    <row r="1821" spans="1:7">
      <c r="A1821" s="993" t="s">
        <v>455</v>
      </c>
      <c r="B1821" s="993" t="s">
        <v>243</v>
      </c>
      <c r="C1821" s="56">
        <v>45950</v>
      </c>
      <c r="D1821" s="156">
        <v>1100</v>
      </c>
      <c r="G1821" t="s">
        <v>1498</v>
      </c>
    </row>
    <row r="1822" spans="1:7">
      <c r="A1822" s="1013" t="s">
        <v>495</v>
      </c>
      <c r="B1822" s="1004" t="s">
        <v>884</v>
      </c>
      <c r="C1822" s="56">
        <v>45951</v>
      </c>
      <c r="D1822" s="156">
        <v>244</v>
      </c>
      <c r="G1822" t="s">
        <v>1498</v>
      </c>
    </row>
    <row r="1823" spans="1:7">
      <c r="A1823" s="88" t="s">
        <v>500</v>
      </c>
      <c r="B1823" s="999" t="s">
        <v>1489</v>
      </c>
      <c r="C1823" s="56">
        <v>45951</v>
      </c>
      <c r="D1823" s="43">
        <v>413</v>
      </c>
      <c r="F1823" s="43" t="s">
        <v>967</v>
      </c>
      <c r="G1823" t="s">
        <v>1498</v>
      </c>
    </row>
    <row r="1824" spans="1:7">
      <c r="A1824" s="1000" t="s">
        <v>386</v>
      </c>
      <c r="B1824" s="705" t="s">
        <v>140</v>
      </c>
      <c r="C1824" s="56">
        <v>45951</v>
      </c>
      <c r="D1824" s="43">
        <v>230</v>
      </c>
      <c r="F1824" s="43" t="s">
        <v>1548</v>
      </c>
      <c r="G1824" t="s">
        <v>1498</v>
      </c>
    </row>
    <row r="1825" spans="1:7">
      <c r="A1825" s="116" t="s">
        <v>937</v>
      </c>
      <c r="B1825" s="116" t="s">
        <v>210</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470</v>
      </c>
      <c r="B1827" s="43" t="s">
        <v>140</v>
      </c>
      <c r="C1827" s="56">
        <v>45951</v>
      </c>
      <c r="D1827" s="156">
        <v>1182</v>
      </c>
      <c r="F1827" s="43" t="s">
        <v>1550</v>
      </c>
      <c r="G1827" t="s">
        <v>1498</v>
      </c>
    </row>
    <row r="1828" spans="1:7">
      <c r="A1828" s="326" t="s">
        <v>438</v>
      </c>
      <c r="B1828" s="1004" t="s">
        <v>884</v>
      </c>
      <c r="C1828" s="56">
        <v>45951</v>
      </c>
      <c r="D1828" s="43">
        <v>149</v>
      </c>
      <c r="G1828" t="s">
        <v>1498</v>
      </c>
    </row>
    <row r="1829" spans="1:7">
      <c r="A1829" s="755" t="s">
        <v>458</v>
      </c>
      <c r="B1829" s="116" t="s">
        <v>1533</v>
      </c>
      <c r="C1829" s="56">
        <v>45951</v>
      </c>
      <c r="D1829" s="156">
        <v>1564</v>
      </c>
      <c r="F1829" s="43" t="s">
        <v>1551</v>
      </c>
      <c r="G1829" t="s">
        <v>1498</v>
      </c>
    </row>
    <row r="1830" spans="1:7">
      <c r="A1830" s="43" t="s">
        <v>455</v>
      </c>
      <c r="B1830" s="142" t="s">
        <v>243</v>
      </c>
      <c r="C1830" s="56">
        <v>45951</v>
      </c>
      <c r="D1830" s="43">
        <v>527</v>
      </c>
      <c r="F1830" s="43" t="s">
        <v>1540</v>
      </c>
      <c r="G1830" t="s">
        <v>1498</v>
      </c>
    </row>
    <row r="1831" spans="1:7">
      <c r="A1831" s="92" t="s">
        <v>460</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500</v>
      </c>
      <c r="B1833" s="999" t="s">
        <v>1489</v>
      </c>
      <c r="C1833" s="56">
        <v>45952</v>
      </c>
      <c r="D1833" s="43">
        <v>190</v>
      </c>
      <c r="G1833" t="s">
        <v>1498</v>
      </c>
    </row>
    <row r="1834" spans="1:7">
      <c r="A1834" s="829" t="s">
        <v>937</v>
      </c>
      <c r="B1834" s="829" t="s">
        <v>210</v>
      </c>
      <c r="C1834" s="56">
        <v>45952</v>
      </c>
      <c r="D1834" s="156">
        <v>2013</v>
      </c>
      <c r="F1834" s="324" t="s">
        <v>1553</v>
      </c>
      <c r="G1834" t="s">
        <v>1498</v>
      </c>
    </row>
    <row r="1835" spans="1:7">
      <c r="A1835" s="829" t="s">
        <v>470</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438</v>
      </c>
      <c r="B1837" s="1014" t="s">
        <v>884</v>
      </c>
      <c r="C1837" s="56">
        <v>45952</v>
      </c>
      <c r="F1837" s="310" t="s">
        <v>1556</v>
      </c>
      <c r="G1837" t="s">
        <v>1498</v>
      </c>
    </row>
    <row r="1838" spans="1:7">
      <c r="A1838" s="636" t="s">
        <v>458</v>
      </c>
      <c r="B1838" s="162" t="s">
        <v>1533</v>
      </c>
      <c r="C1838" s="56">
        <v>45952</v>
      </c>
      <c r="D1838" s="156">
        <v>1012</v>
      </c>
      <c r="F1838" s="43" t="s">
        <v>1557</v>
      </c>
      <c r="G1838" t="s">
        <v>1498</v>
      </c>
    </row>
    <row r="1839" spans="1:7">
      <c r="A1839" s="43" t="s">
        <v>455</v>
      </c>
      <c r="B1839" s="322" t="s">
        <v>243</v>
      </c>
      <c r="C1839" s="56">
        <v>45952</v>
      </c>
      <c r="D1839" s="43">
        <v>553</v>
      </c>
      <c r="G1839" t="s">
        <v>1498</v>
      </c>
    </row>
    <row r="1840" spans="1:7">
      <c r="A1840" s="69" t="s">
        <v>460</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495</v>
      </c>
      <c r="B1842" s="1022" t="s">
        <v>884</v>
      </c>
      <c r="C1842" s="56">
        <v>45953</v>
      </c>
      <c r="D1842" s="43">
        <v>237</v>
      </c>
      <c r="G1842" t="s">
        <v>1498</v>
      </c>
    </row>
    <row r="1843" spans="1:7">
      <c r="A1843" s="335" t="s">
        <v>500</v>
      </c>
      <c r="B1843" s="251" t="s">
        <v>1489</v>
      </c>
      <c r="C1843" s="314">
        <v>45953</v>
      </c>
      <c r="D1843" s="43">
        <v>844</v>
      </c>
      <c r="F1843" s="43" t="s">
        <v>1559</v>
      </c>
      <c r="G1843" t="s">
        <v>1498</v>
      </c>
    </row>
    <row r="1844" spans="1:7">
      <c r="A1844" s="335" t="s">
        <v>500</v>
      </c>
      <c r="B1844" s="251" t="s">
        <v>1560</v>
      </c>
      <c r="C1844" s="314">
        <v>45953</v>
      </c>
      <c r="D1844" s="43">
        <v>350</v>
      </c>
      <c r="G1844" t="s">
        <v>1498</v>
      </c>
    </row>
    <row r="1845" spans="1:7">
      <c r="A1845" s="142" t="s">
        <v>937</v>
      </c>
      <c r="B1845" s="308" t="s">
        <v>210</v>
      </c>
      <c r="C1845" s="56">
        <v>45953</v>
      </c>
      <c r="D1845" s="156">
        <v>1500</v>
      </c>
      <c r="F1845" s="43" t="s">
        <v>1561</v>
      </c>
      <c r="G1845" t="s">
        <v>1498</v>
      </c>
    </row>
    <row r="1846" spans="1:7">
      <c r="A1846" s="142" t="s">
        <v>470</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364</v>
      </c>
      <c r="B1848" s="412" t="s">
        <v>884</v>
      </c>
      <c r="C1848" s="56">
        <v>45953</v>
      </c>
      <c r="F1848" s="315" t="s">
        <v>1370</v>
      </c>
      <c r="G1848" t="s">
        <v>1498</v>
      </c>
    </row>
    <row r="1849" spans="1:7">
      <c r="A1849" s="974" t="s">
        <v>438</v>
      </c>
      <c r="B1849" s="1014" t="s">
        <v>884</v>
      </c>
      <c r="C1849" s="56">
        <v>45953</v>
      </c>
      <c r="F1849" s="310" t="s">
        <v>1151</v>
      </c>
      <c r="G1849" t="s">
        <v>1498</v>
      </c>
    </row>
    <row r="1850" spans="1:7">
      <c r="A1850" s="636" t="s">
        <v>458</v>
      </c>
      <c r="B1850" s="162" t="s">
        <v>1533</v>
      </c>
      <c r="C1850" s="56">
        <v>45953</v>
      </c>
      <c r="D1850" s="43">
        <v>588</v>
      </c>
      <c r="F1850" s="43" t="s">
        <v>1564</v>
      </c>
      <c r="G1850" t="s">
        <v>1498</v>
      </c>
    </row>
    <row r="1851" spans="1:7">
      <c r="A1851" s="69" t="s">
        <v>460</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500</v>
      </c>
      <c r="B1854" s="251" t="s">
        <v>1489</v>
      </c>
      <c r="C1854" s="56">
        <v>45954</v>
      </c>
      <c r="D1854" s="43">
        <v>142</v>
      </c>
      <c r="F1854" s="43" t="s">
        <v>1566</v>
      </c>
      <c r="G1854" t="s">
        <v>1498</v>
      </c>
    </row>
    <row r="1855" spans="1:7">
      <c r="A1855" s="88" t="s">
        <v>500</v>
      </c>
      <c r="B1855" s="251" t="s">
        <v>1560</v>
      </c>
      <c r="C1855" s="56">
        <v>45954</v>
      </c>
      <c r="D1855" s="43">
        <v>164</v>
      </c>
      <c r="F1855" s="43" t="s">
        <v>1567</v>
      </c>
      <c r="G1855" t="s">
        <v>1498</v>
      </c>
    </row>
    <row r="1856" spans="1:7">
      <c r="A1856" s="142" t="s">
        <v>937</v>
      </c>
      <c r="B1856" s="308" t="s">
        <v>210</v>
      </c>
      <c r="C1856" s="56">
        <v>45954</v>
      </c>
      <c r="D1856" s="156">
        <v>1933</v>
      </c>
      <c r="G1856" t="s">
        <v>1498</v>
      </c>
    </row>
    <row r="1857" spans="1:7">
      <c r="A1857" s="974" t="s">
        <v>438</v>
      </c>
      <c r="B1857" s="1014" t="s">
        <v>884</v>
      </c>
      <c r="C1857" s="56">
        <v>45954</v>
      </c>
      <c r="F1857" s="43" t="s">
        <v>1568</v>
      </c>
      <c r="G1857" t="s">
        <v>1498</v>
      </c>
    </row>
    <row r="1858" spans="1:7">
      <c r="A1858" s="636" t="s">
        <v>456</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500</v>
      </c>
      <c r="B1861" s="251" t="s">
        <v>1489</v>
      </c>
      <c r="C1861" s="56">
        <v>45957</v>
      </c>
      <c r="F1861" s="43" t="s">
        <v>967</v>
      </c>
      <c r="G1861" t="s">
        <v>1498</v>
      </c>
    </row>
    <row r="1862" spans="1:7">
      <c r="A1862" s="88" t="s">
        <v>500</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210</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470</v>
      </c>
      <c r="B1867" s="409" t="s">
        <v>140</v>
      </c>
      <c r="C1867" s="56">
        <v>45957</v>
      </c>
      <c r="D1867" s="156">
        <v>1310</v>
      </c>
      <c r="F1867" s="43" t="s">
        <v>1575</v>
      </c>
      <c r="G1867" t="s">
        <v>1498</v>
      </c>
    </row>
    <row r="1868" spans="1:7">
      <c r="A1868" s="171" t="s">
        <v>364</v>
      </c>
      <c r="B1868" s="171" t="s">
        <v>140</v>
      </c>
      <c r="C1868" s="56">
        <v>45957</v>
      </c>
      <c r="D1868" s="43">
        <v>270</v>
      </c>
      <c r="G1868" t="s">
        <v>1498</v>
      </c>
    </row>
    <row r="1869" spans="1:7">
      <c r="A1869" s="974" t="s">
        <v>274</v>
      </c>
      <c r="B1869" s="1014" t="s">
        <v>884</v>
      </c>
      <c r="C1869" s="56">
        <v>45957</v>
      </c>
      <c r="F1869" s="324" t="s">
        <v>1397</v>
      </c>
      <c r="G1869" t="s">
        <v>1498</v>
      </c>
    </row>
    <row r="1870" spans="1:7">
      <c r="A1870" s="636" t="s">
        <v>456</v>
      </c>
      <c r="B1870" s="162" t="s">
        <v>1533</v>
      </c>
      <c r="C1870" s="56">
        <v>45957</v>
      </c>
      <c r="D1870" s="156">
        <v>1323</v>
      </c>
      <c r="F1870" s="43" t="s">
        <v>1576</v>
      </c>
      <c r="G1870" t="s">
        <v>1498</v>
      </c>
    </row>
    <row r="1871" spans="1:7">
      <c r="A1871" s="43" t="s">
        <v>455</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500</v>
      </c>
      <c r="B1874" s="251" t="s">
        <v>1489</v>
      </c>
      <c r="C1874" s="56">
        <v>45958</v>
      </c>
      <c r="F1874" s="324" t="s">
        <v>1151</v>
      </c>
      <c r="G1874" t="s">
        <v>1498</v>
      </c>
    </row>
    <row r="1875" spans="1:7">
      <c r="A1875" s="88" t="s">
        <v>500</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210</v>
      </c>
      <c r="C1878" s="56">
        <v>45958</v>
      </c>
      <c r="D1878" s="156">
        <v>2077</v>
      </c>
      <c r="G1878" t="s">
        <v>1498</v>
      </c>
    </row>
    <row r="1879" spans="1:7">
      <c r="A1879" s="142" t="s">
        <v>384</v>
      </c>
      <c r="B1879" s="142" t="s">
        <v>140</v>
      </c>
      <c r="C1879" s="56">
        <v>45958</v>
      </c>
      <c r="D1879" s="156">
        <v>1509</v>
      </c>
      <c r="F1879" s="43" t="s">
        <v>1580</v>
      </c>
      <c r="G1879" t="s">
        <v>1498</v>
      </c>
    </row>
    <row r="1880" spans="1:7">
      <c r="A1880" s="1015" t="s">
        <v>378</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364</v>
      </c>
      <c r="B1882" s="171" t="s">
        <v>884</v>
      </c>
      <c r="C1882" s="56">
        <v>45958</v>
      </c>
      <c r="D1882" s="43">
        <v>60</v>
      </c>
      <c r="E1882" s="140">
        <v>886</v>
      </c>
      <c r="F1882" s="43" t="s">
        <v>1582</v>
      </c>
      <c r="G1882" t="s">
        <v>1498</v>
      </c>
    </row>
    <row r="1883" spans="1:7">
      <c r="A1883" s="636" t="s">
        <v>456</v>
      </c>
      <c r="B1883" s="162" t="s">
        <v>1533</v>
      </c>
      <c r="C1883" s="56">
        <v>45958</v>
      </c>
      <c r="D1883" s="156">
        <v>1516</v>
      </c>
      <c r="F1883" s="43" t="s">
        <v>1583</v>
      </c>
      <c r="G1883" t="s">
        <v>1498</v>
      </c>
    </row>
    <row r="1884" spans="1:7">
      <c r="A1884" s="43" t="s">
        <v>455</v>
      </c>
      <c r="B1884" s="322" t="s">
        <v>243</v>
      </c>
      <c r="C1884" s="56">
        <v>45958</v>
      </c>
      <c r="D1884" s="156">
        <v>1224</v>
      </c>
      <c r="G1884" t="s">
        <v>1498</v>
      </c>
    </row>
    <row r="1885" spans="1:7">
      <c r="A1885" s="43" t="s">
        <v>455</v>
      </c>
      <c r="B1885" s="677" t="s">
        <v>243</v>
      </c>
      <c r="C1885" s="56">
        <v>45958</v>
      </c>
      <c r="D1885" s="156">
        <v>423</v>
      </c>
      <c r="G1885" t="s">
        <v>1498</v>
      </c>
    </row>
    <row r="1886" spans="1:7">
      <c r="A1886" s="88" t="s">
        <v>83</v>
      </c>
      <c r="B1886" s="412" t="s">
        <v>884</v>
      </c>
      <c r="C1886" s="56">
        <v>45959</v>
      </c>
      <c r="D1886" s="43">
        <v>171</v>
      </c>
      <c r="G1886" t="s">
        <v>1498</v>
      </c>
    </row>
    <row r="1887" spans="1:7">
      <c r="A1887" s="88" t="s">
        <v>500</v>
      </c>
      <c r="B1887" s="251" t="s">
        <v>1489</v>
      </c>
      <c r="C1887" s="56">
        <v>45959</v>
      </c>
      <c r="F1887" s="43" t="s">
        <v>1584</v>
      </c>
      <c r="G1887" t="s">
        <v>1498</v>
      </c>
    </row>
    <row r="1888" spans="1:7">
      <c r="A1888" s="88" t="s">
        <v>500</v>
      </c>
      <c r="B1888" s="251" t="s">
        <v>1585</v>
      </c>
      <c r="C1888" s="56">
        <v>45959</v>
      </c>
      <c r="D1888" s="156">
        <v>1147</v>
      </c>
      <c r="F1888" s="43" t="s">
        <v>1586</v>
      </c>
      <c r="G1888" t="s">
        <v>1498</v>
      </c>
    </row>
    <row r="1889" spans="1:7">
      <c r="A1889" s="88" t="s">
        <v>500</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210</v>
      </c>
      <c r="C1892" s="56">
        <v>45959</v>
      </c>
      <c r="D1892" s="156">
        <v>1096</v>
      </c>
      <c r="F1892" s="43" t="s">
        <v>1588</v>
      </c>
      <c r="G1892" t="s">
        <v>1498</v>
      </c>
    </row>
    <row r="1893" spans="1:7">
      <c r="A1893" s="779" t="s">
        <v>384</v>
      </c>
      <c r="B1893" s="677" t="s">
        <v>140</v>
      </c>
      <c r="C1893" s="56">
        <v>45959</v>
      </c>
      <c r="D1893" s="156">
        <v>1087</v>
      </c>
      <c r="F1893" s="43" t="s">
        <v>1589</v>
      </c>
      <c r="G1893" t="s">
        <v>1498</v>
      </c>
    </row>
    <row r="1894" spans="1:7">
      <c r="A1894" s="1041" t="s">
        <v>456</v>
      </c>
      <c r="B1894" s="162" t="s">
        <v>1533</v>
      </c>
      <c r="C1894" s="56">
        <v>45959</v>
      </c>
      <c r="D1894" s="43">
        <v>790</v>
      </c>
      <c r="F1894" s="43" t="s">
        <v>1590</v>
      </c>
      <c r="G1894" t="s">
        <v>1498</v>
      </c>
    </row>
    <row r="1895" spans="1:7">
      <c r="A1895" s="43" t="s">
        <v>455</v>
      </c>
      <c r="B1895" s="677" t="s">
        <v>243</v>
      </c>
      <c r="C1895" s="56">
        <v>45959</v>
      </c>
      <c r="D1895" s="43">
        <v>343</v>
      </c>
      <c r="G1895" t="s">
        <v>1498</v>
      </c>
    </row>
    <row r="1896" spans="1:7">
      <c r="A1896" s="69" t="s">
        <v>453</v>
      </c>
      <c r="B1896" s="43" t="s">
        <v>243</v>
      </c>
      <c r="C1896" s="56">
        <v>45959</v>
      </c>
      <c r="D1896" s="156">
        <v>3179</v>
      </c>
      <c r="G1896" t="s">
        <v>1498</v>
      </c>
    </row>
    <row r="1897" spans="1:7">
      <c r="A1897" s="315" t="s">
        <v>435</v>
      </c>
      <c r="B1897" s="315" t="s">
        <v>884</v>
      </c>
      <c r="C1897" s="56">
        <v>45959</v>
      </c>
      <c r="F1897" s="43" t="s">
        <v>1591</v>
      </c>
      <c r="G1897" t="s">
        <v>1498</v>
      </c>
    </row>
    <row r="1898" spans="1:7">
      <c r="A1898" s="319" t="s">
        <v>438</v>
      </c>
      <c r="B1898" s="319" t="s">
        <v>884</v>
      </c>
      <c r="C1898" s="56">
        <v>45959</v>
      </c>
      <c r="E1898" s="325">
        <v>5475</v>
      </c>
      <c r="F1898" s="43" t="s">
        <v>1592</v>
      </c>
      <c r="G1898" t="s">
        <v>1498</v>
      </c>
    </row>
    <row r="1899" spans="1:7">
      <c r="A1899" s="88" t="s">
        <v>500</v>
      </c>
      <c r="B1899" s="251" t="s">
        <v>1489</v>
      </c>
      <c r="C1899" s="56">
        <v>45960</v>
      </c>
      <c r="F1899" s="324" t="s">
        <v>1593</v>
      </c>
      <c r="G1899" t="s">
        <v>1498</v>
      </c>
    </row>
    <row r="1900" spans="1:7">
      <c r="A1900" s="88" t="s">
        <v>500</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210</v>
      </c>
      <c r="C1903" s="56">
        <v>45960</v>
      </c>
      <c r="F1903" s="142" t="s">
        <v>1597</v>
      </c>
      <c r="G1903" t="s">
        <v>1498</v>
      </c>
    </row>
    <row r="1904" spans="1:7">
      <c r="A1904" s="310" t="s">
        <v>384</v>
      </c>
      <c r="B1904" s="322" t="s">
        <v>140</v>
      </c>
      <c r="C1904" s="56">
        <v>45960</v>
      </c>
      <c r="D1904" s="43">
        <v>777</v>
      </c>
      <c r="F1904" s="43" t="s">
        <v>1598</v>
      </c>
      <c r="G1904" t="s">
        <v>1498</v>
      </c>
    </row>
    <row r="1905" spans="1:7">
      <c r="A1905" s="43" t="s">
        <v>378</v>
      </c>
      <c r="B1905" s="1063" t="s">
        <v>140</v>
      </c>
      <c r="C1905" s="56">
        <v>45960</v>
      </c>
      <c r="D1905" s="43">
        <v>394</v>
      </c>
      <c r="E1905" s="325">
        <v>1275</v>
      </c>
      <c r="F1905" s="43" t="s">
        <v>1599</v>
      </c>
      <c r="G1905" t="s">
        <v>1498</v>
      </c>
    </row>
    <row r="1906" spans="1:7">
      <c r="A1906" s="1064" t="s">
        <v>472</v>
      </c>
      <c r="B1906" s="171" t="s">
        <v>140</v>
      </c>
      <c r="C1906" s="56">
        <v>45960</v>
      </c>
      <c r="D1906" s="43">
        <v>978</v>
      </c>
      <c r="G1906" t="s">
        <v>1498</v>
      </c>
    </row>
    <row r="1907" spans="1:7">
      <c r="A1907" s="171" t="s">
        <v>478</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382</v>
      </c>
      <c r="B1909" s="171" t="s">
        <v>140</v>
      </c>
      <c r="C1909" s="56">
        <v>45960</v>
      </c>
      <c r="D1909" s="140"/>
      <c r="E1909" s="43"/>
      <c r="F1909" s="155" t="s">
        <v>1600</v>
      </c>
      <c r="G1909" t="s">
        <v>1498</v>
      </c>
    </row>
    <row r="1910" spans="1:7">
      <c r="A1910" s="43" t="s">
        <v>455</v>
      </c>
      <c r="B1910" s="322" t="s">
        <v>243</v>
      </c>
      <c r="C1910" s="56">
        <v>45960</v>
      </c>
      <c r="E1910" s="257"/>
      <c r="F1910" s="633" t="s">
        <v>1188</v>
      </c>
      <c r="G1910" t="s">
        <v>1498</v>
      </c>
    </row>
    <row r="1911" spans="1:7">
      <c r="A1911" s="636" t="s">
        <v>456</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435</v>
      </c>
      <c r="B1913" s="171" t="s">
        <v>884</v>
      </c>
      <c r="C1913" s="56">
        <v>45960</v>
      </c>
      <c r="F1913" s="116" t="s">
        <v>1602</v>
      </c>
      <c r="G1913" t="s">
        <v>1498</v>
      </c>
    </row>
    <row r="1914" spans="1:7">
      <c r="A1914" s="88" t="s">
        <v>901</v>
      </c>
      <c r="B1914" s="171" t="s">
        <v>884</v>
      </c>
      <c r="C1914" s="56">
        <v>45961</v>
      </c>
      <c r="F1914" s="968" t="s">
        <v>1603</v>
      </c>
      <c r="G1914" t="s">
        <v>1498</v>
      </c>
    </row>
    <row r="1915" spans="1:7">
      <c r="A1915" s="88" t="s">
        <v>500</v>
      </c>
      <c r="B1915" s="251" t="s">
        <v>1489</v>
      </c>
      <c r="C1915" s="56">
        <v>45961</v>
      </c>
      <c r="F1915" s="324" t="s">
        <v>1174</v>
      </c>
      <c r="G1915" t="s">
        <v>1498</v>
      </c>
    </row>
    <row r="1916" spans="1:7">
      <c r="A1916" s="88" t="s">
        <v>500</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210</v>
      </c>
      <c r="C1919" s="56">
        <v>45961</v>
      </c>
      <c r="E1919" s="325">
        <v>1428</v>
      </c>
      <c r="F1919" s="69"/>
      <c r="G1919" t="s">
        <v>1498</v>
      </c>
    </row>
    <row r="1920" spans="1:7">
      <c r="A1920" s="142" t="s">
        <v>384</v>
      </c>
      <c r="B1920" s="142" t="s">
        <v>140</v>
      </c>
      <c r="C1920" s="56">
        <v>45961</v>
      </c>
      <c r="F1920" s="69" t="s">
        <v>1605</v>
      </c>
      <c r="G1920" t="s">
        <v>1498</v>
      </c>
    </row>
    <row r="1921" spans="1:7">
      <c r="A1921" s="43" t="s">
        <v>384</v>
      </c>
      <c r="B1921" s="409" t="s">
        <v>884</v>
      </c>
      <c r="C1921" s="56">
        <v>45961</v>
      </c>
      <c r="E1921" s="325">
        <v>1862</v>
      </c>
      <c r="F1921" s="636" t="s">
        <v>1321</v>
      </c>
      <c r="G1921" t="s">
        <v>1498</v>
      </c>
    </row>
    <row r="1922" spans="1:7">
      <c r="A1922" s="43" t="s">
        <v>358</v>
      </c>
      <c r="B1922" s="171" t="s">
        <v>884</v>
      </c>
      <c r="C1922" s="56">
        <v>45961</v>
      </c>
      <c r="D1922" s="43">
        <v>60</v>
      </c>
      <c r="G1922" t="s">
        <v>1498</v>
      </c>
    </row>
    <row r="1923" spans="1:7">
      <c r="A1923" s="636" t="s">
        <v>456</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460</v>
      </c>
      <c r="B1925" s="162" t="s">
        <v>1533</v>
      </c>
      <c r="C1925" s="56">
        <v>45961</v>
      </c>
      <c r="D1925" s="43">
        <v>168</v>
      </c>
      <c r="G1925" t="s">
        <v>1498</v>
      </c>
    </row>
    <row r="1926" spans="1:7">
      <c r="A1926" s="124" t="s">
        <v>901</v>
      </c>
      <c r="B1926" s="315" t="s">
        <v>884</v>
      </c>
      <c r="C1926" s="56">
        <v>45964</v>
      </c>
      <c r="F1926" s="320" t="s">
        <v>1603</v>
      </c>
      <c r="G1926" t="s">
        <v>1608</v>
      </c>
    </row>
    <row r="1927" spans="1:7">
      <c r="A1927" s="634" t="s">
        <v>500</v>
      </c>
      <c r="B1927" s="319" t="s">
        <v>1585</v>
      </c>
      <c r="C1927" s="56">
        <v>45964</v>
      </c>
      <c r="F1927" s="324" t="s">
        <v>1258</v>
      </c>
      <c r="G1927" t="s">
        <v>1608</v>
      </c>
    </row>
    <row r="1928" spans="1:7">
      <c r="A1928" s="308" t="s">
        <v>472</v>
      </c>
      <c r="B1928" s="360" t="s">
        <v>140</v>
      </c>
      <c r="C1928" s="56">
        <v>45964</v>
      </c>
      <c r="D1928" s="156">
        <v>1420</v>
      </c>
      <c r="F1928" s="43" t="s">
        <v>1320</v>
      </c>
      <c r="G1928" t="s">
        <v>1608</v>
      </c>
    </row>
    <row r="1929" spans="1:7">
      <c r="A1929" s="357" t="s">
        <v>470</v>
      </c>
      <c r="B1929" s="360" t="s">
        <v>140</v>
      </c>
      <c r="C1929" s="56">
        <v>45964</v>
      </c>
      <c r="D1929" s="43">
        <v>701</v>
      </c>
      <c r="F1929" s="43" t="s">
        <v>1441</v>
      </c>
      <c r="G1929" t="s">
        <v>1608</v>
      </c>
    </row>
    <row r="1930" spans="1:7">
      <c r="A1930" s="142" t="s">
        <v>468</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478</v>
      </c>
      <c r="B1932" s="308" t="s">
        <v>884</v>
      </c>
      <c r="C1932" s="56">
        <v>45964</v>
      </c>
      <c r="D1932" s="43">
        <v>259</v>
      </c>
      <c r="G1932" t="s">
        <v>1608</v>
      </c>
    </row>
    <row r="1933" spans="1:7">
      <c r="A1933" s="142" t="s">
        <v>460</v>
      </c>
      <c r="B1933" s="322" t="s">
        <v>1533</v>
      </c>
      <c r="C1933" s="56">
        <v>45964</v>
      </c>
      <c r="D1933" s="43">
        <v>463</v>
      </c>
      <c r="G1933" t="s">
        <v>1608</v>
      </c>
    </row>
    <row r="1934" spans="1:7">
      <c r="A1934" s="309" t="s">
        <v>453</v>
      </c>
      <c r="B1934" s="308" t="s">
        <v>243</v>
      </c>
      <c r="C1934" s="56">
        <v>45964</v>
      </c>
      <c r="D1934" s="43">
        <v>882</v>
      </c>
      <c r="F1934" s="43" t="s">
        <v>1611</v>
      </c>
      <c r="G1934" t="s">
        <v>1608</v>
      </c>
    </row>
    <row r="1935" spans="1:7">
      <c r="A1935" s="142" t="s">
        <v>435</v>
      </c>
      <c r="B1935" s="360" t="s">
        <v>884</v>
      </c>
      <c r="C1935" s="56">
        <v>45964</v>
      </c>
      <c r="F1935" s="43" t="s">
        <v>1344</v>
      </c>
      <c r="G1935" t="s">
        <v>1608</v>
      </c>
    </row>
    <row r="1936" spans="1:7">
      <c r="A1936" s="142" t="s">
        <v>435</v>
      </c>
      <c r="B1936" s="360" t="s">
        <v>1612</v>
      </c>
      <c r="C1936" s="56">
        <v>45964</v>
      </c>
      <c r="E1936" s="325">
        <v>3846</v>
      </c>
      <c r="F1936" s="43" t="s">
        <v>1613</v>
      </c>
      <c r="G1936" t="s">
        <v>1608</v>
      </c>
    </row>
    <row r="1937" spans="1:7">
      <c r="A1937" s="142" t="s">
        <v>435</v>
      </c>
      <c r="B1937" s="360" t="s">
        <v>436</v>
      </c>
      <c r="C1937" s="56">
        <v>45964</v>
      </c>
      <c r="F1937" s="966" t="s">
        <v>1614</v>
      </c>
      <c r="G1937" t="s">
        <v>1608</v>
      </c>
    </row>
    <row r="1938" spans="1:7">
      <c r="A1938" s="142" t="s">
        <v>462</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500</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468</v>
      </c>
      <c r="B1945" s="43" t="s">
        <v>140</v>
      </c>
      <c r="C1945" s="56">
        <v>45965</v>
      </c>
      <c r="D1945" s="156">
        <v>1120</v>
      </c>
      <c r="F1945" s="43" t="s">
        <v>1616</v>
      </c>
      <c r="G1945" t="s">
        <v>1608</v>
      </c>
    </row>
    <row r="1946" spans="1:7">
      <c r="A1946" s="142" t="s">
        <v>472</v>
      </c>
      <c r="B1946" s="142" t="s">
        <v>140</v>
      </c>
      <c r="C1946" s="56">
        <v>45965</v>
      </c>
      <c r="D1946" s="43">
        <v>990</v>
      </c>
      <c r="F1946" s="43" t="s">
        <v>1013</v>
      </c>
      <c r="G1946" t="s">
        <v>1608</v>
      </c>
    </row>
    <row r="1947" spans="1:7">
      <c r="A1947" s="43" t="s">
        <v>478</v>
      </c>
      <c r="B1947" s="43" t="s">
        <v>1617</v>
      </c>
      <c r="C1947" s="56">
        <v>45965</v>
      </c>
      <c r="D1947" s="43">
        <v>817</v>
      </c>
      <c r="G1947" t="s">
        <v>1608</v>
      </c>
    </row>
    <row r="1948" spans="1:7">
      <c r="A1948" s="43" t="s">
        <v>478</v>
      </c>
      <c r="B1948" s="43" t="s">
        <v>884</v>
      </c>
      <c r="C1948" s="56">
        <v>45965</v>
      </c>
      <c r="D1948" s="43">
        <v>270</v>
      </c>
      <c r="G1948" t="s">
        <v>1608</v>
      </c>
    </row>
    <row r="1949" spans="1:7">
      <c r="A1949" s="636" t="s">
        <v>460</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453</v>
      </c>
      <c r="B1951" s="43" t="s">
        <v>243</v>
      </c>
      <c r="C1951" s="56">
        <v>45965</v>
      </c>
      <c r="D1951" s="156">
        <v>1072</v>
      </c>
      <c r="F1951" s="43" t="s">
        <v>1619</v>
      </c>
      <c r="G1951" t="s">
        <v>1608</v>
      </c>
    </row>
    <row r="1952" spans="1:7">
      <c r="A1952" s="1074" t="s">
        <v>458</v>
      </c>
      <c r="B1952" s="779" t="s">
        <v>1533</v>
      </c>
      <c r="C1952" s="56">
        <v>45965</v>
      </c>
      <c r="F1952" s="966" t="s">
        <v>1032</v>
      </c>
      <c r="G1952" t="s">
        <v>1608</v>
      </c>
    </row>
    <row r="1953" spans="1:7">
      <c r="A1953" s="382" t="s">
        <v>360</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468</v>
      </c>
      <c r="B1958" s="142" t="s">
        <v>140</v>
      </c>
      <c r="C1958" s="56">
        <v>45966</v>
      </c>
      <c r="D1958" s="156">
        <v>1488</v>
      </c>
      <c r="F1958" s="43" t="s">
        <v>1621</v>
      </c>
      <c r="G1958" t="s">
        <v>1608</v>
      </c>
    </row>
    <row r="1959" spans="1:7">
      <c r="A1959" s="308" t="s">
        <v>472</v>
      </c>
      <c r="B1959" s="308" t="s">
        <v>140</v>
      </c>
      <c r="C1959" s="56">
        <v>45966</v>
      </c>
      <c r="D1959" s="43">
        <v>549</v>
      </c>
      <c r="F1959" s="43" t="s">
        <v>1035</v>
      </c>
      <c r="G1959" t="s">
        <v>1608</v>
      </c>
    </row>
    <row r="1960" spans="1:7">
      <c r="A1960" s="308" t="s">
        <v>478</v>
      </c>
      <c r="B1960" s="308" t="s">
        <v>1617</v>
      </c>
      <c r="C1960" s="56">
        <v>45966</v>
      </c>
      <c r="D1960" s="156">
        <v>1377</v>
      </c>
      <c r="G1960" t="s">
        <v>1608</v>
      </c>
    </row>
    <row r="1961" spans="1:7">
      <c r="A1961" s="308" t="s">
        <v>478</v>
      </c>
      <c r="B1961" s="308" t="s">
        <v>884</v>
      </c>
      <c r="C1961" s="56">
        <v>45966</v>
      </c>
      <c r="D1961" s="43">
        <v>829</v>
      </c>
      <c r="G1961" t="s">
        <v>1608</v>
      </c>
    </row>
    <row r="1962" spans="1:7">
      <c r="A1962" s="308" t="s">
        <v>481</v>
      </c>
      <c r="B1962" s="308" t="s">
        <v>140</v>
      </c>
      <c r="C1962" s="56">
        <v>45966</v>
      </c>
      <c r="D1962" s="156">
        <v>1031</v>
      </c>
      <c r="G1962" t="s">
        <v>1608</v>
      </c>
    </row>
    <row r="1963" spans="1:7">
      <c r="A1963" s="142" t="s">
        <v>460</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453</v>
      </c>
      <c r="B1965" s="308" t="s">
        <v>243</v>
      </c>
      <c r="C1965" s="56">
        <v>45966</v>
      </c>
      <c r="D1965" s="156">
        <v>1034</v>
      </c>
      <c r="G1965" t="s">
        <v>1608</v>
      </c>
    </row>
    <row r="1966" spans="1:7">
      <c r="A1966" s="315" t="s">
        <v>440</v>
      </c>
      <c r="B1966" s="1075" t="s">
        <v>1313</v>
      </c>
      <c r="C1966" s="56">
        <v>45966</v>
      </c>
      <c r="D1966" s="43">
        <v>150</v>
      </c>
      <c r="G1966" t="s">
        <v>1608</v>
      </c>
    </row>
    <row r="1967" spans="1:7">
      <c r="A1967" s="251" t="s">
        <v>435</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468</v>
      </c>
      <c r="B1973" s="43" t="s">
        <v>140</v>
      </c>
      <c r="C1973" s="56">
        <v>45967</v>
      </c>
      <c r="D1973" s="43">
        <v>954</v>
      </c>
      <c r="F1973" s="43" t="s">
        <v>1626</v>
      </c>
      <c r="G1973" t="s">
        <v>1608</v>
      </c>
    </row>
    <row r="1974" spans="1:7">
      <c r="A1974" s="43" t="s">
        <v>478</v>
      </c>
      <c r="B1974" s="43" t="s">
        <v>1617</v>
      </c>
      <c r="C1974" s="56">
        <v>45967</v>
      </c>
      <c r="D1974" s="43">
        <v>183</v>
      </c>
      <c r="G1974" t="s">
        <v>1608</v>
      </c>
    </row>
    <row r="1975" spans="1:7">
      <c r="A1975" s="43" t="s">
        <v>478</v>
      </c>
      <c r="B1975" s="43" t="s">
        <v>884</v>
      </c>
      <c r="C1975" s="56">
        <v>45967</v>
      </c>
      <c r="D1975" s="43">
        <v>270</v>
      </c>
      <c r="G1975" t="s">
        <v>1608</v>
      </c>
    </row>
    <row r="1976" spans="1:7">
      <c r="A1976" s="636" t="s">
        <v>460</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453</v>
      </c>
      <c r="B1978" s="43" t="s">
        <v>243</v>
      </c>
      <c r="C1978" s="56">
        <v>45967</v>
      </c>
      <c r="D1978" s="43">
        <v>209</v>
      </c>
      <c r="G1978" t="s">
        <v>1608</v>
      </c>
    </row>
    <row r="1979" spans="1:7">
      <c r="A1979" s="636" t="s">
        <v>459</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498</v>
      </c>
      <c r="B1983" s="357" t="s">
        <v>1560</v>
      </c>
      <c r="C1983" s="56">
        <v>45968</v>
      </c>
      <c r="D1983" s="43">
        <v>451</v>
      </c>
      <c r="G1983" t="s">
        <v>1608</v>
      </c>
    </row>
    <row r="1984" spans="1:7">
      <c r="A1984" s="308" t="s">
        <v>478</v>
      </c>
      <c r="B1984" s="142" t="s">
        <v>1617</v>
      </c>
      <c r="C1984" s="56">
        <v>45968</v>
      </c>
      <c r="G1984" t="s">
        <v>1608</v>
      </c>
    </row>
    <row r="1985" spans="1:7">
      <c r="A1985" s="142" t="s">
        <v>459</v>
      </c>
      <c r="B1985" s="308" t="s">
        <v>884</v>
      </c>
      <c r="C1985" s="56">
        <v>45968</v>
      </c>
      <c r="D1985" s="43">
        <v>350</v>
      </c>
      <c r="G1985" t="s">
        <v>1608</v>
      </c>
    </row>
    <row r="1986" spans="1:7">
      <c r="A1986" s="142" t="s">
        <v>459</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456</v>
      </c>
      <c r="B1988" s="779" t="s">
        <v>1533</v>
      </c>
      <c r="C1988" s="56">
        <v>45968</v>
      </c>
      <c r="F1988" s="315" t="s">
        <v>1258</v>
      </c>
      <c r="G1988" t="s">
        <v>1608</v>
      </c>
    </row>
    <row r="1989" spans="1:7">
      <c r="A1989" s="251" t="s">
        <v>451</v>
      </c>
      <c r="B1989" s="43" t="s">
        <v>243</v>
      </c>
      <c r="C1989" s="56">
        <v>45968</v>
      </c>
      <c r="D1989" s="43">
        <v>569</v>
      </c>
      <c r="G1989" t="s">
        <v>1608</v>
      </c>
    </row>
    <row r="1990" spans="1:7">
      <c r="A1990" s="251" t="s">
        <v>325</v>
      </c>
      <c r="B1990" s="43" t="s">
        <v>140</v>
      </c>
      <c r="C1990" s="56">
        <v>45968</v>
      </c>
      <c r="D1990" s="156">
        <v>2948</v>
      </c>
      <c r="G1990" t="s">
        <v>1608</v>
      </c>
    </row>
    <row r="1991" spans="1:7">
      <c r="A1991" s="999" t="s">
        <v>500</v>
      </c>
      <c r="B1991" s="357" t="s">
        <v>1560</v>
      </c>
      <c r="C1991" s="56">
        <v>45971</v>
      </c>
      <c r="D1991" s="156">
        <v>560</v>
      </c>
      <c r="G1991" t="s">
        <v>1608</v>
      </c>
    </row>
    <row r="1992" spans="1:7">
      <c r="A1992" s="315" t="s">
        <v>478</v>
      </c>
      <c r="B1992" s="315" t="s">
        <v>884</v>
      </c>
      <c r="C1992" s="56">
        <v>45971</v>
      </c>
      <c r="D1992" s="43">
        <v>558</v>
      </c>
      <c r="G1992" t="s">
        <v>1608</v>
      </c>
    </row>
    <row r="1993" spans="1:7">
      <c r="A1993" s="315" t="s">
        <v>478</v>
      </c>
      <c r="B1993" s="315" t="s">
        <v>210</v>
      </c>
      <c r="C1993" s="56">
        <v>45971</v>
      </c>
      <c r="F1993" s="43" t="s">
        <v>1323</v>
      </c>
      <c r="G1993" t="s">
        <v>1608</v>
      </c>
    </row>
    <row r="1994" spans="1:7">
      <c r="A1994" s="319" t="s">
        <v>481</v>
      </c>
      <c r="B1994" s="319" t="s">
        <v>140</v>
      </c>
      <c r="C1994" s="56">
        <v>45971</v>
      </c>
      <c r="D1994" s="156">
        <v>1351</v>
      </c>
      <c r="G1994" t="s">
        <v>1608</v>
      </c>
    </row>
    <row r="1995" spans="1:7">
      <c r="A1995" s="319" t="s">
        <v>470</v>
      </c>
      <c r="B1995" s="319" t="s">
        <v>140</v>
      </c>
      <c r="C1995" s="56">
        <v>45971</v>
      </c>
      <c r="D1995" s="43">
        <v>138</v>
      </c>
      <c r="F1995" s="43" t="s">
        <v>1630</v>
      </c>
      <c r="G1995" t="s">
        <v>1608</v>
      </c>
    </row>
    <row r="1996" spans="1:7">
      <c r="A1996" s="319" t="s">
        <v>472</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453</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472</v>
      </c>
      <c r="B2002" s="310" t="s">
        <v>1313</v>
      </c>
      <c r="C2002" s="56">
        <v>45972</v>
      </c>
      <c r="E2002" s="325">
        <v>5569</v>
      </c>
      <c r="F2002" s="43" t="s">
        <v>1633</v>
      </c>
      <c r="G2002" t="s">
        <v>1608</v>
      </c>
    </row>
    <row r="2003" spans="1:7">
      <c r="A2003" s="308" t="s">
        <v>940</v>
      </c>
      <c r="B2003" s="315" t="s">
        <v>213</v>
      </c>
      <c r="C2003" s="56">
        <v>45972</v>
      </c>
      <c r="D2003" s="156">
        <v>1062</v>
      </c>
      <c r="F2003" s="43" t="s">
        <v>1634</v>
      </c>
      <c r="G2003" t="s">
        <v>1608</v>
      </c>
    </row>
    <row r="2004" spans="1:7">
      <c r="A2004" s="142" t="s">
        <v>458</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478</v>
      </c>
      <c r="B2007" s="43" t="s">
        <v>1313</v>
      </c>
      <c r="C2007" s="56">
        <v>45973</v>
      </c>
      <c r="F2007" s="315" t="s">
        <v>1320</v>
      </c>
      <c r="G2007" t="s">
        <v>1608</v>
      </c>
    </row>
    <row r="2008" spans="1:7">
      <c r="A2008" s="43" t="s">
        <v>143</v>
      </c>
      <c r="B2008" s="43" t="s">
        <v>140</v>
      </c>
      <c r="C2008" s="56">
        <v>45973</v>
      </c>
      <c r="D2008" s="156">
        <v>1870</v>
      </c>
      <c r="F2008" s="43" t="s">
        <v>1453</v>
      </c>
      <c r="G2008" t="s">
        <v>1608</v>
      </c>
    </row>
    <row r="2009" spans="1:7">
      <c r="A2009" s="43" t="s">
        <v>481</v>
      </c>
      <c r="B2009" s="116" t="s">
        <v>140</v>
      </c>
      <c r="C2009" s="56">
        <v>45973</v>
      </c>
      <c r="D2009" s="43">
        <v>890</v>
      </c>
      <c r="G2009" t="s">
        <v>1608</v>
      </c>
    </row>
    <row r="2010" spans="1:7">
      <c r="A2010" s="43" t="s">
        <v>481</v>
      </c>
      <c r="B2010" s="116" t="s">
        <v>210</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220</v>
      </c>
      <c r="B2013" s="43" t="s">
        <v>1313</v>
      </c>
      <c r="C2013" s="56">
        <v>45973</v>
      </c>
      <c r="D2013" s="43">
        <v>711</v>
      </c>
      <c r="F2013" s="43" t="s">
        <v>1001</v>
      </c>
      <c r="G2013" t="s">
        <v>1608</v>
      </c>
    </row>
    <row r="2014" spans="1:7">
      <c r="A2014" s="149" t="s">
        <v>456</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478</v>
      </c>
      <c r="B2020" s="43" t="s">
        <v>1313</v>
      </c>
      <c r="C2020" s="56">
        <v>45974</v>
      </c>
      <c r="F2020" s="43" t="s">
        <v>1381</v>
      </c>
      <c r="G2020" t="s">
        <v>1608</v>
      </c>
    </row>
    <row r="2021" spans="1:7">
      <c r="A2021" s="43" t="s">
        <v>143</v>
      </c>
      <c r="B2021" s="43" t="s">
        <v>140</v>
      </c>
      <c r="C2021" s="56">
        <v>45974</v>
      </c>
      <c r="D2021" s="43">
        <v>988</v>
      </c>
      <c r="F2021" s="43" t="s">
        <v>1641</v>
      </c>
      <c r="G2021" t="s">
        <v>1608</v>
      </c>
    </row>
    <row r="2022" spans="1:7">
      <c r="A2022" s="43" t="s">
        <v>139</v>
      </c>
      <c r="B2022" s="43" t="s">
        <v>140</v>
      </c>
      <c r="C2022" s="56">
        <v>45974</v>
      </c>
      <c r="D2022" s="43">
        <v>814</v>
      </c>
      <c r="F2022" s="43" t="s">
        <v>1642</v>
      </c>
      <c r="G2022" t="s">
        <v>1608</v>
      </c>
    </row>
    <row r="2023" spans="1:7">
      <c r="A2023" s="636" t="s">
        <v>220</v>
      </c>
      <c r="B2023" s="43" t="s">
        <v>1313</v>
      </c>
      <c r="C2023" s="56">
        <v>45974</v>
      </c>
      <c r="D2023" s="43">
        <v>325</v>
      </c>
      <c r="G2023" t="s">
        <v>1608</v>
      </c>
    </row>
    <row r="2024" spans="1:7">
      <c r="A2024" s="43" t="s">
        <v>220</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432</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478</v>
      </c>
      <c r="B2033" s="142" t="s">
        <v>1313</v>
      </c>
      <c r="C2033" s="56">
        <v>45975</v>
      </c>
      <c r="E2033" s="1087">
        <v>5647</v>
      </c>
      <c r="F2033" s="310" t="s">
        <v>1644</v>
      </c>
      <c r="G2033" t="s">
        <v>1608</v>
      </c>
    </row>
    <row r="2034" spans="1:7">
      <c r="A2034" s="308" t="s">
        <v>470</v>
      </c>
      <c r="B2034" s="308" t="s">
        <v>1313</v>
      </c>
      <c r="C2034" s="56">
        <v>45975</v>
      </c>
      <c r="D2034" s="140"/>
      <c r="E2034" s="43">
        <v>565</v>
      </c>
      <c r="F2034" s="142"/>
      <c r="G2034" t="s">
        <v>1608</v>
      </c>
    </row>
    <row r="2035" spans="1:7">
      <c r="A2035" s="308" t="s">
        <v>942</v>
      </c>
      <c r="B2035" s="308" t="s">
        <v>213</v>
      </c>
      <c r="C2035" s="56">
        <v>45975</v>
      </c>
      <c r="D2035" s="43">
        <v>500</v>
      </c>
      <c r="E2035" s="257"/>
      <c r="F2035" s="171" t="s">
        <v>1645</v>
      </c>
      <c r="G2035" t="s">
        <v>1608</v>
      </c>
    </row>
    <row r="2036" spans="1:7">
      <c r="A2036" s="142" t="s">
        <v>220</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159" t="s">
        <v>478</v>
      </c>
      <c r="B2042" s="1159" t="s">
        <v>1313</v>
      </c>
      <c r="C2042" s="56">
        <v>45978</v>
      </c>
      <c r="G2042" t="s">
        <v>1608</v>
      </c>
    </row>
    <row r="2043" spans="1:7">
      <c r="A2043" s="1160" t="s">
        <v>943</v>
      </c>
      <c r="B2043" s="1160" t="s">
        <v>210</v>
      </c>
      <c r="C2043" s="56">
        <v>45978</v>
      </c>
      <c r="G2043" t="s">
        <v>1608</v>
      </c>
    </row>
    <row r="2044" spans="1:7">
      <c r="A2044" s="1160" t="s">
        <v>157</v>
      </c>
      <c r="B2044" s="1160" t="s">
        <v>140</v>
      </c>
      <c r="C2044" s="56">
        <v>45978</v>
      </c>
      <c r="G2044" t="s">
        <v>1608</v>
      </c>
    </row>
    <row r="2045" spans="1:7">
      <c r="A2045" s="1160" t="s">
        <v>942</v>
      </c>
      <c r="B2045" s="1160" t="s">
        <v>213</v>
      </c>
      <c r="C2045" s="56">
        <v>45978</v>
      </c>
      <c r="G2045" t="s">
        <v>1608</v>
      </c>
    </row>
    <row r="2046" spans="1:7">
      <c r="A2046" s="1161" t="s">
        <v>153</v>
      </c>
      <c r="B2046" s="1160" t="s">
        <v>140</v>
      </c>
      <c r="C2046" s="56">
        <v>45978</v>
      </c>
      <c r="G2046" t="s">
        <v>1608</v>
      </c>
    </row>
    <row r="2047" spans="1:7">
      <c r="A2047" s="1159" t="s">
        <v>481</v>
      </c>
      <c r="B2047" s="1160" t="s">
        <v>140</v>
      </c>
      <c r="C2047" s="56">
        <v>45978</v>
      </c>
      <c r="G2047" t="s">
        <v>1608</v>
      </c>
    </row>
    <row r="2048" spans="1:7">
      <c r="A2048" s="1160" t="s">
        <v>139</v>
      </c>
      <c r="B2048" s="1160" t="s">
        <v>140</v>
      </c>
      <c r="C2048" s="56">
        <v>45978</v>
      </c>
      <c r="G2048" t="s">
        <v>1608</v>
      </c>
    </row>
    <row r="2049" spans="1:7">
      <c r="A2049" s="1162" t="s">
        <v>274</v>
      </c>
      <c r="B2049" s="1164" t="s">
        <v>884</v>
      </c>
      <c r="C2049" s="56">
        <v>45978</v>
      </c>
      <c r="G2049" t="s">
        <v>1608</v>
      </c>
    </row>
    <row r="2050" spans="1:7">
      <c r="A2050" s="1162" t="s">
        <v>274</v>
      </c>
      <c r="B2050" s="1165" t="s">
        <v>884</v>
      </c>
      <c r="C2050" s="56">
        <v>45978</v>
      </c>
      <c r="G2050" t="s">
        <v>1608</v>
      </c>
    </row>
    <row r="2051" spans="1:7">
      <c r="A2051" s="1159" t="s">
        <v>274</v>
      </c>
      <c r="B2051" s="1160" t="s">
        <v>1313</v>
      </c>
      <c r="C2051" s="56">
        <v>45978</v>
      </c>
      <c r="G2051" t="s">
        <v>1608</v>
      </c>
    </row>
    <row r="2052" spans="1:7">
      <c r="A2052" s="1163" t="s">
        <v>238</v>
      </c>
      <c r="B2052" s="1160" t="s">
        <v>239</v>
      </c>
      <c r="C2052" s="56">
        <v>45978</v>
      </c>
      <c r="G2052" t="s">
        <v>1608</v>
      </c>
    </row>
    <row r="2053" spans="1:7">
      <c r="A2053" s="1159" t="s">
        <v>242</v>
      </c>
      <c r="B2053" s="1166" t="s">
        <v>243</v>
      </c>
      <c r="C2053" s="56">
        <v>45978</v>
      </c>
      <c r="G2053" t="s">
        <v>1608</v>
      </c>
    </row>
    <row r="2054" spans="1:7">
      <c r="A2054" s="1160" t="s">
        <v>292</v>
      </c>
      <c r="B2054" s="1160" t="s">
        <v>1533</v>
      </c>
      <c r="C2054" s="56">
        <v>45978</v>
      </c>
      <c r="G2054" t="s">
        <v>1608</v>
      </c>
    </row>
    <row r="2055" spans="1:7">
      <c r="A2055" s="1159" t="s">
        <v>329</v>
      </c>
      <c r="B2055" s="1159" t="s">
        <v>140</v>
      </c>
      <c r="C2055" s="56">
        <v>45978</v>
      </c>
      <c r="G2055" t="s">
        <v>1608</v>
      </c>
    </row>
    <row r="2056" spans="1:7">
      <c r="A2056" s="1160" t="s">
        <v>320</v>
      </c>
      <c r="B2056" s="1160" t="s">
        <v>140</v>
      </c>
      <c r="C2056" s="56">
        <v>45978</v>
      </c>
      <c r="G2056" t="s">
        <v>1608</v>
      </c>
    </row>
    <row r="2057" spans="1:7">
      <c r="A2057" s="1160" t="s">
        <v>331</v>
      </c>
      <c r="B2057" s="1160" t="s">
        <v>140</v>
      </c>
      <c r="C2057" s="56">
        <v>45978</v>
      </c>
      <c r="G2057"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1646</v>
      </c>
      <c r="Q1" s="160" t="s">
        <v>1647</v>
      </c>
      <c r="R1" s="128" t="s">
        <v>1648</v>
      </c>
      <c r="S1" s="128" t="s">
        <v>1649</v>
      </c>
      <c r="T1" s="160" t="s">
        <v>1650</v>
      </c>
      <c r="U1" s="128" t="s">
        <v>1018</v>
      </c>
      <c r="V1" s="161" t="s">
        <v>1651</v>
      </c>
      <c r="W1" s="161" t="s">
        <v>1652</v>
      </c>
      <c r="X1" s="164" t="s">
        <v>1653</v>
      </c>
      <c r="Y1" s="262" t="e" cm="1">
        <f t="array" ref="Y1">VLOOKUP(#REF!,#REF!, FALSE)</f>
        <v>#REF!</v>
      </c>
    </row>
    <row r="2" spans="1:25">
      <c r="A2" s="181" t="s">
        <v>438</v>
      </c>
      <c r="B2" s="183" t="s">
        <v>217</v>
      </c>
      <c r="C2" s="180">
        <v>45991</v>
      </c>
      <c r="D2" s="642" t="s">
        <v>439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346</v>
      </c>
      <c r="B3" s="548" t="s">
        <v>217</v>
      </c>
      <c r="C3" s="711">
        <v>45742</v>
      </c>
      <c r="D3" s="712" t="s">
        <v>348</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224</v>
      </c>
      <c r="B4" s="421" t="s">
        <v>217</v>
      </c>
      <c r="C4" s="422">
        <v>45742</v>
      </c>
      <c r="D4" s="718" t="s">
        <v>226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352</v>
      </c>
      <c r="B5" s="421" t="s">
        <v>217</v>
      </c>
      <c r="C5" s="414">
        <v>45991</v>
      </c>
      <c r="D5" s="553" t="s">
        <v>354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217</v>
      </c>
      <c r="C6" s="422">
        <v>45747</v>
      </c>
      <c r="D6" s="715" t="s">
        <v>507</v>
      </c>
      <c r="E6" s="193"/>
      <c r="F6" s="138"/>
      <c r="G6" s="138"/>
      <c r="H6" s="188">
        <v>56</v>
      </c>
      <c r="I6" s="184"/>
      <c r="J6" s="191" t="s">
        <v>57</v>
      </c>
      <c r="K6" s="191" t="s">
        <v>57</v>
      </c>
      <c r="L6" s="188" t="s">
        <v>63</v>
      </c>
      <c r="M6" s="198">
        <v>45701</v>
      </c>
      <c r="N6" s="30" t="s">
        <v>350</v>
      </c>
      <c r="O6" s="367">
        <v>45718</v>
      </c>
      <c r="P6" s="30" t="s">
        <v>350</v>
      </c>
      <c r="Q6" s="345" t="s">
        <v>350</v>
      </c>
      <c r="R6" s="43" t="s">
        <v>1654</v>
      </c>
      <c r="S6" s="43" t="s">
        <v>350</v>
      </c>
      <c r="T6" s="43" t="s">
        <v>350</v>
      </c>
      <c r="U6" s="158" t="s">
        <v>350</v>
      </c>
      <c r="V6" s="69" t="s">
        <v>94</v>
      </c>
      <c r="W6" s="79"/>
      <c r="X6" s="69" t="s">
        <v>94</v>
      </c>
      <c r="Y6" t="e">
        <f>VLOOKUP(A6,#REF!,2,FALSE)</f>
        <v>#REF!</v>
      </c>
    </row>
    <row r="7" spans="1:25">
      <c r="A7" s="396" t="s">
        <v>852</v>
      </c>
      <c r="B7" s="708" t="s">
        <v>217</v>
      </c>
      <c r="C7" s="397">
        <v>45742</v>
      </c>
      <c r="D7" s="425" t="s">
        <v>445</v>
      </c>
      <c r="E7" s="540"/>
      <c r="F7" s="541"/>
      <c r="G7" s="541"/>
      <c r="H7" s="182">
        <v>60</v>
      </c>
      <c r="I7" s="184"/>
      <c r="J7" s="188" t="s">
        <v>57</v>
      </c>
      <c r="K7" s="188" t="s">
        <v>57</v>
      </c>
      <c r="L7" s="188" t="s">
        <v>63</v>
      </c>
      <c r="M7" s="196">
        <v>45716</v>
      </c>
      <c r="N7" s="30" t="s">
        <v>350</v>
      </c>
      <c r="O7" s="79" t="s">
        <v>350</v>
      </c>
      <c r="P7" s="30" t="s">
        <v>350</v>
      </c>
      <c r="Q7" s="345" t="s">
        <v>350</v>
      </c>
      <c r="R7" s="43" t="s">
        <v>1654</v>
      </c>
      <c r="S7" s="43" t="s">
        <v>350</v>
      </c>
      <c r="T7" s="43" t="s">
        <v>350</v>
      </c>
      <c r="U7" s="43" t="s">
        <v>350</v>
      </c>
      <c r="V7" s="69" t="s">
        <v>94</v>
      </c>
      <c r="W7" s="30"/>
      <c r="X7" s="69" t="s">
        <v>94</v>
      </c>
      <c r="Y7" t="e">
        <f>VLOOKUP(A7,#REF!,2,FALSE)</f>
        <v>#REF!</v>
      </c>
    </row>
    <row r="8" spans="1:25">
      <c r="A8" s="178" t="s">
        <v>356</v>
      </c>
      <c r="B8" s="183" t="s">
        <v>217</v>
      </c>
      <c r="C8" s="179">
        <v>45742</v>
      </c>
      <c r="D8" s="188" t="s">
        <v>1655</v>
      </c>
      <c r="E8" s="121"/>
      <c r="F8" s="109"/>
      <c r="G8" s="109"/>
      <c r="H8" s="182">
        <v>84</v>
      </c>
      <c r="I8" s="184"/>
      <c r="J8" s="188" t="s">
        <v>57</v>
      </c>
      <c r="K8" s="188" t="s">
        <v>57</v>
      </c>
      <c r="L8" s="188" t="s">
        <v>63</v>
      </c>
      <c r="M8" s="196">
        <v>45716</v>
      </c>
      <c r="N8" s="30" t="s">
        <v>350</v>
      </c>
      <c r="O8" s="30" t="s">
        <v>350</v>
      </c>
      <c r="P8" s="733" t="s">
        <v>350</v>
      </c>
      <c r="Q8" s="69" t="s">
        <v>350</v>
      </c>
      <c r="R8" s="43" t="s">
        <v>1654</v>
      </c>
      <c r="S8" s="43" t="s">
        <v>350</v>
      </c>
      <c r="T8" s="43" t="s">
        <v>350</v>
      </c>
      <c r="U8" s="43" t="s">
        <v>350</v>
      </c>
      <c r="V8" s="69" t="s">
        <v>94</v>
      </c>
      <c r="W8" s="30"/>
      <c r="X8" s="69" t="s">
        <v>94</v>
      </c>
      <c r="Y8" t="e">
        <f>VLOOKUP(A8,#REF!,2,FALSE)</f>
        <v>#REF!</v>
      </c>
    </row>
    <row r="9" spans="1:25">
      <c r="A9" s="178" t="s">
        <v>854</v>
      </c>
      <c r="B9" s="183" t="s">
        <v>217</v>
      </c>
      <c r="C9" s="179">
        <v>45742</v>
      </c>
      <c r="D9" s="537" t="s">
        <v>357</v>
      </c>
      <c r="E9" s="194"/>
      <c r="F9" s="139"/>
      <c r="G9" s="139"/>
      <c r="H9" s="188">
        <v>79</v>
      </c>
      <c r="I9" s="184"/>
      <c r="J9" s="188" t="s">
        <v>57</v>
      </c>
      <c r="K9" s="188" t="s">
        <v>57</v>
      </c>
      <c r="L9" s="188" t="s">
        <v>63</v>
      </c>
      <c r="M9" s="196">
        <v>45716</v>
      </c>
      <c r="N9" s="120" t="s">
        <v>350</v>
      </c>
      <c r="O9" s="54">
        <v>45718</v>
      </c>
      <c r="P9" s="120" t="s">
        <v>350</v>
      </c>
      <c r="Q9" s="69" t="s">
        <v>350</v>
      </c>
      <c r="R9" s="43" t="s">
        <v>1654</v>
      </c>
      <c r="S9" s="43" t="s">
        <v>350</v>
      </c>
      <c r="T9" s="43" t="s">
        <v>350</v>
      </c>
      <c r="U9" s="43" t="s">
        <v>350</v>
      </c>
      <c r="V9" s="69" t="s">
        <v>94</v>
      </c>
      <c r="W9" s="30"/>
      <c r="X9" s="69" t="s">
        <v>94</v>
      </c>
      <c r="Y9" t="e">
        <f>VLOOKUP(A9,#REF!,2,FALSE)</f>
        <v>#REF!</v>
      </c>
    </row>
    <row r="10" spans="1:25">
      <c r="A10" s="178" t="s">
        <v>856</v>
      </c>
      <c r="B10" s="183" t="s">
        <v>217</v>
      </c>
      <c r="C10" s="318">
        <v>45742</v>
      </c>
      <c r="D10" s="424" t="s">
        <v>855</v>
      </c>
      <c r="E10" s="194"/>
      <c r="F10" s="139"/>
      <c r="G10" s="139"/>
      <c r="H10" s="188">
        <v>83</v>
      </c>
      <c r="I10" s="184"/>
      <c r="J10" s="188" t="s">
        <v>57</v>
      </c>
      <c r="K10" s="188" t="s">
        <v>57</v>
      </c>
      <c r="L10" s="188" t="s">
        <v>63</v>
      </c>
      <c r="M10" s="196">
        <v>45716</v>
      </c>
      <c r="N10" s="30" t="s">
        <v>350</v>
      </c>
      <c r="O10" s="30" t="s">
        <v>350</v>
      </c>
      <c r="P10" s="30" t="s">
        <v>350</v>
      </c>
      <c r="Q10" s="43" t="s">
        <v>350</v>
      </c>
      <c r="R10" s="43" t="s">
        <v>1654</v>
      </c>
      <c r="S10" s="43" t="s">
        <v>350</v>
      </c>
      <c r="T10" s="43" t="s">
        <v>350</v>
      </c>
      <c r="U10" s="162" t="s">
        <v>350</v>
      </c>
      <c r="V10" s="345" t="s">
        <v>94</v>
      </c>
      <c r="W10" s="30"/>
      <c r="X10" s="69" t="s">
        <v>94</v>
      </c>
      <c r="Y10" t="e">
        <f>VLOOKUP(A10,#REF!,2,FALSE)</f>
        <v>#REF!</v>
      </c>
    </row>
    <row r="11" spans="1:25">
      <c r="A11" s="184" t="s">
        <v>443</v>
      </c>
      <c r="B11" s="436" t="s">
        <v>217</v>
      </c>
      <c r="C11" s="179">
        <v>45991</v>
      </c>
      <c r="D11" s="552" t="s">
        <v>445</v>
      </c>
      <c r="E11" s="121">
        <v>31</v>
      </c>
      <c r="F11" s="109"/>
      <c r="G11" s="109"/>
      <c r="H11" s="188">
        <v>31</v>
      </c>
      <c r="I11" s="184"/>
      <c r="J11" s="188" t="s">
        <v>57</v>
      </c>
      <c r="K11" s="188" t="s">
        <v>57</v>
      </c>
      <c r="L11" s="188" t="s">
        <v>63</v>
      </c>
      <c r="M11" s="198">
        <v>45716</v>
      </c>
      <c r="N11" s="30" t="s">
        <v>64</v>
      </c>
      <c r="O11" s="54">
        <v>45716</v>
      </c>
      <c r="P11" s="87" t="s">
        <v>350</v>
      </c>
      <c r="Q11" s="69" t="s">
        <v>350</v>
      </c>
      <c r="R11" s="43" t="s">
        <v>1654</v>
      </c>
      <c r="S11" s="43" t="s">
        <v>350</v>
      </c>
      <c r="T11" s="43" t="s">
        <v>350</v>
      </c>
      <c r="U11" s="345" t="s">
        <v>94</v>
      </c>
      <c r="V11" s="69" t="s">
        <v>94</v>
      </c>
      <c r="W11" s="30"/>
      <c r="X11" s="43"/>
    </row>
    <row r="12" spans="1:25">
      <c r="A12" s="178" t="s">
        <v>446</v>
      </c>
      <c r="B12" s="183" t="s">
        <v>217</v>
      </c>
      <c r="C12" s="179">
        <v>45772</v>
      </c>
      <c r="D12" s="202" t="s">
        <v>445</v>
      </c>
      <c r="E12" s="194"/>
      <c r="F12" s="139"/>
      <c r="G12" s="139"/>
      <c r="H12" s="188">
        <v>31</v>
      </c>
      <c r="I12" s="184"/>
      <c r="J12" s="188" t="s">
        <v>57</v>
      </c>
      <c r="K12" s="188" t="s">
        <v>57</v>
      </c>
      <c r="L12" s="188" t="s">
        <v>63</v>
      </c>
      <c r="M12" s="196">
        <v>45716</v>
      </c>
      <c r="N12" s="30" t="s">
        <v>64</v>
      </c>
      <c r="O12" s="54">
        <v>45716</v>
      </c>
      <c r="P12" s="87" t="s">
        <v>350</v>
      </c>
      <c r="Q12" s="69" t="s">
        <v>350</v>
      </c>
      <c r="R12" s="43" t="s">
        <v>1654</v>
      </c>
      <c r="S12" s="43" t="s">
        <v>350</v>
      </c>
      <c r="T12" s="43" t="s">
        <v>350</v>
      </c>
      <c r="U12" s="69" t="s">
        <v>94</v>
      </c>
      <c r="V12" s="69" t="s">
        <v>94</v>
      </c>
      <c r="W12" s="30"/>
      <c r="X12" s="69" t="s">
        <v>94</v>
      </c>
      <c r="Y12" t="e">
        <f>VLOOKUP(A12,#REF!,2,FALSE)</f>
        <v>#REF!</v>
      </c>
    </row>
    <row r="13" spans="1:25">
      <c r="A13" s="181" t="s">
        <v>274</v>
      </c>
      <c r="B13" s="183" t="s">
        <v>217</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448</v>
      </c>
      <c r="B14" s="183" t="s">
        <v>217</v>
      </c>
      <c r="C14" s="180">
        <v>45991</v>
      </c>
      <c r="D14" s="424" t="s">
        <v>449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217</v>
      </c>
      <c r="C15" s="318">
        <v>45711</v>
      </c>
      <c r="D15" s="654" t="s">
        <v>711</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1656</v>
      </c>
      <c r="Y15" t="e">
        <f>VLOOKUP(A15,#REF!,2,FALSE)</f>
        <v>#REF!</v>
      </c>
    </row>
    <row r="16" spans="1:25">
      <c r="A16" s="178" t="s">
        <v>712</v>
      </c>
      <c r="B16" s="183" t="s">
        <v>217</v>
      </c>
      <c r="C16" s="318">
        <v>45742</v>
      </c>
      <c r="D16" s="721" t="s">
        <v>714</v>
      </c>
      <c r="E16" s="194"/>
      <c r="F16" s="139"/>
      <c r="G16" s="139"/>
      <c r="H16" s="188">
        <v>0</v>
      </c>
      <c r="I16" s="184"/>
      <c r="J16" s="188" t="s">
        <v>57</v>
      </c>
      <c r="K16" s="188" t="s">
        <v>57</v>
      </c>
      <c r="L16" s="188" t="s">
        <v>63</v>
      </c>
      <c r="M16" s="198" t="s">
        <v>1657</v>
      </c>
      <c r="N16" s="30" t="s">
        <v>350</v>
      </c>
      <c r="O16" s="54" t="s">
        <v>1657</v>
      </c>
      <c r="P16" s="30" t="s">
        <v>350</v>
      </c>
      <c r="Q16" s="69" t="s">
        <v>350</v>
      </c>
      <c r="R16" s="43" t="s">
        <v>350</v>
      </c>
      <c r="S16" s="43" t="s">
        <v>56</v>
      </c>
      <c r="T16" s="43" t="s">
        <v>350</v>
      </c>
      <c r="U16" s="69" t="s">
        <v>94</v>
      </c>
      <c r="V16" s="69" t="s">
        <v>94</v>
      </c>
      <c r="W16" s="30"/>
      <c r="X16" s="69" t="s">
        <v>94</v>
      </c>
      <c r="Y16" t="e">
        <f>VLOOKUP(A16,#REF!,2,FALSE)</f>
        <v>#REF!</v>
      </c>
    </row>
    <row r="17" spans="1:25">
      <c r="A17" s="181" t="s">
        <v>358</v>
      </c>
      <c r="B17" s="183" t="s">
        <v>217</v>
      </c>
      <c r="C17" s="180">
        <v>45991</v>
      </c>
      <c r="D17" s="736" t="s">
        <v>359</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360</v>
      </c>
      <c r="B18" s="183" t="s">
        <v>217</v>
      </c>
      <c r="C18" s="423">
        <v>45991</v>
      </c>
      <c r="D18" s="424" t="s">
        <v>361</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1656</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1656</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1656</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1656</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1656</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464</v>
      </c>
      <c r="B28" s="178" t="s">
        <v>114</v>
      </c>
      <c r="C28" s="186">
        <v>45868</v>
      </c>
      <c r="D28" s="182" t="s">
        <v>465</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520</v>
      </c>
      <c r="B29" s="178" t="s">
        <v>114</v>
      </c>
      <c r="C29" s="179">
        <v>45711</v>
      </c>
      <c r="D29" s="202" t="s">
        <v>447</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1656</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1656</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350</v>
      </c>
      <c r="O31" s="54">
        <v>45707</v>
      </c>
      <c r="P31" s="87" t="s">
        <v>350</v>
      </c>
      <c r="Q31" s="43" t="s">
        <v>350</v>
      </c>
      <c r="R31" s="43" t="s">
        <v>1654</v>
      </c>
      <c r="S31" s="43" t="s">
        <v>350</v>
      </c>
      <c r="T31" s="140" t="s">
        <v>350</v>
      </c>
      <c r="U31" s="116" t="s">
        <v>350</v>
      </c>
      <c r="V31" s="69" t="s">
        <v>350</v>
      </c>
      <c r="W31" s="54">
        <v>45779</v>
      </c>
      <c r="X31" s="69" t="s">
        <v>1656</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350</v>
      </c>
      <c r="O32" s="54">
        <v>45756</v>
      </c>
      <c r="P32" s="30" t="s">
        <v>350</v>
      </c>
      <c r="Q32" s="69" t="s">
        <v>350</v>
      </c>
      <c r="R32" s="69" t="s">
        <v>1654</v>
      </c>
      <c r="S32" s="43" t="s">
        <v>350</v>
      </c>
      <c r="T32" s="140" t="s">
        <v>350</v>
      </c>
      <c r="U32" s="43" t="s">
        <v>350</v>
      </c>
      <c r="V32" s="69" t="s">
        <v>350</v>
      </c>
      <c r="W32" s="54">
        <v>45792</v>
      </c>
      <c r="X32" s="69" t="s">
        <v>1656</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350</v>
      </c>
      <c r="O33" s="125">
        <v>45749</v>
      </c>
      <c r="P33" s="30" t="s">
        <v>350</v>
      </c>
      <c r="Q33" s="69" t="s">
        <v>350</v>
      </c>
      <c r="R33" s="69" t="s">
        <v>1654</v>
      </c>
      <c r="S33" s="43" t="s">
        <v>350</v>
      </c>
      <c r="T33" s="140" t="s">
        <v>350</v>
      </c>
      <c r="U33" s="43" t="s">
        <v>350</v>
      </c>
      <c r="V33" s="345" t="s">
        <v>350</v>
      </c>
      <c r="W33" s="54">
        <v>45812</v>
      </c>
      <c r="X33" s="69" t="s">
        <v>1656</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350</v>
      </c>
      <c r="O34" s="125">
        <v>45750</v>
      </c>
      <c r="P34" s="30" t="s">
        <v>350</v>
      </c>
      <c r="Q34" s="69" t="s">
        <v>350</v>
      </c>
      <c r="R34" s="69" t="s">
        <v>1654</v>
      </c>
      <c r="S34" s="43" t="s">
        <v>350</v>
      </c>
      <c r="T34" s="140" t="s">
        <v>350</v>
      </c>
      <c r="U34" s="43" t="s">
        <v>350</v>
      </c>
      <c r="V34" s="418" t="s">
        <v>350</v>
      </c>
      <c r="W34" s="168">
        <v>45797</v>
      </c>
      <c r="X34" s="69" t="s">
        <v>1656</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350</v>
      </c>
      <c r="O35" s="125">
        <v>45659</v>
      </c>
      <c r="P35" s="87" t="s">
        <v>350</v>
      </c>
      <c r="Q35" s="43" t="s">
        <v>350</v>
      </c>
      <c r="R35" s="43" t="s">
        <v>1654</v>
      </c>
      <c r="S35" s="43" t="s">
        <v>350</v>
      </c>
      <c r="T35" s="140" t="s">
        <v>350</v>
      </c>
      <c r="U35" s="171" t="s">
        <v>350</v>
      </c>
      <c r="V35" s="69" t="s">
        <v>350</v>
      </c>
      <c r="W35" s="54">
        <v>45789</v>
      </c>
      <c r="X35" s="345" t="s">
        <v>1656</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350</v>
      </c>
      <c r="O36" s="125">
        <v>45659</v>
      </c>
      <c r="P36" s="87" t="s">
        <v>350</v>
      </c>
      <c r="Q36" s="43" t="s">
        <v>350</v>
      </c>
      <c r="R36" s="43" t="s">
        <v>1654</v>
      </c>
      <c r="S36" s="43" t="s">
        <v>350</v>
      </c>
      <c r="T36" s="140" t="s">
        <v>350</v>
      </c>
      <c r="U36" s="43" t="s">
        <v>350</v>
      </c>
      <c r="V36" s="69" t="s">
        <v>350</v>
      </c>
      <c r="W36" s="54">
        <v>45824</v>
      </c>
      <c r="X36" s="345" t="s">
        <v>1656</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350</v>
      </c>
      <c r="N37" s="30" t="s">
        <v>350</v>
      </c>
      <c r="O37" s="125">
        <v>45672</v>
      </c>
      <c r="P37" s="30" t="s">
        <v>350</v>
      </c>
      <c r="Q37" s="43" t="s">
        <v>350</v>
      </c>
      <c r="R37" s="43" t="s">
        <v>1654</v>
      </c>
      <c r="S37" s="43" t="s">
        <v>350</v>
      </c>
      <c r="T37" s="43" t="s">
        <v>350</v>
      </c>
      <c r="U37" s="171" t="s">
        <v>350</v>
      </c>
      <c r="V37" s="69" t="s">
        <v>350</v>
      </c>
      <c r="W37" s="157">
        <v>45789</v>
      </c>
      <c r="X37" s="69" t="s">
        <v>1656</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350</v>
      </c>
      <c r="O38" s="125">
        <v>45673</v>
      </c>
      <c r="P38" s="30" t="s">
        <v>350</v>
      </c>
      <c r="Q38" s="43" t="s">
        <v>350</v>
      </c>
      <c r="R38" s="43" t="s">
        <v>1654</v>
      </c>
      <c r="S38" s="43" t="s">
        <v>350</v>
      </c>
      <c r="T38" s="43" t="s">
        <v>350</v>
      </c>
      <c r="U38" s="171" t="s">
        <v>350</v>
      </c>
      <c r="V38" s="69" t="s">
        <v>350</v>
      </c>
      <c r="W38" s="54">
        <v>45789</v>
      </c>
      <c r="X38" s="69" t="s">
        <v>1656</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350</v>
      </c>
      <c r="N39" s="30" t="s">
        <v>350</v>
      </c>
      <c r="O39" s="125">
        <v>45672</v>
      </c>
      <c r="P39" s="30" t="s">
        <v>350</v>
      </c>
      <c r="Q39" s="43" t="s">
        <v>350</v>
      </c>
      <c r="R39" s="43" t="s">
        <v>1654</v>
      </c>
      <c r="S39" s="43" t="s">
        <v>350</v>
      </c>
      <c r="T39" s="43" t="s">
        <v>350</v>
      </c>
      <c r="U39" s="171" t="s">
        <v>350</v>
      </c>
      <c r="V39" s="69" t="s">
        <v>350</v>
      </c>
      <c r="W39" s="54">
        <v>45789</v>
      </c>
      <c r="X39" s="69" t="s">
        <v>1656</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1656</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1656</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1656</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1656</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1656</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1656</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1656</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1656</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1656</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1656</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1656</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1656</v>
      </c>
    </row>
    <row r="54" spans="1:56">
      <c r="A54" s="181" t="s">
        <v>762</v>
      </c>
      <c r="B54" s="547" t="s">
        <v>114</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350</v>
      </c>
      <c r="O57" s="125">
        <v>45783</v>
      </c>
      <c r="P57" s="332" t="s">
        <v>350</v>
      </c>
      <c r="Q57" s="43" t="s">
        <v>350</v>
      </c>
      <c r="R57" s="43" t="s">
        <v>1654</v>
      </c>
      <c r="S57" s="43" t="s">
        <v>350</v>
      </c>
      <c r="T57" s="43" t="s">
        <v>350</v>
      </c>
      <c r="U57" s="43" t="s">
        <v>350</v>
      </c>
      <c r="V57" s="69" t="s">
        <v>350</v>
      </c>
      <c r="W57" s="54">
        <v>45813</v>
      </c>
      <c r="X57" s="69" t="s">
        <v>1656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350</v>
      </c>
      <c r="O58" s="54">
        <v>45776</v>
      </c>
      <c r="P58" s="332" t="s">
        <v>350</v>
      </c>
      <c r="Q58" s="43" t="s">
        <v>350</v>
      </c>
      <c r="R58" s="43" t="s">
        <v>1654</v>
      </c>
      <c r="S58" s="43" t="s">
        <v>350</v>
      </c>
      <c r="T58" s="43" t="s">
        <v>350</v>
      </c>
      <c r="U58" s="43" t="s">
        <v>350</v>
      </c>
      <c r="V58" s="345" t="s">
        <v>350</v>
      </c>
      <c r="W58" s="54">
        <v>45796</v>
      </c>
      <c r="X58" s="69" t="s">
        <v>1656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350</v>
      </c>
      <c r="O59" s="30" t="s">
        <v>77</v>
      </c>
      <c r="P59" s="332" t="s">
        <v>350</v>
      </c>
      <c r="Q59" s="43" t="s">
        <v>350</v>
      </c>
      <c r="R59" s="43" t="s">
        <v>1654</v>
      </c>
      <c r="S59" s="43" t="s">
        <v>350</v>
      </c>
      <c r="T59" s="43" t="s">
        <v>350</v>
      </c>
      <c r="U59" s="43" t="s">
        <v>350</v>
      </c>
      <c r="V59" s="345" t="s">
        <v>350</v>
      </c>
      <c r="W59" s="54">
        <v>45796</v>
      </c>
      <c r="X59" s="69" t="s">
        <v>1656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350</v>
      </c>
      <c r="O60" s="54">
        <v>45812</v>
      </c>
      <c r="P60" s="332" t="s">
        <v>350</v>
      </c>
      <c r="Q60" s="43" t="s">
        <v>350</v>
      </c>
      <c r="R60" s="43" t="s">
        <v>1654</v>
      </c>
      <c r="S60" s="43" t="s">
        <v>350</v>
      </c>
      <c r="T60" s="43" t="s">
        <v>350</v>
      </c>
      <c r="U60" s="43" t="s">
        <v>350</v>
      </c>
      <c r="V60" s="345" t="s">
        <v>350</v>
      </c>
      <c r="W60" s="54">
        <v>45824</v>
      </c>
      <c r="X60" s="69" t="s">
        <v>1656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475</v>
      </c>
      <c r="B73" s="178" t="s">
        <v>114</v>
      </c>
      <c r="C73" s="186">
        <v>45838</v>
      </c>
      <c r="D73" s="637" t="s">
        <v>476</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1658</v>
      </c>
      <c r="B81" s="547" t="s">
        <v>114</v>
      </c>
      <c r="C81" s="179">
        <v>45688</v>
      </c>
      <c r="D81" s="637" t="s">
        <v>578</v>
      </c>
      <c r="E81" s="175"/>
      <c r="F81" s="130"/>
      <c r="G81" s="130"/>
      <c r="H81" s="182">
        <v>48</v>
      </c>
      <c r="I81" s="184"/>
      <c r="J81" s="182" t="s">
        <v>57</v>
      </c>
      <c r="K81" s="182" t="s">
        <v>57</v>
      </c>
      <c r="L81" s="182" t="s">
        <v>56</v>
      </c>
      <c r="M81" s="101" t="s">
        <v>350</v>
      </c>
      <c r="N81" s="87" t="s">
        <v>350</v>
      </c>
      <c r="O81" s="125">
        <v>45678</v>
      </c>
      <c r="P81" s="87" t="s">
        <v>350</v>
      </c>
      <c r="Q81" s="43" t="s">
        <v>350</v>
      </c>
      <c r="R81" s="43" t="s">
        <v>1654</v>
      </c>
      <c r="S81" s="43" t="s">
        <v>350</v>
      </c>
      <c r="T81" s="43" t="s">
        <v>350</v>
      </c>
      <c r="U81" s="116" t="s">
        <v>350</v>
      </c>
      <c r="V81" s="69" t="s">
        <v>350</v>
      </c>
      <c r="W81" s="54">
        <v>45789</v>
      </c>
      <c r="X81" s="69" t="s">
        <v>1656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430</v>
      </c>
      <c r="B83" s="185" t="s">
        <v>50</v>
      </c>
      <c r="C83" s="549">
        <v>45716</v>
      </c>
      <c r="D83" s="187" t="s">
        <v>354</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350</v>
      </c>
      <c r="O84" s="54">
        <v>45728</v>
      </c>
      <c r="P84" s="30" t="s">
        <v>350</v>
      </c>
      <c r="Q84" s="171" t="s">
        <v>350</v>
      </c>
      <c r="R84" s="171" t="s">
        <v>1654</v>
      </c>
      <c r="S84" s="171" t="s">
        <v>350</v>
      </c>
      <c r="T84" s="171" t="s">
        <v>350</v>
      </c>
      <c r="U84" s="92" t="s">
        <v>350</v>
      </c>
      <c r="V84" s="69" t="s">
        <v>350</v>
      </c>
      <c r="W84" s="198">
        <v>45875</v>
      </c>
      <c r="X84" s="69" t="s">
        <v>1656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350</v>
      </c>
      <c r="O85" s="54">
        <v>45719</v>
      </c>
      <c r="P85" s="30" t="s">
        <v>350</v>
      </c>
      <c r="Q85" s="43" t="s">
        <v>350</v>
      </c>
      <c r="R85" s="171" t="s">
        <v>1654</v>
      </c>
      <c r="S85" s="171" t="s">
        <v>350</v>
      </c>
      <c r="T85" s="171" t="s">
        <v>350</v>
      </c>
      <c r="U85" s="92" t="s">
        <v>350</v>
      </c>
      <c r="V85" s="92" t="s">
        <v>350</v>
      </c>
      <c r="W85" s="198">
        <v>45874</v>
      </c>
      <c r="X85" s="69" t="s">
        <v>1656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350</v>
      </c>
      <c r="O86" s="198">
        <v>45728</v>
      </c>
      <c r="P86" s="30" t="s">
        <v>350</v>
      </c>
      <c r="Q86" s="43" t="s">
        <v>350</v>
      </c>
      <c r="R86" s="43" t="s">
        <v>1654</v>
      </c>
      <c r="S86" s="43" t="s">
        <v>350</v>
      </c>
      <c r="T86" s="43" t="s">
        <v>350</v>
      </c>
      <c r="U86" s="69" t="s">
        <v>350</v>
      </c>
      <c r="V86" s="69" t="s">
        <v>350</v>
      </c>
      <c r="W86" s="54">
        <v>45824</v>
      </c>
      <c r="X86" s="69" t="s">
        <v>1656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350</v>
      </c>
      <c r="O87" s="30" t="s">
        <v>350</v>
      </c>
      <c r="P87" s="30" t="s">
        <v>350</v>
      </c>
      <c r="Q87" s="43" t="s">
        <v>350</v>
      </c>
      <c r="R87" s="43" t="s">
        <v>1654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350</v>
      </c>
      <c r="O88" s="54">
        <v>45728</v>
      </c>
      <c r="P88" s="30" t="s">
        <v>350</v>
      </c>
      <c r="Q88" s="43" t="s">
        <v>350</v>
      </c>
      <c r="R88" s="43" t="s">
        <v>1654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350</v>
      </c>
      <c r="O89" s="54">
        <v>45722</v>
      </c>
      <c r="P89" s="30" t="s">
        <v>350</v>
      </c>
      <c r="Q89" s="69" t="s">
        <v>350</v>
      </c>
      <c r="R89" s="43" t="s">
        <v>1654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397</v>
      </c>
      <c r="B90" s="185" t="s">
        <v>50</v>
      </c>
      <c r="C90" s="179">
        <v>45742</v>
      </c>
      <c r="D90" s="215" t="s">
        <v>399</v>
      </c>
      <c r="E90" s="194"/>
      <c r="F90" s="139"/>
      <c r="G90" s="139"/>
      <c r="H90" s="188">
        <v>71</v>
      </c>
      <c r="I90" s="184"/>
      <c r="J90" s="188" t="s">
        <v>57</v>
      </c>
      <c r="K90" s="188" t="s">
        <v>57</v>
      </c>
      <c r="L90" s="188" t="s">
        <v>63</v>
      </c>
      <c r="M90" s="198">
        <v>45716</v>
      </c>
      <c r="N90" s="30" t="s">
        <v>350</v>
      </c>
      <c r="O90" s="54">
        <v>45727</v>
      </c>
      <c r="P90" s="30" t="s">
        <v>350</v>
      </c>
      <c r="Q90" s="69" t="s">
        <v>350</v>
      </c>
      <c r="R90" s="43" t="s">
        <v>1654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350</v>
      </c>
      <c r="O91" s="54">
        <v>45723</v>
      </c>
      <c r="P91" s="30" t="s">
        <v>350</v>
      </c>
      <c r="Q91" s="69" t="s">
        <v>350</v>
      </c>
      <c r="R91" s="43" t="s">
        <v>1654</v>
      </c>
      <c r="S91" s="69" t="s">
        <v>350</v>
      </c>
      <c r="T91" s="69" t="s">
        <v>350</v>
      </c>
      <c r="U91" s="69" t="s">
        <v>350</v>
      </c>
      <c r="V91" s="69" t="s">
        <v>350</v>
      </c>
      <c r="W91" s="54">
        <v>45831</v>
      </c>
      <c r="X91" s="69" t="s">
        <v>1656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350</v>
      </c>
      <c r="O92" s="54">
        <v>45726</v>
      </c>
      <c r="P92" s="30" t="s">
        <v>350</v>
      </c>
      <c r="Q92" s="149" t="s">
        <v>350</v>
      </c>
      <c r="R92" s="43" t="s">
        <v>1654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350</v>
      </c>
      <c r="O93" s="54">
        <v>45727</v>
      </c>
      <c r="P93" s="79" t="s">
        <v>350</v>
      </c>
      <c r="Q93" s="43" t="s">
        <v>350</v>
      </c>
      <c r="R93" s="43" t="s">
        <v>1654</v>
      </c>
      <c r="S93" s="43" t="s">
        <v>350</v>
      </c>
      <c r="T93" s="43" t="s">
        <v>350</v>
      </c>
      <c r="U93" s="345" t="s">
        <v>350</v>
      </c>
      <c r="V93" s="69" t="s">
        <v>350</v>
      </c>
      <c r="W93" s="54">
        <v>45789</v>
      </c>
      <c r="X93" s="69" t="s">
        <v>1656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401</v>
      </c>
      <c r="B94" s="185" t="s">
        <v>50</v>
      </c>
      <c r="C94" s="186">
        <v>45711</v>
      </c>
      <c r="D94" s="187" t="s">
        <v>403</v>
      </c>
      <c r="E94" s="195"/>
      <c r="F94" s="137"/>
      <c r="G94" s="137"/>
      <c r="H94" s="191">
        <v>86</v>
      </c>
      <c r="I94" s="184"/>
      <c r="J94" s="191" t="s">
        <v>57</v>
      </c>
      <c r="K94" s="191" t="s">
        <v>57</v>
      </c>
      <c r="L94" s="191" t="s">
        <v>63</v>
      </c>
      <c r="M94" s="197">
        <v>45714</v>
      </c>
      <c r="N94" s="30" t="s">
        <v>350</v>
      </c>
      <c r="O94" s="54">
        <v>45693</v>
      </c>
      <c r="P94" s="79" t="s">
        <v>350</v>
      </c>
      <c r="Q94" s="69" t="s">
        <v>350</v>
      </c>
      <c r="R94" s="69" t="s">
        <v>1654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350</v>
      </c>
      <c r="O95" s="198">
        <v>45694</v>
      </c>
      <c r="P95" s="79" t="s">
        <v>350</v>
      </c>
      <c r="Q95" s="69" t="s">
        <v>350</v>
      </c>
      <c r="R95" s="69" t="s">
        <v>1654</v>
      </c>
      <c r="S95" s="69" t="s">
        <v>350</v>
      </c>
      <c r="T95" s="43" t="s">
        <v>350</v>
      </c>
      <c r="U95" s="69" t="s">
        <v>350</v>
      </c>
      <c r="V95" s="69" t="s">
        <v>350</v>
      </c>
      <c r="W95" s="54">
        <v>45814</v>
      </c>
      <c r="X95" s="69" t="s">
        <v>1656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405</v>
      </c>
      <c r="B96" s="185" t="s">
        <v>50</v>
      </c>
      <c r="C96" s="186">
        <v>45711</v>
      </c>
      <c r="D96" s="716" t="s">
        <v>406</v>
      </c>
      <c r="E96" s="195"/>
      <c r="F96" s="137"/>
      <c r="G96" s="137"/>
      <c r="H96" s="191">
        <v>89</v>
      </c>
      <c r="I96" s="184"/>
      <c r="J96" s="191" t="s">
        <v>57</v>
      </c>
      <c r="K96" s="191" t="s">
        <v>57</v>
      </c>
      <c r="L96" s="191" t="s">
        <v>63</v>
      </c>
      <c r="M96" s="197">
        <v>45695</v>
      </c>
      <c r="N96" s="30" t="s">
        <v>350</v>
      </c>
      <c r="O96" s="54">
        <v>45694</v>
      </c>
      <c r="P96" s="30" t="s">
        <v>350</v>
      </c>
      <c r="Q96" s="69" t="s">
        <v>350</v>
      </c>
      <c r="R96" s="92" t="s">
        <v>1654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406</v>
      </c>
      <c r="E97" s="195"/>
      <c r="F97" s="137"/>
      <c r="G97" s="137"/>
      <c r="H97" s="191">
        <v>86</v>
      </c>
      <c r="I97" s="184"/>
      <c r="J97" s="191" t="s">
        <v>57</v>
      </c>
      <c r="K97" s="191" t="s">
        <v>57</v>
      </c>
      <c r="L97" s="191" t="s">
        <v>63</v>
      </c>
      <c r="M97" s="197">
        <v>45698</v>
      </c>
      <c r="N97" s="30" t="s">
        <v>350</v>
      </c>
      <c r="O97" s="54">
        <v>45688</v>
      </c>
      <c r="P97" s="30" t="s">
        <v>350</v>
      </c>
      <c r="Q97" s="69" t="s">
        <v>350</v>
      </c>
      <c r="R97" s="69" t="s">
        <v>1654</v>
      </c>
      <c r="S97" s="69" t="s">
        <v>350</v>
      </c>
      <c r="T97" s="69" t="s">
        <v>350</v>
      </c>
      <c r="U97" s="69" t="s">
        <v>350</v>
      </c>
      <c r="V97" s="43" t="s">
        <v>350</v>
      </c>
      <c r="W97" s="54">
        <v>45824</v>
      </c>
      <c r="X97" s="69" t="s">
        <v>1656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408</v>
      </c>
      <c r="B98" s="185" t="s">
        <v>50</v>
      </c>
      <c r="C98" s="186">
        <v>45711</v>
      </c>
      <c r="D98" s="713" t="s">
        <v>409</v>
      </c>
      <c r="E98" s="195"/>
      <c r="F98" s="137"/>
      <c r="G98" s="137"/>
      <c r="H98" s="191">
        <v>77</v>
      </c>
      <c r="I98" s="184"/>
      <c r="J98" s="191" t="s">
        <v>57</v>
      </c>
      <c r="K98" s="191" t="s">
        <v>57</v>
      </c>
      <c r="L98" s="191" t="s">
        <v>63</v>
      </c>
      <c r="M98" s="197">
        <v>45686</v>
      </c>
      <c r="N98" s="30" t="s">
        <v>350</v>
      </c>
      <c r="O98" s="54">
        <v>45692</v>
      </c>
      <c r="P98" s="30" t="s">
        <v>350</v>
      </c>
      <c r="Q98" s="43" t="s">
        <v>350</v>
      </c>
      <c r="R98" s="43" t="s">
        <v>1654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350</v>
      </c>
      <c r="O99" s="54">
        <v>45692</v>
      </c>
      <c r="P99" s="30" t="s">
        <v>350</v>
      </c>
      <c r="Q99" s="43" t="s">
        <v>350</v>
      </c>
      <c r="R99" s="43" t="s">
        <v>1654</v>
      </c>
      <c r="S99" s="43" t="s">
        <v>350</v>
      </c>
      <c r="T99" s="116" t="s">
        <v>350</v>
      </c>
      <c r="U99" s="149" t="s">
        <v>350</v>
      </c>
      <c r="V99" s="69" t="s">
        <v>350</v>
      </c>
      <c r="W99" s="54">
        <v>45814</v>
      </c>
      <c r="X99" s="69" t="s">
        <v>1656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411</v>
      </c>
      <c r="B101" s="185" t="s">
        <v>50</v>
      </c>
      <c r="C101" s="186">
        <v>45711</v>
      </c>
      <c r="D101" s="187" t="s">
        <v>413</v>
      </c>
      <c r="E101" s="749"/>
      <c r="F101" s="749"/>
      <c r="G101" s="749"/>
      <c r="H101" s="191">
        <v>84</v>
      </c>
      <c r="I101" s="184"/>
      <c r="J101" s="191" t="s">
        <v>57</v>
      </c>
      <c r="K101" s="191" t="s">
        <v>57</v>
      </c>
      <c r="L101" s="191" t="s">
        <v>63</v>
      </c>
      <c r="M101" s="197">
        <v>45698</v>
      </c>
      <c r="N101" s="30" t="s">
        <v>350</v>
      </c>
      <c r="O101" s="54">
        <v>45695</v>
      </c>
      <c r="P101" s="30" t="s">
        <v>350</v>
      </c>
      <c r="Q101" s="43" t="s">
        <v>350</v>
      </c>
      <c r="R101" s="43" t="s">
        <v>1654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350</v>
      </c>
      <c r="N102" s="30" t="s">
        <v>350</v>
      </c>
      <c r="O102" s="54">
        <v>45699</v>
      </c>
      <c r="P102" s="87" t="s">
        <v>350</v>
      </c>
      <c r="Q102" s="88" t="s">
        <v>350</v>
      </c>
      <c r="R102" s="43" t="s">
        <v>1654</v>
      </c>
      <c r="S102" s="43" t="s">
        <v>350</v>
      </c>
      <c r="T102" s="43" t="s">
        <v>350</v>
      </c>
      <c r="U102" s="43" t="s">
        <v>350</v>
      </c>
      <c r="V102" s="166" t="s">
        <v>350</v>
      </c>
      <c r="W102" s="54">
        <v>45835</v>
      </c>
      <c r="X102" s="69" t="s">
        <v>1656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350</v>
      </c>
      <c r="O103" s="54">
        <v>45675</v>
      </c>
      <c r="P103" s="87" t="s">
        <v>350</v>
      </c>
      <c r="Q103" s="43" t="s">
        <v>350</v>
      </c>
      <c r="R103" s="43" t="s">
        <v>1654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1654</v>
      </c>
      <c r="S104" s="43" t="s">
        <v>350</v>
      </c>
      <c r="T104" s="43" t="s">
        <v>350</v>
      </c>
      <c r="U104" s="43" t="s">
        <v>350</v>
      </c>
      <c r="V104" s="140" t="s">
        <v>350</v>
      </c>
      <c r="W104" s="54">
        <v>45820</v>
      </c>
      <c r="X104" s="69" t="s">
        <v>1656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415</v>
      </c>
      <c r="B105" s="185" t="s">
        <v>50</v>
      </c>
      <c r="C105" s="186">
        <v>45688</v>
      </c>
      <c r="D105" s="187" t="s">
        <v>416</v>
      </c>
      <c r="E105" s="749"/>
      <c r="F105" s="749"/>
      <c r="G105" s="749"/>
      <c r="H105" s="188">
        <v>88</v>
      </c>
      <c r="I105" s="184"/>
      <c r="J105" s="191" t="s">
        <v>57</v>
      </c>
      <c r="K105" s="191" t="s">
        <v>57</v>
      </c>
      <c r="L105" s="191" t="s">
        <v>63</v>
      </c>
      <c r="M105" s="198">
        <v>45742</v>
      </c>
      <c r="N105" s="30" t="s">
        <v>350</v>
      </c>
      <c r="O105" s="54">
        <v>45743</v>
      </c>
      <c r="P105" s="87" t="s">
        <v>350</v>
      </c>
      <c r="Q105" s="158" t="s">
        <v>350</v>
      </c>
      <c r="R105" s="69" t="s">
        <v>1654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419</v>
      </c>
      <c r="B106" s="185" t="s">
        <v>50</v>
      </c>
      <c r="C106" s="186">
        <v>45688</v>
      </c>
      <c r="D106" s="187" t="s">
        <v>420</v>
      </c>
      <c r="E106" s="749"/>
      <c r="F106" s="749"/>
      <c r="G106" s="749"/>
      <c r="H106" s="188">
        <v>88</v>
      </c>
      <c r="I106" s="184"/>
      <c r="J106" s="191" t="s">
        <v>57</v>
      </c>
      <c r="K106" s="191" t="s">
        <v>57</v>
      </c>
      <c r="L106" s="188" t="s">
        <v>63</v>
      </c>
      <c r="M106" s="198">
        <v>45706</v>
      </c>
      <c r="N106" s="30" t="s">
        <v>350</v>
      </c>
      <c r="O106" s="54">
        <v>45679</v>
      </c>
      <c r="P106" s="87" t="s">
        <v>350</v>
      </c>
      <c r="Q106" s="43" t="s">
        <v>350</v>
      </c>
      <c r="R106" s="43" t="s">
        <v>1654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350</v>
      </c>
      <c r="O107" s="54">
        <v>45749</v>
      </c>
      <c r="P107" s="30" t="s">
        <v>350</v>
      </c>
      <c r="Q107" s="43" t="s">
        <v>350</v>
      </c>
      <c r="R107" s="43" t="s">
        <v>1654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350</v>
      </c>
      <c r="O108" s="54">
        <v>45749</v>
      </c>
      <c r="P108" s="30" t="s">
        <v>350</v>
      </c>
      <c r="Q108" s="43" t="s">
        <v>350</v>
      </c>
      <c r="R108" s="345" t="s">
        <v>1654</v>
      </c>
      <c r="S108" s="43" t="s">
        <v>350</v>
      </c>
      <c r="T108" s="43" t="s">
        <v>350</v>
      </c>
      <c r="U108" s="88" t="s">
        <v>350</v>
      </c>
      <c r="V108" s="495" t="s">
        <v>350</v>
      </c>
      <c r="W108" s="367">
        <v>45798</v>
      </c>
      <c r="X108" s="69" t="s">
        <v>1656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422</v>
      </c>
      <c r="B109" s="185" t="s">
        <v>50</v>
      </c>
      <c r="C109" s="179">
        <v>45772</v>
      </c>
      <c r="D109" s="537" t="s">
        <v>423</v>
      </c>
      <c r="E109"/>
      <c r="F109"/>
      <c r="G109"/>
      <c r="H109" s="188">
        <v>57</v>
      </c>
      <c r="I109" s="184"/>
      <c r="J109" s="182" t="s">
        <v>57</v>
      </c>
      <c r="K109" s="182" t="s">
        <v>57</v>
      </c>
      <c r="L109" s="182" t="s">
        <v>63</v>
      </c>
      <c r="M109" s="198">
        <v>45741</v>
      </c>
      <c r="N109" s="30" t="s">
        <v>350</v>
      </c>
      <c r="O109" s="54">
        <v>45744</v>
      </c>
      <c r="P109" s="79" t="s">
        <v>350</v>
      </c>
      <c r="Q109" s="43" t="s">
        <v>350</v>
      </c>
      <c r="R109" s="345" t="s">
        <v>1654</v>
      </c>
      <c r="S109" s="43" t="s">
        <v>350</v>
      </c>
      <c r="T109" s="43" t="s">
        <v>350</v>
      </c>
      <c r="U109" s="43" t="s">
        <v>1659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350</v>
      </c>
      <c r="O110" s="54">
        <v>45691</v>
      </c>
      <c r="P110" s="79" t="s">
        <v>350</v>
      </c>
      <c r="Q110" s="43" t="s">
        <v>350</v>
      </c>
      <c r="R110" s="345" t="s">
        <v>1654</v>
      </c>
      <c r="S110" s="43" t="s">
        <v>350</v>
      </c>
      <c r="T110" s="43" t="s">
        <v>350</v>
      </c>
      <c r="U110" s="88" t="s">
        <v>350</v>
      </c>
      <c r="V110" s="495" t="s">
        <v>350</v>
      </c>
      <c r="W110" s="367">
        <v>45902</v>
      </c>
      <c r="X110" s="69" t="s">
        <v>1656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350</v>
      </c>
      <c r="O111" s="54">
        <v>45708</v>
      </c>
      <c r="P111" s="30" t="s">
        <v>350</v>
      </c>
      <c r="Q111" s="171" t="s">
        <v>350</v>
      </c>
      <c r="R111" s="69" t="s">
        <v>1654</v>
      </c>
      <c r="S111" s="43" t="s">
        <v>350</v>
      </c>
      <c r="T111" s="43" t="s">
        <v>350</v>
      </c>
      <c r="U111" s="43" t="s">
        <v>350</v>
      </c>
      <c r="V111" s="204" t="s">
        <v>350</v>
      </c>
      <c r="W111" s="168">
        <v>45790</v>
      </c>
      <c r="X111" s="69" t="s">
        <v>1656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350</v>
      </c>
      <c r="O112" s="168">
        <v>45744</v>
      </c>
      <c r="P112" s="115" t="s">
        <v>350</v>
      </c>
      <c r="Q112" s="116" t="s">
        <v>350</v>
      </c>
      <c r="R112" s="149" t="s">
        <v>1654</v>
      </c>
      <c r="S112" s="43" t="s">
        <v>350</v>
      </c>
      <c r="T112" s="43" t="s">
        <v>350</v>
      </c>
      <c r="U112" s="43" t="s">
        <v>350</v>
      </c>
      <c r="V112" s="204" t="s">
        <v>350</v>
      </c>
      <c r="W112" s="493">
        <v>45791</v>
      </c>
      <c r="X112" s="69" t="s">
        <v>1656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350</v>
      </c>
      <c r="O113" s="168">
        <v>45755</v>
      </c>
      <c r="P113" s="115" t="s">
        <v>350</v>
      </c>
      <c r="Q113" s="116" t="s">
        <v>350</v>
      </c>
      <c r="R113" s="149" t="s">
        <v>1654</v>
      </c>
      <c r="S113" s="116" t="s">
        <v>350</v>
      </c>
      <c r="T113" s="43" t="s">
        <v>350</v>
      </c>
      <c r="U113" s="43" t="s">
        <v>350</v>
      </c>
      <c r="V113" s="204" t="s">
        <v>350</v>
      </c>
      <c r="W113" s="493">
        <v>45791</v>
      </c>
      <c r="X113" s="149" t="s">
        <v>1656</v>
      </c>
    </row>
    <row r="114" spans="1:25">
      <c r="A114" s="181" t="s">
        <v>626</v>
      </c>
      <c r="B114" s="185" t="s">
        <v>50</v>
      </c>
      <c r="C114" s="318">
        <v>45772</v>
      </c>
      <c r="D114" s="424" t="s">
        <v>627</v>
      </c>
      <c r="H114" s="188">
        <v>75</v>
      </c>
      <c r="I114" s="184"/>
      <c r="J114" s="182" t="s">
        <v>57</v>
      </c>
      <c r="K114" s="434" t="s">
        <v>57</v>
      </c>
      <c r="L114" s="182" t="s">
        <v>63</v>
      </c>
      <c r="M114" s="196">
        <v>45741</v>
      </c>
      <c r="N114" s="115" t="s">
        <v>350</v>
      </c>
      <c r="O114" s="54">
        <v>45747</v>
      </c>
      <c r="P114" s="115" t="s">
        <v>350</v>
      </c>
      <c r="Q114" s="116" t="s">
        <v>350</v>
      </c>
      <c r="R114" s="149" t="s">
        <v>1654</v>
      </c>
      <c r="S114" s="116" t="s">
        <v>350</v>
      </c>
      <c r="T114" s="43" t="s">
        <v>350</v>
      </c>
      <c r="U114" s="158" t="s">
        <v>350</v>
      </c>
      <c r="V114" s="204" t="s">
        <v>350</v>
      </c>
      <c r="W114" s="54">
        <v>45798</v>
      </c>
      <c r="X114" s="69" t="s">
        <v>1656</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350</v>
      </c>
      <c r="O115" s="125">
        <v>45757</v>
      </c>
      <c r="P115" s="30" t="s">
        <v>350</v>
      </c>
      <c r="Q115" s="43" t="s">
        <v>350</v>
      </c>
      <c r="R115" s="69" t="s">
        <v>1654</v>
      </c>
      <c r="S115" s="43" t="s">
        <v>350</v>
      </c>
      <c r="T115" s="43" t="s">
        <v>350</v>
      </c>
      <c r="U115" s="43" t="s">
        <v>350</v>
      </c>
      <c r="V115" s="88" t="s">
        <v>350</v>
      </c>
      <c r="W115" s="54">
        <v>45814</v>
      </c>
      <c r="X115" s="69" t="s">
        <v>1656</v>
      </c>
    </row>
    <row r="116" spans="1:25">
      <c r="A116" s="181" t="s">
        <v>630</v>
      </c>
      <c r="B116" s="185" t="s">
        <v>50</v>
      </c>
      <c r="C116" s="318">
        <v>45772</v>
      </c>
      <c r="D116" s="738" t="s">
        <v>632</v>
      </c>
      <c r="H116" s="182">
        <v>50</v>
      </c>
      <c r="I116" s="184"/>
      <c r="J116" s="182" t="s">
        <v>57</v>
      </c>
      <c r="K116" s="434" t="s">
        <v>57</v>
      </c>
      <c r="L116" s="182" t="s">
        <v>63</v>
      </c>
      <c r="M116" s="196">
        <v>45757</v>
      </c>
      <c r="N116" s="30" t="s">
        <v>350</v>
      </c>
      <c r="O116" s="125">
        <v>45757</v>
      </c>
      <c r="P116" s="30" t="s">
        <v>350</v>
      </c>
      <c r="Q116" s="43" t="s">
        <v>350</v>
      </c>
      <c r="R116" s="69" t="s">
        <v>1654</v>
      </c>
      <c r="S116" s="43" t="s">
        <v>350</v>
      </c>
      <c r="T116" s="43" t="s">
        <v>350</v>
      </c>
      <c r="U116" s="43" t="s">
        <v>350</v>
      </c>
      <c r="V116" s="495" t="s">
        <v>350</v>
      </c>
      <c r="W116" s="54">
        <v>45807</v>
      </c>
      <c r="X116" s="69" t="s">
        <v>1656</v>
      </c>
    </row>
    <row r="117" spans="1:25">
      <c r="A117" s="181" t="s">
        <v>634</v>
      </c>
      <c r="B117" s="185" t="s">
        <v>50</v>
      </c>
      <c r="C117" s="318">
        <v>45772</v>
      </c>
      <c r="D117" s="536" t="s">
        <v>635</v>
      </c>
      <c r="H117" s="182">
        <v>76</v>
      </c>
      <c r="I117" s="184"/>
      <c r="J117" s="182" t="s">
        <v>57</v>
      </c>
      <c r="K117" s="434" t="s">
        <v>57</v>
      </c>
      <c r="L117" s="182" t="s">
        <v>63</v>
      </c>
      <c r="M117" s="196">
        <v>45757</v>
      </c>
      <c r="N117" s="87" t="s">
        <v>350</v>
      </c>
      <c r="O117" s="125">
        <v>45757</v>
      </c>
      <c r="P117" s="30" t="s">
        <v>350</v>
      </c>
      <c r="Q117" s="43" t="s">
        <v>350</v>
      </c>
      <c r="R117" s="69" t="s">
        <v>1654</v>
      </c>
      <c r="S117" s="43" t="s">
        <v>350</v>
      </c>
      <c r="T117" s="43" t="s">
        <v>350</v>
      </c>
      <c r="U117" s="43" t="s">
        <v>350</v>
      </c>
      <c r="V117" s="88" t="s">
        <v>350</v>
      </c>
      <c r="W117" s="54">
        <v>45811</v>
      </c>
      <c r="X117" s="69" t="s">
        <v>1656</v>
      </c>
    </row>
    <row r="118" spans="1:25">
      <c r="A118" s="181" t="s">
        <v>636</v>
      </c>
      <c r="B118" s="185" t="s">
        <v>50</v>
      </c>
      <c r="C118" s="318">
        <v>45772</v>
      </c>
      <c r="D118" s="182" t="s">
        <v>638</v>
      </c>
      <c r="H118" s="188">
        <v>88</v>
      </c>
      <c r="I118" s="184"/>
      <c r="J118" s="182" t="s">
        <v>57</v>
      </c>
      <c r="K118" s="434" t="s">
        <v>57</v>
      </c>
      <c r="L118" s="182" t="s">
        <v>63</v>
      </c>
      <c r="M118" s="196">
        <v>45757</v>
      </c>
      <c r="N118" s="87" t="s">
        <v>350</v>
      </c>
      <c r="O118" s="125">
        <v>45757</v>
      </c>
      <c r="P118" s="87" t="s">
        <v>350</v>
      </c>
      <c r="Q118" s="43" t="s">
        <v>350</v>
      </c>
      <c r="R118" s="43" t="s">
        <v>1654</v>
      </c>
      <c r="S118" s="43" t="s">
        <v>350</v>
      </c>
      <c r="T118" s="43" t="s">
        <v>350</v>
      </c>
      <c r="U118" s="158" t="s">
        <v>350</v>
      </c>
      <c r="V118" s="88" t="s">
        <v>350</v>
      </c>
      <c r="W118" s="54">
        <v>45810</v>
      </c>
      <c r="X118" s="69" t="s">
        <v>1656</v>
      </c>
    </row>
    <row r="119" spans="1:25">
      <c r="A119" s="181" t="s">
        <v>640</v>
      </c>
      <c r="B119" s="185" t="s">
        <v>50</v>
      </c>
      <c r="C119" s="318">
        <v>45772</v>
      </c>
      <c r="D119" s="182" t="s">
        <v>641</v>
      </c>
      <c r="H119" s="188">
        <v>86</v>
      </c>
      <c r="I119" s="184"/>
      <c r="J119" s="182" t="s">
        <v>57</v>
      </c>
      <c r="K119" s="434" t="s">
        <v>57</v>
      </c>
      <c r="L119" s="182" t="s">
        <v>63</v>
      </c>
      <c r="M119" s="198">
        <v>45756</v>
      </c>
      <c r="N119" s="30" t="s">
        <v>350</v>
      </c>
      <c r="O119" s="125">
        <v>45757</v>
      </c>
      <c r="P119" s="30" t="s">
        <v>350</v>
      </c>
      <c r="Q119" s="69" t="s">
        <v>350</v>
      </c>
      <c r="R119" s="69" t="s">
        <v>1654</v>
      </c>
      <c r="S119" s="43" t="s">
        <v>350</v>
      </c>
      <c r="T119" s="43" t="s">
        <v>350</v>
      </c>
      <c r="U119" s="158" t="s">
        <v>350</v>
      </c>
      <c r="V119" s="88" t="s">
        <v>350</v>
      </c>
      <c r="W119" s="54">
        <v>45813</v>
      </c>
      <c r="X119" s="69" t="s">
        <v>1656</v>
      </c>
    </row>
    <row r="120" spans="1:25">
      <c r="A120" s="181" t="s">
        <v>642</v>
      </c>
      <c r="B120" s="185" t="s">
        <v>50</v>
      </c>
      <c r="C120" s="318">
        <v>45772</v>
      </c>
      <c r="D120" s="537" t="s">
        <v>643</v>
      </c>
      <c r="H120" s="188">
        <v>84</v>
      </c>
      <c r="I120" s="184"/>
      <c r="J120" s="182" t="s">
        <v>57</v>
      </c>
      <c r="K120" s="434" t="s">
        <v>57</v>
      </c>
      <c r="L120" s="182" t="s">
        <v>63</v>
      </c>
      <c r="M120" s="198">
        <v>45741</v>
      </c>
      <c r="N120" s="30" t="s">
        <v>350</v>
      </c>
      <c r="O120" s="54">
        <v>45748</v>
      </c>
      <c r="P120" s="30" t="s">
        <v>350</v>
      </c>
      <c r="Q120" s="43" t="s">
        <v>350</v>
      </c>
      <c r="R120" s="69" t="s">
        <v>1654</v>
      </c>
      <c r="S120" s="43" t="s">
        <v>350</v>
      </c>
      <c r="T120" s="43" t="s">
        <v>350</v>
      </c>
      <c r="U120" s="43" t="s">
        <v>350</v>
      </c>
      <c r="V120" s="88" t="s">
        <v>350</v>
      </c>
      <c r="W120" s="54">
        <v>45811</v>
      </c>
      <c r="X120" s="69" t="s">
        <v>1656</v>
      </c>
    </row>
    <row r="121" spans="1:25">
      <c r="A121" s="377" t="s">
        <v>701</v>
      </c>
      <c r="B121" s="710" t="s">
        <v>50</v>
      </c>
      <c r="C121" s="711">
        <v>45772</v>
      </c>
      <c r="D121" s="374" t="s">
        <v>702</v>
      </c>
      <c r="H121" s="352">
        <v>87</v>
      </c>
      <c r="I121" s="350"/>
      <c r="J121" s="374" t="s">
        <v>57</v>
      </c>
      <c r="K121" s="731" t="s">
        <v>57</v>
      </c>
      <c r="L121" s="182" t="s">
        <v>63</v>
      </c>
      <c r="M121" s="196">
        <v>45757</v>
      </c>
      <c r="N121" s="30" t="s">
        <v>350</v>
      </c>
      <c r="O121" s="125">
        <v>45757</v>
      </c>
      <c r="P121" s="30" t="s">
        <v>350</v>
      </c>
      <c r="Q121" s="69" t="s">
        <v>350</v>
      </c>
      <c r="R121" s="69" t="s">
        <v>1654</v>
      </c>
      <c r="S121" s="43" t="s">
        <v>350</v>
      </c>
      <c r="T121" s="43" t="s">
        <v>350</v>
      </c>
      <c r="U121" s="43" t="s">
        <v>350</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350</v>
      </c>
      <c r="O122" s="54">
        <v>45747</v>
      </c>
      <c r="P122" s="30" t="s">
        <v>350</v>
      </c>
      <c r="Q122" s="69" t="s">
        <v>350</v>
      </c>
      <c r="R122" s="69" t="s">
        <v>1654</v>
      </c>
      <c r="S122" s="43" t="s">
        <v>350</v>
      </c>
      <c r="T122" s="43" t="s">
        <v>350</v>
      </c>
      <c r="U122" s="158" t="s">
        <v>350</v>
      </c>
      <c r="V122" s="158" t="s">
        <v>350</v>
      </c>
      <c r="W122" s="54">
        <v>45789</v>
      </c>
      <c r="X122" s="69" t="s">
        <v>1656</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350</v>
      </c>
      <c r="O123" s="54">
        <v>45744</v>
      </c>
      <c r="P123" s="30" t="s">
        <v>350</v>
      </c>
      <c r="Q123" s="43" t="s">
        <v>350</v>
      </c>
      <c r="R123" s="69" t="s">
        <v>1654</v>
      </c>
      <c r="S123" s="43" t="s">
        <v>350</v>
      </c>
      <c r="T123" s="43" t="s">
        <v>350</v>
      </c>
      <c r="U123" s="43" t="s">
        <v>350</v>
      </c>
      <c r="V123" s="69" t="s">
        <v>350</v>
      </c>
      <c r="W123" s="54">
        <v>45811</v>
      </c>
      <c r="X123" s="69" t="s">
        <v>1656</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350</v>
      </c>
      <c r="O124" s="54">
        <v>45744</v>
      </c>
      <c r="P124" s="30" t="s">
        <v>350</v>
      </c>
      <c r="Q124" s="43" t="s">
        <v>350</v>
      </c>
      <c r="R124" s="69" t="s">
        <v>1654</v>
      </c>
      <c r="S124" s="43" t="s">
        <v>350</v>
      </c>
      <c r="T124" s="43" t="s">
        <v>350</v>
      </c>
      <c r="U124" s="43" t="s">
        <v>1659</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350</v>
      </c>
      <c r="N125" s="30" t="s">
        <v>350</v>
      </c>
      <c r="O125" s="54">
        <v>45679</v>
      </c>
      <c r="P125" s="30" t="s">
        <v>350</v>
      </c>
      <c r="Q125" s="69" t="s">
        <v>350</v>
      </c>
      <c r="R125" s="43" t="s">
        <v>1654</v>
      </c>
      <c r="S125" s="43" t="s">
        <v>350</v>
      </c>
      <c r="T125" s="43" t="s">
        <v>350</v>
      </c>
      <c r="U125" s="43" t="s">
        <v>350</v>
      </c>
      <c r="V125" s="43" t="s">
        <v>350</v>
      </c>
      <c r="W125" s="54">
        <v>45814</v>
      </c>
      <c r="X125" s="69" t="s">
        <v>1656</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350</v>
      </c>
      <c r="N126" s="30" t="s">
        <v>350</v>
      </c>
      <c r="O126" s="54">
        <v>45720</v>
      </c>
      <c r="P126" s="30" t="s">
        <v>350</v>
      </c>
      <c r="Q126" s="69" t="s">
        <v>350</v>
      </c>
      <c r="R126" s="43" t="s">
        <v>1654</v>
      </c>
      <c r="S126" s="43" t="s">
        <v>350</v>
      </c>
      <c r="T126" s="43" t="s">
        <v>350</v>
      </c>
      <c r="U126" s="43" t="s">
        <v>350</v>
      </c>
      <c r="V126" s="88" t="s">
        <v>350</v>
      </c>
      <c r="W126" s="54">
        <v>45819</v>
      </c>
      <c r="X126" s="69" t="s">
        <v>1656</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350</v>
      </c>
      <c r="O127" s="54">
        <v>45679</v>
      </c>
      <c r="P127" s="30" t="s">
        <v>350</v>
      </c>
      <c r="Q127" s="43" t="s">
        <v>350</v>
      </c>
      <c r="R127" s="43" t="s">
        <v>1654</v>
      </c>
      <c r="S127" s="43" t="s">
        <v>350</v>
      </c>
      <c r="T127" s="43" t="s">
        <v>350</v>
      </c>
      <c r="U127" s="43" t="s">
        <v>350</v>
      </c>
      <c r="V127" s="88" t="s">
        <v>350</v>
      </c>
      <c r="W127" s="54">
        <v>45812</v>
      </c>
      <c r="X127" s="69" t="s">
        <v>1656</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350</v>
      </c>
      <c r="O128" s="358">
        <v>45694</v>
      </c>
      <c r="P128" s="87" t="s">
        <v>350</v>
      </c>
      <c r="Q128" s="43" t="s">
        <v>350</v>
      </c>
      <c r="R128" s="43" t="s">
        <v>1654</v>
      </c>
      <c r="S128" s="43" t="s">
        <v>350</v>
      </c>
      <c r="T128" s="43" t="s">
        <v>350</v>
      </c>
      <c r="U128" s="43" t="s">
        <v>350</v>
      </c>
      <c r="V128" s="88" t="s">
        <v>350</v>
      </c>
      <c r="W128" s="168">
        <v>45883</v>
      </c>
      <c r="X128" s="69" t="s">
        <v>1656</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1654</v>
      </c>
      <c r="S129" s="43" t="s">
        <v>350</v>
      </c>
      <c r="T129" s="116" t="s">
        <v>350</v>
      </c>
      <c r="U129" s="116" t="s">
        <v>350</v>
      </c>
      <c r="V129" s="88" t="s">
        <v>350</v>
      </c>
      <c r="W129" s="168">
        <v>45814</v>
      </c>
      <c r="X129" s="69" t="s">
        <v>1656</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350</v>
      </c>
      <c r="O130" s="54">
        <v>45698</v>
      </c>
      <c r="P130" s="30" t="s">
        <v>350</v>
      </c>
      <c r="Q130" s="69" t="s">
        <v>350</v>
      </c>
      <c r="R130" s="43" t="s">
        <v>1654</v>
      </c>
      <c r="S130" s="43" t="s">
        <v>350</v>
      </c>
      <c r="T130" s="43" t="s">
        <v>350</v>
      </c>
      <c r="U130" s="43" t="s">
        <v>350</v>
      </c>
      <c r="V130" s="88" t="s">
        <v>350</v>
      </c>
      <c r="W130" s="54">
        <v>45798</v>
      </c>
      <c r="X130" s="69" t="s">
        <v>1656</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350</v>
      </c>
      <c r="N131" s="49" t="s">
        <v>350</v>
      </c>
      <c r="O131" s="30" t="s">
        <v>350</v>
      </c>
      <c r="P131" s="30" t="s">
        <v>350</v>
      </c>
      <c r="Q131" s="43" t="s">
        <v>350</v>
      </c>
      <c r="R131" s="43" t="s">
        <v>1654</v>
      </c>
      <c r="S131" s="43" t="s">
        <v>350</v>
      </c>
      <c r="T131" s="158" t="s">
        <v>350</v>
      </c>
      <c r="U131" s="158" t="s">
        <v>350</v>
      </c>
      <c r="V131" s="88" t="s">
        <v>350</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350</v>
      </c>
      <c r="O132" s="54">
        <v>45691</v>
      </c>
      <c r="P132" s="87" t="s">
        <v>350</v>
      </c>
      <c r="Q132" s="43" t="s">
        <v>350</v>
      </c>
      <c r="R132" s="43" t="s">
        <v>1654</v>
      </c>
      <c r="S132" s="43" t="s">
        <v>350</v>
      </c>
      <c r="T132" s="43" t="s">
        <v>350</v>
      </c>
      <c r="U132" s="43" t="s">
        <v>350</v>
      </c>
      <c r="V132" s="43" t="s">
        <v>350</v>
      </c>
      <c r="W132" s="54">
        <v>45820</v>
      </c>
      <c r="X132" s="69" t="s">
        <v>1656</v>
      </c>
      <c r="Y132" t="e">
        <f>VLOOKUP(A132,#REF!,2,FALSE)</f>
        <v>#REF!</v>
      </c>
    </row>
    <row r="133" spans="1:25" ht="15" customHeight="1">
      <c r="A133" s="369" t="s">
        <v>661</v>
      </c>
      <c r="B133" s="420" t="s">
        <v>50</v>
      </c>
      <c r="C133" s="378">
        <v>45742</v>
      </c>
      <c r="D133" s="433" t="s">
        <v>1660</v>
      </c>
      <c r="E133" s="372"/>
      <c r="F133" s="372"/>
      <c r="G133" s="372"/>
      <c r="H133" s="372">
        <v>38</v>
      </c>
      <c r="I133" s="371"/>
      <c r="J133" s="372" t="s">
        <v>57</v>
      </c>
      <c r="K133" s="372" t="s">
        <v>57</v>
      </c>
      <c r="L133" s="372" t="s">
        <v>63</v>
      </c>
      <c r="M133" s="49" t="s">
        <v>350</v>
      </c>
      <c r="N133" s="49" t="s">
        <v>350</v>
      </c>
      <c r="O133" s="54">
        <v>45701</v>
      </c>
      <c r="P133" s="30" t="s">
        <v>350</v>
      </c>
      <c r="Q133" s="69" t="s">
        <v>350</v>
      </c>
      <c r="R133" s="43" t="s">
        <v>1654</v>
      </c>
      <c r="S133" s="43" t="s">
        <v>350</v>
      </c>
      <c r="T133" s="43" t="s">
        <v>350</v>
      </c>
      <c r="U133" s="43" t="s">
        <v>350</v>
      </c>
      <c r="V133" s="69" t="s">
        <v>350</v>
      </c>
      <c r="W133" s="54">
        <v>45821</v>
      </c>
      <c r="X133" s="69" t="s">
        <v>1656</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350</v>
      </c>
      <c r="O134" s="54">
        <v>45709</v>
      </c>
      <c r="P134" s="30" t="s">
        <v>350</v>
      </c>
      <c r="Q134" s="43" t="s">
        <v>350</v>
      </c>
      <c r="R134" s="43" t="s">
        <v>1654</v>
      </c>
      <c r="S134" s="43" t="s">
        <v>350</v>
      </c>
      <c r="T134" s="43" t="s">
        <v>350</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350</v>
      </c>
      <c r="N135" s="49" t="s">
        <v>350</v>
      </c>
      <c r="O135" s="198">
        <v>45720</v>
      </c>
      <c r="P135" s="49" t="s">
        <v>350</v>
      </c>
      <c r="Q135" s="69" t="s">
        <v>350</v>
      </c>
      <c r="R135" s="43" t="s">
        <v>1654</v>
      </c>
      <c r="S135" s="43" t="s">
        <v>350</v>
      </c>
      <c r="T135" s="43" t="s">
        <v>350</v>
      </c>
      <c r="U135" s="158" t="s">
        <v>350</v>
      </c>
      <c r="V135" s="43" t="s">
        <v>350</v>
      </c>
      <c r="W135" s="54">
        <v>45819</v>
      </c>
      <c r="X135" s="69" t="s">
        <v>1656</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350</v>
      </c>
      <c r="O136" s="54">
        <v>45691</v>
      </c>
      <c r="P136" s="30" t="s">
        <v>350</v>
      </c>
      <c r="Q136" s="43" t="s">
        <v>350</v>
      </c>
      <c r="R136" s="43" t="s">
        <v>1654</v>
      </c>
      <c r="S136" s="43" t="s">
        <v>350</v>
      </c>
      <c r="T136" s="43" t="s">
        <v>350</v>
      </c>
      <c r="U136" s="43" t="s">
        <v>350</v>
      </c>
      <c r="V136" s="43" t="s">
        <v>350</v>
      </c>
      <c r="W136" s="54">
        <v>45791</v>
      </c>
      <c r="X136" s="69" t="s">
        <v>1656</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350</v>
      </c>
      <c r="O137" s="30" t="s">
        <v>350</v>
      </c>
      <c r="P137" s="49" t="s">
        <v>350</v>
      </c>
      <c r="Q137" s="69" t="s">
        <v>350</v>
      </c>
      <c r="R137" s="43" t="s">
        <v>1654</v>
      </c>
      <c r="S137" s="43" t="s">
        <v>350</v>
      </c>
      <c r="T137" s="43" t="s">
        <v>350</v>
      </c>
      <c r="U137" s="158" t="s">
        <v>350</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350</v>
      </c>
      <c r="O138" s="125">
        <v>45707</v>
      </c>
      <c r="P138" s="30" t="s">
        <v>350</v>
      </c>
      <c r="Q138" s="43" t="s">
        <v>350</v>
      </c>
      <c r="R138" s="43" t="s">
        <v>1654</v>
      </c>
      <c r="S138" s="43" t="s">
        <v>350</v>
      </c>
      <c r="T138" s="43" t="s">
        <v>350</v>
      </c>
      <c r="U138" s="43" t="s">
        <v>350</v>
      </c>
      <c r="V138" s="43" t="s">
        <v>350</v>
      </c>
      <c r="W138" s="54">
        <v>45790</v>
      </c>
      <c r="X138" s="69" t="s">
        <v>1656</v>
      </c>
      <c r="Y138" t="e">
        <f>VLOOKUP(A138,#REF!,2,FALSE)</f>
        <v>#REF!</v>
      </c>
    </row>
    <row r="139" spans="1:25" ht="15" customHeight="1">
      <c r="A139" s="369" t="s">
        <v>1661</v>
      </c>
      <c r="B139" s="185" t="s">
        <v>50</v>
      </c>
      <c r="C139" s="422">
        <v>45742</v>
      </c>
      <c r="D139" s="372" t="s">
        <v>1662</v>
      </c>
      <c r="E139" s="539"/>
      <c r="F139" s="372"/>
      <c r="G139" s="372"/>
      <c r="H139" s="372">
        <v>87</v>
      </c>
      <c r="I139" s="371"/>
      <c r="J139" s="372" t="s">
        <v>57</v>
      </c>
      <c r="K139" s="372" t="s">
        <v>57</v>
      </c>
      <c r="L139" s="372" t="s">
        <v>63</v>
      </c>
      <c r="M139" s="49" t="s">
        <v>350</v>
      </c>
      <c r="N139" s="30" t="s">
        <v>350</v>
      </c>
      <c r="O139" s="30" t="s">
        <v>350</v>
      </c>
      <c r="P139" s="30" t="s">
        <v>350</v>
      </c>
      <c r="Q139" s="43" t="s">
        <v>350</v>
      </c>
      <c r="R139" s="43" t="s">
        <v>1654</v>
      </c>
      <c r="S139" s="43" t="s">
        <v>350</v>
      </c>
      <c r="T139" s="43" t="s">
        <v>350</v>
      </c>
      <c r="U139" s="158" t="s">
        <v>350</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350</v>
      </c>
      <c r="O140" s="54">
        <v>45743</v>
      </c>
      <c r="P140" s="87" t="s">
        <v>350</v>
      </c>
      <c r="Q140" s="88" t="s">
        <v>350</v>
      </c>
      <c r="R140" s="43" t="s">
        <v>1654</v>
      </c>
      <c r="S140" s="43" t="s">
        <v>350</v>
      </c>
      <c r="T140" s="43" t="s">
        <v>350</v>
      </c>
      <c r="U140" s="88" t="s">
        <v>350</v>
      </c>
      <c r="V140" s="69" t="s">
        <v>350</v>
      </c>
      <c r="W140" s="54">
        <v>45819</v>
      </c>
      <c r="X140" s="69" t="s">
        <v>1656</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1654</v>
      </c>
      <c r="S141" s="43" t="s">
        <v>350</v>
      </c>
      <c r="T141" s="43" t="s">
        <v>350</v>
      </c>
      <c r="U141" s="88" t="s">
        <v>350</v>
      </c>
      <c r="V141" s="88" t="s">
        <v>350</v>
      </c>
      <c r="W141" s="54">
        <v>45811</v>
      </c>
      <c r="X141" s="69" t="s">
        <v>1656</v>
      </c>
      <c r="Y141" t="e">
        <f>VLOOKUP(A141,#REF!,2,FALSE)</f>
        <v>#REF!</v>
      </c>
    </row>
    <row r="142" spans="1:25" ht="15" customHeight="1">
      <c r="A142" s="369" t="s">
        <v>1663</v>
      </c>
      <c r="B142" s="420" t="s">
        <v>50</v>
      </c>
      <c r="C142" s="422">
        <v>45742</v>
      </c>
      <c r="D142" s="372" t="s">
        <v>1664</v>
      </c>
      <c r="E142" s="539"/>
      <c r="F142" s="372"/>
      <c r="G142" s="372"/>
      <c r="H142" s="372">
        <v>87</v>
      </c>
      <c r="I142" s="371"/>
      <c r="J142" s="372" t="s">
        <v>57</v>
      </c>
      <c r="K142" s="372" t="s">
        <v>57</v>
      </c>
      <c r="L142" s="372" t="s">
        <v>63</v>
      </c>
      <c r="M142" s="49" t="s">
        <v>350</v>
      </c>
      <c r="N142" s="49" t="s">
        <v>350</v>
      </c>
      <c r="O142" s="198">
        <v>45691</v>
      </c>
      <c r="P142" s="30" t="s">
        <v>350</v>
      </c>
      <c r="Q142" s="69" t="s">
        <v>350</v>
      </c>
      <c r="R142" s="43" t="s">
        <v>1654</v>
      </c>
      <c r="S142" s="43" t="s">
        <v>350</v>
      </c>
      <c r="T142" s="43" t="s">
        <v>350</v>
      </c>
      <c r="U142" s="158" t="s">
        <v>350</v>
      </c>
      <c r="V142" s="69" t="s">
        <v>94</v>
      </c>
      <c r="W142" s="30"/>
      <c r="X142" s="69" t="s">
        <v>94</v>
      </c>
      <c r="Y142" t="e">
        <f>VLOOKUP(A142,#REF!,2,FALSE)</f>
        <v>#REF!</v>
      </c>
    </row>
    <row r="143" spans="1:25" ht="15" customHeight="1">
      <c r="A143" s="369" t="s">
        <v>485</v>
      </c>
      <c r="B143" s="420" t="s">
        <v>50</v>
      </c>
      <c r="C143" s="745">
        <v>45688</v>
      </c>
      <c r="D143" s="538" t="s">
        <v>487</v>
      </c>
      <c r="E143" s="538"/>
      <c r="F143" s="538"/>
      <c r="G143" s="538"/>
      <c r="H143" s="433">
        <v>79</v>
      </c>
      <c r="I143" s="371"/>
      <c r="J143" s="557" t="s">
        <v>57</v>
      </c>
      <c r="K143" s="557" t="s">
        <v>57</v>
      </c>
      <c r="L143" s="372" t="s">
        <v>63</v>
      </c>
      <c r="M143" s="49" t="s">
        <v>350</v>
      </c>
      <c r="N143" s="49" t="s">
        <v>350</v>
      </c>
      <c r="O143" s="198">
        <v>45675</v>
      </c>
      <c r="P143" s="30" t="s">
        <v>350</v>
      </c>
      <c r="Q143" s="69" t="s">
        <v>350</v>
      </c>
      <c r="R143" s="43" t="s">
        <v>1654</v>
      </c>
      <c r="S143" s="43" t="s">
        <v>350</v>
      </c>
      <c r="T143" s="43" t="s">
        <v>350</v>
      </c>
      <c r="U143" s="158" t="s">
        <v>350</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1656</v>
      </c>
    </row>
    <row r="145" spans="1:25" ht="15" customHeight="1">
      <c r="A145" s="369" t="s">
        <v>901</v>
      </c>
      <c r="B145" s="420" t="s">
        <v>50</v>
      </c>
      <c r="C145" s="370">
        <v>45991</v>
      </c>
      <c r="D145" s="424" t="s">
        <v>490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1665</v>
      </c>
      <c r="B146" s="420" t="s">
        <v>50</v>
      </c>
      <c r="C146" s="370">
        <v>45991</v>
      </c>
      <c r="D146" s="432" t="s">
        <v>1666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491</v>
      </c>
      <c r="B148" s="420" t="s">
        <v>50</v>
      </c>
      <c r="C148" s="414">
        <v>45991</v>
      </c>
      <c r="D148" s="424" t="s">
        <v>493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1654</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1654</v>
      </c>
      <c r="S150" s="43" t="s">
        <v>350</v>
      </c>
      <c r="T150" s="43" t="s">
        <v>350</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1654</v>
      </c>
      <c r="S151" s="43" t="s">
        <v>350</v>
      </c>
      <c r="T151" s="43" t="s">
        <v>350</v>
      </c>
      <c r="U151" s="69" t="s">
        <v>94</v>
      </c>
      <c r="V151" s="69" t="s">
        <v>94</v>
      </c>
      <c r="W151" s="54">
        <v>45818</v>
      </c>
      <c r="X151" s="69" t="s">
        <v>94</v>
      </c>
      <c r="Y151" t="e">
        <f>VLOOKUP(A151,#REF!,2,FALSE)</f>
        <v>#REF!</v>
      </c>
    </row>
    <row r="152" spans="1:25" ht="15" customHeight="1">
      <c r="A152" s="369" t="s">
        <v>907</v>
      </c>
      <c r="B152" s="420" t="s">
        <v>50</v>
      </c>
      <c r="C152" s="414">
        <v>45991</v>
      </c>
      <c r="D152" s="424" t="s">
        <v>428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1654</v>
      </c>
      <c r="S153" s="43" t="s">
        <v>350</v>
      </c>
      <c r="T153" s="158" t="s">
        <v>350</v>
      </c>
      <c r="U153" s="158" t="s">
        <v>350</v>
      </c>
      <c r="V153" s="43" t="s">
        <v>350</v>
      </c>
      <c r="W153" s="54">
        <v>45807</v>
      </c>
      <c r="X153" s="69" t="s">
        <v>1656</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350</v>
      </c>
      <c r="O154" s="358">
        <v>45696</v>
      </c>
      <c r="P154" s="30" t="s">
        <v>350</v>
      </c>
      <c r="Q154" s="69" t="s">
        <v>350</v>
      </c>
      <c r="R154" s="43" t="s">
        <v>1654</v>
      </c>
      <c r="S154" s="43" t="s">
        <v>350</v>
      </c>
      <c r="T154" s="158" t="s">
        <v>350</v>
      </c>
      <c r="U154" s="158" t="s">
        <v>350</v>
      </c>
      <c r="V154" s="43" t="s">
        <v>350</v>
      </c>
      <c r="W154" s="168">
        <v>45792</v>
      </c>
      <c r="X154" s="149" t="s">
        <v>1656</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350</v>
      </c>
      <c r="O155" s="54">
        <v>45699</v>
      </c>
      <c r="P155" s="49" t="s">
        <v>350</v>
      </c>
      <c r="Q155" s="69" t="s">
        <v>350</v>
      </c>
      <c r="R155" s="43" t="s">
        <v>1654</v>
      </c>
      <c r="S155" s="43" t="s">
        <v>350</v>
      </c>
      <c r="T155" s="43" t="s">
        <v>350</v>
      </c>
      <c r="U155" s="158" t="s">
        <v>350</v>
      </c>
      <c r="V155" s="43" t="s">
        <v>350</v>
      </c>
      <c r="W155" s="367">
        <v>45821</v>
      </c>
      <c r="X155" s="69" t="s">
        <v>1656</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350</v>
      </c>
      <c r="O156" s="54">
        <v>45699</v>
      </c>
      <c r="P156" s="49" t="s">
        <v>350</v>
      </c>
      <c r="Q156" s="69" t="s">
        <v>350</v>
      </c>
      <c r="R156" s="43" t="s">
        <v>1654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1654</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350</v>
      </c>
      <c r="O158" s="54">
        <v>45736</v>
      </c>
      <c r="P158" s="49" t="s">
        <v>350</v>
      </c>
      <c r="Q158" s="69" t="s">
        <v>350</v>
      </c>
      <c r="R158" s="43" t="s">
        <v>1654</v>
      </c>
      <c r="S158" s="43" t="s">
        <v>350</v>
      </c>
      <c r="T158" s="43" t="s">
        <v>350</v>
      </c>
      <c r="U158" s="158" t="s">
        <v>350</v>
      </c>
      <c r="V158" s="158" t="s">
        <v>350</v>
      </c>
      <c r="W158" s="367">
        <v>45817</v>
      </c>
      <c r="X158" s="69" t="s">
        <v>1656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1656</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1656</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1656</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1656</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1656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495</v>
      </c>
      <c r="B169" s="420" t="s">
        <v>50</v>
      </c>
      <c r="C169" s="597">
        <v>45991</v>
      </c>
      <c r="D169" s="424" t="s">
        <v>496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1667</v>
      </c>
      <c r="W2" s="3" t="s">
        <v>1668</v>
      </c>
      <c r="X2" s="3" t="s">
        <v>1668</v>
      </c>
      <c r="Y2" s="3" t="s">
        <v>1668</v>
      </c>
      <c r="Z2" s="3" t="s">
        <v>1668</v>
      </c>
      <c r="AA2" s="8" t="s">
        <v>1669</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1670</v>
      </c>
      <c r="T3" s="19" t="s">
        <v>1671</v>
      </c>
      <c r="U3" s="19" t="s">
        <v>1672</v>
      </c>
      <c r="V3" s="5" t="s">
        <v>1673</v>
      </c>
      <c r="W3" s="5" t="s">
        <v>44</v>
      </c>
      <c r="X3" s="5" t="s">
        <v>43</v>
      </c>
      <c r="Y3" s="5" t="s">
        <v>1674</v>
      </c>
      <c r="Z3" s="5" t="s">
        <v>46</v>
      </c>
      <c r="AA3" s="90" t="s">
        <v>503</v>
      </c>
      <c r="AB3" s="68" t="s">
        <v>48</v>
      </c>
    </row>
    <row r="4" spans="1:30" ht="24.75" customHeight="1" thickBot="1">
      <c r="A4" s="454" t="s">
        <v>1675</v>
      </c>
      <c r="B4" s="454" t="s">
        <v>1676</v>
      </c>
      <c r="C4" s="16">
        <v>45717</v>
      </c>
      <c r="D4" s="63" t="s">
        <v>1677</v>
      </c>
      <c r="E4" s="51">
        <v>45707</v>
      </c>
      <c r="F4" s="51" t="s">
        <v>230</v>
      </c>
      <c r="G4" s="393" t="s">
        <v>1678</v>
      </c>
      <c r="H4" s="98">
        <v>0</v>
      </c>
      <c r="I4" s="106"/>
      <c r="J4" s="76" t="s">
        <v>63</v>
      </c>
      <c r="K4" s="76" t="s">
        <v>1679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1680</v>
      </c>
    </row>
    <row r="5" spans="1:30" ht="24.75" customHeight="1" thickBot="1">
      <c r="A5" s="454" t="s">
        <v>1681</v>
      </c>
      <c r="B5" s="454" t="s">
        <v>1676</v>
      </c>
      <c r="C5" s="16">
        <v>45717</v>
      </c>
      <c r="D5" s="63" t="s">
        <v>1677</v>
      </c>
      <c r="E5" s="51">
        <v>45707</v>
      </c>
      <c r="F5" s="392" t="s">
        <v>230</v>
      </c>
      <c r="G5" s="393" t="s">
        <v>1682</v>
      </c>
      <c r="H5" s="98">
        <v>0</v>
      </c>
      <c r="I5" s="106"/>
      <c r="J5" s="76" t="s">
        <v>63</v>
      </c>
      <c r="K5" s="76" t="s">
        <v>1679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1683</v>
      </c>
      <c r="B6" s="454" t="s">
        <v>1676</v>
      </c>
      <c r="C6" s="16">
        <v>45717</v>
      </c>
      <c r="D6" s="63" t="s">
        <v>1677</v>
      </c>
      <c r="E6" s="51">
        <v>45707</v>
      </c>
      <c r="F6" s="392" t="s">
        <v>230</v>
      </c>
      <c r="G6" s="393" t="s">
        <v>1684</v>
      </c>
      <c r="H6" s="98">
        <v>0</v>
      </c>
      <c r="I6" s="106"/>
      <c r="J6" s="76" t="s">
        <v>63</v>
      </c>
      <c r="K6" s="76" t="s">
        <v>1679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1685</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1686</v>
      </c>
      <c r="B8" s="454" t="s">
        <v>1687</v>
      </c>
      <c r="C8" s="16">
        <v>45748</v>
      </c>
      <c r="D8" s="16" t="s">
        <v>1677</v>
      </c>
      <c r="E8" s="95" t="s">
        <v>52</v>
      </c>
      <c r="F8" s="96" t="s">
        <v>52</v>
      </c>
      <c r="G8" s="638" t="s">
        <v>1688</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1689</v>
      </c>
      <c r="AC8" s="449"/>
      <c r="AD8" s="70"/>
    </row>
    <row r="9" spans="1:30" ht="24.75" customHeight="1">
      <c r="A9" s="463" t="s">
        <v>1690</v>
      </c>
      <c r="B9" s="463" t="s">
        <v>1691</v>
      </c>
      <c r="C9" s="23">
        <v>45741</v>
      </c>
      <c r="D9" s="16" t="s">
        <v>1677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1692</v>
      </c>
    </row>
    <row r="10" spans="1:30" ht="24.75" customHeight="1" thickBot="1">
      <c r="A10" s="26" t="s">
        <v>1693</v>
      </c>
      <c r="B10" s="26" t="s">
        <v>1691</v>
      </c>
      <c r="C10" s="27">
        <v>45741</v>
      </c>
      <c r="D10" s="16" t="s">
        <v>1677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1694</v>
      </c>
      <c r="B11" s="36" t="s">
        <v>1691</v>
      </c>
      <c r="C11" s="37">
        <v>45747</v>
      </c>
      <c r="D11" s="16" t="s">
        <v>1677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1695</v>
      </c>
      <c r="B12" s="26" t="s">
        <v>1691</v>
      </c>
      <c r="C12" s="27">
        <v>45741</v>
      </c>
      <c r="D12" s="16" t="s">
        <v>1677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1692</v>
      </c>
    </row>
    <row r="13" spans="1:30" ht="24.75" customHeight="1" thickBot="1">
      <c r="A13" s="26" t="s">
        <v>1696</v>
      </c>
      <c r="B13" s="26" t="s">
        <v>1691</v>
      </c>
      <c r="C13" s="27">
        <v>45741</v>
      </c>
      <c r="D13" s="27" t="s">
        <v>1677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1692</v>
      </c>
    </row>
    <row r="14" spans="1:30" ht="24.75" customHeight="1" thickBot="1">
      <c r="A14" s="26" t="s">
        <v>1697</v>
      </c>
      <c r="B14" s="26" t="s">
        <v>1691</v>
      </c>
      <c r="C14" s="27">
        <v>45747</v>
      </c>
      <c r="D14" s="27" t="s">
        <v>1677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1698</v>
      </c>
      <c r="B15" s="26" t="s">
        <v>1691</v>
      </c>
      <c r="C15" s="27">
        <v>45741</v>
      </c>
      <c r="D15" s="27" t="s">
        <v>1677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1692</v>
      </c>
    </row>
    <row r="16" spans="1:30" ht="24.75" customHeight="1" thickBot="1">
      <c r="A16" s="26" t="s">
        <v>1699</v>
      </c>
      <c r="B16" s="26" t="s">
        <v>1691</v>
      </c>
      <c r="C16" s="27">
        <v>45741</v>
      </c>
      <c r="D16" s="27" t="s">
        <v>1677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1692</v>
      </c>
    </row>
    <row r="17" spans="1:30" ht="24.75" customHeight="1" thickBot="1">
      <c r="A17" s="36" t="s">
        <v>1700</v>
      </c>
      <c r="B17" s="36" t="s">
        <v>1691</v>
      </c>
      <c r="C17" s="37">
        <v>45747</v>
      </c>
      <c r="D17" s="37" t="s">
        <v>1677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1701</v>
      </c>
      <c r="B18" s="385" t="s">
        <v>1691</v>
      </c>
      <c r="C18" s="51">
        <v>45717</v>
      </c>
      <c r="D18" s="27" t="s">
        <v>1677</v>
      </c>
      <c r="E18" s="85">
        <v>45700</v>
      </c>
      <c r="F18" s="51"/>
      <c r="G18" s="51" t="s">
        <v>1702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1692</v>
      </c>
    </row>
    <row r="19" spans="1:30" ht="24.75" customHeight="1" thickBot="1">
      <c r="A19" s="50" t="s">
        <v>1703</v>
      </c>
      <c r="B19" s="26" t="s">
        <v>1691</v>
      </c>
      <c r="C19" s="51">
        <v>45747</v>
      </c>
      <c r="D19" s="27" t="s">
        <v>1677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1704</v>
      </c>
    </row>
    <row r="20" spans="1:30" ht="24.75" customHeight="1" thickBot="1">
      <c r="A20" s="385" t="s">
        <v>1705</v>
      </c>
      <c r="B20" s="385" t="s">
        <v>1691</v>
      </c>
      <c r="C20" s="386">
        <v>45717</v>
      </c>
      <c r="D20" s="27" t="s">
        <v>1677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1692</v>
      </c>
    </row>
    <row r="21" spans="1:30" ht="24.75" customHeight="1" thickBot="1">
      <c r="A21" s="385" t="s">
        <v>1706</v>
      </c>
      <c r="B21" s="113" t="s">
        <v>50</v>
      </c>
      <c r="C21" s="51">
        <v>45717</v>
      </c>
      <c r="D21" s="27" t="s">
        <v>1707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1708</v>
      </c>
      <c r="B22" s="389" t="s">
        <v>50</v>
      </c>
      <c r="C22" s="51">
        <v>45717</v>
      </c>
      <c r="D22" s="51" t="s">
        <v>1707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1709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1710</v>
      </c>
      <c r="B24" s="389" t="s">
        <v>50</v>
      </c>
      <c r="C24" s="392">
        <v>45688</v>
      </c>
      <c r="D24" s="402" t="s">
        <v>1709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1711</v>
      </c>
      <c r="B25" s="114" t="s">
        <v>50</v>
      </c>
      <c r="C25" s="51">
        <v>45747</v>
      </c>
      <c r="D25" s="51" t="s">
        <v>1707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1712</v>
      </c>
    </row>
    <row r="26" spans="1:30" ht="24.75" customHeight="1">
      <c r="A26" s="102" t="s">
        <v>1713</v>
      </c>
      <c r="B26" s="103" t="s">
        <v>50</v>
      </c>
      <c r="C26" s="77">
        <v>45716</v>
      </c>
      <c r="D26" s="26" t="s">
        <v>1709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1714</v>
      </c>
      <c r="B27" s="103" t="s">
        <v>50</v>
      </c>
      <c r="C27" s="77">
        <v>45716</v>
      </c>
      <c r="D27" s="50" t="s">
        <v>1709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1715</v>
      </c>
      <c r="B28" s="103" t="s">
        <v>50</v>
      </c>
      <c r="C28" s="77">
        <v>45717</v>
      </c>
      <c r="D28" s="51" t="s">
        <v>1707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1716</v>
      </c>
      <c r="B29" s="103" t="s">
        <v>50</v>
      </c>
      <c r="C29" s="77">
        <v>45717</v>
      </c>
      <c r="D29" s="51" t="s">
        <v>1707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1717</v>
      </c>
      <c r="B30" s="389" t="s">
        <v>50</v>
      </c>
      <c r="C30" s="51">
        <v>45717</v>
      </c>
      <c r="D30" s="51" t="s">
        <v>1707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1718</v>
      </c>
      <c r="B31" s="389" t="s">
        <v>50</v>
      </c>
      <c r="C31" s="51">
        <v>45717</v>
      </c>
      <c r="D31" s="51" t="s">
        <v>1707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1665</v>
      </c>
      <c r="B32" s="1057" t="s">
        <v>50</v>
      </c>
      <c r="C32" s="950">
        <v>45991</v>
      </c>
      <c r="D32" s="950" t="s">
        <v>60</v>
      </c>
      <c r="E32" s="1049">
        <v>45734</v>
      </c>
      <c r="F32" s="954" t="s">
        <v>61</v>
      </c>
      <c r="G32" s="1058" t="s">
        <v>1666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1719</v>
      </c>
      <c r="B33" s="1057" t="s">
        <v>50</v>
      </c>
      <c r="C33" s="950">
        <v>45991</v>
      </c>
      <c r="D33" s="954" t="s">
        <v>60</v>
      </c>
      <c r="E33" s="1049">
        <v>45743</v>
      </c>
      <c r="F33" s="954" t="s">
        <v>61</v>
      </c>
      <c r="G33" s="1058" t="s">
        <v>1720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1721</v>
      </c>
    </row>
    <row r="34" spans="1:28" ht="24.75" customHeight="1">
      <c r="A34" s="948" t="s">
        <v>1722</v>
      </c>
      <c r="B34" s="1057" t="s">
        <v>50</v>
      </c>
      <c r="C34" s="950">
        <v>45989</v>
      </c>
      <c r="D34" s="950" t="s">
        <v>1723</v>
      </c>
      <c r="E34" s="1049"/>
      <c r="F34" s="954"/>
      <c r="G34" s="1058"/>
      <c r="H34" s="1174">
        <v>194</v>
      </c>
      <c r="I34" s="953" t="s">
        <v>55</v>
      </c>
      <c r="J34" s="1175" t="s">
        <v>56</v>
      </c>
      <c r="K34" s="1176"/>
      <c r="L34" s="1049">
        <v>45964</v>
      </c>
      <c r="M34" s="1174" t="s">
        <v>57</v>
      </c>
      <c r="N34" s="1177">
        <v>39337.5</v>
      </c>
      <c r="O34" s="1174" t="s">
        <v>57</v>
      </c>
      <c r="P34" s="1178" t="s">
        <v>58</v>
      </c>
      <c r="Q34" s="1179">
        <v>45964</v>
      </c>
      <c r="R34" s="1180">
        <v>3970</v>
      </c>
      <c r="S34" s="1182">
        <v>0</v>
      </c>
      <c r="T34" s="1181">
        <v>0</v>
      </c>
      <c r="U34" s="1181">
        <v>0</v>
      </c>
      <c r="V34" s="1181"/>
      <c r="W34" s="1181">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1724</v>
      </c>
      <c r="C1" s="1153"/>
      <c r="D1" s="576"/>
      <c r="E1" s="1153" t="s">
        <v>1725</v>
      </c>
      <c r="F1" s="1153"/>
    </row>
    <row r="2" spans="1:25">
      <c r="B2" s="44" t="s">
        <v>1726</v>
      </c>
      <c r="E2" s="44" t="s">
        <v>22</v>
      </c>
      <c r="F2" t="s">
        <v>872</v>
      </c>
      <c r="P2" s="44" t="s">
        <v>27</v>
      </c>
      <c r="Q2" t="s">
        <v>1727</v>
      </c>
    </row>
    <row r="3" spans="1:25">
      <c r="B3" s="44" t="s">
        <v>22</v>
      </c>
      <c r="C3" t="s">
        <v>878</v>
      </c>
      <c r="K3" s="44" t="s">
        <v>1728</v>
      </c>
      <c r="L3" t="s">
        <v>1729</v>
      </c>
      <c r="P3" s="44" t="s">
        <v>1728</v>
      </c>
      <c r="Q3" t="s">
        <v>1729</v>
      </c>
    </row>
    <row r="4" spans="1:25">
      <c r="B4" t="s">
        <v>140</v>
      </c>
      <c r="C4" s="1158">
        <v>223696</v>
      </c>
      <c r="E4" s="44" t="s">
        <v>1726</v>
      </c>
      <c r="F4" t="s">
        <v>878</v>
      </c>
      <c r="W4" t="s">
        <v>1730</v>
      </c>
      <c r="X4">
        <v>22</v>
      </c>
    </row>
    <row r="5" spans="1:25">
      <c r="B5" t="s">
        <v>60</v>
      </c>
      <c r="C5" s="1158">
        <v>53770</v>
      </c>
      <c r="E5" t="s">
        <v>878</v>
      </c>
      <c r="F5" s="1158">
        <v>307508</v>
      </c>
      <c r="K5" s="44" t="s">
        <v>1731</v>
      </c>
      <c r="P5" s="44" t="s">
        <v>1731</v>
      </c>
      <c r="W5" t="s">
        <v>1732</v>
      </c>
      <c r="X5">
        <v>13</v>
      </c>
    </row>
    <row r="6" spans="1:25">
      <c r="B6" t="s">
        <v>101</v>
      </c>
      <c r="C6" s="1158">
        <v>22387</v>
      </c>
      <c r="K6" s="44" t="s">
        <v>27</v>
      </c>
      <c r="L6" s="44" t="s">
        <v>1733</v>
      </c>
      <c r="M6" t="s">
        <v>878</v>
      </c>
      <c r="P6" s="44" t="s">
        <v>1734</v>
      </c>
      <c r="Q6" s="44" t="s">
        <v>1733</v>
      </c>
      <c r="R6" t="s">
        <v>878</v>
      </c>
    </row>
    <row r="7" spans="1:25">
      <c r="B7" t="s">
        <v>904</v>
      </c>
      <c r="C7" s="1158">
        <v>220463</v>
      </c>
      <c r="K7" t="s">
        <v>1727</v>
      </c>
      <c r="L7" t="s">
        <v>509</v>
      </c>
      <c r="M7" s="1158">
        <v>1</v>
      </c>
      <c r="P7" t="s">
        <v>1735</v>
      </c>
      <c r="R7" s="1158">
        <v>1</v>
      </c>
      <c r="X7" t="s">
        <v>1736</v>
      </c>
      <c r="Y7" t="s">
        <v>1737</v>
      </c>
    </row>
    <row r="8" spans="1:25">
      <c r="B8" t="s">
        <v>51</v>
      </c>
      <c r="C8" s="1158">
        <v>0</v>
      </c>
      <c r="L8" t="s">
        <v>511</v>
      </c>
      <c r="M8" s="1158">
        <v>1</v>
      </c>
      <c r="P8" t="s">
        <v>1738</v>
      </c>
      <c r="R8" s="1158">
        <v>1</v>
      </c>
      <c r="V8" t="s">
        <v>1739</v>
      </c>
      <c r="W8" s="261">
        <v>203521</v>
      </c>
      <c r="X8" s="317">
        <f>X5/X4</f>
        <v>0.59090909090909094</v>
      </c>
      <c r="Y8" s="317">
        <f>W9/W8</f>
        <v>0.31446386367991508</v>
      </c>
    </row>
    <row r="9" spans="1:25">
      <c r="B9" t="s">
        <v>22</v>
      </c>
      <c r="C9" s="1158">
        <v>0</v>
      </c>
      <c r="L9" t="s">
        <v>1740</v>
      </c>
      <c r="M9" s="1158">
        <v>1</v>
      </c>
      <c r="P9" t="s">
        <v>1741</v>
      </c>
      <c r="Q9" t="s">
        <v>1740</v>
      </c>
      <c r="R9" s="1158">
        <v>1</v>
      </c>
      <c r="V9" t="s">
        <v>1742</v>
      </c>
      <c r="W9">
        <v>64000</v>
      </c>
    </row>
    <row r="10" spans="1:25">
      <c r="B10" t="s">
        <v>243</v>
      </c>
      <c r="C10" s="1158">
        <v>7348</v>
      </c>
      <c r="L10" t="s">
        <v>610</v>
      </c>
      <c r="M10" s="1158">
        <v>1</v>
      </c>
      <c r="Q10" t="s">
        <v>614</v>
      </c>
      <c r="R10" s="1158">
        <v>1</v>
      </c>
    </row>
    <row r="11" spans="1:25">
      <c r="B11" t="s">
        <v>245</v>
      </c>
      <c r="C11" s="1158">
        <v>41868</v>
      </c>
      <c r="L11" t="s">
        <v>614</v>
      </c>
      <c r="M11" s="1158">
        <v>1</v>
      </c>
      <c r="Q11" t="s">
        <v>422</v>
      </c>
      <c r="R11" s="1158">
        <v>1</v>
      </c>
    </row>
    <row r="12" spans="1:25">
      <c r="B12" t="s">
        <v>207</v>
      </c>
      <c r="C12" s="1158">
        <v>103</v>
      </c>
      <c r="L12" t="s">
        <v>422</v>
      </c>
      <c r="M12" s="1158">
        <v>1</v>
      </c>
      <c r="Q12" t="s">
        <v>1743</v>
      </c>
      <c r="R12" s="1158">
        <v>1</v>
      </c>
    </row>
    <row r="13" spans="1:25">
      <c r="B13" t="s">
        <v>210</v>
      </c>
      <c r="C13" s="1158">
        <v>16290</v>
      </c>
      <c r="L13" t="s">
        <v>1744</v>
      </c>
      <c r="M13" s="1158">
        <v>1</v>
      </c>
      <c r="Q13" t="s">
        <v>828</v>
      </c>
      <c r="R13" s="1158">
        <v>1</v>
      </c>
    </row>
    <row r="14" spans="1:25">
      <c r="B14" t="s">
        <v>239</v>
      </c>
      <c r="C14" s="1158">
        <v>11123</v>
      </c>
      <c r="L14" t="s">
        <v>628</v>
      </c>
      <c r="M14" s="1158">
        <v>1</v>
      </c>
      <c r="P14" t="s">
        <v>1745</v>
      </c>
      <c r="R14" s="1158">
        <v>5</v>
      </c>
    </row>
    <row r="15" spans="1:25">
      <c r="B15" t="s">
        <v>1723</v>
      </c>
      <c r="C15" s="1158">
        <v>3970</v>
      </c>
      <c r="L15" t="s">
        <v>1743</v>
      </c>
      <c r="M15" s="1158">
        <v>1</v>
      </c>
      <c r="P15" t="s">
        <v>904</v>
      </c>
      <c r="R15" s="1158">
        <v>12</v>
      </c>
    </row>
    <row r="16" spans="1:25">
      <c r="B16" t="s">
        <v>213</v>
      </c>
      <c r="C16" s="1158">
        <v>5576</v>
      </c>
      <c r="L16" t="s">
        <v>630</v>
      </c>
      <c r="M16" s="1158">
        <v>1</v>
      </c>
      <c r="P16" t="s">
        <v>875</v>
      </c>
      <c r="R16" s="1158">
        <v>19</v>
      </c>
    </row>
    <row r="17" spans="2:13">
      <c r="B17" t="s">
        <v>127</v>
      </c>
      <c r="C17" s="1158">
        <v>7655</v>
      </c>
      <c r="L17" t="s">
        <v>634</v>
      </c>
      <c r="M17" s="1158">
        <v>1</v>
      </c>
    </row>
    <row r="18" spans="2:13">
      <c r="B18" t="s">
        <v>875</v>
      </c>
      <c r="C18" s="1158">
        <v>614249</v>
      </c>
      <c r="L18" t="s">
        <v>636</v>
      </c>
      <c r="M18" s="1158">
        <v>1</v>
      </c>
    </row>
    <row r="19" spans="2:13">
      <c r="L19" t="s">
        <v>640</v>
      </c>
      <c r="M19" s="1158">
        <v>1</v>
      </c>
    </row>
    <row r="20" spans="2:13">
      <c r="L20" t="s">
        <v>701</v>
      </c>
      <c r="M20" s="1158">
        <v>1</v>
      </c>
    </row>
    <row r="21" spans="2:13">
      <c r="L21" t="s">
        <v>1746</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1747</v>
      </c>
      <c r="M26" s="1158">
        <v>19</v>
      </c>
    </row>
    <row r="27" spans="2:13">
      <c r="K27" t="s">
        <v>1748</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1749</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1750</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1751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1752</v>
      </c>
      <c r="S2" s="3" t="s">
        <v>1667</v>
      </c>
      <c r="T2" s="268" t="s">
        <v>1668</v>
      </c>
      <c r="U2" s="268" t="s">
        <v>1668</v>
      </c>
      <c r="V2" s="268" t="s">
        <v>1668</v>
      </c>
      <c r="W2" s="268" t="s">
        <v>1668</v>
      </c>
      <c r="X2" s="268" t="s">
        <v>1669</v>
      </c>
      <c r="Y2" s="268" t="s">
        <v>1753</v>
      </c>
    </row>
    <row r="3" spans="1:26" ht="15.75" thickBot="1">
      <c r="A3" s="267" t="s">
        <v>1733</v>
      </c>
      <c r="B3" s="263" t="s">
        <v>20</v>
      </c>
      <c r="C3" s="263" t="s">
        <v>1754</v>
      </c>
      <c r="D3" s="263" t="s">
        <v>26</v>
      </c>
      <c r="E3" s="263" t="s">
        <v>1728</v>
      </c>
      <c r="F3" s="263" t="s">
        <v>1755</v>
      </c>
      <c r="G3" s="263" t="s">
        <v>27</v>
      </c>
      <c r="H3" s="211" t="s">
        <v>28</v>
      </c>
      <c r="I3" s="211" t="s">
        <v>1756</v>
      </c>
      <c r="J3" s="211" t="s">
        <v>1757</v>
      </c>
      <c r="K3" s="211" t="s">
        <v>1758</v>
      </c>
      <c r="L3" s="211" t="s">
        <v>1656</v>
      </c>
      <c r="M3" s="211" t="s">
        <v>1759</v>
      </c>
      <c r="N3" s="211" t="s">
        <v>1760</v>
      </c>
      <c r="O3" s="210" t="s">
        <v>1672</v>
      </c>
      <c r="P3" s="264" t="s">
        <v>1734</v>
      </c>
      <c r="Q3" s="265" t="s">
        <v>34</v>
      </c>
      <c r="R3" s="265" t="s">
        <v>1756</v>
      </c>
      <c r="S3" s="5" t="s">
        <v>1673</v>
      </c>
      <c r="T3" s="265" t="s">
        <v>1761</v>
      </c>
      <c r="U3" s="265" t="s">
        <v>43</v>
      </c>
      <c r="V3" s="265" t="s">
        <v>1674</v>
      </c>
      <c r="W3" s="265" t="s">
        <v>46</v>
      </c>
      <c r="X3" s="265" t="s">
        <v>503</v>
      </c>
      <c r="Y3" s="265" t="s">
        <v>1762</v>
      </c>
      <c r="Z3" s="316" t="s">
        <v>1763</v>
      </c>
    </row>
    <row r="4" spans="1:26" ht="15.75" thickBot="1">
      <c r="A4" s="122" t="s">
        <v>80</v>
      </c>
      <c r="B4" s="103" t="s">
        <v>50</v>
      </c>
      <c r="C4" s="77">
        <v>45807</v>
      </c>
      <c r="D4" s="272"/>
      <c r="E4" s="273" t="s">
        <v>1764</v>
      </c>
      <c r="F4" s="272"/>
      <c r="G4" s="274" t="s">
        <v>1727</v>
      </c>
      <c r="H4" s="272"/>
      <c r="I4" s="272"/>
      <c r="J4" s="275"/>
      <c r="K4" s="209"/>
      <c r="L4" s="209"/>
      <c r="M4" s="209"/>
      <c r="N4" s="276"/>
      <c r="O4" s="277"/>
      <c r="P4" s="278" t="s">
        <v>1765</v>
      </c>
      <c r="Q4" s="279" t="s">
        <v>68</v>
      </c>
      <c r="R4" s="132" t="s">
        <v>1766</v>
      </c>
      <c r="S4" s="132"/>
      <c r="T4" s="280"/>
      <c r="U4" s="281"/>
      <c r="V4" s="281"/>
      <c r="W4" s="281"/>
      <c r="X4" s="281"/>
      <c r="Y4" s="281"/>
      <c r="Z4" t="e">
        <f>VLOOKUP(A4,#REF!,9,FALSE)</f>
        <v>#REF!</v>
      </c>
    </row>
    <row r="5" spans="1:26" ht="15.75" thickBot="1">
      <c r="A5" s="282" t="s">
        <v>1665</v>
      </c>
      <c r="B5" s="103" t="s">
        <v>50</v>
      </c>
      <c r="C5" s="219">
        <v>45807</v>
      </c>
      <c r="D5" s="272"/>
      <c r="E5" s="273" t="s">
        <v>1764</v>
      </c>
      <c r="F5" s="272"/>
      <c r="G5" s="274" t="s">
        <v>1727</v>
      </c>
      <c r="H5" s="272"/>
      <c r="I5" s="272"/>
      <c r="J5" s="283"/>
      <c r="K5" s="209"/>
      <c r="L5" s="209"/>
      <c r="M5" s="209"/>
      <c r="N5" s="276"/>
      <c r="O5" s="277"/>
      <c r="P5" s="278" t="s">
        <v>1765</v>
      </c>
      <c r="Q5" s="279" t="s">
        <v>68</v>
      </c>
      <c r="R5" s="132" t="s">
        <v>1766</v>
      </c>
      <c r="S5" s="132"/>
      <c r="T5" s="280"/>
      <c r="U5" s="281"/>
      <c r="V5" s="281"/>
      <c r="W5" s="281"/>
      <c r="X5" s="281"/>
      <c r="Y5" s="281"/>
      <c r="Z5" t="e">
        <f>VLOOKUP(A5,#REF!,9,FALSE)</f>
        <v>#REF!</v>
      </c>
    </row>
    <row r="6" spans="1:26" ht="15.75" thickBot="1">
      <c r="A6" s="122" t="s">
        <v>901</v>
      </c>
      <c r="B6" s="103" t="s">
        <v>50</v>
      </c>
      <c r="C6" s="219">
        <v>45807</v>
      </c>
      <c r="D6" s="272"/>
      <c r="E6" s="273" t="s">
        <v>1764</v>
      </c>
      <c r="F6" s="272"/>
      <c r="G6" s="274" t="s">
        <v>1727</v>
      </c>
      <c r="H6" s="272"/>
      <c r="I6" s="272"/>
      <c r="J6" s="283"/>
      <c r="K6" s="209"/>
      <c r="L6" s="209"/>
      <c r="M6" s="209"/>
      <c r="N6" s="276"/>
      <c r="O6" s="277"/>
      <c r="P6" s="278" t="s">
        <v>1765</v>
      </c>
      <c r="Q6" s="279" t="s">
        <v>68</v>
      </c>
      <c r="R6" s="132" t="s">
        <v>1766</v>
      </c>
      <c r="S6" s="132"/>
      <c r="T6" s="280"/>
      <c r="U6" s="281"/>
      <c r="V6" s="281"/>
      <c r="W6" s="281"/>
      <c r="X6" s="281"/>
      <c r="Y6" s="281"/>
      <c r="Z6" t="e">
        <f>VLOOKUP(A6,#REF!,9,FALSE)</f>
        <v>#REF!</v>
      </c>
    </row>
    <row r="7" spans="1:26" ht="15.75" thickBot="1">
      <c r="A7" s="122" t="s">
        <v>918</v>
      </c>
      <c r="B7" s="103" t="s">
        <v>50</v>
      </c>
      <c r="C7" s="219">
        <v>45807</v>
      </c>
      <c r="D7" s="272"/>
      <c r="E7" s="273" t="s">
        <v>1764</v>
      </c>
      <c r="F7" s="272"/>
      <c r="G7" s="274" t="s">
        <v>1727</v>
      </c>
      <c r="H7" s="272"/>
      <c r="I7" s="272"/>
      <c r="J7" s="283"/>
      <c r="K7" s="209"/>
      <c r="L7" s="209"/>
      <c r="M7" s="209"/>
      <c r="N7" s="276"/>
      <c r="O7" s="277"/>
      <c r="P7" s="278" t="s">
        <v>1765</v>
      </c>
      <c r="Q7" s="279" t="s">
        <v>68</v>
      </c>
      <c r="R7" s="132" t="s">
        <v>1766</v>
      </c>
      <c r="S7" s="132"/>
      <c r="T7" s="280"/>
      <c r="U7" s="281"/>
      <c r="V7" s="281"/>
      <c r="W7" s="281"/>
      <c r="X7" s="281"/>
      <c r="Y7" s="281"/>
      <c r="Z7" t="e">
        <f>VLOOKUP(A7,#REF!,9,FALSE)</f>
        <v>#REF!</v>
      </c>
    </row>
    <row r="8" spans="1:26" ht="15.75" thickBot="1">
      <c r="A8" s="282" t="s">
        <v>1767</v>
      </c>
      <c r="B8" s="103" t="s">
        <v>50</v>
      </c>
      <c r="C8" s="219">
        <v>45807</v>
      </c>
      <c r="D8" s="272"/>
      <c r="E8" s="273" t="s">
        <v>1764</v>
      </c>
      <c r="F8" s="272"/>
      <c r="G8" s="274" t="s">
        <v>1727</v>
      </c>
      <c r="H8" s="272"/>
      <c r="I8" s="272"/>
      <c r="J8" s="283"/>
      <c r="K8" s="209"/>
      <c r="L8" s="209"/>
      <c r="M8" s="209"/>
      <c r="N8" s="276"/>
      <c r="O8" s="277"/>
      <c r="P8" s="278" t="s">
        <v>1738</v>
      </c>
      <c r="Q8" s="279" t="s">
        <v>1768</v>
      </c>
      <c r="R8" s="132" t="s">
        <v>1769</v>
      </c>
      <c r="S8" s="132"/>
      <c r="T8" s="280"/>
      <c r="U8" s="281"/>
      <c r="V8" s="281"/>
      <c r="W8" s="281"/>
      <c r="X8" s="281"/>
      <c r="Y8" s="281"/>
      <c r="Z8" t="e">
        <f>VLOOKUP(A8,#REF!,9,FALSE)</f>
        <v>#REF!</v>
      </c>
    </row>
    <row r="9" spans="1:26" ht="15.75" thickBot="1">
      <c r="A9" s="122" t="s">
        <v>927</v>
      </c>
      <c r="B9" s="103" t="s">
        <v>50</v>
      </c>
      <c r="C9" s="219">
        <v>45807</v>
      </c>
      <c r="D9" s="284"/>
      <c r="E9" s="273" t="s">
        <v>1764</v>
      </c>
      <c r="F9" s="284"/>
      <c r="G9" s="285" t="s">
        <v>1727</v>
      </c>
      <c r="H9" s="272"/>
      <c r="I9" s="272"/>
      <c r="J9" s="283"/>
      <c r="K9" s="209"/>
      <c r="L9" s="209"/>
      <c r="M9" s="209"/>
      <c r="N9" s="276"/>
      <c r="O9" s="277"/>
      <c r="P9" s="278" t="s">
        <v>1765</v>
      </c>
      <c r="Q9" s="279" t="s">
        <v>68</v>
      </c>
      <c r="R9" s="132" t="s">
        <v>1766</v>
      </c>
      <c r="S9" s="132"/>
      <c r="T9" s="280"/>
      <c r="U9" s="281"/>
      <c r="V9" s="281"/>
      <c r="W9" s="281"/>
      <c r="X9" s="281"/>
      <c r="Y9" s="281"/>
      <c r="Z9" t="e">
        <f>VLOOKUP(A9,#REF!,9,FALSE)</f>
        <v>#REF!</v>
      </c>
    </row>
    <row r="10" spans="1:26" ht="15.75" thickBot="1">
      <c r="A10" s="122" t="s">
        <v>903</v>
      </c>
      <c r="B10" s="103" t="s">
        <v>50</v>
      </c>
      <c r="C10" s="219" t="e">
        <v>#N/A</v>
      </c>
      <c r="D10" s="286"/>
      <c r="E10" s="273" t="s">
        <v>1764</v>
      </c>
      <c r="F10" s="286"/>
      <c r="G10" s="287" t="s">
        <v>1727</v>
      </c>
      <c r="H10" s="234"/>
      <c r="I10" s="234"/>
      <c r="J10" s="45"/>
      <c r="K10" s="208"/>
      <c r="L10" s="208"/>
      <c r="M10" s="208"/>
      <c r="N10" s="288"/>
      <c r="O10" s="289"/>
      <c r="P10" s="278" t="s">
        <v>1765</v>
      </c>
      <c r="Q10" s="279" t="s">
        <v>58</v>
      </c>
      <c r="R10" s="132" t="s">
        <v>1766</v>
      </c>
      <c r="S10" s="132"/>
      <c r="T10" s="280"/>
      <c r="U10" s="281"/>
      <c r="V10" s="281"/>
      <c r="W10" s="281"/>
      <c r="X10" s="281"/>
      <c r="Y10" s="281"/>
      <c r="Z10" t="e">
        <f>VLOOKUP(A10,#REF!,9,FALSE)</f>
        <v>#REF!</v>
      </c>
    </row>
    <row r="11" spans="1:26" ht="15.75" thickBot="1">
      <c r="A11" s="122" t="s">
        <v>83</v>
      </c>
      <c r="B11" s="103" t="s">
        <v>50</v>
      </c>
      <c r="C11" s="219">
        <v>45807</v>
      </c>
      <c r="D11" s="286"/>
      <c r="E11" s="273" t="s">
        <v>1764</v>
      </c>
      <c r="F11" s="286"/>
      <c r="G11" s="287" t="s">
        <v>1727</v>
      </c>
      <c r="H11" s="234"/>
      <c r="I11" s="234"/>
      <c r="J11" s="45"/>
      <c r="K11" s="208"/>
      <c r="L11" s="208"/>
      <c r="M11" s="208"/>
      <c r="N11" s="288"/>
      <c r="O11" s="289"/>
      <c r="P11" s="278" t="s">
        <v>1765</v>
      </c>
      <c r="Q11" s="279" t="s">
        <v>68</v>
      </c>
      <c r="R11" s="132" t="s">
        <v>1766</v>
      </c>
      <c r="S11" s="132"/>
      <c r="T11" s="280"/>
      <c r="U11" s="281"/>
      <c r="V11" s="281"/>
      <c r="W11" s="281"/>
      <c r="X11" s="281"/>
      <c r="Y11" s="281"/>
      <c r="Z11" t="e">
        <f>VLOOKUP(A11,#REF!,9,FALSE)</f>
        <v>#REF!</v>
      </c>
    </row>
    <row r="12" spans="1:26" ht="15.75" thickBot="1">
      <c r="A12" s="122" t="s">
        <v>899</v>
      </c>
      <c r="B12" s="103" t="s">
        <v>50</v>
      </c>
      <c r="C12" s="219" t="e">
        <v>#N/A</v>
      </c>
      <c r="D12" s="286"/>
      <c r="E12" s="273" t="s">
        <v>1764</v>
      </c>
      <c r="F12" s="286"/>
      <c r="G12" s="287" t="s">
        <v>1727</v>
      </c>
      <c r="H12" s="234"/>
      <c r="I12" s="234"/>
      <c r="J12" s="45"/>
      <c r="K12" s="208"/>
      <c r="L12" s="208"/>
      <c r="M12" s="208"/>
      <c r="N12" s="288"/>
      <c r="O12" s="289"/>
      <c r="P12" s="278" t="s">
        <v>1765</v>
      </c>
      <c r="Q12" s="279" t="s">
        <v>68</v>
      </c>
      <c r="R12" s="132" t="s">
        <v>1766</v>
      </c>
      <c r="S12" s="132"/>
      <c r="T12" s="280"/>
      <c r="U12" s="281"/>
      <c r="V12" s="281"/>
      <c r="W12" s="281"/>
      <c r="X12" s="281"/>
      <c r="Y12" s="281"/>
      <c r="Z12" t="e">
        <f>VLOOKUP(A12,#REF!,9,FALSE)</f>
        <v>#REF!</v>
      </c>
    </row>
    <row r="13" spans="1:26" ht="15.75" thickBot="1">
      <c r="A13" s="122" t="s">
        <v>925</v>
      </c>
      <c r="B13" s="103" t="s">
        <v>50</v>
      </c>
      <c r="C13" s="219" t="e">
        <v>#N/A</v>
      </c>
      <c r="D13" s="286"/>
      <c r="E13" s="273" t="s">
        <v>1764</v>
      </c>
      <c r="F13" s="286"/>
      <c r="G13" s="287" t="s">
        <v>1727</v>
      </c>
      <c r="H13" s="234"/>
      <c r="I13" s="234"/>
      <c r="J13" s="45"/>
      <c r="K13" s="208"/>
      <c r="L13" s="208"/>
      <c r="M13" s="208"/>
      <c r="N13" s="288"/>
      <c r="O13" s="289"/>
      <c r="P13" s="278" t="s">
        <v>1765</v>
      </c>
      <c r="Q13" s="279" t="s">
        <v>68</v>
      </c>
      <c r="R13" s="132" t="s">
        <v>1766</v>
      </c>
      <c r="S13" s="132"/>
      <c r="T13" s="280"/>
      <c r="U13" s="281"/>
      <c r="V13" s="281"/>
      <c r="W13" s="281"/>
      <c r="X13" s="281"/>
      <c r="Y13" s="281"/>
      <c r="Z13" t="e">
        <f>VLOOKUP(A13,#REF!,9,FALSE)</f>
        <v>#REF!</v>
      </c>
    </row>
    <row r="14" spans="1:26" ht="15.75" thickBot="1">
      <c r="A14" s="282" t="s">
        <v>491</v>
      </c>
      <c r="B14" s="103" t="s">
        <v>50</v>
      </c>
      <c r="C14" s="219">
        <v>45807</v>
      </c>
      <c r="D14" s="286"/>
      <c r="E14" s="273" t="s">
        <v>1764</v>
      </c>
      <c r="F14" s="286"/>
      <c r="G14" s="287" t="s">
        <v>1727</v>
      </c>
      <c r="H14" s="234"/>
      <c r="I14" s="234"/>
      <c r="J14" s="45"/>
      <c r="K14" s="208"/>
      <c r="L14" s="208"/>
      <c r="M14" s="208"/>
      <c r="N14" s="288"/>
      <c r="O14" s="289"/>
      <c r="P14" s="278" t="s">
        <v>1765</v>
      </c>
      <c r="Q14" s="279" t="s">
        <v>68</v>
      </c>
      <c r="R14" s="132" t="s">
        <v>1766</v>
      </c>
      <c r="S14" s="132"/>
      <c r="T14" s="280"/>
      <c r="U14" s="281"/>
      <c r="V14" s="281"/>
      <c r="W14" s="281"/>
      <c r="X14" s="281"/>
      <c r="Y14" s="281"/>
      <c r="Z14" t="e">
        <f>VLOOKUP(A14,#REF!,9,FALSE)</f>
        <v>#REF!</v>
      </c>
    </row>
    <row r="15" spans="1:26" ht="15.75" thickBot="1">
      <c r="A15" s="122" t="s">
        <v>902</v>
      </c>
      <c r="B15" s="103" t="s">
        <v>50</v>
      </c>
      <c r="C15" s="219" t="e">
        <v>#N/A</v>
      </c>
      <c r="D15" s="286"/>
      <c r="E15" s="273" t="s">
        <v>1764</v>
      </c>
      <c r="F15" s="286"/>
      <c r="G15" s="287" t="s">
        <v>1727</v>
      </c>
      <c r="H15" s="234"/>
      <c r="I15" s="234"/>
      <c r="J15" s="45"/>
      <c r="K15" s="208"/>
      <c r="L15" s="208"/>
      <c r="M15" s="208"/>
      <c r="N15" s="288"/>
      <c r="O15" s="289"/>
      <c r="P15" s="278" t="s">
        <v>1765</v>
      </c>
      <c r="Q15" s="279" t="s">
        <v>68</v>
      </c>
      <c r="R15" s="132" t="s">
        <v>1766</v>
      </c>
      <c r="S15" s="132"/>
      <c r="T15" s="280"/>
      <c r="U15" s="281"/>
      <c r="V15" s="281"/>
      <c r="W15" s="281"/>
      <c r="X15" s="281"/>
      <c r="Y15" s="281"/>
      <c r="Z15" t="e">
        <f>VLOOKUP(A15,#REF!,9,FALSE)</f>
        <v>#REF!</v>
      </c>
    </row>
    <row r="16" spans="1:26" ht="15.75" thickBot="1">
      <c r="A16" s="290" t="s">
        <v>1770</v>
      </c>
      <c r="B16" s="103" t="s">
        <v>50</v>
      </c>
      <c r="C16" s="219" t="e">
        <v>#N/A</v>
      </c>
      <c r="D16" s="286"/>
      <c r="E16" s="273" t="s">
        <v>1764</v>
      </c>
      <c r="F16" s="286"/>
      <c r="G16" s="287" t="s">
        <v>1727</v>
      </c>
      <c r="H16" s="234"/>
      <c r="I16" s="234"/>
      <c r="J16" s="45"/>
      <c r="K16" s="208"/>
      <c r="L16" s="208"/>
      <c r="M16" s="208"/>
      <c r="N16" s="288"/>
      <c r="O16" s="289"/>
      <c r="P16" s="278" t="s">
        <v>1765</v>
      </c>
      <c r="Q16" s="279" t="s">
        <v>68</v>
      </c>
      <c r="R16" s="132" t="s">
        <v>1766</v>
      </c>
      <c r="S16" s="132"/>
      <c r="T16" s="280"/>
      <c r="U16" s="281"/>
      <c r="V16" s="281"/>
      <c r="W16" s="281"/>
      <c r="X16" s="281"/>
      <c r="Y16" s="281"/>
      <c r="Z16" t="e">
        <f>VLOOKUP(A16,#REF!,9,FALSE)</f>
        <v>#REF!</v>
      </c>
    </row>
    <row r="17" spans="1:26" ht="15.75" thickBot="1">
      <c r="A17" s="279" t="s">
        <v>690</v>
      </c>
      <c r="B17" s="103" t="s">
        <v>50</v>
      </c>
      <c r="C17" s="219" t="e">
        <v>#N/A</v>
      </c>
      <c r="D17" s="286"/>
      <c r="E17" s="273" t="s">
        <v>1729</v>
      </c>
      <c r="F17" s="286"/>
      <c r="G17" s="287" t="s">
        <v>1727</v>
      </c>
      <c r="H17" s="234"/>
      <c r="I17" s="234"/>
      <c r="J17" s="45"/>
      <c r="K17" s="208"/>
      <c r="L17" s="208"/>
      <c r="M17" s="208"/>
      <c r="N17" s="288"/>
      <c r="O17" s="289"/>
      <c r="P17" s="278"/>
      <c r="Q17" s="279" t="s">
        <v>68</v>
      </c>
      <c r="R17" s="132" t="s">
        <v>1766</v>
      </c>
      <c r="S17" s="132"/>
      <c r="T17" s="280"/>
      <c r="U17" s="281"/>
      <c r="V17" s="281"/>
      <c r="W17" s="281"/>
      <c r="X17" s="281"/>
      <c r="Y17" s="281"/>
      <c r="Z17" t="e">
        <f>VLOOKUP(A17,#REF!,9,FALSE)</f>
        <v>#REF!</v>
      </c>
    </row>
    <row r="18" spans="1:26" ht="15.75" thickBot="1">
      <c r="A18" s="279" t="s">
        <v>672</v>
      </c>
      <c r="B18" s="103" t="s">
        <v>50</v>
      </c>
      <c r="C18" s="219">
        <v>45807</v>
      </c>
      <c r="D18" s="286"/>
      <c r="E18" s="273" t="s">
        <v>1729</v>
      </c>
      <c r="F18" s="286"/>
      <c r="G18" s="287" t="s">
        <v>1727</v>
      </c>
      <c r="H18" s="234"/>
      <c r="I18" s="234"/>
      <c r="J18" s="45"/>
      <c r="K18" s="208"/>
      <c r="L18" s="208"/>
      <c r="M18" s="208"/>
      <c r="N18" s="288"/>
      <c r="O18" s="289"/>
      <c r="P18" s="278" t="s">
        <v>1735</v>
      </c>
      <c r="Q18" s="279"/>
      <c r="R18" s="132" t="s">
        <v>1766</v>
      </c>
      <c r="S18" s="132"/>
      <c r="T18" s="280"/>
      <c r="U18" s="281"/>
      <c r="V18" s="281"/>
      <c r="W18" s="281"/>
      <c r="X18" s="281"/>
      <c r="Y18" s="281"/>
      <c r="Z18" t="e">
        <f>VLOOKUP(A18,#REF!,9,FALSE)</f>
        <v>#REF!</v>
      </c>
    </row>
    <row r="19" spans="1:26" ht="15.75" thickBot="1">
      <c r="A19" s="279" t="s">
        <v>675</v>
      </c>
      <c r="B19" s="103" t="s">
        <v>50</v>
      </c>
      <c r="C19" s="219" t="e">
        <v>#N/A</v>
      </c>
      <c r="D19" s="286"/>
      <c r="E19" s="273" t="s">
        <v>1729</v>
      </c>
      <c r="F19" s="286"/>
      <c r="G19" s="287" t="s">
        <v>1748</v>
      </c>
      <c r="H19" s="234"/>
      <c r="I19" s="234"/>
      <c r="J19" s="45"/>
      <c r="K19" s="208"/>
      <c r="L19" s="208"/>
      <c r="M19" s="208"/>
      <c r="N19" s="288"/>
      <c r="O19" s="289"/>
      <c r="P19" s="278"/>
      <c r="Q19" s="279" t="s">
        <v>1748</v>
      </c>
      <c r="R19" s="132" t="s">
        <v>1766</v>
      </c>
      <c r="S19" s="132"/>
      <c r="T19" s="280"/>
      <c r="U19" s="281"/>
      <c r="V19" s="281"/>
      <c r="W19" s="281"/>
      <c r="X19" s="281"/>
      <c r="Y19" s="281"/>
      <c r="Z19" t="e">
        <f>VLOOKUP(A19,#REF!,9,FALSE)</f>
        <v>#REF!</v>
      </c>
    </row>
    <row r="20" spans="1:26" ht="15.75" thickBot="1">
      <c r="A20" s="279" t="s">
        <v>622</v>
      </c>
      <c r="B20" s="103" t="s">
        <v>50</v>
      </c>
      <c r="C20" s="219" t="e">
        <v>#N/A</v>
      </c>
      <c r="D20" s="286"/>
      <c r="E20" s="273" t="s">
        <v>1729</v>
      </c>
      <c r="F20" s="286"/>
      <c r="G20" s="287" t="s">
        <v>1748</v>
      </c>
      <c r="H20" s="234"/>
      <c r="I20" s="234"/>
      <c r="J20" s="45"/>
      <c r="K20" s="208"/>
      <c r="L20" s="208"/>
      <c r="M20" s="208"/>
      <c r="N20" s="288"/>
      <c r="O20" s="289"/>
      <c r="P20" s="278"/>
      <c r="Q20" s="279" t="s">
        <v>1748</v>
      </c>
      <c r="R20" s="132" t="s">
        <v>1766</v>
      </c>
      <c r="S20" s="132"/>
      <c r="T20" s="280"/>
      <c r="U20" s="281"/>
      <c r="V20" s="281"/>
      <c r="W20" s="281"/>
      <c r="X20" s="281"/>
      <c r="Y20" s="281"/>
      <c r="Z20" t="e">
        <f>VLOOKUP(A20,#REF!,9,FALSE)</f>
        <v>#REF!</v>
      </c>
    </row>
    <row r="21" spans="1:26" s="218" customFormat="1" ht="15.75" thickBot="1">
      <c r="A21" s="266" t="s">
        <v>1744</v>
      </c>
      <c r="B21" s="103" t="e">
        <v>#N/A</v>
      </c>
      <c r="C21" s="235">
        <v>45807</v>
      </c>
      <c r="D21" s="286"/>
      <c r="E21" s="273" t="s">
        <v>1729</v>
      </c>
      <c r="F21" s="286"/>
      <c r="G21" s="287" t="s">
        <v>1727</v>
      </c>
      <c r="H21" s="234"/>
      <c r="I21" s="234"/>
      <c r="J21" s="234"/>
      <c r="K21" s="233"/>
      <c r="L21" s="233"/>
      <c r="M21" s="233"/>
      <c r="N21" s="288"/>
      <c r="O21" s="289"/>
      <c r="P21" s="278"/>
      <c r="Q21" s="229" t="s">
        <v>64</v>
      </c>
      <c r="R21" s="132" t="s">
        <v>1766</v>
      </c>
      <c r="S21" s="232"/>
      <c r="T21" s="231"/>
      <c r="U21" s="230"/>
      <c r="V21" s="230"/>
      <c r="W21" s="230"/>
      <c r="X21" s="230"/>
      <c r="Y21" s="230" t="s">
        <v>1771</v>
      </c>
      <c r="Z21" t="e">
        <f>VLOOKUP(A21,#REF!,9,FALSE)</f>
        <v>#REF!</v>
      </c>
    </row>
    <row r="22" spans="1:26" ht="15.75" thickBot="1">
      <c r="A22" s="279" t="s">
        <v>624</v>
      </c>
      <c r="B22" s="103" t="s">
        <v>50</v>
      </c>
      <c r="C22" s="219" t="e">
        <v>#N/A</v>
      </c>
      <c r="D22" s="286"/>
      <c r="E22" s="273" t="s">
        <v>1729</v>
      </c>
      <c r="F22" s="286"/>
      <c r="G22" s="287" t="s">
        <v>1748</v>
      </c>
      <c r="H22" s="234"/>
      <c r="I22" s="234"/>
      <c r="J22" s="45"/>
      <c r="K22" s="208"/>
      <c r="L22" s="208"/>
      <c r="M22" s="208"/>
      <c r="N22" s="288"/>
      <c r="O22" s="289"/>
      <c r="P22" s="278"/>
      <c r="Q22" s="279" t="s">
        <v>1748</v>
      </c>
      <c r="R22" s="132" t="s">
        <v>1766</v>
      </c>
      <c r="S22" s="132"/>
      <c r="T22" s="280"/>
      <c r="U22" s="281"/>
      <c r="V22" s="281"/>
      <c r="W22" s="281"/>
      <c r="X22" s="281"/>
      <c r="Y22" s="281"/>
      <c r="Z22" t="e">
        <f>VLOOKUP(A22,#REF!,9,FALSE)</f>
        <v>#REF!</v>
      </c>
    </row>
    <row r="23" spans="1:26" ht="15.75" thickBot="1">
      <c r="A23" s="279" t="s">
        <v>610</v>
      </c>
      <c r="B23" s="103" t="s">
        <v>50</v>
      </c>
      <c r="C23" s="219" t="e">
        <v>#N/A</v>
      </c>
      <c r="D23" s="286"/>
      <c r="E23" s="273" t="s">
        <v>1729</v>
      </c>
      <c r="F23" s="286"/>
      <c r="G23" s="287" t="s">
        <v>1727</v>
      </c>
      <c r="H23" s="234"/>
      <c r="I23" s="234"/>
      <c r="J23" s="45"/>
      <c r="K23" s="208"/>
      <c r="L23" s="208"/>
      <c r="M23" s="208"/>
      <c r="N23" s="288"/>
      <c r="O23" s="289"/>
      <c r="P23" s="278"/>
      <c r="Q23" s="279" t="s">
        <v>64</v>
      </c>
      <c r="R23" s="132" t="s">
        <v>1766</v>
      </c>
      <c r="S23" s="132"/>
      <c r="T23" s="280"/>
      <c r="U23" s="281"/>
      <c r="V23" s="281"/>
      <c r="W23" s="281"/>
      <c r="X23" s="281"/>
      <c r="Y23" s="281" t="s">
        <v>1772</v>
      </c>
      <c r="Z23" t="e">
        <f>VLOOKUP(A23,#REF!,9,FALSE)</f>
        <v>#REF!</v>
      </c>
    </row>
    <row r="24" spans="1:26" s="218" customFormat="1" ht="69.599999999999994" customHeight="1" thickBot="1">
      <c r="A24" s="229" t="s">
        <v>1740</v>
      </c>
      <c r="B24" s="236" t="e">
        <v>#N/A</v>
      </c>
      <c r="C24" s="235">
        <v>45716</v>
      </c>
      <c r="D24" s="286"/>
      <c r="E24" s="273" t="s">
        <v>1729</v>
      </c>
      <c r="F24" s="286"/>
      <c r="G24" s="287" t="s">
        <v>1727</v>
      </c>
      <c r="H24" s="234"/>
      <c r="I24" s="234"/>
      <c r="J24" s="234"/>
      <c r="K24" s="233"/>
      <c r="L24" s="233"/>
      <c r="M24" s="233"/>
      <c r="N24" s="288"/>
      <c r="O24" s="289"/>
      <c r="P24" s="278" t="s">
        <v>1741</v>
      </c>
      <c r="Q24" s="229" t="s">
        <v>64</v>
      </c>
      <c r="R24" s="132" t="s">
        <v>1766</v>
      </c>
      <c r="S24" s="232"/>
      <c r="T24" s="231"/>
      <c r="U24" s="230"/>
      <c r="V24" s="230"/>
      <c r="W24" s="230"/>
      <c r="X24" s="230"/>
      <c r="Y24" s="230" t="s">
        <v>1772</v>
      </c>
      <c r="Z24" t="e">
        <f>VLOOKUP(A24,#REF!,9,FALSE)</f>
        <v>#REF!</v>
      </c>
    </row>
    <row r="25" spans="1:26" ht="15.75" thickBot="1">
      <c r="A25" s="279" t="s">
        <v>614</v>
      </c>
      <c r="B25" s="103" t="s">
        <v>50</v>
      </c>
      <c r="C25" s="219">
        <v>45772</v>
      </c>
      <c r="D25" s="286"/>
      <c r="E25" s="273" t="s">
        <v>1729</v>
      </c>
      <c r="F25" s="286"/>
      <c r="G25" s="287" t="s">
        <v>1727</v>
      </c>
      <c r="H25" s="234"/>
      <c r="I25" s="234"/>
      <c r="J25" s="45"/>
      <c r="K25" s="208"/>
      <c r="L25" s="208"/>
      <c r="M25" s="208"/>
      <c r="N25" s="288"/>
      <c r="O25" s="289"/>
      <c r="P25" s="278" t="s">
        <v>1741</v>
      </c>
      <c r="Q25" s="279" t="s">
        <v>64</v>
      </c>
      <c r="R25" s="132" t="s">
        <v>1766</v>
      </c>
      <c r="S25" s="132"/>
      <c r="T25" s="280"/>
      <c r="U25" s="281"/>
      <c r="V25" s="281"/>
      <c r="W25" s="281"/>
      <c r="X25" s="281"/>
      <c r="Y25" s="281"/>
      <c r="Z25" t="e">
        <f>VLOOKUP(A25,#REF!,9,FALSE)</f>
        <v>#REF!</v>
      </c>
    </row>
    <row r="26" spans="1:26" ht="15.75" thickBot="1">
      <c r="A26" s="279" t="s">
        <v>422</v>
      </c>
      <c r="B26" s="103" t="s">
        <v>50</v>
      </c>
      <c r="C26" s="219">
        <v>45772</v>
      </c>
      <c r="D26" s="286"/>
      <c r="E26" s="273" t="s">
        <v>1729</v>
      </c>
      <c r="F26" s="286"/>
      <c r="G26" s="287" t="s">
        <v>1727</v>
      </c>
      <c r="H26" s="234"/>
      <c r="I26" s="234"/>
      <c r="J26" s="45"/>
      <c r="K26" s="208"/>
      <c r="L26" s="208"/>
      <c r="M26" s="208"/>
      <c r="N26" s="288"/>
      <c r="O26" s="289"/>
      <c r="P26" s="278" t="s">
        <v>1741</v>
      </c>
      <c r="Q26" s="279" t="s">
        <v>64</v>
      </c>
      <c r="R26" s="132" t="s">
        <v>1766</v>
      </c>
      <c r="S26" s="132"/>
      <c r="T26" s="280"/>
      <c r="U26" s="281"/>
      <c r="V26" s="281"/>
      <c r="W26" s="281"/>
      <c r="X26" s="281"/>
      <c r="Y26" s="281"/>
      <c r="Z26" t="e">
        <f>VLOOKUP(A26,#REF!,9,FALSE)</f>
        <v>#REF!</v>
      </c>
    </row>
    <row r="27" spans="1:26" ht="15.75" thickBot="1">
      <c r="A27" s="279" t="s">
        <v>828</v>
      </c>
      <c r="B27" s="103" t="s">
        <v>50</v>
      </c>
      <c r="C27" s="219">
        <v>45772</v>
      </c>
      <c r="D27" s="286"/>
      <c r="E27" s="273" t="s">
        <v>1729</v>
      </c>
      <c r="F27" s="286"/>
      <c r="G27" s="287" t="s">
        <v>1727</v>
      </c>
      <c r="H27" s="234"/>
      <c r="I27" s="234"/>
      <c r="J27" s="45"/>
      <c r="K27" s="208"/>
      <c r="L27" s="208"/>
      <c r="M27" s="208"/>
      <c r="N27" s="288"/>
      <c r="O27" s="289"/>
      <c r="P27" s="278" t="s">
        <v>1741</v>
      </c>
      <c r="Q27" s="279" t="s">
        <v>64</v>
      </c>
      <c r="R27" s="132" t="s">
        <v>1766</v>
      </c>
      <c r="S27" s="132"/>
      <c r="T27" s="280"/>
      <c r="U27" s="281"/>
      <c r="V27" s="281"/>
      <c r="W27" s="281"/>
      <c r="X27" s="281"/>
      <c r="Y27" s="281"/>
      <c r="Z27" t="e">
        <f>VLOOKUP(A27,#REF!,9,FALSE)</f>
        <v>#REF!</v>
      </c>
    </row>
    <row r="28" spans="1:26" ht="70.150000000000006" customHeight="1" thickBot="1">
      <c r="A28" s="229" t="s">
        <v>1743</v>
      </c>
      <c r="B28" s="236"/>
      <c r="C28" s="235"/>
      <c r="D28" s="286"/>
      <c r="E28" s="273" t="s">
        <v>1729</v>
      </c>
      <c r="F28" s="286"/>
      <c r="G28" s="287" t="s">
        <v>1727</v>
      </c>
      <c r="H28" s="234"/>
      <c r="I28" s="234"/>
      <c r="J28" s="234"/>
      <c r="K28" s="233"/>
      <c r="L28" s="233"/>
      <c r="M28" s="233"/>
      <c r="N28" s="288"/>
      <c r="O28" s="289"/>
      <c r="P28" s="278" t="s">
        <v>1741</v>
      </c>
      <c r="Q28" s="229" t="s">
        <v>64</v>
      </c>
      <c r="R28" s="132" t="s">
        <v>1766</v>
      </c>
      <c r="S28" s="232"/>
      <c r="T28" s="231"/>
      <c r="U28" s="230"/>
      <c r="V28" s="230"/>
      <c r="W28" s="230"/>
      <c r="X28" s="230"/>
      <c r="Y28" s="292" t="s">
        <v>1773</v>
      </c>
      <c r="Z28" t="e">
        <f>VLOOKUP(A28,#REF!,9,FALSE)</f>
        <v>#REF!</v>
      </c>
    </row>
    <row r="29" spans="1:26" s="218" customFormat="1" ht="69.599999999999994" customHeight="1" thickBot="1">
      <c r="A29" s="229" t="s">
        <v>1746</v>
      </c>
      <c r="B29" s="236" t="e">
        <v>#N/A</v>
      </c>
      <c r="C29" s="235" t="e">
        <v>#N/A</v>
      </c>
      <c r="D29" s="286"/>
      <c r="E29" s="273" t="s">
        <v>1729</v>
      </c>
      <c r="F29" s="286"/>
      <c r="G29" s="287" t="s">
        <v>1727</v>
      </c>
      <c r="H29" s="234"/>
      <c r="I29" s="234"/>
      <c r="J29" s="234"/>
      <c r="K29" s="233"/>
      <c r="L29" s="233"/>
      <c r="M29" s="233"/>
      <c r="N29" s="288"/>
      <c r="O29" s="289"/>
      <c r="P29" s="278"/>
      <c r="Q29" s="224" t="s">
        <v>64</v>
      </c>
      <c r="R29" s="132" t="s">
        <v>1766</v>
      </c>
      <c r="S29" s="232"/>
      <c r="T29" s="231"/>
      <c r="U29" s="230"/>
      <c r="V29" s="230"/>
      <c r="W29" s="230"/>
      <c r="X29" s="230"/>
      <c r="Y29" s="230" t="s">
        <v>1773</v>
      </c>
      <c r="Z29" t="e">
        <f>VLOOKUP(A29,#REF!,9,FALSE)</f>
        <v>#REF!</v>
      </c>
    </row>
    <row r="30" spans="1:26" ht="15.75" thickBot="1">
      <c r="A30" s="279" t="s">
        <v>642</v>
      </c>
      <c r="B30" s="103" t="s">
        <v>50</v>
      </c>
      <c r="C30" s="219">
        <v>45772</v>
      </c>
      <c r="D30" s="286"/>
      <c r="E30" s="273" t="s">
        <v>1729</v>
      </c>
      <c r="F30" s="286"/>
      <c r="G30" s="287" t="s">
        <v>1748</v>
      </c>
      <c r="H30" s="234"/>
      <c r="I30" s="234"/>
      <c r="J30" s="45"/>
      <c r="K30" s="208"/>
      <c r="L30" s="208"/>
      <c r="M30" s="208"/>
      <c r="N30" s="288"/>
      <c r="O30" s="289"/>
      <c r="P30" s="278"/>
      <c r="Q30" s="279" t="s">
        <v>1748</v>
      </c>
      <c r="R30" s="132" t="s">
        <v>1766</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1729</v>
      </c>
      <c r="F31" s="293"/>
      <c r="G31" s="294" t="s">
        <v>1748</v>
      </c>
      <c r="H31" s="226"/>
      <c r="I31" s="226"/>
      <c r="J31" s="240"/>
      <c r="K31" s="241"/>
      <c r="L31" s="241"/>
      <c r="M31" s="241"/>
      <c r="N31" s="226"/>
      <c r="O31" s="295"/>
      <c r="P31" s="278"/>
      <c r="Q31" s="237" t="s">
        <v>1748</v>
      </c>
      <c r="R31" s="132" t="s">
        <v>1766</v>
      </c>
      <c r="S31" s="242"/>
      <c r="T31" s="243"/>
      <c r="U31" s="244"/>
      <c r="V31" s="244"/>
      <c r="W31" s="244"/>
      <c r="X31" s="244"/>
      <c r="Y31" s="244" t="s">
        <v>1774</v>
      </c>
      <c r="Z31" t="e">
        <f>VLOOKUP(A31,#REF!,9,FALSE)</f>
        <v>#REF!</v>
      </c>
    </row>
    <row r="32" spans="1:26" ht="15.75" thickBot="1">
      <c r="A32" s="279" t="s">
        <v>644</v>
      </c>
      <c r="B32" s="103" t="s">
        <v>50</v>
      </c>
      <c r="C32" s="219">
        <v>45772</v>
      </c>
      <c r="D32" s="286"/>
      <c r="E32" s="273" t="s">
        <v>1729</v>
      </c>
      <c r="F32" s="286"/>
      <c r="G32" s="287" t="s">
        <v>1748</v>
      </c>
      <c r="H32" s="234"/>
      <c r="I32" s="234"/>
      <c r="J32" s="45"/>
      <c r="K32" s="208"/>
      <c r="L32" s="208"/>
      <c r="M32" s="208"/>
      <c r="N32" s="288"/>
      <c r="O32" s="289"/>
      <c r="P32" s="278"/>
      <c r="Q32" s="279" t="s">
        <v>1748</v>
      </c>
      <c r="R32" s="132" t="s">
        <v>1766</v>
      </c>
      <c r="S32" s="132"/>
      <c r="T32" s="280"/>
      <c r="U32" s="281"/>
      <c r="V32" s="281"/>
      <c r="W32" s="281"/>
      <c r="X32" s="281"/>
      <c r="Y32" s="281"/>
      <c r="Z32" t="e">
        <f>VLOOKUP(A32,#REF!,9,FALSE)</f>
        <v>#REF!</v>
      </c>
    </row>
    <row r="33" spans="1:26" ht="15.75" thickBot="1">
      <c r="A33" s="279" t="s">
        <v>634</v>
      </c>
      <c r="B33" s="103" t="s">
        <v>50</v>
      </c>
      <c r="C33" s="219">
        <v>45831</v>
      </c>
      <c r="D33" s="286"/>
      <c r="E33" s="273" t="s">
        <v>1729</v>
      </c>
      <c r="F33" s="286"/>
      <c r="G33" s="287" t="s">
        <v>1727</v>
      </c>
      <c r="H33" s="234"/>
      <c r="I33" s="234"/>
      <c r="J33" s="45"/>
      <c r="K33" s="208"/>
      <c r="L33" s="208"/>
      <c r="M33" s="208"/>
      <c r="N33" s="288"/>
      <c r="O33" s="289"/>
      <c r="P33" s="278"/>
      <c r="Q33" s="229" t="s">
        <v>64</v>
      </c>
      <c r="R33" s="132" t="s">
        <v>1766</v>
      </c>
      <c r="S33" s="132"/>
      <c r="T33" s="280"/>
      <c r="U33" s="281"/>
      <c r="V33" s="281"/>
      <c r="W33" s="281"/>
      <c r="X33" s="281"/>
      <c r="Y33" s="281"/>
      <c r="Z33" t="e">
        <f>VLOOKUP(A33,#REF!,9,FALSE)</f>
        <v>#REF!</v>
      </c>
    </row>
    <row r="34" spans="1:26" ht="15.75" thickBot="1">
      <c r="A34" s="279" t="s">
        <v>628</v>
      </c>
      <c r="B34" s="103" t="s">
        <v>50</v>
      </c>
      <c r="C34" s="219">
        <v>45831</v>
      </c>
      <c r="D34" s="286"/>
      <c r="E34" s="273" t="s">
        <v>1729</v>
      </c>
      <c r="F34" s="286"/>
      <c r="G34" s="287" t="s">
        <v>1727</v>
      </c>
      <c r="H34" s="234"/>
      <c r="I34" s="234"/>
      <c r="J34" s="45"/>
      <c r="K34" s="208"/>
      <c r="L34" s="208"/>
      <c r="M34" s="208"/>
      <c r="N34" s="288"/>
      <c r="O34" s="289"/>
      <c r="P34" s="278"/>
      <c r="Q34" s="279" t="s">
        <v>64</v>
      </c>
      <c r="R34" s="132" t="s">
        <v>1766</v>
      </c>
      <c r="S34" s="132"/>
      <c r="T34" s="280"/>
      <c r="U34" s="281"/>
      <c r="V34" s="281"/>
      <c r="W34" s="281"/>
      <c r="X34" s="281"/>
      <c r="Y34" s="281"/>
      <c r="Z34" t="e">
        <f>VLOOKUP(A34,#REF!,9,FALSE)</f>
        <v>#REF!</v>
      </c>
    </row>
    <row r="35" spans="1:26" ht="15.75" thickBot="1">
      <c r="A35" s="279" t="s">
        <v>630</v>
      </c>
      <c r="B35" s="103" t="s">
        <v>50</v>
      </c>
      <c r="C35" s="219">
        <v>45831</v>
      </c>
      <c r="D35" s="286"/>
      <c r="E35" s="273" t="s">
        <v>1729</v>
      </c>
      <c r="F35" s="286"/>
      <c r="G35" s="287" t="s">
        <v>1727</v>
      </c>
      <c r="H35" s="234"/>
      <c r="I35" s="234"/>
      <c r="J35" s="45"/>
      <c r="K35" s="208"/>
      <c r="L35" s="208"/>
      <c r="M35" s="208"/>
      <c r="N35" s="288"/>
      <c r="O35" s="289"/>
      <c r="P35" s="278"/>
      <c r="Q35" s="279" t="s">
        <v>64</v>
      </c>
      <c r="R35" s="132" t="s">
        <v>1766</v>
      </c>
      <c r="S35" s="132"/>
      <c r="T35" s="280"/>
      <c r="U35" s="281"/>
      <c r="V35" s="281"/>
      <c r="W35" s="281"/>
      <c r="X35" s="281"/>
      <c r="Y35" s="281"/>
      <c r="Z35" t="e">
        <f>VLOOKUP(A35,#REF!,9,FALSE)</f>
        <v>#REF!</v>
      </c>
    </row>
    <row r="36" spans="1:26" ht="15.75" thickBot="1">
      <c r="A36" s="279" t="s">
        <v>626</v>
      </c>
      <c r="B36" s="103" t="s">
        <v>50</v>
      </c>
      <c r="C36" s="219">
        <v>45772</v>
      </c>
      <c r="D36" s="286"/>
      <c r="E36" s="273" t="s">
        <v>1729</v>
      </c>
      <c r="F36" s="286"/>
      <c r="G36" s="287" t="s">
        <v>1748</v>
      </c>
      <c r="H36" s="234"/>
      <c r="I36" s="234"/>
      <c r="J36" s="45"/>
      <c r="K36" s="208"/>
      <c r="L36" s="208"/>
      <c r="M36" s="208"/>
      <c r="N36" s="288"/>
      <c r="O36" s="289"/>
      <c r="P36" s="278"/>
      <c r="Q36" s="279" t="s">
        <v>1748</v>
      </c>
      <c r="R36" s="132" t="s">
        <v>1766</v>
      </c>
      <c r="S36" s="132"/>
      <c r="T36" s="280"/>
      <c r="U36" s="281"/>
      <c r="V36" s="281"/>
      <c r="W36" s="281"/>
      <c r="X36" s="281"/>
      <c r="Y36" s="281"/>
      <c r="Z36" t="e">
        <f>VLOOKUP(A36,#REF!,9,FALSE)</f>
        <v>#REF!</v>
      </c>
    </row>
    <row r="37" spans="1:26" ht="15.75" thickBot="1">
      <c r="A37" s="279" t="s">
        <v>636</v>
      </c>
      <c r="B37" s="103" t="s">
        <v>50</v>
      </c>
      <c r="C37" s="219">
        <v>45831</v>
      </c>
      <c r="D37" s="286"/>
      <c r="E37" s="273" t="s">
        <v>1729</v>
      </c>
      <c r="F37" s="286"/>
      <c r="G37" s="287" t="s">
        <v>1727</v>
      </c>
      <c r="H37" s="234"/>
      <c r="I37" s="234"/>
      <c r="J37" s="45"/>
      <c r="K37" s="208"/>
      <c r="L37" s="208"/>
      <c r="M37" s="208"/>
      <c r="N37" s="288"/>
      <c r="O37" s="289"/>
      <c r="P37" s="278"/>
      <c r="Q37" s="279" t="s">
        <v>64</v>
      </c>
      <c r="R37" s="132" t="s">
        <v>1766</v>
      </c>
      <c r="S37" s="132"/>
      <c r="T37" s="280"/>
      <c r="U37" s="281"/>
      <c r="V37" s="281"/>
      <c r="W37" s="281"/>
      <c r="X37" s="281"/>
      <c r="Y37" s="281"/>
      <c r="Z37" t="e">
        <f>VLOOKUP(A37,#REF!,9,FALSE)</f>
        <v>#REF!</v>
      </c>
    </row>
    <row r="38" spans="1:26" ht="15.75" thickBot="1">
      <c r="A38" s="279" t="s">
        <v>640</v>
      </c>
      <c r="B38" s="103" t="s">
        <v>50</v>
      </c>
      <c r="C38" s="219">
        <v>45831</v>
      </c>
      <c r="D38" s="286"/>
      <c r="E38" s="273" t="s">
        <v>1729</v>
      </c>
      <c r="F38" s="286"/>
      <c r="G38" s="287" t="s">
        <v>1727</v>
      </c>
      <c r="H38" s="234"/>
      <c r="I38" s="234"/>
      <c r="J38" s="45"/>
      <c r="K38" s="208"/>
      <c r="L38" s="208"/>
      <c r="M38" s="208"/>
      <c r="N38" s="288"/>
      <c r="O38" s="289"/>
      <c r="P38" s="278"/>
      <c r="Q38" s="279" t="s">
        <v>64</v>
      </c>
      <c r="R38" s="132" t="s">
        <v>1766</v>
      </c>
      <c r="S38" s="132"/>
      <c r="T38" s="280"/>
      <c r="U38" s="281"/>
      <c r="V38" s="281"/>
      <c r="W38" s="281"/>
      <c r="X38" s="281"/>
      <c r="Y38" s="281"/>
      <c r="Z38" t="e">
        <f>VLOOKUP(A38,#REF!,9,FALSE)</f>
        <v>#REF!</v>
      </c>
    </row>
    <row r="39" spans="1:26" s="220" customFormat="1" ht="70.150000000000006" customHeight="1" thickBot="1">
      <c r="A39" s="224" t="s">
        <v>1749</v>
      </c>
      <c r="B39" s="228" t="e">
        <v>#N/A</v>
      </c>
      <c r="C39" s="227" t="e">
        <v>#N/A</v>
      </c>
      <c r="D39" s="293"/>
      <c r="E39" s="273" t="s">
        <v>1729</v>
      </c>
      <c r="F39" s="293"/>
      <c r="G39" s="294" t="s">
        <v>1748</v>
      </c>
      <c r="H39" s="226"/>
      <c r="I39" s="226"/>
      <c r="J39" s="226"/>
      <c r="K39" s="225"/>
      <c r="L39" s="225"/>
      <c r="M39" s="225"/>
      <c r="N39" s="226"/>
      <c r="O39" s="295"/>
      <c r="P39" s="278"/>
      <c r="Q39" s="224" t="s">
        <v>1748</v>
      </c>
      <c r="R39" s="132" t="s">
        <v>1766</v>
      </c>
      <c r="S39" s="223"/>
      <c r="T39" s="222"/>
      <c r="U39" s="221"/>
      <c r="V39" s="221"/>
      <c r="W39" s="221"/>
      <c r="X39" s="221"/>
      <c r="Y39" s="221" t="s">
        <v>1773</v>
      </c>
      <c r="Z39" t="e">
        <f>VLOOKUP(A39,#REF!,9,FALSE)</f>
        <v>#REF!</v>
      </c>
    </row>
    <row r="40" spans="1:26" ht="15.75" thickBot="1">
      <c r="A40" s="279" t="s">
        <v>701</v>
      </c>
      <c r="B40" s="103" t="s">
        <v>50</v>
      </c>
      <c r="C40" s="219">
        <v>45831</v>
      </c>
      <c r="D40" s="286"/>
      <c r="E40" s="273" t="s">
        <v>1729</v>
      </c>
      <c r="F40" s="286"/>
      <c r="G40" s="287" t="s">
        <v>1727</v>
      </c>
      <c r="H40" s="234"/>
      <c r="I40" s="234"/>
      <c r="J40" s="45"/>
      <c r="K40" s="208"/>
      <c r="L40" s="208"/>
      <c r="M40" s="208"/>
      <c r="N40" s="288"/>
      <c r="O40" s="289"/>
      <c r="P40" s="278"/>
      <c r="Q40" s="279" t="s">
        <v>64</v>
      </c>
      <c r="R40" s="132" t="s">
        <v>1766</v>
      </c>
      <c r="S40" s="132"/>
      <c r="T40" s="280"/>
      <c r="U40" s="281"/>
      <c r="V40" s="281"/>
      <c r="W40" s="281"/>
      <c r="X40" s="281"/>
      <c r="Y40" s="281"/>
      <c r="Z40" t="e">
        <f>VLOOKUP(A40,#REF!,9,FALSE)</f>
        <v>#REF!</v>
      </c>
    </row>
    <row r="41" spans="1:26" ht="15.75" thickBot="1">
      <c r="A41" s="279" t="s">
        <v>91</v>
      </c>
      <c r="B41" s="103" t="s">
        <v>50</v>
      </c>
      <c r="C41" s="219">
        <v>45807</v>
      </c>
      <c r="D41" s="286"/>
      <c r="E41" s="273" t="s">
        <v>1764</v>
      </c>
      <c r="F41" s="286"/>
      <c r="G41" s="287" t="s">
        <v>1727</v>
      </c>
      <c r="H41" s="234"/>
      <c r="I41" s="234"/>
      <c r="J41" s="45"/>
      <c r="K41" s="208"/>
      <c r="L41" s="208"/>
      <c r="M41" s="208"/>
      <c r="N41" s="288"/>
      <c r="O41" s="289"/>
      <c r="P41" s="278" t="s">
        <v>1765</v>
      </c>
      <c r="Q41" s="279" t="s">
        <v>58</v>
      </c>
      <c r="R41" s="132" t="s">
        <v>1766</v>
      </c>
      <c r="S41" s="132"/>
      <c r="T41" s="280"/>
      <c r="U41" s="281"/>
      <c r="V41" s="281"/>
      <c r="W41" s="281"/>
      <c r="X41" s="281"/>
      <c r="Y41" s="281"/>
      <c r="Z41" t="e">
        <f>VLOOKUP(A41,#REF!,9,FALSE)</f>
        <v>#REF!</v>
      </c>
    </row>
    <row r="42" spans="1:26" ht="15.75" thickBot="1">
      <c r="A42" s="279" t="s">
        <v>89</v>
      </c>
      <c r="B42" s="103" t="s">
        <v>50</v>
      </c>
      <c r="C42" s="219">
        <v>45807</v>
      </c>
      <c r="D42" s="286"/>
      <c r="E42" s="273" t="s">
        <v>1764</v>
      </c>
      <c r="F42" s="286"/>
      <c r="G42" s="287" t="s">
        <v>1727</v>
      </c>
      <c r="H42" s="234"/>
      <c r="I42" s="234"/>
      <c r="J42" s="45"/>
      <c r="K42" s="208"/>
      <c r="L42" s="208"/>
      <c r="M42" s="208"/>
      <c r="N42" s="288"/>
      <c r="O42" s="289"/>
      <c r="P42" s="278" t="s">
        <v>1765</v>
      </c>
      <c r="Q42" s="279" t="s">
        <v>64</v>
      </c>
      <c r="R42" s="132" t="s">
        <v>1766</v>
      </c>
      <c r="S42" s="132"/>
      <c r="T42" s="280"/>
      <c r="U42" s="281"/>
      <c r="V42" s="281"/>
      <c r="W42" s="281"/>
      <c r="X42" s="281"/>
      <c r="Y42" s="281"/>
      <c r="Z42" t="e">
        <f>VLOOKUP(A42,#REF!,9,FALSE)</f>
        <v>#REF!</v>
      </c>
    </row>
    <row r="43" spans="1:26" ht="15.75" thickBot="1">
      <c r="A43" s="279" t="s">
        <v>495</v>
      </c>
      <c r="B43" s="103" t="s">
        <v>50</v>
      </c>
      <c r="C43" s="219">
        <v>45807</v>
      </c>
      <c r="D43" s="286"/>
      <c r="E43" s="273" t="s">
        <v>1764</v>
      </c>
      <c r="F43" s="286"/>
      <c r="G43" s="287" t="s">
        <v>1727</v>
      </c>
      <c r="H43" s="234"/>
      <c r="I43" s="234"/>
      <c r="J43" s="45"/>
      <c r="K43" s="208"/>
      <c r="L43" s="208"/>
      <c r="M43" s="208"/>
      <c r="N43" s="288"/>
      <c r="O43" s="289"/>
      <c r="P43" s="278" t="s">
        <v>1765</v>
      </c>
      <c r="Q43" s="279" t="s">
        <v>58</v>
      </c>
      <c r="R43" s="132" t="s">
        <v>1766</v>
      </c>
      <c r="S43" s="132"/>
      <c r="T43" s="280"/>
      <c r="U43" s="281"/>
      <c r="V43" s="281"/>
      <c r="W43" s="281"/>
      <c r="X43" s="281"/>
      <c r="Y43" s="281"/>
      <c r="Z43" t="e">
        <f>VLOOKUP(A43,#REF!,9,FALSE)</f>
        <v>#REF!</v>
      </c>
    </row>
    <row r="44" spans="1:26" ht="15.75" thickBot="1">
      <c r="A44" s="279" t="s">
        <v>86</v>
      </c>
      <c r="B44" s="103" t="s">
        <v>50</v>
      </c>
      <c r="C44" s="219">
        <v>45807</v>
      </c>
      <c r="D44" s="286"/>
      <c r="E44" s="273" t="s">
        <v>1764</v>
      </c>
      <c r="F44" s="286"/>
      <c r="G44" s="287" t="s">
        <v>1727</v>
      </c>
      <c r="H44" s="234"/>
      <c r="I44" s="234"/>
      <c r="J44" s="45"/>
      <c r="K44" s="208"/>
      <c r="L44" s="208"/>
      <c r="M44" s="208"/>
      <c r="N44" s="288"/>
      <c r="O44" s="289"/>
      <c r="P44" s="278" t="s">
        <v>1735</v>
      </c>
      <c r="Q44" s="279" t="s">
        <v>64</v>
      </c>
      <c r="R44" s="132" t="s">
        <v>1766</v>
      </c>
      <c r="S44" s="132"/>
      <c r="T44" s="280"/>
      <c r="U44" s="281"/>
      <c r="V44" s="281"/>
      <c r="W44" s="281"/>
      <c r="X44" s="281"/>
      <c r="Y44" s="281"/>
      <c r="Z44" t="e">
        <f>VLOOKUP(A44,#REF!,9,FALSE)</f>
        <v>#REF!</v>
      </c>
    </row>
    <row r="45" spans="1:26" ht="15.75" thickBot="1">
      <c r="A45" s="346" t="s">
        <v>509</v>
      </c>
      <c r="B45" s="103" t="s">
        <v>50</v>
      </c>
      <c r="C45" s="219">
        <v>45807</v>
      </c>
      <c r="D45" s="286"/>
      <c r="E45" s="273" t="s">
        <v>1729</v>
      </c>
      <c r="F45" s="286"/>
      <c r="G45" s="287" t="s">
        <v>1727</v>
      </c>
      <c r="H45" s="234"/>
      <c r="I45" s="234"/>
      <c r="J45" s="45"/>
      <c r="K45" s="208"/>
      <c r="L45" s="208"/>
      <c r="M45" s="208"/>
      <c r="N45" s="288"/>
      <c r="O45" s="289"/>
      <c r="P45" s="278"/>
      <c r="Q45" s="279" t="s">
        <v>58</v>
      </c>
      <c r="R45" s="132" t="s">
        <v>1766</v>
      </c>
      <c r="S45" s="132"/>
      <c r="T45" s="280"/>
      <c r="U45" s="281"/>
      <c r="V45" s="281"/>
      <c r="W45" s="281"/>
      <c r="X45" s="281"/>
      <c r="Y45" s="281"/>
      <c r="Z45" t="e">
        <f>VLOOKUP(A45,#REF!,9,FALSE)</f>
        <v>#REF!</v>
      </c>
    </row>
    <row r="46" spans="1:26" ht="15.75" thickBot="1">
      <c r="A46" s="296" t="s">
        <v>511</v>
      </c>
      <c r="B46" s="103" t="s">
        <v>50</v>
      </c>
      <c r="C46" s="219">
        <v>45807</v>
      </c>
      <c r="D46" s="286"/>
      <c r="E46" s="273" t="s">
        <v>1729</v>
      </c>
      <c r="F46" s="286"/>
      <c r="G46" s="294" t="s">
        <v>1727</v>
      </c>
      <c r="H46" s="234"/>
      <c r="I46" s="234"/>
      <c r="J46" s="45"/>
      <c r="K46" s="208"/>
      <c r="L46" s="208"/>
      <c r="M46" s="208"/>
      <c r="N46" s="288"/>
      <c r="O46" s="289"/>
      <c r="P46" s="278"/>
      <c r="Q46" s="279" t="s">
        <v>58</v>
      </c>
      <c r="R46" s="132" t="s">
        <v>1766</v>
      </c>
      <c r="S46" s="132"/>
      <c r="T46" s="280"/>
      <c r="U46" s="281"/>
      <c r="V46" s="281"/>
      <c r="W46" s="281"/>
      <c r="X46" s="281"/>
      <c r="Y46" s="281"/>
      <c r="Z46" t="e">
        <f>VLOOKUP(A46,#REF!,9,FALSE)</f>
        <v>#REF!</v>
      </c>
    </row>
    <row r="47" spans="1:26" ht="15.75" thickBot="1">
      <c r="A47" s="297" t="s">
        <v>181</v>
      </c>
      <c r="B47" s="103" t="s">
        <v>50</v>
      </c>
      <c r="C47" s="219">
        <v>45807</v>
      </c>
      <c r="D47" s="286"/>
      <c r="E47" s="273" t="s">
        <v>1729</v>
      </c>
      <c r="F47" s="286"/>
      <c r="G47" s="287" t="s">
        <v>1727</v>
      </c>
      <c r="H47" s="234"/>
      <c r="I47" s="234"/>
      <c r="J47" s="45"/>
      <c r="K47" s="208"/>
      <c r="L47" s="208"/>
      <c r="M47" s="208"/>
      <c r="N47" s="288"/>
      <c r="O47" s="289"/>
      <c r="P47" s="278" t="s">
        <v>1738</v>
      </c>
      <c r="Q47" s="279" t="s">
        <v>58</v>
      </c>
      <c r="R47" s="132" t="s">
        <v>1769</v>
      </c>
      <c r="S47" s="132"/>
      <c r="T47" s="280"/>
      <c r="U47" s="281"/>
      <c r="V47" s="281"/>
      <c r="W47" s="281"/>
      <c r="X47" s="281"/>
      <c r="Y47" s="281"/>
      <c r="Z47" t="e">
        <f>VLOOKUP(A47,#REF!,9,FALSE)</f>
        <v>#REF!</v>
      </c>
    </row>
    <row r="48" spans="1:26" ht="15.75" thickBot="1">
      <c r="A48" s="296" t="s">
        <v>554</v>
      </c>
      <c r="B48" s="103" t="s">
        <v>50</v>
      </c>
      <c r="C48" s="219">
        <v>45807</v>
      </c>
      <c r="D48" s="286"/>
      <c r="E48" s="273" t="s">
        <v>1729</v>
      </c>
      <c r="F48" s="286"/>
      <c r="G48" s="294" t="s">
        <v>1748</v>
      </c>
      <c r="H48" s="234"/>
      <c r="I48" s="234"/>
      <c r="J48" s="45"/>
      <c r="K48" s="208"/>
      <c r="L48" s="208"/>
      <c r="M48" s="208"/>
      <c r="N48" s="288"/>
      <c r="O48" s="289"/>
      <c r="P48" s="278" t="s">
        <v>1775</v>
      </c>
      <c r="Q48" s="279" t="s">
        <v>1748</v>
      </c>
      <c r="R48" s="132" t="s">
        <v>1766</v>
      </c>
      <c r="S48" s="132"/>
      <c r="T48" s="280"/>
      <c r="U48" s="281"/>
      <c r="V48" s="281"/>
      <c r="W48" s="281"/>
      <c r="X48" s="281"/>
      <c r="Y48" s="281"/>
      <c r="Z48" t="e">
        <f>VLOOKUP(A48,#REF!,9,FALSE)</f>
        <v>#REF!</v>
      </c>
    </row>
    <row r="49" spans="1:26" ht="15.75" thickBot="1">
      <c r="A49" s="296" t="s">
        <v>548</v>
      </c>
      <c r="B49" s="103" t="s">
        <v>114</v>
      </c>
      <c r="C49" s="219">
        <v>45772</v>
      </c>
      <c r="D49" s="286"/>
      <c r="E49" s="273" t="s">
        <v>1729</v>
      </c>
      <c r="F49" s="286"/>
      <c r="G49" s="294" t="s">
        <v>1748</v>
      </c>
      <c r="H49" s="234"/>
      <c r="I49" s="234"/>
      <c r="J49" s="45"/>
      <c r="K49" s="208"/>
      <c r="L49" s="208"/>
      <c r="M49" s="208"/>
      <c r="N49" s="288"/>
      <c r="O49" s="289"/>
      <c r="P49" s="278" t="s">
        <v>1775</v>
      </c>
      <c r="Q49" s="279" t="s">
        <v>1748</v>
      </c>
      <c r="R49" s="132" t="s">
        <v>1766</v>
      </c>
      <c r="S49" s="132"/>
      <c r="T49" s="280"/>
      <c r="U49" s="281"/>
      <c r="V49" s="281"/>
      <c r="W49" s="281"/>
      <c r="X49" s="281"/>
      <c r="Y49" s="281"/>
      <c r="Z49" t="e">
        <f>VLOOKUP(A49,#REF!,9,FALSE)</f>
        <v>#REF!</v>
      </c>
    </row>
    <row r="50" spans="1:26" ht="15.75" thickBot="1">
      <c r="A50" s="296" t="s">
        <v>546</v>
      </c>
      <c r="B50" s="103" t="s">
        <v>114</v>
      </c>
      <c r="C50" s="219">
        <v>45772</v>
      </c>
      <c r="D50" s="286"/>
      <c r="E50" s="273" t="s">
        <v>1729</v>
      </c>
      <c r="F50" s="286"/>
      <c r="G50" s="294" t="s">
        <v>1748</v>
      </c>
      <c r="H50" s="234"/>
      <c r="I50" s="234"/>
      <c r="J50" s="45"/>
      <c r="K50" s="208"/>
      <c r="L50" s="208"/>
      <c r="M50" s="208"/>
      <c r="N50" s="288"/>
      <c r="O50" s="289"/>
      <c r="P50" s="278" t="s">
        <v>1775</v>
      </c>
      <c r="Q50" s="279" t="s">
        <v>1748</v>
      </c>
      <c r="R50" s="132" t="s">
        <v>1766</v>
      </c>
      <c r="S50" s="132"/>
      <c r="T50" s="280"/>
      <c r="U50" s="281"/>
      <c r="V50" s="281"/>
      <c r="W50" s="281"/>
      <c r="X50" s="281"/>
      <c r="Y50" s="281"/>
      <c r="Z50" t="e">
        <f>VLOOKUP(A50,#REF!,9,FALSE)</f>
        <v>#REF!</v>
      </c>
    </row>
    <row r="51" spans="1:26" ht="15.75" thickBot="1">
      <c r="A51" s="296" t="s">
        <v>552</v>
      </c>
      <c r="B51" s="103" t="e">
        <v>#N/A</v>
      </c>
      <c r="C51" s="219" t="e">
        <v>#N/A</v>
      </c>
      <c r="D51" s="286"/>
      <c r="E51" s="273" t="s">
        <v>1729</v>
      </c>
      <c r="F51" s="286"/>
      <c r="G51" s="294" t="s">
        <v>1748</v>
      </c>
      <c r="H51" s="234"/>
      <c r="I51" s="234"/>
      <c r="J51" s="45"/>
      <c r="K51" s="208"/>
      <c r="L51" s="208"/>
      <c r="M51" s="208"/>
      <c r="N51" s="288"/>
      <c r="O51" s="289"/>
      <c r="P51" s="278" t="s">
        <v>1775</v>
      </c>
      <c r="Q51" s="279" t="s">
        <v>1748</v>
      </c>
      <c r="R51" s="132" t="s">
        <v>1766</v>
      </c>
      <c r="S51" s="132"/>
      <c r="T51" s="280"/>
      <c r="U51" s="281"/>
      <c r="V51" s="281"/>
      <c r="W51" s="281"/>
      <c r="X51" s="281"/>
      <c r="Y51" s="281"/>
      <c r="Z51" t="e">
        <f>VLOOKUP(A51,#REF!,9,FALSE)</f>
        <v>#REF!</v>
      </c>
    </row>
    <row r="52" spans="1:26" ht="13.9" customHeight="1" thickBot="1">
      <c r="A52" s="296" t="s">
        <v>528</v>
      </c>
      <c r="B52" s="103" t="s">
        <v>114</v>
      </c>
      <c r="C52" s="219">
        <v>45925</v>
      </c>
      <c r="D52" s="286"/>
      <c r="E52" s="273" t="s">
        <v>1764</v>
      </c>
      <c r="F52" s="286"/>
      <c r="G52" s="287" t="s">
        <v>1727</v>
      </c>
      <c r="H52" s="234"/>
      <c r="I52" s="234"/>
      <c r="J52" s="45"/>
      <c r="K52" s="208"/>
      <c r="L52" s="208"/>
      <c r="M52" s="208"/>
      <c r="N52" s="288"/>
      <c r="O52" s="289"/>
      <c r="P52" s="278" t="s">
        <v>1765</v>
      </c>
      <c r="Q52" s="279" t="s">
        <v>64</v>
      </c>
      <c r="R52" s="132" t="s">
        <v>1766</v>
      </c>
      <c r="S52" s="132"/>
      <c r="T52" s="280"/>
      <c r="U52" s="281"/>
      <c r="V52" s="281"/>
      <c r="W52" s="281"/>
      <c r="X52" s="281"/>
      <c r="Y52" s="281"/>
      <c r="Z52" t="e">
        <f>VLOOKUP(A52,#REF!,9,FALSE)</f>
        <v>#REF!</v>
      </c>
    </row>
    <row r="53" spans="1:26" ht="15.75" thickBot="1">
      <c r="A53" s="296" t="s">
        <v>530</v>
      </c>
      <c r="B53" s="103" t="s">
        <v>114</v>
      </c>
      <c r="C53" s="219">
        <v>45925</v>
      </c>
      <c r="D53" s="286"/>
      <c r="E53" s="273" t="s">
        <v>1764</v>
      </c>
      <c r="F53" s="286"/>
      <c r="G53" s="287" t="s">
        <v>1727</v>
      </c>
      <c r="H53" s="234"/>
      <c r="I53" s="234"/>
      <c r="J53" s="45"/>
      <c r="K53" s="208"/>
      <c r="L53" s="208"/>
      <c r="M53" s="208"/>
      <c r="N53" s="288"/>
      <c r="O53" s="289"/>
      <c r="P53" s="278" t="s">
        <v>1765</v>
      </c>
      <c r="Q53" s="279" t="s">
        <v>64</v>
      </c>
      <c r="R53" s="132" t="s">
        <v>1766</v>
      </c>
      <c r="S53" s="132"/>
      <c r="T53" s="280"/>
      <c r="U53" s="281"/>
      <c r="V53" s="281"/>
      <c r="W53" s="281"/>
      <c r="X53" s="281"/>
      <c r="Y53" s="281"/>
      <c r="Z53" t="e">
        <f>VLOOKUP(A53,#REF!,9,FALSE)</f>
        <v>#REF!</v>
      </c>
    </row>
    <row r="54" spans="1:26" ht="15.75" thickBot="1">
      <c r="A54" s="296" t="s">
        <v>526</v>
      </c>
      <c r="B54" s="103" t="s">
        <v>114</v>
      </c>
      <c r="C54" s="219">
        <v>45925</v>
      </c>
      <c r="D54" s="286"/>
      <c r="E54" s="273" t="s">
        <v>1764</v>
      </c>
      <c r="F54" s="286"/>
      <c r="G54" s="287" t="s">
        <v>1727</v>
      </c>
      <c r="H54" s="234"/>
      <c r="I54" s="234"/>
      <c r="J54" s="45"/>
      <c r="K54" s="208"/>
      <c r="L54" s="208"/>
      <c r="M54" s="208"/>
      <c r="N54" s="288"/>
      <c r="O54" s="289"/>
      <c r="P54" s="278" t="s">
        <v>1765</v>
      </c>
      <c r="Q54" s="279" t="s">
        <v>64</v>
      </c>
      <c r="R54" s="132" t="s">
        <v>1766</v>
      </c>
      <c r="S54" s="132"/>
      <c r="T54" s="280"/>
      <c r="U54" s="281"/>
      <c r="V54" s="281"/>
      <c r="W54" s="281"/>
      <c r="X54" s="281"/>
      <c r="Y54" s="281"/>
      <c r="Z54" t="e">
        <f>VLOOKUP(A54,#REF!,9,FALSE)</f>
        <v>#REF!</v>
      </c>
    </row>
    <row r="55" spans="1:26" ht="15.75" thickBot="1">
      <c r="A55" s="296" t="s">
        <v>564</v>
      </c>
      <c r="B55" s="103" t="s">
        <v>114</v>
      </c>
      <c r="C55" s="219">
        <v>45862</v>
      </c>
      <c r="D55" s="286"/>
      <c r="E55" s="273" t="s">
        <v>1764</v>
      </c>
      <c r="F55" s="286"/>
      <c r="G55" s="287" t="s">
        <v>1727</v>
      </c>
      <c r="H55" s="234"/>
      <c r="I55" s="234"/>
      <c r="J55" s="45"/>
      <c r="K55" s="208"/>
      <c r="L55" s="208"/>
      <c r="M55" s="208"/>
      <c r="N55" s="288"/>
      <c r="O55" s="289"/>
      <c r="P55" s="278" t="s">
        <v>1738</v>
      </c>
      <c r="Q55" s="279" t="s">
        <v>58</v>
      </c>
      <c r="R55" s="132" t="s">
        <v>1769</v>
      </c>
      <c r="S55" s="132"/>
      <c r="T55" s="280"/>
      <c r="U55" s="281"/>
      <c r="V55" s="281"/>
      <c r="W55" s="281"/>
      <c r="X55" s="281"/>
      <c r="Y55" s="281"/>
      <c r="Z55" t="e">
        <f>VLOOKUP(A55,#REF!,9,FALSE)</f>
        <v>#REF!</v>
      </c>
    </row>
    <row r="56" spans="1:26" ht="15.75" thickBot="1">
      <c r="A56" s="296" t="s">
        <v>124</v>
      </c>
      <c r="B56" s="103"/>
      <c r="C56" s="219" t="e">
        <v>#N/A</v>
      </c>
      <c r="D56" s="286"/>
      <c r="E56" s="273" t="s">
        <v>1764</v>
      </c>
      <c r="F56" s="286"/>
      <c r="G56" s="287" t="s">
        <v>1727</v>
      </c>
      <c r="H56" s="234"/>
      <c r="I56" s="234"/>
      <c r="J56" s="45"/>
      <c r="K56" s="208"/>
      <c r="L56" s="208"/>
      <c r="M56" s="208"/>
      <c r="N56" s="288"/>
      <c r="O56" s="289"/>
      <c r="P56" s="278" t="s">
        <v>1776</v>
      </c>
      <c r="Q56" s="279" t="s">
        <v>58</v>
      </c>
      <c r="R56" s="132" t="s">
        <v>1769</v>
      </c>
      <c r="S56" s="132"/>
      <c r="T56" s="280"/>
      <c r="U56" s="281"/>
      <c r="V56" s="281"/>
      <c r="W56" s="281"/>
      <c r="X56" s="281"/>
      <c r="Y56" s="281"/>
      <c r="Z56" t="e">
        <f>VLOOKUP(A56,#REF!,9,FALSE)</f>
        <v>#REF!</v>
      </c>
    </row>
    <row r="57" spans="1:26" ht="15.75" thickBot="1">
      <c r="A57" s="163" t="s">
        <v>1777</v>
      </c>
      <c r="B57" s="103" t="s">
        <v>114</v>
      </c>
      <c r="C57" s="298">
        <v>45787</v>
      </c>
      <c r="D57" s="286"/>
      <c r="E57" s="273" t="s">
        <v>1764</v>
      </c>
      <c r="F57" s="286"/>
      <c r="G57" s="287" t="s">
        <v>1727</v>
      </c>
      <c r="H57" s="234"/>
      <c r="I57" s="234"/>
      <c r="J57" s="45"/>
      <c r="K57" s="208"/>
      <c r="L57" s="208"/>
      <c r="M57" s="208"/>
      <c r="N57" s="288"/>
      <c r="O57" s="289"/>
      <c r="P57" s="278" t="s">
        <v>1738</v>
      </c>
      <c r="Q57" s="279" t="s">
        <v>1778</v>
      </c>
      <c r="R57" s="132" t="s">
        <v>1769</v>
      </c>
      <c r="S57" s="132"/>
      <c r="T57" s="280"/>
      <c r="U57" s="281"/>
      <c r="V57" s="281"/>
      <c r="W57" s="281"/>
      <c r="X57" s="281"/>
      <c r="Y57" s="281"/>
      <c r="Z57" t="e">
        <f>VLOOKUP(A57,#REF!,9,FALSE)</f>
        <v>#REF!</v>
      </c>
    </row>
    <row r="58" spans="1:26" ht="15.75" thickBot="1">
      <c r="A58" s="640" t="s">
        <v>526</v>
      </c>
      <c r="B58" s="103" t="s">
        <v>50</v>
      </c>
      <c r="C58" s="300">
        <v>45807</v>
      </c>
      <c r="D58" s="286"/>
      <c r="E58" s="273" t="s">
        <v>1729</v>
      </c>
      <c r="F58" s="286"/>
      <c r="G58" s="287" t="s">
        <v>1727</v>
      </c>
      <c r="H58" s="234"/>
      <c r="I58" s="234"/>
      <c r="J58" s="45"/>
      <c r="K58" s="208"/>
      <c r="L58" s="208"/>
      <c r="M58" s="208"/>
      <c r="N58" s="288"/>
      <c r="O58" s="289"/>
      <c r="P58" s="291"/>
      <c r="Q58" s="279" t="s">
        <v>64</v>
      </c>
      <c r="R58" s="132" t="s">
        <v>1766</v>
      </c>
      <c r="S58" s="132"/>
      <c r="T58" s="280"/>
      <c r="U58" s="281"/>
      <c r="V58" s="281"/>
      <c r="W58" s="281"/>
      <c r="X58" s="281"/>
      <c r="Y58" s="281"/>
    </row>
    <row r="59" spans="1:26" ht="15.75" thickBot="1">
      <c r="A59" s="640" t="s">
        <v>528</v>
      </c>
      <c r="B59" s="103" t="s">
        <v>114</v>
      </c>
      <c r="C59" s="300">
        <v>45772</v>
      </c>
      <c r="D59" s="286"/>
      <c r="E59" s="273" t="s">
        <v>1729</v>
      </c>
      <c r="F59" s="286"/>
      <c r="G59" s="287" t="s">
        <v>1727</v>
      </c>
      <c r="H59" s="234"/>
      <c r="I59" s="234"/>
      <c r="J59" s="45"/>
      <c r="K59" s="208"/>
      <c r="L59" s="208"/>
      <c r="M59" s="208"/>
      <c r="N59" s="288"/>
      <c r="O59" s="289"/>
      <c r="P59" s="291"/>
      <c r="Q59" s="279" t="s">
        <v>64</v>
      </c>
      <c r="R59" s="132" t="s">
        <v>1766</v>
      </c>
      <c r="S59" s="132"/>
      <c r="T59" s="280"/>
      <c r="U59" s="281"/>
      <c r="V59" s="281"/>
      <c r="W59" s="281"/>
      <c r="X59" s="281"/>
      <c r="Y59" s="281"/>
    </row>
    <row r="60" spans="1:26" ht="15.75" thickBot="1">
      <c r="A60" s="641" t="s">
        <v>530</v>
      </c>
      <c r="B60" s="103" t="s">
        <v>114</v>
      </c>
      <c r="C60" s="300">
        <v>45772</v>
      </c>
      <c r="D60" s="286"/>
      <c r="E60" s="273" t="s">
        <v>1729</v>
      </c>
      <c r="F60" s="286"/>
      <c r="G60" s="287" t="s">
        <v>1727</v>
      </c>
      <c r="H60" s="234"/>
      <c r="I60" s="234"/>
      <c r="J60" s="45"/>
      <c r="K60" s="208"/>
      <c r="L60" s="208"/>
      <c r="M60" s="208"/>
      <c r="N60" s="288"/>
      <c r="O60" s="289"/>
      <c r="P60" s="291"/>
      <c r="Q60" s="279" t="s">
        <v>64</v>
      </c>
      <c r="R60" s="132" t="s">
        <v>1766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1758</v>
      </c>
      <c r="B70" s="305">
        <f>SUM(K4:K9)</f>
        <v>0</v>
      </c>
      <c r="C70" s="306" t="e">
        <f>B70/B73</f>
        <v>#DIV/0!</v>
      </c>
    </row>
    <row r="71" spans="1:25">
      <c r="A71" s="304" t="s">
        <v>1656</v>
      </c>
      <c r="B71" s="305">
        <f>SUM(L4:L9)</f>
        <v>0</v>
      </c>
      <c r="C71" s="306" t="e">
        <f>B71/B73</f>
        <v>#DIV/0!</v>
      </c>
    </row>
    <row r="72" spans="1:25">
      <c r="A72" s="304" t="s">
        <v>1759</v>
      </c>
      <c r="B72" s="305">
        <f>SUM(M4:M9)</f>
        <v>0</v>
      </c>
      <c r="C72" s="306" t="e">
        <f>B72/B73</f>
        <v>#DIV/0!</v>
      </c>
    </row>
    <row r="73" spans="1:25">
      <c r="A73" s="304" t="s">
        <v>878</v>
      </c>
      <c r="B73" s="305">
        <f>SUM(B70:B72)</f>
        <v>0</v>
      </c>
      <c r="C73" s="283"/>
    </row>
    <row r="80" spans="1:25">
      <c r="A80" t="s">
        <v>1779</v>
      </c>
    </row>
    <row r="81" spans="1:1">
      <c r="A81" t="s">
        <v>1780</v>
      </c>
    </row>
    <row r="82" spans="1:1">
      <c r="A82" t="s">
        <v>1765</v>
      </c>
    </row>
    <row r="83" spans="1:1">
      <c r="A83" t="s">
        <v>1781</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720DF6B-9CBC-4DAE-A347-B175F01DDAE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2025-11-17T16:50:52Z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