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87" documentId="8_{E14B221E-02E2-46A3-8CEC-C736815F2DD5}" xr6:coauthVersionLast="47" xr6:coauthVersionMax="47" xr10:uidLastSave="{36259963-F0ED-43FA-85EE-42B6A41AA000}"/>
  <bookViews>
    <workbookView minimized="1" xWindow="1800" yWindow="3255" windowWidth="21600" windowHeight="11295"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4438" r:id="rId12"/>
    <pivotCache cacheId="4439" r:id="rId13"/>
    <pivotCache cacheId="4440" r:id="rId14"/>
    <pivotCache cacheId="4441" r:id="rId15"/>
    <pivotCache cacheId="44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<sst xmlns="http://schemas.openxmlformats.org/spreadsheetml/2006/main" count="14106" uniqueCount="1729">
  <si>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</si>
  <si>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</si>
  <si>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</si>
  <si>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</si>
  <si>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</si>
  <si>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</si>
  <si>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</si>
  <si>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</si>
  <si>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</si>
  <si>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</si>
  <si>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</si>
  <si>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</si>
  <si>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</si>
  <si>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</si>
  <si>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</si>
  <si>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</si>
  <si>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</si>
  <si>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</si>
  <si>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</si>
  <si>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</si>
  <si>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</si>
  <si>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</si>
  <si>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</si>
  <si>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</si>
  <si>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</si>
  <si>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</si>
  <si>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</si>
  <si>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</si>
  <si>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</si>
  <si>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</si>
  <si>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</si>
  <si>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</si>
  <si>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</si>
  <si>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</si>
  <si>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</si>
  <si>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</si>
  <si>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</si>
  <si>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</si>
  <si>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</si>
  <si>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</si>
  <si>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</si>
  <si>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</si>
  <si>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</si>
  <si>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</si>
  <si>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</si>
  <si>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</si>
  <si>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</si>
  <si>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</si>
  <si>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</si>
  <si>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</si>
  <si>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</si>
  <si>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</si>
  <si>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</si>
  <si>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</si>
  <si>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</si>
  <si>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</si>
  <si>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</si>
  <si>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</si>
  <si>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</si>
  <si>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</si>
  <si>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</si>
  <si>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</si>
  <si>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</si>
  <si>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</si>
  <si>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</si>
  <si>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</si>
  <si>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</si>
  <si>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</si>
  <si>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</si>
  <si>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</si>
  <si>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</si>
  <si>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</si>
  <si>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</si>
  <si>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</si>
  <si>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</si>
  <si>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</si>
  <si>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</si>
  <si>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</si>
  <si>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</si>
  <si>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</si>
  <si>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</si>
  <si>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</si>
  <si>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</si>
  <si>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</si>
  <si>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</si>
  <si>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</si>
  <si>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</si>
  <si>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</si>
  <si>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</si>
  <si>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</si>
  <si>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</si>
  <si>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</si>
  <si>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</si>
  <si>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</si>
  <si>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</si>
  <si>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</si>
  <si>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</si>
  <si>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</si>
  <si>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</si>
  <si>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</si>
  <si>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</si>
  <si>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</si>
  <si>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</si>
  <si>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</si>
  <si>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</si>
  <si>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</si>
  <si>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</si>
  <si>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</si>
  <si>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</si>
  <si>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</si>
  <si>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</si>
  <si>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</si>
  <si>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</si>
  <si>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</si>
  <si>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</si>
  <si>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</si>
  <si>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</si>
  <si>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</si>
  <si>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</si>
  <si>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</si>
  <si>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</si>
  <si>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</si>
  <si>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</si>
  <si>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</si>
  <si>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</si>
  <si>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</si>
  <si>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</si>
  <si>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</si>
  <si>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</si>
  <si>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</si>
  <si>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</si>
  <si>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</si>
  <si>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</si>
  <si>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</si>
  <si>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</si>
  <si>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</si>
  <si>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</si>
  <si>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</si>
  <si>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</si>
  <si>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</si>
  <si>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</si>
  <si>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</si>
  <si>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</si>
  <si>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</si>
  <si>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</si>
  <si>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</si>
  <si>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</si>
  <si>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</si>
  <si>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</si>
  <si>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</si>
  <si>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</si>
  <si>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</si>
  <si>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</si>
  <si>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</si>
  <si>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</si>
  <si>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</si>
  <si>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</si>
  <si>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</si>
  <si>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</si>
  <si>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</si>
  <si>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</si>
  <si>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</si>
  <si>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</si>
  <si>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</si>
  <si>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</si>
  <si>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</si>
  <si>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</si>
  <si>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</si>
  <si>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</si>
  <si>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</si>
  <si>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</si>
  <si>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</si>
  <si>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</si>
  <si>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</si>
  <si>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</si>
  <si>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</si>
  <si>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</si>
  <si>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</si>
  <si>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</si>
  <si>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</si>
  <si>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</si>
  <si>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</si>
  <si>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</si>
  <si>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</si>
  <si>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</si>
  <si>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</si>
  <si>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</si>
  <si>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</si>
  <si>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</si>
  <si>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</si>
  <si>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</si>
  <si>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</si>
  <si>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</si>
  <si>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</si>
  <si>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</si>
  <si>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</si>
  <si>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</si>
  <si>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</si>
  <si>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</si>
  <si>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</si>
  <si>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</si>
  <si>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</si>
  <si>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</si>
  <si>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</si>
  <si>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</si>
  <si>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</si>
  <si>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</si>
  <si>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</si>
  <si>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</si>
  <si>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</si>
  <si>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</si>
  <si>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</si>
  <si>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</si>
  <si>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</si>
  <si>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</si>
  <si>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</si>
  <si>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</si>
  <si>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</si>
  <si>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</si>
  <si>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</si>
  <si>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</si>
  <si>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</si>
  <si>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</si>
  <si>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</si>
  <si>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</si>
  <si>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</si>
  <si>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</si>
  <si>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</si>
  <si>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</si>
  <si>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</si>
  <si>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</si>
  <si>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</si>
  <si>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</si>
  <si>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</si>
  <si>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</si>
  <si>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</si>
  <si>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</si>
  <si>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</si>
  <si>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</si>
  <si>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</si>
  <si>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</si>
  <si>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</si>
  <si>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</si>
  <si>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</si>
  <si>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</si>
  <si>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</si>
  <si>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</si>
  <si>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</si>
  <si>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</si>
  <si>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</si>
  <si>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</si>
  <si>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</si>
  <si>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</si>
  <si>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</si>
  <si>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</si>
  <si>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</si>
  <si>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</si>
  <si>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</si>
  <si>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</si>
  <si>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</si>
  <si>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</si>
  <si>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</si>
  <si>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</si>
  <si>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</si>
  <si>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</si>
  <si>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</si>
  <si>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</si>
  <si>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</si>
  <si>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</si>
  <si>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</si>
  <si>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</si>
  <si>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</si>
  <si>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</si>
  <si>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</si>
  <si>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</si>
  <si>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</si>
  <si>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</si>
  <si>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</si>
  <si>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</si>
  <si>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</si>
  <si>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</si>
  <si>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</si>
  <si>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</si>
  <si>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</si>
  <si>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</si>
  <si>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</si>
  <si>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</si>
  <si>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</si>
  <si>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</si>
  <si>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</si>
  <si>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</si>
  <si>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</si>
  <si>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</si>
  <si>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</si>
  <si>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</si>
  <si>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</si>
  <si>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</si>
  <si>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</si>
  <si>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</si>
  <si>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</si>
  <si>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</si>
  <si>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</si>
  <si>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</si>
  <si>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</si>
  <si>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</si>
  <si>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</si>
  <si>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</si>
  <si>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</si>
  <si>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</si>
  <si>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</si>
  <si>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</si>
  <si>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</si>
  <si>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</si>
  <si>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</si>
  <si>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</si>
  <si>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</si>
  <si>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</si>
  <si>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</si>
  <si>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</si>
  <si>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</si>
  <si>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</si>
  <si>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</si>
  <si>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</si>
  <si>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</si>
  <si>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</si>
  <si>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</si>
  <si>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</si>
  <si>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</si>
  <si>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</si>
  <si>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</si>
  <si>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</si>
  <si>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</si>
  <si>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</si>
  <si>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</si>
  <si>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</si>
  <si>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</si>
  <si>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</si>
  <si>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</si>
  <si>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</si>
  <si>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</si>
  <si>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</si>
  <si>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</si>
  <si>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</si>
  <si>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</si>
  <si>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</si>
  <si>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</si>
  <si>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</si>
  <si>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</si>
  <si>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</si>
  <si>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</si>
  <si>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</si>
  <si>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</si>
  <si>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</si>
  <si>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</si>
  <si>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</si>
  <si>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</si>
  <si>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</si>
  <si>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</si>
  <si>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</si>
  <si>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</si>
  <si>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</si>
  <si>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</si>
  <si>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</si>
  <si>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</si>
  <si>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</si>
  <si>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</si>
  <si>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</si>
  <si>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</si>
  <si>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</si>
  <si>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</si>
  <si>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</si>
  <si>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</si>
  <si>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</si>
  <si>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</si>
  <si>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</si>
  <si>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</si>
  <si>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</si>
  <si>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</si>
  <si>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</si>
  <si>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</si>
  <si>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</si>
  <si>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</si>
  <si>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</si>
  <si>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</si>
  <si>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</si>
  <si>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</si>
  <si>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</si>
  <si>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</si>
  <si>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</si>
  <si>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</si>
  <si>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</si>
  <si>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</si>
  <si>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</si>
  <si>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</si>
  <si>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</si>
  <si>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</si>
  <si>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</si>
  <si>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</si>
  <si>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</si>
  <si>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</si>
  <si>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</si>
  <si>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</si>
  <si>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</si>
  <si>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</si>
  <si>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</si>
  <si>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</si>
  <si>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</si>
  <si>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</si>
  <si>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</si>
  <si>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</si>
  <si>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</si>
  <si>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</si>
  <si>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</si>
  <si>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</si>
  <si>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</si>
  <si>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</si>
  <si>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</si>
  <si>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</si>
  <si>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</si>
  <si>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</si>
  <si>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</si>
  <si>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</si>
  <si>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</si>
  <si>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</si>
  <si>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</si>
  <si>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</si>
  <si>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</si>
  <si>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</si>
  <si>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</si>
  <si>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</si>
  <si>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</si>
  <si>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</si>
  <si>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</si>
  <si>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</si>
  <si>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</si>
  <si>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</si>
  <si>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</si>
  <si>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</si>
  <si>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</si>
  <si>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</si>
  <si>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</si>
  <si>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</si>
  <si>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</si>
  <si>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</si>
  <si>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</si>
  <si>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</si>
  <si>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</si>
  <si>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</si>
  <si>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</si>
  <si>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</si>
  <si>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</si>
  <si>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</si>
  <si>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</si>
  <si>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</si>
  <si>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</si>
  <si>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</si>
  <si>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</si>
  <si>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</si>
  <si>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</si>
  <si>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</si>
  <si>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</si>
  <si>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</si>
  <si>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</si>
  <si>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</si>
  <si>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</si>
  <si>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</si>
  <si>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</si>
  <si>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</si>
  <si>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</si>
  <si>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</si>
  <si>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</si>
  <si>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</si>
  <si>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</si>
  <si>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</si>
  <si>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</si>
  <si>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</si>
  <si>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</si>
  <si>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</si>
  <si>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</si>
  <si>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</si>
  <si>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</si>
  <si>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</si>
  <si>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</si>
  <si>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</si>
  <si>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</si>
  <si>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</si>
  <si>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</si>
  <si>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</si>
  <si>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</si>
  <si>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</si>
  <si>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</si>
  <si>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</si>
  <si>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</si>
  <si>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</si>
  <si>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</si>
  <si>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</si>
  <si>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</si>
  <si>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</si>
  <si>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</si>
  <si>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</si>
  <si>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</si>
  <si>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</si>
  <si>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</si>
  <si>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</si>
  <si>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</si>
  <si>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</si>
  <si>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</si>
  <si>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</si>
  <si>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</si>
  <si>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</si>
  <si>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</si>
  <si>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</si>
  <si>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</si>
  <si>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</si>
  <si>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</si>
  <si>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</si>
  <si>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</si>
  <si>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</si>
  <si>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</si>
  <si>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</si>
  <si>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</si>
  <si>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</si>
  <si>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</si>
  <si>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</si>
  <si>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</si>
  <si>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</si>
  <si>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</si>
  <si>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</si>
  <si>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</si>
  <si>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</si>
  <si>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</si>
  <si>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</si>
  <si>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</si>
  <si>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</si>
  <si>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</si>
  <si>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</si>
  <si>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</si>
  <si>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</si>
  <si>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</si>
  <si>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</si>
  <si>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</si>
  <si>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</si>
  <si>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</si>
  <si>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</si>
  <si>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</si>
  <si>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</si>
  <si>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</si>
  <si>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</si>
  <si>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</si>
  <si>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</si>
  <si>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</si>
  <si>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</si>
  <si>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</si>
  <si>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</si>
  <si>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</si>
  <si>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</si>
  <si>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</si>
  <si>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</si>
  <si>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</si>
  <si>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</si>
  <si>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</si>
  <si>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</si>
  <si>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</si>
  <si>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</si>
  <si>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</si>
  <si>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</si>
  <si>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</si>
  <si>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</si>
  <si>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</si>
  <si>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</si>
  <si>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</si>
  <si>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</si>
  <si>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</si>
  <si>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</si>
  <si>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</si>
  <si>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</si>
  <si>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</si>
  <si>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</si>
  <si>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</si>
  <si>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</si>
  <si>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</si>
  <si>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</si>
  <si>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</si>
  <si>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</si>
  <si>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</si>
  <si>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</si>
  <si>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</si>
  <si>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</si>
  <si>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</si>
  <si>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</si>
  <si>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</si>
  <si>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</si>
  <si>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</si>
  <si>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</si>
  <si>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</si>
  <si>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</si>
  <si>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</si>
  <si>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</si>
  <si>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</si>
  <si>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</si>
  <si>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</si>
  <si>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</si>
  <si>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</si>
  <si>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</si>
  <si>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</si>
  <si>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</si>
  <si>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</si>
  <si>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</si>
  <si>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</si>
  <si>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</si>
  <si>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</si>
  <si>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</si>
  <si>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</si>
  <si>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</si>
  <si>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</si>
  <si>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</si>
  <si>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</si>
  <si>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</si>
  <si>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</si>
  <si>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</si>
  <si>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</si>
  <si>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</si>
  <si>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</si>
  <si>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</si>
  <si>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</si>
  <si>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</si>
  <si>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</si>
  <si>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</si>
  <si>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</si>
  <si>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</si>
  <si>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</si>
  <si>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</si>
  <si>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</si>
  <si>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</si>
  <si>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</si>
  <si>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</si>
  <si>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</si>
  <si>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</si>
  <si>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</si>
  <si>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</si>
  <si>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</si>
  <si>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</si>
  <si>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</si>
  <si>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</si>
  <si>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</si>
  <si>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</si>
  <si>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</si>
  <si>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</si>
  <si>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</si>
  <si>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</si>
  <si>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</si>
  <si>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</si>
  <si>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</si>
  <si>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</si>
  <si>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</si>
  <si>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</si>
  <si>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</si>
  <si>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</si>
  <si>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</si>
  <si>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</si>
  <si>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</si>
  <si>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</si>
  <si>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</si>
  <si>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</si>
  <si>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</si>
  <si>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</si>
  <si>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</si>
  <si>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</si>
  <si>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</si>
  <si>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</si>
  <si>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</si>
  <si>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</si>
  <si>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</si>
  <si>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</si>
  <si>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</si>
  <si>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</si>
  <si>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</si>
  <si>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</si>
  <si>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</si>
  <si>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</si>
  <si>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</si>
  <si>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</si>
  <si>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</si>
  <si>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</si>
  <si>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</si>
  <si>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</si>
  <si>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</si>
  <si>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</si>
  <si>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</si>
  <si>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</si>
  <si>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</si>
  <si>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</si>
  <si>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</si>
  <si>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</si>
  <si>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</si>
  <si>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</si>
  <si>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</si>
  <si>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</si>
  <si>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</si>
  <si>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</si>
  <si>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</si>
  <si>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</si>
  <si>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</si>
  <si>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</si>
  <si>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</si>
  <si>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</si>
  <si>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</si>
  <si>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</si>
  <si>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</si>
  <si>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</si>
  <si>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</si>
  <si>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</si>
  <si>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</si>
  <si>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</si>
  <si>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</si>
  <si>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</si>
  <si>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</si>
  <si>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</si>
  <si>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</si>
  <si>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</si>
  <si>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</si>
  <si>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</si>
  <si>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</si>
  <si>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</si>
  <si>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</si>
  <si>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</si>
  <si>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</si>
  <si>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</si>
  <si>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</si>
  <si>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</si>
  <si>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</si>
  <si>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</si>
  <si>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</si>
  <si>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</si>
  <si>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</si>
  <si>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</si>
  <si>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</si>
  <si>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</si>
  <si>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</si>
  <si>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</si>
  <si>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</si>
  <si>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</si>
  <si>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</si>
  <si>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</si>
  <si>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</si>
  <si>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</si>
  <si>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</si>
  <si>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</si>
  <si>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</si>
  <si>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</si>
  <si>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</si>
  <si>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</si>
  <si>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</si>
  <si>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</si>
  <si>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</si>
  <si>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</si>
  <si>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</si>
  <si>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</si>
  <si>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</si>
  <si>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</si>
  <si>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</si>
  <si>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</si>
  <si>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</si>
  <si>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</si>
  <si>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</si>
  <si>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</si>
  <si>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</si>
  <si>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</si>
  <si>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</si>
  <si>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</si>
  <si>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</si>
  <si>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</si>
  <si>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</si>
  <si>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</si>
  <si>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</si>
  <si>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</si>
  <si>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</si>
  <si>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</si>
  <si>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</si>
  <si>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</si>
  <si>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</si>
  <si>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</si>
  <si>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</si>
  <si>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</si>
  <si>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</si>
  <si>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</si>
  <si>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</si>
  <si>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</si>
  <si>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</si>
  <si>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</si>
  <si>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</si>
  <si>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</si>
  <si>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</si>
  <si>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</si>
  <si>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</si>
  <si>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</si>
  <si>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</si>
  <si>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</si>
  <si>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</si>
  <si>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</si>
  <si>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</si>
  <si>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</si>
  <si>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</si>
  <si>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</si>
  <si>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</si>
  <si>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</si>
  <si>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</si>
  <si>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</si>
  <si>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</si>
  <si>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</si>
  <si>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</si>
  <si>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</si>
  <si>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</si>
  <si>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</si>
  <si>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</si>
  <si>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</si>
  <si>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</si>
  <si>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</si>
  <si>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</si>
  <si>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</si>
  <si>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</si>
  <si>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</si>
  <si>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</si>
  <si>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</si>
  <si>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</si>
  <si>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</si>
  <si>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</si>
  <si>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</si>
  <si>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</si>
  <si>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</si>
  <si>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</si>
  <si>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</si>
  <si>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</si>
  <si>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</si>
  <si>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</si>
  <si>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</si>
  <si>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</si>
  <si>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</si>
  <si>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</si>
  <si>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</si>
  <si>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</si>
  <si>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</si>
  <si>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</si>
  <si>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</si>
  <si>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</si>
  <si>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</si>
  <si>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</si>
  <si>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</si>
  <si>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</si>
  <si>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</si>
  <si>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</si>
  <si>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</si>
  <si>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</si>
  <si>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</si>
  <si>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</si>
  <si>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</si>
  <si>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</si>
  <si>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</si>
  <si>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</si>
  <si>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</si>
  <si>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</si>
  <si>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</si>
  <si>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</si>
  <si>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</si>
  <si>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</si>
  <si>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</si>
  <si>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</si>
  <si>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</si>
  <si>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</si>
  <si>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</si>
  <si>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</si>
  <si>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</si>
  <si>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</si>
  <si>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</si>
  <si>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</si>
  <si>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</si>
  <si>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</si>
  <si>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</si>
  <si>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</si>
  <si>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</si>
  <si>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</si>
  <si>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</si>
  <si>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</si>
  <si>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</si>
  <si>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</si>
  <si>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</si>
  <si>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</si>
  <si>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</si>
  <si>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</si>
  <si>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</si>
  <si>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</si>
  <si>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</si>
  <si>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</si>
  <si>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</si>
  <si>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</si>
  <si>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</si>
  <si>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</si>
  <si>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</si>
  <si>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</si>
  <si>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</si>
  <si>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</si>
  <si>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</si>
  <si>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</si>
  <si>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</si>
  <si>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</si>
  <si>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</si>
  <si>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</si>
  <si>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</si>
  <si>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</si>
  <si>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</si>
  <si>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Citrus 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</si>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</sst>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0" xfId="0" applyFont="1" applyBorder="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013891"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Citrus Wood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12963" createdVersion="8" refreshedVersion="8" minRefreshableVersion="3" recordCount="148"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55"/>
    <d v="2025-11-07T00:00:00"/>
    <m/>
    <m/>
    <m/>
    <x v="10"/>
  </r>
  <r>
    <s v="Sunset Palms MHP"/>
    <x v="32"/>
    <d v="2025-11-07T00:00:00"/>
    <m/>
    <m/>
    <m/>
    <x v="10"/>
  </r>
  <r>
    <s v="Sunset Palms MHP"/>
    <x v="48"/>
    <d v="2025-11-07T00:00:00"/>
    <m/>
    <m/>
    <m/>
    <x v="10"/>
  </r>
  <r>
    <s v="FB-HWP1377"/>
    <x v="54"/>
    <d v="2025-11-07T00:00:00"/>
    <m/>
    <m/>
    <m/>
    <x v="10"/>
  </r>
  <r>
    <s v="Citrus Wood MHP"/>
    <x v="1"/>
    <d v="2025-11-07T00:00:00"/>
    <m/>
    <m/>
    <m/>
    <x v="10"/>
  </r>
  <r>
    <s v="FB-HOE175"/>
    <x v="1"/>
    <d v="2025-11-07T00:00:00"/>
    <n v="350"/>
    <m/>
    <m/>
    <x v="10"/>
  </r>
  <r>
    <s v="FB-HOE175"/>
    <x v="45"/>
    <d v="2025-11-07T00:00:00"/>
    <m/>
    <m/>
    <m/>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55"/>
    <x v="193"/>
    <m/>
    <m/>
    <m/>
  </r>
  <r>
    <x v="242"/>
    <x v="32"/>
    <x v="193"/>
    <m/>
    <m/>
    <m/>
  </r>
  <r>
    <x v="242"/>
    <x v="48"/>
    <x v="193"/>
    <m/>
    <m/>
    <m/>
  </r>
  <r>
    <x v="237"/>
    <x v="54"/>
    <x v="193"/>
    <m/>
    <m/>
    <m/>
  </r>
  <r>
    <x v="245"/>
    <x v="1"/>
    <x v="193"/>
    <m/>
    <m/>
    <m/>
  </r>
  <r>
    <x v="244"/>
    <x v="1"/>
    <x v="193"/>
    <n v="350"/>
    <m/>
    <m/>
  </r>
  <r>
    <x v="244"/>
    <x v="45"/>
    <x v="193"/>
    <m/>
    <m/>
    <m/>
  </r>
  <r>
    <x v="238"/>
    <x v="50"/>
    <x v="193"/>
    <m/>
    <m/>
    <s v="No Production Crew Did Not Work This Location Today"/>
  </r>
  <r>
    <x v="231"/>
    <x v="45"/>
    <x v="193"/>
    <m/>
    <m/>
    <s v="FDH"/>
  </r>
  <r>
    <x v="209"/>
    <x v="35"/>
    <x v="193"/>
    <n v="569"/>
    <m/>
    <m/>
  </r>
  <r>
    <x v="125"/>
    <x v="16"/>
    <x v="194"/>
    <m/>
    <m/>
    <m/>
  </r>
  <r>
    <x v="125"/>
    <x v="16"/>
    <x v="195"/>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49"/>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B88" activePane="topRight" state="frozen"/>
      <selection pane="topRight" activeCell="A96" sqref="A9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486">
        <v>4449</v>
      </c>
      <c r="X15" s="486">
        <f t="shared" si="0"/>
        <v>17938</v>
      </c>
      <c r="Y15" s="688">
        <f t="shared" si="1"/>
        <v>0.19873140661991334</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F4">
        <v>1049</v>
      </c>
      <c r="G4">
        <v>1049</v>
      </c>
      <c r="J4" s="44" t="s">
        <v>847</v>
      </c>
      <c r="K4" t="s">
        <v>848</v>
      </c>
      <c r="N4" s="44" t="s">
        <v>847</v>
      </c>
      <c r="O4" t="s">
        <v>849</v>
      </c>
      <c r="P4" t="s">
        <v>850</v>
      </c>
      <c r="Q4" t="s">
        <v>851</v>
      </c>
      <c r="R4" t="s">
        <v>845</v>
      </c>
    </row>
    <row r="5" spans="1:18">
      <c r="A5" t="s">
        <v>682</v>
      </c>
      <c r="D5">
        <v>1426</v>
      </c>
      <c r="E5">
        <v>1190</v>
      </c>
      <c r="F5">
        <v>23</v>
      </c>
      <c r="G5">
        <v>2639</v>
      </c>
      <c r="J5" t="s">
        <v>461</v>
      </c>
      <c r="K5">
        <v>6147</v>
      </c>
      <c r="N5" t="s">
        <v>461</v>
      </c>
      <c r="O5">
        <v>7120</v>
      </c>
      <c r="P5">
        <v>22896</v>
      </c>
      <c r="Q5">
        <v>7447</v>
      </c>
      <c r="R5">
        <v>37463</v>
      </c>
    </row>
    <row r="6" spans="1:18">
      <c r="A6" t="s">
        <v>790</v>
      </c>
      <c r="C6">
        <v>202</v>
      </c>
      <c r="G6">
        <v>202</v>
      </c>
      <c r="J6" t="s">
        <v>132</v>
      </c>
      <c r="K6">
        <v>22274</v>
      </c>
      <c r="N6" t="s">
        <v>132</v>
      </c>
      <c r="O6">
        <v>11735</v>
      </c>
      <c r="P6">
        <v>42799</v>
      </c>
      <c r="Q6">
        <v>33743</v>
      </c>
      <c r="R6">
        <v>88277</v>
      </c>
    </row>
    <row r="7" spans="1:18">
      <c r="A7" t="s">
        <v>600</v>
      </c>
      <c r="B7">
        <v>2677</v>
      </c>
      <c r="G7">
        <v>2677</v>
      </c>
      <c r="J7" t="s">
        <v>852</v>
      </c>
      <c r="K7">
        <v>0</v>
      </c>
      <c r="N7" t="s">
        <v>608</v>
      </c>
      <c r="O7">
        <v>3158</v>
      </c>
      <c r="P7">
        <v>21322</v>
      </c>
      <c r="Q7">
        <v>3629</v>
      </c>
      <c r="R7">
        <v>28109</v>
      </c>
    </row>
    <row r="8" spans="1:18">
      <c r="A8" t="s">
        <v>481</v>
      </c>
      <c r="C8">
        <v>241</v>
      </c>
      <c r="D8">
        <v>366</v>
      </c>
      <c r="E8">
        <v>202</v>
      </c>
      <c r="F8">
        <v>120</v>
      </c>
      <c r="G8">
        <v>929</v>
      </c>
      <c r="J8" t="s">
        <v>608</v>
      </c>
      <c r="K8">
        <v>3629</v>
      </c>
      <c r="N8" t="s">
        <v>630</v>
      </c>
      <c r="P8">
        <v>4135</v>
      </c>
      <c r="Q8">
        <v>7641</v>
      </c>
      <c r="R8">
        <v>11776</v>
      </c>
    </row>
    <row r="9" spans="1:18">
      <c r="A9" t="s">
        <v>534</v>
      </c>
      <c r="E9">
        <v>106</v>
      </c>
      <c r="G9">
        <v>106</v>
      </c>
      <c r="J9" t="s">
        <v>630</v>
      </c>
      <c r="K9">
        <v>0</v>
      </c>
      <c r="N9" t="s">
        <v>853</v>
      </c>
      <c r="P9">
        <v>2546</v>
      </c>
      <c r="Q9">
        <v>627</v>
      </c>
      <c r="R9">
        <v>3173</v>
      </c>
    </row>
    <row r="10" spans="1:18">
      <c r="A10" t="s">
        <v>538</v>
      </c>
      <c r="C10">
        <v>534</v>
      </c>
      <c r="D10">
        <v>460</v>
      </c>
      <c r="E10">
        <v>886</v>
      </c>
      <c r="F10">
        <v>202</v>
      </c>
      <c r="G10">
        <v>2082</v>
      </c>
      <c r="J10" t="s">
        <v>686</v>
      </c>
      <c r="K10">
        <v>933</v>
      </c>
      <c r="N10" t="s">
        <v>854</v>
      </c>
      <c r="O10">
        <v>3226</v>
      </c>
      <c r="P10">
        <v>17340</v>
      </c>
      <c r="Q10">
        <v>7593</v>
      </c>
      <c r="R10">
        <v>28159</v>
      </c>
    </row>
    <row r="11" spans="1:18">
      <c r="A11" t="s">
        <v>689</v>
      </c>
      <c r="C11">
        <v>1990</v>
      </c>
      <c r="D11">
        <v>1045</v>
      </c>
      <c r="G11">
        <v>3035</v>
      </c>
      <c r="J11" t="s">
        <v>853</v>
      </c>
      <c r="K11">
        <v>627</v>
      </c>
      <c r="N11" t="s">
        <v>412</v>
      </c>
      <c r="O11">
        <v>6056</v>
      </c>
      <c r="P11">
        <v>14625</v>
      </c>
      <c r="Q11">
        <v>17060</v>
      </c>
      <c r="R11">
        <v>37741</v>
      </c>
    </row>
    <row r="12" spans="1:18">
      <c r="A12" t="s">
        <v>845</v>
      </c>
      <c r="B12">
        <v>2677</v>
      </c>
      <c r="C12">
        <v>2967</v>
      </c>
      <c r="D12">
        <v>3297</v>
      </c>
      <c r="E12">
        <v>2384</v>
      </c>
      <c r="F12">
        <v>1394</v>
      </c>
      <c r="G12">
        <v>12719</v>
      </c>
      <c r="J12" t="s">
        <v>854</v>
      </c>
      <c r="K12">
        <v>3502</v>
      </c>
      <c r="N12" t="s">
        <v>505</v>
      </c>
      <c r="P12">
        <v>5968</v>
      </c>
      <c r="Q12">
        <v>20002</v>
      </c>
      <c r="R12">
        <v>25970</v>
      </c>
    </row>
    <row r="13" spans="1:18">
      <c r="J13" t="s">
        <v>412</v>
      </c>
      <c r="K13">
        <v>7128</v>
      </c>
      <c r="N13" t="s">
        <v>475</v>
      </c>
      <c r="O13">
        <v>2073</v>
      </c>
      <c r="P13">
        <v>6882</v>
      </c>
      <c r="Q13">
        <v>7027</v>
      </c>
      <c r="R13">
        <v>15982</v>
      </c>
    </row>
    <row r="14" spans="1:18">
      <c r="J14" t="s">
        <v>855</v>
      </c>
      <c r="K14">
        <v>2298</v>
      </c>
      <c r="N14" t="s">
        <v>845</v>
      </c>
      <c r="O14">
        <v>33368</v>
      </c>
      <c r="P14">
        <v>138513</v>
      </c>
      <c r="Q14">
        <v>104769</v>
      </c>
      <c r="R14">
        <v>276650</v>
      </c>
    </row>
    <row r="15" spans="1:18">
      <c r="A15" s="44" t="s">
        <v>843</v>
      </c>
      <c r="B15" s="44" t="s">
        <v>841</v>
      </c>
      <c r="J15" t="s">
        <v>505</v>
      </c>
      <c r="K15">
        <v>13034</v>
      </c>
    </row>
    <row r="16" spans="1:18">
      <c r="A16" s="44" t="s">
        <v>844</v>
      </c>
      <c r="B16" s="112">
        <v>45705</v>
      </c>
      <c r="C16" s="112">
        <v>45706</v>
      </c>
      <c r="D16" s="112">
        <v>45707</v>
      </c>
      <c r="E16" s="112">
        <v>45708</v>
      </c>
      <c r="F16" s="112">
        <v>45709</v>
      </c>
      <c r="G16" t="s">
        <v>845</v>
      </c>
      <c r="J16" t="s">
        <v>465</v>
      </c>
      <c r="K16">
        <v>4828</v>
      </c>
    </row>
    <row r="17" spans="1:11">
      <c r="A17" t="s">
        <v>593</v>
      </c>
      <c r="E17">
        <v>547</v>
      </c>
      <c r="F17">
        <v>792</v>
      </c>
      <c r="G17">
        <v>1339</v>
      </c>
      <c r="J17" t="s">
        <v>475</v>
      </c>
      <c r="K17">
        <v>6718</v>
      </c>
    </row>
    <row r="18" spans="1:11">
      <c r="A18" t="s">
        <v>682</v>
      </c>
      <c r="F18">
        <v>823</v>
      </c>
      <c r="G18">
        <v>823</v>
      </c>
      <c r="J18" t="s">
        <v>392</v>
      </c>
    </row>
    <row r="19" spans="1:11">
      <c r="A19" t="s">
        <v>790</v>
      </c>
      <c r="E19">
        <v>23</v>
      </c>
      <c r="F19">
        <v>24</v>
      </c>
      <c r="G19">
        <v>47</v>
      </c>
      <c r="J19" t="s">
        <v>845</v>
      </c>
      <c r="K19">
        <v>71118</v>
      </c>
    </row>
    <row r="20" spans="1:11">
      <c r="A20" t="s">
        <v>600</v>
      </c>
      <c r="D20">
        <v>1319</v>
      </c>
      <c r="G20">
        <v>1319</v>
      </c>
    </row>
    <row r="21" spans="1:11">
      <c r="A21" t="s">
        <v>481</v>
      </c>
      <c r="B21">
        <v>283</v>
      </c>
      <c r="D21">
        <v>732</v>
      </c>
      <c r="E21">
        <v>309</v>
      </c>
      <c r="G21">
        <v>1324</v>
      </c>
    </row>
    <row r="22" spans="1:11">
      <c r="A22" t="s">
        <v>610</v>
      </c>
      <c r="C22">
        <v>1240</v>
      </c>
      <c r="D22">
        <v>1978</v>
      </c>
      <c r="E22">
        <v>851</v>
      </c>
      <c r="G22">
        <v>4069</v>
      </c>
    </row>
    <row r="23" spans="1:11" hidden="1">
      <c r="A23" t="s">
        <v>641</v>
      </c>
    </row>
    <row r="24" spans="1:11">
      <c r="A24" t="s">
        <v>650</v>
      </c>
      <c r="D24">
        <v>1606</v>
      </c>
      <c r="E24">
        <v>1334</v>
      </c>
      <c r="G24">
        <v>2940</v>
      </c>
    </row>
    <row r="25" spans="1:11">
      <c r="A25" t="s">
        <v>654</v>
      </c>
      <c r="C25">
        <v>300</v>
      </c>
      <c r="D25">
        <v>696</v>
      </c>
      <c r="E25">
        <v>227</v>
      </c>
      <c r="F25">
        <v>333</v>
      </c>
      <c r="G25">
        <v>1556</v>
      </c>
    </row>
    <row r="26" spans="1:11">
      <c r="A26" t="s">
        <v>534</v>
      </c>
      <c r="F26">
        <v>21</v>
      </c>
      <c r="G26">
        <v>21</v>
      </c>
    </row>
    <row r="27" spans="1:11">
      <c r="A27" t="s">
        <v>538</v>
      </c>
      <c r="B27">
        <v>383</v>
      </c>
      <c r="C27">
        <v>1017</v>
      </c>
      <c r="D27">
        <v>242</v>
      </c>
      <c r="E27">
        <v>424</v>
      </c>
      <c r="F27">
        <v>19</v>
      </c>
      <c r="G27">
        <v>2085</v>
      </c>
    </row>
    <row r="28" spans="1:11">
      <c r="A28" t="s">
        <v>555</v>
      </c>
      <c r="C28">
        <v>1050</v>
      </c>
      <c r="G28">
        <v>1050</v>
      </c>
    </row>
    <row r="29" spans="1:11">
      <c r="A29" t="s">
        <v>592</v>
      </c>
      <c r="E29">
        <v>1400</v>
      </c>
      <c r="F29">
        <v>1462</v>
      </c>
      <c r="G29">
        <v>2862</v>
      </c>
    </row>
    <row r="30" spans="1:11">
      <c r="A30" t="s">
        <v>471</v>
      </c>
      <c r="E30">
        <v>1806</v>
      </c>
      <c r="F30">
        <v>345</v>
      </c>
      <c r="G30">
        <v>2151</v>
      </c>
    </row>
    <row r="31" spans="1:11">
      <c r="A31" t="s">
        <v>519</v>
      </c>
      <c r="E31">
        <v>47</v>
      </c>
      <c r="F31">
        <v>1494</v>
      </c>
      <c r="G31">
        <v>1541</v>
      </c>
    </row>
    <row r="32" spans="1:11" hidden="1">
      <c r="A32" t="s">
        <v>373</v>
      </c>
    </row>
    <row r="33" spans="1:7">
      <c r="A33" t="s">
        <v>589</v>
      </c>
      <c r="F33">
        <v>1095</v>
      </c>
      <c r="G33">
        <v>1095</v>
      </c>
    </row>
    <row r="34" spans="1:7">
      <c r="A34" t="s">
        <v>468</v>
      </c>
      <c r="F34">
        <v>2989</v>
      </c>
      <c r="G34">
        <v>2989</v>
      </c>
    </row>
    <row r="35" spans="1:7">
      <c r="A35" t="s">
        <v>845</v>
      </c>
      <c r="B35">
        <v>666</v>
      </c>
      <c r="C35">
        <v>3607</v>
      </c>
      <c r="D35">
        <v>6573</v>
      </c>
      <c r="E35">
        <v>6968</v>
      </c>
      <c r="F35">
        <v>9397</v>
      </c>
      <c r="G35">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C40">
        <v>1277</v>
      </c>
      <c r="D40">
        <v>1721</v>
      </c>
      <c r="E40">
        <v>670</v>
      </c>
      <c r="F40">
        <v>0</v>
      </c>
      <c r="G40">
        <v>3668</v>
      </c>
    </row>
    <row r="41" spans="1:7">
      <c r="A41" t="s">
        <v>682</v>
      </c>
      <c r="E41">
        <v>1422</v>
      </c>
      <c r="F41">
        <v>946</v>
      </c>
      <c r="G41">
        <v>2368</v>
      </c>
    </row>
    <row r="42" spans="1:7">
      <c r="A42" t="s">
        <v>790</v>
      </c>
      <c r="F42">
        <v>9</v>
      </c>
      <c r="G42">
        <v>9</v>
      </c>
    </row>
    <row r="43" spans="1:7" hidden="1">
      <c r="A43" t="s">
        <v>600</v>
      </c>
      <c r="F43">
        <v>0</v>
      </c>
      <c r="G43">
        <v>0</v>
      </c>
    </row>
    <row r="44" spans="1:7">
      <c r="A44" t="s">
        <v>481</v>
      </c>
      <c r="B44">
        <v>73</v>
      </c>
      <c r="D44">
        <v>25</v>
      </c>
      <c r="G44">
        <v>98</v>
      </c>
    </row>
    <row r="45" spans="1:7">
      <c r="A45" t="s">
        <v>610</v>
      </c>
      <c r="F45">
        <v>54</v>
      </c>
      <c r="G45">
        <v>54</v>
      </c>
    </row>
    <row r="46" spans="1:7">
      <c r="A46" t="s">
        <v>641</v>
      </c>
      <c r="E46">
        <v>437</v>
      </c>
      <c r="F46">
        <v>0</v>
      </c>
      <c r="G46">
        <v>437</v>
      </c>
    </row>
    <row r="47" spans="1:7">
      <c r="A47" t="s">
        <v>650</v>
      </c>
      <c r="D47">
        <v>992</v>
      </c>
      <c r="E47">
        <v>513</v>
      </c>
      <c r="F47">
        <v>0</v>
      </c>
      <c r="G47">
        <v>1505</v>
      </c>
    </row>
    <row r="48" spans="1:7">
      <c r="A48" t="s">
        <v>654</v>
      </c>
      <c r="C48">
        <v>800</v>
      </c>
      <c r="D48">
        <v>208</v>
      </c>
      <c r="E48">
        <v>529</v>
      </c>
      <c r="F48">
        <v>327</v>
      </c>
      <c r="G48">
        <v>1864</v>
      </c>
    </row>
    <row r="49" spans="1:7">
      <c r="A49" t="s">
        <v>534</v>
      </c>
      <c r="F49">
        <v>3</v>
      </c>
      <c r="G49">
        <v>3</v>
      </c>
    </row>
    <row r="50" spans="1:7">
      <c r="A50" t="s">
        <v>538</v>
      </c>
      <c r="C50">
        <v>236</v>
      </c>
      <c r="F50">
        <v>0</v>
      </c>
      <c r="G50">
        <v>236</v>
      </c>
    </row>
    <row r="51" spans="1:7" hidden="1">
      <c r="A51" t="s">
        <v>555</v>
      </c>
      <c r="F51">
        <v>0</v>
      </c>
      <c r="G51">
        <v>0</v>
      </c>
    </row>
    <row r="52" spans="1:7">
      <c r="A52" t="s">
        <v>689</v>
      </c>
      <c r="C52">
        <v>74</v>
      </c>
      <c r="D52">
        <v>671</v>
      </c>
      <c r="F52">
        <v>0</v>
      </c>
      <c r="G52">
        <v>745</v>
      </c>
    </row>
    <row r="53" spans="1:7">
      <c r="A53" t="s">
        <v>592</v>
      </c>
      <c r="F53">
        <v>886</v>
      </c>
      <c r="G53">
        <v>886</v>
      </c>
    </row>
    <row r="54" spans="1:7">
      <c r="A54" t="s">
        <v>471</v>
      </c>
      <c r="D54">
        <v>400</v>
      </c>
      <c r="F54">
        <v>384</v>
      </c>
      <c r="G54">
        <v>784</v>
      </c>
    </row>
    <row r="55" spans="1:7">
      <c r="A55" t="s">
        <v>519</v>
      </c>
      <c r="B55">
        <v>2087</v>
      </c>
      <c r="F55">
        <v>0</v>
      </c>
      <c r="G55">
        <v>2087</v>
      </c>
    </row>
    <row r="56" spans="1:7" hidden="1">
      <c r="A56" t="s">
        <v>373</v>
      </c>
      <c r="F56">
        <v>0</v>
      </c>
      <c r="G56">
        <v>0</v>
      </c>
    </row>
    <row r="57" spans="1:7">
      <c r="A57" t="s">
        <v>589</v>
      </c>
      <c r="C57">
        <v>860</v>
      </c>
      <c r="D57">
        <v>1540</v>
      </c>
      <c r="E57">
        <v>1360</v>
      </c>
      <c r="F57">
        <v>0</v>
      </c>
      <c r="G57">
        <v>3760</v>
      </c>
    </row>
    <row r="58" spans="1:7">
      <c r="A58" t="s">
        <v>468</v>
      </c>
      <c r="C58">
        <v>967</v>
      </c>
      <c r="D58">
        <v>1708</v>
      </c>
      <c r="F58">
        <v>229</v>
      </c>
      <c r="G58">
        <v>2904</v>
      </c>
    </row>
    <row r="59" spans="1:7">
      <c r="A59" t="s">
        <v>685</v>
      </c>
      <c r="B59">
        <v>555</v>
      </c>
      <c r="E59">
        <v>577</v>
      </c>
      <c r="F59">
        <v>239</v>
      </c>
      <c r="G59">
        <v>1371</v>
      </c>
    </row>
    <row r="60" spans="1:7" hidden="1">
      <c r="A60" t="s">
        <v>576</v>
      </c>
      <c r="F60">
        <v>0</v>
      </c>
      <c r="G60">
        <v>0</v>
      </c>
    </row>
    <row r="61" spans="1:7" hidden="1">
      <c r="A61" t="s">
        <v>531</v>
      </c>
      <c r="F61">
        <v>0</v>
      </c>
      <c r="G61">
        <v>0</v>
      </c>
    </row>
    <row r="62" spans="1:7" hidden="1">
      <c r="A62" t="s">
        <v>536</v>
      </c>
      <c r="F62">
        <v>0</v>
      </c>
      <c r="G62">
        <v>0</v>
      </c>
    </row>
    <row r="63" spans="1:7" hidden="1">
      <c r="A63" t="s">
        <v>541</v>
      </c>
      <c r="F63">
        <v>0</v>
      </c>
      <c r="G63">
        <v>0</v>
      </c>
    </row>
    <row r="64" spans="1:7">
      <c r="A64" t="s">
        <v>566</v>
      </c>
      <c r="C64">
        <v>214</v>
      </c>
      <c r="F64">
        <v>0</v>
      </c>
      <c r="G64">
        <v>214</v>
      </c>
    </row>
    <row r="65" spans="1:7">
      <c r="A65" t="s">
        <v>464</v>
      </c>
      <c r="C65">
        <v>956</v>
      </c>
      <c r="E65">
        <v>1168</v>
      </c>
      <c r="F65">
        <v>0</v>
      </c>
      <c r="G65">
        <v>2124</v>
      </c>
    </row>
    <row r="66" spans="1:7" hidden="1">
      <c r="A66" t="s">
        <v>856</v>
      </c>
      <c r="F66">
        <v>0</v>
      </c>
      <c r="G66">
        <v>0</v>
      </c>
    </row>
    <row r="67" spans="1:7">
      <c r="A67" t="s">
        <v>474</v>
      </c>
      <c r="D67">
        <v>1090</v>
      </c>
      <c r="E67">
        <v>840</v>
      </c>
      <c r="F67">
        <v>530</v>
      </c>
      <c r="G67">
        <v>2460</v>
      </c>
    </row>
    <row r="68" spans="1:7">
      <c r="A68" t="s">
        <v>857</v>
      </c>
      <c r="D68">
        <v>120</v>
      </c>
      <c r="G68">
        <v>120</v>
      </c>
    </row>
    <row r="69" spans="1:7">
      <c r="A69" t="s">
        <v>645</v>
      </c>
      <c r="D69">
        <v>399</v>
      </c>
      <c r="E69">
        <v>335</v>
      </c>
      <c r="F69">
        <v>1339</v>
      </c>
      <c r="G69">
        <v>2073</v>
      </c>
    </row>
    <row r="70" spans="1:7">
      <c r="A70" t="s">
        <v>668</v>
      </c>
      <c r="D70">
        <v>891</v>
      </c>
      <c r="E70">
        <v>1213</v>
      </c>
      <c r="F70">
        <v>1054</v>
      </c>
      <c r="G70">
        <v>3158</v>
      </c>
    </row>
    <row r="71" spans="1:7" hidden="1">
      <c r="A71" t="s">
        <v>858</v>
      </c>
      <c r="F71">
        <v>0</v>
      </c>
      <c r="G71">
        <v>0</v>
      </c>
    </row>
    <row r="72" spans="1:7">
      <c r="A72" t="s">
        <v>845</v>
      </c>
      <c r="B72">
        <v>2715</v>
      </c>
      <c r="C72">
        <v>5384</v>
      </c>
      <c r="D72">
        <v>9765</v>
      </c>
      <c r="E72">
        <v>9064</v>
      </c>
      <c r="F72">
        <v>6000</v>
      </c>
      <c r="G72">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v>0</v>
      </c>
      <c r="D76">
        <v>0</v>
      </c>
      <c r="E76">
        <v>0</v>
      </c>
      <c r="F76">
        <v>0</v>
      </c>
      <c r="G76">
        <v>0</v>
      </c>
    </row>
    <row r="77" spans="1:7">
      <c r="A77" t="s">
        <v>682</v>
      </c>
      <c r="B77">
        <v>0</v>
      </c>
      <c r="D77">
        <v>0</v>
      </c>
      <c r="E77">
        <v>0</v>
      </c>
      <c r="F77">
        <v>0</v>
      </c>
      <c r="G77">
        <v>0</v>
      </c>
    </row>
    <row r="78" spans="1:7">
      <c r="A78" t="s">
        <v>790</v>
      </c>
      <c r="B78">
        <v>0</v>
      </c>
      <c r="C78">
        <v>0</v>
      </c>
      <c r="D78">
        <v>0</v>
      </c>
      <c r="E78">
        <v>0</v>
      </c>
      <c r="F78">
        <v>0</v>
      </c>
      <c r="G78">
        <v>0</v>
      </c>
    </row>
    <row r="79" spans="1:7">
      <c r="A79" t="s">
        <v>600</v>
      </c>
      <c r="B79">
        <v>0</v>
      </c>
      <c r="D79">
        <v>0</v>
      </c>
      <c r="E79">
        <v>0</v>
      </c>
      <c r="F79">
        <v>0</v>
      </c>
      <c r="G79">
        <v>0</v>
      </c>
    </row>
    <row r="80" spans="1:7">
      <c r="A80" t="s">
        <v>481</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650</v>
      </c>
      <c r="B83">
        <v>0</v>
      </c>
      <c r="D83">
        <v>0</v>
      </c>
      <c r="E83">
        <v>0</v>
      </c>
      <c r="F83">
        <v>201</v>
      </c>
      <c r="G83">
        <v>201</v>
      </c>
    </row>
    <row r="84" spans="1:7">
      <c r="A84" t="s">
        <v>654</v>
      </c>
      <c r="B84">
        <v>286</v>
      </c>
      <c r="C84">
        <v>358</v>
      </c>
      <c r="D84">
        <v>0</v>
      </c>
      <c r="E84">
        <v>32</v>
      </c>
      <c r="F84">
        <v>9</v>
      </c>
      <c r="G84">
        <v>685</v>
      </c>
    </row>
    <row r="85" spans="1:7">
      <c r="A85" t="s">
        <v>534</v>
      </c>
      <c r="B85">
        <v>0</v>
      </c>
      <c r="D85">
        <v>0</v>
      </c>
      <c r="E85">
        <v>0</v>
      </c>
      <c r="F85">
        <v>0</v>
      </c>
      <c r="G85">
        <v>0</v>
      </c>
    </row>
    <row r="86" spans="1:7">
      <c r="A86" t="s">
        <v>538</v>
      </c>
      <c r="B86">
        <v>0</v>
      </c>
      <c r="D86">
        <v>0</v>
      </c>
      <c r="E86">
        <v>0</v>
      </c>
      <c r="F86">
        <v>0</v>
      </c>
      <c r="G86">
        <v>0</v>
      </c>
    </row>
    <row r="87" spans="1:7">
      <c r="A87" t="s">
        <v>555</v>
      </c>
      <c r="B87">
        <v>0</v>
      </c>
      <c r="D87">
        <v>0</v>
      </c>
      <c r="E87">
        <v>0</v>
      </c>
      <c r="F87">
        <v>0</v>
      </c>
      <c r="G87">
        <v>0</v>
      </c>
    </row>
    <row r="88" spans="1:7">
      <c r="A88" t="s">
        <v>689</v>
      </c>
      <c r="B88">
        <v>363</v>
      </c>
      <c r="C88">
        <v>171</v>
      </c>
      <c r="D88">
        <v>0</v>
      </c>
      <c r="E88">
        <v>397</v>
      </c>
      <c r="F88">
        <v>88</v>
      </c>
      <c r="G88">
        <v>1019</v>
      </c>
    </row>
    <row r="89" spans="1:7">
      <c r="A89" t="s">
        <v>592</v>
      </c>
      <c r="B89">
        <v>134</v>
      </c>
      <c r="C89">
        <v>408</v>
      </c>
      <c r="D89">
        <v>452</v>
      </c>
      <c r="E89">
        <v>0</v>
      </c>
      <c r="F89">
        <v>875</v>
      </c>
      <c r="G89">
        <v>1869</v>
      </c>
    </row>
    <row r="90" spans="1:7">
      <c r="A90" t="s">
        <v>471</v>
      </c>
      <c r="C90">
        <v>840</v>
      </c>
      <c r="D90">
        <v>0</v>
      </c>
      <c r="E90">
        <v>0</v>
      </c>
      <c r="F90">
        <v>0</v>
      </c>
      <c r="G90">
        <v>840</v>
      </c>
    </row>
    <row r="91" spans="1:7">
      <c r="A91" t="s">
        <v>519</v>
      </c>
      <c r="B91">
        <v>0</v>
      </c>
      <c r="D91">
        <v>0</v>
      </c>
      <c r="E91">
        <v>0</v>
      </c>
      <c r="F91">
        <v>0</v>
      </c>
      <c r="G91">
        <v>0</v>
      </c>
    </row>
    <row r="92" spans="1:7">
      <c r="A92" t="s">
        <v>373</v>
      </c>
      <c r="B92">
        <v>0</v>
      </c>
      <c r="D92">
        <v>0</v>
      </c>
      <c r="E92">
        <v>0</v>
      </c>
      <c r="F92">
        <v>0</v>
      </c>
      <c r="G92">
        <v>0</v>
      </c>
    </row>
    <row r="93" spans="1:7">
      <c r="A93" t="s">
        <v>589</v>
      </c>
      <c r="B93">
        <v>1460</v>
      </c>
      <c r="C93">
        <v>970</v>
      </c>
      <c r="D93">
        <v>430</v>
      </c>
      <c r="E93">
        <v>0</v>
      </c>
      <c r="F93">
        <v>0</v>
      </c>
      <c r="G93">
        <v>2860</v>
      </c>
    </row>
    <row r="94" spans="1:7">
      <c r="A94" t="s">
        <v>468</v>
      </c>
      <c r="B94">
        <v>182</v>
      </c>
      <c r="D94">
        <v>0</v>
      </c>
      <c r="E94">
        <v>0</v>
      </c>
      <c r="F94">
        <v>0</v>
      </c>
      <c r="G94">
        <v>182</v>
      </c>
    </row>
    <row r="95" spans="1:7">
      <c r="A95" t="s">
        <v>685</v>
      </c>
      <c r="B95">
        <v>0</v>
      </c>
      <c r="D95">
        <v>0</v>
      </c>
      <c r="E95">
        <v>0</v>
      </c>
      <c r="F95">
        <v>0</v>
      </c>
      <c r="G95">
        <v>0</v>
      </c>
    </row>
    <row r="96" spans="1:7">
      <c r="A96" t="s">
        <v>576</v>
      </c>
      <c r="B96">
        <v>0</v>
      </c>
      <c r="D96">
        <v>0</v>
      </c>
      <c r="F96">
        <v>0</v>
      </c>
      <c r="G96">
        <v>0</v>
      </c>
    </row>
    <row r="97" spans="1:7">
      <c r="A97" t="s">
        <v>531</v>
      </c>
      <c r="B97">
        <v>0</v>
      </c>
      <c r="D97">
        <v>0</v>
      </c>
      <c r="E97">
        <v>0</v>
      </c>
      <c r="F97">
        <v>0</v>
      </c>
      <c r="G97">
        <v>0</v>
      </c>
    </row>
    <row r="98" spans="1:7">
      <c r="A98" t="s">
        <v>536</v>
      </c>
      <c r="B98">
        <v>0</v>
      </c>
      <c r="D98">
        <v>0</v>
      </c>
      <c r="E98">
        <v>35</v>
      </c>
      <c r="F98">
        <v>0</v>
      </c>
      <c r="G98">
        <v>35</v>
      </c>
    </row>
    <row r="99" spans="1:7">
      <c r="A99" t="s">
        <v>541</v>
      </c>
      <c r="B99">
        <v>0</v>
      </c>
      <c r="D99">
        <v>0</v>
      </c>
      <c r="E99">
        <v>0</v>
      </c>
      <c r="F99">
        <v>0</v>
      </c>
      <c r="G99">
        <v>0</v>
      </c>
    </row>
    <row r="100" spans="1:7">
      <c r="A100" t="s">
        <v>566</v>
      </c>
      <c r="B100">
        <v>0</v>
      </c>
      <c r="D100">
        <v>32</v>
      </c>
      <c r="E100">
        <v>85</v>
      </c>
      <c r="F100">
        <v>0</v>
      </c>
      <c r="G100">
        <v>117</v>
      </c>
    </row>
    <row r="101" spans="1:7">
      <c r="A101" t="s">
        <v>464</v>
      </c>
      <c r="B101">
        <v>0</v>
      </c>
      <c r="D101">
        <v>0</v>
      </c>
      <c r="E101">
        <v>0</v>
      </c>
      <c r="F101">
        <v>0</v>
      </c>
      <c r="G101">
        <v>0</v>
      </c>
    </row>
    <row r="102" spans="1:7">
      <c r="A102" t="s">
        <v>856</v>
      </c>
      <c r="B102">
        <v>0</v>
      </c>
      <c r="D102">
        <v>0</v>
      </c>
      <c r="E102">
        <v>0</v>
      </c>
      <c r="F102">
        <v>0</v>
      </c>
      <c r="G102">
        <v>0</v>
      </c>
    </row>
    <row r="103" spans="1:7">
      <c r="A103" t="s">
        <v>474</v>
      </c>
      <c r="B103">
        <v>0</v>
      </c>
      <c r="D103">
        <v>372</v>
      </c>
      <c r="E103">
        <v>0</v>
      </c>
      <c r="F103">
        <v>0</v>
      </c>
      <c r="G103">
        <v>372</v>
      </c>
    </row>
    <row r="104" spans="1:7">
      <c r="A104" t="s">
        <v>857</v>
      </c>
      <c r="B104">
        <v>0</v>
      </c>
      <c r="D104">
        <v>0</v>
      </c>
      <c r="E104">
        <v>0</v>
      </c>
      <c r="F104">
        <v>0</v>
      </c>
      <c r="G104">
        <v>0</v>
      </c>
    </row>
    <row r="105" spans="1:7">
      <c r="A105" t="s">
        <v>645</v>
      </c>
      <c r="B105">
        <v>1292</v>
      </c>
      <c r="C105">
        <v>1022</v>
      </c>
      <c r="D105">
        <v>1246</v>
      </c>
      <c r="E105">
        <v>0</v>
      </c>
      <c r="F105">
        <v>288</v>
      </c>
      <c r="G105">
        <v>3848</v>
      </c>
    </row>
    <row r="106" spans="1:7">
      <c r="A106" t="s">
        <v>668</v>
      </c>
      <c r="B106">
        <v>0</v>
      </c>
      <c r="C106">
        <v>0</v>
      </c>
      <c r="D106">
        <v>0</v>
      </c>
      <c r="E106">
        <v>0</v>
      </c>
      <c r="F106">
        <v>0</v>
      </c>
      <c r="G106">
        <v>0</v>
      </c>
    </row>
    <row r="107" spans="1:7">
      <c r="A107" t="s">
        <v>666</v>
      </c>
      <c r="B107">
        <v>0</v>
      </c>
      <c r="C107">
        <v>1570</v>
      </c>
      <c r="D107">
        <v>461</v>
      </c>
      <c r="E107">
        <v>1109</v>
      </c>
      <c r="F107">
        <v>980</v>
      </c>
      <c r="G107">
        <v>4120</v>
      </c>
    </row>
    <row r="108" spans="1:7">
      <c r="A108" t="s">
        <v>523</v>
      </c>
      <c r="B108">
        <v>1454</v>
      </c>
      <c r="C108">
        <v>1360</v>
      </c>
      <c r="D108">
        <v>1263</v>
      </c>
      <c r="E108">
        <v>0</v>
      </c>
      <c r="F108">
        <v>0</v>
      </c>
      <c r="G108">
        <v>4077</v>
      </c>
    </row>
    <row r="109" spans="1:7">
      <c r="A109" t="s">
        <v>805</v>
      </c>
      <c r="B109">
        <v>2215</v>
      </c>
      <c r="C109">
        <v>0</v>
      </c>
      <c r="D109">
        <v>0</v>
      </c>
      <c r="E109">
        <v>0</v>
      </c>
      <c r="F109">
        <v>0</v>
      </c>
      <c r="G109">
        <v>2215</v>
      </c>
    </row>
    <row r="110" spans="1:7">
      <c r="A110" t="s">
        <v>859</v>
      </c>
      <c r="C110">
        <v>285</v>
      </c>
      <c r="G110">
        <v>285</v>
      </c>
    </row>
    <row r="111" spans="1:7">
      <c r="A111" t="s">
        <v>508</v>
      </c>
      <c r="D111">
        <v>617</v>
      </c>
      <c r="E111">
        <v>286</v>
      </c>
      <c r="F111">
        <v>0</v>
      </c>
      <c r="G111">
        <v>903</v>
      </c>
    </row>
    <row r="112" spans="1:7">
      <c r="A112" t="s">
        <v>808</v>
      </c>
      <c r="D112">
        <v>700</v>
      </c>
      <c r="E112">
        <v>1590</v>
      </c>
      <c r="F112">
        <v>1370</v>
      </c>
      <c r="G112">
        <v>3660</v>
      </c>
    </row>
    <row r="113" spans="1:7">
      <c r="A113" t="s">
        <v>569</v>
      </c>
      <c r="D113">
        <v>200</v>
      </c>
      <c r="E113">
        <v>489</v>
      </c>
      <c r="F113">
        <v>0</v>
      </c>
      <c r="G113">
        <v>689</v>
      </c>
    </row>
    <row r="114" spans="1:7">
      <c r="A114" t="s">
        <v>800</v>
      </c>
      <c r="E114">
        <v>884</v>
      </c>
      <c r="F114">
        <v>738</v>
      </c>
      <c r="G114">
        <v>1622</v>
      </c>
    </row>
    <row r="115" spans="1:7">
      <c r="A115" t="s">
        <v>521</v>
      </c>
      <c r="E115">
        <v>1357</v>
      </c>
      <c r="F115">
        <v>0</v>
      </c>
      <c r="G115">
        <v>1357</v>
      </c>
    </row>
    <row r="116" spans="1:7">
      <c r="A116" t="s">
        <v>613</v>
      </c>
      <c r="E116">
        <v>874</v>
      </c>
      <c r="F116">
        <v>1602</v>
      </c>
      <c r="G116">
        <v>2476</v>
      </c>
    </row>
    <row r="117" spans="1:7">
      <c r="A117" t="s">
        <v>572</v>
      </c>
      <c r="F117">
        <v>20</v>
      </c>
      <c r="G117">
        <v>20</v>
      </c>
    </row>
    <row r="118" spans="1:7">
      <c r="A118" t="s">
        <v>543</v>
      </c>
      <c r="E118">
        <v>0</v>
      </c>
      <c r="G118">
        <v>0</v>
      </c>
    </row>
    <row r="119" spans="1:7">
      <c r="A119" t="s">
        <v>845</v>
      </c>
      <c r="B119">
        <v>7386</v>
      </c>
      <c r="C119">
        <v>7398</v>
      </c>
      <c r="D119">
        <v>6140</v>
      </c>
      <c r="E119">
        <v>7383</v>
      </c>
      <c r="F119">
        <v>6171</v>
      </c>
      <c r="G119">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v>0</v>
      </c>
      <c r="C123">
        <v>0</v>
      </c>
      <c r="D123">
        <v>0</v>
      </c>
      <c r="G123">
        <v>0</v>
      </c>
    </row>
    <row r="124" spans="1:7">
      <c r="A124" t="s">
        <v>682</v>
      </c>
      <c r="B124">
        <v>0</v>
      </c>
      <c r="C124">
        <v>0</v>
      </c>
      <c r="D124">
        <v>0</v>
      </c>
      <c r="G124">
        <v>0</v>
      </c>
    </row>
    <row r="125" spans="1:7">
      <c r="A125" t="s">
        <v>790</v>
      </c>
      <c r="B125">
        <v>0</v>
      </c>
      <c r="C125">
        <v>3</v>
      </c>
      <c r="G125">
        <v>3</v>
      </c>
    </row>
    <row r="126" spans="1:7">
      <c r="A126" t="s">
        <v>600</v>
      </c>
      <c r="B126">
        <v>0</v>
      </c>
      <c r="C126">
        <v>0</v>
      </c>
      <c r="G126">
        <v>0</v>
      </c>
    </row>
    <row r="127" spans="1:7">
      <c r="A127" t="s">
        <v>481</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650</v>
      </c>
      <c r="B130">
        <v>0</v>
      </c>
      <c r="C130">
        <v>0</v>
      </c>
      <c r="D130">
        <v>0</v>
      </c>
      <c r="E130">
        <v>0</v>
      </c>
      <c r="G130">
        <v>0</v>
      </c>
    </row>
    <row r="131" spans="1:7">
      <c r="A131" t="s">
        <v>654</v>
      </c>
      <c r="B131">
        <v>0</v>
      </c>
      <c r="C131">
        <v>12</v>
      </c>
      <c r="D131">
        <v>9</v>
      </c>
      <c r="G131">
        <v>21</v>
      </c>
    </row>
    <row r="132" spans="1:7">
      <c r="A132" t="s">
        <v>534</v>
      </c>
      <c r="B132">
        <v>0</v>
      </c>
      <c r="C132">
        <v>0</v>
      </c>
      <c r="D132">
        <v>0</v>
      </c>
      <c r="G132">
        <v>0</v>
      </c>
    </row>
    <row r="133" spans="1:7">
      <c r="A133" t="s">
        <v>538</v>
      </c>
      <c r="B133">
        <v>0</v>
      </c>
      <c r="C133">
        <v>0</v>
      </c>
      <c r="D133">
        <v>0</v>
      </c>
      <c r="G133">
        <v>0</v>
      </c>
    </row>
    <row r="134" spans="1:7">
      <c r="A134" t="s">
        <v>555</v>
      </c>
      <c r="B134">
        <v>0</v>
      </c>
      <c r="C134">
        <v>0</v>
      </c>
      <c r="D134">
        <v>0</v>
      </c>
      <c r="E134">
        <v>0</v>
      </c>
      <c r="G134">
        <v>0</v>
      </c>
    </row>
    <row r="135" spans="1:7">
      <c r="A135" t="s">
        <v>689</v>
      </c>
      <c r="B135">
        <v>0</v>
      </c>
      <c r="C135">
        <v>0</v>
      </c>
      <c r="D135">
        <v>0</v>
      </c>
      <c r="G135">
        <v>0</v>
      </c>
    </row>
    <row r="136" spans="1:7">
      <c r="A136" t="s">
        <v>592</v>
      </c>
      <c r="B136">
        <v>0</v>
      </c>
      <c r="C136">
        <v>199</v>
      </c>
      <c r="D136">
        <v>0</v>
      </c>
      <c r="E136">
        <v>0</v>
      </c>
      <c r="G136">
        <v>199</v>
      </c>
    </row>
    <row r="137" spans="1:7">
      <c r="A137" t="s">
        <v>471</v>
      </c>
      <c r="B137">
        <v>0</v>
      </c>
      <c r="C137">
        <v>0</v>
      </c>
      <c r="D137">
        <v>0</v>
      </c>
      <c r="E137">
        <v>0</v>
      </c>
      <c r="G137">
        <v>0</v>
      </c>
    </row>
    <row r="138" spans="1:7">
      <c r="A138" t="s">
        <v>519</v>
      </c>
      <c r="B138">
        <v>0</v>
      </c>
      <c r="C138">
        <v>0</v>
      </c>
      <c r="D138">
        <v>0</v>
      </c>
      <c r="E138">
        <v>0</v>
      </c>
      <c r="G138">
        <v>0</v>
      </c>
    </row>
    <row r="139" spans="1:7">
      <c r="A139" t="s">
        <v>373</v>
      </c>
      <c r="B139">
        <v>0</v>
      </c>
      <c r="C139">
        <v>0</v>
      </c>
      <c r="D139">
        <v>0</v>
      </c>
      <c r="G139">
        <v>0</v>
      </c>
    </row>
    <row r="140" spans="1:7">
      <c r="A140" t="s">
        <v>589</v>
      </c>
      <c r="B140">
        <v>0</v>
      </c>
      <c r="C140">
        <v>0</v>
      </c>
      <c r="D140">
        <v>0</v>
      </c>
      <c r="E140">
        <v>0</v>
      </c>
      <c r="F140">
        <v>0</v>
      </c>
      <c r="G140">
        <v>0</v>
      </c>
    </row>
    <row r="141" spans="1:7">
      <c r="A141" t="s">
        <v>468</v>
      </c>
      <c r="B141">
        <v>0</v>
      </c>
      <c r="C141">
        <v>0</v>
      </c>
      <c r="D141">
        <v>0</v>
      </c>
      <c r="E141">
        <v>0</v>
      </c>
      <c r="F141">
        <v>0</v>
      </c>
      <c r="G141">
        <v>0</v>
      </c>
    </row>
    <row r="142" spans="1:7">
      <c r="A142" t="s">
        <v>685</v>
      </c>
      <c r="B142">
        <v>0</v>
      </c>
      <c r="C142">
        <v>0</v>
      </c>
      <c r="D142">
        <v>0</v>
      </c>
      <c r="E142">
        <v>0</v>
      </c>
      <c r="F142">
        <v>0</v>
      </c>
      <c r="G142">
        <v>0</v>
      </c>
    </row>
    <row r="143" spans="1:7">
      <c r="A143" t="s">
        <v>576</v>
      </c>
      <c r="B143">
        <v>0</v>
      </c>
      <c r="C143">
        <v>0</v>
      </c>
      <c r="D143">
        <v>0</v>
      </c>
      <c r="G143">
        <v>0</v>
      </c>
    </row>
    <row r="144" spans="1:7">
      <c r="A144" t="s">
        <v>531</v>
      </c>
      <c r="B144">
        <v>0</v>
      </c>
      <c r="C144">
        <v>0</v>
      </c>
      <c r="D144">
        <v>0</v>
      </c>
      <c r="G144">
        <v>0</v>
      </c>
    </row>
    <row r="145" spans="1:7">
      <c r="A145" t="s">
        <v>536</v>
      </c>
      <c r="B145">
        <v>0</v>
      </c>
      <c r="C145">
        <v>0</v>
      </c>
      <c r="D145">
        <v>0</v>
      </c>
      <c r="G145">
        <v>0</v>
      </c>
    </row>
    <row r="146" spans="1:7">
      <c r="A146" t="s">
        <v>541</v>
      </c>
      <c r="B146">
        <v>0</v>
      </c>
      <c r="C146">
        <v>0</v>
      </c>
      <c r="D146">
        <v>0</v>
      </c>
      <c r="G146">
        <v>0</v>
      </c>
    </row>
    <row r="147" spans="1:7">
      <c r="A147" t="s">
        <v>566</v>
      </c>
      <c r="B147">
        <v>0</v>
      </c>
      <c r="C147">
        <v>0</v>
      </c>
      <c r="D147">
        <v>0</v>
      </c>
      <c r="G147">
        <v>0</v>
      </c>
    </row>
    <row r="148" spans="1:7">
      <c r="A148" t="s">
        <v>464</v>
      </c>
      <c r="B148">
        <v>0</v>
      </c>
      <c r="C148">
        <v>0</v>
      </c>
      <c r="D148">
        <v>201</v>
      </c>
      <c r="E148">
        <v>1207</v>
      </c>
      <c r="F148">
        <v>220</v>
      </c>
      <c r="G148">
        <v>1628</v>
      </c>
    </row>
    <row r="149" spans="1:7">
      <c r="A149" t="s">
        <v>856</v>
      </c>
      <c r="B149">
        <v>0</v>
      </c>
      <c r="C149">
        <v>106</v>
      </c>
      <c r="D149">
        <v>0</v>
      </c>
      <c r="E149">
        <v>0</v>
      </c>
      <c r="F149">
        <v>0</v>
      </c>
      <c r="G149">
        <v>106</v>
      </c>
    </row>
    <row r="150" spans="1:7">
      <c r="A150" t="s">
        <v>474</v>
      </c>
      <c r="B150">
        <v>649</v>
      </c>
      <c r="C150">
        <v>528</v>
      </c>
      <c r="D150">
        <v>489</v>
      </c>
      <c r="E150">
        <v>534</v>
      </c>
      <c r="G150">
        <v>2200</v>
      </c>
    </row>
    <row r="151" spans="1:7">
      <c r="A151" t="s">
        <v>857</v>
      </c>
      <c r="B151">
        <v>0</v>
      </c>
      <c r="C151">
        <v>0</v>
      </c>
      <c r="D151">
        <v>0</v>
      </c>
      <c r="G151">
        <v>0</v>
      </c>
    </row>
    <row r="152" spans="1:7">
      <c r="A152" t="s">
        <v>645</v>
      </c>
      <c r="B152">
        <v>0</v>
      </c>
      <c r="C152">
        <v>0</v>
      </c>
      <c r="D152">
        <v>0</v>
      </c>
      <c r="E152">
        <v>0</v>
      </c>
      <c r="F152">
        <v>0</v>
      </c>
      <c r="G152">
        <v>0</v>
      </c>
    </row>
    <row r="153" spans="1:7">
      <c r="A153" t="s">
        <v>668</v>
      </c>
      <c r="B153">
        <v>0</v>
      </c>
      <c r="C153">
        <v>0</v>
      </c>
      <c r="D153">
        <v>0</v>
      </c>
      <c r="E153">
        <v>0</v>
      </c>
      <c r="F153">
        <v>0</v>
      </c>
      <c r="G153">
        <v>0</v>
      </c>
    </row>
    <row r="154" spans="1:7">
      <c r="A154" t="s">
        <v>858</v>
      </c>
      <c r="E154">
        <v>0</v>
      </c>
      <c r="F154">
        <v>0</v>
      </c>
      <c r="G154">
        <v>0</v>
      </c>
    </row>
    <row r="155" spans="1:7">
      <c r="A155" t="s">
        <v>666</v>
      </c>
      <c r="B155">
        <v>0</v>
      </c>
      <c r="C155">
        <v>0</v>
      </c>
      <c r="D155">
        <v>0</v>
      </c>
      <c r="E155">
        <v>0</v>
      </c>
      <c r="F155">
        <v>0</v>
      </c>
      <c r="G155">
        <v>0</v>
      </c>
    </row>
    <row r="156" spans="1:7">
      <c r="A156" t="s">
        <v>523</v>
      </c>
      <c r="B156">
        <v>0</v>
      </c>
      <c r="C156">
        <v>0</v>
      </c>
      <c r="D156">
        <v>0</v>
      </c>
      <c r="E156">
        <v>0</v>
      </c>
      <c r="F156">
        <v>0</v>
      </c>
      <c r="G156">
        <v>0</v>
      </c>
    </row>
    <row r="157" spans="1:7">
      <c r="A157" t="s">
        <v>805</v>
      </c>
      <c r="B157">
        <v>0</v>
      </c>
      <c r="C157">
        <v>0</v>
      </c>
      <c r="D157">
        <v>0</v>
      </c>
      <c r="E157">
        <v>0</v>
      </c>
      <c r="F157">
        <v>0</v>
      </c>
      <c r="G157">
        <v>0</v>
      </c>
    </row>
    <row r="158" spans="1:7">
      <c r="A158" t="s">
        <v>508</v>
      </c>
      <c r="B158">
        <v>0</v>
      </c>
      <c r="C158">
        <v>491</v>
      </c>
      <c r="D158">
        <v>291</v>
      </c>
      <c r="E158">
        <v>571</v>
      </c>
      <c r="F158">
        <v>0</v>
      </c>
      <c r="G158">
        <v>1353</v>
      </c>
    </row>
    <row r="159" spans="1:7">
      <c r="A159" t="s">
        <v>808</v>
      </c>
      <c r="B159">
        <v>0</v>
      </c>
      <c r="C159">
        <v>0</v>
      </c>
      <c r="D159">
        <v>0</v>
      </c>
      <c r="E159">
        <v>1170</v>
      </c>
      <c r="F159">
        <v>0</v>
      </c>
      <c r="G159">
        <v>1170</v>
      </c>
    </row>
    <row r="160" spans="1:7">
      <c r="A160" t="s">
        <v>569</v>
      </c>
      <c r="B160">
        <v>921</v>
      </c>
      <c r="C160">
        <v>614</v>
      </c>
      <c r="D160">
        <v>1004</v>
      </c>
      <c r="E160">
        <v>0</v>
      </c>
      <c r="G160">
        <v>2539</v>
      </c>
    </row>
    <row r="161" spans="1:7">
      <c r="A161" t="s">
        <v>800</v>
      </c>
      <c r="B161">
        <v>0</v>
      </c>
      <c r="C161">
        <v>0</v>
      </c>
      <c r="D161">
        <v>961</v>
      </c>
      <c r="E161">
        <v>914</v>
      </c>
      <c r="F161">
        <v>1903</v>
      </c>
      <c r="G161">
        <v>3778</v>
      </c>
    </row>
    <row r="162" spans="1:7">
      <c r="A162" t="s">
        <v>521</v>
      </c>
      <c r="B162">
        <v>1288</v>
      </c>
      <c r="C162">
        <v>685</v>
      </c>
      <c r="D162">
        <v>0</v>
      </c>
      <c r="E162">
        <v>0</v>
      </c>
      <c r="F162">
        <v>0</v>
      </c>
      <c r="G162">
        <v>1973</v>
      </c>
    </row>
    <row r="163" spans="1:7">
      <c r="A163" t="s">
        <v>613</v>
      </c>
      <c r="B163">
        <v>834</v>
      </c>
      <c r="C163">
        <v>1081</v>
      </c>
      <c r="D163">
        <v>688</v>
      </c>
      <c r="E163">
        <v>0</v>
      </c>
      <c r="F163">
        <v>0</v>
      </c>
      <c r="G163">
        <v>2603</v>
      </c>
    </row>
    <row r="164" spans="1:7">
      <c r="A164" t="s">
        <v>572</v>
      </c>
      <c r="B164">
        <v>0</v>
      </c>
      <c r="C164">
        <v>0</v>
      </c>
      <c r="D164">
        <v>0</v>
      </c>
      <c r="E164">
        <v>0</v>
      </c>
      <c r="F164">
        <v>0</v>
      </c>
      <c r="G164">
        <v>0</v>
      </c>
    </row>
    <row r="165" spans="1:7">
      <c r="A165" t="s">
        <v>549</v>
      </c>
      <c r="C165">
        <v>1710</v>
      </c>
      <c r="D165">
        <v>1700</v>
      </c>
      <c r="E165">
        <v>0</v>
      </c>
      <c r="F165">
        <v>0</v>
      </c>
      <c r="G165">
        <v>3410</v>
      </c>
    </row>
    <row r="166" spans="1:7">
      <c r="A166" t="s">
        <v>677</v>
      </c>
      <c r="C166">
        <v>304</v>
      </c>
      <c r="D166">
        <v>205</v>
      </c>
      <c r="E166">
        <v>451</v>
      </c>
      <c r="F166">
        <v>0</v>
      </c>
      <c r="G166">
        <v>960</v>
      </c>
    </row>
    <row r="167" spans="1:7">
      <c r="A167" t="s">
        <v>860</v>
      </c>
      <c r="C167">
        <v>1617</v>
      </c>
      <c r="D167">
        <v>0</v>
      </c>
      <c r="E167">
        <v>101</v>
      </c>
      <c r="F167">
        <v>0</v>
      </c>
      <c r="G167">
        <v>1718</v>
      </c>
    </row>
    <row r="168" spans="1:7">
      <c r="A168" t="s">
        <v>670</v>
      </c>
      <c r="C168">
        <v>228</v>
      </c>
      <c r="D168">
        <v>0</v>
      </c>
      <c r="E168">
        <v>0</v>
      </c>
      <c r="F168">
        <v>0</v>
      </c>
      <c r="G168">
        <v>228</v>
      </c>
    </row>
    <row r="169" spans="1:7">
      <c r="A169" t="s">
        <v>658</v>
      </c>
      <c r="C169">
        <v>1257</v>
      </c>
      <c r="D169">
        <v>2121</v>
      </c>
      <c r="E169">
        <v>2742</v>
      </c>
      <c r="F169">
        <v>75</v>
      </c>
      <c r="G169">
        <v>6195</v>
      </c>
    </row>
    <row r="170" spans="1:7">
      <c r="A170" t="s">
        <v>643</v>
      </c>
      <c r="D170">
        <v>984</v>
      </c>
      <c r="E170">
        <v>1078</v>
      </c>
      <c r="F170">
        <v>2048</v>
      </c>
      <c r="G170">
        <v>4110</v>
      </c>
    </row>
    <row r="171" spans="1:7">
      <c r="A171" t="s">
        <v>819</v>
      </c>
      <c r="D171">
        <v>2760</v>
      </c>
      <c r="E171">
        <v>945</v>
      </c>
      <c r="F171">
        <v>1073</v>
      </c>
      <c r="G171">
        <v>4778</v>
      </c>
    </row>
    <row r="172" spans="1:7">
      <c r="A172" t="s">
        <v>648</v>
      </c>
      <c r="D172">
        <v>1246</v>
      </c>
      <c r="E172">
        <v>664</v>
      </c>
      <c r="F172">
        <v>834</v>
      </c>
      <c r="G172">
        <v>2744</v>
      </c>
    </row>
    <row r="173" spans="1:7">
      <c r="A173" t="s">
        <v>543</v>
      </c>
      <c r="D173">
        <v>1353</v>
      </c>
      <c r="E173">
        <v>1123</v>
      </c>
      <c r="F173">
        <v>0</v>
      </c>
      <c r="G173">
        <v>2476</v>
      </c>
    </row>
    <row r="174" spans="1:7">
      <c r="A174" t="s">
        <v>597</v>
      </c>
      <c r="E174">
        <v>338</v>
      </c>
      <c r="F174">
        <v>0</v>
      </c>
      <c r="G174">
        <v>338</v>
      </c>
    </row>
    <row r="175" spans="1:7">
      <c r="A175" t="s">
        <v>845</v>
      </c>
      <c r="B175">
        <v>3692</v>
      </c>
      <c r="C175">
        <v>8835</v>
      </c>
      <c r="D175">
        <v>14012</v>
      </c>
      <c r="E175">
        <v>11838</v>
      </c>
      <c r="F175">
        <v>6153</v>
      </c>
      <c r="G175">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row>
    <row r="180" spans="1:7">
      <c r="A180" t="s">
        <v>790</v>
      </c>
    </row>
    <row r="181" spans="1:7">
      <c r="A181" t="s">
        <v>481</v>
      </c>
    </row>
    <row r="182" spans="1:7">
      <c r="A182" t="s">
        <v>610</v>
      </c>
    </row>
    <row r="183" spans="1:7">
      <c r="A183" t="s">
        <v>650</v>
      </c>
    </row>
    <row r="184" spans="1:7">
      <c r="A184" t="s">
        <v>654</v>
      </c>
    </row>
    <row r="185" spans="1:7">
      <c r="A185" t="s">
        <v>689</v>
      </c>
    </row>
    <row r="186" spans="1:7">
      <c r="A186" t="s">
        <v>592</v>
      </c>
    </row>
    <row r="187" spans="1:7">
      <c r="A187" t="s">
        <v>519</v>
      </c>
    </row>
    <row r="188" spans="1:7">
      <c r="A188" t="s">
        <v>373</v>
      </c>
    </row>
    <row r="189" spans="1:7">
      <c r="A189" t="s">
        <v>566</v>
      </c>
    </row>
    <row r="190" spans="1:7">
      <c r="A190" t="s">
        <v>464</v>
      </c>
      <c r="B190">
        <v>195</v>
      </c>
      <c r="D190">
        <v>187</v>
      </c>
      <c r="E190">
        <v>340</v>
      </c>
      <c r="F190">
        <v>270</v>
      </c>
      <c r="G190">
        <v>992</v>
      </c>
    </row>
    <row r="191" spans="1:7">
      <c r="A191" t="s">
        <v>856</v>
      </c>
    </row>
    <row r="192" spans="1:7">
      <c r="A192" t="s">
        <v>668</v>
      </c>
      <c r="D192">
        <v>1409</v>
      </c>
      <c r="E192">
        <v>1016</v>
      </c>
      <c r="G192">
        <v>2425</v>
      </c>
    </row>
    <row r="193" spans="1:7">
      <c r="A193" t="s">
        <v>858</v>
      </c>
    </row>
    <row r="194" spans="1:7">
      <c r="A194" t="s">
        <v>666</v>
      </c>
      <c r="C194">
        <v>1342</v>
      </c>
      <c r="G194">
        <v>1342</v>
      </c>
    </row>
    <row r="195" spans="1:7">
      <c r="A195" t="s">
        <v>523</v>
      </c>
    </row>
    <row r="196" spans="1:7">
      <c r="A196" t="s">
        <v>805</v>
      </c>
    </row>
    <row r="197" spans="1:7">
      <c r="A197" t="s">
        <v>508</v>
      </c>
      <c r="B197">
        <v>436</v>
      </c>
      <c r="E197">
        <v>6275</v>
      </c>
      <c r="G197">
        <v>6711</v>
      </c>
    </row>
    <row r="198" spans="1:7">
      <c r="A198" t="s">
        <v>808</v>
      </c>
      <c r="C198">
        <v>315</v>
      </c>
      <c r="G198">
        <v>315</v>
      </c>
    </row>
    <row r="199" spans="1:7">
      <c r="A199" t="s">
        <v>569</v>
      </c>
      <c r="C199">
        <v>1230</v>
      </c>
      <c r="D199">
        <v>200</v>
      </c>
      <c r="G199">
        <v>1430</v>
      </c>
    </row>
    <row r="200" spans="1:7">
      <c r="A200" t="s">
        <v>521</v>
      </c>
    </row>
    <row r="201" spans="1:7">
      <c r="A201" t="s">
        <v>613</v>
      </c>
      <c r="B201">
        <v>15</v>
      </c>
      <c r="G201">
        <v>15</v>
      </c>
    </row>
    <row r="202" spans="1:7">
      <c r="A202" t="s">
        <v>572</v>
      </c>
    </row>
    <row r="203" spans="1:7">
      <c r="A203" t="s">
        <v>549</v>
      </c>
    </row>
    <row r="204" spans="1:7">
      <c r="A204" t="s">
        <v>677</v>
      </c>
    </row>
    <row r="205" spans="1:7">
      <c r="A205" t="s">
        <v>860</v>
      </c>
    </row>
    <row r="206" spans="1:7">
      <c r="A206" t="s">
        <v>670</v>
      </c>
      <c r="D206">
        <v>1460</v>
      </c>
      <c r="E206">
        <v>0</v>
      </c>
      <c r="F206">
        <v>420</v>
      </c>
      <c r="G206">
        <v>1880</v>
      </c>
    </row>
    <row r="207" spans="1:7">
      <c r="A207" t="s">
        <v>643</v>
      </c>
      <c r="B207">
        <v>919</v>
      </c>
      <c r="E207">
        <v>1672</v>
      </c>
      <c r="F207">
        <v>0</v>
      </c>
      <c r="G207">
        <v>2591</v>
      </c>
    </row>
    <row r="208" spans="1:7">
      <c r="A208" t="s">
        <v>819</v>
      </c>
      <c r="B208">
        <v>2387</v>
      </c>
      <c r="C208">
        <v>841</v>
      </c>
      <c r="D208">
        <v>18</v>
      </c>
      <c r="E208">
        <v>0</v>
      </c>
      <c r="G208">
        <v>3246</v>
      </c>
    </row>
    <row r="209" spans="1:7">
      <c r="A209" t="s">
        <v>648</v>
      </c>
      <c r="B209">
        <v>1095</v>
      </c>
      <c r="C209">
        <v>65</v>
      </c>
      <c r="G209">
        <v>1160</v>
      </c>
    </row>
    <row r="210" spans="1:7">
      <c r="A210" t="s">
        <v>543</v>
      </c>
      <c r="B210">
        <v>1105</v>
      </c>
      <c r="G210">
        <v>1105</v>
      </c>
    </row>
    <row r="211" spans="1:7">
      <c r="A211" t="s">
        <v>597</v>
      </c>
      <c r="F211">
        <v>360</v>
      </c>
      <c r="G211">
        <v>360</v>
      </c>
    </row>
    <row r="212" spans="1:7">
      <c r="A212" t="s">
        <v>517</v>
      </c>
      <c r="B212">
        <v>920</v>
      </c>
      <c r="G212">
        <v>920</v>
      </c>
    </row>
    <row r="213" spans="1:7">
      <c r="A213" t="s">
        <v>584</v>
      </c>
      <c r="B213">
        <v>656</v>
      </c>
      <c r="D213">
        <v>728</v>
      </c>
      <c r="E213">
        <v>1400</v>
      </c>
      <c r="F213">
        <v>709</v>
      </c>
      <c r="G213">
        <v>3493</v>
      </c>
    </row>
    <row r="214" spans="1:7">
      <c r="A214" t="s">
        <v>788</v>
      </c>
      <c r="C214">
        <v>977</v>
      </c>
      <c r="D214">
        <v>953</v>
      </c>
      <c r="E214">
        <v>2472</v>
      </c>
      <c r="F214">
        <v>399</v>
      </c>
      <c r="G214">
        <v>4801</v>
      </c>
    </row>
    <row r="215" spans="1:7">
      <c r="A215" t="s">
        <v>674</v>
      </c>
      <c r="C215">
        <v>803</v>
      </c>
      <c r="D215">
        <v>551</v>
      </c>
      <c r="E215">
        <v>0</v>
      </c>
      <c r="G215">
        <v>1354</v>
      </c>
    </row>
    <row r="216" spans="1:7">
      <c r="A216" t="s">
        <v>861</v>
      </c>
    </row>
    <row r="217" spans="1:7">
      <c r="A217" t="s">
        <v>652</v>
      </c>
      <c r="D217">
        <v>1373</v>
      </c>
      <c r="E217">
        <v>3928</v>
      </c>
      <c r="F217">
        <v>1528</v>
      </c>
      <c r="G217">
        <v>6829</v>
      </c>
    </row>
    <row r="218" spans="1:7">
      <c r="A218" t="s">
        <v>862</v>
      </c>
      <c r="E218">
        <v>1016</v>
      </c>
      <c r="G218">
        <v>1016</v>
      </c>
    </row>
    <row r="219" spans="1:7">
      <c r="A219" t="s">
        <v>89</v>
      </c>
      <c r="E219">
        <v>706</v>
      </c>
      <c r="G219">
        <v>706</v>
      </c>
    </row>
    <row r="220" spans="1:7">
      <c r="A220" t="s">
        <v>863</v>
      </c>
      <c r="F220">
        <v>583</v>
      </c>
      <c r="G220">
        <v>583</v>
      </c>
    </row>
    <row r="221" spans="1:7">
      <c r="A221" t="s">
        <v>845</v>
      </c>
      <c r="B221">
        <v>7728</v>
      </c>
      <c r="C221">
        <v>5573</v>
      </c>
      <c r="D221">
        <v>6879</v>
      </c>
      <c r="E221">
        <v>18825</v>
      </c>
      <c r="F221">
        <v>4269</v>
      </c>
      <c r="G22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row>
    <row r="227" spans="1:7">
      <c r="A227" t="s">
        <v>481</v>
      </c>
    </row>
    <row r="228" spans="1:7">
      <c r="A228" t="s">
        <v>654</v>
      </c>
    </row>
    <row r="229" spans="1:7">
      <c r="A229" t="s">
        <v>689</v>
      </c>
      <c r="B229">
        <v>762</v>
      </c>
      <c r="C229">
        <v>0</v>
      </c>
      <c r="D229">
        <v>0</v>
      </c>
      <c r="E229">
        <v>76</v>
      </c>
      <c r="G229">
        <v>838</v>
      </c>
    </row>
    <row r="230" spans="1:7">
      <c r="A230" t="s">
        <v>592</v>
      </c>
    </row>
    <row r="231" spans="1:7">
      <c r="A231" t="s">
        <v>471</v>
      </c>
    </row>
    <row r="232" spans="1:7">
      <c r="A232" t="s">
        <v>464</v>
      </c>
      <c r="B232">
        <v>58</v>
      </c>
      <c r="C232">
        <v>574</v>
      </c>
      <c r="D232">
        <v>704</v>
      </c>
      <c r="E232">
        <v>1009</v>
      </c>
      <c r="F232">
        <v>200</v>
      </c>
      <c r="G232">
        <v>2545</v>
      </c>
    </row>
    <row r="233" spans="1:7">
      <c r="A233" t="s">
        <v>508</v>
      </c>
      <c r="C233">
        <v>380</v>
      </c>
      <c r="D233">
        <v>300</v>
      </c>
      <c r="E233">
        <v>150</v>
      </c>
      <c r="G233">
        <v>830</v>
      </c>
    </row>
    <row r="234" spans="1:7">
      <c r="A234" t="s">
        <v>800</v>
      </c>
    </row>
    <row r="235" spans="1:7">
      <c r="A235" t="s">
        <v>613</v>
      </c>
      <c r="C235">
        <v>0</v>
      </c>
      <c r="D235">
        <v>0</v>
      </c>
      <c r="E235">
        <v>137</v>
      </c>
      <c r="G235">
        <v>137</v>
      </c>
    </row>
    <row r="236" spans="1:7">
      <c r="A236" t="s">
        <v>677</v>
      </c>
      <c r="E236">
        <v>310</v>
      </c>
      <c r="G236">
        <v>310</v>
      </c>
    </row>
    <row r="237" spans="1:7">
      <c r="A237" t="s">
        <v>670</v>
      </c>
      <c r="B237">
        <v>982</v>
      </c>
      <c r="C237">
        <v>749</v>
      </c>
      <c r="D237">
        <v>713</v>
      </c>
      <c r="G237">
        <v>2444</v>
      </c>
    </row>
    <row r="238" spans="1:7">
      <c r="A238" t="s">
        <v>819</v>
      </c>
      <c r="C238">
        <v>0</v>
      </c>
      <c r="D238">
        <v>0</v>
      </c>
      <c r="E238">
        <v>0</v>
      </c>
      <c r="G238">
        <v>0</v>
      </c>
    </row>
    <row r="239" spans="1:7">
      <c r="A239" t="s">
        <v>584</v>
      </c>
      <c r="B239">
        <v>905</v>
      </c>
      <c r="C239">
        <v>630</v>
      </c>
      <c r="D239">
        <v>894</v>
      </c>
      <c r="G239">
        <v>2429</v>
      </c>
    </row>
    <row r="240" spans="1:7">
      <c r="A240" t="s">
        <v>864</v>
      </c>
    </row>
    <row r="241" spans="1:7">
      <c r="A241" t="s">
        <v>578</v>
      </c>
      <c r="B241">
        <v>691</v>
      </c>
      <c r="G241">
        <v>691</v>
      </c>
    </row>
    <row r="242" spans="1:7">
      <c r="A242" t="s">
        <v>581</v>
      </c>
      <c r="B242">
        <v>1430</v>
      </c>
      <c r="C242">
        <v>1383</v>
      </c>
      <c r="D242">
        <v>1334</v>
      </c>
      <c r="E242">
        <v>1548</v>
      </c>
      <c r="G242">
        <v>5695</v>
      </c>
    </row>
    <row r="243" spans="1:7">
      <c r="A243" t="s">
        <v>587</v>
      </c>
      <c r="B243">
        <v>1460</v>
      </c>
      <c r="C243">
        <v>1350</v>
      </c>
      <c r="D243">
        <v>1507</v>
      </c>
      <c r="F243">
        <v>2287</v>
      </c>
      <c r="G243">
        <v>6604</v>
      </c>
    </row>
    <row r="244" spans="1:7">
      <c r="A244" t="s">
        <v>865</v>
      </c>
    </row>
    <row r="245" spans="1:7">
      <c r="A245" t="s">
        <v>866</v>
      </c>
    </row>
    <row r="246" spans="1:7">
      <c r="A246" t="s">
        <v>811</v>
      </c>
      <c r="C246">
        <v>575</v>
      </c>
      <c r="G246">
        <v>575</v>
      </c>
    </row>
    <row r="247" spans="1:7">
      <c r="A247" t="s">
        <v>460</v>
      </c>
      <c r="C247">
        <v>1065</v>
      </c>
      <c r="D247">
        <v>825</v>
      </c>
      <c r="E247">
        <v>705</v>
      </c>
      <c r="G247">
        <v>2595</v>
      </c>
    </row>
    <row r="248" spans="1:7">
      <c r="A248" t="s">
        <v>813</v>
      </c>
    </row>
    <row r="249" spans="1:7">
      <c r="A249" t="s">
        <v>679</v>
      </c>
      <c r="C249">
        <v>442</v>
      </c>
      <c r="D249">
        <v>854</v>
      </c>
      <c r="E249">
        <v>290</v>
      </c>
      <c r="F249">
        <v>673</v>
      </c>
      <c r="G249">
        <v>2259</v>
      </c>
    </row>
    <row r="250" spans="1:7">
      <c r="A250" t="s">
        <v>696</v>
      </c>
      <c r="C250">
        <v>1740</v>
      </c>
      <c r="D250">
        <v>2934</v>
      </c>
      <c r="F250">
        <v>161</v>
      </c>
      <c r="G250">
        <v>4835</v>
      </c>
    </row>
    <row r="251" spans="1:7">
      <c r="A251" t="s">
        <v>343</v>
      </c>
      <c r="C251">
        <v>483</v>
      </c>
      <c r="D251">
        <v>1799</v>
      </c>
      <c r="F251">
        <v>0</v>
      </c>
      <c r="G251">
        <v>2282</v>
      </c>
    </row>
    <row r="252" spans="1:7">
      <c r="A252" t="s">
        <v>504</v>
      </c>
      <c r="C252">
        <v>1333</v>
      </c>
      <c r="D252">
        <v>1701</v>
      </c>
      <c r="F252">
        <v>546</v>
      </c>
      <c r="G252">
        <v>3580</v>
      </c>
    </row>
    <row r="253" spans="1:7">
      <c r="A253" t="s">
        <v>798</v>
      </c>
      <c r="D253">
        <v>1972</v>
      </c>
      <c r="E253">
        <v>178</v>
      </c>
      <c r="F253">
        <v>266</v>
      </c>
      <c r="G253">
        <v>2416</v>
      </c>
    </row>
    <row r="254" spans="1:7">
      <c r="A254" t="s">
        <v>867</v>
      </c>
      <c r="E254">
        <v>0</v>
      </c>
      <c r="G254">
        <v>0</v>
      </c>
    </row>
    <row r="255" spans="1:7">
      <c r="A255" t="s">
        <v>510</v>
      </c>
      <c r="E255">
        <v>195</v>
      </c>
      <c r="G255">
        <v>195</v>
      </c>
    </row>
    <row r="256" spans="1:7">
      <c r="A256" t="s">
        <v>786</v>
      </c>
      <c r="F256">
        <v>0</v>
      </c>
      <c r="G256">
        <v>0</v>
      </c>
    </row>
    <row r="257" spans="1:7">
      <c r="A257" t="s">
        <v>868</v>
      </c>
    </row>
    <row r="258" spans="1:7">
      <c r="A258" t="s">
        <v>845</v>
      </c>
      <c r="B258">
        <v>6288</v>
      </c>
      <c r="C258">
        <v>10704</v>
      </c>
      <c r="D258">
        <v>15537</v>
      </c>
      <c r="E258">
        <v>4598</v>
      </c>
      <c r="F258">
        <v>4133</v>
      </c>
      <c r="G258">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v>644</v>
      </c>
      <c r="G263">
        <v>644</v>
      </c>
    </row>
    <row r="264" spans="1:7">
      <c r="A264" t="s">
        <v>471</v>
      </c>
      <c r="B264">
        <v>0</v>
      </c>
      <c r="G264">
        <v>0</v>
      </c>
    </row>
    <row r="265" spans="1:7">
      <c r="A265" t="s">
        <v>589</v>
      </c>
      <c r="B265">
        <v>745</v>
      </c>
      <c r="G265">
        <v>745</v>
      </c>
    </row>
    <row r="266" spans="1:7">
      <c r="A266" t="s">
        <v>464</v>
      </c>
      <c r="B266">
        <v>265</v>
      </c>
      <c r="C266">
        <v>0</v>
      </c>
      <c r="D266">
        <v>0</v>
      </c>
      <c r="F266">
        <v>635</v>
      </c>
      <c r="G266">
        <v>900</v>
      </c>
    </row>
    <row r="267" spans="1:7">
      <c r="A267" t="s">
        <v>508</v>
      </c>
    </row>
    <row r="268" spans="1:7">
      <c r="A268" t="s">
        <v>800</v>
      </c>
      <c r="D268">
        <v>0</v>
      </c>
      <c r="G268">
        <v>0</v>
      </c>
    </row>
    <row r="269" spans="1:7">
      <c r="A269" t="s">
        <v>643</v>
      </c>
      <c r="B269">
        <v>0</v>
      </c>
      <c r="G269">
        <v>0</v>
      </c>
    </row>
    <row r="270" spans="1:7">
      <c r="A270" t="s">
        <v>597</v>
      </c>
    </row>
    <row r="271" spans="1:7">
      <c r="A271" t="s">
        <v>584</v>
      </c>
    </row>
    <row r="272" spans="1:7">
      <c r="A272" t="s">
        <v>788</v>
      </c>
      <c r="D272">
        <v>0</v>
      </c>
      <c r="G272">
        <v>0</v>
      </c>
    </row>
    <row r="273" spans="1:7">
      <c r="A273" t="s">
        <v>674</v>
      </c>
      <c r="E273">
        <v>192</v>
      </c>
      <c r="G273">
        <v>192</v>
      </c>
    </row>
    <row r="274" spans="1:7">
      <c r="A274" t="s">
        <v>578</v>
      </c>
      <c r="E274">
        <v>3867</v>
      </c>
      <c r="F274">
        <v>594</v>
      </c>
      <c r="G274">
        <v>4461</v>
      </c>
    </row>
    <row r="275" spans="1:7">
      <c r="A275" t="s">
        <v>587</v>
      </c>
      <c r="B275">
        <v>695</v>
      </c>
      <c r="G275">
        <v>695</v>
      </c>
    </row>
    <row r="276" spans="1:7">
      <c r="A276" t="s">
        <v>696</v>
      </c>
      <c r="B276">
        <v>418</v>
      </c>
      <c r="C276">
        <v>0</v>
      </c>
      <c r="D276">
        <v>0</v>
      </c>
      <c r="G276">
        <v>418</v>
      </c>
    </row>
    <row r="277" spans="1:7">
      <c r="A277" t="s">
        <v>343</v>
      </c>
      <c r="B277">
        <v>499</v>
      </c>
      <c r="C277">
        <v>0</v>
      </c>
      <c r="D277">
        <v>0</v>
      </c>
      <c r="G277">
        <v>499</v>
      </c>
    </row>
    <row r="278" spans="1:7">
      <c r="A278" t="s">
        <v>798</v>
      </c>
      <c r="B278">
        <v>1089</v>
      </c>
      <c r="C278">
        <v>0</v>
      </c>
      <c r="D278">
        <v>0</v>
      </c>
      <c r="G278">
        <v>1089</v>
      </c>
    </row>
    <row r="279" spans="1:7">
      <c r="A279" t="s">
        <v>510</v>
      </c>
      <c r="B279">
        <v>453</v>
      </c>
      <c r="C279">
        <v>166</v>
      </c>
      <c r="D279">
        <v>166</v>
      </c>
      <c r="E279">
        <v>302</v>
      </c>
      <c r="G279">
        <v>1087</v>
      </c>
    </row>
    <row r="280" spans="1:7">
      <c r="A280" t="s">
        <v>786</v>
      </c>
      <c r="B280">
        <v>1880</v>
      </c>
      <c r="C280">
        <v>0</v>
      </c>
      <c r="D280">
        <v>0</v>
      </c>
      <c r="G280">
        <v>1880</v>
      </c>
    </row>
    <row r="281" spans="1:7">
      <c r="A281" t="s">
        <v>869</v>
      </c>
      <c r="B281">
        <v>349</v>
      </c>
      <c r="C281">
        <v>952</v>
      </c>
      <c r="D281">
        <v>952</v>
      </c>
      <c r="E281">
        <v>1328</v>
      </c>
      <c r="F281">
        <v>397</v>
      </c>
      <c r="G281">
        <v>3978</v>
      </c>
    </row>
    <row r="282" spans="1:7">
      <c r="A282" t="s">
        <v>551</v>
      </c>
      <c r="B282">
        <v>1413</v>
      </c>
      <c r="C282">
        <v>0</v>
      </c>
      <c r="D282">
        <v>1394</v>
      </c>
      <c r="G282">
        <v>2807</v>
      </c>
    </row>
    <row r="283" spans="1:7">
      <c r="A283" t="s">
        <v>699</v>
      </c>
      <c r="B283">
        <v>1355</v>
      </c>
      <c r="D283">
        <v>0</v>
      </c>
      <c r="G283">
        <v>1355</v>
      </c>
    </row>
    <row r="284" spans="1:7">
      <c r="A284" t="s">
        <v>395</v>
      </c>
      <c r="B284">
        <v>2227</v>
      </c>
      <c r="G284">
        <v>2227</v>
      </c>
    </row>
    <row r="285" spans="1:7">
      <c r="A285" t="s">
        <v>478</v>
      </c>
      <c r="C285">
        <v>0</v>
      </c>
      <c r="D285">
        <v>0</v>
      </c>
      <c r="E285">
        <v>344</v>
      </c>
      <c r="G285">
        <v>344</v>
      </c>
    </row>
    <row r="286" spans="1:7">
      <c r="A286" t="s">
        <v>391</v>
      </c>
      <c r="C286">
        <v>1149</v>
      </c>
      <c r="D286">
        <v>1149</v>
      </c>
      <c r="G286">
        <v>2298</v>
      </c>
    </row>
    <row r="287" spans="1:7">
      <c r="A287" t="s">
        <v>672</v>
      </c>
      <c r="E287">
        <v>313</v>
      </c>
      <c r="G287">
        <v>313</v>
      </c>
    </row>
    <row r="288" spans="1:7">
      <c r="A288" t="s">
        <v>664</v>
      </c>
      <c r="E288">
        <v>1265</v>
      </c>
      <c r="G288">
        <v>1265</v>
      </c>
    </row>
    <row r="289" spans="1:7">
      <c r="A289" t="s">
        <v>553</v>
      </c>
      <c r="E289">
        <v>1334</v>
      </c>
      <c r="G289">
        <v>1334</v>
      </c>
    </row>
    <row r="290" spans="1:7">
      <c r="A290" t="s">
        <v>545</v>
      </c>
      <c r="E290">
        <v>1970</v>
      </c>
      <c r="G290">
        <v>1970</v>
      </c>
    </row>
    <row r="291" spans="1:7">
      <c r="A291" t="s">
        <v>340</v>
      </c>
    </row>
    <row r="292" spans="1:7">
      <c r="A292" t="s">
        <v>661</v>
      </c>
      <c r="F292">
        <v>2144</v>
      </c>
      <c r="G292">
        <v>2144</v>
      </c>
    </row>
    <row r="293" spans="1:7">
      <c r="A293" t="s">
        <v>845</v>
      </c>
      <c r="B293">
        <v>12032</v>
      </c>
      <c r="C293">
        <v>2267</v>
      </c>
      <c r="D293">
        <v>3661</v>
      </c>
      <c r="E293">
        <v>10915</v>
      </c>
      <c r="F293">
        <v>3770</v>
      </c>
      <c r="G293">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v>550</v>
      </c>
      <c r="E298">
        <v>426</v>
      </c>
      <c r="G298">
        <v>976</v>
      </c>
    </row>
    <row r="299" spans="1:7">
      <c r="A299" t="s">
        <v>508</v>
      </c>
      <c r="C299">
        <v>45</v>
      </c>
      <c r="G299">
        <v>45</v>
      </c>
    </row>
    <row r="300" spans="1:7">
      <c r="A300" t="s">
        <v>569</v>
      </c>
      <c r="C300">
        <v>150</v>
      </c>
      <c r="D300">
        <v>295</v>
      </c>
      <c r="E300">
        <v>504</v>
      </c>
      <c r="G300">
        <v>949</v>
      </c>
    </row>
    <row r="301" spans="1:7">
      <c r="A301" t="s">
        <v>670</v>
      </c>
    </row>
    <row r="302" spans="1:7">
      <c r="A302" t="s">
        <v>819</v>
      </c>
    </row>
    <row r="303" spans="1:7">
      <c r="A303" t="s">
        <v>584</v>
      </c>
      <c r="B303">
        <v>132</v>
      </c>
      <c r="G303">
        <v>132</v>
      </c>
    </row>
    <row r="304" spans="1:7">
      <c r="A304" t="s">
        <v>578</v>
      </c>
      <c r="B304">
        <v>367</v>
      </c>
      <c r="G304">
        <v>367</v>
      </c>
    </row>
    <row r="305" spans="1:7">
      <c r="A305" t="s">
        <v>679</v>
      </c>
      <c r="F305">
        <v>314</v>
      </c>
      <c r="G305">
        <v>314</v>
      </c>
    </row>
    <row r="306" spans="1:7">
      <c r="A306" t="s">
        <v>696</v>
      </c>
    </row>
    <row r="307" spans="1:7">
      <c r="A307" t="s">
        <v>510</v>
      </c>
      <c r="B307">
        <v>43</v>
      </c>
      <c r="G307">
        <v>43</v>
      </c>
    </row>
    <row r="308" spans="1:7">
      <c r="A308" t="s">
        <v>699</v>
      </c>
    </row>
    <row r="309" spans="1:7">
      <c r="A309" t="s">
        <v>478</v>
      </c>
    </row>
    <row r="310" spans="1:7">
      <c r="A310" t="s">
        <v>391</v>
      </c>
    </row>
    <row r="311" spans="1:7">
      <c r="A311" t="s">
        <v>664</v>
      </c>
    </row>
    <row r="312" spans="1:7">
      <c r="A312" t="s">
        <v>553</v>
      </c>
      <c r="B312">
        <v>618</v>
      </c>
      <c r="C312">
        <v>700</v>
      </c>
      <c r="G312">
        <v>1318</v>
      </c>
    </row>
    <row r="313" spans="1:7">
      <c r="A313" t="s">
        <v>545</v>
      </c>
    </row>
    <row r="314" spans="1:7">
      <c r="A314" t="s">
        <v>340</v>
      </c>
    </row>
    <row r="315" spans="1:7">
      <c r="A315" t="s">
        <v>661</v>
      </c>
      <c r="B315">
        <v>990</v>
      </c>
      <c r="C315">
        <v>1871</v>
      </c>
      <c r="D315">
        <v>1307</v>
      </c>
      <c r="G315">
        <v>4168</v>
      </c>
    </row>
    <row r="316" spans="1:7">
      <c r="A316" t="s">
        <v>380</v>
      </c>
      <c r="B316">
        <v>590</v>
      </c>
      <c r="C316">
        <v>343</v>
      </c>
      <c r="G316">
        <v>933</v>
      </c>
    </row>
    <row r="317" spans="1:7">
      <c r="A317" t="s">
        <v>496</v>
      </c>
      <c r="B317">
        <v>198</v>
      </c>
      <c r="G317">
        <v>198</v>
      </c>
    </row>
    <row r="318" spans="1:7">
      <c r="A318" t="s">
        <v>547</v>
      </c>
      <c r="B318">
        <v>1840</v>
      </c>
      <c r="C318">
        <v>1520</v>
      </c>
      <c r="D318">
        <v>2060</v>
      </c>
      <c r="E318">
        <v>1330</v>
      </c>
      <c r="G318">
        <v>6750</v>
      </c>
    </row>
    <row r="319" spans="1:7">
      <c r="A319" t="s">
        <v>615</v>
      </c>
      <c r="D319">
        <v>1376</v>
      </c>
      <c r="E319">
        <v>875</v>
      </c>
      <c r="F319">
        <v>1301</v>
      </c>
      <c r="G319">
        <v>3552</v>
      </c>
    </row>
    <row r="320" spans="1:7">
      <c r="A320" t="s">
        <v>484</v>
      </c>
      <c r="D320">
        <v>617</v>
      </c>
      <c r="E320">
        <v>627</v>
      </c>
      <c r="F320">
        <v>431</v>
      </c>
      <c r="G320">
        <v>1675</v>
      </c>
    </row>
    <row r="321" spans="1:7">
      <c r="A321" t="s">
        <v>639</v>
      </c>
      <c r="E321">
        <v>711</v>
      </c>
      <c r="F321">
        <v>695</v>
      </c>
      <c r="G321">
        <v>1406</v>
      </c>
    </row>
    <row r="322" spans="1:7">
      <c r="A322" t="s">
        <v>845</v>
      </c>
      <c r="B322">
        <v>5328</v>
      </c>
      <c r="C322">
        <v>4629</v>
      </c>
      <c r="D322">
        <v>5655</v>
      </c>
      <c r="E322">
        <v>4473</v>
      </c>
      <c r="F322">
        <v>2741</v>
      </c>
      <c r="G322">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row>
    <row r="328" spans="1:7">
      <c r="A328" t="s">
        <v>650</v>
      </c>
    </row>
    <row r="329" spans="1:7">
      <c r="A329" t="s">
        <v>689</v>
      </c>
      <c r="C329">
        <v>561</v>
      </c>
      <c r="D329">
        <v>260</v>
      </c>
      <c r="E329">
        <v>40</v>
      </c>
      <c r="F329">
        <v>408</v>
      </c>
      <c r="G329">
        <v>1269</v>
      </c>
    </row>
    <row r="330" spans="1:7">
      <c r="A330" t="s">
        <v>508</v>
      </c>
      <c r="C330">
        <v>37</v>
      </c>
      <c r="D330">
        <v>115</v>
      </c>
      <c r="G330">
        <v>152</v>
      </c>
    </row>
    <row r="331" spans="1:7">
      <c r="A331" t="s">
        <v>670</v>
      </c>
    </row>
    <row r="332" spans="1:7">
      <c r="A332" t="s">
        <v>643</v>
      </c>
    </row>
    <row r="333" spans="1:7">
      <c r="A333" t="s">
        <v>648</v>
      </c>
    </row>
    <row r="334" spans="1:7">
      <c r="A334" t="s">
        <v>652</v>
      </c>
      <c r="D334">
        <v>173</v>
      </c>
      <c r="G334">
        <v>173</v>
      </c>
    </row>
    <row r="335" spans="1:7">
      <c r="A335" t="s">
        <v>578</v>
      </c>
    </row>
    <row r="336" spans="1:7">
      <c r="A336" t="s">
        <v>865</v>
      </c>
      <c r="E336">
        <v>96</v>
      </c>
      <c r="G336">
        <v>96</v>
      </c>
    </row>
    <row r="337" spans="1:7">
      <c r="A337" t="s">
        <v>798</v>
      </c>
      <c r="E337">
        <v>433</v>
      </c>
      <c r="G337">
        <v>433</v>
      </c>
    </row>
    <row r="338" spans="1:7">
      <c r="A338" t="s">
        <v>510</v>
      </c>
    </row>
    <row r="339" spans="1:7">
      <c r="A339" t="s">
        <v>615</v>
      </c>
      <c r="C339">
        <v>1018</v>
      </c>
      <c r="E339">
        <v>569</v>
      </c>
      <c r="G339">
        <v>1587</v>
      </c>
    </row>
    <row r="340" spans="1:7">
      <c r="A340" t="s">
        <v>484</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795</v>
      </c>
      <c r="B344">
        <v>547</v>
      </c>
      <c r="C344">
        <v>845</v>
      </c>
      <c r="D344">
        <v>400</v>
      </c>
      <c r="E344">
        <v>906</v>
      </c>
      <c r="F344">
        <v>198</v>
      </c>
      <c r="G344">
        <v>2896</v>
      </c>
    </row>
    <row r="345" spans="1:7">
      <c r="A345" t="s">
        <v>527</v>
      </c>
      <c r="B345">
        <v>259</v>
      </c>
      <c r="C345">
        <v>243</v>
      </c>
      <c r="E345">
        <v>193</v>
      </c>
      <c r="G345">
        <v>695</v>
      </c>
    </row>
    <row r="346" spans="1:7">
      <c r="A346" t="s">
        <v>603</v>
      </c>
      <c r="C346">
        <v>1538</v>
      </c>
      <c r="D346">
        <v>2713</v>
      </c>
      <c r="E346">
        <v>862</v>
      </c>
      <c r="F346">
        <v>1507</v>
      </c>
      <c r="G346">
        <v>6620</v>
      </c>
    </row>
    <row r="347" spans="1:7">
      <c r="A347" t="s">
        <v>529</v>
      </c>
      <c r="E347">
        <v>647</v>
      </c>
      <c r="G347">
        <v>647</v>
      </c>
    </row>
    <row r="348" spans="1:7">
      <c r="A348" t="s">
        <v>617</v>
      </c>
      <c r="F348">
        <v>706</v>
      </c>
      <c r="G348">
        <v>706</v>
      </c>
    </row>
    <row r="349" spans="1:7">
      <c r="A349" t="s">
        <v>574</v>
      </c>
    </row>
    <row r="350" spans="1:7">
      <c r="A350" t="s">
        <v>845</v>
      </c>
      <c r="B350">
        <v>3213</v>
      </c>
      <c r="C350">
        <v>9609</v>
      </c>
      <c r="D350">
        <v>8532</v>
      </c>
      <c r="E350">
        <v>6325</v>
      </c>
      <c r="F350">
        <v>3565</v>
      </c>
      <c r="G350">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C355">
        <v>205</v>
      </c>
      <c r="D355">
        <v>190</v>
      </c>
      <c r="E355">
        <v>48</v>
      </c>
      <c r="F355">
        <v>150</v>
      </c>
      <c r="G355">
        <v>593</v>
      </c>
    </row>
    <row r="356" spans="1:7">
      <c r="A356" t="s">
        <v>589</v>
      </c>
    </row>
    <row r="357" spans="1:7">
      <c r="A357" t="s">
        <v>508</v>
      </c>
    </row>
    <row r="358" spans="1:7">
      <c r="A358" t="s">
        <v>670</v>
      </c>
    </row>
    <row r="359" spans="1:7">
      <c r="A359" t="s">
        <v>643</v>
      </c>
    </row>
    <row r="360" spans="1:7">
      <c r="A360" t="s">
        <v>597</v>
      </c>
      <c r="D360">
        <v>113</v>
      </c>
      <c r="G360">
        <v>113</v>
      </c>
    </row>
    <row r="361" spans="1:7">
      <c r="A361" t="s">
        <v>652</v>
      </c>
    </row>
    <row r="362" spans="1:7">
      <c r="A362" t="s">
        <v>813</v>
      </c>
    </row>
    <row r="363" spans="1:7">
      <c r="A363" t="s">
        <v>484</v>
      </c>
    </row>
    <row r="364" spans="1:7">
      <c r="A364" t="s">
        <v>639</v>
      </c>
    </row>
    <row r="365" spans="1:7">
      <c r="A365" t="s">
        <v>619</v>
      </c>
      <c r="B365">
        <v>1050</v>
      </c>
      <c r="G365">
        <v>1050</v>
      </c>
    </row>
    <row r="366" spans="1:7">
      <c r="A366" t="s">
        <v>637</v>
      </c>
    </row>
    <row r="367" spans="1:7">
      <c r="A367" t="s">
        <v>795</v>
      </c>
      <c r="E367">
        <v>64</v>
      </c>
      <c r="F367">
        <v>21</v>
      </c>
      <c r="G367">
        <v>85</v>
      </c>
    </row>
    <row r="368" spans="1:7">
      <c r="A368" t="s">
        <v>527</v>
      </c>
      <c r="C368">
        <v>510</v>
      </c>
      <c r="D368">
        <v>275</v>
      </c>
      <c r="G368">
        <v>785</v>
      </c>
    </row>
    <row r="369" spans="1:7">
      <c r="A369" t="s">
        <v>529</v>
      </c>
      <c r="C369">
        <v>932</v>
      </c>
      <c r="D369">
        <v>1190</v>
      </c>
      <c r="E369">
        <v>909</v>
      </c>
      <c r="G369">
        <v>3031</v>
      </c>
    </row>
    <row r="370" spans="1:7">
      <c r="A370" t="s">
        <v>617</v>
      </c>
      <c r="C370">
        <v>1701</v>
      </c>
      <c r="D370">
        <v>314</v>
      </c>
      <c r="E370">
        <v>662</v>
      </c>
      <c r="F370">
        <v>728</v>
      </c>
      <c r="G370">
        <v>3405</v>
      </c>
    </row>
    <row r="371" spans="1:7">
      <c r="A371" t="s">
        <v>574</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793</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845</v>
      </c>
      <c r="B380">
        <v>2956</v>
      </c>
      <c r="C380">
        <v>6650</v>
      </c>
      <c r="D380">
        <v>7542</v>
      </c>
      <c r="E380">
        <v>7403</v>
      </c>
      <c r="F380">
        <v>3549</v>
      </c>
      <c r="G380">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v>423</v>
      </c>
      <c r="G385">
        <v>423</v>
      </c>
    </row>
    <row r="386" spans="1:7">
      <c r="A386" t="s">
        <v>508</v>
      </c>
    </row>
    <row r="387" spans="1:7">
      <c r="A387" t="s">
        <v>672</v>
      </c>
      <c r="F387">
        <v>1367</v>
      </c>
      <c r="G387">
        <v>1367</v>
      </c>
    </row>
    <row r="388" spans="1:7">
      <c r="A388" t="s">
        <v>615</v>
      </c>
    </row>
    <row r="389" spans="1:7">
      <c r="A389" t="s">
        <v>795</v>
      </c>
    </row>
    <row r="390" spans="1:7">
      <c r="A390" t="s">
        <v>527</v>
      </c>
      <c r="C390">
        <v>242</v>
      </c>
      <c r="D390">
        <v>310</v>
      </c>
      <c r="E390">
        <v>302</v>
      </c>
      <c r="G390">
        <v>854</v>
      </c>
    </row>
    <row r="391" spans="1:7">
      <c r="A391" t="s">
        <v>529</v>
      </c>
      <c r="C391">
        <v>470</v>
      </c>
      <c r="G391">
        <v>470</v>
      </c>
    </row>
    <row r="392" spans="1:7">
      <c r="A392" t="s">
        <v>617</v>
      </c>
      <c r="B392">
        <v>961</v>
      </c>
      <c r="C392">
        <v>370</v>
      </c>
      <c r="G392">
        <v>1331</v>
      </c>
    </row>
    <row r="393" spans="1:7">
      <c r="A393" t="s">
        <v>607</v>
      </c>
      <c r="B393">
        <v>1602</v>
      </c>
      <c r="G393">
        <v>1602</v>
      </c>
    </row>
    <row r="394" spans="1:7">
      <c r="A394" t="s">
        <v>793</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870</v>
      </c>
      <c r="B399">
        <v>1216</v>
      </c>
      <c r="G399">
        <v>1216</v>
      </c>
    </row>
    <row r="400" spans="1:7">
      <c r="A400" t="s">
        <v>525</v>
      </c>
      <c r="C400">
        <v>1520</v>
      </c>
      <c r="D400">
        <v>1216</v>
      </c>
      <c r="E400">
        <v>1098</v>
      </c>
      <c r="G400">
        <v>3834</v>
      </c>
    </row>
    <row r="401" spans="1:7">
      <c r="A401" t="s">
        <v>559</v>
      </c>
      <c r="C401">
        <v>1190</v>
      </c>
      <c r="D401">
        <v>1033</v>
      </c>
      <c r="E401">
        <v>1031</v>
      </c>
      <c r="G401">
        <v>3254</v>
      </c>
    </row>
    <row r="402" spans="1:7">
      <c r="A402" t="s">
        <v>845</v>
      </c>
      <c r="B402">
        <v>6951</v>
      </c>
      <c r="C402">
        <v>8540</v>
      </c>
      <c r="D402">
        <v>8067</v>
      </c>
      <c r="E402">
        <v>4788</v>
      </c>
      <c r="F402">
        <v>2387</v>
      </c>
      <c r="G402">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C407">
        <v>320</v>
      </c>
      <c r="G407">
        <v>320</v>
      </c>
    </row>
    <row r="408" spans="1:7">
      <c r="A408" t="s">
        <v>464</v>
      </c>
      <c r="D408">
        <v>131</v>
      </c>
      <c r="G408">
        <v>131</v>
      </c>
    </row>
    <row r="409" spans="1:7">
      <c r="A409" t="s">
        <v>674</v>
      </c>
    </row>
    <row r="410" spans="1:7">
      <c r="A410" t="s">
        <v>672</v>
      </c>
      <c r="C410">
        <v>424</v>
      </c>
      <c r="G410">
        <v>424</v>
      </c>
    </row>
    <row r="411" spans="1:7">
      <c r="A411" t="s">
        <v>380</v>
      </c>
      <c r="E411">
        <v>468</v>
      </c>
      <c r="F411">
        <v>940</v>
      </c>
      <c r="G411">
        <v>1408</v>
      </c>
    </row>
    <row r="412" spans="1:7">
      <c r="A412" t="s">
        <v>615</v>
      </c>
    </row>
    <row r="413" spans="1:7">
      <c r="A413" t="s">
        <v>619</v>
      </c>
    </row>
    <row r="414" spans="1:7">
      <c r="A414" t="s">
        <v>527</v>
      </c>
      <c r="B414">
        <v>610</v>
      </c>
      <c r="C414">
        <v>451</v>
      </c>
      <c r="D414">
        <v>802</v>
      </c>
      <c r="E414">
        <v>75</v>
      </c>
      <c r="G414">
        <v>1938</v>
      </c>
    </row>
    <row r="415" spans="1:7">
      <c r="A415" t="s">
        <v>529</v>
      </c>
    </row>
    <row r="416" spans="1:7">
      <c r="A416" t="s">
        <v>607</v>
      </c>
    </row>
    <row r="417" spans="1:7">
      <c r="A417" t="s">
        <v>623</v>
      </c>
      <c r="B417">
        <v>404</v>
      </c>
      <c r="C417">
        <v>158</v>
      </c>
      <c r="D417">
        <v>353</v>
      </c>
      <c r="E417">
        <v>40</v>
      </c>
      <c r="F417">
        <v>153</v>
      </c>
      <c r="G417">
        <v>1108</v>
      </c>
    </row>
    <row r="418" spans="1:7">
      <c r="A418" t="s">
        <v>629</v>
      </c>
    </row>
    <row r="419" spans="1:7">
      <c r="A419" t="s">
        <v>559</v>
      </c>
      <c r="B419">
        <v>1053</v>
      </c>
      <c r="C419">
        <v>812</v>
      </c>
      <c r="G419">
        <v>1865</v>
      </c>
    </row>
    <row r="420" spans="1:7">
      <c r="A420" t="s">
        <v>75</v>
      </c>
      <c r="B420">
        <v>640</v>
      </c>
      <c r="C420">
        <v>490</v>
      </c>
      <c r="D420">
        <v>127</v>
      </c>
      <c r="G420">
        <v>1257</v>
      </c>
    </row>
    <row r="421" spans="1:7">
      <c r="A421" t="s">
        <v>83</v>
      </c>
    </row>
    <row r="422" spans="1:7">
      <c r="A422" t="s">
        <v>561</v>
      </c>
      <c r="B422">
        <v>575</v>
      </c>
      <c r="C422">
        <v>1847</v>
      </c>
      <c r="D422">
        <v>1052</v>
      </c>
      <c r="E422">
        <v>1846</v>
      </c>
      <c r="G422">
        <v>5320</v>
      </c>
    </row>
    <row r="423" spans="1:7">
      <c r="A423" t="s">
        <v>557</v>
      </c>
      <c r="C423">
        <v>565</v>
      </c>
      <c r="D423">
        <v>1935</v>
      </c>
      <c r="E423">
        <v>1483</v>
      </c>
      <c r="G423">
        <v>3983</v>
      </c>
    </row>
    <row r="424" spans="1:7">
      <c r="A424" t="s">
        <v>871</v>
      </c>
      <c r="D424">
        <v>592</v>
      </c>
      <c r="E424">
        <v>592</v>
      </c>
      <c r="F424">
        <v>730</v>
      </c>
      <c r="G424">
        <v>1914</v>
      </c>
    </row>
    <row r="425" spans="1:7">
      <c r="A425" t="s">
        <v>872</v>
      </c>
      <c r="D425">
        <v>645</v>
      </c>
      <c r="E425">
        <v>853</v>
      </c>
      <c r="G425">
        <v>1498</v>
      </c>
    </row>
    <row r="426" spans="1:7">
      <c r="A426" t="s">
        <v>873</v>
      </c>
      <c r="E426">
        <v>616</v>
      </c>
      <c r="F426">
        <v>900</v>
      </c>
      <c r="G426">
        <v>1516</v>
      </c>
    </row>
    <row r="427" spans="1:7">
      <c r="A427" t="s">
        <v>91</v>
      </c>
      <c r="E427">
        <v>225</v>
      </c>
      <c r="G427">
        <v>225</v>
      </c>
    </row>
    <row r="428" spans="1:7">
      <c r="A428" t="s">
        <v>845</v>
      </c>
      <c r="B428">
        <v>3282</v>
      </c>
      <c r="C428">
        <v>5067</v>
      </c>
      <c r="D428">
        <v>5637</v>
      </c>
      <c r="E428">
        <v>6198</v>
      </c>
      <c r="F428">
        <v>2723</v>
      </c>
      <c r="G428">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row>
    <row r="434" spans="1:7">
      <c r="A434" t="s">
        <v>874</v>
      </c>
    </row>
    <row r="435" spans="1:7">
      <c r="A435" t="s">
        <v>464</v>
      </c>
      <c r="C435">
        <v>55</v>
      </c>
      <c r="G435">
        <v>55</v>
      </c>
    </row>
    <row r="436" spans="1:7">
      <c r="A436" t="s">
        <v>569</v>
      </c>
      <c r="D436">
        <v>1190</v>
      </c>
      <c r="G436">
        <v>1190</v>
      </c>
    </row>
    <row r="437" spans="1:7">
      <c r="A437" t="s">
        <v>865</v>
      </c>
      <c r="C437">
        <v>30</v>
      </c>
      <c r="G437">
        <v>30</v>
      </c>
    </row>
    <row r="438" spans="1:7">
      <c r="A438" t="s">
        <v>460</v>
      </c>
      <c r="F438">
        <v>887</v>
      </c>
      <c r="G438">
        <v>887</v>
      </c>
    </row>
    <row r="439" spans="1:7">
      <c r="A439" t="s">
        <v>699</v>
      </c>
      <c r="C439">
        <v>385</v>
      </c>
      <c r="D439">
        <v>678</v>
      </c>
      <c r="E439">
        <v>381</v>
      </c>
      <c r="G439">
        <v>1444</v>
      </c>
    </row>
    <row r="440" spans="1:7">
      <c r="A440" t="s">
        <v>527</v>
      </c>
      <c r="C440">
        <v>251</v>
      </c>
      <c r="D440">
        <v>424</v>
      </c>
      <c r="E440">
        <v>497</v>
      </c>
      <c r="G440">
        <v>1172</v>
      </c>
    </row>
    <row r="441" spans="1:7">
      <c r="A441" t="s">
        <v>633</v>
      </c>
      <c r="E441">
        <v>1342</v>
      </c>
      <c r="F441">
        <v>1484</v>
      </c>
      <c r="G441">
        <v>2826</v>
      </c>
    </row>
    <row r="442" spans="1:7">
      <c r="A442" t="s">
        <v>793</v>
      </c>
      <c r="E442">
        <v>85</v>
      </c>
      <c r="G442">
        <v>85</v>
      </c>
    </row>
    <row r="443" spans="1:7">
      <c r="A443" t="s">
        <v>557</v>
      </c>
      <c r="C443">
        <v>933</v>
      </c>
      <c r="G443">
        <v>933</v>
      </c>
    </row>
    <row r="444" spans="1:7">
      <c r="A444" t="s">
        <v>872</v>
      </c>
    </row>
    <row r="445" spans="1:7">
      <c r="A445" t="s">
        <v>873</v>
      </c>
      <c r="C445">
        <v>212</v>
      </c>
      <c r="E445">
        <v>1316</v>
      </c>
      <c r="F445">
        <v>1232</v>
      </c>
      <c r="G445">
        <v>2760</v>
      </c>
    </row>
    <row r="446" spans="1:7">
      <c r="A446" t="s">
        <v>384</v>
      </c>
      <c r="D446">
        <v>153</v>
      </c>
      <c r="G446">
        <v>153</v>
      </c>
    </row>
    <row r="447" spans="1:7">
      <c r="A447" t="s">
        <v>875</v>
      </c>
    </row>
    <row r="448" spans="1:7">
      <c r="A448" t="s">
        <v>876</v>
      </c>
    </row>
    <row r="449" spans="1:7">
      <c r="A449" t="s">
        <v>877</v>
      </c>
      <c r="E449">
        <v>201</v>
      </c>
      <c r="F449">
        <v>30</v>
      </c>
      <c r="G449">
        <v>231</v>
      </c>
    </row>
    <row r="450" spans="1:7">
      <c r="A450" t="s">
        <v>514</v>
      </c>
      <c r="E450">
        <v>1580</v>
      </c>
      <c r="G450">
        <v>1580</v>
      </c>
    </row>
    <row r="451" spans="1:7">
      <c r="A451" t="s">
        <v>878</v>
      </c>
      <c r="F451">
        <v>151</v>
      </c>
      <c r="G451">
        <v>151</v>
      </c>
    </row>
    <row r="452" spans="1:7">
      <c r="A452" t="s">
        <v>845</v>
      </c>
      <c r="C452">
        <v>1866</v>
      </c>
      <c r="D452">
        <v>2445</v>
      </c>
      <c r="E452">
        <v>5402</v>
      </c>
      <c r="F452">
        <v>3784</v>
      </c>
      <c r="G452">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v>301</v>
      </c>
      <c r="C457">
        <v>191</v>
      </c>
      <c r="G457">
        <v>492</v>
      </c>
    </row>
    <row r="458" spans="1:7">
      <c r="A458" t="s">
        <v>464</v>
      </c>
      <c r="F458">
        <v>175</v>
      </c>
      <c r="G458">
        <v>175</v>
      </c>
    </row>
    <row r="459" spans="1:7">
      <c r="A459" t="s">
        <v>805</v>
      </c>
      <c r="B459">
        <v>54</v>
      </c>
      <c r="C459">
        <v>101</v>
      </c>
      <c r="G459">
        <v>155</v>
      </c>
    </row>
    <row r="460" spans="1:7">
      <c r="A460" t="s">
        <v>569</v>
      </c>
      <c r="D460">
        <v>678</v>
      </c>
      <c r="G460">
        <v>678</v>
      </c>
    </row>
    <row r="461" spans="1:7">
      <c r="A461" t="s">
        <v>460</v>
      </c>
      <c r="F461">
        <v>236</v>
      </c>
      <c r="G461">
        <v>236</v>
      </c>
    </row>
    <row r="462" spans="1:7">
      <c r="A462" t="s">
        <v>679</v>
      </c>
      <c r="D462">
        <v>999</v>
      </c>
      <c r="F462">
        <v>719</v>
      </c>
      <c r="G462">
        <v>1718</v>
      </c>
    </row>
    <row r="463" spans="1:7">
      <c r="A463" t="s">
        <v>699</v>
      </c>
      <c r="B463">
        <v>605</v>
      </c>
      <c r="D463">
        <v>600</v>
      </c>
      <c r="E463">
        <v>772</v>
      </c>
      <c r="G463">
        <v>1977</v>
      </c>
    </row>
    <row r="464" spans="1:7">
      <c r="A464" t="s">
        <v>527</v>
      </c>
      <c r="B464">
        <v>286</v>
      </c>
      <c r="C464">
        <v>226</v>
      </c>
      <c r="G464">
        <v>512</v>
      </c>
    </row>
    <row r="465" spans="1:7">
      <c r="A465" t="s">
        <v>633</v>
      </c>
      <c r="B465">
        <v>1280</v>
      </c>
      <c r="C465">
        <v>1029</v>
      </c>
      <c r="G465">
        <v>2309</v>
      </c>
    </row>
    <row r="466" spans="1:7">
      <c r="A466" t="s">
        <v>793</v>
      </c>
      <c r="D466">
        <v>181</v>
      </c>
      <c r="G466">
        <v>181</v>
      </c>
    </row>
    <row r="467" spans="1:7">
      <c r="A467" t="s">
        <v>627</v>
      </c>
    </row>
    <row r="468" spans="1:7">
      <c r="A468" t="s">
        <v>873</v>
      </c>
      <c r="B468">
        <v>1156</v>
      </c>
      <c r="C468">
        <v>947</v>
      </c>
      <c r="G468">
        <v>2103</v>
      </c>
    </row>
    <row r="469" spans="1:7">
      <c r="A469" t="s">
        <v>514</v>
      </c>
      <c r="B469">
        <v>270</v>
      </c>
      <c r="E469">
        <v>948</v>
      </c>
      <c r="G469">
        <v>1218</v>
      </c>
    </row>
    <row r="470" spans="1:7">
      <c r="A470" t="s">
        <v>368</v>
      </c>
      <c r="B470">
        <v>644</v>
      </c>
      <c r="C470">
        <v>1430</v>
      </c>
      <c r="D470">
        <v>970</v>
      </c>
      <c r="G470">
        <v>3044</v>
      </c>
    </row>
    <row r="471" spans="1:7">
      <c r="A471" t="s">
        <v>398</v>
      </c>
      <c r="F471">
        <v>285</v>
      </c>
      <c r="G471">
        <v>285</v>
      </c>
    </row>
    <row r="472" spans="1:7">
      <c r="A472" t="s">
        <v>879</v>
      </c>
      <c r="E472">
        <v>260</v>
      </c>
      <c r="F472">
        <v>129</v>
      </c>
      <c r="G472">
        <v>389</v>
      </c>
    </row>
    <row r="473" spans="1:7">
      <c r="A473" t="s">
        <v>880</v>
      </c>
    </row>
    <row r="474" spans="1:7">
      <c r="A474" t="s">
        <v>845</v>
      </c>
      <c r="B474">
        <v>4596</v>
      </c>
      <c r="C474">
        <v>3924</v>
      </c>
      <c r="D474">
        <v>3428</v>
      </c>
      <c r="E474">
        <v>1980</v>
      </c>
      <c r="F474">
        <v>1544</v>
      </c>
      <c r="G474">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v>100</v>
      </c>
      <c r="F479">
        <v>100</v>
      </c>
    </row>
    <row r="480" spans="1:7">
      <c r="A480" t="s">
        <v>460</v>
      </c>
      <c r="B480">
        <v>224</v>
      </c>
      <c r="C480">
        <v>200</v>
      </c>
      <c r="F480">
        <v>424</v>
      </c>
    </row>
    <row r="481" spans="1:7">
      <c r="A481" t="s">
        <v>699</v>
      </c>
      <c r="B481">
        <v>757</v>
      </c>
      <c r="C481">
        <v>610</v>
      </c>
      <c r="D481">
        <v>959</v>
      </c>
      <c r="E481">
        <v>493</v>
      </c>
      <c r="F481">
        <v>2819</v>
      </c>
    </row>
    <row r="482" spans="1:7">
      <c r="A482" t="s">
        <v>672</v>
      </c>
      <c r="E482">
        <v>218</v>
      </c>
      <c r="F482">
        <v>218</v>
      </c>
    </row>
    <row r="483" spans="1:7">
      <c r="A483" t="s">
        <v>527</v>
      </c>
    </row>
    <row r="484" spans="1:7">
      <c r="A484" t="s">
        <v>514</v>
      </c>
      <c r="B484">
        <v>954</v>
      </c>
      <c r="C484">
        <v>2783</v>
      </c>
      <c r="D484">
        <v>2248</v>
      </c>
      <c r="F484">
        <v>5985</v>
      </c>
    </row>
    <row r="485" spans="1:7">
      <c r="A485" t="s">
        <v>368</v>
      </c>
      <c r="B485">
        <v>948</v>
      </c>
      <c r="D485">
        <v>736</v>
      </c>
      <c r="F485">
        <v>1684</v>
      </c>
    </row>
    <row r="486" spans="1:7">
      <c r="A486" t="s">
        <v>360</v>
      </c>
    </row>
    <row r="487" spans="1:7">
      <c r="A487" t="s">
        <v>881</v>
      </c>
    </row>
    <row r="488" spans="1:7">
      <c r="A488" t="s">
        <v>882</v>
      </c>
    </row>
    <row r="489" spans="1:7">
      <c r="A489" t="s">
        <v>883</v>
      </c>
    </row>
    <row r="490" spans="1:7">
      <c r="A490" t="s">
        <v>884</v>
      </c>
    </row>
    <row r="491" spans="1:7">
      <c r="A491" t="s">
        <v>885</v>
      </c>
    </row>
    <row r="492" spans="1:7">
      <c r="A492" t="s">
        <v>845</v>
      </c>
      <c r="B492">
        <v>2983</v>
      </c>
      <c r="C492">
        <v>3593</v>
      </c>
      <c r="D492">
        <v>3943</v>
      </c>
      <c r="E492">
        <v>711</v>
      </c>
      <c r="F492">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row>
    <row r="498" spans="1:7">
      <c r="A498" t="s">
        <v>543</v>
      </c>
    </row>
    <row r="499" spans="1:7">
      <c r="A499" t="s">
        <v>679</v>
      </c>
      <c r="C499">
        <v>1483</v>
      </c>
      <c r="D499">
        <v>83</v>
      </c>
      <c r="G499">
        <v>1566</v>
      </c>
    </row>
    <row r="500" spans="1:7">
      <c r="A500" t="s">
        <v>699</v>
      </c>
      <c r="B500">
        <v>720</v>
      </c>
      <c r="C500">
        <v>948</v>
      </c>
      <c r="E500">
        <v>1101</v>
      </c>
      <c r="F500">
        <v>437</v>
      </c>
      <c r="G500">
        <v>3206</v>
      </c>
    </row>
    <row r="501" spans="1:7">
      <c r="A501" t="s">
        <v>380</v>
      </c>
      <c r="E501">
        <v>341</v>
      </c>
      <c r="G501">
        <v>341</v>
      </c>
    </row>
    <row r="502" spans="1:7">
      <c r="A502" t="s">
        <v>878</v>
      </c>
    </row>
    <row r="503" spans="1:7">
      <c r="A503" t="s">
        <v>368</v>
      </c>
      <c r="B503">
        <v>1957</v>
      </c>
      <c r="G503">
        <v>1957</v>
      </c>
    </row>
    <row r="504" spans="1:7">
      <c r="A504" t="s">
        <v>360</v>
      </c>
      <c r="B504">
        <v>275</v>
      </c>
      <c r="C504">
        <v>280</v>
      </c>
      <c r="D504">
        <v>310</v>
      </c>
      <c r="G504">
        <v>865</v>
      </c>
    </row>
    <row r="505" spans="1:7">
      <c r="A505" t="s">
        <v>706</v>
      </c>
      <c r="B505">
        <v>800</v>
      </c>
      <c r="C505">
        <v>631</v>
      </c>
      <c r="D505">
        <v>1401</v>
      </c>
      <c r="G505">
        <v>2832</v>
      </c>
    </row>
    <row r="506" spans="1:7">
      <c r="A506" t="s">
        <v>886</v>
      </c>
      <c r="B506">
        <v>6</v>
      </c>
      <c r="G506">
        <v>6</v>
      </c>
    </row>
    <row r="507" spans="1:7">
      <c r="A507" t="s">
        <v>887</v>
      </c>
    </row>
    <row r="508" spans="1:7">
      <c r="A508" t="s">
        <v>888</v>
      </c>
    </row>
    <row r="509" spans="1:7">
      <c r="A509" t="s">
        <v>563</v>
      </c>
      <c r="D509">
        <v>610</v>
      </c>
      <c r="E509">
        <v>2523</v>
      </c>
      <c r="G509">
        <v>3133</v>
      </c>
    </row>
    <row r="510" spans="1:7">
      <c r="A510" t="s">
        <v>889</v>
      </c>
    </row>
    <row r="511" spans="1:7">
      <c r="A511" t="s">
        <v>845</v>
      </c>
      <c r="B511">
        <v>3758</v>
      </c>
      <c r="C511">
        <v>3342</v>
      </c>
      <c r="D511">
        <v>2404</v>
      </c>
      <c r="E511">
        <v>3965</v>
      </c>
      <c r="F511">
        <v>437</v>
      </c>
      <c r="G51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row>
    <row r="517" spans="1:7">
      <c r="A517" t="s">
        <v>699</v>
      </c>
      <c r="B517">
        <v>730</v>
      </c>
      <c r="C517">
        <v>583</v>
      </c>
      <c r="G517">
        <v>1313</v>
      </c>
    </row>
    <row r="518" spans="1:7">
      <c r="A518" t="s">
        <v>574</v>
      </c>
      <c r="B518">
        <v>115</v>
      </c>
      <c r="G518">
        <v>115</v>
      </c>
    </row>
    <row r="519" spans="1:7">
      <c r="A519" t="s">
        <v>514</v>
      </c>
      <c r="D519">
        <v>370</v>
      </c>
      <c r="G519">
        <v>370</v>
      </c>
    </row>
    <row r="520" spans="1:7">
      <c r="A520" t="s">
        <v>360</v>
      </c>
      <c r="B520">
        <v>263</v>
      </c>
      <c r="C520">
        <v>270</v>
      </c>
      <c r="E520">
        <v>395</v>
      </c>
      <c r="G520">
        <v>928</v>
      </c>
    </row>
    <row r="521" spans="1:7">
      <c r="A521" t="s">
        <v>706</v>
      </c>
      <c r="B521">
        <v>1100</v>
      </c>
      <c r="D521">
        <v>1975</v>
      </c>
      <c r="E521">
        <v>1395</v>
      </c>
      <c r="G521">
        <v>4470</v>
      </c>
    </row>
    <row r="522" spans="1:7">
      <c r="A522" t="s">
        <v>563</v>
      </c>
      <c r="C522">
        <v>1293</v>
      </c>
      <c r="G522">
        <v>1293</v>
      </c>
    </row>
    <row r="523" spans="1:7">
      <c r="A523" t="s">
        <v>890</v>
      </c>
      <c r="B523">
        <v>155</v>
      </c>
      <c r="G523">
        <v>155</v>
      </c>
    </row>
    <row r="524" spans="1:7">
      <c r="A524" t="s">
        <v>891</v>
      </c>
    </row>
    <row r="525" spans="1:7">
      <c r="A525" t="s">
        <v>845</v>
      </c>
      <c r="B525">
        <v>2363</v>
      </c>
      <c r="C525">
        <v>2146</v>
      </c>
      <c r="D525">
        <v>2345</v>
      </c>
      <c r="E525">
        <v>1790</v>
      </c>
      <c r="G525">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row>
    <row r="531" spans="1:7">
      <c r="A531" t="s">
        <v>798</v>
      </c>
    </row>
    <row r="532" spans="1:7">
      <c r="A532" t="s">
        <v>786</v>
      </c>
      <c r="B532">
        <v>1394</v>
      </c>
      <c r="C532">
        <v>1756</v>
      </c>
      <c r="D532">
        <v>846</v>
      </c>
      <c r="G532">
        <v>3996</v>
      </c>
    </row>
    <row r="533" spans="1:7">
      <c r="A533" t="s">
        <v>699</v>
      </c>
      <c r="B533">
        <v>465</v>
      </c>
      <c r="C533">
        <v>218</v>
      </c>
      <c r="D533">
        <v>729</v>
      </c>
      <c r="E533">
        <v>464</v>
      </c>
      <c r="G533">
        <v>1876</v>
      </c>
    </row>
    <row r="534" spans="1:7">
      <c r="A534" t="s">
        <v>391</v>
      </c>
      <c r="E534">
        <v>977</v>
      </c>
      <c r="G534">
        <v>977</v>
      </c>
    </row>
    <row r="535" spans="1:7">
      <c r="A535" t="s">
        <v>877</v>
      </c>
      <c r="D535">
        <v>81</v>
      </c>
      <c r="F535">
        <v>114</v>
      </c>
      <c r="G535">
        <v>195</v>
      </c>
    </row>
    <row r="536" spans="1:7">
      <c r="A536" t="s">
        <v>514</v>
      </c>
    </row>
    <row r="537" spans="1:7">
      <c r="A537" t="s">
        <v>368</v>
      </c>
    </row>
    <row r="538" spans="1:7">
      <c r="A538" t="s">
        <v>360</v>
      </c>
      <c r="B538">
        <v>280</v>
      </c>
      <c r="C538">
        <v>70</v>
      </c>
      <c r="D538">
        <v>594</v>
      </c>
      <c r="F538">
        <v>52</v>
      </c>
      <c r="G538">
        <v>996</v>
      </c>
    </row>
    <row r="539" spans="1:7">
      <c r="A539" t="s">
        <v>706</v>
      </c>
      <c r="B539">
        <v>450</v>
      </c>
      <c r="C539">
        <v>1246</v>
      </c>
      <c r="G539">
        <v>1696</v>
      </c>
    </row>
    <row r="540" spans="1:7">
      <c r="A540" t="s">
        <v>703</v>
      </c>
      <c r="C540">
        <v>1465</v>
      </c>
      <c r="D540">
        <v>1380</v>
      </c>
      <c r="G540">
        <v>2845</v>
      </c>
    </row>
    <row r="541" spans="1:7">
      <c r="A541" t="s">
        <v>845</v>
      </c>
      <c r="B541">
        <v>2589</v>
      </c>
      <c r="C541">
        <v>4755</v>
      </c>
      <c r="D541">
        <v>3630</v>
      </c>
      <c r="E541">
        <v>1441</v>
      </c>
      <c r="F541">
        <v>166</v>
      </c>
      <c r="G54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row>
    <row r="547" spans="1:7">
      <c r="A547" t="s">
        <v>786</v>
      </c>
      <c r="C547">
        <v>1946</v>
      </c>
      <c r="G547">
        <v>1946</v>
      </c>
    </row>
    <row r="548" spans="1:7">
      <c r="A548" t="s">
        <v>699</v>
      </c>
      <c r="E548">
        <v>112</v>
      </c>
      <c r="G548">
        <v>112</v>
      </c>
    </row>
    <row r="549" spans="1:7">
      <c r="A549" t="s">
        <v>391</v>
      </c>
      <c r="E549">
        <v>676</v>
      </c>
      <c r="F549">
        <v>430</v>
      </c>
      <c r="G549">
        <v>1106</v>
      </c>
    </row>
    <row r="550" spans="1:7">
      <c r="A550" t="s">
        <v>380</v>
      </c>
      <c r="D550">
        <v>649</v>
      </c>
      <c r="G550">
        <v>649</v>
      </c>
    </row>
    <row r="551" spans="1:7">
      <c r="A551" t="s">
        <v>877</v>
      </c>
      <c r="B551">
        <v>237</v>
      </c>
      <c r="C551">
        <v>322</v>
      </c>
      <c r="D551">
        <v>245</v>
      </c>
      <c r="E551">
        <v>1091</v>
      </c>
      <c r="F551">
        <v>303</v>
      </c>
      <c r="G551">
        <v>2198</v>
      </c>
    </row>
    <row r="552" spans="1:7">
      <c r="A552" t="s">
        <v>360</v>
      </c>
      <c r="B552">
        <v>68</v>
      </c>
      <c r="C552">
        <v>50</v>
      </c>
      <c r="G552">
        <v>118</v>
      </c>
    </row>
    <row r="553" spans="1:7">
      <c r="A553" t="s">
        <v>703</v>
      </c>
      <c r="B553">
        <v>1269</v>
      </c>
      <c r="C553">
        <v>1141</v>
      </c>
      <c r="D553">
        <v>1308</v>
      </c>
      <c r="E553">
        <v>1296</v>
      </c>
      <c r="G553">
        <v>5014</v>
      </c>
    </row>
    <row r="554" spans="1:7">
      <c r="A554" t="s">
        <v>816</v>
      </c>
      <c r="B554">
        <v>65</v>
      </c>
      <c r="G554">
        <v>65</v>
      </c>
    </row>
    <row r="555" spans="1:7">
      <c r="A555" t="s">
        <v>892</v>
      </c>
      <c r="B555">
        <v>924</v>
      </c>
      <c r="G555">
        <v>924</v>
      </c>
    </row>
    <row r="556" spans="1:7">
      <c r="A556" t="s">
        <v>717</v>
      </c>
      <c r="C556">
        <v>1044</v>
      </c>
      <c r="D556">
        <v>1100</v>
      </c>
      <c r="E556">
        <v>1050</v>
      </c>
      <c r="G556">
        <v>3194</v>
      </c>
    </row>
    <row r="557" spans="1:7">
      <c r="A557" t="s">
        <v>756</v>
      </c>
      <c r="D557">
        <v>335</v>
      </c>
      <c r="E557">
        <v>200</v>
      </c>
      <c r="G557">
        <v>535</v>
      </c>
    </row>
    <row r="558" spans="1:7">
      <c r="A558" t="s">
        <v>845</v>
      </c>
      <c r="B558">
        <v>2563</v>
      </c>
      <c r="C558">
        <v>4503</v>
      </c>
      <c r="D558">
        <v>3637</v>
      </c>
      <c r="E558">
        <v>4425</v>
      </c>
      <c r="F558">
        <v>733</v>
      </c>
      <c r="G558">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F563">
        <v>0</v>
      </c>
      <c r="G563">
        <v>0</v>
      </c>
    </row>
    <row r="564" spans="1:7">
      <c r="A564" t="s">
        <v>699</v>
      </c>
      <c r="C564">
        <v>282</v>
      </c>
      <c r="G564">
        <v>282</v>
      </c>
    </row>
    <row r="565" spans="1:7">
      <c r="A565" t="s">
        <v>391</v>
      </c>
      <c r="B565">
        <v>885</v>
      </c>
      <c r="C565">
        <v>478</v>
      </c>
      <c r="D565">
        <v>490</v>
      </c>
      <c r="E565">
        <v>372</v>
      </c>
      <c r="G565">
        <v>2225</v>
      </c>
    </row>
    <row r="566" spans="1:7">
      <c r="A566" t="s">
        <v>75</v>
      </c>
    </row>
    <row r="567" spans="1:7">
      <c r="A567" t="s">
        <v>877</v>
      </c>
      <c r="B567">
        <v>360</v>
      </c>
      <c r="G567">
        <v>360</v>
      </c>
    </row>
    <row r="568" spans="1:7">
      <c r="A568" t="s">
        <v>368</v>
      </c>
    </row>
    <row r="569" spans="1:7">
      <c r="A569" t="s">
        <v>703</v>
      </c>
    </row>
    <row r="570" spans="1:7">
      <c r="A570" t="s">
        <v>892</v>
      </c>
      <c r="B570">
        <v>120</v>
      </c>
      <c r="G570">
        <v>120</v>
      </c>
    </row>
    <row r="571" spans="1:7">
      <c r="A571" t="s">
        <v>756</v>
      </c>
      <c r="C571">
        <v>120</v>
      </c>
      <c r="D571">
        <v>71</v>
      </c>
      <c r="G571">
        <v>191</v>
      </c>
    </row>
    <row r="572" spans="1:7">
      <c r="A572" t="s">
        <v>733</v>
      </c>
      <c r="D572">
        <v>355</v>
      </c>
      <c r="G572">
        <v>355</v>
      </c>
    </row>
    <row r="573" spans="1:7">
      <c r="A573" t="s">
        <v>845</v>
      </c>
      <c r="B573">
        <v>1365</v>
      </c>
      <c r="C573">
        <v>880</v>
      </c>
      <c r="D573">
        <v>916</v>
      </c>
      <c r="E573">
        <v>372</v>
      </c>
      <c r="F573">
        <v>0</v>
      </c>
      <c r="G573">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F578">
        <v>198</v>
      </c>
      <c r="G578">
        <v>198</v>
      </c>
    </row>
    <row r="579" spans="1:7">
      <c r="A579" t="s">
        <v>391</v>
      </c>
    </row>
    <row r="580" spans="1:7">
      <c r="A580" t="s">
        <v>340</v>
      </c>
    </row>
    <row r="581" spans="1:7">
      <c r="A581" t="s">
        <v>872</v>
      </c>
      <c r="E581">
        <v>400</v>
      </c>
      <c r="G581">
        <v>400</v>
      </c>
    </row>
    <row r="582" spans="1:7">
      <c r="A582" t="s">
        <v>733</v>
      </c>
      <c r="B582">
        <v>846</v>
      </c>
      <c r="C582">
        <v>827</v>
      </c>
      <c r="G582">
        <v>1673</v>
      </c>
    </row>
    <row r="583" spans="1:7">
      <c r="A583" t="s">
        <v>779</v>
      </c>
      <c r="C583">
        <v>465</v>
      </c>
      <c r="D583">
        <v>321</v>
      </c>
      <c r="G583">
        <v>786</v>
      </c>
    </row>
    <row r="584" spans="1:7">
      <c r="A584" t="s">
        <v>709</v>
      </c>
      <c r="B584">
        <v>1644</v>
      </c>
      <c r="C584">
        <v>60</v>
      </c>
      <c r="G584">
        <v>1704</v>
      </c>
    </row>
    <row r="585" spans="1:7">
      <c r="A585" t="s">
        <v>845</v>
      </c>
      <c r="B585">
        <v>2490</v>
      </c>
      <c r="C585">
        <v>1352</v>
      </c>
      <c r="D585">
        <v>321</v>
      </c>
      <c r="E585">
        <v>400</v>
      </c>
      <c r="F585">
        <v>198</v>
      </c>
      <c r="G585">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C590">
        <v>403</v>
      </c>
      <c r="D590">
        <v>39</v>
      </c>
      <c r="G590">
        <v>442</v>
      </c>
    </row>
    <row r="591" spans="1:7">
      <c r="A591" t="s">
        <v>395</v>
      </c>
      <c r="B591">
        <v>862</v>
      </c>
      <c r="G591">
        <v>862</v>
      </c>
    </row>
    <row r="592" spans="1:7">
      <c r="A592" t="s">
        <v>872</v>
      </c>
      <c r="C592">
        <v>203</v>
      </c>
      <c r="D592">
        <v>170</v>
      </c>
      <c r="E592">
        <v>106</v>
      </c>
      <c r="G592">
        <v>479</v>
      </c>
    </row>
    <row r="593" spans="1:7">
      <c r="A593" t="s">
        <v>360</v>
      </c>
      <c r="D593">
        <v>280</v>
      </c>
      <c r="E593">
        <v>1972</v>
      </c>
      <c r="G593">
        <v>2252</v>
      </c>
    </row>
    <row r="594" spans="1:7">
      <c r="A594" t="s">
        <v>779</v>
      </c>
    </row>
    <row r="595" spans="1:7">
      <c r="A595" t="s">
        <v>736</v>
      </c>
      <c r="C595">
        <v>1210</v>
      </c>
      <c r="D595">
        <v>397</v>
      </c>
      <c r="G595">
        <v>1607</v>
      </c>
    </row>
    <row r="596" spans="1:7">
      <c r="A596" t="s">
        <v>748</v>
      </c>
      <c r="D596">
        <v>90</v>
      </c>
      <c r="G596">
        <v>90</v>
      </c>
    </row>
    <row r="597" spans="1:7">
      <c r="A597" t="s">
        <v>728</v>
      </c>
      <c r="D597">
        <v>426</v>
      </c>
      <c r="E597">
        <v>583</v>
      </c>
      <c r="G597">
        <v>1009</v>
      </c>
    </row>
    <row r="598" spans="1:7">
      <c r="A598" t="s">
        <v>498</v>
      </c>
      <c r="F598">
        <v>47</v>
      </c>
      <c r="G598">
        <v>47</v>
      </c>
    </row>
    <row r="599" spans="1:7">
      <c r="A599" t="s">
        <v>845</v>
      </c>
      <c r="B599">
        <v>862</v>
      </c>
      <c r="C599">
        <v>1816</v>
      </c>
      <c r="D599">
        <v>1402</v>
      </c>
      <c r="E599">
        <v>2661</v>
      </c>
      <c r="F599">
        <v>47</v>
      </c>
      <c r="G599">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C604">
        <v>318</v>
      </c>
      <c r="G604">
        <v>318</v>
      </c>
    </row>
    <row r="605" spans="1:7">
      <c r="A605" t="s">
        <v>395</v>
      </c>
      <c r="D605">
        <v>461</v>
      </c>
      <c r="E605">
        <v>880</v>
      </c>
      <c r="F605">
        <v>585</v>
      </c>
      <c r="G605">
        <v>1926</v>
      </c>
    </row>
    <row r="606" spans="1:7">
      <c r="A606" t="s">
        <v>340</v>
      </c>
      <c r="E606">
        <v>868</v>
      </c>
      <c r="G606">
        <v>868</v>
      </c>
    </row>
    <row r="607" spans="1:7">
      <c r="A607" t="s">
        <v>872</v>
      </c>
      <c r="D607">
        <v>272</v>
      </c>
      <c r="E607">
        <v>79</v>
      </c>
      <c r="G607">
        <v>351</v>
      </c>
    </row>
    <row r="608" spans="1:7">
      <c r="A608" t="s">
        <v>360</v>
      </c>
      <c r="B608">
        <v>936</v>
      </c>
      <c r="C608">
        <v>1723</v>
      </c>
      <c r="D608">
        <v>130</v>
      </c>
      <c r="E608">
        <v>420</v>
      </c>
      <c r="G608">
        <v>3209</v>
      </c>
    </row>
    <row r="609" spans="1:7">
      <c r="A609" t="s">
        <v>706</v>
      </c>
      <c r="D609">
        <v>853</v>
      </c>
      <c r="E609">
        <v>1279</v>
      </c>
      <c r="G609">
        <v>2132</v>
      </c>
    </row>
    <row r="610" spans="1:7">
      <c r="A610" t="s">
        <v>733</v>
      </c>
    </row>
    <row r="611" spans="1:7">
      <c r="A611" t="s">
        <v>709</v>
      </c>
      <c r="D611">
        <v>579</v>
      </c>
      <c r="E611">
        <v>619</v>
      </c>
      <c r="G611">
        <v>1198</v>
      </c>
    </row>
    <row r="612" spans="1:7">
      <c r="A612" t="s">
        <v>736</v>
      </c>
    </row>
    <row r="613" spans="1:7">
      <c r="A613" t="s">
        <v>728</v>
      </c>
      <c r="B613">
        <v>1843</v>
      </c>
      <c r="C613">
        <v>1714</v>
      </c>
      <c r="D613">
        <v>678</v>
      </c>
      <c r="G613">
        <v>4235</v>
      </c>
    </row>
    <row r="614" spans="1:7">
      <c r="A614" t="s">
        <v>726</v>
      </c>
      <c r="B614">
        <v>1070</v>
      </c>
      <c r="C614">
        <v>1224</v>
      </c>
      <c r="D614">
        <v>235</v>
      </c>
      <c r="G614">
        <v>2529</v>
      </c>
    </row>
    <row r="615" spans="1:7">
      <c r="A615" t="s">
        <v>893</v>
      </c>
      <c r="C615">
        <v>605</v>
      </c>
      <c r="G615">
        <v>605</v>
      </c>
    </row>
    <row r="616" spans="1:7">
      <c r="A616" t="s">
        <v>730</v>
      </c>
      <c r="D616">
        <v>363</v>
      </c>
      <c r="E616">
        <v>1077</v>
      </c>
      <c r="G616">
        <v>1440</v>
      </c>
    </row>
    <row r="617" spans="1:7">
      <c r="A617" t="s">
        <v>776</v>
      </c>
    </row>
    <row r="618" spans="1:7">
      <c r="A618" t="s">
        <v>845</v>
      </c>
      <c r="B618">
        <v>3849</v>
      </c>
      <c r="C618">
        <v>5584</v>
      </c>
      <c r="D618">
        <v>3571</v>
      </c>
      <c r="E618">
        <v>5222</v>
      </c>
      <c r="F618">
        <v>585</v>
      </c>
      <c r="G618">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F623">
        <v>318</v>
      </c>
      <c r="G623">
        <v>318</v>
      </c>
    </row>
    <row r="624" spans="1:7">
      <c r="A624" t="s">
        <v>471</v>
      </c>
      <c r="F624">
        <v>183</v>
      </c>
      <c r="G624">
        <v>183</v>
      </c>
    </row>
    <row r="625" spans="1:7">
      <c r="A625" t="s">
        <v>395</v>
      </c>
      <c r="B625">
        <v>345</v>
      </c>
      <c r="G625">
        <v>345</v>
      </c>
    </row>
    <row r="626" spans="1:7">
      <c r="A626" t="s">
        <v>360</v>
      </c>
      <c r="B626">
        <v>420</v>
      </c>
      <c r="G626">
        <v>420</v>
      </c>
    </row>
    <row r="627" spans="1:7">
      <c r="A627" t="s">
        <v>706</v>
      </c>
      <c r="B627">
        <v>817</v>
      </c>
      <c r="D627">
        <v>1385</v>
      </c>
      <c r="G627">
        <v>2202</v>
      </c>
    </row>
    <row r="628" spans="1:7">
      <c r="A628" t="s">
        <v>709</v>
      </c>
      <c r="B628">
        <v>1181</v>
      </c>
      <c r="C628">
        <v>1933</v>
      </c>
      <c r="D628">
        <v>2853</v>
      </c>
      <c r="E628">
        <v>1587</v>
      </c>
      <c r="G628">
        <v>7554</v>
      </c>
    </row>
    <row r="629" spans="1:7">
      <c r="A629" t="s">
        <v>728</v>
      </c>
    </row>
    <row r="630" spans="1:7">
      <c r="A630" t="s">
        <v>730</v>
      </c>
      <c r="B630">
        <v>1430</v>
      </c>
      <c r="C630">
        <v>1004</v>
      </c>
      <c r="G630">
        <v>2434</v>
      </c>
    </row>
    <row r="631" spans="1:7">
      <c r="A631" t="s">
        <v>776</v>
      </c>
      <c r="C631">
        <v>581</v>
      </c>
      <c r="G631">
        <v>581</v>
      </c>
    </row>
    <row r="632" spans="1:7">
      <c r="A632" t="s">
        <v>335</v>
      </c>
      <c r="D632">
        <v>314</v>
      </c>
      <c r="G632">
        <v>314</v>
      </c>
    </row>
    <row r="633" spans="1:7">
      <c r="A633" t="s">
        <v>400</v>
      </c>
      <c r="E633">
        <v>2390</v>
      </c>
      <c r="F633">
        <v>1377</v>
      </c>
      <c r="G633">
        <v>3767</v>
      </c>
    </row>
    <row r="634" spans="1:7">
      <c r="A634" t="s">
        <v>845</v>
      </c>
      <c r="B634">
        <v>4193</v>
      </c>
      <c r="C634">
        <v>3518</v>
      </c>
      <c r="D634">
        <v>4552</v>
      </c>
      <c r="E634">
        <v>3977</v>
      </c>
      <c r="F634">
        <v>1878</v>
      </c>
      <c r="G634">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row>
    <row r="640" spans="1:7">
      <c r="A640" t="s">
        <v>709</v>
      </c>
    </row>
    <row r="641" spans="1:7">
      <c r="A641" t="s">
        <v>335</v>
      </c>
    </row>
    <row r="642" spans="1:7">
      <c r="A642" t="s">
        <v>400</v>
      </c>
      <c r="C642">
        <v>190</v>
      </c>
      <c r="D642">
        <v>840</v>
      </c>
      <c r="E642">
        <v>531</v>
      </c>
      <c r="F642">
        <v>718</v>
      </c>
      <c r="G642">
        <v>2279</v>
      </c>
    </row>
    <row r="643" spans="1:7">
      <c r="A643" t="s">
        <v>765</v>
      </c>
      <c r="B643">
        <v>918</v>
      </c>
      <c r="G643">
        <v>918</v>
      </c>
    </row>
    <row r="644" spans="1:7">
      <c r="A644" t="s">
        <v>712</v>
      </c>
      <c r="C644">
        <v>2675</v>
      </c>
      <c r="D644">
        <v>1964</v>
      </c>
      <c r="E644">
        <v>377</v>
      </c>
      <c r="G644">
        <v>5016</v>
      </c>
    </row>
    <row r="645" spans="1:7">
      <c r="A645" t="s">
        <v>768</v>
      </c>
      <c r="E645">
        <v>674</v>
      </c>
      <c r="G645">
        <v>674</v>
      </c>
    </row>
    <row r="646" spans="1:7">
      <c r="A646" t="s">
        <v>845</v>
      </c>
      <c r="B646">
        <v>918</v>
      </c>
      <c r="C646">
        <v>2865</v>
      </c>
      <c r="D646">
        <v>2804</v>
      </c>
      <c r="E646">
        <v>1582</v>
      </c>
      <c r="F646">
        <v>718</v>
      </c>
      <c r="G64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C651">
        <v>319</v>
      </c>
      <c r="G651">
        <v>319</v>
      </c>
    </row>
    <row r="652" spans="1:7">
      <c r="A652" t="s">
        <v>872</v>
      </c>
      <c r="B652">
        <v>376</v>
      </c>
      <c r="C652">
        <v>35</v>
      </c>
      <c r="D652">
        <v>48</v>
      </c>
      <c r="E652">
        <v>144</v>
      </c>
      <c r="F652">
        <v>64</v>
      </c>
      <c r="G652">
        <v>667</v>
      </c>
    </row>
    <row r="653" spans="1:7">
      <c r="A653" t="s">
        <v>400</v>
      </c>
      <c r="B653">
        <v>571</v>
      </c>
      <c r="C653">
        <v>1293</v>
      </c>
      <c r="D653">
        <v>540</v>
      </c>
      <c r="E653">
        <v>554</v>
      </c>
      <c r="F653">
        <v>89</v>
      </c>
      <c r="G653">
        <v>3047</v>
      </c>
    </row>
    <row r="654" spans="1:7">
      <c r="A654" t="s">
        <v>765</v>
      </c>
      <c r="B654">
        <v>1175</v>
      </c>
      <c r="C654">
        <v>1154</v>
      </c>
      <c r="D654">
        <v>428</v>
      </c>
      <c r="G654">
        <v>2757</v>
      </c>
    </row>
    <row r="655" spans="1:7">
      <c r="A655" t="s">
        <v>768</v>
      </c>
      <c r="C655">
        <v>111</v>
      </c>
      <c r="D655">
        <v>12</v>
      </c>
      <c r="G655">
        <v>123</v>
      </c>
    </row>
    <row r="656" spans="1:7">
      <c r="A656" t="s">
        <v>773</v>
      </c>
      <c r="B656">
        <v>288</v>
      </c>
      <c r="C656">
        <v>380</v>
      </c>
      <c r="D656">
        <v>229</v>
      </c>
      <c r="E656">
        <v>163</v>
      </c>
      <c r="G656">
        <v>1060</v>
      </c>
    </row>
    <row r="657" spans="1:7">
      <c r="A657" t="s">
        <v>702</v>
      </c>
      <c r="C657">
        <v>406</v>
      </c>
      <c r="D657">
        <v>1031</v>
      </c>
      <c r="G657">
        <v>1437</v>
      </c>
    </row>
    <row r="658" spans="1:7">
      <c r="A658" t="s">
        <v>894</v>
      </c>
    </row>
    <row r="659" spans="1:7">
      <c r="A659" t="s">
        <v>267</v>
      </c>
      <c r="F659">
        <v>391</v>
      </c>
      <c r="G659">
        <v>391</v>
      </c>
    </row>
    <row r="660" spans="1:7">
      <c r="A660" t="s">
        <v>845</v>
      </c>
      <c r="B660">
        <v>2410</v>
      </c>
      <c r="C660">
        <v>3698</v>
      </c>
      <c r="D660">
        <v>2288</v>
      </c>
      <c r="E660">
        <v>861</v>
      </c>
      <c r="F660">
        <v>544</v>
      </c>
      <c r="G660">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D665">
        <v>499</v>
      </c>
      <c r="E665">
        <v>231</v>
      </c>
      <c r="F665">
        <v>316</v>
      </c>
      <c r="G665">
        <v>1046</v>
      </c>
    </row>
    <row r="666" spans="1:7">
      <c r="A666" t="s">
        <v>380</v>
      </c>
    </row>
    <row r="667" spans="1:7">
      <c r="A667" t="s">
        <v>872</v>
      </c>
      <c r="B667">
        <v>141</v>
      </c>
      <c r="D667">
        <v>181</v>
      </c>
      <c r="E667">
        <v>82</v>
      </c>
      <c r="F667">
        <v>96</v>
      </c>
      <c r="G667">
        <v>500</v>
      </c>
    </row>
    <row r="668" spans="1:7">
      <c r="A668" t="s">
        <v>756</v>
      </c>
      <c r="B668">
        <v>343</v>
      </c>
      <c r="C668">
        <v>416</v>
      </c>
      <c r="D668">
        <v>216</v>
      </c>
      <c r="G668">
        <v>975</v>
      </c>
    </row>
    <row r="669" spans="1:7">
      <c r="A669" t="s">
        <v>335</v>
      </c>
      <c r="C669">
        <v>430</v>
      </c>
      <c r="G669">
        <v>430</v>
      </c>
    </row>
    <row r="670" spans="1:7">
      <c r="A670" t="s">
        <v>400</v>
      </c>
      <c r="B670">
        <v>377</v>
      </c>
      <c r="C670">
        <v>408</v>
      </c>
      <c r="D670">
        <v>607</v>
      </c>
      <c r="E670">
        <v>1022</v>
      </c>
      <c r="G670">
        <v>2414</v>
      </c>
    </row>
    <row r="671" spans="1:7">
      <c r="A671" t="s">
        <v>765</v>
      </c>
    </row>
    <row r="672" spans="1:7">
      <c r="A672" t="s">
        <v>768</v>
      </c>
    </row>
    <row r="673" spans="1:7">
      <c r="A673" t="s">
        <v>267</v>
      </c>
      <c r="B673">
        <v>396</v>
      </c>
      <c r="G673">
        <v>396</v>
      </c>
    </row>
    <row r="674" spans="1:7">
      <c r="A674" t="s">
        <v>771</v>
      </c>
      <c r="B674">
        <v>1109</v>
      </c>
      <c r="G674">
        <v>1109</v>
      </c>
    </row>
    <row r="675" spans="1:7">
      <c r="A675" t="s">
        <v>895</v>
      </c>
      <c r="C675">
        <v>205</v>
      </c>
      <c r="G675">
        <v>205</v>
      </c>
    </row>
    <row r="676" spans="1:7">
      <c r="A676" t="s">
        <v>896</v>
      </c>
      <c r="C676">
        <v>1456</v>
      </c>
      <c r="D676">
        <v>1420</v>
      </c>
      <c r="E676">
        <v>1170</v>
      </c>
      <c r="F676">
        <v>1081</v>
      </c>
      <c r="G676">
        <v>5127</v>
      </c>
    </row>
    <row r="677" spans="1:7">
      <c r="A677" t="s">
        <v>720</v>
      </c>
      <c r="C677">
        <v>1460</v>
      </c>
      <c r="D677">
        <v>1428</v>
      </c>
      <c r="E677">
        <v>1654</v>
      </c>
      <c r="G677">
        <v>4542</v>
      </c>
    </row>
    <row r="678" spans="1:7">
      <c r="A678" t="s">
        <v>897</v>
      </c>
      <c r="F678">
        <v>878</v>
      </c>
      <c r="G678">
        <v>878</v>
      </c>
    </row>
    <row r="679" spans="1:7">
      <c r="A679" t="s">
        <v>845</v>
      </c>
      <c r="B679">
        <v>2366</v>
      </c>
      <c r="C679">
        <v>4375</v>
      </c>
      <c r="D679">
        <v>4351</v>
      </c>
      <c r="E679">
        <v>4159</v>
      </c>
      <c r="F679">
        <v>2371</v>
      </c>
      <c r="G679">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D684">
        <v>358</v>
      </c>
      <c r="G684">
        <v>358</v>
      </c>
    </row>
    <row r="685" spans="1:7">
      <c r="A685" t="s">
        <v>395</v>
      </c>
      <c r="D685">
        <v>1241</v>
      </c>
      <c r="G685">
        <v>1241</v>
      </c>
    </row>
    <row r="686" spans="1:7">
      <c r="A686" t="s">
        <v>340</v>
      </c>
      <c r="B686">
        <v>503</v>
      </c>
      <c r="C686">
        <v>295</v>
      </c>
      <c r="F686">
        <v>6</v>
      </c>
      <c r="G686">
        <v>804</v>
      </c>
    </row>
    <row r="687" spans="1:7">
      <c r="A687" t="s">
        <v>380</v>
      </c>
      <c r="C687">
        <v>1009</v>
      </c>
      <c r="G687">
        <v>1009</v>
      </c>
    </row>
    <row r="688" spans="1:7">
      <c r="A688" t="s">
        <v>872</v>
      </c>
      <c r="B688">
        <v>20</v>
      </c>
      <c r="E688">
        <v>250</v>
      </c>
      <c r="F688">
        <v>177</v>
      </c>
      <c r="G688">
        <v>447</v>
      </c>
    </row>
    <row r="689" spans="1:7">
      <c r="A689" t="s">
        <v>400</v>
      </c>
      <c r="B689">
        <v>639</v>
      </c>
      <c r="G689">
        <v>639</v>
      </c>
    </row>
    <row r="690" spans="1:7">
      <c r="A690" t="s">
        <v>267</v>
      </c>
      <c r="D690">
        <v>400</v>
      </c>
      <c r="E690">
        <v>320</v>
      </c>
      <c r="G690">
        <v>720</v>
      </c>
    </row>
    <row r="691" spans="1:7">
      <c r="A691" t="s">
        <v>896</v>
      </c>
      <c r="B691">
        <v>809</v>
      </c>
      <c r="C691">
        <v>533</v>
      </c>
      <c r="G691">
        <v>1342</v>
      </c>
    </row>
    <row r="692" spans="1:7">
      <c r="A692" t="s">
        <v>897</v>
      </c>
      <c r="B692">
        <v>715</v>
      </c>
      <c r="F692">
        <v>1131</v>
      </c>
      <c r="G692">
        <v>1846</v>
      </c>
    </row>
    <row r="693" spans="1:7">
      <c r="A693" t="s">
        <v>760</v>
      </c>
      <c r="D693">
        <v>130</v>
      </c>
      <c r="G693">
        <v>130</v>
      </c>
    </row>
    <row r="694" spans="1:7">
      <c r="A694" t="s">
        <v>723</v>
      </c>
      <c r="B694">
        <v>735</v>
      </c>
      <c r="E694">
        <v>1453</v>
      </c>
      <c r="G694">
        <v>2188</v>
      </c>
    </row>
    <row r="695" spans="1:7">
      <c r="A695" t="s">
        <v>753</v>
      </c>
      <c r="C695">
        <v>260</v>
      </c>
      <c r="E695">
        <v>315</v>
      </c>
      <c r="G695">
        <v>575</v>
      </c>
    </row>
    <row r="696" spans="1:7">
      <c r="A696" t="s">
        <v>898</v>
      </c>
      <c r="C696">
        <v>390</v>
      </c>
      <c r="G696">
        <v>390</v>
      </c>
    </row>
    <row r="697" spans="1:7">
      <c r="A697" t="s">
        <v>745</v>
      </c>
      <c r="C697">
        <v>558</v>
      </c>
      <c r="D697">
        <v>1248</v>
      </c>
      <c r="E697">
        <v>1260</v>
      </c>
      <c r="G697">
        <v>3066</v>
      </c>
    </row>
    <row r="698" spans="1:7">
      <c r="A698" t="s">
        <v>739</v>
      </c>
      <c r="C698">
        <v>1224</v>
      </c>
      <c r="D698">
        <v>967</v>
      </c>
      <c r="G698">
        <v>2191</v>
      </c>
    </row>
    <row r="699" spans="1:7">
      <c r="A699" t="s">
        <v>742</v>
      </c>
      <c r="D699">
        <v>1017</v>
      </c>
      <c r="G699">
        <v>1017</v>
      </c>
    </row>
    <row r="700" spans="1:7">
      <c r="A700" t="s">
        <v>715</v>
      </c>
    </row>
    <row r="701" spans="1:7">
      <c r="A701" t="s">
        <v>845</v>
      </c>
      <c r="B701">
        <v>3421</v>
      </c>
      <c r="C701">
        <v>4269</v>
      </c>
      <c r="D701">
        <v>5361</v>
      </c>
      <c r="E701">
        <v>3598</v>
      </c>
      <c r="F701">
        <v>1314</v>
      </c>
      <c r="G70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row>
    <row r="706" spans="1:7">
      <c r="A706" t="s">
        <v>343</v>
      </c>
      <c r="E706">
        <v>99</v>
      </c>
      <c r="G706">
        <v>99</v>
      </c>
    </row>
    <row r="707" spans="1:7">
      <c r="A707" t="s">
        <v>395</v>
      </c>
    </row>
    <row r="708" spans="1:7">
      <c r="A708" t="s">
        <v>664</v>
      </c>
    </row>
    <row r="709" spans="1:7">
      <c r="A709" t="s">
        <v>340</v>
      </c>
      <c r="C709">
        <v>15</v>
      </c>
      <c r="D709">
        <v>65</v>
      </c>
      <c r="E709">
        <v>6</v>
      </c>
      <c r="G709">
        <v>86</v>
      </c>
    </row>
    <row r="710" spans="1:7">
      <c r="A710" t="s">
        <v>872</v>
      </c>
    </row>
    <row r="711" spans="1:7">
      <c r="A711" t="s">
        <v>877</v>
      </c>
      <c r="F711">
        <v>125</v>
      </c>
      <c r="G711">
        <v>125</v>
      </c>
    </row>
    <row r="712" spans="1:7">
      <c r="A712" t="s">
        <v>726</v>
      </c>
      <c r="D712">
        <v>130</v>
      </c>
      <c r="G712">
        <v>130</v>
      </c>
    </row>
    <row r="713" spans="1:7">
      <c r="A713" t="s">
        <v>720</v>
      </c>
      <c r="F713">
        <v>128</v>
      </c>
      <c r="G713">
        <v>128</v>
      </c>
    </row>
    <row r="714" spans="1:7">
      <c r="A714" t="s">
        <v>723</v>
      </c>
      <c r="D714">
        <v>2472</v>
      </c>
      <c r="G714">
        <v>2472</v>
      </c>
    </row>
    <row r="715" spans="1:7">
      <c r="A715" t="s">
        <v>745</v>
      </c>
      <c r="C715">
        <v>977</v>
      </c>
      <c r="G715">
        <v>977</v>
      </c>
    </row>
    <row r="716" spans="1:7">
      <c r="A716" t="s">
        <v>742</v>
      </c>
      <c r="D716">
        <v>2819</v>
      </c>
      <c r="G716">
        <v>2819</v>
      </c>
    </row>
    <row r="717" spans="1:7">
      <c r="A717" t="s">
        <v>715</v>
      </c>
      <c r="D717">
        <v>1491</v>
      </c>
      <c r="E717">
        <v>1549</v>
      </c>
      <c r="G717">
        <v>3040</v>
      </c>
    </row>
    <row r="718" spans="1:7">
      <c r="A718" t="s">
        <v>899</v>
      </c>
    </row>
    <row r="719" spans="1:7">
      <c r="A719" t="s">
        <v>411</v>
      </c>
      <c r="E719">
        <v>903</v>
      </c>
      <c r="G719">
        <v>903</v>
      </c>
    </row>
    <row r="720" spans="1:7">
      <c r="A720" t="s">
        <v>402</v>
      </c>
      <c r="F720">
        <v>285</v>
      </c>
      <c r="G720">
        <v>285</v>
      </c>
    </row>
    <row r="721" spans="1:7">
      <c r="A721" t="s">
        <v>845</v>
      </c>
      <c r="C721">
        <v>992</v>
      </c>
      <c r="D721">
        <v>6977</v>
      </c>
      <c r="E721">
        <v>2557</v>
      </c>
      <c r="F721">
        <v>538</v>
      </c>
      <c r="G72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E726">
        <v>279</v>
      </c>
      <c r="G726">
        <v>279</v>
      </c>
    </row>
    <row r="727" spans="1:7">
      <c r="A727" t="s">
        <v>877</v>
      </c>
      <c r="D727">
        <v>299</v>
      </c>
      <c r="E727">
        <v>302</v>
      </c>
      <c r="F727">
        <v>209</v>
      </c>
      <c r="G727">
        <v>810</v>
      </c>
    </row>
    <row r="728" spans="1:7">
      <c r="A728" t="s">
        <v>896</v>
      </c>
      <c r="B728">
        <v>2498</v>
      </c>
      <c r="C728">
        <v>1192</v>
      </c>
      <c r="D728">
        <v>1925</v>
      </c>
      <c r="G728">
        <v>5615</v>
      </c>
    </row>
    <row r="729" spans="1:7">
      <c r="A729" t="s">
        <v>897</v>
      </c>
      <c r="E729">
        <v>443</v>
      </c>
      <c r="G729">
        <v>443</v>
      </c>
    </row>
    <row r="730" spans="1:7">
      <c r="A730" t="s">
        <v>715</v>
      </c>
      <c r="B730">
        <v>918</v>
      </c>
      <c r="G730">
        <v>918</v>
      </c>
    </row>
    <row r="731" spans="1:7">
      <c r="A731" t="s">
        <v>411</v>
      </c>
      <c r="B731">
        <v>254</v>
      </c>
      <c r="C731">
        <v>1686</v>
      </c>
      <c r="D731">
        <v>611</v>
      </c>
      <c r="G731">
        <v>2551</v>
      </c>
    </row>
    <row r="732" spans="1:7">
      <c r="A732" t="s">
        <v>402</v>
      </c>
      <c r="E732">
        <v>82</v>
      </c>
      <c r="G732">
        <v>82</v>
      </c>
    </row>
    <row r="733" spans="1:7">
      <c r="A733" t="s">
        <v>782</v>
      </c>
      <c r="C733">
        <v>329</v>
      </c>
      <c r="D733">
        <v>333</v>
      </c>
      <c r="G733">
        <v>662</v>
      </c>
    </row>
    <row r="734" spans="1:7">
      <c r="A734" t="s">
        <v>431</v>
      </c>
      <c r="D734">
        <v>740</v>
      </c>
      <c r="G734">
        <v>740</v>
      </c>
    </row>
    <row r="735" spans="1:7">
      <c r="A735" t="s">
        <v>451</v>
      </c>
      <c r="E735">
        <v>267</v>
      </c>
      <c r="G735">
        <v>267</v>
      </c>
    </row>
    <row r="736" spans="1:7">
      <c r="A736" t="s">
        <v>332</v>
      </c>
      <c r="D736">
        <v>307</v>
      </c>
      <c r="E736">
        <v>920</v>
      </c>
      <c r="F736">
        <v>610</v>
      </c>
      <c r="G736">
        <v>1837</v>
      </c>
    </row>
    <row r="737" spans="1:7">
      <c r="A737" t="s">
        <v>845</v>
      </c>
      <c r="B737">
        <v>3670</v>
      </c>
      <c r="C737">
        <v>3207</v>
      </c>
      <c r="D737">
        <v>4215</v>
      </c>
      <c r="E737">
        <v>2293</v>
      </c>
      <c r="F737">
        <v>819</v>
      </c>
      <c r="G737">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row>
    <row r="743" spans="1:7">
      <c r="A743" t="s">
        <v>395</v>
      </c>
      <c r="D743">
        <v>139</v>
      </c>
      <c r="G743">
        <v>139</v>
      </c>
    </row>
    <row r="744" spans="1:7">
      <c r="A744" t="s">
        <v>340</v>
      </c>
    </row>
    <row r="745" spans="1:7">
      <c r="A745" t="s">
        <v>384</v>
      </c>
      <c r="E745">
        <v>97</v>
      </c>
      <c r="G745">
        <v>97</v>
      </c>
    </row>
    <row r="746" spans="1:7">
      <c r="A746" t="s">
        <v>877</v>
      </c>
      <c r="B746">
        <v>42</v>
      </c>
      <c r="C746">
        <v>219</v>
      </c>
      <c r="F746">
        <v>70</v>
      </c>
      <c r="G746">
        <v>331</v>
      </c>
    </row>
    <row r="747" spans="1:7">
      <c r="A747" t="s">
        <v>896</v>
      </c>
    </row>
    <row r="748" spans="1:7">
      <c r="A748" t="s">
        <v>411</v>
      </c>
      <c r="D748">
        <v>250</v>
      </c>
      <c r="G748">
        <v>250</v>
      </c>
    </row>
    <row r="749" spans="1:7">
      <c r="A749" t="s">
        <v>431</v>
      </c>
      <c r="B749">
        <v>1238</v>
      </c>
      <c r="C749">
        <v>1531</v>
      </c>
      <c r="D749">
        <v>1250</v>
      </c>
      <c r="E749">
        <v>361</v>
      </c>
      <c r="G749">
        <v>4380</v>
      </c>
    </row>
    <row r="750" spans="1:7">
      <c r="A750" t="s">
        <v>451</v>
      </c>
      <c r="B750">
        <v>711</v>
      </c>
      <c r="G750">
        <v>711</v>
      </c>
    </row>
    <row r="751" spans="1:7">
      <c r="A751" t="s">
        <v>900</v>
      </c>
      <c r="D751">
        <v>75</v>
      </c>
      <c r="G751">
        <v>75</v>
      </c>
    </row>
    <row r="752" spans="1:7">
      <c r="A752" t="s">
        <v>414</v>
      </c>
      <c r="C752">
        <v>1808</v>
      </c>
      <c r="E752">
        <v>1204</v>
      </c>
      <c r="G752">
        <v>3012</v>
      </c>
    </row>
    <row r="753" spans="1:7">
      <c r="A753" t="s">
        <v>346</v>
      </c>
      <c r="C753">
        <v>251</v>
      </c>
      <c r="D753">
        <v>253</v>
      </c>
      <c r="E753">
        <v>1076</v>
      </c>
      <c r="G753">
        <v>1580</v>
      </c>
    </row>
    <row r="754" spans="1:7">
      <c r="A754" t="s">
        <v>332</v>
      </c>
      <c r="B754">
        <v>829</v>
      </c>
      <c r="D754">
        <v>863</v>
      </c>
      <c r="E754">
        <v>499</v>
      </c>
      <c r="F754">
        <v>475</v>
      </c>
      <c r="G754">
        <v>2666</v>
      </c>
    </row>
    <row r="755" spans="1:7">
      <c r="A755" t="s">
        <v>429</v>
      </c>
      <c r="E755">
        <v>754</v>
      </c>
      <c r="G755">
        <v>754</v>
      </c>
    </row>
    <row r="756" spans="1:7">
      <c r="A756" t="s">
        <v>417</v>
      </c>
      <c r="E756">
        <v>562</v>
      </c>
      <c r="G756">
        <v>562</v>
      </c>
    </row>
    <row r="757" spans="1:7">
      <c r="A757" t="s">
        <v>845</v>
      </c>
      <c r="B757">
        <v>2820</v>
      </c>
      <c r="C757">
        <v>3809</v>
      </c>
      <c r="D757">
        <v>2830</v>
      </c>
      <c r="E757">
        <v>4553</v>
      </c>
      <c r="F757">
        <v>545</v>
      </c>
      <c r="G757">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row>
    <row r="763" spans="1:7">
      <c r="A763" t="s">
        <v>395</v>
      </c>
      <c r="B763">
        <v>60</v>
      </c>
      <c r="G763">
        <v>60</v>
      </c>
    </row>
    <row r="764" spans="1:7">
      <c r="A764" t="s">
        <v>83</v>
      </c>
      <c r="E764">
        <v>175</v>
      </c>
      <c r="G764">
        <v>175</v>
      </c>
    </row>
    <row r="765" spans="1:7">
      <c r="A765" t="s">
        <v>877</v>
      </c>
      <c r="C765">
        <v>224</v>
      </c>
      <c r="G765">
        <v>224</v>
      </c>
    </row>
    <row r="766" spans="1:7">
      <c r="A766" t="s">
        <v>335</v>
      </c>
      <c r="D766">
        <v>406</v>
      </c>
      <c r="G766">
        <v>406</v>
      </c>
    </row>
    <row r="767" spans="1:7">
      <c r="A767" t="s">
        <v>267</v>
      </c>
      <c r="D767">
        <v>362</v>
      </c>
      <c r="E767">
        <v>399</v>
      </c>
      <c r="G767">
        <v>761</v>
      </c>
    </row>
    <row r="768" spans="1:7">
      <c r="A768" t="s">
        <v>431</v>
      </c>
    </row>
    <row r="769" spans="1:7">
      <c r="A769" t="s">
        <v>414</v>
      </c>
    </row>
    <row r="770" spans="1:7">
      <c r="A770" t="s">
        <v>346</v>
      </c>
      <c r="C770">
        <v>120</v>
      </c>
      <c r="D770">
        <v>190</v>
      </c>
      <c r="G770">
        <v>310</v>
      </c>
    </row>
    <row r="771" spans="1:7">
      <c r="A771" t="s">
        <v>332</v>
      </c>
      <c r="B771">
        <v>839</v>
      </c>
      <c r="D771">
        <v>616</v>
      </c>
      <c r="E771">
        <v>969</v>
      </c>
      <c r="F771">
        <v>552</v>
      </c>
      <c r="G771">
        <v>2976</v>
      </c>
    </row>
    <row r="772" spans="1:7">
      <c r="A772" t="s">
        <v>429</v>
      </c>
      <c r="B772">
        <v>1285</v>
      </c>
      <c r="G772">
        <v>1285</v>
      </c>
    </row>
    <row r="773" spans="1:7">
      <c r="A773" t="s">
        <v>417</v>
      </c>
      <c r="B773">
        <v>978</v>
      </c>
      <c r="C773">
        <v>675</v>
      </c>
      <c r="D773">
        <v>170</v>
      </c>
      <c r="G773">
        <v>1823</v>
      </c>
    </row>
    <row r="774" spans="1:7">
      <c r="A774" t="s">
        <v>80</v>
      </c>
      <c r="B774">
        <v>153</v>
      </c>
      <c r="D774">
        <v>260</v>
      </c>
      <c r="G774">
        <v>413</v>
      </c>
    </row>
    <row r="775" spans="1:7">
      <c r="A775" t="s">
        <v>901</v>
      </c>
      <c r="B775">
        <v>329</v>
      </c>
      <c r="C775">
        <v>427</v>
      </c>
      <c r="D775">
        <v>537</v>
      </c>
      <c r="E775">
        <v>646</v>
      </c>
      <c r="F775">
        <v>793</v>
      </c>
      <c r="G775">
        <v>2732</v>
      </c>
    </row>
    <row r="776" spans="1:7">
      <c r="A776" t="s">
        <v>447</v>
      </c>
      <c r="B776">
        <v>335</v>
      </c>
      <c r="G776">
        <v>335</v>
      </c>
    </row>
    <row r="777" spans="1:7">
      <c r="A777" t="s">
        <v>902</v>
      </c>
      <c r="B777">
        <v>415</v>
      </c>
      <c r="C777">
        <v>291</v>
      </c>
      <c r="F777">
        <v>755</v>
      </c>
      <c r="G777">
        <v>1461</v>
      </c>
    </row>
    <row r="778" spans="1:7">
      <c r="A778" t="s">
        <v>423</v>
      </c>
      <c r="C778">
        <v>1231</v>
      </c>
      <c r="D778">
        <v>1538</v>
      </c>
      <c r="E778">
        <v>1377</v>
      </c>
      <c r="G778">
        <v>4146</v>
      </c>
    </row>
    <row r="779" spans="1:7">
      <c r="A779" t="s">
        <v>426</v>
      </c>
      <c r="D779">
        <v>1205</v>
      </c>
      <c r="E779">
        <v>1000</v>
      </c>
      <c r="G779">
        <v>2205</v>
      </c>
    </row>
    <row r="780" spans="1:7">
      <c r="A780" t="s">
        <v>406</v>
      </c>
      <c r="D780">
        <v>240</v>
      </c>
      <c r="E780">
        <v>504</v>
      </c>
      <c r="G780">
        <v>744</v>
      </c>
    </row>
    <row r="781" spans="1:7">
      <c r="A781" t="s">
        <v>903</v>
      </c>
      <c r="F781">
        <v>4135</v>
      </c>
      <c r="G781">
        <v>4135</v>
      </c>
    </row>
    <row r="782" spans="1:7">
      <c r="A782" t="s">
        <v>349</v>
      </c>
      <c r="F782">
        <v>551</v>
      </c>
      <c r="G782">
        <v>551</v>
      </c>
    </row>
    <row r="783" spans="1:7">
      <c r="A783" t="s">
        <v>904</v>
      </c>
    </row>
    <row r="784" spans="1:7">
      <c r="A784" t="s">
        <v>845</v>
      </c>
      <c r="B784">
        <v>4394</v>
      </c>
      <c r="C784">
        <v>2968</v>
      </c>
      <c r="D784">
        <v>5524</v>
      </c>
      <c r="E784">
        <v>5070</v>
      </c>
      <c r="F784">
        <v>6786</v>
      </c>
      <c r="G784">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row>
    <row r="790" spans="1:7">
      <c r="A790" t="s">
        <v>83</v>
      </c>
      <c r="B790">
        <v>229</v>
      </c>
      <c r="G790">
        <v>229</v>
      </c>
    </row>
    <row r="791" spans="1:7">
      <c r="A791" t="s">
        <v>384</v>
      </c>
      <c r="C791">
        <v>134</v>
      </c>
      <c r="E791">
        <v>450</v>
      </c>
      <c r="F791">
        <v>352</v>
      </c>
      <c r="G791">
        <v>936</v>
      </c>
    </row>
    <row r="792" spans="1:7">
      <c r="A792" t="s">
        <v>877</v>
      </c>
      <c r="D792">
        <v>201</v>
      </c>
      <c r="F792">
        <v>352</v>
      </c>
      <c r="G792">
        <v>553</v>
      </c>
    </row>
    <row r="793" spans="1:7">
      <c r="A793" t="s">
        <v>335</v>
      </c>
      <c r="C793">
        <v>665</v>
      </c>
      <c r="D793">
        <v>753</v>
      </c>
      <c r="E793">
        <v>305</v>
      </c>
      <c r="G793">
        <v>1723</v>
      </c>
    </row>
    <row r="794" spans="1:7">
      <c r="A794" t="s">
        <v>346</v>
      </c>
      <c r="B794">
        <v>479</v>
      </c>
      <c r="E794">
        <v>170</v>
      </c>
      <c r="G794">
        <v>649</v>
      </c>
    </row>
    <row r="795" spans="1:7">
      <c r="A795" t="s">
        <v>332</v>
      </c>
      <c r="B795">
        <v>1375</v>
      </c>
      <c r="C795">
        <v>1016</v>
      </c>
      <c r="D795">
        <v>312</v>
      </c>
      <c r="E795">
        <v>1304</v>
      </c>
      <c r="F795">
        <v>617</v>
      </c>
      <c r="G795">
        <v>4624</v>
      </c>
    </row>
    <row r="796" spans="1:7">
      <c r="A796" t="s">
        <v>429</v>
      </c>
    </row>
    <row r="797" spans="1:7">
      <c r="A797" t="s">
        <v>902</v>
      </c>
      <c r="B797">
        <v>1418</v>
      </c>
      <c r="C797">
        <v>701</v>
      </c>
      <c r="E797">
        <v>614</v>
      </c>
      <c r="F797">
        <v>486</v>
      </c>
      <c r="G797">
        <v>3219</v>
      </c>
    </row>
    <row r="798" spans="1:7">
      <c r="A798" t="s">
        <v>423</v>
      </c>
      <c r="B798">
        <v>600</v>
      </c>
      <c r="G798">
        <v>600</v>
      </c>
    </row>
    <row r="799" spans="1:7">
      <c r="A799" t="s">
        <v>426</v>
      </c>
      <c r="B799">
        <v>1002</v>
      </c>
      <c r="C799">
        <v>268</v>
      </c>
      <c r="G799">
        <v>1270</v>
      </c>
    </row>
    <row r="800" spans="1:7">
      <c r="A800" t="s">
        <v>406</v>
      </c>
      <c r="B800">
        <v>80</v>
      </c>
      <c r="G800">
        <v>80</v>
      </c>
    </row>
    <row r="801" spans="1:7">
      <c r="A801" t="s">
        <v>903</v>
      </c>
      <c r="B801">
        <v>2251</v>
      </c>
      <c r="C801">
        <v>2014</v>
      </c>
      <c r="D801">
        <v>1868</v>
      </c>
      <c r="E801">
        <v>2157</v>
      </c>
      <c r="F801">
        <v>2953</v>
      </c>
      <c r="G801">
        <v>11243</v>
      </c>
    </row>
    <row r="802" spans="1:7">
      <c r="A802" t="s">
        <v>349</v>
      </c>
      <c r="B802">
        <v>454</v>
      </c>
      <c r="C802">
        <v>251</v>
      </c>
      <c r="D802">
        <v>224</v>
      </c>
      <c r="E802">
        <v>789</v>
      </c>
      <c r="G802">
        <v>1718</v>
      </c>
    </row>
    <row r="803" spans="1:7">
      <c r="A803" t="s">
        <v>487</v>
      </c>
      <c r="C803">
        <v>1253</v>
      </c>
      <c r="D803">
        <v>1351</v>
      </c>
      <c r="E803">
        <v>443</v>
      </c>
      <c r="G803">
        <v>3047</v>
      </c>
    </row>
    <row r="804" spans="1:7">
      <c r="A804" t="s">
        <v>420</v>
      </c>
      <c r="C804">
        <v>1850</v>
      </c>
      <c r="D804">
        <v>1276</v>
      </c>
      <c r="E804">
        <v>1479</v>
      </c>
      <c r="G804">
        <v>4605</v>
      </c>
    </row>
    <row r="805" spans="1:7">
      <c r="A805" t="s">
        <v>439</v>
      </c>
      <c r="D805">
        <v>1118</v>
      </c>
      <c r="E805">
        <v>1472</v>
      </c>
      <c r="G805">
        <v>2590</v>
      </c>
    </row>
    <row r="806" spans="1:7">
      <c r="A806" t="s">
        <v>433</v>
      </c>
      <c r="E806">
        <v>1393</v>
      </c>
      <c r="G806">
        <v>1393</v>
      </c>
    </row>
    <row r="807" spans="1:7">
      <c r="A807" t="s">
        <v>845</v>
      </c>
      <c r="B807">
        <v>7888</v>
      </c>
      <c r="C807">
        <v>8152</v>
      </c>
      <c r="D807">
        <v>7103</v>
      </c>
      <c r="E807">
        <v>10576</v>
      </c>
      <c r="F807">
        <v>4760</v>
      </c>
      <c r="G807">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E813">
        <v>270</v>
      </c>
      <c r="F813">
        <v>268</v>
      </c>
      <c r="G813">
        <v>538</v>
      </c>
    </row>
    <row r="814" spans="1:7">
      <c r="A814" t="s">
        <v>871</v>
      </c>
      <c r="D814">
        <v>126</v>
      </c>
      <c r="E814">
        <v>229</v>
      </c>
      <c r="G814">
        <v>355</v>
      </c>
    </row>
    <row r="815" spans="1:7">
      <c r="A815" t="s">
        <v>384</v>
      </c>
      <c r="B815">
        <v>175</v>
      </c>
      <c r="C815">
        <v>270</v>
      </c>
      <c r="G815">
        <v>445</v>
      </c>
    </row>
    <row r="816" spans="1:7">
      <c r="A816" t="s">
        <v>877</v>
      </c>
      <c r="B816">
        <v>65</v>
      </c>
      <c r="C816">
        <v>55</v>
      </c>
      <c r="G816">
        <v>120</v>
      </c>
    </row>
    <row r="817" spans="1:7">
      <c r="A817" t="s">
        <v>335</v>
      </c>
    </row>
    <row r="818" spans="1:7">
      <c r="A818" t="s">
        <v>346</v>
      </c>
      <c r="E818">
        <v>725</v>
      </c>
      <c r="G818">
        <v>725</v>
      </c>
    </row>
    <row r="819" spans="1:7">
      <c r="A819" t="s">
        <v>332</v>
      </c>
      <c r="B819">
        <v>768</v>
      </c>
      <c r="C819">
        <v>1014</v>
      </c>
      <c r="G819">
        <v>1782</v>
      </c>
    </row>
    <row r="820" spans="1:7">
      <c r="A820" t="s">
        <v>902</v>
      </c>
      <c r="B820">
        <v>225</v>
      </c>
      <c r="C820">
        <v>1287</v>
      </c>
      <c r="D820">
        <v>1185</v>
      </c>
      <c r="E820">
        <v>508</v>
      </c>
      <c r="G820">
        <v>3205</v>
      </c>
    </row>
    <row r="821" spans="1:7">
      <c r="A821" t="s">
        <v>426</v>
      </c>
      <c r="D821">
        <v>334</v>
      </c>
      <c r="G821">
        <v>334</v>
      </c>
    </row>
    <row r="822" spans="1:7">
      <c r="A822" t="s">
        <v>903</v>
      </c>
      <c r="C822">
        <v>216</v>
      </c>
      <c r="G822">
        <v>216</v>
      </c>
    </row>
    <row r="823" spans="1:7">
      <c r="A823" t="s">
        <v>349</v>
      </c>
      <c r="B823">
        <v>1088</v>
      </c>
      <c r="C823">
        <v>557</v>
      </c>
      <c r="D823">
        <v>512</v>
      </c>
      <c r="E823">
        <v>369</v>
      </c>
      <c r="G823">
        <v>2526</v>
      </c>
    </row>
    <row r="824" spans="1:7">
      <c r="A824" t="s">
        <v>487</v>
      </c>
      <c r="B824">
        <v>192</v>
      </c>
      <c r="G824">
        <v>192</v>
      </c>
    </row>
    <row r="825" spans="1:7">
      <c r="A825" t="s">
        <v>439</v>
      </c>
      <c r="B825">
        <v>1174</v>
      </c>
      <c r="C825">
        <v>1597</v>
      </c>
      <c r="D825">
        <v>308</v>
      </c>
      <c r="G825">
        <v>3079</v>
      </c>
    </row>
    <row r="826" spans="1:7">
      <c r="A826" t="s">
        <v>433</v>
      </c>
      <c r="B826">
        <v>1545</v>
      </c>
      <c r="C826">
        <v>995</v>
      </c>
      <c r="G826">
        <v>2540</v>
      </c>
    </row>
    <row r="827" spans="1:7">
      <c r="A827" t="s">
        <v>408</v>
      </c>
      <c r="D827">
        <v>333</v>
      </c>
      <c r="G827">
        <v>333</v>
      </c>
    </row>
    <row r="828" spans="1:7">
      <c r="A828" t="s">
        <v>905</v>
      </c>
      <c r="D828">
        <v>160</v>
      </c>
      <c r="G828">
        <v>160</v>
      </c>
    </row>
    <row r="829" spans="1:7">
      <c r="A829" t="s">
        <v>163</v>
      </c>
      <c r="D829">
        <v>1282</v>
      </c>
      <c r="E829">
        <v>980</v>
      </c>
      <c r="G829">
        <v>2262</v>
      </c>
    </row>
    <row r="830" spans="1:7">
      <c r="A830" t="s">
        <v>327</v>
      </c>
    </row>
    <row r="831" spans="1:7">
      <c r="A831" t="s">
        <v>845</v>
      </c>
      <c r="B831">
        <v>5232</v>
      </c>
      <c r="C831">
        <v>5991</v>
      </c>
      <c r="D831">
        <v>4240</v>
      </c>
      <c r="E831">
        <v>3081</v>
      </c>
      <c r="F831">
        <v>268</v>
      </c>
      <c r="G83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C836">
        <v>163</v>
      </c>
      <c r="D836">
        <v>535</v>
      </c>
      <c r="E836">
        <v>570</v>
      </c>
      <c r="G836">
        <v>1268</v>
      </c>
    </row>
    <row r="837" spans="1:7">
      <c r="A837" t="s">
        <v>877</v>
      </c>
    </row>
    <row r="838" spans="1:7">
      <c r="A838" t="s">
        <v>267</v>
      </c>
      <c r="E838">
        <v>170</v>
      </c>
      <c r="G838">
        <v>170</v>
      </c>
    </row>
    <row r="839" spans="1:7">
      <c r="A839" t="s">
        <v>332</v>
      </c>
      <c r="D839">
        <v>986</v>
      </c>
      <c r="G839">
        <v>986</v>
      </c>
    </row>
    <row r="840" spans="1:7">
      <c r="A840" t="s">
        <v>902</v>
      </c>
      <c r="B840">
        <v>916</v>
      </c>
      <c r="C840">
        <v>144</v>
      </c>
      <c r="G840">
        <v>1060</v>
      </c>
    </row>
    <row r="841" spans="1:7">
      <c r="A841" t="s">
        <v>439</v>
      </c>
    </row>
    <row r="842" spans="1:7">
      <c r="A842" t="s">
        <v>433</v>
      </c>
    </row>
    <row r="843" spans="1:7">
      <c r="A843" t="s">
        <v>163</v>
      </c>
      <c r="B843">
        <v>828</v>
      </c>
      <c r="C843">
        <v>150</v>
      </c>
      <c r="E843">
        <v>688</v>
      </c>
      <c r="G843">
        <v>1666</v>
      </c>
    </row>
    <row r="844" spans="1:7">
      <c r="A844" t="s">
        <v>906</v>
      </c>
      <c r="B844">
        <v>233</v>
      </c>
      <c r="G844">
        <v>233</v>
      </c>
    </row>
    <row r="845" spans="1:7">
      <c r="A845" t="s">
        <v>443</v>
      </c>
      <c r="B845">
        <v>1768</v>
      </c>
      <c r="C845">
        <v>510</v>
      </c>
      <c r="G845">
        <v>2278</v>
      </c>
    </row>
    <row r="846" spans="1:7">
      <c r="A846" t="s">
        <v>389</v>
      </c>
      <c r="B846">
        <v>220</v>
      </c>
      <c r="C846">
        <v>435</v>
      </c>
      <c r="D846">
        <v>227</v>
      </c>
      <c r="E846">
        <v>487</v>
      </c>
      <c r="F846">
        <v>123</v>
      </c>
      <c r="G846">
        <v>1492</v>
      </c>
    </row>
    <row r="847" spans="1:7">
      <c r="A847" t="s">
        <v>337</v>
      </c>
      <c r="B847">
        <v>60</v>
      </c>
      <c r="C847">
        <v>219</v>
      </c>
      <c r="G847">
        <v>279</v>
      </c>
    </row>
    <row r="848" spans="1:7">
      <c r="A848" t="s">
        <v>449</v>
      </c>
      <c r="D848">
        <v>240</v>
      </c>
      <c r="G848">
        <v>240</v>
      </c>
    </row>
    <row r="849" spans="1:7">
      <c r="A849" t="s">
        <v>907</v>
      </c>
      <c r="C849">
        <v>1603</v>
      </c>
      <c r="D849">
        <v>791</v>
      </c>
      <c r="E849">
        <v>2803</v>
      </c>
      <c r="G849">
        <v>5197</v>
      </c>
    </row>
    <row r="850" spans="1:7">
      <c r="A850" t="s">
        <v>351</v>
      </c>
      <c r="C850">
        <v>927</v>
      </c>
      <c r="D850">
        <v>1221</v>
      </c>
      <c r="E850">
        <v>1023</v>
      </c>
      <c r="G850">
        <v>3171</v>
      </c>
    </row>
    <row r="851" spans="1:7">
      <c r="A851" t="s">
        <v>445</v>
      </c>
      <c r="C851">
        <v>974</v>
      </c>
      <c r="D851">
        <v>1312</v>
      </c>
      <c r="E851">
        <v>359</v>
      </c>
      <c r="G851">
        <v>2645</v>
      </c>
    </row>
    <row r="852" spans="1:7">
      <c r="A852" t="s">
        <v>435</v>
      </c>
      <c r="D852">
        <v>1239</v>
      </c>
      <c r="E852">
        <v>1220</v>
      </c>
      <c r="G852">
        <v>2459</v>
      </c>
    </row>
    <row r="853" spans="1:7">
      <c r="A853" t="s">
        <v>354</v>
      </c>
      <c r="D853">
        <v>1457</v>
      </c>
      <c r="E853">
        <v>1142</v>
      </c>
      <c r="F853">
        <v>945</v>
      </c>
      <c r="G853">
        <v>3544</v>
      </c>
    </row>
    <row r="854" spans="1:7">
      <c r="A854" t="s">
        <v>845</v>
      </c>
      <c r="B854">
        <v>4025</v>
      </c>
      <c r="C854">
        <v>5125</v>
      </c>
      <c r="D854">
        <v>8008</v>
      </c>
      <c r="E854">
        <v>8462</v>
      </c>
      <c r="F854">
        <v>1068</v>
      </c>
      <c r="G854">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v>92</v>
      </c>
      <c r="E859">
        <v>209</v>
      </c>
      <c r="F859">
        <v>434</v>
      </c>
      <c r="G859">
        <v>735</v>
      </c>
    </row>
    <row r="860" spans="1:7">
      <c r="A860" t="s">
        <v>384</v>
      </c>
      <c r="B860">
        <v>153</v>
      </c>
      <c r="C860">
        <v>244</v>
      </c>
      <c r="E860">
        <v>237</v>
      </c>
      <c r="G860">
        <v>634</v>
      </c>
    </row>
    <row r="861" spans="1:7">
      <c r="A861" t="s">
        <v>877</v>
      </c>
      <c r="B861">
        <v>455</v>
      </c>
      <c r="G861">
        <v>455</v>
      </c>
    </row>
    <row r="862" spans="1:7">
      <c r="A862" t="s">
        <v>335</v>
      </c>
      <c r="B862">
        <v>151</v>
      </c>
      <c r="C862">
        <v>149</v>
      </c>
      <c r="G862">
        <v>300</v>
      </c>
    </row>
    <row r="863" spans="1:7">
      <c r="A863" t="s">
        <v>80</v>
      </c>
      <c r="D863">
        <v>168</v>
      </c>
      <c r="F863">
        <v>34</v>
      </c>
      <c r="G863">
        <v>202</v>
      </c>
    </row>
    <row r="864" spans="1:7">
      <c r="A864" t="s">
        <v>408</v>
      </c>
    </row>
    <row r="865" spans="1:7">
      <c r="A865" t="s">
        <v>389</v>
      </c>
      <c r="C865">
        <v>413</v>
      </c>
      <c r="D865">
        <v>190</v>
      </c>
      <c r="E865">
        <v>1194</v>
      </c>
      <c r="F865">
        <v>306</v>
      </c>
      <c r="G865">
        <v>2103</v>
      </c>
    </row>
    <row r="866" spans="1:7">
      <c r="A866" t="s">
        <v>907</v>
      </c>
      <c r="B866">
        <v>3343</v>
      </c>
      <c r="C866">
        <v>714</v>
      </c>
      <c r="D866">
        <v>2013</v>
      </c>
      <c r="E866">
        <v>1500</v>
      </c>
      <c r="F866">
        <v>1933</v>
      </c>
      <c r="G866">
        <v>9503</v>
      </c>
    </row>
    <row r="867" spans="1:7">
      <c r="A867" t="s">
        <v>351</v>
      </c>
      <c r="B867">
        <v>1100</v>
      </c>
      <c r="C867">
        <v>527</v>
      </c>
      <c r="D867">
        <v>553</v>
      </c>
      <c r="G867">
        <v>2180</v>
      </c>
    </row>
    <row r="868" spans="1:7">
      <c r="A868" t="s">
        <v>445</v>
      </c>
      <c r="C868">
        <v>230</v>
      </c>
      <c r="G868">
        <v>230</v>
      </c>
    </row>
    <row r="869" spans="1:7">
      <c r="A869" t="s">
        <v>435</v>
      </c>
      <c r="B869">
        <v>853</v>
      </c>
      <c r="G869">
        <v>853</v>
      </c>
    </row>
    <row r="870" spans="1:7">
      <c r="A870" t="s">
        <v>354</v>
      </c>
      <c r="B870">
        <v>1186</v>
      </c>
      <c r="C870">
        <v>1564</v>
      </c>
      <c r="D870">
        <v>1012</v>
      </c>
      <c r="E870">
        <v>588</v>
      </c>
      <c r="G870">
        <v>4350</v>
      </c>
    </row>
    <row r="871" spans="1:7">
      <c r="A871" t="s">
        <v>441</v>
      </c>
      <c r="C871">
        <v>1007</v>
      </c>
      <c r="D871">
        <v>1672</v>
      </c>
      <c r="E871">
        <v>1544</v>
      </c>
      <c r="G871">
        <v>4223</v>
      </c>
    </row>
    <row r="872" spans="1:7">
      <c r="A872" t="s">
        <v>145</v>
      </c>
      <c r="C872">
        <v>1182</v>
      </c>
      <c r="D872">
        <v>1604</v>
      </c>
      <c r="E872">
        <v>1268</v>
      </c>
      <c r="G872">
        <v>4054</v>
      </c>
    </row>
    <row r="873" spans="1:7">
      <c r="A873" t="s">
        <v>356</v>
      </c>
      <c r="D873">
        <v>1624</v>
      </c>
      <c r="E873">
        <v>551</v>
      </c>
      <c r="G873">
        <v>2175</v>
      </c>
    </row>
    <row r="874" spans="1:7">
      <c r="A874" t="s">
        <v>352</v>
      </c>
      <c r="F874">
        <v>408</v>
      </c>
      <c r="G874">
        <v>408</v>
      </c>
    </row>
    <row r="875" spans="1:7">
      <c r="A875" t="s">
        <v>845</v>
      </c>
      <c r="B875">
        <v>7333</v>
      </c>
      <c r="C875">
        <v>6030</v>
      </c>
      <c r="D875">
        <v>8836</v>
      </c>
      <c r="E875">
        <v>7091</v>
      </c>
      <c r="F875">
        <v>3115</v>
      </c>
      <c r="G875">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D880">
        <v>171</v>
      </c>
      <c r="G880">
        <v>171</v>
      </c>
    </row>
    <row r="881" spans="1:7">
      <c r="A881" t="s">
        <v>871</v>
      </c>
      <c r="B881">
        <v>567</v>
      </c>
      <c r="G881">
        <v>567</v>
      </c>
    </row>
    <row r="882" spans="1:7">
      <c r="A882" t="s">
        <v>335</v>
      </c>
    </row>
    <row r="883" spans="1:7">
      <c r="A883" t="s">
        <v>400</v>
      </c>
      <c r="F883">
        <v>60</v>
      </c>
      <c r="G883">
        <v>60</v>
      </c>
    </row>
    <row r="884" spans="1:7">
      <c r="A884" t="s">
        <v>267</v>
      </c>
    </row>
    <row r="885" spans="1:7">
      <c r="A885" t="s">
        <v>332</v>
      </c>
    </row>
    <row r="886" spans="1:7">
      <c r="A886" t="s">
        <v>80</v>
      </c>
      <c r="B886">
        <v>188</v>
      </c>
      <c r="C886">
        <v>140</v>
      </c>
      <c r="G886">
        <v>328</v>
      </c>
    </row>
    <row r="887" spans="1:7">
      <c r="A887" t="s">
        <v>408</v>
      </c>
      <c r="B887">
        <v>270</v>
      </c>
      <c r="C887">
        <v>60</v>
      </c>
      <c r="G887">
        <v>330</v>
      </c>
    </row>
    <row r="888" spans="1:7">
      <c r="A888" t="s">
        <v>443</v>
      </c>
    </row>
    <row r="889" spans="1:7">
      <c r="A889" t="s">
        <v>389</v>
      </c>
      <c r="B889">
        <v>203</v>
      </c>
      <c r="C889">
        <v>996</v>
      </c>
      <c r="D889">
        <v>1147</v>
      </c>
      <c r="E889">
        <v>1053</v>
      </c>
      <c r="F889">
        <v>955</v>
      </c>
      <c r="G889">
        <v>4354</v>
      </c>
    </row>
    <row r="890" spans="1:7">
      <c r="A890" t="s">
        <v>907</v>
      </c>
      <c r="B890">
        <v>820</v>
      </c>
      <c r="C890">
        <v>2077</v>
      </c>
      <c r="D890">
        <v>1096</v>
      </c>
      <c r="G890">
        <v>3993</v>
      </c>
    </row>
    <row r="891" spans="1:7">
      <c r="A891" t="s">
        <v>351</v>
      </c>
      <c r="C891">
        <v>1647</v>
      </c>
      <c r="D891">
        <v>343</v>
      </c>
      <c r="G891">
        <v>1990</v>
      </c>
    </row>
    <row r="892" spans="1:7">
      <c r="A892" t="s">
        <v>441</v>
      </c>
      <c r="B892">
        <v>587</v>
      </c>
      <c r="C892">
        <v>115</v>
      </c>
      <c r="G892">
        <v>702</v>
      </c>
    </row>
    <row r="893" spans="1:7">
      <c r="A893" t="s">
        <v>364</v>
      </c>
      <c r="C893">
        <v>1509</v>
      </c>
      <c r="D893">
        <v>1087</v>
      </c>
      <c r="E893">
        <v>777</v>
      </c>
      <c r="G893">
        <v>3373</v>
      </c>
    </row>
    <row r="894" spans="1:7">
      <c r="A894" t="s">
        <v>145</v>
      </c>
      <c r="B894">
        <v>1310</v>
      </c>
      <c r="G894">
        <v>1310</v>
      </c>
    </row>
    <row r="895" spans="1:7">
      <c r="A895" t="s">
        <v>356</v>
      </c>
      <c r="F895">
        <v>168</v>
      </c>
      <c r="G895">
        <v>168</v>
      </c>
    </row>
    <row r="896" spans="1:7">
      <c r="A896" t="s">
        <v>352</v>
      </c>
      <c r="B896">
        <v>1323</v>
      </c>
      <c r="C896">
        <v>1516</v>
      </c>
      <c r="D896">
        <v>790</v>
      </c>
      <c r="E896">
        <v>930</v>
      </c>
      <c r="F896">
        <v>408</v>
      </c>
      <c r="G896">
        <v>4967</v>
      </c>
    </row>
    <row r="897" spans="1:7">
      <c r="A897" t="s">
        <v>908</v>
      </c>
      <c r="B897">
        <v>1224</v>
      </c>
      <c r="C897">
        <v>988</v>
      </c>
      <c r="D897">
        <v>2316</v>
      </c>
      <c r="E897">
        <v>2066</v>
      </c>
      <c r="G897">
        <v>6594</v>
      </c>
    </row>
    <row r="898" spans="1:7">
      <c r="A898" t="s">
        <v>437</v>
      </c>
      <c r="C898">
        <v>1678</v>
      </c>
      <c r="E898">
        <v>394</v>
      </c>
      <c r="G898">
        <v>2072</v>
      </c>
    </row>
    <row r="899" spans="1:7">
      <c r="A899" t="s">
        <v>230</v>
      </c>
      <c r="D899">
        <v>3179</v>
      </c>
      <c r="G899">
        <v>3179</v>
      </c>
    </row>
    <row r="900" spans="1:7">
      <c r="A900" t="s">
        <v>187</v>
      </c>
      <c r="E900">
        <v>978</v>
      </c>
      <c r="G900">
        <v>978</v>
      </c>
    </row>
    <row r="901" spans="1:7">
      <c r="A901" t="s">
        <v>198</v>
      </c>
      <c r="E901">
        <v>502</v>
      </c>
      <c r="G901">
        <v>502</v>
      </c>
    </row>
    <row r="902" spans="1:7">
      <c r="A902" t="s">
        <v>233</v>
      </c>
      <c r="E902">
        <v>346</v>
      </c>
      <c r="G902">
        <v>346</v>
      </c>
    </row>
    <row r="903" spans="1:7">
      <c r="A903" t="s">
        <v>845</v>
      </c>
      <c r="B903">
        <v>6492</v>
      </c>
      <c r="C903">
        <v>10726</v>
      </c>
      <c r="D903">
        <v>10129</v>
      </c>
      <c r="E903">
        <v>7046</v>
      </c>
      <c r="F903">
        <v>1591</v>
      </c>
      <c r="G903">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row>
    <row r="909" spans="1:7">
      <c r="A909" t="s">
        <v>402</v>
      </c>
    </row>
    <row r="910" spans="1:7">
      <c r="A910" t="s">
        <v>332</v>
      </c>
    </row>
    <row r="911" spans="1:7">
      <c r="A911" t="s">
        <v>349</v>
      </c>
      <c r="F911">
        <v>569</v>
      </c>
      <c r="G911">
        <v>569</v>
      </c>
    </row>
    <row r="912" spans="1:7">
      <c r="A912" t="s">
        <v>389</v>
      </c>
    </row>
    <row r="913" spans="1:7">
      <c r="A913" t="s">
        <v>337</v>
      </c>
      <c r="D913">
        <v>150</v>
      </c>
      <c r="G913">
        <v>150</v>
      </c>
    </row>
    <row r="914" spans="1:7">
      <c r="A914" t="s">
        <v>354</v>
      </c>
    </row>
    <row r="915" spans="1:7">
      <c r="A915" t="s">
        <v>145</v>
      </c>
      <c r="B915">
        <v>701</v>
      </c>
      <c r="G915">
        <v>701</v>
      </c>
    </row>
    <row r="916" spans="1:7">
      <c r="A916" t="s">
        <v>356</v>
      </c>
      <c r="B916">
        <v>463</v>
      </c>
      <c r="C916">
        <v>633</v>
      </c>
      <c r="D916">
        <v>625</v>
      </c>
      <c r="G916">
        <v>1721</v>
      </c>
    </row>
    <row r="917" spans="1:7">
      <c r="A917" t="s">
        <v>352</v>
      </c>
    </row>
    <row r="918" spans="1:7">
      <c r="A918" t="s">
        <v>230</v>
      </c>
      <c r="B918">
        <v>882</v>
      </c>
      <c r="C918">
        <v>1072</v>
      </c>
      <c r="D918">
        <v>1034</v>
      </c>
      <c r="E918">
        <v>209</v>
      </c>
      <c r="G918">
        <v>3197</v>
      </c>
    </row>
    <row r="919" spans="1:7">
      <c r="A919" t="s">
        <v>187</v>
      </c>
      <c r="B919">
        <v>1420</v>
      </c>
      <c r="C919">
        <v>990</v>
      </c>
      <c r="D919">
        <v>549</v>
      </c>
      <c r="G919">
        <v>2959</v>
      </c>
    </row>
    <row r="920" spans="1:7">
      <c r="A920" t="s">
        <v>198</v>
      </c>
      <c r="B920">
        <v>259</v>
      </c>
      <c r="C920">
        <v>1087</v>
      </c>
      <c r="D920">
        <v>2206</v>
      </c>
      <c r="E920">
        <v>453</v>
      </c>
      <c r="G920">
        <v>4005</v>
      </c>
    </row>
    <row r="921" spans="1:7">
      <c r="A921" t="s">
        <v>233</v>
      </c>
      <c r="C921">
        <v>379</v>
      </c>
      <c r="D921">
        <v>208</v>
      </c>
      <c r="G921">
        <v>587</v>
      </c>
    </row>
    <row r="922" spans="1:7">
      <c r="A922" t="s">
        <v>366</v>
      </c>
      <c r="B922">
        <v>579</v>
      </c>
      <c r="C922">
        <v>1120</v>
      </c>
      <c r="D922">
        <v>1488</v>
      </c>
      <c r="E922">
        <v>954</v>
      </c>
      <c r="G922">
        <v>4141</v>
      </c>
    </row>
    <row r="923" spans="1:7">
      <c r="A923" t="s">
        <v>909</v>
      </c>
      <c r="B923">
        <v>365</v>
      </c>
      <c r="G923">
        <v>365</v>
      </c>
    </row>
    <row r="924" spans="1:7">
      <c r="A924" t="s">
        <v>358</v>
      </c>
      <c r="B924">
        <v>207</v>
      </c>
      <c r="G924">
        <v>207</v>
      </c>
    </row>
    <row r="925" spans="1:7">
      <c r="A925" t="s">
        <v>95</v>
      </c>
      <c r="C925">
        <v>1691</v>
      </c>
      <c r="D925">
        <v>1998</v>
      </c>
      <c r="E925">
        <v>760</v>
      </c>
      <c r="G925">
        <v>4449</v>
      </c>
    </row>
    <row r="926" spans="1:7">
      <c r="A926" t="s">
        <v>201</v>
      </c>
      <c r="D926">
        <v>1031</v>
      </c>
      <c r="G926">
        <v>1031</v>
      </c>
    </row>
    <row r="927" spans="1:7">
      <c r="A927" t="s">
        <v>355</v>
      </c>
      <c r="E927">
        <v>1063</v>
      </c>
      <c r="F927">
        <v>350</v>
      </c>
      <c r="G927">
        <v>1413</v>
      </c>
    </row>
    <row r="928" spans="1:7">
      <c r="A928" t="s">
        <v>910</v>
      </c>
    </row>
    <row r="929" spans="1:7">
      <c r="A929" t="s">
        <v>845</v>
      </c>
      <c r="B929">
        <v>4876</v>
      </c>
      <c r="C929">
        <v>6972</v>
      </c>
      <c r="D929">
        <v>9289</v>
      </c>
      <c r="E929">
        <v>3439</v>
      </c>
      <c r="F929">
        <v>919</v>
      </c>
      <c r="G929">
        <v>25495</v>
      </c>
    </row>
    <row r="932" spans="1:7">
      <c r="A932" s="44" t="s">
        <v>843</v>
      </c>
      <c r="B932" s="44" t="s">
        <v>841</v>
      </c>
    </row>
    <row r="933" spans="1:7">
      <c r="A933" s="44" t="s">
        <v>844</v>
      </c>
      <c r="B933" s="112">
        <v>45971</v>
      </c>
      <c r="C933" t="s">
        <v>845</v>
      </c>
    </row>
    <row r="934" spans="1:7">
      <c r="A934" t="s">
        <v>874</v>
      </c>
    </row>
    <row r="935" spans="1:7">
      <c r="A935" t="s">
        <v>845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4"/>
  <sheetViews>
    <sheetView workbookViewId="0">
      <pane ySplit="1" topLeftCell="A1963" activePane="bottomLeft" state="frozen"/>
      <selection pane="bottomLeft" activeCell="A1985" sqref="A198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374</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374</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373</v>
      </c>
      <c r="B45" s="247" t="s">
        <v>374</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412</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412</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374</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374</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373</v>
      </c>
      <c r="B149" s="248" t="s">
        <v>374</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412</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374</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374</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373</v>
      </c>
      <c r="B180" s="248" t="s">
        <v>374</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412</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374</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412</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374</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373</v>
      </c>
      <c r="B434" s="248" t="s">
        <v>374</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412</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374</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412</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374</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374</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373</v>
      </c>
      <c r="B535" s="248" t="s">
        <v>374</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412</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374</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373</v>
      </c>
      <c r="B584" s="248" t="s">
        <v>374</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374</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374</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412</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412</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412</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412</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412</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412</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391</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391</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412</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391</v>
      </c>
      <c r="B821" s="142" t="s">
        <v>855</v>
      </c>
      <c r="C821" s="56">
        <v>45750</v>
      </c>
      <c r="E821" s="43"/>
      <c r="F821" s="142" t="s">
        <v>1090</v>
      </c>
      <c r="G821" t="str">
        <f t="shared" si="12"/>
        <v>April</v>
      </c>
    </row>
    <row r="822" spans="1:7">
      <c r="A822" s="142" t="s">
        <v>464</v>
      </c>
      <c r="B822" s="247" t="s">
        <v>412</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391</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391</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391</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412</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392</v>
      </c>
      <c r="C882" s="56">
        <v>45758</v>
      </c>
      <c r="E882" s="43"/>
      <c r="F882" s="142" t="s">
        <v>1111</v>
      </c>
      <c r="G882" t="str">
        <f t="shared" si="13"/>
        <v>April</v>
      </c>
    </row>
    <row r="883" spans="1:7">
      <c r="A883" s="142" t="s">
        <v>670</v>
      </c>
      <c r="B883" s="142" t="s">
        <v>392</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412</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1123</v>
      </c>
      <c r="G905" t="str">
        <f t="shared" si="14"/>
        <v>April</v>
      </c>
    </row>
    <row r="906" spans="1:7">
      <c r="A906" s="142" t="s">
        <v>670</v>
      </c>
      <c r="B906" s="142" t="s">
        <v>392</v>
      </c>
      <c r="C906" s="56">
        <v>45762</v>
      </c>
      <c r="E906" s="43"/>
      <c r="F906" s="142" t="s">
        <v>1123</v>
      </c>
      <c r="G906" t="str">
        <f t="shared" si="14"/>
        <v>April</v>
      </c>
    </row>
    <row r="907" spans="1:7">
      <c r="A907" s="142" t="s">
        <v>650</v>
      </c>
      <c r="B907" s="142" t="s">
        <v>392</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412</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985</v>
      </c>
      <c r="G920" t="str">
        <f t="shared" si="14"/>
        <v>April</v>
      </c>
    </row>
    <row r="921" spans="1:7">
      <c r="A921" s="142" t="s">
        <v>650</v>
      </c>
      <c r="B921" s="142" t="s">
        <v>392</v>
      </c>
      <c r="C921" s="56">
        <v>45763</v>
      </c>
      <c r="E921" s="43"/>
      <c r="F921" s="142" t="s">
        <v>985</v>
      </c>
      <c r="G921" t="str">
        <f t="shared" si="14"/>
        <v>April</v>
      </c>
    </row>
    <row r="922" spans="1:7">
      <c r="A922" s="142" t="s">
        <v>648</v>
      </c>
      <c r="B922" s="247" t="s">
        <v>412</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412</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412</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392</v>
      </c>
      <c r="C946" s="56">
        <v>45765</v>
      </c>
      <c r="E946" s="43"/>
      <c r="F946" s="310" t="s">
        <v>1145</v>
      </c>
      <c r="G946" t="str">
        <f t="shared" si="14"/>
        <v>April</v>
      </c>
    </row>
    <row r="947" spans="1:7">
      <c r="A947" s="315" t="s">
        <v>650</v>
      </c>
      <c r="B947" s="315" t="s">
        <v>392</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412</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392</v>
      </c>
      <c r="C959" s="56">
        <v>45768</v>
      </c>
      <c r="E959" s="43"/>
      <c r="F959" s="315" t="s">
        <v>1145</v>
      </c>
      <c r="G959" t="str">
        <f t="shared" si="15"/>
        <v>April</v>
      </c>
    </row>
    <row r="960" spans="1:7">
      <c r="A960" s="319" t="s">
        <v>670</v>
      </c>
      <c r="B960" s="142" t="s">
        <v>392</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412</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412</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412</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412</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412</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412</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412</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412</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412</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380</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380</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412</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412</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412</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412</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412</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368</v>
      </c>
      <c r="B1158" s="308" t="s">
        <v>132</v>
      </c>
      <c r="C1158" s="56">
        <v>45797</v>
      </c>
      <c r="D1158" s="156">
        <v>1430</v>
      </c>
      <c r="F1158" s="43" t="s">
        <v>1002</v>
      </c>
      <c r="G1158" t="str">
        <f t="shared" si="21"/>
        <v>May</v>
      </c>
    </row>
    <row r="1159" spans="1:7">
      <c r="A1159" s="135" t="s">
        <v>679</v>
      </c>
      <c r="B1159" s="142" t="s">
        <v>412</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368</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412</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398</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368</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368</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412</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368</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412</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412</v>
      </c>
      <c r="C1216" s="56">
        <v>45812</v>
      </c>
      <c r="D1216" s="43">
        <v>83</v>
      </c>
      <c r="G1216" t="s">
        <v>1289</v>
      </c>
    </row>
    <row r="1217" spans="1:7">
      <c r="A1217" s="308" t="s">
        <v>380</v>
      </c>
      <c r="B1217" s="308" t="s">
        <v>412</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368</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380</v>
      </c>
      <c r="B1223" s="142" t="s">
        <v>412</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412</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412</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412</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391</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368</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412</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380</v>
      </c>
      <c r="B1284" s="311" t="s">
        <v>412</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412</v>
      </c>
      <c r="C1289" s="56">
        <v>45834</v>
      </c>
      <c r="F1289" s="320" t="s">
        <v>1315</v>
      </c>
      <c r="G1289" t="s">
        <v>1289</v>
      </c>
    </row>
    <row r="1290" spans="1:7">
      <c r="A1290" s="360" t="s">
        <v>679</v>
      </c>
      <c r="B1290" s="311" t="s">
        <v>412</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391</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412</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391</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391</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368</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391</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391</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391</v>
      </c>
      <c r="B1316" s="321" t="s">
        <v>465</v>
      </c>
      <c r="C1316" s="56">
        <v>45841</v>
      </c>
      <c r="D1316" s="43">
        <v>372</v>
      </c>
      <c r="F1316" s="116" t="s">
        <v>968</v>
      </c>
      <c r="G1316" t="s">
        <v>1322</v>
      </c>
    </row>
    <row r="1317" spans="1:7" ht="15.75">
      <c r="A1317" s="142" t="s">
        <v>391</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391</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395</v>
      </c>
      <c r="B1331" s="158" t="s">
        <v>344</v>
      </c>
      <c r="C1331" s="56">
        <v>45849</v>
      </c>
      <c r="D1331" s="43">
        <v>198</v>
      </c>
      <c r="G1331" t="s">
        <v>1322</v>
      </c>
    </row>
    <row r="1332" spans="1:7">
      <c r="A1332" s="251" t="s">
        <v>779</v>
      </c>
      <c r="B1332" s="412" t="s">
        <v>854</v>
      </c>
      <c r="C1332" s="56">
        <v>45852</v>
      </c>
      <c r="F1332" s="43" t="s">
        <v>985</v>
      </c>
      <c r="G1332" t="s">
        <v>1322</v>
      </c>
    </row>
    <row r="1333" spans="1:7">
      <c r="A1333" s="638" t="s">
        <v>395</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412</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412</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412</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395</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412</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395</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395</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412</v>
      </c>
      <c r="C1391" s="56">
        <v>45866</v>
      </c>
      <c r="D1391" s="156">
        <v>1181</v>
      </c>
      <c r="G1391" t="s">
        <v>1322</v>
      </c>
    </row>
    <row r="1392" spans="1:7">
      <c r="A1392" s="124" t="s">
        <v>395</v>
      </c>
      <c r="B1392" s="158" t="s">
        <v>344</v>
      </c>
      <c r="C1392" s="56">
        <v>45866</v>
      </c>
      <c r="D1392" s="43">
        <v>345</v>
      </c>
      <c r="G1392" t="s">
        <v>1322</v>
      </c>
    </row>
    <row r="1393" spans="1:7">
      <c r="A1393" s="639" t="s">
        <v>709</v>
      </c>
      <c r="B1393" s="69" t="s">
        <v>412</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412</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412</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400</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400</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400</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400</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400</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400</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400</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400</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400</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400</v>
      </c>
      <c r="B1447" s="315" t="s">
        <v>344</v>
      </c>
      <c r="C1447" s="56">
        <v>45883</v>
      </c>
      <c r="D1447" s="43">
        <v>554</v>
      </c>
      <c r="G1447" t="s">
        <v>1361</v>
      </c>
    </row>
    <row r="1448" spans="1:7">
      <c r="A1448" s="43" t="s">
        <v>267</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400</v>
      </c>
      <c r="B1453" s="315" t="s">
        <v>344</v>
      </c>
      <c r="C1453" s="56">
        <v>45884</v>
      </c>
      <c r="D1453" s="43">
        <v>89</v>
      </c>
      <c r="G1453" t="s">
        <v>1361</v>
      </c>
    </row>
    <row r="1454" spans="1:7">
      <c r="A1454" s="308" t="s">
        <v>267</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400</v>
      </c>
      <c r="B1460" s="315" t="s">
        <v>344</v>
      </c>
      <c r="C1460" s="56">
        <v>45887</v>
      </c>
      <c r="D1460" s="43">
        <v>377</v>
      </c>
      <c r="G1460" t="s">
        <v>1361</v>
      </c>
    </row>
    <row r="1461" spans="1:7">
      <c r="A1461" s="308" t="s">
        <v>267</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400</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380</v>
      </c>
      <c r="B1470" s="412" t="s">
        <v>412</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400</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380</v>
      </c>
      <c r="B1477" s="412" t="s">
        <v>412</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400</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412</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400</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412</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400</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380</v>
      </c>
      <c r="B1498" s="412" t="s">
        <v>412</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395</v>
      </c>
      <c r="B1505" s="360" t="s">
        <v>344</v>
      </c>
      <c r="C1505" s="56">
        <v>45895</v>
      </c>
      <c r="F1505" s="43" t="s">
        <v>1062</v>
      </c>
      <c r="G1505" t="s">
        <v>1361</v>
      </c>
    </row>
    <row r="1506" spans="1:7">
      <c r="A1506" s="410" t="s">
        <v>742</v>
      </c>
      <c r="B1506" s="232" t="s">
        <v>412</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267</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395</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400</v>
      </c>
      <c r="B1518" s="315" t="s">
        <v>344</v>
      </c>
      <c r="C1518" s="56">
        <v>45897</v>
      </c>
      <c r="F1518" s="43" t="s">
        <v>980</v>
      </c>
      <c r="G1518" t="s">
        <v>1361</v>
      </c>
    </row>
    <row r="1519" spans="1:7">
      <c r="A1519" s="602" t="s">
        <v>267</v>
      </c>
      <c r="B1519" s="653" t="s">
        <v>854</v>
      </c>
      <c r="C1519" s="56">
        <v>45897</v>
      </c>
      <c r="D1519" s="43">
        <v>320</v>
      </c>
      <c r="G1519" t="s">
        <v>1361</v>
      </c>
    </row>
    <row r="1520" spans="1:7">
      <c r="A1520" s="650" t="s">
        <v>343</v>
      </c>
      <c r="B1520" s="360" t="s">
        <v>344</v>
      </c>
      <c r="C1520" s="56">
        <v>45897</v>
      </c>
      <c r="F1520" s="315" t="s">
        <v>1118</v>
      </c>
      <c r="G1520" t="s">
        <v>1361</v>
      </c>
    </row>
    <row r="1521" spans="1:7">
      <c r="A1521" s="124" t="s">
        <v>395</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395</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400</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395</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395</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411</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402</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411</v>
      </c>
      <c r="B1552" s="232" t="s">
        <v>412</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411</v>
      </c>
      <c r="B1555" s="232" t="s">
        <v>412</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411</v>
      </c>
      <c r="B1559" s="232" t="s">
        <v>412</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431</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402</v>
      </c>
      <c r="B1564" s="711" t="s">
        <v>1280</v>
      </c>
      <c r="C1564" s="56">
        <v>45910</v>
      </c>
      <c r="F1564" s="43" t="s">
        <v>1118</v>
      </c>
      <c r="G1564" t="s">
        <v>1399</v>
      </c>
    </row>
    <row r="1565" spans="1:7">
      <c r="A1565" s="88" t="s">
        <v>877</v>
      </c>
      <c r="B1565" s="412" t="s">
        <v>854</v>
      </c>
      <c r="C1565" s="56">
        <v>45911</v>
      </c>
      <c r="D1565" s="43">
        <v>302</v>
      </c>
      <c r="G1565" t="s">
        <v>1399</v>
      </c>
    </row>
    <row r="1566" spans="1:7">
      <c r="A1566" s="88" t="s">
        <v>380</v>
      </c>
      <c r="B1566" s="412" t="s">
        <v>412</v>
      </c>
      <c r="C1566" s="56">
        <v>45911</v>
      </c>
      <c r="D1566" s="43">
        <v>279</v>
      </c>
      <c r="F1566" s="43" t="s">
        <v>1422</v>
      </c>
      <c r="G1566" t="s">
        <v>1399</v>
      </c>
    </row>
    <row r="1567" spans="1:7">
      <c r="A1567" s="88" t="s">
        <v>897</v>
      </c>
      <c r="B1567" s="412" t="s">
        <v>412</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402</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402</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431</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431</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414</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231</v>
      </c>
      <c r="C1588" s="56">
        <v>45916</v>
      </c>
      <c r="D1588" s="43">
        <v>251</v>
      </c>
      <c r="F1588" s="761"/>
      <c r="G1588" t="s">
        <v>1399</v>
      </c>
    </row>
    <row r="1589" spans="1:7">
      <c r="A1589" s="135" t="s">
        <v>900</v>
      </c>
      <c r="B1589" s="315" t="s">
        <v>854</v>
      </c>
      <c r="C1589" s="56">
        <v>45917</v>
      </c>
      <c r="D1589" s="43">
        <v>75</v>
      </c>
      <c r="F1589" s="761"/>
      <c r="G1589" t="s">
        <v>1399</v>
      </c>
    </row>
    <row r="1590" spans="1:7">
      <c r="A1590" s="142" t="s">
        <v>431</v>
      </c>
      <c r="B1590" s="362" t="s">
        <v>132</v>
      </c>
      <c r="C1590" s="56">
        <v>45917</v>
      </c>
      <c r="D1590" s="156">
        <v>1250</v>
      </c>
      <c r="F1590" s="761" t="s">
        <v>1427</v>
      </c>
      <c r="G1590" t="s">
        <v>1399</v>
      </c>
    </row>
    <row r="1591" spans="1:7">
      <c r="A1591" s="765" t="s">
        <v>411</v>
      </c>
      <c r="B1591" s="319" t="s">
        <v>412</v>
      </c>
      <c r="C1591" s="56">
        <v>45917</v>
      </c>
      <c r="D1591" s="43">
        <v>250</v>
      </c>
      <c r="F1591" s="761" t="s">
        <v>1428</v>
      </c>
      <c r="G1591" t="s">
        <v>1399</v>
      </c>
    </row>
    <row r="1592" spans="1:7">
      <c r="A1592" s="142" t="s">
        <v>414</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231</v>
      </c>
      <c r="C1594" s="56">
        <v>45917</v>
      </c>
      <c r="D1594" s="43">
        <v>253</v>
      </c>
      <c r="F1594" s="761"/>
      <c r="G1594" t="s">
        <v>1399</v>
      </c>
    </row>
    <row r="1595" spans="1:7">
      <c r="A1595" s="330" t="s">
        <v>343</v>
      </c>
      <c r="B1595" s="315" t="s">
        <v>854</v>
      </c>
      <c r="C1595" s="56">
        <v>45917</v>
      </c>
      <c r="F1595" s="315" t="s">
        <v>1315</v>
      </c>
      <c r="G1595" t="s">
        <v>1399</v>
      </c>
    </row>
    <row r="1596" spans="1:7">
      <c r="A1596" s="251" t="s">
        <v>395</v>
      </c>
      <c r="B1596" s="315" t="s">
        <v>854</v>
      </c>
      <c r="C1596" s="56">
        <v>45917</v>
      </c>
      <c r="D1596" s="43">
        <v>139</v>
      </c>
      <c r="F1596" s="761"/>
      <c r="G1596" t="s">
        <v>1399</v>
      </c>
    </row>
    <row r="1597" spans="1:7">
      <c r="A1597" s="88" t="s">
        <v>384</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431</v>
      </c>
      <c r="B1599" s="711" t="s">
        <v>132</v>
      </c>
      <c r="C1599" s="56">
        <v>45918</v>
      </c>
      <c r="D1599" s="43">
        <v>361</v>
      </c>
      <c r="F1599" s="761" t="s">
        <v>1432</v>
      </c>
      <c r="G1599" t="s">
        <v>1399</v>
      </c>
    </row>
    <row r="1600" spans="1:7">
      <c r="A1600" s="69" t="s">
        <v>414</v>
      </c>
      <c r="B1600" s="711" t="s">
        <v>132</v>
      </c>
      <c r="C1600" s="56">
        <v>45918</v>
      </c>
      <c r="D1600" s="156">
        <v>1204</v>
      </c>
      <c r="F1600" s="761" t="s">
        <v>1433</v>
      </c>
      <c r="G1600" t="s">
        <v>1399</v>
      </c>
    </row>
    <row r="1601" spans="1:7">
      <c r="A1601" s="69" t="s">
        <v>417</v>
      </c>
      <c r="B1601" s="711" t="s">
        <v>132</v>
      </c>
      <c r="C1601" s="56">
        <v>45918</v>
      </c>
      <c r="D1601" s="156">
        <v>562</v>
      </c>
      <c r="F1601" s="761"/>
      <c r="G1601" t="s">
        <v>1399</v>
      </c>
    </row>
    <row r="1602" spans="1:7">
      <c r="A1602" s="69" t="s">
        <v>429</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231</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231</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417</v>
      </c>
      <c r="B1613" s="767" t="s">
        <v>132</v>
      </c>
      <c r="C1613" s="56">
        <v>45922</v>
      </c>
      <c r="D1613" s="43">
        <v>978</v>
      </c>
      <c r="F1613" s="761" t="s">
        <v>1438</v>
      </c>
      <c r="G1613" t="s">
        <v>1399</v>
      </c>
    </row>
    <row r="1614" spans="1:7">
      <c r="A1614" s="309" t="s">
        <v>429</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231</v>
      </c>
      <c r="C1617" s="56">
        <v>45922</v>
      </c>
      <c r="F1617" s="315" t="s">
        <v>1440</v>
      </c>
      <c r="G1617" t="s">
        <v>1399</v>
      </c>
    </row>
    <row r="1618" spans="1:7">
      <c r="A1618" s="329" t="s">
        <v>395</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417</v>
      </c>
      <c r="B1622" s="781" t="s">
        <v>132</v>
      </c>
      <c r="C1622" s="56">
        <v>45923</v>
      </c>
      <c r="D1622" s="43">
        <v>675</v>
      </c>
      <c r="F1622" s="69"/>
      <c r="G1622" t="s">
        <v>1399</v>
      </c>
    </row>
    <row r="1623" spans="1:7">
      <c r="A1623" s="69" t="s">
        <v>423</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231</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426</v>
      </c>
      <c r="B1631" s="791" t="s">
        <v>132</v>
      </c>
      <c r="C1631" s="347">
        <v>45924</v>
      </c>
      <c r="D1631" s="156">
        <v>1205</v>
      </c>
      <c r="F1631" s="69" t="s">
        <v>1446</v>
      </c>
      <c r="G1631" t="s">
        <v>1399</v>
      </c>
    </row>
    <row r="1632" spans="1:7">
      <c r="A1632" s="69" t="s">
        <v>423</v>
      </c>
      <c r="B1632" s="409" t="s">
        <v>132</v>
      </c>
      <c r="C1632" s="56">
        <v>45924</v>
      </c>
      <c r="D1632" s="793">
        <v>1538</v>
      </c>
      <c r="F1632" s="69" t="s">
        <v>1447</v>
      </c>
      <c r="G1632" t="s">
        <v>1399</v>
      </c>
    </row>
    <row r="1633" spans="1:7">
      <c r="A1633" s="790" t="s">
        <v>406</v>
      </c>
      <c r="B1633" s="409" t="s">
        <v>854</v>
      </c>
      <c r="C1633" s="56">
        <v>45924</v>
      </c>
      <c r="D1633" s="162">
        <v>240</v>
      </c>
      <c r="F1633" s="69"/>
      <c r="G1633" t="s">
        <v>1399</v>
      </c>
    </row>
    <row r="1634" spans="1:7">
      <c r="A1634" s="790" t="s">
        <v>431</v>
      </c>
      <c r="B1634" s="409" t="s">
        <v>132</v>
      </c>
      <c r="C1634" s="56">
        <v>45924</v>
      </c>
      <c r="D1634" s="162"/>
      <c r="F1634" s="348" t="s">
        <v>1448</v>
      </c>
      <c r="G1634" t="s">
        <v>1399</v>
      </c>
    </row>
    <row r="1635" spans="1:7">
      <c r="A1635" s="69" t="s">
        <v>417</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231</v>
      </c>
      <c r="C1637" s="56">
        <v>45924</v>
      </c>
      <c r="D1637" s="43">
        <v>190</v>
      </c>
      <c r="F1637" s="69"/>
      <c r="G1637" t="s">
        <v>1399</v>
      </c>
    </row>
    <row r="1638" spans="1:7">
      <c r="A1638" s="158" t="s">
        <v>267</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231</v>
      </c>
      <c r="C1640" s="56">
        <v>45924</v>
      </c>
      <c r="D1640" s="43">
        <v>406</v>
      </c>
      <c r="F1640" s="30"/>
      <c r="G1640" t="s">
        <v>1399</v>
      </c>
    </row>
    <row r="1641" spans="1:7">
      <c r="A1641" s="786" t="s">
        <v>431</v>
      </c>
      <c r="B1641" s="653" t="s">
        <v>854</v>
      </c>
      <c r="C1641" s="56">
        <v>45924</v>
      </c>
      <c r="E1641" s="325">
        <v>1837</v>
      </c>
      <c r="F1641" s="69" t="s">
        <v>1451</v>
      </c>
      <c r="G1641" t="s">
        <v>1399</v>
      </c>
    </row>
    <row r="1642" spans="1:7">
      <c r="A1642" s="786" t="s">
        <v>414</v>
      </c>
      <c r="B1642" s="653" t="s">
        <v>854</v>
      </c>
      <c r="C1642" s="56">
        <v>45924</v>
      </c>
      <c r="E1642" s="140">
        <v>731</v>
      </c>
      <c r="F1642" s="69" t="s">
        <v>1451</v>
      </c>
      <c r="G1642" t="s">
        <v>1399</v>
      </c>
    </row>
    <row r="1643" spans="1:7">
      <c r="A1643" s="786" t="s">
        <v>417</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426</v>
      </c>
      <c r="B1647" s="781" t="s">
        <v>132</v>
      </c>
      <c r="C1647" s="56">
        <v>45925</v>
      </c>
      <c r="D1647" s="156">
        <v>1000</v>
      </c>
      <c r="F1647" s="30"/>
      <c r="G1647" t="s">
        <v>1399</v>
      </c>
    </row>
    <row r="1648" spans="1:7">
      <c r="A1648" s="69" t="s">
        <v>423</v>
      </c>
      <c r="B1648" s="782" t="s">
        <v>132</v>
      </c>
      <c r="C1648" s="56">
        <v>45925</v>
      </c>
      <c r="D1648" s="156">
        <v>1377</v>
      </c>
      <c r="F1648" s="69" t="s">
        <v>1452</v>
      </c>
      <c r="G1648" t="s">
        <v>1399</v>
      </c>
    </row>
    <row r="1649" spans="1:7">
      <c r="A1649" s="780" t="s">
        <v>406</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231</v>
      </c>
      <c r="C1652" s="56">
        <v>45925</v>
      </c>
      <c r="F1652" s="142" t="s">
        <v>985</v>
      </c>
      <c r="G1652" t="s">
        <v>1399</v>
      </c>
    </row>
    <row r="1653" spans="1:7">
      <c r="A1653" s="158" t="s">
        <v>267</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231</v>
      </c>
      <c r="C1660" s="56">
        <v>45926</v>
      </c>
      <c r="D1660" s="43">
        <v>551</v>
      </c>
      <c r="G1660" t="s">
        <v>1399</v>
      </c>
    </row>
    <row r="1661" spans="1:7">
      <c r="A1661" s="329" t="s">
        <v>267</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406</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423</v>
      </c>
      <c r="B1667" s="765" t="s">
        <v>132</v>
      </c>
      <c r="C1667" s="56">
        <v>45929</v>
      </c>
      <c r="D1667" s="43">
        <v>600</v>
      </c>
      <c r="F1667" s="43" t="s">
        <v>1460</v>
      </c>
      <c r="G1667" t="s">
        <v>1399</v>
      </c>
    </row>
    <row r="1668" spans="1:7">
      <c r="A1668" s="315" t="s">
        <v>426</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231</v>
      </c>
      <c r="C1670" s="56">
        <v>45929</v>
      </c>
      <c r="F1670" s="142" t="s">
        <v>1315</v>
      </c>
      <c r="G1670" t="s">
        <v>1399</v>
      </c>
    </row>
    <row r="1671" spans="1:7">
      <c r="A1671" s="309" t="s">
        <v>902</v>
      </c>
      <c r="B1671" s="309" t="s">
        <v>854</v>
      </c>
      <c r="C1671" s="56">
        <v>45929</v>
      </c>
      <c r="D1671" s="156">
        <v>1418</v>
      </c>
      <c r="G1671" t="s">
        <v>1399</v>
      </c>
    </row>
    <row r="1672" spans="1:7">
      <c r="A1672" s="43" t="s">
        <v>346</v>
      </c>
      <c r="B1672" s="322" t="s">
        <v>231</v>
      </c>
      <c r="C1672" s="56">
        <v>45929</v>
      </c>
      <c r="D1672" s="43">
        <v>479</v>
      </c>
      <c r="G1672" t="s">
        <v>1399</v>
      </c>
    </row>
    <row r="1673" spans="1:7">
      <c r="A1673" s="43" t="s">
        <v>349</v>
      </c>
      <c r="B1673" s="322" t="s">
        <v>231</v>
      </c>
      <c r="C1673" s="56">
        <v>45929</v>
      </c>
      <c r="D1673" s="43">
        <v>454</v>
      </c>
      <c r="G1673" t="s">
        <v>1399</v>
      </c>
    </row>
    <row r="1674" spans="1:7">
      <c r="A1674" s="315" t="s">
        <v>426</v>
      </c>
      <c r="B1674" s="315" t="s">
        <v>132</v>
      </c>
      <c r="C1674" s="56">
        <v>45930</v>
      </c>
      <c r="D1674" s="43">
        <v>268</v>
      </c>
      <c r="E1674" s="140">
        <v>413</v>
      </c>
      <c r="F1674" s="43" t="s">
        <v>1462</v>
      </c>
      <c r="G1674" t="s">
        <v>1399</v>
      </c>
    </row>
    <row r="1675" spans="1:7">
      <c r="A1675" s="88" t="s">
        <v>384</v>
      </c>
      <c r="B1675" s="412" t="s">
        <v>854</v>
      </c>
      <c r="C1675" s="56">
        <v>45930</v>
      </c>
      <c r="D1675" s="43">
        <v>134</v>
      </c>
      <c r="G1675" t="s">
        <v>1399</v>
      </c>
    </row>
    <row r="1676" spans="1:7">
      <c r="A1676" s="88" t="s">
        <v>487</v>
      </c>
      <c r="B1676" s="412" t="s">
        <v>1463</v>
      </c>
      <c r="C1676" s="56">
        <v>45930</v>
      </c>
      <c r="D1676" s="156">
        <v>1253</v>
      </c>
      <c r="G1676" t="s">
        <v>1399</v>
      </c>
    </row>
    <row r="1677" spans="1:7">
      <c r="A1677" s="836" t="s">
        <v>420</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429</v>
      </c>
      <c r="B1680" s="142" t="s">
        <v>854</v>
      </c>
      <c r="C1680" s="314">
        <v>45930</v>
      </c>
      <c r="E1680" s="140">
        <v>536</v>
      </c>
      <c r="G1680" t="s">
        <v>1399</v>
      </c>
    </row>
    <row r="1681" spans="1:7">
      <c r="A1681" s="837" t="s">
        <v>423</v>
      </c>
      <c r="B1681" s="142" t="s">
        <v>854</v>
      </c>
      <c r="C1681" s="314">
        <v>45930</v>
      </c>
      <c r="E1681" s="140">
        <v>886</v>
      </c>
      <c r="G1681" t="s">
        <v>1399</v>
      </c>
    </row>
    <row r="1682" spans="1:7">
      <c r="A1682" s="135" t="s">
        <v>332</v>
      </c>
      <c r="B1682" s="308" t="s">
        <v>333</v>
      </c>
      <c r="C1682" s="56">
        <v>45930</v>
      </c>
      <c r="D1682" s="156">
        <v>1016</v>
      </c>
      <c r="G1682" t="s">
        <v>1399</v>
      </c>
    </row>
    <row r="1683" spans="1:7">
      <c r="A1683" s="837" t="s">
        <v>420</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231</v>
      </c>
      <c r="C1685" s="56">
        <v>45930</v>
      </c>
      <c r="D1685" s="43">
        <v>251</v>
      </c>
      <c r="G1685" t="s">
        <v>1399</v>
      </c>
    </row>
    <row r="1686" spans="1:7">
      <c r="A1686" s="543" t="s">
        <v>335</v>
      </c>
      <c r="B1686" s="360" t="s">
        <v>231</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420</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439</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231</v>
      </c>
      <c r="C1694" s="56">
        <v>45931</v>
      </c>
      <c r="D1694" s="43">
        <v>753</v>
      </c>
      <c r="G1694" t="s">
        <v>1466</v>
      </c>
    </row>
    <row r="1695" spans="1:7">
      <c r="A1695" s="309" t="s">
        <v>349</v>
      </c>
      <c r="B1695" s="359" t="s">
        <v>231</v>
      </c>
      <c r="C1695" s="56">
        <v>45931</v>
      </c>
      <c r="D1695" s="43">
        <v>224</v>
      </c>
      <c r="G1695" t="s">
        <v>1466</v>
      </c>
    </row>
    <row r="1696" spans="1:7">
      <c r="A1696" s="135" t="s">
        <v>384</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433</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439</v>
      </c>
      <c r="B1701" s="765" t="s">
        <v>132</v>
      </c>
      <c r="C1701" s="56">
        <v>45932</v>
      </c>
      <c r="D1701" s="156">
        <v>1472</v>
      </c>
      <c r="F1701" s="43" t="s">
        <v>1420</v>
      </c>
      <c r="G1701" t="s">
        <v>1466</v>
      </c>
    </row>
    <row r="1702" spans="1:7">
      <c r="A1702" s="838" t="s">
        <v>420</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231</v>
      </c>
      <c r="C1705" s="56">
        <v>45932</v>
      </c>
      <c r="D1705" s="43">
        <v>305</v>
      </c>
      <c r="G1705" t="s">
        <v>1466</v>
      </c>
    </row>
    <row r="1706" spans="1:7">
      <c r="A1706" s="309" t="s">
        <v>349</v>
      </c>
      <c r="B1706" s="359" t="s">
        <v>231</v>
      </c>
      <c r="C1706" s="56">
        <v>45932</v>
      </c>
      <c r="D1706" s="43">
        <v>789</v>
      </c>
      <c r="F1706" s="43" t="s">
        <v>1472</v>
      </c>
      <c r="G1706" t="s">
        <v>1466</v>
      </c>
    </row>
    <row r="1707" spans="1:7">
      <c r="A1707" s="142" t="s">
        <v>346</v>
      </c>
      <c r="B1707" s="142" t="s">
        <v>231</v>
      </c>
      <c r="C1707" s="56">
        <v>45932</v>
      </c>
      <c r="D1707" s="43">
        <v>170</v>
      </c>
      <c r="G1707" t="s">
        <v>1466</v>
      </c>
    </row>
    <row r="1708" spans="1:7">
      <c r="A1708" s="135" t="s">
        <v>384</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231</v>
      </c>
      <c r="C1715" s="56">
        <v>45933</v>
      </c>
      <c r="F1715" s="43" t="s">
        <v>1475</v>
      </c>
      <c r="G1715" t="s">
        <v>1466</v>
      </c>
    </row>
    <row r="1716" spans="1:7">
      <c r="A1716" s="310" t="s">
        <v>346</v>
      </c>
      <c r="B1716" s="142" t="s">
        <v>231</v>
      </c>
      <c r="C1716" s="56">
        <v>45933</v>
      </c>
      <c r="F1716" s="43" t="s">
        <v>1475</v>
      </c>
      <c r="G1716" t="s">
        <v>1466</v>
      </c>
    </row>
    <row r="1717" spans="1:7">
      <c r="A1717" s="135" t="s">
        <v>877</v>
      </c>
      <c r="B1717" s="315" t="s">
        <v>854</v>
      </c>
      <c r="C1717" s="56">
        <v>45936</v>
      </c>
      <c r="D1717" s="43">
        <v>65</v>
      </c>
      <c r="G1717" t="s">
        <v>1466</v>
      </c>
    </row>
    <row r="1718" spans="1:7">
      <c r="A1718" s="602" t="s">
        <v>384</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433</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439</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231</v>
      </c>
      <c r="C1726" s="56">
        <v>45936</v>
      </c>
      <c r="F1726" s="348" t="s">
        <v>1118</v>
      </c>
      <c r="G1726" t="s">
        <v>1466</v>
      </c>
    </row>
    <row r="1727" spans="1:7">
      <c r="A1727" s="315" t="s">
        <v>349</v>
      </c>
      <c r="B1727" s="315" t="s">
        <v>231</v>
      </c>
      <c r="C1727" s="56">
        <v>45936</v>
      </c>
      <c r="D1727" s="156">
        <v>1088</v>
      </c>
      <c r="F1727" s="43" t="s">
        <v>1470</v>
      </c>
      <c r="G1727" t="s">
        <v>1466</v>
      </c>
    </row>
    <row r="1728" spans="1:7">
      <c r="A1728" s="135" t="s">
        <v>384</v>
      </c>
      <c r="B1728" s="315" t="s">
        <v>854</v>
      </c>
      <c r="C1728" s="56">
        <v>45937</v>
      </c>
      <c r="D1728" s="43">
        <v>270</v>
      </c>
      <c r="G1728" t="s">
        <v>1466</v>
      </c>
    </row>
    <row r="1729" spans="1:7">
      <c r="A1729" s="328" t="s">
        <v>877</v>
      </c>
      <c r="B1729" s="315" t="s">
        <v>854</v>
      </c>
      <c r="C1729" s="56">
        <v>45937</v>
      </c>
      <c r="D1729" s="43">
        <v>55</v>
      </c>
      <c r="G1729" t="s">
        <v>1466</v>
      </c>
    </row>
    <row r="1730" spans="1:7">
      <c r="A1730" s="348" t="s">
        <v>433</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439</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231</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163</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439</v>
      </c>
      <c r="B1743" s="142" t="s">
        <v>132</v>
      </c>
      <c r="C1743" s="56">
        <v>45938</v>
      </c>
      <c r="D1743" s="43">
        <v>308</v>
      </c>
      <c r="F1743" s="43" t="s">
        <v>1482</v>
      </c>
      <c r="G1743" t="s">
        <v>1466</v>
      </c>
    </row>
    <row r="1744" spans="1:7">
      <c r="A1744" s="670" t="s">
        <v>426</v>
      </c>
      <c r="B1744" s="142" t="s">
        <v>132</v>
      </c>
      <c r="C1744" s="56">
        <v>45938</v>
      </c>
      <c r="D1744" s="43">
        <v>334</v>
      </c>
      <c r="F1744" s="43" t="s">
        <v>1416</v>
      </c>
      <c r="G1744" t="s">
        <v>1466</v>
      </c>
    </row>
    <row r="1745" spans="1:7">
      <c r="A1745" s="308" t="s">
        <v>408</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231</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163</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439</v>
      </c>
      <c r="B1753" s="409" t="s">
        <v>132</v>
      </c>
      <c r="C1753" s="56">
        <v>45939</v>
      </c>
      <c r="F1753" s="639" t="s">
        <v>985</v>
      </c>
      <c r="G1753" t="s">
        <v>1466</v>
      </c>
    </row>
    <row r="1754" spans="1:7">
      <c r="A1754" s="149" t="s">
        <v>408</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231</v>
      </c>
      <c r="C1758" s="56">
        <v>45939</v>
      </c>
      <c r="D1758" s="43">
        <v>369</v>
      </c>
      <c r="G1758" t="s">
        <v>1466</v>
      </c>
    </row>
    <row r="1759" spans="1:7">
      <c r="A1759" s="116" t="s">
        <v>346</v>
      </c>
      <c r="B1759" s="321" t="s">
        <v>231</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439</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433</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327</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389</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163</v>
      </c>
      <c r="B1772" s="142" t="s">
        <v>132</v>
      </c>
      <c r="C1772" s="56">
        <v>45943</v>
      </c>
      <c r="D1772" s="43">
        <v>828</v>
      </c>
      <c r="G1772" t="s">
        <v>1466</v>
      </c>
    </row>
    <row r="1773" spans="1:7">
      <c r="A1773" s="821" t="s">
        <v>443</v>
      </c>
      <c r="B1773" s="309" t="s">
        <v>132</v>
      </c>
      <c r="C1773" s="56">
        <v>45943</v>
      </c>
      <c r="D1773" s="156">
        <v>1768</v>
      </c>
      <c r="G1773" t="s">
        <v>1466</v>
      </c>
    </row>
    <row r="1774" spans="1:7">
      <c r="A1774" s="1009" t="s">
        <v>433</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389</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163</v>
      </c>
      <c r="B1781" s="310" t="s">
        <v>132</v>
      </c>
      <c r="C1781" s="56">
        <v>45944</v>
      </c>
      <c r="D1781" s="43">
        <v>150</v>
      </c>
      <c r="G1781" t="s">
        <v>1466</v>
      </c>
    </row>
    <row r="1782" spans="1:7">
      <c r="A1782" s="842" t="s">
        <v>443</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206</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231</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389</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435</v>
      </c>
      <c r="B1792" s="319" t="s">
        <v>132</v>
      </c>
      <c r="C1792" s="56">
        <v>45945</v>
      </c>
      <c r="D1792" s="156">
        <v>1239</v>
      </c>
      <c r="F1792" s="43" t="s">
        <v>1499</v>
      </c>
      <c r="G1792" t="s">
        <v>1466</v>
      </c>
    </row>
    <row r="1793" spans="1:7">
      <c r="A1793" s="319" t="s">
        <v>907</v>
      </c>
      <c r="B1793" s="319" t="s">
        <v>206</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231</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389</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435</v>
      </c>
      <c r="B1801" s="142" t="s">
        <v>132</v>
      </c>
      <c r="C1801" s="314">
        <v>45946</v>
      </c>
      <c r="D1801" s="156">
        <v>1220</v>
      </c>
      <c r="F1801" s="43" t="s">
        <v>1506</v>
      </c>
      <c r="G1801" t="s">
        <v>1466</v>
      </c>
    </row>
    <row r="1802" spans="1:7">
      <c r="A1802" s="309" t="s">
        <v>907</v>
      </c>
      <c r="B1802" s="309" t="s">
        <v>206</v>
      </c>
      <c r="C1802" s="314">
        <v>45946</v>
      </c>
      <c r="D1802" s="156">
        <v>2803</v>
      </c>
      <c r="G1802" t="s">
        <v>1466</v>
      </c>
    </row>
    <row r="1803" spans="1:7">
      <c r="A1803" s="142" t="s">
        <v>163</v>
      </c>
      <c r="B1803" s="142" t="s">
        <v>132</v>
      </c>
      <c r="C1803" s="314">
        <v>45946</v>
      </c>
      <c r="D1803" s="43">
        <v>688</v>
      </c>
      <c r="F1803" s="43" t="s">
        <v>1306</v>
      </c>
      <c r="G1803" t="s">
        <v>1466</v>
      </c>
    </row>
    <row r="1804" spans="1:7">
      <c r="A1804" s="1016" t="s">
        <v>267</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231</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389</v>
      </c>
      <c r="B1809" s="142" t="s">
        <v>1457</v>
      </c>
      <c r="C1809" s="56">
        <v>45947</v>
      </c>
      <c r="D1809" s="43">
        <v>123</v>
      </c>
      <c r="F1809" s="43" t="s">
        <v>1421</v>
      </c>
      <c r="G1809" t="s">
        <v>1466</v>
      </c>
    </row>
    <row r="1810" spans="1:7">
      <c r="A1810" s="710" t="s">
        <v>439</v>
      </c>
      <c r="B1810" s="710" t="s">
        <v>854</v>
      </c>
      <c r="C1810" s="56">
        <v>45947</v>
      </c>
      <c r="F1810" s="43" t="s">
        <v>1510</v>
      </c>
      <c r="G1810" t="s">
        <v>1466</v>
      </c>
    </row>
    <row r="1811" spans="1:7">
      <c r="A1811" s="149" t="s">
        <v>907</v>
      </c>
      <c r="B1811" s="116" t="s">
        <v>206</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384</v>
      </c>
      <c r="B1814" s="789" t="s">
        <v>854</v>
      </c>
      <c r="C1814" s="56">
        <v>45950</v>
      </c>
      <c r="D1814" s="43">
        <v>153</v>
      </c>
      <c r="F1814" s="1039"/>
      <c r="G1814" t="s">
        <v>1466</v>
      </c>
    </row>
    <row r="1815" spans="1:7">
      <c r="A1815" s="1037" t="s">
        <v>389</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435</v>
      </c>
      <c r="B1817" s="789" t="s">
        <v>132</v>
      </c>
      <c r="C1817" s="56">
        <v>45950</v>
      </c>
      <c r="D1817" s="43">
        <v>853</v>
      </c>
      <c r="F1817" s="43" t="s">
        <v>1514</v>
      </c>
      <c r="G1817" t="s">
        <v>1466</v>
      </c>
    </row>
    <row r="1818" spans="1:7">
      <c r="A1818" s="1038" t="s">
        <v>907</v>
      </c>
      <c r="B1818" s="1038" t="s">
        <v>206</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231</v>
      </c>
      <c r="C1821" s="56">
        <v>45950</v>
      </c>
      <c r="D1821" s="156">
        <v>1100</v>
      </c>
      <c r="G1821" t="s">
        <v>1466</v>
      </c>
    </row>
    <row r="1822" spans="1:7">
      <c r="A1822" s="1065" t="s">
        <v>384</v>
      </c>
      <c r="B1822" s="1051" t="s">
        <v>854</v>
      </c>
      <c r="C1822" s="56">
        <v>45951</v>
      </c>
      <c r="D1822" s="156">
        <v>244</v>
      </c>
      <c r="G1822" t="s">
        <v>1466</v>
      </c>
    </row>
    <row r="1823" spans="1:7">
      <c r="A1823" s="88" t="s">
        <v>389</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206</v>
      </c>
      <c r="C1825" s="56">
        <v>45951</v>
      </c>
      <c r="D1825" s="43">
        <v>714</v>
      </c>
      <c r="F1825" s="43" t="s">
        <v>1342</v>
      </c>
      <c r="G1825" t="s">
        <v>1466</v>
      </c>
    </row>
    <row r="1826" spans="1:7">
      <c r="A1826" s="1049" t="s">
        <v>441</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231</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389</v>
      </c>
      <c r="B1833" s="1046" t="s">
        <v>1457</v>
      </c>
      <c r="C1833" s="56">
        <v>45952</v>
      </c>
      <c r="D1833" s="43">
        <v>190</v>
      </c>
      <c r="G1833" t="s">
        <v>1466</v>
      </c>
    </row>
    <row r="1834" spans="1:7">
      <c r="A1834" s="842" t="s">
        <v>907</v>
      </c>
      <c r="B1834" s="842" t="s">
        <v>206</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441</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231</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384</v>
      </c>
      <c r="B1842" s="1084" t="s">
        <v>854</v>
      </c>
      <c r="C1842" s="56">
        <v>45953</v>
      </c>
      <c r="D1842" s="43">
        <v>237</v>
      </c>
      <c r="G1842" t="s">
        <v>1466</v>
      </c>
    </row>
    <row r="1843" spans="1:7">
      <c r="A1843" s="335" t="s">
        <v>389</v>
      </c>
      <c r="B1843" s="251" t="s">
        <v>1457</v>
      </c>
      <c r="C1843" s="314">
        <v>45953</v>
      </c>
      <c r="D1843" s="43">
        <v>844</v>
      </c>
      <c r="F1843" s="43" t="s">
        <v>1527</v>
      </c>
      <c r="G1843" t="s">
        <v>1466</v>
      </c>
    </row>
    <row r="1844" spans="1:7">
      <c r="A1844" s="335" t="s">
        <v>389</v>
      </c>
      <c r="B1844" s="251" t="s">
        <v>1528</v>
      </c>
      <c r="C1844" s="314">
        <v>45953</v>
      </c>
      <c r="D1844" s="43">
        <v>350</v>
      </c>
      <c r="G1844" t="s">
        <v>1466</v>
      </c>
    </row>
    <row r="1845" spans="1:7">
      <c r="A1845" s="142" t="s">
        <v>907</v>
      </c>
      <c r="B1845" s="308" t="s">
        <v>206</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441</v>
      </c>
      <c r="B1847" s="409" t="s">
        <v>132</v>
      </c>
      <c r="C1847" s="56">
        <v>45953</v>
      </c>
      <c r="D1847" s="156">
        <v>1544</v>
      </c>
      <c r="F1847" s="43" t="s">
        <v>1531</v>
      </c>
      <c r="G1847" t="s">
        <v>1466</v>
      </c>
    </row>
    <row r="1848" spans="1:7">
      <c r="A1848" s="171" t="s">
        <v>408</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389</v>
      </c>
      <c r="B1854" s="251" t="s">
        <v>1457</v>
      </c>
      <c r="C1854" s="56">
        <v>45954</v>
      </c>
      <c r="D1854" s="43">
        <v>142</v>
      </c>
      <c r="F1854" s="43" t="s">
        <v>1534</v>
      </c>
      <c r="G1854" t="s">
        <v>1466</v>
      </c>
    </row>
    <row r="1855" spans="1:7">
      <c r="A1855" s="88" t="s">
        <v>389</v>
      </c>
      <c r="B1855" s="251" t="s">
        <v>1528</v>
      </c>
      <c r="C1855" s="56">
        <v>45954</v>
      </c>
      <c r="D1855" s="43">
        <v>164</v>
      </c>
      <c r="F1855" s="43" t="s">
        <v>1535</v>
      </c>
      <c r="G1855" t="s">
        <v>1466</v>
      </c>
    </row>
    <row r="1856" spans="1:7">
      <c r="A1856" s="142" t="s">
        <v>907</v>
      </c>
      <c r="B1856" s="308" t="s">
        <v>206</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389</v>
      </c>
      <c r="B1861" s="251" t="s">
        <v>1457</v>
      </c>
      <c r="C1861" s="56">
        <v>45957</v>
      </c>
      <c r="F1861" s="43" t="s">
        <v>934</v>
      </c>
      <c r="G1861" t="s">
        <v>1466</v>
      </c>
    </row>
    <row r="1862" spans="1:7">
      <c r="A1862" s="88" t="s">
        <v>389</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206</v>
      </c>
      <c r="C1865" s="56">
        <v>45957</v>
      </c>
      <c r="D1865" s="43">
        <v>820</v>
      </c>
      <c r="F1865" s="43" t="s">
        <v>1541</v>
      </c>
      <c r="G1865" t="s">
        <v>1466</v>
      </c>
    </row>
    <row r="1866" spans="1:7">
      <c r="A1866" s="142" t="s">
        <v>441</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408</v>
      </c>
      <c r="B1868" s="171" t="s">
        <v>132</v>
      </c>
      <c r="C1868" s="56">
        <v>45957</v>
      </c>
      <c r="D1868" s="43">
        <v>270</v>
      </c>
      <c r="G1868" t="s">
        <v>1466</v>
      </c>
    </row>
    <row r="1869" spans="1:7">
      <c r="A1869" s="1016" t="s">
        <v>267</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231</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389</v>
      </c>
      <c r="B1874" s="251" t="s">
        <v>1457</v>
      </c>
      <c r="C1874" s="56">
        <v>45958</v>
      </c>
      <c r="F1874" s="324" t="s">
        <v>1118</v>
      </c>
      <c r="G1874" t="s">
        <v>1466</v>
      </c>
    </row>
    <row r="1875" spans="1:7">
      <c r="A1875" s="88" t="s">
        <v>389</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206</v>
      </c>
      <c r="C1878" s="56">
        <v>45958</v>
      </c>
      <c r="D1878" s="156">
        <v>2077</v>
      </c>
      <c r="G1878" t="s">
        <v>1466</v>
      </c>
    </row>
    <row r="1879" spans="1:7">
      <c r="A1879" s="142" t="s">
        <v>364</v>
      </c>
      <c r="B1879" s="142" t="s">
        <v>132</v>
      </c>
      <c r="C1879" s="56">
        <v>45958</v>
      </c>
      <c r="D1879" s="156">
        <v>1509</v>
      </c>
      <c r="F1879" s="43" t="s">
        <v>1548</v>
      </c>
      <c r="G1879" t="s">
        <v>1466</v>
      </c>
    </row>
    <row r="1880" spans="1:7">
      <c r="A1880" s="1067" t="s">
        <v>437</v>
      </c>
      <c r="B1880" s="409" t="s">
        <v>132</v>
      </c>
      <c r="C1880" s="56">
        <v>45958</v>
      </c>
      <c r="D1880" s="156">
        <v>1678</v>
      </c>
      <c r="F1880" s="43" t="s">
        <v>1549</v>
      </c>
      <c r="G1880" t="s">
        <v>1466</v>
      </c>
    </row>
    <row r="1881" spans="1:7">
      <c r="A1881" s="1067" t="s">
        <v>441</v>
      </c>
      <c r="B1881" s="409" t="s">
        <v>132</v>
      </c>
      <c r="C1881" s="56">
        <v>45958</v>
      </c>
      <c r="D1881" s="156">
        <v>115</v>
      </c>
      <c r="F1881" s="43" t="s">
        <v>1430</v>
      </c>
      <c r="G1881" t="s">
        <v>1466</v>
      </c>
    </row>
    <row r="1882" spans="1:7">
      <c r="A1882" s="171" t="s">
        <v>408</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231</v>
      </c>
      <c r="C1884" s="56">
        <v>45958</v>
      </c>
      <c r="D1884" s="156">
        <v>1224</v>
      </c>
      <c r="G1884" t="s">
        <v>1466</v>
      </c>
    </row>
    <row r="1885" spans="1:7">
      <c r="A1885" s="43" t="s">
        <v>351</v>
      </c>
      <c r="B1885" s="681" t="s">
        <v>231</v>
      </c>
      <c r="C1885" s="56">
        <v>45958</v>
      </c>
      <c r="D1885" s="156">
        <v>423</v>
      </c>
      <c r="G1885" t="s">
        <v>1466</v>
      </c>
    </row>
    <row r="1886" spans="1:7">
      <c r="A1886" s="88" t="s">
        <v>83</v>
      </c>
      <c r="B1886" s="412" t="s">
        <v>854</v>
      </c>
      <c r="C1886" s="56">
        <v>45959</v>
      </c>
      <c r="D1886" s="43">
        <v>171</v>
      </c>
      <c r="G1886" t="s">
        <v>1466</v>
      </c>
    </row>
    <row r="1887" spans="1:7">
      <c r="A1887" s="88" t="s">
        <v>389</v>
      </c>
      <c r="B1887" s="251" t="s">
        <v>1457</v>
      </c>
      <c r="C1887" s="56">
        <v>45959</v>
      </c>
      <c r="F1887" s="43" t="s">
        <v>1552</v>
      </c>
      <c r="G1887" t="s">
        <v>1466</v>
      </c>
    </row>
    <row r="1888" spans="1:7">
      <c r="A1888" s="88" t="s">
        <v>389</v>
      </c>
      <c r="B1888" s="251" t="s">
        <v>1553</v>
      </c>
      <c r="C1888" s="56">
        <v>45959</v>
      </c>
      <c r="D1888" s="156">
        <v>1147</v>
      </c>
      <c r="F1888" s="43" t="s">
        <v>1554</v>
      </c>
      <c r="G1888" t="s">
        <v>1466</v>
      </c>
    </row>
    <row r="1889" spans="1:7">
      <c r="A1889" s="88" t="s">
        <v>389</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206</v>
      </c>
      <c r="C1892" s="56">
        <v>45959</v>
      </c>
      <c r="D1892" s="156">
        <v>1096</v>
      </c>
      <c r="F1892" s="43" t="s">
        <v>1556</v>
      </c>
      <c r="G1892" t="s">
        <v>1466</v>
      </c>
    </row>
    <row r="1893" spans="1:7">
      <c r="A1893" s="786" t="s">
        <v>364</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231</v>
      </c>
      <c r="C1895" s="56">
        <v>45959</v>
      </c>
      <c r="D1895" s="43">
        <v>343</v>
      </c>
      <c r="G1895" t="s">
        <v>1466</v>
      </c>
    </row>
    <row r="1896" spans="1:7">
      <c r="A1896" s="69" t="s">
        <v>230</v>
      </c>
      <c r="B1896" s="43" t="s">
        <v>231</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389</v>
      </c>
      <c r="B1899" s="251" t="s">
        <v>1457</v>
      </c>
      <c r="C1899" s="56">
        <v>45960</v>
      </c>
      <c r="F1899" s="324" t="s">
        <v>1561</v>
      </c>
      <c r="G1899" t="s">
        <v>1466</v>
      </c>
    </row>
    <row r="1900" spans="1:7">
      <c r="A1900" s="88" t="s">
        <v>389</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206</v>
      </c>
      <c r="C1903" s="56">
        <v>45960</v>
      </c>
      <c r="F1903" s="142" t="s">
        <v>1565</v>
      </c>
      <c r="G1903" t="s">
        <v>1466</v>
      </c>
    </row>
    <row r="1904" spans="1:7">
      <c r="A1904" s="310" t="s">
        <v>364</v>
      </c>
      <c r="B1904" s="322" t="s">
        <v>132</v>
      </c>
      <c r="C1904" s="56">
        <v>45960</v>
      </c>
      <c r="D1904" s="43">
        <v>777</v>
      </c>
      <c r="F1904" s="43" t="s">
        <v>1566</v>
      </c>
      <c r="G1904" t="s">
        <v>1466</v>
      </c>
    </row>
    <row r="1905" spans="1:7">
      <c r="A1905" s="43" t="s">
        <v>437</v>
      </c>
      <c r="B1905" s="1125" t="s">
        <v>132</v>
      </c>
      <c r="C1905" s="56">
        <v>45960</v>
      </c>
      <c r="D1905" s="43">
        <v>394</v>
      </c>
      <c r="E1905" s="325">
        <v>1275</v>
      </c>
      <c r="F1905" s="43" t="s">
        <v>1567</v>
      </c>
      <c r="G1905" t="s">
        <v>1466</v>
      </c>
    </row>
    <row r="1906" spans="1:7">
      <c r="A1906" s="1126" t="s">
        <v>187</v>
      </c>
      <c r="B1906" s="171" t="s">
        <v>132</v>
      </c>
      <c r="C1906" s="56">
        <v>45960</v>
      </c>
      <c r="D1906" s="43">
        <v>978</v>
      </c>
      <c r="G1906" t="s">
        <v>1466</v>
      </c>
    </row>
    <row r="1907" spans="1:7">
      <c r="A1907" s="171" t="s">
        <v>198</v>
      </c>
      <c r="B1907" s="171" t="s">
        <v>854</v>
      </c>
      <c r="C1907" s="56">
        <v>45960</v>
      </c>
      <c r="D1907" s="43">
        <v>502</v>
      </c>
      <c r="E1907" s="204"/>
      <c r="F1907" s="116" t="s">
        <v>1282</v>
      </c>
      <c r="G1907" t="s">
        <v>1466</v>
      </c>
    </row>
    <row r="1908" spans="1:7">
      <c r="A1908" s="171" t="s">
        <v>441</v>
      </c>
      <c r="B1908" s="171" t="s">
        <v>854</v>
      </c>
      <c r="C1908" s="56">
        <v>45960</v>
      </c>
      <c r="D1908" s="140"/>
      <c r="E1908" s="43">
        <v>669</v>
      </c>
      <c r="G1908" t="s">
        <v>1466</v>
      </c>
    </row>
    <row r="1909" spans="1:7">
      <c r="A1909" s="171" t="s">
        <v>443</v>
      </c>
      <c r="B1909" s="171" t="s">
        <v>132</v>
      </c>
      <c r="C1909" s="56">
        <v>45960</v>
      </c>
      <c r="D1909" s="140"/>
      <c r="E1909" s="43"/>
      <c r="F1909" s="155" t="s">
        <v>1568</v>
      </c>
      <c r="G1909" t="s">
        <v>1466</v>
      </c>
    </row>
    <row r="1910" spans="1:7">
      <c r="A1910" s="43" t="s">
        <v>351</v>
      </c>
      <c r="B1910" s="322" t="s">
        <v>231</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233</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389</v>
      </c>
      <c r="B1915" s="251" t="s">
        <v>1457</v>
      </c>
      <c r="C1915" s="56">
        <v>45961</v>
      </c>
      <c r="F1915" s="324" t="s">
        <v>1141</v>
      </c>
      <c r="G1915" t="s">
        <v>1466</v>
      </c>
    </row>
    <row r="1916" spans="1:7">
      <c r="A1916" s="88" t="s">
        <v>389</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206</v>
      </c>
      <c r="C1919" s="56">
        <v>45961</v>
      </c>
      <c r="E1919" s="325">
        <v>1428</v>
      </c>
      <c r="F1919" s="69"/>
      <c r="G1919" t="s">
        <v>1466</v>
      </c>
    </row>
    <row r="1920" spans="1:7">
      <c r="A1920" s="142" t="s">
        <v>364</v>
      </c>
      <c r="B1920" s="142" t="s">
        <v>132</v>
      </c>
      <c r="C1920" s="56">
        <v>45961</v>
      </c>
      <c r="F1920" s="69" t="s">
        <v>1573</v>
      </c>
      <c r="G1920" t="s">
        <v>1466</v>
      </c>
    </row>
    <row r="1921" spans="1:7">
      <c r="A1921" s="43" t="s">
        <v>364</v>
      </c>
      <c r="B1921" s="409" t="s">
        <v>854</v>
      </c>
      <c r="C1921" s="56">
        <v>45961</v>
      </c>
      <c r="E1921" s="325">
        <v>1862</v>
      </c>
      <c r="F1921" s="639" t="s">
        <v>1288</v>
      </c>
      <c r="G1921" t="s">
        <v>1466</v>
      </c>
    </row>
    <row r="1922" spans="1:7">
      <c r="A1922" s="43" t="s">
        <v>400</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233</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389</v>
      </c>
      <c r="B1927" s="319" t="s">
        <v>1553</v>
      </c>
      <c r="C1927" s="56">
        <v>45964</v>
      </c>
      <c r="F1927" s="324" t="s">
        <v>1225</v>
      </c>
      <c r="G1927" t="s">
        <v>1576</v>
      </c>
    </row>
    <row r="1928" spans="1:7">
      <c r="A1928" s="308" t="s">
        <v>187</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366</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198</v>
      </c>
      <c r="B1932" s="308" t="s">
        <v>854</v>
      </c>
      <c r="C1932" s="56">
        <v>45964</v>
      </c>
      <c r="D1932" s="43">
        <v>259</v>
      </c>
      <c r="G1932" t="s">
        <v>1576</v>
      </c>
    </row>
    <row r="1933" spans="1:7">
      <c r="A1933" s="142" t="s">
        <v>356</v>
      </c>
      <c r="B1933" s="322" t="s">
        <v>1501</v>
      </c>
      <c r="C1933" s="56">
        <v>45964</v>
      </c>
      <c r="D1933" s="43">
        <v>463</v>
      </c>
      <c r="G1933" t="s">
        <v>1576</v>
      </c>
    </row>
    <row r="1934" spans="1:7">
      <c r="A1934" s="309" t="s">
        <v>230</v>
      </c>
      <c r="B1934" s="308" t="s">
        <v>231</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88" t="s">
        <v>871</v>
      </c>
      <c r="B1939" s="412" t="s">
        <v>854</v>
      </c>
      <c r="C1939" s="56">
        <v>45965</v>
      </c>
      <c r="F1939" s="1010" t="s">
        <v>1571</v>
      </c>
      <c r="G1939" t="s">
        <v>1576</v>
      </c>
    </row>
    <row r="1940" spans="1:7">
      <c r="A1940" s="88" t="s">
        <v>389</v>
      </c>
      <c r="B1940" s="1046" t="s">
        <v>1553</v>
      </c>
      <c r="C1940" s="56">
        <v>45965</v>
      </c>
      <c r="F1940" s="1010" t="s">
        <v>1225</v>
      </c>
      <c r="G1940" t="s">
        <v>1576</v>
      </c>
    </row>
    <row r="1941" spans="1:7">
      <c r="A1941" s="149" t="s">
        <v>95</v>
      </c>
      <c r="B1941" s="149" t="s">
        <v>1366</v>
      </c>
      <c r="C1941" s="56">
        <v>45965</v>
      </c>
      <c r="D1941" s="43">
        <v>363</v>
      </c>
      <c r="G1941" t="s">
        <v>1576</v>
      </c>
    </row>
    <row r="1942" spans="1:7">
      <c r="A1942" s="149" t="s">
        <v>95</v>
      </c>
      <c r="B1942" s="149" t="s">
        <v>239</v>
      </c>
      <c r="C1942" s="56">
        <v>45965</v>
      </c>
      <c r="D1942" s="43">
        <v>778</v>
      </c>
      <c r="G1942" t="s">
        <v>1576</v>
      </c>
    </row>
    <row r="1943" spans="1:7">
      <c r="A1943" s="149" t="s">
        <v>95</v>
      </c>
      <c r="B1943" s="43" t="s">
        <v>1457</v>
      </c>
      <c r="C1943" s="56">
        <v>45965</v>
      </c>
      <c r="D1943" s="43">
        <v>550</v>
      </c>
      <c r="G1943" t="s">
        <v>1576</v>
      </c>
    </row>
    <row r="1944" spans="1:7">
      <c r="A1944" s="1067" t="s">
        <v>366</v>
      </c>
      <c r="B1944" s="43" t="s">
        <v>132</v>
      </c>
      <c r="C1944" s="56">
        <v>45965</v>
      </c>
      <c r="D1944" s="156">
        <v>1120</v>
      </c>
      <c r="F1944" s="43" t="s">
        <v>1583</v>
      </c>
      <c r="G1944" t="s">
        <v>1576</v>
      </c>
    </row>
    <row r="1945" spans="1:7">
      <c r="A1945" s="142" t="s">
        <v>187</v>
      </c>
      <c r="B1945" s="142" t="s">
        <v>132</v>
      </c>
      <c r="C1945" s="56">
        <v>45965</v>
      </c>
      <c r="D1945" s="43">
        <v>990</v>
      </c>
      <c r="F1945" s="43" t="s">
        <v>980</v>
      </c>
      <c r="G1945" t="s">
        <v>1576</v>
      </c>
    </row>
    <row r="1946" spans="1:7">
      <c r="A1946" s="43" t="s">
        <v>198</v>
      </c>
      <c r="B1946" s="43" t="s">
        <v>1584</v>
      </c>
      <c r="C1946" s="56">
        <v>45965</v>
      </c>
      <c r="D1946" s="43">
        <v>817</v>
      </c>
      <c r="G1946" t="s">
        <v>1576</v>
      </c>
    </row>
    <row r="1947" spans="1:7">
      <c r="A1947" s="43" t="s">
        <v>198</v>
      </c>
      <c r="B1947" s="43" t="s">
        <v>854</v>
      </c>
      <c r="C1947" s="56">
        <v>45965</v>
      </c>
      <c r="D1947" s="43">
        <v>270</v>
      </c>
      <c r="G1947" t="s">
        <v>1576</v>
      </c>
    </row>
    <row r="1948" spans="1:7">
      <c r="A1948" s="639" t="s">
        <v>356</v>
      </c>
      <c r="B1948" s="43" t="s">
        <v>1501</v>
      </c>
      <c r="C1948" s="56">
        <v>45965</v>
      </c>
      <c r="D1948" s="43">
        <v>633</v>
      </c>
      <c r="G1948" t="s">
        <v>1576</v>
      </c>
    </row>
    <row r="1949" spans="1:7">
      <c r="A1949" s="43" t="s">
        <v>233</v>
      </c>
      <c r="B1949" s="142" t="s">
        <v>1575</v>
      </c>
      <c r="C1949" s="56">
        <v>45965</v>
      </c>
      <c r="D1949" s="43">
        <v>379</v>
      </c>
      <c r="F1949" s="43" t="s">
        <v>1585</v>
      </c>
      <c r="G1949" t="s">
        <v>1576</v>
      </c>
    </row>
    <row r="1950" spans="1:7">
      <c r="A1950" s="149" t="s">
        <v>230</v>
      </c>
      <c r="B1950" s="43" t="s">
        <v>231</v>
      </c>
      <c r="C1950" s="56">
        <v>45965</v>
      </c>
      <c r="D1950" s="156">
        <v>1072</v>
      </c>
      <c r="F1950" s="43" t="s">
        <v>1586</v>
      </c>
      <c r="G1950" t="s">
        <v>1576</v>
      </c>
    </row>
    <row r="1951" spans="1:7">
      <c r="A1951" s="1136" t="s">
        <v>354</v>
      </c>
      <c r="B1951" s="786" t="s">
        <v>1501</v>
      </c>
      <c r="C1951" s="56">
        <v>45965</v>
      </c>
      <c r="F1951" s="1008" t="s">
        <v>999</v>
      </c>
      <c r="G1951" t="s">
        <v>1576</v>
      </c>
    </row>
    <row r="1952" spans="1:7">
      <c r="A1952" s="251" t="s">
        <v>402</v>
      </c>
      <c r="B1952" s="43" t="s">
        <v>854</v>
      </c>
      <c r="C1952" s="56">
        <v>45965</v>
      </c>
      <c r="F1952" s="324" t="s">
        <v>1282</v>
      </c>
      <c r="G1952" t="s">
        <v>1576</v>
      </c>
    </row>
    <row r="1953" spans="1:7">
      <c r="A1953" s="309" t="s">
        <v>95</v>
      </c>
      <c r="B1953" s="309" t="s">
        <v>1366</v>
      </c>
      <c r="C1953" s="56">
        <v>45966</v>
      </c>
      <c r="D1953" s="156">
        <v>1113</v>
      </c>
      <c r="G1953" t="s">
        <v>1576</v>
      </c>
    </row>
    <row r="1954" spans="1:7">
      <c r="A1954" s="315" t="s">
        <v>95</v>
      </c>
      <c r="B1954" s="315" t="s">
        <v>239</v>
      </c>
      <c r="C1954" s="56">
        <v>45966</v>
      </c>
      <c r="D1954" s="43">
        <v>885</v>
      </c>
      <c r="G1954" t="s">
        <v>1576</v>
      </c>
    </row>
    <row r="1955" spans="1:7">
      <c r="A1955" s="142" t="s">
        <v>366</v>
      </c>
      <c r="B1955" s="142" t="s">
        <v>132</v>
      </c>
      <c r="C1955" s="56">
        <v>45966</v>
      </c>
      <c r="D1955" s="156">
        <v>1488</v>
      </c>
      <c r="F1955" s="43" t="s">
        <v>1587</v>
      </c>
      <c r="G1955" t="s">
        <v>1576</v>
      </c>
    </row>
    <row r="1956" spans="1:7">
      <c r="A1956" s="308" t="s">
        <v>187</v>
      </c>
      <c r="B1956" s="308" t="s">
        <v>132</v>
      </c>
      <c r="C1956" s="56">
        <v>45966</v>
      </c>
      <c r="D1956" s="43">
        <v>549</v>
      </c>
      <c r="F1956" s="43" t="s">
        <v>1002</v>
      </c>
      <c r="G1956" t="s">
        <v>1576</v>
      </c>
    </row>
    <row r="1957" spans="1:7">
      <c r="A1957" s="308" t="s">
        <v>198</v>
      </c>
      <c r="B1957" s="308" t="s">
        <v>1584</v>
      </c>
      <c r="C1957" s="56">
        <v>45966</v>
      </c>
      <c r="D1957" s="156">
        <v>1377</v>
      </c>
      <c r="G1957" t="s">
        <v>1576</v>
      </c>
    </row>
    <row r="1958" spans="1:7">
      <c r="A1958" s="308" t="s">
        <v>198</v>
      </c>
      <c r="B1958" s="308" t="s">
        <v>854</v>
      </c>
      <c r="C1958" s="56">
        <v>45966</v>
      </c>
      <c r="D1958" s="43">
        <v>829</v>
      </c>
      <c r="G1958" t="s">
        <v>1576</v>
      </c>
    </row>
    <row r="1959" spans="1:7">
      <c r="A1959" s="308" t="s">
        <v>201</v>
      </c>
      <c r="B1959" s="308" t="s">
        <v>132</v>
      </c>
      <c r="C1959" s="56">
        <v>45966</v>
      </c>
      <c r="D1959" s="156">
        <v>1031</v>
      </c>
      <c r="G1959" t="s">
        <v>1576</v>
      </c>
    </row>
    <row r="1960" spans="1:7">
      <c r="A1960" s="142" t="s">
        <v>356</v>
      </c>
      <c r="B1960" s="142" t="s">
        <v>1501</v>
      </c>
      <c r="C1960" s="56">
        <v>45966</v>
      </c>
      <c r="D1960" s="43">
        <v>625</v>
      </c>
      <c r="G1960" t="s">
        <v>1576</v>
      </c>
    </row>
    <row r="1961" spans="1:7">
      <c r="A1961" s="308" t="s">
        <v>233</v>
      </c>
      <c r="B1961" s="308" t="s">
        <v>1575</v>
      </c>
      <c r="C1961" s="56">
        <v>45966</v>
      </c>
      <c r="D1961" s="43">
        <v>208</v>
      </c>
      <c r="F1961" s="43" t="s">
        <v>921</v>
      </c>
      <c r="G1961" t="s">
        <v>1576</v>
      </c>
    </row>
    <row r="1962" spans="1:7">
      <c r="A1962" s="309" t="s">
        <v>230</v>
      </c>
      <c r="B1962" s="308" t="s">
        <v>231</v>
      </c>
      <c r="C1962" s="56">
        <v>45966</v>
      </c>
      <c r="D1962" s="156">
        <v>1034</v>
      </c>
      <c r="G1962" t="s">
        <v>1576</v>
      </c>
    </row>
    <row r="1963" spans="1:7">
      <c r="A1963" s="315" t="s">
        <v>337</v>
      </c>
      <c r="B1963" s="1137" t="s">
        <v>1280</v>
      </c>
      <c r="C1963" s="56">
        <v>45966</v>
      </c>
      <c r="D1963" s="43">
        <v>150</v>
      </c>
      <c r="G1963" t="s">
        <v>1576</v>
      </c>
    </row>
    <row r="1964" spans="1:7">
      <c r="A1964" s="251" t="s">
        <v>332</v>
      </c>
      <c r="B1964" s="158" t="s">
        <v>1580</v>
      </c>
      <c r="C1964" s="56">
        <v>45966</v>
      </c>
      <c r="E1964" s="325">
        <v>13112</v>
      </c>
      <c r="F1964" s="43" t="s">
        <v>1588</v>
      </c>
      <c r="G1964" t="s">
        <v>1576</v>
      </c>
    </row>
    <row r="1965" spans="1:7">
      <c r="A1965" s="149" t="s">
        <v>95</v>
      </c>
      <c r="B1965" s="149" t="s">
        <v>1366</v>
      </c>
      <c r="C1965" s="56">
        <v>45967</v>
      </c>
      <c r="F1965" s="315" t="s">
        <v>1589</v>
      </c>
      <c r="G1965" t="s">
        <v>1576</v>
      </c>
    </row>
    <row r="1966" spans="1:7">
      <c r="A1966" s="149" t="s">
        <v>95</v>
      </c>
      <c r="B1966" s="149" t="s">
        <v>1590</v>
      </c>
      <c r="C1966" s="56">
        <v>45967</v>
      </c>
      <c r="D1966" s="43">
        <v>760</v>
      </c>
      <c r="G1966" t="s">
        <v>1576</v>
      </c>
    </row>
    <row r="1967" spans="1:7">
      <c r="A1967" s="1067" t="s">
        <v>366</v>
      </c>
      <c r="B1967" s="43" t="s">
        <v>132</v>
      </c>
      <c r="C1967" s="56">
        <v>45967</v>
      </c>
      <c r="D1967" s="43">
        <v>954</v>
      </c>
      <c r="F1967" s="43" t="s">
        <v>1591</v>
      </c>
      <c r="G1967" t="s">
        <v>1576</v>
      </c>
    </row>
    <row r="1968" spans="1:7">
      <c r="A1968" s="43" t="s">
        <v>198</v>
      </c>
      <c r="B1968" s="43" t="s">
        <v>1584</v>
      </c>
      <c r="C1968" s="56">
        <v>45967</v>
      </c>
      <c r="D1968" s="43">
        <v>183</v>
      </c>
      <c r="G1968" t="s">
        <v>1576</v>
      </c>
    </row>
    <row r="1969" spans="1:7">
      <c r="A1969" s="43" t="s">
        <v>198</v>
      </c>
      <c r="B1969" s="43" t="s">
        <v>854</v>
      </c>
      <c r="C1969" s="56">
        <v>45967</v>
      </c>
      <c r="D1969" s="43">
        <v>270</v>
      </c>
      <c r="G1969" t="s">
        <v>1576</v>
      </c>
    </row>
    <row r="1970" spans="1:7">
      <c r="A1970" s="639" t="s">
        <v>356</v>
      </c>
      <c r="B1970" s="43" t="s">
        <v>1580</v>
      </c>
      <c r="C1970" s="56">
        <v>45967</v>
      </c>
      <c r="E1970" s="325">
        <v>5200</v>
      </c>
      <c r="F1970" s="43" t="s">
        <v>1592</v>
      </c>
      <c r="G1970" t="s">
        <v>1576</v>
      </c>
    </row>
    <row r="1971" spans="1:7">
      <c r="A1971" s="43" t="s">
        <v>233</v>
      </c>
      <c r="B1971" s="142" t="s">
        <v>1575</v>
      </c>
      <c r="C1971" s="56">
        <v>45967</v>
      </c>
      <c r="F1971" s="398" t="s">
        <v>1593</v>
      </c>
      <c r="G1971" t="s">
        <v>1576</v>
      </c>
    </row>
    <row r="1972" spans="1:7">
      <c r="A1972" s="149" t="s">
        <v>230</v>
      </c>
      <c r="B1972" s="43" t="s">
        <v>231</v>
      </c>
      <c r="C1972" s="56">
        <v>45967</v>
      </c>
      <c r="D1972" s="43">
        <v>209</v>
      </c>
      <c r="G1972" t="s">
        <v>1576</v>
      </c>
    </row>
    <row r="1973" spans="1:7">
      <c r="A1973" s="639" t="s">
        <v>355</v>
      </c>
      <c r="B1973" s="786" t="s">
        <v>1501</v>
      </c>
      <c r="C1973" s="56">
        <v>45967</v>
      </c>
      <c r="D1973" s="156">
        <v>1063</v>
      </c>
      <c r="G1973" t="s">
        <v>1576</v>
      </c>
    </row>
    <row r="1974" spans="1:7">
      <c r="A1974" s="310" t="s">
        <v>95</v>
      </c>
      <c r="B1974" s="310" t="s">
        <v>1590</v>
      </c>
      <c r="C1974" s="56">
        <v>45968</v>
      </c>
      <c r="G1974" t="s">
        <v>1576</v>
      </c>
    </row>
    <row r="1975" spans="1:7">
      <c r="A1975" s="310" t="s">
        <v>95</v>
      </c>
      <c r="B1975" s="310" t="s">
        <v>1366</v>
      </c>
      <c r="C1975" s="56">
        <v>45968</v>
      </c>
      <c r="G1975" t="s">
        <v>1576</v>
      </c>
    </row>
    <row r="1976" spans="1:7">
      <c r="A1976" s="315" t="s">
        <v>95</v>
      </c>
      <c r="B1976" s="315" t="s">
        <v>1553</v>
      </c>
      <c r="C1976" s="56">
        <v>45968</v>
      </c>
      <c r="G1976" t="s">
        <v>1576</v>
      </c>
    </row>
    <row r="1977" spans="1:7">
      <c r="A1977" s="1155" t="s">
        <v>387</v>
      </c>
      <c r="B1977" s="1155" t="s">
        <v>1528</v>
      </c>
      <c r="C1977" s="56">
        <v>45968</v>
      </c>
      <c r="D1977" s="43">
        <v>451</v>
      </c>
      <c r="G1977" t="s">
        <v>1576</v>
      </c>
    </row>
    <row r="1978" spans="1:7">
      <c r="A1978" s="142" t="s">
        <v>198</v>
      </c>
      <c r="B1978" s="142" t="s">
        <v>1584</v>
      </c>
      <c r="C1978" s="56">
        <v>45968</v>
      </c>
      <c r="G1978" t="s">
        <v>1576</v>
      </c>
    </row>
    <row r="1979" spans="1:7">
      <c r="A1979" s="142" t="s">
        <v>355</v>
      </c>
      <c r="B1979" s="308" t="s">
        <v>854</v>
      </c>
      <c r="C1979" s="56">
        <v>45968</v>
      </c>
      <c r="D1979" s="43">
        <v>350</v>
      </c>
      <c r="G1979" t="s">
        <v>1576</v>
      </c>
    </row>
    <row r="1980" spans="1:7">
      <c r="A1980" s="142" t="s">
        <v>355</v>
      </c>
      <c r="B1980" s="786" t="s">
        <v>1501</v>
      </c>
      <c r="C1980" s="56">
        <v>45968</v>
      </c>
      <c r="D1980" s="43">
        <v>913</v>
      </c>
      <c r="F1980" s="43" t="s">
        <v>1002</v>
      </c>
      <c r="G1980" t="s">
        <v>1576</v>
      </c>
    </row>
    <row r="1981" spans="1:7">
      <c r="A1981" s="43" t="s">
        <v>233</v>
      </c>
      <c r="B1981" s="142" t="s">
        <v>1575</v>
      </c>
      <c r="C1981" s="56">
        <v>45968</v>
      </c>
      <c r="F1981" s="398" t="s">
        <v>1593</v>
      </c>
      <c r="G1981" t="s">
        <v>1576</v>
      </c>
    </row>
    <row r="1982" spans="1:7">
      <c r="A1982" s="251" t="s">
        <v>352</v>
      </c>
      <c r="B1982" s="786" t="s">
        <v>1501</v>
      </c>
      <c r="C1982" s="56">
        <v>45968</v>
      </c>
      <c r="F1982" s="315" t="s">
        <v>1225</v>
      </c>
      <c r="G1982" t="s">
        <v>1576</v>
      </c>
    </row>
    <row r="1983" spans="1:7">
      <c r="A1983" s="251" t="s">
        <v>349</v>
      </c>
      <c r="B1983" s="43" t="s">
        <v>231</v>
      </c>
      <c r="C1983" s="56">
        <v>45968</v>
      </c>
      <c r="D1983" s="43">
        <v>569</v>
      </c>
      <c r="G1983" t="s">
        <v>1576</v>
      </c>
    </row>
    <row r="1984" spans="1:7">
      <c r="C1984"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1594</v>
      </c>
      <c r="Q1" s="160" t="s">
        <v>1595</v>
      </c>
      <c r="R1" s="128" t="s">
        <v>1596</v>
      </c>
      <c r="S1" s="128" t="s">
        <v>1597</v>
      </c>
      <c r="T1" s="160" t="s">
        <v>1598</v>
      </c>
      <c r="U1" s="128" t="s">
        <v>985</v>
      </c>
      <c r="V1" s="161" t="s">
        <v>1599</v>
      </c>
      <c r="W1" s="161" t="s">
        <v>1600</v>
      </c>
      <c r="X1" s="164" t="s">
        <v>1601</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1602</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1602</v>
      </c>
      <c r="S7" s="43" t="s">
        <v>330</v>
      </c>
      <c r="T7" s="43" t="s">
        <v>330</v>
      </c>
      <c r="U7" s="43" t="s">
        <v>330</v>
      </c>
      <c r="V7" s="69" t="s">
        <v>111</v>
      </c>
      <c r="W7" s="30"/>
      <c r="X7" s="69" t="s">
        <v>111</v>
      </c>
      <c r="Y7" t="e">
        <f>VLOOKUP(A7,#REF!,2,FALSE)</f>
        <v>#REF!</v>
      </c>
    </row>
    <row r="8" spans="1:25">
      <c r="A8" s="178" t="s">
        <v>398</v>
      </c>
      <c r="B8" s="183" t="s">
        <v>213</v>
      </c>
      <c r="C8" s="179">
        <v>45742</v>
      </c>
      <c r="D8" s="188" t="s">
        <v>1603</v>
      </c>
      <c r="E8" s="121"/>
      <c r="F8" s="109"/>
      <c r="G8" s="109"/>
      <c r="H8" s="182">
        <v>84</v>
      </c>
      <c r="I8" s="184"/>
      <c r="J8" s="188" t="s">
        <v>57</v>
      </c>
      <c r="K8" s="188" t="s">
        <v>57</v>
      </c>
      <c r="L8" s="188" t="s">
        <v>63</v>
      </c>
      <c r="M8" s="196">
        <v>45716</v>
      </c>
      <c r="N8" s="30" t="s">
        <v>330</v>
      </c>
      <c r="O8" s="30" t="s">
        <v>330</v>
      </c>
      <c r="P8" s="738" t="s">
        <v>330</v>
      </c>
      <c r="Q8" s="69" t="s">
        <v>330</v>
      </c>
      <c r="R8" s="43" t="s">
        <v>1602</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1602</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1602</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1602</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1602</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1604</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1605</v>
      </c>
      <c r="N16" s="30" t="s">
        <v>330</v>
      </c>
      <c r="O16" s="54" t="s">
        <v>1605</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1604</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1604</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1604</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1604</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1604</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1604</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1604</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1602</v>
      </c>
      <c r="S31" s="43" t="s">
        <v>330</v>
      </c>
      <c r="T31" s="140" t="s">
        <v>330</v>
      </c>
      <c r="U31" s="116" t="s">
        <v>330</v>
      </c>
      <c r="V31" s="69" t="s">
        <v>330</v>
      </c>
      <c r="W31" s="54">
        <v>45779</v>
      </c>
      <c r="X31" s="69" t="s">
        <v>1604</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1602</v>
      </c>
      <c r="S32" s="43" t="s">
        <v>330</v>
      </c>
      <c r="T32" s="140" t="s">
        <v>330</v>
      </c>
      <c r="U32" s="43" t="s">
        <v>330</v>
      </c>
      <c r="V32" s="69" t="s">
        <v>330</v>
      </c>
      <c r="W32" s="54">
        <v>45792</v>
      </c>
      <c r="X32" s="69" t="s">
        <v>1604</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1602</v>
      </c>
      <c r="S33" s="43" t="s">
        <v>330</v>
      </c>
      <c r="T33" s="140" t="s">
        <v>330</v>
      </c>
      <c r="U33" s="43" t="s">
        <v>330</v>
      </c>
      <c r="V33" s="345" t="s">
        <v>330</v>
      </c>
      <c r="W33" s="54">
        <v>45812</v>
      </c>
      <c r="X33" s="69" t="s">
        <v>1604</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1602</v>
      </c>
      <c r="S34" s="43" t="s">
        <v>330</v>
      </c>
      <c r="T34" s="140" t="s">
        <v>330</v>
      </c>
      <c r="U34" s="43" t="s">
        <v>330</v>
      </c>
      <c r="V34" s="418" t="s">
        <v>330</v>
      </c>
      <c r="W34" s="168">
        <v>45797</v>
      </c>
      <c r="X34" s="69" t="s">
        <v>1604</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1602</v>
      </c>
      <c r="S35" s="43" t="s">
        <v>330</v>
      </c>
      <c r="T35" s="140" t="s">
        <v>330</v>
      </c>
      <c r="U35" s="171" t="s">
        <v>330</v>
      </c>
      <c r="V35" s="69" t="s">
        <v>330</v>
      </c>
      <c r="W35" s="54">
        <v>45789</v>
      </c>
      <c r="X35" s="345" t="s">
        <v>1604</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1602</v>
      </c>
      <c r="S36" s="43" t="s">
        <v>330</v>
      </c>
      <c r="T36" s="140" t="s">
        <v>330</v>
      </c>
      <c r="U36" s="43" t="s">
        <v>330</v>
      </c>
      <c r="V36" s="69" t="s">
        <v>330</v>
      </c>
      <c r="W36" s="54">
        <v>45824</v>
      </c>
      <c r="X36" s="345" t="s">
        <v>1604</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1602</v>
      </c>
      <c r="S37" s="43" t="s">
        <v>330</v>
      </c>
      <c r="T37" s="43" t="s">
        <v>330</v>
      </c>
      <c r="U37" s="171" t="s">
        <v>330</v>
      </c>
      <c r="V37" s="69" t="s">
        <v>330</v>
      </c>
      <c r="W37" s="157">
        <v>45789</v>
      </c>
      <c r="X37" s="69" t="s">
        <v>1604</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1602</v>
      </c>
      <c r="S38" s="43" t="s">
        <v>330</v>
      </c>
      <c r="T38" s="43" t="s">
        <v>330</v>
      </c>
      <c r="U38" s="171" t="s">
        <v>330</v>
      </c>
      <c r="V38" s="69" t="s">
        <v>330</v>
      </c>
      <c r="W38" s="54">
        <v>45789</v>
      </c>
      <c r="X38" s="69" t="s">
        <v>1604</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1602</v>
      </c>
      <c r="S39" s="43" t="s">
        <v>330</v>
      </c>
      <c r="T39" s="43" t="s">
        <v>330</v>
      </c>
      <c r="U39" s="171" t="s">
        <v>330</v>
      </c>
      <c r="V39" s="69" t="s">
        <v>330</v>
      </c>
      <c r="W39" s="54">
        <v>45789</v>
      </c>
      <c r="X39" s="69" t="s">
        <v>1604</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1604</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1604</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1604</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1604</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1604</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1604</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1604</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1604</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1604</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1604</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1604</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1604</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1602</v>
      </c>
      <c r="S57" s="43" t="s">
        <v>330</v>
      </c>
      <c r="T57" s="43" t="s">
        <v>330</v>
      </c>
      <c r="U57" s="43" t="s">
        <v>330</v>
      </c>
      <c r="V57" s="69" t="s">
        <v>330</v>
      </c>
      <c r="W57" s="54">
        <v>45813</v>
      </c>
      <c r="X57" s="69" t="s">
        <v>1604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1602</v>
      </c>
      <c r="S58" s="43" t="s">
        <v>330</v>
      </c>
      <c r="T58" s="43" t="s">
        <v>330</v>
      </c>
      <c r="U58" s="43" t="s">
        <v>330</v>
      </c>
      <c r="V58" s="345" t="s">
        <v>330</v>
      </c>
      <c r="W58" s="54">
        <v>45796</v>
      </c>
      <c r="X58" s="69" t="s">
        <v>1604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1602</v>
      </c>
      <c r="S59" s="43" t="s">
        <v>330</v>
      </c>
      <c r="T59" s="43" t="s">
        <v>330</v>
      </c>
      <c r="U59" s="43" t="s">
        <v>330</v>
      </c>
      <c r="V59" s="345" t="s">
        <v>330</v>
      </c>
      <c r="W59" s="54">
        <v>45796</v>
      </c>
      <c r="X59" s="69" t="s">
        <v>1604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1602</v>
      </c>
      <c r="S60" s="43" t="s">
        <v>330</v>
      </c>
      <c r="T60" s="43" t="s">
        <v>330</v>
      </c>
      <c r="U60" s="43" t="s">
        <v>330</v>
      </c>
      <c r="V60" s="345" t="s">
        <v>330</v>
      </c>
      <c r="W60" s="54">
        <v>45824</v>
      </c>
      <c r="X60" s="69" t="s">
        <v>1604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1606</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1602</v>
      </c>
      <c r="S81" s="43" t="s">
        <v>330</v>
      </c>
      <c r="T81" s="43" t="s">
        <v>330</v>
      </c>
      <c r="U81" s="116" t="s">
        <v>330</v>
      </c>
      <c r="V81" s="69" t="s">
        <v>330</v>
      </c>
      <c r="W81" s="54">
        <v>45789</v>
      </c>
      <c r="X81" s="69" t="s">
        <v>1604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1602</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1602</v>
      </c>
      <c r="S84" s="171" t="s">
        <v>330</v>
      </c>
      <c r="T84" s="171" t="s">
        <v>330</v>
      </c>
      <c r="U84" s="92" t="s">
        <v>330</v>
      </c>
      <c r="V84" s="69" t="s">
        <v>330</v>
      </c>
      <c r="W84" s="198">
        <v>45875</v>
      </c>
      <c r="X84" s="69" t="s">
        <v>1604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1602</v>
      </c>
      <c r="S85" s="171" t="s">
        <v>330</v>
      </c>
      <c r="T85" s="171" t="s">
        <v>330</v>
      </c>
      <c r="U85" s="92" t="s">
        <v>330</v>
      </c>
      <c r="V85" s="92" t="s">
        <v>330</v>
      </c>
      <c r="W85" s="198">
        <v>45874</v>
      </c>
      <c r="X85" s="69" t="s">
        <v>1604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1602</v>
      </c>
      <c r="S86" s="43" t="s">
        <v>330</v>
      </c>
      <c r="T86" s="43" t="s">
        <v>330</v>
      </c>
      <c r="U86" s="69" t="s">
        <v>330</v>
      </c>
      <c r="V86" s="69" t="s">
        <v>330</v>
      </c>
      <c r="W86" s="54">
        <v>45824</v>
      </c>
      <c r="X86" s="69" t="s">
        <v>1604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1602</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1602</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1602</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1602</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1602</v>
      </c>
      <c r="S91" s="69" t="s">
        <v>330</v>
      </c>
      <c r="T91" s="69" t="s">
        <v>330</v>
      </c>
      <c r="U91" s="69" t="s">
        <v>330</v>
      </c>
      <c r="V91" s="69" t="s">
        <v>330</v>
      </c>
      <c r="W91" s="54">
        <v>45831</v>
      </c>
      <c r="X91" s="69" t="s">
        <v>1604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1602</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1602</v>
      </c>
      <c r="S93" s="43" t="s">
        <v>330</v>
      </c>
      <c r="T93" s="43" t="s">
        <v>330</v>
      </c>
      <c r="U93" s="345" t="s">
        <v>330</v>
      </c>
      <c r="V93" s="69" t="s">
        <v>330</v>
      </c>
      <c r="W93" s="54">
        <v>45789</v>
      </c>
      <c r="X93" s="69" t="s">
        <v>1604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1602</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1602</v>
      </c>
      <c r="S95" s="69" t="s">
        <v>330</v>
      </c>
      <c r="T95" s="43" t="s">
        <v>330</v>
      </c>
      <c r="U95" s="69" t="s">
        <v>330</v>
      </c>
      <c r="V95" s="69" t="s">
        <v>330</v>
      </c>
      <c r="W95" s="54">
        <v>45814</v>
      </c>
      <c r="X95" s="69" t="s">
        <v>1604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1602</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1602</v>
      </c>
      <c r="S97" s="69" t="s">
        <v>330</v>
      </c>
      <c r="T97" s="69" t="s">
        <v>330</v>
      </c>
      <c r="U97" s="69" t="s">
        <v>330</v>
      </c>
      <c r="V97" s="43" t="s">
        <v>330</v>
      </c>
      <c r="W97" s="54">
        <v>45824</v>
      </c>
      <c r="X97" s="69" t="s">
        <v>1604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1602</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1602</v>
      </c>
      <c r="S99" s="43" t="s">
        <v>330</v>
      </c>
      <c r="T99" s="116" t="s">
        <v>330</v>
      </c>
      <c r="U99" s="149" t="s">
        <v>330</v>
      </c>
      <c r="V99" s="69" t="s">
        <v>330</v>
      </c>
      <c r="W99" s="54">
        <v>45814</v>
      </c>
      <c r="X99" s="69" t="s">
        <v>1604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1602</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1602</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1602</v>
      </c>
      <c r="S102" s="43" t="s">
        <v>330</v>
      </c>
      <c r="T102" s="43" t="s">
        <v>330</v>
      </c>
      <c r="U102" s="43" t="s">
        <v>330</v>
      </c>
      <c r="V102" s="166" t="s">
        <v>330</v>
      </c>
      <c r="W102" s="54">
        <v>45835</v>
      </c>
      <c r="X102" s="69" t="s">
        <v>1604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1602</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1602</v>
      </c>
      <c r="S104" s="43" t="s">
        <v>330</v>
      </c>
      <c r="T104" s="43" t="s">
        <v>330</v>
      </c>
      <c r="U104" s="43" t="s">
        <v>330</v>
      </c>
      <c r="V104" s="140" t="s">
        <v>330</v>
      </c>
      <c r="W104" s="54">
        <v>45820</v>
      </c>
      <c r="X104" s="69" t="s">
        <v>1604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1602</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1602</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1602</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1602</v>
      </c>
      <c r="S108" s="43" t="s">
        <v>330</v>
      </c>
      <c r="T108" s="43" t="s">
        <v>330</v>
      </c>
      <c r="U108" s="88" t="s">
        <v>330</v>
      </c>
      <c r="V108" s="495" t="s">
        <v>330</v>
      </c>
      <c r="W108" s="367">
        <v>45798</v>
      </c>
      <c r="X108" s="69" t="s">
        <v>1604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1602</v>
      </c>
      <c r="S109" s="43" t="s">
        <v>330</v>
      </c>
      <c r="T109" s="43" t="s">
        <v>330</v>
      </c>
      <c r="U109" s="43" t="s">
        <v>1607</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1602</v>
      </c>
      <c r="S110" s="43" t="s">
        <v>330</v>
      </c>
      <c r="T110" s="43" t="s">
        <v>330</v>
      </c>
      <c r="U110" s="88" t="s">
        <v>330</v>
      </c>
      <c r="V110" s="495" t="s">
        <v>330</v>
      </c>
      <c r="W110" s="367">
        <v>45902</v>
      </c>
      <c r="X110" s="69" t="s">
        <v>1604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1602</v>
      </c>
      <c r="S111" s="43" t="s">
        <v>330</v>
      </c>
      <c r="T111" s="43" t="s">
        <v>330</v>
      </c>
      <c r="U111" s="43" t="s">
        <v>330</v>
      </c>
      <c r="V111" s="204" t="s">
        <v>330</v>
      </c>
      <c r="W111" s="168">
        <v>45790</v>
      </c>
      <c r="X111" s="69" t="s">
        <v>1604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1602</v>
      </c>
      <c r="S112" s="43" t="s">
        <v>330</v>
      </c>
      <c r="T112" s="43" t="s">
        <v>330</v>
      </c>
      <c r="U112" s="43" t="s">
        <v>330</v>
      </c>
      <c r="V112" s="204" t="s">
        <v>330</v>
      </c>
      <c r="W112" s="493">
        <v>45791</v>
      </c>
      <c r="X112" s="69" t="s">
        <v>1604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1602</v>
      </c>
      <c r="S113" s="116" t="s">
        <v>330</v>
      </c>
      <c r="T113" s="43" t="s">
        <v>330</v>
      </c>
      <c r="U113" s="43" t="s">
        <v>330</v>
      </c>
      <c r="V113" s="204" t="s">
        <v>330</v>
      </c>
      <c r="W113" s="493">
        <v>45791</v>
      </c>
      <c r="X113" s="149" t="s">
        <v>1604</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1602</v>
      </c>
      <c r="S114" s="116" t="s">
        <v>330</v>
      </c>
      <c r="T114" s="43" t="s">
        <v>330</v>
      </c>
      <c r="U114" s="158" t="s">
        <v>330</v>
      </c>
      <c r="V114" s="204" t="s">
        <v>330</v>
      </c>
      <c r="W114" s="54">
        <v>45798</v>
      </c>
      <c r="X114" s="69" t="s">
        <v>1604</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1602</v>
      </c>
      <c r="S115" s="43" t="s">
        <v>330</v>
      </c>
      <c r="T115" s="43" t="s">
        <v>330</v>
      </c>
      <c r="U115" s="43" t="s">
        <v>330</v>
      </c>
      <c r="V115" s="88" t="s">
        <v>330</v>
      </c>
      <c r="W115" s="54">
        <v>45814</v>
      </c>
      <c r="X115" s="69" t="s">
        <v>1604</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1602</v>
      </c>
      <c r="S116" s="43" t="s">
        <v>330</v>
      </c>
      <c r="T116" s="43" t="s">
        <v>330</v>
      </c>
      <c r="U116" s="43" t="s">
        <v>330</v>
      </c>
      <c r="V116" s="495" t="s">
        <v>330</v>
      </c>
      <c r="W116" s="54">
        <v>45807</v>
      </c>
      <c r="X116" s="69" t="s">
        <v>1604</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1602</v>
      </c>
      <c r="S117" s="43" t="s">
        <v>330</v>
      </c>
      <c r="T117" s="43" t="s">
        <v>330</v>
      </c>
      <c r="U117" s="43" t="s">
        <v>330</v>
      </c>
      <c r="V117" s="88" t="s">
        <v>330</v>
      </c>
      <c r="W117" s="54">
        <v>45811</v>
      </c>
      <c r="X117" s="69" t="s">
        <v>1604</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1602</v>
      </c>
      <c r="S118" s="43" t="s">
        <v>330</v>
      </c>
      <c r="T118" s="43" t="s">
        <v>330</v>
      </c>
      <c r="U118" s="158" t="s">
        <v>330</v>
      </c>
      <c r="V118" s="88" t="s">
        <v>330</v>
      </c>
      <c r="W118" s="54">
        <v>45810</v>
      </c>
      <c r="X118" s="69" t="s">
        <v>1604</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1602</v>
      </c>
      <c r="S119" s="43" t="s">
        <v>330</v>
      </c>
      <c r="T119" s="43" t="s">
        <v>330</v>
      </c>
      <c r="U119" s="158" t="s">
        <v>330</v>
      </c>
      <c r="V119" s="88" t="s">
        <v>330</v>
      </c>
      <c r="W119" s="54">
        <v>45813</v>
      </c>
      <c r="X119" s="69" t="s">
        <v>1604</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1602</v>
      </c>
      <c r="S120" s="43" t="s">
        <v>330</v>
      </c>
      <c r="T120" s="43" t="s">
        <v>330</v>
      </c>
      <c r="U120" s="43" t="s">
        <v>330</v>
      </c>
      <c r="V120" s="88" t="s">
        <v>330</v>
      </c>
      <c r="W120" s="54">
        <v>45811</v>
      </c>
      <c r="X120" s="69" t="s">
        <v>1604</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1602</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1602</v>
      </c>
      <c r="S122" s="43" t="s">
        <v>330</v>
      </c>
      <c r="T122" s="43" t="s">
        <v>330</v>
      </c>
      <c r="U122" s="158" t="s">
        <v>330</v>
      </c>
      <c r="V122" s="158" t="s">
        <v>330</v>
      </c>
      <c r="W122" s="54">
        <v>45789</v>
      </c>
      <c r="X122" s="69" t="s">
        <v>1604</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1602</v>
      </c>
      <c r="S123" s="43" t="s">
        <v>330</v>
      </c>
      <c r="T123" s="43" t="s">
        <v>330</v>
      </c>
      <c r="U123" s="43" t="s">
        <v>330</v>
      </c>
      <c r="V123" s="69" t="s">
        <v>330</v>
      </c>
      <c r="W123" s="54">
        <v>45811</v>
      </c>
      <c r="X123" s="69" t="s">
        <v>1604</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1602</v>
      </c>
      <c r="S124" s="43" t="s">
        <v>330</v>
      </c>
      <c r="T124" s="43" t="s">
        <v>330</v>
      </c>
      <c r="U124" s="43" t="s">
        <v>1607</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1602</v>
      </c>
      <c r="S125" s="43" t="s">
        <v>330</v>
      </c>
      <c r="T125" s="43" t="s">
        <v>330</v>
      </c>
      <c r="U125" s="43" t="s">
        <v>330</v>
      </c>
      <c r="V125" s="43" t="s">
        <v>330</v>
      </c>
      <c r="W125" s="54">
        <v>45814</v>
      </c>
      <c r="X125" s="69" t="s">
        <v>1604</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1602</v>
      </c>
      <c r="S126" s="43" t="s">
        <v>330</v>
      </c>
      <c r="T126" s="43" t="s">
        <v>330</v>
      </c>
      <c r="U126" s="43" t="s">
        <v>330</v>
      </c>
      <c r="V126" s="88" t="s">
        <v>330</v>
      </c>
      <c r="W126" s="54">
        <v>45819</v>
      </c>
      <c r="X126" s="69" t="s">
        <v>1604</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1602</v>
      </c>
      <c r="S127" s="43" t="s">
        <v>330</v>
      </c>
      <c r="T127" s="43" t="s">
        <v>330</v>
      </c>
      <c r="U127" s="43" t="s">
        <v>330</v>
      </c>
      <c r="V127" s="88" t="s">
        <v>330</v>
      </c>
      <c r="W127" s="54">
        <v>45812</v>
      </c>
      <c r="X127" s="69" t="s">
        <v>1604</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1602</v>
      </c>
      <c r="S128" s="43" t="s">
        <v>330</v>
      </c>
      <c r="T128" s="43" t="s">
        <v>330</v>
      </c>
      <c r="U128" s="43" t="s">
        <v>330</v>
      </c>
      <c r="V128" s="88" t="s">
        <v>330</v>
      </c>
      <c r="W128" s="168">
        <v>45883</v>
      </c>
      <c r="X128" s="69" t="s">
        <v>1604</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1602</v>
      </c>
      <c r="S129" s="43" t="s">
        <v>330</v>
      </c>
      <c r="T129" s="116" t="s">
        <v>330</v>
      </c>
      <c r="U129" s="116" t="s">
        <v>330</v>
      </c>
      <c r="V129" s="88" t="s">
        <v>330</v>
      </c>
      <c r="W129" s="168">
        <v>45814</v>
      </c>
      <c r="X129" s="69" t="s">
        <v>1604</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1602</v>
      </c>
      <c r="S130" s="43" t="s">
        <v>330</v>
      </c>
      <c r="T130" s="43" t="s">
        <v>330</v>
      </c>
      <c r="U130" s="43" t="s">
        <v>330</v>
      </c>
      <c r="V130" s="88" t="s">
        <v>330</v>
      </c>
      <c r="W130" s="54">
        <v>45798</v>
      </c>
      <c r="X130" s="69" t="s">
        <v>1604</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1602</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1602</v>
      </c>
      <c r="S132" s="43" t="s">
        <v>330</v>
      </c>
      <c r="T132" s="43" t="s">
        <v>330</v>
      </c>
      <c r="U132" s="43" t="s">
        <v>330</v>
      </c>
      <c r="V132" s="43" t="s">
        <v>330</v>
      </c>
      <c r="W132" s="54">
        <v>45820</v>
      </c>
      <c r="X132" s="69" t="s">
        <v>1604</v>
      </c>
      <c r="Y132" t="e">
        <f>VLOOKUP(A132,#REF!,2,FALSE)</f>
        <v>#REF!</v>
      </c>
    </row>
    <row r="133" spans="1:25" ht="15" customHeight="1">
      <c r="A133" s="369" t="s">
        <v>650</v>
      </c>
      <c r="B133" s="420" t="s">
        <v>50</v>
      </c>
      <c r="C133" s="378">
        <v>45742</v>
      </c>
      <c r="D133" s="433" t="s">
        <v>1608</v>
      </c>
      <c r="E133" s="372"/>
      <c r="F133" s="372"/>
      <c r="G133" s="372"/>
      <c r="H133" s="372">
        <v>38</v>
      </c>
      <c r="I133" s="371"/>
      <c r="J133" s="372" t="s">
        <v>57</v>
      </c>
      <c r="K133" s="372" t="s">
        <v>57</v>
      </c>
      <c r="L133" s="372" t="s">
        <v>63</v>
      </c>
      <c r="M133" s="49" t="s">
        <v>330</v>
      </c>
      <c r="N133" s="49" t="s">
        <v>330</v>
      </c>
      <c r="O133" s="54">
        <v>45701</v>
      </c>
      <c r="P133" s="30" t="s">
        <v>330</v>
      </c>
      <c r="Q133" s="69" t="s">
        <v>330</v>
      </c>
      <c r="R133" s="43" t="s">
        <v>1602</v>
      </c>
      <c r="S133" s="43" t="s">
        <v>330</v>
      </c>
      <c r="T133" s="43" t="s">
        <v>330</v>
      </c>
      <c r="U133" s="43" t="s">
        <v>330</v>
      </c>
      <c r="V133" s="69" t="s">
        <v>330</v>
      </c>
      <c r="W133" s="54">
        <v>45821</v>
      </c>
      <c r="X133" s="69" t="s">
        <v>1604</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1602</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1602</v>
      </c>
      <c r="S135" s="43" t="s">
        <v>330</v>
      </c>
      <c r="T135" s="43" t="s">
        <v>330</v>
      </c>
      <c r="U135" s="158" t="s">
        <v>330</v>
      </c>
      <c r="V135" s="43" t="s">
        <v>330</v>
      </c>
      <c r="W135" s="54">
        <v>45819</v>
      </c>
      <c r="X135" s="69" t="s">
        <v>1604</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1602</v>
      </c>
      <c r="S136" s="43" t="s">
        <v>330</v>
      </c>
      <c r="T136" s="43" t="s">
        <v>330</v>
      </c>
      <c r="U136" s="43" t="s">
        <v>330</v>
      </c>
      <c r="V136" s="43" t="s">
        <v>330</v>
      </c>
      <c r="W136" s="54">
        <v>45791</v>
      </c>
      <c r="X136" s="69" t="s">
        <v>1604</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1602</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1602</v>
      </c>
      <c r="S138" s="43" t="s">
        <v>330</v>
      </c>
      <c r="T138" s="43" t="s">
        <v>330</v>
      </c>
      <c r="U138" s="43" t="s">
        <v>330</v>
      </c>
      <c r="V138" s="43" t="s">
        <v>330</v>
      </c>
      <c r="W138" s="54">
        <v>45790</v>
      </c>
      <c r="X138" s="69" t="s">
        <v>1604</v>
      </c>
      <c r="Y138" t="e">
        <f>VLOOKUP(A138,#REF!,2,FALSE)</f>
        <v>#REF!</v>
      </c>
    </row>
    <row r="139" spans="1:25" ht="15" customHeight="1">
      <c r="A139" s="369" t="s">
        <v>1609</v>
      </c>
      <c r="B139" s="185" t="s">
        <v>50</v>
      </c>
      <c r="C139" s="422">
        <v>45742</v>
      </c>
      <c r="D139" s="372" t="s">
        <v>1610</v>
      </c>
      <c r="E139" s="539"/>
      <c r="F139" s="372"/>
      <c r="G139" s="372"/>
      <c r="H139" s="372">
        <v>87</v>
      </c>
      <c r="I139" s="371"/>
      <c r="J139" s="372" t="s">
        <v>57</v>
      </c>
      <c r="K139" s="372" t="s">
        <v>57</v>
      </c>
      <c r="L139" s="372" t="s">
        <v>63</v>
      </c>
      <c r="M139" s="49" t="s">
        <v>330</v>
      </c>
      <c r="N139" s="30" t="s">
        <v>330</v>
      </c>
      <c r="O139" s="30" t="s">
        <v>330</v>
      </c>
      <c r="P139" s="30" t="s">
        <v>330</v>
      </c>
      <c r="Q139" s="43" t="s">
        <v>330</v>
      </c>
      <c r="R139" s="43" t="s">
        <v>1602</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1602</v>
      </c>
      <c r="S140" s="43" t="s">
        <v>330</v>
      </c>
      <c r="T140" s="43" t="s">
        <v>330</v>
      </c>
      <c r="U140" s="88" t="s">
        <v>330</v>
      </c>
      <c r="V140" s="69" t="s">
        <v>330</v>
      </c>
      <c r="W140" s="54">
        <v>45819</v>
      </c>
      <c r="X140" s="69" t="s">
        <v>1604</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1602</v>
      </c>
      <c r="S141" s="43" t="s">
        <v>330</v>
      </c>
      <c r="T141" s="43" t="s">
        <v>330</v>
      </c>
      <c r="U141" s="88" t="s">
        <v>330</v>
      </c>
      <c r="V141" s="88" t="s">
        <v>330</v>
      </c>
      <c r="W141" s="54">
        <v>45811</v>
      </c>
      <c r="X141" s="69" t="s">
        <v>1604</v>
      </c>
      <c r="Y141" t="e">
        <f>VLOOKUP(A141,#REF!,2,FALSE)</f>
        <v>#REF!</v>
      </c>
    </row>
    <row r="142" spans="1:25" ht="15" customHeight="1">
      <c r="A142" s="369" t="s">
        <v>1611</v>
      </c>
      <c r="B142" s="420" t="s">
        <v>50</v>
      </c>
      <c r="C142" s="422">
        <v>45742</v>
      </c>
      <c r="D142" s="372" t="s">
        <v>1612</v>
      </c>
      <c r="E142" s="539"/>
      <c r="F142" s="372"/>
      <c r="G142" s="372"/>
      <c r="H142" s="372">
        <v>87</v>
      </c>
      <c r="I142" s="371"/>
      <c r="J142" s="372" t="s">
        <v>57</v>
      </c>
      <c r="K142" s="372" t="s">
        <v>57</v>
      </c>
      <c r="L142" s="372" t="s">
        <v>63</v>
      </c>
      <c r="M142" s="49" t="s">
        <v>330</v>
      </c>
      <c r="N142" s="49" t="s">
        <v>330</v>
      </c>
      <c r="O142" s="198">
        <v>45691</v>
      </c>
      <c r="P142" s="30" t="s">
        <v>330</v>
      </c>
      <c r="Q142" s="69" t="s">
        <v>330</v>
      </c>
      <c r="R142" s="43" t="s">
        <v>1602</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1602</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1604</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1613</v>
      </c>
      <c r="B146" s="420" t="s">
        <v>50</v>
      </c>
      <c r="C146" s="370">
        <v>45991</v>
      </c>
      <c r="D146" s="432" t="s">
        <v>1614</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1602</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1602</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1602</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1602</v>
      </c>
      <c r="S153" s="43" t="s">
        <v>330</v>
      </c>
      <c r="T153" s="158" t="s">
        <v>330</v>
      </c>
      <c r="U153" s="158" t="s">
        <v>330</v>
      </c>
      <c r="V153" s="43" t="s">
        <v>330</v>
      </c>
      <c r="W153" s="54">
        <v>45807</v>
      </c>
      <c r="X153" s="69" t="s">
        <v>1604</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1602</v>
      </c>
      <c r="S154" s="43" t="s">
        <v>330</v>
      </c>
      <c r="T154" s="158" t="s">
        <v>330</v>
      </c>
      <c r="U154" s="158" t="s">
        <v>330</v>
      </c>
      <c r="V154" s="43" t="s">
        <v>330</v>
      </c>
      <c r="W154" s="168">
        <v>45792</v>
      </c>
      <c r="X154" s="149" t="s">
        <v>1604</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1602</v>
      </c>
      <c r="S155" s="43" t="s">
        <v>330</v>
      </c>
      <c r="T155" s="43" t="s">
        <v>330</v>
      </c>
      <c r="U155" s="158" t="s">
        <v>330</v>
      </c>
      <c r="V155" s="43" t="s">
        <v>330</v>
      </c>
      <c r="W155" s="367">
        <v>45821</v>
      </c>
      <c r="X155" s="69" t="s">
        <v>1604</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1602</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1602</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1602</v>
      </c>
      <c r="S158" s="43" t="s">
        <v>330</v>
      </c>
      <c r="T158" s="43" t="s">
        <v>330</v>
      </c>
      <c r="U158" s="158" t="s">
        <v>330</v>
      </c>
      <c r="V158" s="158" t="s">
        <v>330</v>
      </c>
      <c r="W158" s="367">
        <v>45817</v>
      </c>
      <c r="X158" s="69" t="s">
        <v>1604</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1604</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1604</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1604</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1604</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1604</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1615</v>
      </c>
      <c r="W2" s="3" t="s">
        <v>1616</v>
      </c>
      <c r="X2" s="3" t="s">
        <v>1616</v>
      </c>
      <c r="Y2" s="3" t="s">
        <v>1616</v>
      </c>
      <c r="Z2" s="3" t="s">
        <v>1616</v>
      </c>
      <c r="AA2" s="8" t="s">
        <v>1617</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1618</v>
      </c>
      <c r="T3" s="19" t="s">
        <v>1619</v>
      </c>
      <c r="U3" s="19" t="s">
        <v>1620</v>
      </c>
      <c r="V3" s="5" t="s">
        <v>1621</v>
      </c>
      <c r="W3" s="5" t="s">
        <v>44</v>
      </c>
      <c r="X3" s="5" t="s">
        <v>43</v>
      </c>
      <c r="Y3" s="5" t="s">
        <v>1622</v>
      </c>
      <c r="Z3" s="5" t="s">
        <v>46</v>
      </c>
      <c r="AA3" s="90" t="s">
        <v>502</v>
      </c>
      <c r="AB3" s="68" t="s">
        <v>48</v>
      </c>
    </row>
    <row r="4" spans="1:30" ht="24.75" customHeight="1" thickBot="1">
      <c r="A4" s="454" t="s">
        <v>1623</v>
      </c>
      <c r="B4" s="454" t="s">
        <v>1624</v>
      </c>
      <c r="C4" s="16">
        <v>45717</v>
      </c>
      <c r="D4" s="63" t="s">
        <v>1625</v>
      </c>
      <c r="E4" s="51">
        <v>45707</v>
      </c>
      <c r="F4" s="51" t="s">
        <v>235</v>
      </c>
      <c r="G4" s="393" t="s">
        <v>1626</v>
      </c>
      <c r="H4" s="98">
        <v>0</v>
      </c>
      <c r="I4" s="106"/>
      <c r="J4" s="76" t="s">
        <v>63</v>
      </c>
      <c r="K4" s="76" t="s">
        <v>1627</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1628</v>
      </c>
    </row>
    <row r="5" spans="1:30" ht="24.75" customHeight="1" thickBot="1">
      <c r="A5" s="454" t="s">
        <v>1629</v>
      </c>
      <c r="B5" s="454" t="s">
        <v>1624</v>
      </c>
      <c r="C5" s="16">
        <v>45717</v>
      </c>
      <c r="D5" s="63" t="s">
        <v>1625</v>
      </c>
      <c r="E5" s="51">
        <v>45707</v>
      </c>
      <c r="F5" s="392" t="s">
        <v>235</v>
      </c>
      <c r="G5" s="393" t="s">
        <v>1630</v>
      </c>
      <c r="H5" s="98">
        <v>0</v>
      </c>
      <c r="I5" s="106"/>
      <c r="J5" s="76" t="s">
        <v>63</v>
      </c>
      <c r="K5" s="76" t="s">
        <v>1627</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1631</v>
      </c>
      <c r="B6" s="454" t="s">
        <v>1624</v>
      </c>
      <c r="C6" s="16">
        <v>45717</v>
      </c>
      <c r="D6" s="63" t="s">
        <v>1625</v>
      </c>
      <c r="E6" s="51">
        <v>45707</v>
      </c>
      <c r="F6" s="392" t="s">
        <v>235</v>
      </c>
      <c r="G6" s="393" t="s">
        <v>1632</v>
      </c>
      <c r="H6" s="98">
        <v>0</v>
      </c>
      <c r="I6" s="106"/>
      <c r="J6" s="76" t="s">
        <v>63</v>
      </c>
      <c r="K6" s="76" t="s">
        <v>1627</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1633</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1634</v>
      </c>
      <c r="B8" s="454" t="s">
        <v>1635</v>
      </c>
      <c r="C8" s="16">
        <v>45748</v>
      </c>
      <c r="D8" s="16" t="s">
        <v>1625</v>
      </c>
      <c r="E8" s="95" t="s">
        <v>52</v>
      </c>
      <c r="F8" s="96" t="s">
        <v>52</v>
      </c>
      <c r="G8" s="641" t="s">
        <v>1636</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1637</v>
      </c>
      <c r="AC8" s="449"/>
      <c r="AD8" s="70"/>
    </row>
    <row r="9" spans="1:30" ht="24.75" customHeight="1">
      <c r="A9" s="463" t="s">
        <v>1638</v>
      </c>
      <c r="B9" s="463" t="s">
        <v>1639</v>
      </c>
      <c r="C9" s="23">
        <v>45741</v>
      </c>
      <c r="D9" s="16" t="s">
        <v>1625</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1640</v>
      </c>
    </row>
    <row r="10" spans="1:30" ht="24.75" customHeight="1" thickBot="1">
      <c r="A10" s="26" t="s">
        <v>1641</v>
      </c>
      <c r="B10" s="26" t="s">
        <v>1639</v>
      </c>
      <c r="C10" s="27">
        <v>45741</v>
      </c>
      <c r="D10" s="16" t="s">
        <v>1625</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1642</v>
      </c>
      <c r="B11" s="36" t="s">
        <v>1639</v>
      </c>
      <c r="C11" s="37">
        <v>45747</v>
      </c>
      <c r="D11" s="16" t="s">
        <v>1625</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1643</v>
      </c>
      <c r="B12" s="26" t="s">
        <v>1639</v>
      </c>
      <c r="C12" s="27">
        <v>45741</v>
      </c>
      <c r="D12" s="16" t="s">
        <v>1625</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1640</v>
      </c>
    </row>
    <row r="13" spans="1:30" ht="24.75" customHeight="1" thickBot="1">
      <c r="A13" s="26" t="s">
        <v>1644</v>
      </c>
      <c r="B13" s="26" t="s">
        <v>1639</v>
      </c>
      <c r="C13" s="27">
        <v>45741</v>
      </c>
      <c r="D13" s="27" t="s">
        <v>1625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1640</v>
      </c>
    </row>
    <row r="14" spans="1:30" ht="24.75" customHeight="1" thickBot="1">
      <c r="A14" s="26" t="s">
        <v>1645</v>
      </c>
      <c r="B14" s="26" t="s">
        <v>1639</v>
      </c>
      <c r="C14" s="27">
        <v>45747</v>
      </c>
      <c r="D14" s="27" t="s">
        <v>1625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1646</v>
      </c>
      <c r="B15" s="26" t="s">
        <v>1639</v>
      </c>
      <c r="C15" s="27">
        <v>45741</v>
      </c>
      <c r="D15" s="27" t="s">
        <v>1625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1640</v>
      </c>
    </row>
    <row r="16" spans="1:30" ht="24.75" customHeight="1" thickBot="1">
      <c r="A16" s="26" t="s">
        <v>1647</v>
      </c>
      <c r="B16" s="26" t="s">
        <v>1639</v>
      </c>
      <c r="C16" s="27">
        <v>45741</v>
      </c>
      <c r="D16" s="27" t="s">
        <v>1625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1640</v>
      </c>
    </row>
    <row r="17" spans="1:30" ht="24.75" customHeight="1" thickBot="1">
      <c r="A17" s="36" t="s">
        <v>1648</v>
      </c>
      <c r="B17" s="36" t="s">
        <v>1639</v>
      </c>
      <c r="C17" s="37">
        <v>45747</v>
      </c>
      <c r="D17" s="37" t="s">
        <v>1625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1649</v>
      </c>
      <c r="B18" s="385" t="s">
        <v>1639</v>
      </c>
      <c r="C18" s="51">
        <v>45717</v>
      </c>
      <c r="D18" s="27" t="s">
        <v>1625</v>
      </c>
      <c r="E18" s="85">
        <v>45700</v>
      </c>
      <c r="F18" s="51"/>
      <c r="G18" s="51" t="s">
        <v>1650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1640</v>
      </c>
    </row>
    <row r="19" spans="1:30" ht="24.75" customHeight="1" thickBot="1">
      <c r="A19" s="50" t="s">
        <v>1651</v>
      </c>
      <c r="B19" s="26" t="s">
        <v>1639</v>
      </c>
      <c r="C19" s="51">
        <v>45747</v>
      </c>
      <c r="D19" s="27" t="s">
        <v>1625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1652</v>
      </c>
    </row>
    <row r="20" spans="1:30" ht="24.75" customHeight="1" thickBot="1">
      <c r="A20" s="385" t="s">
        <v>1653</v>
      </c>
      <c r="B20" s="385" t="s">
        <v>1639</v>
      </c>
      <c r="C20" s="386">
        <v>45717</v>
      </c>
      <c r="D20" s="27" t="s">
        <v>1625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1640</v>
      </c>
    </row>
    <row r="21" spans="1:30" ht="24.75" customHeight="1" thickBot="1">
      <c r="A21" s="385" t="s">
        <v>1654</v>
      </c>
      <c r="B21" s="113" t="s">
        <v>50</v>
      </c>
      <c r="C21" s="51">
        <v>45717</v>
      </c>
      <c r="D21" s="27" t="s">
        <v>1655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1656</v>
      </c>
      <c r="B22" s="389" t="s">
        <v>50</v>
      </c>
      <c r="C22" s="51">
        <v>45717</v>
      </c>
      <c r="D22" s="51" t="s">
        <v>1655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1657</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1658</v>
      </c>
      <c r="B24" s="389" t="s">
        <v>50</v>
      </c>
      <c r="C24" s="392">
        <v>45688</v>
      </c>
      <c r="D24" s="402" t="s">
        <v>1657</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1659</v>
      </c>
      <c r="B25" s="114" t="s">
        <v>50</v>
      </c>
      <c r="C25" s="51">
        <v>45747</v>
      </c>
      <c r="D25" s="51" t="s">
        <v>1655</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1660</v>
      </c>
    </row>
    <row r="26" spans="1:30" ht="24.75" customHeight="1">
      <c r="A26" s="102" t="s">
        <v>1661</v>
      </c>
      <c r="B26" s="103" t="s">
        <v>50</v>
      </c>
      <c r="C26" s="77">
        <v>45716</v>
      </c>
      <c r="D26" s="26" t="s">
        <v>1657</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1662</v>
      </c>
      <c r="B27" s="103" t="s">
        <v>50</v>
      </c>
      <c r="C27" s="77">
        <v>45716</v>
      </c>
      <c r="D27" s="50" t="s">
        <v>1657</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1663</v>
      </c>
      <c r="B28" s="103" t="s">
        <v>50</v>
      </c>
      <c r="C28" s="77">
        <v>45717</v>
      </c>
      <c r="D28" s="51" t="s">
        <v>1655</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1664</v>
      </c>
      <c r="B29" s="103" t="s">
        <v>50</v>
      </c>
      <c r="C29" s="77">
        <v>45717</v>
      </c>
      <c r="D29" s="51" t="s">
        <v>1655</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1665</v>
      </c>
      <c r="B30" s="389" t="s">
        <v>50</v>
      </c>
      <c r="C30" s="51">
        <v>45717</v>
      </c>
      <c r="D30" s="51" t="s">
        <v>1655</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1666</v>
      </c>
      <c r="B31" s="389" t="s">
        <v>50</v>
      </c>
      <c r="C31" s="51">
        <v>45717</v>
      </c>
      <c r="D31" s="51" t="s">
        <v>1655</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1613</v>
      </c>
      <c r="B32" s="1119" t="s">
        <v>50</v>
      </c>
      <c r="C32" s="992">
        <v>45991</v>
      </c>
      <c r="D32" s="992" t="s">
        <v>60</v>
      </c>
      <c r="E32" s="1111">
        <v>45734</v>
      </c>
      <c r="F32" s="996" t="s">
        <v>61</v>
      </c>
      <c r="G32" s="1120" t="s">
        <v>1614</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1667</v>
      </c>
      <c r="B33" s="1119" t="s">
        <v>50</v>
      </c>
      <c r="C33" s="992">
        <v>45991</v>
      </c>
      <c r="D33" s="996" t="s">
        <v>60</v>
      </c>
      <c r="E33" s="1111">
        <v>45743</v>
      </c>
      <c r="F33" s="996" t="s">
        <v>61</v>
      </c>
      <c r="G33" s="1120" t="s">
        <v>1668</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1669</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1670</v>
      </c>
      <c r="C1" s="1151"/>
      <c r="D1" s="577"/>
      <c r="E1" s="1151" t="s">
        <v>1671</v>
      </c>
      <c r="F1" s="1151"/>
    </row>
    <row r="2" spans="1:25">
      <c r="B2" s="44" t="s">
        <v>1672</v>
      </c>
      <c r="E2" s="44" t="s">
        <v>22</v>
      </c>
      <c r="F2" t="s">
        <v>842</v>
      </c>
      <c r="P2" s="44" t="s">
        <v>27</v>
      </c>
      <c r="Q2" t="s">
        <v>1673</v>
      </c>
    </row>
    <row r="3" spans="1:25">
      <c r="B3" s="44" t="s">
        <v>22</v>
      </c>
      <c r="C3" t="s">
        <v>848</v>
      </c>
      <c r="K3" s="44" t="s">
        <v>1674</v>
      </c>
      <c r="L3" t="s">
        <v>1675</v>
      </c>
      <c r="P3" s="44" t="s">
        <v>1674</v>
      </c>
      <c r="Q3" t="s">
        <v>1675</v>
      </c>
    </row>
    <row r="4" spans="1:25">
      <c r="B4" t="s">
        <v>132</v>
      </c>
      <c r="C4">
        <v>155501</v>
      </c>
      <c r="E4" s="44" t="s">
        <v>1672</v>
      </c>
      <c r="F4" t="s">
        <v>848</v>
      </c>
      <c r="W4" t="s">
        <v>1676</v>
      </c>
      <c r="X4">
        <v>22</v>
      </c>
    </row>
    <row r="5" spans="1:25">
      <c r="B5" t="s">
        <v>60</v>
      </c>
      <c r="C5">
        <v>55547</v>
      </c>
      <c r="E5" t="s">
        <v>848</v>
      </c>
      <c r="F5">
        <v>239011</v>
      </c>
      <c r="K5" s="44" t="s">
        <v>1677</v>
      </c>
      <c r="P5" s="44" t="s">
        <v>1677</v>
      </c>
      <c r="W5" t="s">
        <v>1678</v>
      </c>
      <c r="X5">
        <v>13</v>
      </c>
    </row>
    <row r="6" spans="1:25">
      <c r="B6" t="s">
        <v>96</v>
      </c>
      <c r="C6">
        <v>22387</v>
      </c>
      <c r="K6" s="44" t="s">
        <v>27</v>
      </c>
      <c r="L6" s="44" t="s">
        <v>1679</v>
      </c>
      <c r="M6" t="s">
        <v>848</v>
      </c>
      <c r="P6" s="44" t="s">
        <v>1680</v>
      </c>
      <c r="Q6" s="44" t="s">
        <v>1679</v>
      </c>
      <c r="R6" t="s">
        <v>848</v>
      </c>
    </row>
    <row r="7" spans="1:25">
      <c r="B7" t="s">
        <v>874</v>
      </c>
      <c r="C7">
        <v>301904</v>
      </c>
      <c r="K7" t="s">
        <v>1673</v>
      </c>
      <c r="L7" t="s">
        <v>508</v>
      </c>
      <c r="M7">
        <v>1</v>
      </c>
      <c r="P7" t="s">
        <v>1681</v>
      </c>
      <c r="R7">
        <v>1</v>
      </c>
      <c r="X7" t="s">
        <v>1682</v>
      </c>
      <c r="Y7" t="s">
        <v>1683</v>
      </c>
    </row>
    <row r="8" spans="1:25">
      <c r="B8" t="s">
        <v>209</v>
      </c>
      <c r="C8">
        <v>5576</v>
      </c>
      <c r="L8" t="s">
        <v>510</v>
      </c>
      <c r="M8">
        <v>1</v>
      </c>
      <c r="P8" t="s">
        <v>1684</v>
      </c>
      <c r="R8">
        <v>1</v>
      </c>
      <c r="V8" t="s">
        <v>1685</v>
      </c>
      <c r="W8" s="261">
        <v>203521</v>
      </c>
      <c r="X8" s="317">
        <f>X5/X4</f>
        <v>0.59090909090909094</v>
      </c>
      <c r="Y8" s="317">
        <f>W9/W8</f>
        <v>0.31446386367991508</v>
      </c>
    </row>
    <row r="9" spans="1:25">
      <c r="B9" t="s">
        <v>51</v>
      </c>
      <c r="C9">
        <v>0</v>
      </c>
      <c r="L9" t="s">
        <v>1686</v>
      </c>
      <c r="M9">
        <v>1</v>
      </c>
      <c r="P9" t="s">
        <v>1687</v>
      </c>
      <c r="Q9" t="s">
        <v>1686</v>
      </c>
      <c r="R9">
        <v>1</v>
      </c>
      <c r="V9" t="s">
        <v>1688</v>
      </c>
      <c r="W9">
        <v>64000</v>
      </c>
    </row>
    <row r="10" spans="1:25">
      <c r="B10" t="s">
        <v>22</v>
      </c>
      <c r="C10">
        <v>0</v>
      </c>
      <c r="L10" t="s">
        <v>603</v>
      </c>
      <c r="M10">
        <v>1</v>
      </c>
      <c r="Q10" t="s">
        <v>607</v>
      </c>
      <c r="R10">
        <v>1</v>
      </c>
    </row>
    <row r="11" spans="1:25">
      <c r="B11" t="s">
        <v>231</v>
      </c>
      <c r="C11">
        <v>11388</v>
      </c>
      <c r="L11" t="s">
        <v>607</v>
      </c>
      <c r="M11">
        <v>1</v>
      </c>
      <c r="Q11" t="s">
        <v>484</v>
      </c>
      <c r="R11">
        <v>1</v>
      </c>
    </row>
    <row r="12" spans="1:25">
      <c r="B12" t="s">
        <v>239</v>
      </c>
      <c r="C12">
        <v>26955</v>
      </c>
      <c r="L12" t="s">
        <v>484</v>
      </c>
      <c r="M12">
        <v>1</v>
      </c>
      <c r="Q12" t="s">
        <v>1689</v>
      </c>
      <c r="R12">
        <v>1</v>
      </c>
    </row>
    <row r="13" spans="1:25">
      <c r="B13" t="s">
        <v>146</v>
      </c>
      <c r="C13">
        <v>13965</v>
      </c>
      <c r="L13" t="s">
        <v>1690</v>
      </c>
      <c r="M13">
        <v>1</v>
      </c>
      <c r="Q13" t="s">
        <v>795</v>
      </c>
      <c r="R13">
        <v>1</v>
      </c>
    </row>
    <row r="14" spans="1:25">
      <c r="B14" t="s">
        <v>206</v>
      </c>
      <c r="C14">
        <v>16290</v>
      </c>
      <c r="L14" t="s">
        <v>621</v>
      </c>
      <c r="M14">
        <v>1</v>
      </c>
      <c r="P14" t="s">
        <v>1691</v>
      </c>
      <c r="R14">
        <v>5</v>
      </c>
    </row>
    <row r="15" spans="1:25">
      <c r="B15" t="s">
        <v>199</v>
      </c>
      <c r="C15">
        <v>5613</v>
      </c>
      <c r="L15" t="s">
        <v>1689</v>
      </c>
      <c r="M15">
        <v>1</v>
      </c>
      <c r="P15" t="s">
        <v>874</v>
      </c>
      <c r="R15">
        <v>12</v>
      </c>
    </row>
    <row r="16" spans="1:25">
      <c r="B16" t="s">
        <v>234</v>
      </c>
      <c r="C16">
        <v>3997</v>
      </c>
      <c r="L16" t="s">
        <v>623</v>
      </c>
      <c r="M16">
        <v>1</v>
      </c>
      <c r="P16" t="s">
        <v>845</v>
      </c>
      <c r="R16">
        <v>19</v>
      </c>
    </row>
    <row r="17" spans="2:13">
      <c r="B17" t="s">
        <v>101</v>
      </c>
      <c r="C17">
        <v>3970</v>
      </c>
      <c r="L17" t="s">
        <v>627</v>
      </c>
      <c r="M17">
        <v>1</v>
      </c>
    </row>
    <row r="18" spans="2:13">
      <c r="B18" t="s">
        <v>845</v>
      </c>
      <c r="C18">
        <v>623093</v>
      </c>
      <c r="L18" t="s">
        <v>629</v>
      </c>
      <c r="M18">
        <v>1</v>
      </c>
    </row>
    <row r="19" spans="2:13">
      <c r="L19" t="s">
        <v>633</v>
      </c>
      <c r="M19">
        <v>1</v>
      </c>
    </row>
    <row r="20" spans="2:13">
      <c r="L20" t="s">
        <v>793</v>
      </c>
      <c r="M20">
        <v>1</v>
      </c>
    </row>
    <row r="21" spans="2:13">
      <c r="L21" t="s">
        <v>1692</v>
      </c>
      <c r="M21">
        <v>1</v>
      </c>
    </row>
    <row r="22" spans="2:13">
      <c r="L22" t="s">
        <v>795</v>
      </c>
      <c r="M22">
        <v>1</v>
      </c>
    </row>
    <row r="23" spans="2:13">
      <c r="L23" t="s">
        <v>661</v>
      </c>
      <c r="M23">
        <v>1</v>
      </c>
    </row>
    <row r="24" spans="2:13">
      <c r="L24" t="s">
        <v>689</v>
      </c>
      <c r="M24">
        <v>1</v>
      </c>
    </row>
    <row r="25" spans="2:13">
      <c r="L25" t="s">
        <v>174</v>
      </c>
      <c r="M25">
        <v>1</v>
      </c>
    </row>
    <row r="26" spans="2:13">
      <c r="K26" t="s">
        <v>1693</v>
      </c>
      <c r="M26">
        <v>19</v>
      </c>
    </row>
    <row r="27" spans="2:13">
      <c r="K27" t="s">
        <v>1694</v>
      </c>
      <c r="L27" t="s">
        <v>615</v>
      </c>
      <c r="M27">
        <v>1</v>
      </c>
    </row>
    <row r="28" spans="2:13">
      <c r="L28" t="s">
        <v>617</v>
      </c>
      <c r="M28">
        <v>1</v>
      </c>
    </row>
    <row r="29" spans="2:13">
      <c r="L29" t="s">
        <v>619</v>
      </c>
      <c r="M29">
        <v>1</v>
      </c>
    </row>
    <row r="30" spans="2:13">
      <c r="L30" t="s">
        <v>635</v>
      </c>
      <c r="M30">
        <v>1</v>
      </c>
    </row>
    <row r="31" spans="2:13">
      <c r="L31" t="s">
        <v>637</v>
      </c>
      <c r="M31">
        <v>1</v>
      </c>
    </row>
    <row r="32" spans="2:13">
      <c r="L32" t="s">
        <v>1695</v>
      </c>
      <c r="M32">
        <v>1</v>
      </c>
    </row>
    <row r="33" spans="11:13">
      <c r="L33" t="s">
        <v>639</v>
      </c>
      <c r="M33">
        <v>1</v>
      </c>
    </row>
    <row r="34" spans="11:13">
      <c r="L34" t="s">
        <v>664</v>
      </c>
      <c r="M34">
        <v>1</v>
      </c>
    </row>
    <row r="35" spans="11:13">
      <c r="L35" t="s">
        <v>545</v>
      </c>
      <c r="M35">
        <v>1</v>
      </c>
    </row>
    <row r="36" spans="11:13">
      <c r="L36" t="s">
        <v>547</v>
      </c>
      <c r="M36">
        <v>1</v>
      </c>
    </row>
    <row r="37" spans="11:13">
      <c r="L37" t="s">
        <v>551</v>
      </c>
      <c r="M37">
        <v>1</v>
      </c>
    </row>
    <row r="38" spans="11:13">
      <c r="L38" t="s">
        <v>553</v>
      </c>
      <c r="M38">
        <v>1</v>
      </c>
    </row>
    <row r="39" spans="11:13">
      <c r="K39" t="s">
        <v>1696</v>
      </c>
      <c r="M39">
        <v>12</v>
      </c>
    </row>
    <row r="40" spans="11:13">
      <c r="K40" t="s">
        <v>845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1697</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1698</v>
      </c>
      <c r="S2" s="3" t="s">
        <v>1615</v>
      </c>
      <c r="T2" s="268" t="s">
        <v>1616</v>
      </c>
      <c r="U2" s="268" t="s">
        <v>1616</v>
      </c>
      <c r="V2" s="268" t="s">
        <v>1616</v>
      </c>
      <c r="W2" s="268" t="s">
        <v>1616</v>
      </c>
      <c r="X2" s="268" t="s">
        <v>1617</v>
      </c>
      <c r="Y2" s="268" t="s">
        <v>1699</v>
      </c>
    </row>
    <row r="3" spans="1:26" ht="15.75" thickBot="1">
      <c r="A3" s="267" t="s">
        <v>1679</v>
      </c>
      <c r="B3" s="263" t="s">
        <v>20</v>
      </c>
      <c r="C3" s="263" t="s">
        <v>1700</v>
      </c>
      <c r="D3" s="263" t="s">
        <v>26</v>
      </c>
      <c r="E3" s="263" t="s">
        <v>1674</v>
      </c>
      <c r="F3" s="263" t="s">
        <v>1701</v>
      </c>
      <c r="G3" s="263" t="s">
        <v>27</v>
      </c>
      <c r="H3" s="211" t="s">
        <v>28</v>
      </c>
      <c r="I3" s="211" t="s">
        <v>1702</v>
      </c>
      <c r="J3" s="211" t="s">
        <v>1703</v>
      </c>
      <c r="K3" s="211" t="s">
        <v>1704</v>
      </c>
      <c r="L3" s="211" t="s">
        <v>1604</v>
      </c>
      <c r="M3" s="211" t="s">
        <v>1705</v>
      </c>
      <c r="N3" s="211" t="s">
        <v>1706</v>
      </c>
      <c r="O3" s="210" t="s">
        <v>1620</v>
      </c>
      <c r="P3" s="264" t="s">
        <v>1680</v>
      </c>
      <c r="Q3" s="265" t="s">
        <v>34</v>
      </c>
      <c r="R3" s="265" t="s">
        <v>1702</v>
      </c>
      <c r="S3" s="5" t="s">
        <v>1621</v>
      </c>
      <c r="T3" s="265" t="s">
        <v>1707</v>
      </c>
      <c r="U3" s="265" t="s">
        <v>43</v>
      </c>
      <c r="V3" s="265" t="s">
        <v>1622</v>
      </c>
      <c r="W3" s="265" t="s">
        <v>46</v>
      </c>
      <c r="X3" s="265" t="s">
        <v>502</v>
      </c>
      <c r="Y3" s="265" t="s">
        <v>1708</v>
      </c>
      <c r="Z3" s="316" t="s">
        <v>1709</v>
      </c>
    </row>
    <row r="4" spans="1:26" ht="15.75" thickBot="1">
      <c r="A4" s="122" t="s">
        <v>80</v>
      </c>
      <c r="B4" s="103" t="s">
        <v>50</v>
      </c>
      <c r="C4" s="77">
        <v>45807</v>
      </c>
      <c r="D4" s="272"/>
      <c r="E4" s="273" t="s">
        <v>1710</v>
      </c>
      <c r="F4" s="272"/>
      <c r="G4" s="274" t="s">
        <v>1673</v>
      </c>
      <c r="H4" s="272"/>
      <c r="I4" s="272"/>
      <c r="J4" s="275"/>
      <c r="K4" s="209"/>
      <c r="L4" s="209"/>
      <c r="M4" s="209"/>
      <c r="N4" s="276"/>
      <c r="O4" s="277"/>
      <c r="P4" s="278" t="s">
        <v>1711</v>
      </c>
      <c r="Q4" s="279" t="s">
        <v>68</v>
      </c>
      <c r="R4" s="132" t="s">
        <v>1712</v>
      </c>
      <c r="S4" s="132"/>
      <c r="T4" s="280"/>
      <c r="U4" s="281"/>
      <c r="V4" s="281"/>
      <c r="W4" s="281"/>
      <c r="X4" s="281"/>
      <c r="Y4" s="281"/>
      <c r="Z4" t="e">
        <f>VLOOKUP(A4,#REF!,9,FALSE)</f>
        <v>#REF!</v>
      </c>
    </row>
    <row r="5" spans="1:26" ht="15.75" thickBot="1">
      <c r="A5" s="282" t="s">
        <v>1613</v>
      </c>
      <c r="B5" s="103" t="s">
        <v>50</v>
      </c>
      <c r="C5" s="219">
        <v>45807</v>
      </c>
      <c r="D5" s="272"/>
      <c r="E5" s="273" t="s">
        <v>1710</v>
      </c>
      <c r="F5" s="272"/>
      <c r="G5" s="274" t="s">
        <v>1673</v>
      </c>
      <c r="H5" s="272"/>
      <c r="I5" s="272"/>
      <c r="J5" s="283"/>
      <c r="K5" s="209"/>
      <c r="L5" s="209"/>
      <c r="M5" s="209"/>
      <c r="N5" s="276"/>
      <c r="O5" s="277"/>
      <c r="P5" s="278" t="s">
        <v>1711</v>
      </c>
      <c r="Q5" s="279" t="s">
        <v>68</v>
      </c>
      <c r="R5" s="132" t="s">
        <v>1712</v>
      </c>
      <c r="S5" s="132"/>
      <c r="T5" s="280"/>
      <c r="U5" s="281"/>
      <c r="V5" s="281"/>
      <c r="W5" s="281"/>
      <c r="X5" s="281"/>
      <c r="Y5" s="281"/>
      <c r="Z5" t="e">
        <f>VLOOKUP(A5,#REF!,9,FALSE)</f>
        <v>#REF!</v>
      </c>
    </row>
    <row r="6" spans="1:26" ht="15.75" thickBot="1">
      <c r="A6" s="122" t="s">
        <v>871</v>
      </c>
      <c r="B6" s="103" t="s">
        <v>50</v>
      </c>
      <c r="C6" s="219">
        <v>45807</v>
      </c>
      <c r="D6" s="272"/>
      <c r="E6" s="273" t="s">
        <v>1710</v>
      </c>
      <c r="F6" s="272"/>
      <c r="G6" s="274" t="s">
        <v>1673</v>
      </c>
      <c r="H6" s="272"/>
      <c r="I6" s="272"/>
      <c r="J6" s="283"/>
      <c r="K6" s="209"/>
      <c r="L6" s="209"/>
      <c r="M6" s="209"/>
      <c r="N6" s="276"/>
      <c r="O6" s="277"/>
      <c r="P6" s="278" t="s">
        <v>1711</v>
      </c>
      <c r="Q6" s="279" t="s">
        <v>68</v>
      </c>
      <c r="R6" s="132" t="s">
        <v>1712</v>
      </c>
      <c r="S6" s="132"/>
      <c r="T6" s="280"/>
      <c r="U6" s="281"/>
      <c r="V6" s="281"/>
      <c r="W6" s="281"/>
      <c r="X6" s="281"/>
      <c r="Y6" s="281"/>
      <c r="Z6" t="e">
        <f>VLOOKUP(A6,#REF!,9,FALSE)</f>
        <v>#REF!</v>
      </c>
    </row>
    <row r="7" spans="1:26" ht="15.75" thickBot="1">
      <c r="A7" s="122" t="s">
        <v>888</v>
      </c>
      <c r="B7" s="103" t="s">
        <v>50</v>
      </c>
      <c r="C7" s="219">
        <v>45807</v>
      </c>
      <c r="D7" s="272"/>
      <c r="E7" s="273" t="s">
        <v>1710</v>
      </c>
      <c r="F7" s="272"/>
      <c r="G7" s="274" t="s">
        <v>1673</v>
      </c>
      <c r="H7" s="272"/>
      <c r="I7" s="272"/>
      <c r="J7" s="283"/>
      <c r="K7" s="209"/>
      <c r="L7" s="209"/>
      <c r="M7" s="209"/>
      <c r="N7" s="276"/>
      <c r="O7" s="277"/>
      <c r="P7" s="278" t="s">
        <v>1711</v>
      </c>
      <c r="Q7" s="279" t="s">
        <v>68</v>
      </c>
      <c r="R7" s="132" t="s">
        <v>1712</v>
      </c>
      <c r="S7" s="132"/>
      <c r="T7" s="280"/>
      <c r="U7" s="281"/>
      <c r="V7" s="281"/>
      <c r="W7" s="281"/>
      <c r="X7" s="281"/>
      <c r="Y7" s="281"/>
      <c r="Z7" t="e">
        <f>VLOOKUP(A7,#REF!,9,FALSE)</f>
        <v>#REF!</v>
      </c>
    </row>
    <row r="8" spans="1:26" ht="15.75" thickBot="1">
      <c r="A8" s="282" t="s">
        <v>1713</v>
      </c>
      <c r="B8" s="103" t="s">
        <v>50</v>
      </c>
      <c r="C8" s="219">
        <v>45807</v>
      </c>
      <c r="D8" s="272"/>
      <c r="E8" s="273" t="s">
        <v>1710</v>
      </c>
      <c r="F8" s="272"/>
      <c r="G8" s="274" t="s">
        <v>1673</v>
      </c>
      <c r="H8" s="272"/>
      <c r="I8" s="272"/>
      <c r="J8" s="283"/>
      <c r="K8" s="209"/>
      <c r="L8" s="209"/>
      <c r="M8" s="209"/>
      <c r="N8" s="276"/>
      <c r="O8" s="277"/>
      <c r="P8" s="278" t="s">
        <v>1684</v>
      </c>
      <c r="Q8" s="279" t="s">
        <v>1714</v>
      </c>
      <c r="R8" s="132" t="s">
        <v>1715</v>
      </c>
      <c r="S8" s="132"/>
      <c r="T8" s="280"/>
      <c r="U8" s="281"/>
      <c r="V8" s="281"/>
      <c r="W8" s="281"/>
      <c r="X8" s="281"/>
      <c r="Y8" s="281"/>
      <c r="Z8" t="e">
        <f>VLOOKUP(A8,#REF!,9,FALSE)</f>
        <v>#REF!</v>
      </c>
    </row>
    <row r="9" spans="1:26" ht="15.75" thickBot="1">
      <c r="A9" s="122" t="s">
        <v>897</v>
      </c>
      <c r="B9" s="103" t="s">
        <v>50</v>
      </c>
      <c r="C9" s="219">
        <v>45807</v>
      </c>
      <c r="D9" s="284"/>
      <c r="E9" s="273" t="s">
        <v>1710</v>
      </c>
      <c r="F9" s="284"/>
      <c r="G9" s="285" t="s">
        <v>1673</v>
      </c>
      <c r="H9" s="272"/>
      <c r="I9" s="272"/>
      <c r="J9" s="283"/>
      <c r="K9" s="209"/>
      <c r="L9" s="209"/>
      <c r="M9" s="209"/>
      <c r="N9" s="276"/>
      <c r="O9" s="277"/>
      <c r="P9" s="278" t="s">
        <v>1711</v>
      </c>
      <c r="Q9" s="279" t="s">
        <v>68</v>
      </c>
      <c r="R9" s="132" t="s">
        <v>1712</v>
      </c>
      <c r="S9" s="132"/>
      <c r="T9" s="280"/>
      <c r="U9" s="281"/>
      <c r="V9" s="281"/>
      <c r="W9" s="281"/>
      <c r="X9" s="281"/>
      <c r="Y9" s="281"/>
      <c r="Z9" t="e">
        <f>VLOOKUP(A9,#REF!,9,FALSE)</f>
        <v>#REF!</v>
      </c>
    </row>
    <row r="10" spans="1:26" ht="15.75" thickBot="1">
      <c r="A10" s="122" t="s">
        <v>873</v>
      </c>
      <c r="B10" s="103" t="s">
        <v>50</v>
      </c>
      <c r="C10" s="219" t="e">
        <v>#N/A</v>
      </c>
      <c r="D10" s="286"/>
      <c r="E10" s="273" t="s">
        <v>1710</v>
      </c>
      <c r="F10" s="286"/>
      <c r="G10" s="287" t="s">
        <v>1673</v>
      </c>
      <c r="H10" s="234"/>
      <c r="I10" s="234"/>
      <c r="J10" s="45"/>
      <c r="K10" s="208"/>
      <c r="L10" s="208"/>
      <c r="M10" s="208"/>
      <c r="N10" s="288"/>
      <c r="O10" s="289"/>
      <c r="P10" s="278" t="s">
        <v>1711</v>
      </c>
      <c r="Q10" s="279" t="s">
        <v>58</v>
      </c>
      <c r="R10" s="132" t="s">
        <v>1712</v>
      </c>
      <c r="S10" s="132"/>
      <c r="T10" s="280"/>
      <c r="U10" s="281"/>
      <c r="V10" s="281"/>
      <c r="W10" s="281"/>
      <c r="X10" s="281"/>
      <c r="Y10" s="281"/>
      <c r="Z10" t="e">
        <f>VLOOKUP(A10,#REF!,9,FALSE)</f>
        <v>#REF!</v>
      </c>
    </row>
    <row r="11" spans="1:26" ht="15.75" thickBot="1">
      <c r="A11" s="122" t="s">
        <v>83</v>
      </c>
      <c r="B11" s="103" t="s">
        <v>50</v>
      </c>
      <c r="C11" s="219">
        <v>45807</v>
      </c>
      <c r="D11" s="286"/>
      <c r="E11" s="273" t="s">
        <v>1710</v>
      </c>
      <c r="F11" s="286"/>
      <c r="G11" s="287" t="s">
        <v>1673</v>
      </c>
      <c r="H11" s="234"/>
      <c r="I11" s="234"/>
      <c r="J11" s="45"/>
      <c r="K11" s="208"/>
      <c r="L11" s="208"/>
      <c r="M11" s="208"/>
      <c r="N11" s="288"/>
      <c r="O11" s="289"/>
      <c r="P11" s="278" t="s">
        <v>1711</v>
      </c>
      <c r="Q11" s="279" t="s">
        <v>68</v>
      </c>
      <c r="R11" s="132" t="s">
        <v>1712</v>
      </c>
      <c r="S11" s="132"/>
      <c r="T11" s="280"/>
      <c r="U11" s="281"/>
      <c r="V11" s="281"/>
      <c r="W11" s="281"/>
      <c r="X11" s="281"/>
      <c r="Y11" s="281"/>
      <c r="Z11" t="e">
        <f>VLOOKUP(A11,#REF!,9,FALSE)</f>
        <v>#REF!</v>
      </c>
    </row>
    <row r="12" spans="1:26" ht="15.75" thickBot="1">
      <c r="A12" s="122" t="s">
        <v>869</v>
      </c>
      <c r="B12" s="103" t="s">
        <v>50</v>
      </c>
      <c r="C12" s="219" t="e">
        <v>#N/A</v>
      </c>
      <c r="D12" s="286"/>
      <c r="E12" s="273" t="s">
        <v>1710</v>
      </c>
      <c r="F12" s="286"/>
      <c r="G12" s="287" t="s">
        <v>1673</v>
      </c>
      <c r="H12" s="234"/>
      <c r="I12" s="234"/>
      <c r="J12" s="45"/>
      <c r="K12" s="208"/>
      <c r="L12" s="208"/>
      <c r="M12" s="208"/>
      <c r="N12" s="288"/>
      <c r="O12" s="289"/>
      <c r="P12" s="278" t="s">
        <v>1711</v>
      </c>
      <c r="Q12" s="279" t="s">
        <v>68</v>
      </c>
      <c r="R12" s="132" t="s">
        <v>1712</v>
      </c>
      <c r="S12" s="132"/>
      <c r="T12" s="280"/>
      <c r="U12" s="281"/>
      <c r="V12" s="281"/>
      <c r="W12" s="281"/>
      <c r="X12" s="281"/>
      <c r="Y12" s="281"/>
      <c r="Z12" t="e">
        <f>VLOOKUP(A12,#REF!,9,FALSE)</f>
        <v>#REF!</v>
      </c>
    </row>
    <row r="13" spans="1:26" ht="15.75" thickBot="1">
      <c r="A13" s="122" t="s">
        <v>895</v>
      </c>
      <c r="B13" s="103" t="s">
        <v>50</v>
      </c>
      <c r="C13" s="219" t="e">
        <v>#N/A</v>
      </c>
      <c r="D13" s="286"/>
      <c r="E13" s="273" t="s">
        <v>1710</v>
      </c>
      <c r="F13" s="286"/>
      <c r="G13" s="287" t="s">
        <v>1673</v>
      </c>
      <c r="H13" s="234"/>
      <c r="I13" s="234"/>
      <c r="J13" s="45"/>
      <c r="K13" s="208"/>
      <c r="L13" s="208"/>
      <c r="M13" s="208"/>
      <c r="N13" s="288"/>
      <c r="O13" s="289"/>
      <c r="P13" s="278" t="s">
        <v>1711</v>
      </c>
      <c r="Q13" s="279" t="s">
        <v>68</v>
      </c>
      <c r="R13" s="132" t="s">
        <v>1712</v>
      </c>
      <c r="S13" s="132"/>
      <c r="T13" s="280"/>
      <c r="U13" s="281"/>
      <c r="V13" s="281"/>
      <c r="W13" s="281"/>
      <c r="X13" s="281"/>
      <c r="Y13" s="281"/>
      <c r="Z13" t="e">
        <f>VLOOKUP(A13,#REF!,9,FALSE)</f>
        <v>#REF!</v>
      </c>
    </row>
    <row r="14" spans="1:26" ht="15.75" thickBot="1">
      <c r="A14" s="282" t="s">
        <v>380</v>
      </c>
      <c r="B14" s="103" t="s">
        <v>50</v>
      </c>
      <c r="C14" s="219">
        <v>45807</v>
      </c>
      <c r="D14" s="286"/>
      <c r="E14" s="273" t="s">
        <v>1710</v>
      </c>
      <c r="F14" s="286"/>
      <c r="G14" s="287" t="s">
        <v>1673</v>
      </c>
      <c r="H14" s="234"/>
      <c r="I14" s="234"/>
      <c r="J14" s="45"/>
      <c r="K14" s="208"/>
      <c r="L14" s="208"/>
      <c r="M14" s="208"/>
      <c r="N14" s="288"/>
      <c r="O14" s="289"/>
      <c r="P14" s="278" t="s">
        <v>1711</v>
      </c>
      <c r="Q14" s="279" t="s">
        <v>68</v>
      </c>
      <c r="R14" s="132" t="s">
        <v>1712</v>
      </c>
      <c r="S14" s="132"/>
      <c r="T14" s="280"/>
      <c r="U14" s="281"/>
      <c r="V14" s="281"/>
      <c r="W14" s="281"/>
      <c r="X14" s="281"/>
      <c r="Y14" s="281"/>
      <c r="Z14" t="e">
        <f>VLOOKUP(A14,#REF!,9,FALSE)</f>
        <v>#REF!</v>
      </c>
    </row>
    <row r="15" spans="1:26" ht="15.75" thickBot="1">
      <c r="A15" s="122" t="s">
        <v>872</v>
      </c>
      <c r="B15" s="103" t="s">
        <v>50</v>
      </c>
      <c r="C15" s="219" t="e">
        <v>#N/A</v>
      </c>
      <c r="D15" s="286"/>
      <c r="E15" s="273" t="s">
        <v>1710</v>
      </c>
      <c r="F15" s="286"/>
      <c r="G15" s="287" t="s">
        <v>1673</v>
      </c>
      <c r="H15" s="234"/>
      <c r="I15" s="234"/>
      <c r="J15" s="45"/>
      <c r="K15" s="208"/>
      <c r="L15" s="208"/>
      <c r="M15" s="208"/>
      <c r="N15" s="288"/>
      <c r="O15" s="289"/>
      <c r="P15" s="278" t="s">
        <v>1711</v>
      </c>
      <c r="Q15" s="279" t="s">
        <v>68</v>
      </c>
      <c r="R15" s="132" t="s">
        <v>1712</v>
      </c>
      <c r="S15" s="132"/>
      <c r="T15" s="280"/>
      <c r="U15" s="281"/>
      <c r="V15" s="281"/>
      <c r="W15" s="281"/>
      <c r="X15" s="281"/>
      <c r="Y15" s="281"/>
      <c r="Z15" t="e">
        <f>VLOOKUP(A15,#REF!,9,FALSE)</f>
        <v>#REF!</v>
      </c>
    </row>
    <row r="16" spans="1:26" ht="15.75" thickBot="1">
      <c r="A16" s="290" t="s">
        <v>1716</v>
      </c>
      <c r="B16" s="103" t="s">
        <v>50</v>
      </c>
      <c r="C16" s="219" t="e">
        <v>#N/A</v>
      </c>
      <c r="D16" s="286"/>
      <c r="E16" s="273" t="s">
        <v>1710</v>
      </c>
      <c r="F16" s="286"/>
      <c r="G16" s="287" t="s">
        <v>1673</v>
      </c>
      <c r="H16" s="234"/>
      <c r="I16" s="234"/>
      <c r="J16" s="45"/>
      <c r="K16" s="208"/>
      <c r="L16" s="208"/>
      <c r="M16" s="208"/>
      <c r="N16" s="288"/>
      <c r="O16" s="289"/>
      <c r="P16" s="278" t="s">
        <v>1711</v>
      </c>
      <c r="Q16" s="279" t="s">
        <v>68</v>
      </c>
      <c r="R16" s="132" t="s">
        <v>1712</v>
      </c>
      <c r="S16" s="132"/>
      <c r="T16" s="280"/>
      <c r="U16" s="281"/>
      <c r="V16" s="281"/>
      <c r="W16" s="281"/>
      <c r="X16" s="281"/>
      <c r="Y16" s="281"/>
      <c r="Z16" t="e">
        <f>VLOOKUP(A16,#REF!,9,FALSE)</f>
        <v>#REF!</v>
      </c>
    </row>
    <row r="17" spans="1:26" ht="15.75" thickBot="1">
      <c r="A17" s="279" t="s">
        <v>689</v>
      </c>
      <c r="B17" s="103" t="s">
        <v>50</v>
      </c>
      <c r="C17" s="219" t="e">
        <v>#N/A</v>
      </c>
      <c r="D17" s="286"/>
      <c r="E17" s="273" t="s">
        <v>1675</v>
      </c>
      <c r="F17" s="286"/>
      <c r="G17" s="287" t="s">
        <v>1673</v>
      </c>
      <c r="H17" s="234"/>
      <c r="I17" s="234"/>
      <c r="J17" s="45"/>
      <c r="K17" s="208"/>
      <c r="L17" s="208"/>
      <c r="M17" s="208"/>
      <c r="N17" s="288"/>
      <c r="O17" s="289"/>
      <c r="P17" s="278"/>
      <c r="Q17" s="279" t="s">
        <v>68</v>
      </c>
      <c r="R17" s="132" t="s">
        <v>1712</v>
      </c>
      <c r="S17" s="132"/>
      <c r="T17" s="280"/>
      <c r="U17" s="281"/>
      <c r="V17" s="281"/>
      <c r="W17" s="281"/>
      <c r="X17" s="281"/>
      <c r="Y17" s="281"/>
      <c r="Z17" t="e">
        <f>VLOOKUP(A17,#REF!,9,FALSE)</f>
        <v>#REF!</v>
      </c>
    </row>
    <row r="18" spans="1:26" ht="15.75" thickBot="1">
      <c r="A18" s="279" t="s">
        <v>661</v>
      </c>
      <c r="B18" s="103" t="s">
        <v>50</v>
      </c>
      <c r="C18" s="219">
        <v>45807</v>
      </c>
      <c r="D18" s="286"/>
      <c r="E18" s="273" t="s">
        <v>1675</v>
      </c>
      <c r="F18" s="286"/>
      <c r="G18" s="287" t="s">
        <v>1673</v>
      </c>
      <c r="H18" s="234"/>
      <c r="I18" s="234"/>
      <c r="J18" s="45"/>
      <c r="K18" s="208"/>
      <c r="L18" s="208"/>
      <c r="M18" s="208"/>
      <c r="N18" s="288"/>
      <c r="O18" s="289"/>
      <c r="P18" s="278" t="s">
        <v>1681</v>
      </c>
      <c r="Q18" s="279"/>
      <c r="R18" s="132" t="s">
        <v>1712</v>
      </c>
      <c r="S18" s="132"/>
      <c r="T18" s="280"/>
      <c r="U18" s="281"/>
      <c r="V18" s="281"/>
      <c r="W18" s="281"/>
      <c r="X18" s="281"/>
      <c r="Y18" s="281"/>
      <c r="Z18" t="e">
        <f>VLOOKUP(A18,#REF!,9,FALSE)</f>
        <v>#REF!</v>
      </c>
    </row>
    <row r="19" spans="1:26" ht="15.75" thickBot="1">
      <c r="A19" s="279" t="s">
        <v>664</v>
      </c>
      <c r="B19" s="103" t="s">
        <v>50</v>
      </c>
      <c r="C19" s="219" t="e">
        <v>#N/A</v>
      </c>
      <c r="D19" s="286"/>
      <c r="E19" s="273" t="s">
        <v>1675</v>
      </c>
      <c r="F19" s="286"/>
      <c r="G19" s="287" t="s">
        <v>1694</v>
      </c>
      <c r="H19" s="234"/>
      <c r="I19" s="234"/>
      <c r="J19" s="45"/>
      <c r="K19" s="208"/>
      <c r="L19" s="208"/>
      <c r="M19" s="208"/>
      <c r="N19" s="288"/>
      <c r="O19" s="289"/>
      <c r="P19" s="278"/>
      <c r="Q19" s="279" t="s">
        <v>1694</v>
      </c>
      <c r="R19" s="132" t="s">
        <v>1712</v>
      </c>
      <c r="S19" s="132"/>
      <c r="T19" s="280"/>
      <c r="U19" s="281"/>
      <c r="V19" s="281"/>
      <c r="W19" s="281"/>
      <c r="X19" s="281"/>
      <c r="Y19" s="281"/>
      <c r="Z19" t="e">
        <f>VLOOKUP(A19,#REF!,9,FALSE)</f>
        <v>#REF!</v>
      </c>
    </row>
    <row r="20" spans="1:26" ht="15.75" thickBot="1">
      <c r="A20" s="279" t="s">
        <v>615</v>
      </c>
      <c r="B20" s="103" t="s">
        <v>50</v>
      </c>
      <c r="C20" s="219" t="e">
        <v>#N/A</v>
      </c>
      <c r="D20" s="286"/>
      <c r="E20" s="273" t="s">
        <v>1675</v>
      </c>
      <c r="F20" s="286"/>
      <c r="G20" s="287" t="s">
        <v>1694</v>
      </c>
      <c r="H20" s="234"/>
      <c r="I20" s="234"/>
      <c r="J20" s="45"/>
      <c r="K20" s="208"/>
      <c r="L20" s="208"/>
      <c r="M20" s="208"/>
      <c r="N20" s="288"/>
      <c r="O20" s="289"/>
      <c r="P20" s="278"/>
      <c r="Q20" s="279" t="s">
        <v>1694</v>
      </c>
      <c r="R20" s="132" t="s">
        <v>1712</v>
      </c>
      <c r="S20" s="132"/>
      <c r="T20" s="280"/>
      <c r="U20" s="281"/>
      <c r="V20" s="281"/>
      <c r="W20" s="281"/>
      <c r="X20" s="281"/>
      <c r="Y20" s="281"/>
      <c r="Z20" t="e">
        <f>VLOOKUP(A20,#REF!,9,FALSE)</f>
        <v>#REF!</v>
      </c>
    </row>
    <row r="21" spans="1:26" s="218" customFormat="1" ht="15.75" thickBot="1">
      <c r="A21" s="266" t="s">
        <v>1690</v>
      </c>
      <c r="B21" s="103" t="e">
        <v>#N/A</v>
      </c>
      <c r="C21" s="235">
        <v>45807</v>
      </c>
      <c r="D21" s="286"/>
      <c r="E21" s="273" t="s">
        <v>1675</v>
      </c>
      <c r="F21" s="286"/>
      <c r="G21" s="287" t="s">
        <v>1673</v>
      </c>
      <c r="H21" s="234"/>
      <c r="I21" s="234"/>
      <c r="J21" s="234"/>
      <c r="K21" s="233"/>
      <c r="L21" s="233"/>
      <c r="M21" s="233"/>
      <c r="N21" s="288"/>
      <c r="O21" s="289"/>
      <c r="P21" s="278"/>
      <c r="Q21" s="229" t="s">
        <v>64</v>
      </c>
      <c r="R21" s="132" t="s">
        <v>1712</v>
      </c>
      <c r="S21" s="232"/>
      <c r="T21" s="231"/>
      <c r="U21" s="230"/>
      <c r="V21" s="230"/>
      <c r="W21" s="230"/>
      <c r="X21" s="230"/>
      <c r="Y21" s="230" t="s">
        <v>1717</v>
      </c>
      <c r="Z21" t="e">
        <f>VLOOKUP(A21,#REF!,9,FALSE)</f>
        <v>#REF!</v>
      </c>
    </row>
    <row r="22" spans="1:26" ht="15.75" thickBot="1">
      <c r="A22" s="279" t="s">
        <v>617</v>
      </c>
      <c r="B22" s="103" t="s">
        <v>50</v>
      </c>
      <c r="C22" s="219" t="e">
        <v>#N/A</v>
      </c>
      <c r="D22" s="286"/>
      <c r="E22" s="273" t="s">
        <v>1675</v>
      </c>
      <c r="F22" s="286"/>
      <c r="G22" s="287" t="s">
        <v>1694</v>
      </c>
      <c r="H22" s="234"/>
      <c r="I22" s="234"/>
      <c r="J22" s="45"/>
      <c r="K22" s="208"/>
      <c r="L22" s="208"/>
      <c r="M22" s="208"/>
      <c r="N22" s="288"/>
      <c r="O22" s="289"/>
      <c r="P22" s="278"/>
      <c r="Q22" s="279" t="s">
        <v>1694</v>
      </c>
      <c r="R22" s="132" t="s">
        <v>1712</v>
      </c>
      <c r="S22" s="132"/>
      <c r="T22" s="280"/>
      <c r="U22" s="281"/>
      <c r="V22" s="281"/>
      <c r="W22" s="281"/>
      <c r="X22" s="281"/>
      <c r="Y22" s="281"/>
      <c r="Z22" t="e">
        <f>VLOOKUP(A22,#REF!,9,FALSE)</f>
        <v>#REF!</v>
      </c>
    </row>
    <row r="23" spans="1:26" ht="15.75" thickBot="1">
      <c r="A23" s="279" t="s">
        <v>603</v>
      </c>
      <c r="B23" s="103" t="s">
        <v>50</v>
      </c>
      <c r="C23" s="219" t="e">
        <v>#N/A</v>
      </c>
      <c r="D23" s="286"/>
      <c r="E23" s="273" t="s">
        <v>1675</v>
      </c>
      <c r="F23" s="286"/>
      <c r="G23" s="287" t="s">
        <v>1673</v>
      </c>
      <c r="H23" s="234"/>
      <c r="I23" s="234"/>
      <c r="J23" s="45"/>
      <c r="K23" s="208"/>
      <c r="L23" s="208"/>
      <c r="M23" s="208"/>
      <c r="N23" s="288"/>
      <c r="O23" s="289"/>
      <c r="P23" s="278"/>
      <c r="Q23" s="279" t="s">
        <v>64</v>
      </c>
      <c r="R23" s="132" t="s">
        <v>1712</v>
      </c>
      <c r="S23" s="132"/>
      <c r="T23" s="280"/>
      <c r="U23" s="281"/>
      <c r="V23" s="281"/>
      <c r="W23" s="281"/>
      <c r="X23" s="281"/>
      <c r="Y23" s="281" t="s">
        <v>1718</v>
      </c>
      <c r="Z23" t="e">
        <f>VLOOKUP(A23,#REF!,9,FALSE)</f>
        <v>#REF!</v>
      </c>
    </row>
    <row r="24" spans="1:26" s="218" customFormat="1" ht="69.599999999999994" customHeight="1" thickBot="1">
      <c r="A24" s="229" t="s">
        <v>1686</v>
      </c>
      <c r="B24" s="236" t="e">
        <v>#N/A</v>
      </c>
      <c r="C24" s="235">
        <v>45716</v>
      </c>
      <c r="D24" s="286"/>
      <c r="E24" s="273" t="s">
        <v>1675</v>
      </c>
      <c r="F24" s="286"/>
      <c r="G24" s="287" t="s">
        <v>1673</v>
      </c>
      <c r="H24" s="234"/>
      <c r="I24" s="234"/>
      <c r="J24" s="234"/>
      <c r="K24" s="233"/>
      <c r="L24" s="233"/>
      <c r="M24" s="233"/>
      <c r="N24" s="288"/>
      <c r="O24" s="289"/>
      <c r="P24" s="278" t="s">
        <v>1687</v>
      </c>
      <c r="Q24" s="229" t="s">
        <v>64</v>
      </c>
      <c r="R24" s="132" t="s">
        <v>1712</v>
      </c>
      <c r="S24" s="232"/>
      <c r="T24" s="231"/>
      <c r="U24" s="230"/>
      <c r="V24" s="230"/>
      <c r="W24" s="230"/>
      <c r="X24" s="230"/>
      <c r="Y24" s="230" t="s">
        <v>1718</v>
      </c>
      <c r="Z24" t="e">
        <f>VLOOKUP(A24,#REF!,9,FALSE)</f>
        <v>#REF!</v>
      </c>
    </row>
    <row r="25" spans="1:26" ht="15.75" thickBot="1">
      <c r="A25" s="279" t="s">
        <v>607</v>
      </c>
      <c r="B25" s="103" t="s">
        <v>50</v>
      </c>
      <c r="C25" s="219">
        <v>45772</v>
      </c>
      <c r="D25" s="286"/>
      <c r="E25" s="273" t="s">
        <v>1675</v>
      </c>
      <c r="F25" s="286"/>
      <c r="G25" s="287" t="s">
        <v>1673</v>
      </c>
      <c r="H25" s="234"/>
      <c r="I25" s="234"/>
      <c r="J25" s="45"/>
      <c r="K25" s="208"/>
      <c r="L25" s="208"/>
      <c r="M25" s="208"/>
      <c r="N25" s="288"/>
      <c r="O25" s="289"/>
      <c r="P25" s="278" t="s">
        <v>1687</v>
      </c>
      <c r="Q25" s="279" t="s">
        <v>64</v>
      </c>
      <c r="R25" s="132" t="s">
        <v>1712</v>
      </c>
      <c r="S25" s="132"/>
      <c r="T25" s="280"/>
      <c r="U25" s="281"/>
      <c r="V25" s="281"/>
      <c r="W25" s="281"/>
      <c r="X25" s="281"/>
      <c r="Y25" s="281"/>
      <c r="Z25" t="e">
        <f>VLOOKUP(A25,#REF!,9,FALSE)</f>
        <v>#REF!</v>
      </c>
    </row>
    <row r="26" spans="1:26" ht="15.75" thickBot="1">
      <c r="A26" s="279" t="s">
        <v>484</v>
      </c>
      <c r="B26" s="103" t="s">
        <v>50</v>
      </c>
      <c r="C26" s="219">
        <v>45772</v>
      </c>
      <c r="D26" s="286"/>
      <c r="E26" s="273" t="s">
        <v>1675</v>
      </c>
      <c r="F26" s="286"/>
      <c r="G26" s="287" t="s">
        <v>1673</v>
      </c>
      <c r="H26" s="234"/>
      <c r="I26" s="234"/>
      <c r="J26" s="45"/>
      <c r="K26" s="208"/>
      <c r="L26" s="208"/>
      <c r="M26" s="208"/>
      <c r="N26" s="288"/>
      <c r="O26" s="289"/>
      <c r="P26" s="278" t="s">
        <v>1687</v>
      </c>
      <c r="Q26" s="279" t="s">
        <v>64</v>
      </c>
      <c r="R26" s="132" t="s">
        <v>1712</v>
      </c>
      <c r="S26" s="132"/>
      <c r="T26" s="280"/>
      <c r="U26" s="281"/>
      <c r="V26" s="281"/>
      <c r="W26" s="281"/>
      <c r="X26" s="281"/>
      <c r="Y26" s="281"/>
      <c r="Z26" t="e">
        <f>VLOOKUP(A26,#REF!,9,FALSE)</f>
        <v>#REF!</v>
      </c>
    </row>
    <row r="27" spans="1:26" ht="15.75" thickBot="1">
      <c r="A27" s="279" t="s">
        <v>795</v>
      </c>
      <c r="B27" s="103" t="s">
        <v>50</v>
      </c>
      <c r="C27" s="219">
        <v>45772</v>
      </c>
      <c r="D27" s="286"/>
      <c r="E27" s="273" t="s">
        <v>1675</v>
      </c>
      <c r="F27" s="286"/>
      <c r="G27" s="287" t="s">
        <v>1673</v>
      </c>
      <c r="H27" s="234"/>
      <c r="I27" s="234"/>
      <c r="J27" s="45"/>
      <c r="K27" s="208"/>
      <c r="L27" s="208"/>
      <c r="M27" s="208"/>
      <c r="N27" s="288"/>
      <c r="O27" s="289"/>
      <c r="P27" s="278" t="s">
        <v>1687</v>
      </c>
      <c r="Q27" s="279" t="s">
        <v>64</v>
      </c>
      <c r="R27" s="132" t="s">
        <v>1712</v>
      </c>
      <c r="S27" s="132"/>
      <c r="T27" s="280"/>
      <c r="U27" s="281"/>
      <c r="V27" s="281"/>
      <c r="W27" s="281"/>
      <c r="X27" s="281"/>
      <c r="Y27" s="281"/>
      <c r="Z27" t="e">
        <f>VLOOKUP(A27,#REF!,9,FALSE)</f>
        <v>#REF!</v>
      </c>
    </row>
    <row r="28" spans="1:26" ht="70.150000000000006" customHeight="1" thickBot="1">
      <c r="A28" s="229" t="s">
        <v>1689</v>
      </c>
      <c r="B28" s="236"/>
      <c r="C28" s="235"/>
      <c r="D28" s="286"/>
      <c r="E28" s="273" t="s">
        <v>1675</v>
      </c>
      <c r="F28" s="286"/>
      <c r="G28" s="287" t="s">
        <v>1673</v>
      </c>
      <c r="H28" s="234"/>
      <c r="I28" s="234"/>
      <c r="J28" s="234"/>
      <c r="K28" s="233"/>
      <c r="L28" s="233"/>
      <c r="M28" s="233"/>
      <c r="N28" s="288"/>
      <c r="O28" s="289"/>
      <c r="P28" s="278" t="s">
        <v>1687</v>
      </c>
      <c r="Q28" s="229" t="s">
        <v>64</v>
      </c>
      <c r="R28" s="132" t="s">
        <v>1712</v>
      </c>
      <c r="S28" s="232"/>
      <c r="T28" s="231"/>
      <c r="U28" s="230"/>
      <c r="V28" s="230"/>
      <c r="W28" s="230"/>
      <c r="X28" s="230"/>
      <c r="Y28" s="292" t="s">
        <v>1719</v>
      </c>
      <c r="Z28" t="e">
        <f>VLOOKUP(A28,#REF!,9,FALSE)</f>
        <v>#REF!</v>
      </c>
    </row>
    <row r="29" spans="1:26" s="218" customFormat="1" ht="69.599999999999994" customHeight="1" thickBot="1">
      <c r="A29" s="229" t="s">
        <v>1692</v>
      </c>
      <c r="B29" s="236" t="e">
        <v>#N/A</v>
      </c>
      <c r="C29" s="235" t="e">
        <v>#N/A</v>
      </c>
      <c r="D29" s="286"/>
      <c r="E29" s="273" t="s">
        <v>1675</v>
      </c>
      <c r="F29" s="286"/>
      <c r="G29" s="287" t="s">
        <v>1673</v>
      </c>
      <c r="H29" s="234"/>
      <c r="I29" s="234"/>
      <c r="J29" s="234"/>
      <c r="K29" s="233"/>
      <c r="L29" s="233"/>
      <c r="M29" s="233"/>
      <c r="N29" s="288"/>
      <c r="O29" s="289"/>
      <c r="P29" s="278"/>
      <c r="Q29" s="224" t="s">
        <v>64</v>
      </c>
      <c r="R29" s="132" t="s">
        <v>1712</v>
      </c>
      <c r="S29" s="232"/>
      <c r="T29" s="231"/>
      <c r="U29" s="230"/>
      <c r="V29" s="230"/>
      <c r="W29" s="230"/>
      <c r="X29" s="230"/>
      <c r="Y29" s="230" t="s">
        <v>1719</v>
      </c>
      <c r="Z29" t="e">
        <f>VLOOKUP(A29,#REF!,9,FALSE)</f>
        <v>#REF!</v>
      </c>
    </row>
    <row r="30" spans="1:26" ht="15.75" thickBot="1">
      <c r="A30" s="279" t="s">
        <v>635</v>
      </c>
      <c r="B30" s="103" t="s">
        <v>50</v>
      </c>
      <c r="C30" s="219">
        <v>45772</v>
      </c>
      <c r="D30" s="286"/>
      <c r="E30" s="273" t="s">
        <v>1675</v>
      </c>
      <c r="F30" s="286"/>
      <c r="G30" s="287" t="s">
        <v>1694</v>
      </c>
      <c r="H30" s="234"/>
      <c r="I30" s="234"/>
      <c r="J30" s="45"/>
      <c r="K30" s="208"/>
      <c r="L30" s="208"/>
      <c r="M30" s="208"/>
      <c r="N30" s="288"/>
      <c r="O30" s="289"/>
      <c r="P30" s="278"/>
      <c r="Q30" s="279" t="s">
        <v>1694</v>
      </c>
      <c r="R30" s="132" t="s">
        <v>1712</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1675</v>
      </c>
      <c r="F31" s="293"/>
      <c r="G31" s="294" t="s">
        <v>1694</v>
      </c>
      <c r="H31" s="226"/>
      <c r="I31" s="226"/>
      <c r="J31" s="240"/>
      <c r="K31" s="241"/>
      <c r="L31" s="241"/>
      <c r="M31" s="241"/>
      <c r="N31" s="226"/>
      <c r="O31" s="295"/>
      <c r="P31" s="278"/>
      <c r="Q31" s="237" t="s">
        <v>1694</v>
      </c>
      <c r="R31" s="132" t="s">
        <v>1712</v>
      </c>
      <c r="S31" s="242"/>
      <c r="T31" s="243"/>
      <c r="U31" s="244"/>
      <c r="V31" s="244"/>
      <c r="W31" s="244"/>
      <c r="X31" s="244"/>
      <c r="Y31" s="244" t="s">
        <v>1720</v>
      </c>
      <c r="Z31" t="e">
        <f>VLOOKUP(A31,#REF!,9,FALSE)</f>
        <v>#REF!</v>
      </c>
    </row>
    <row r="32" spans="1:26" ht="15.75" thickBot="1">
      <c r="A32" s="279" t="s">
        <v>637</v>
      </c>
      <c r="B32" s="103" t="s">
        <v>50</v>
      </c>
      <c r="C32" s="219">
        <v>45772</v>
      </c>
      <c r="D32" s="286"/>
      <c r="E32" s="273" t="s">
        <v>1675</v>
      </c>
      <c r="F32" s="286"/>
      <c r="G32" s="287" t="s">
        <v>1694</v>
      </c>
      <c r="H32" s="234"/>
      <c r="I32" s="234"/>
      <c r="J32" s="45"/>
      <c r="K32" s="208"/>
      <c r="L32" s="208"/>
      <c r="M32" s="208"/>
      <c r="N32" s="288"/>
      <c r="O32" s="289"/>
      <c r="P32" s="278"/>
      <c r="Q32" s="279" t="s">
        <v>1694</v>
      </c>
      <c r="R32" s="132" t="s">
        <v>1712</v>
      </c>
      <c r="S32" s="132"/>
      <c r="T32" s="280"/>
      <c r="U32" s="281"/>
      <c r="V32" s="281"/>
      <c r="W32" s="281"/>
      <c r="X32" s="281"/>
      <c r="Y32" s="281"/>
      <c r="Z32" t="e">
        <f>VLOOKUP(A32,#REF!,9,FALSE)</f>
        <v>#REF!</v>
      </c>
    </row>
    <row r="33" spans="1:26" ht="15.75" thickBot="1">
      <c r="A33" s="279" t="s">
        <v>627</v>
      </c>
      <c r="B33" s="103" t="s">
        <v>50</v>
      </c>
      <c r="C33" s="219">
        <v>45831</v>
      </c>
      <c r="D33" s="286"/>
      <c r="E33" s="273" t="s">
        <v>1675</v>
      </c>
      <c r="F33" s="286"/>
      <c r="G33" s="287" t="s">
        <v>1673</v>
      </c>
      <c r="H33" s="234"/>
      <c r="I33" s="234"/>
      <c r="J33" s="45"/>
      <c r="K33" s="208"/>
      <c r="L33" s="208"/>
      <c r="M33" s="208"/>
      <c r="N33" s="288"/>
      <c r="O33" s="289"/>
      <c r="P33" s="278"/>
      <c r="Q33" s="229" t="s">
        <v>64</v>
      </c>
      <c r="R33" s="132" t="s">
        <v>1712</v>
      </c>
      <c r="S33" s="132"/>
      <c r="T33" s="280"/>
      <c r="U33" s="281"/>
      <c r="V33" s="281"/>
      <c r="W33" s="281"/>
      <c r="X33" s="281"/>
      <c r="Y33" s="281"/>
      <c r="Z33" t="e">
        <f>VLOOKUP(A33,#REF!,9,FALSE)</f>
        <v>#REF!</v>
      </c>
    </row>
    <row r="34" spans="1:26" ht="15.75" thickBot="1">
      <c r="A34" s="279" t="s">
        <v>621</v>
      </c>
      <c r="B34" s="103" t="s">
        <v>50</v>
      </c>
      <c r="C34" s="219">
        <v>45831</v>
      </c>
      <c r="D34" s="286"/>
      <c r="E34" s="273" t="s">
        <v>1675</v>
      </c>
      <c r="F34" s="286"/>
      <c r="G34" s="287" t="s">
        <v>1673</v>
      </c>
      <c r="H34" s="234"/>
      <c r="I34" s="234"/>
      <c r="J34" s="45"/>
      <c r="K34" s="208"/>
      <c r="L34" s="208"/>
      <c r="M34" s="208"/>
      <c r="N34" s="288"/>
      <c r="O34" s="289"/>
      <c r="P34" s="278"/>
      <c r="Q34" s="279" t="s">
        <v>64</v>
      </c>
      <c r="R34" s="132" t="s">
        <v>1712</v>
      </c>
      <c r="S34" s="132"/>
      <c r="T34" s="280"/>
      <c r="U34" s="281"/>
      <c r="V34" s="281"/>
      <c r="W34" s="281"/>
      <c r="X34" s="281"/>
      <c r="Y34" s="281"/>
      <c r="Z34" t="e">
        <f>VLOOKUP(A34,#REF!,9,FALSE)</f>
        <v>#REF!</v>
      </c>
    </row>
    <row r="35" spans="1:26" ht="15.75" thickBot="1">
      <c r="A35" s="279" t="s">
        <v>623</v>
      </c>
      <c r="B35" s="103" t="s">
        <v>50</v>
      </c>
      <c r="C35" s="219">
        <v>45831</v>
      </c>
      <c r="D35" s="286"/>
      <c r="E35" s="273" t="s">
        <v>1675</v>
      </c>
      <c r="F35" s="286"/>
      <c r="G35" s="287" t="s">
        <v>1673</v>
      </c>
      <c r="H35" s="234"/>
      <c r="I35" s="234"/>
      <c r="J35" s="45"/>
      <c r="K35" s="208"/>
      <c r="L35" s="208"/>
      <c r="M35" s="208"/>
      <c r="N35" s="288"/>
      <c r="O35" s="289"/>
      <c r="P35" s="278"/>
      <c r="Q35" s="279" t="s">
        <v>64</v>
      </c>
      <c r="R35" s="132" t="s">
        <v>1712</v>
      </c>
      <c r="S35" s="132"/>
      <c r="T35" s="280"/>
      <c r="U35" s="281"/>
      <c r="V35" s="281"/>
      <c r="W35" s="281"/>
      <c r="X35" s="281"/>
      <c r="Y35" s="281"/>
      <c r="Z35" t="e">
        <f>VLOOKUP(A35,#REF!,9,FALSE)</f>
        <v>#REF!</v>
      </c>
    </row>
    <row r="36" spans="1:26" ht="15.75" thickBot="1">
      <c r="A36" s="279" t="s">
        <v>619</v>
      </c>
      <c r="B36" s="103" t="s">
        <v>50</v>
      </c>
      <c r="C36" s="219">
        <v>45772</v>
      </c>
      <c r="D36" s="286"/>
      <c r="E36" s="273" t="s">
        <v>1675</v>
      </c>
      <c r="F36" s="286"/>
      <c r="G36" s="287" t="s">
        <v>1694</v>
      </c>
      <c r="H36" s="234"/>
      <c r="I36" s="234"/>
      <c r="J36" s="45"/>
      <c r="K36" s="208"/>
      <c r="L36" s="208"/>
      <c r="M36" s="208"/>
      <c r="N36" s="288"/>
      <c r="O36" s="289"/>
      <c r="P36" s="278"/>
      <c r="Q36" s="279" t="s">
        <v>1694</v>
      </c>
      <c r="R36" s="132" t="s">
        <v>1712</v>
      </c>
      <c r="S36" s="132"/>
      <c r="T36" s="280"/>
      <c r="U36" s="281"/>
      <c r="V36" s="281"/>
      <c r="W36" s="281"/>
      <c r="X36" s="281"/>
      <c r="Y36" s="281"/>
      <c r="Z36" t="e">
        <f>VLOOKUP(A36,#REF!,9,FALSE)</f>
        <v>#REF!</v>
      </c>
    </row>
    <row r="37" spans="1:26" ht="15.75" thickBot="1">
      <c r="A37" s="279" t="s">
        <v>629</v>
      </c>
      <c r="B37" s="103" t="s">
        <v>50</v>
      </c>
      <c r="C37" s="219">
        <v>45831</v>
      </c>
      <c r="D37" s="286"/>
      <c r="E37" s="273" t="s">
        <v>1675</v>
      </c>
      <c r="F37" s="286"/>
      <c r="G37" s="287" t="s">
        <v>1673</v>
      </c>
      <c r="H37" s="234"/>
      <c r="I37" s="234"/>
      <c r="J37" s="45"/>
      <c r="K37" s="208"/>
      <c r="L37" s="208"/>
      <c r="M37" s="208"/>
      <c r="N37" s="288"/>
      <c r="O37" s="289"/>
      <c r="P37" s="278"/>
      <c r="Q37" s="279" t="s">
        <v>64</v>
      </c>
      <c r="R37" s="132" t="s">
        <v>1712</v>
      </c>
      <c r="S37" s="132"/>
      <c r="T37" s="280"/>
      <c r="U37" s="281"/>
      <c r="V37" s="281"/>
      <c r="W37" s="281"/>
      <c r="X37" s="281"/>
      <c r="Y37" s="281"/>
      <c r="Z37" t="e">
        <f>VLOOKUP(A37,#REF!,9,FALSE)</f>
        <v>#REF!</v>
      </c>
    </row>
    <row r="38" spans="1:26" ht="15.75" thickBot="1">
      <c r="A38" s="279" t="s">
        <v>633</v>
      </c>
      <c r="B38" s="103" t="s">
        <v>50</v>
      </c>
      <c r="C38" s="219">
        <v>45831</v>
      </c>
      <c r="D38" s="286"/>
      <c r="E38" s="273" t="s">
        <v>1675</v>
      </c>
      <c r="F38" s="286"/>
      <c r="G38" s="287" t="s">
        <v>1673</v>
      </c>
      <c r="H38" s="234"/>
      <c r="I38" s="234"/>
      <c r="J38" s="45"/>
      <c r="K38" s="208"/>
      <c r="L38" s="208"/>
      <c r="M38" s="208"/>
      <c r="N38" s="288"/>
      <c r="O38" s="289"/>
      <c r="P38" s="278"/>
      <c r="Q38" s="279" t="s">
        <v>64</v>
      </c>
      <c r="R38" s="132" t="s">
        <v>1712</v>
      </c>
      <c r="S38" s="132"/>
      <c r="T38" s="280"/>
      <c r="U38" s="281"/>
      <c r="V38" s="281"/>
      <c r="W38" s="281"/>
      <c r="X38" s="281"/>
      <c r="Y38" s="281"/>
      <c r="Z38" t="e">
        <f>VLOOKUP(A38,#REF!,9,FALSE)</f>
        <v>#REF!</v>
      </c>
    </row>
    <row r="39" spans="1:26" s="220" customFormat="1" ht="70.150000000000006" customHeight="1" thickBot="1">
      <c r="A39" s="224" t="s">
        <v>1695</v>
      </c>
      <c r="B39" s="228" t="e">
        <v>#N/A</v>
      </c>
      <c r="C39" s="227" t="e">
        <v>#N/A</v>
      </c>
      <c r="D39" s="293"/>
      <c r="E39" s="273" t="s">
        <v>1675</v>
      </c>
      <c r="F39" s="293"/>
      <c r="G39" s="294" t="s">
        <v>1694</v>
      </c>
      <c r="H39" s="226"/>
      <c r="I39" s="226"/>
      <c r="J39" s="226"/>
      <c r="K39" s="225"/>
      <c r="L39" s="225"/>
      <c r="M39" s="225"/>
      <c r="N39" s="226"/>
      <c r="O39" s="295"/>
      <c r="P39" s="278"/>
      <c r="Q39" s="224" t="s">
        <v>1694</v>
      </c>
      <c r="R39" s="132" t="s">
        <v>1712</v>
      </c>
      <c r="S39" s="223"/>
      <c r="T39" s="222"/>
      <c r="U39" s="221"/>
      <c r="V39" s="221"/>
      <c r="W39" s="221"/>
      <c r="X39" s="221"/>
      <c r="Y39" s="221" t="s">
        <v>1719</v>
      </c>
      <c r="Z39" t="e">
        <f>VLOOKUP(A39,#REF!,9,FALSE)</f>
        <v>#REF!</v>
      </c>
    </row>
    <row r="40" spans="1:26" ht="15.75" thickBot="1">
      <c r="A40" s="279" t="s">
        <v>793</v>
      </c>
      <c r="B40" s="103" t="s">
        <v>50</v>
      </c>
      <c r="C40" s="219">
        <v>45831</v>
      </c>
      <c r="D40" s="286"/>
      <c r="E40" s="273" t="s">
        <v>1675</v>
      </c>
      <c r="F40" s="286"/>
      <c r="G40" s="287" t="s">
        <v>1673</v>
      </c>
      <c r="H40" s="234"/>
      <c r="I40" s="234"/>
      <c r="J40" s="45"/>
      <c r="K40" s="208"/>
      <c r="L40" s="208"/>
      <c r="M40" s="208"/>
      <c r="N40" s="288"/>
      <c r="O40" s="289"/>
      <c r="P40" s="278"/>
      <c r="Q40" s="279" t="s">
        <v>64</v>
      </c>
      <c r="R40" s="132" t="s">
        <v>1712</v>
      </c>
      <c r="S40" s="132"/>
      <c r="T40" s="280"/>
      <c r="U40" s="281"/>
      <c r="V40" s="281"/>
      <c r="W40" s="281"/>
      <c r="X40" s="281"/>
      <c r="Y40" s="281"/>
      <c r="Z40" t="e">
        <f>VLOOKUP(A40,#REF!,9,FALSE)</f>
        <v>#REF!</v>
      </c>
    </row>
    <row r="41" spans="1:26" ht="15.75" thickBot="1">
      <c r="A41" s="279" t="s">
        <v>91</v>
      </c>
      <c r="B41" s="103" t="s">
        <v>50</v>
      </c>
      <c r="C41" s="219">
        <v>45807</v>
      </c>
      <c r="D41" s="286"/>
      <c r="E41" s="273" t="s">
        <v>1710</v>
      </c>
      <c r="F41" s="286"/>
      <c r="G41" s="287" t="s">
        <v>1673</v>
      </c>
      <c r="H41" s="234"/>
      <c r="I41" s="234"/>
      <c r="J41" s="45"/>
      <c r="K41" s="208"/>
      <c r="L41" s="208"/>
      <c r="M41" s="208"/>
      <c r="N41" s="288"/>
      <c r="O41" s="289"/>
      <c r="P41" s="278" t="s">
        <v>1711</v>
      </c>
      <c r="Q41" s="279" t="s">
        <v>58</v>
      </c>
      <c r="R41" s="132" t="s">
        <v>1712</v>
      </c>
      <c r="S41" s="132"/>
      <c r="T41" s="280"/>
      <c r="U41" s="281"/>
      <c r="V41" s="281"/>
      <c r="W41" s="281"/>
      <c r="X41" s="281"/>
      <c r="Y41" s="281"/>
      <c r="Z41" t="e">
        <f>VLOOKUP(A41,#REF!,9,FALSE)</f>
        <v>#REF!</v>
      </c>
    </row>
    <row r="42" spans="1:26" ht="15.75" thickBot="1">
      <c r="A42" s="279" t="s">
        <v>89</v>
      </c>
      <c r="B42" s="103" t="s">
        <v>50</v>
      </c>
      <c r="C42" s="219">
        <v>45807</v>
      </c>
      <c r="D42" s="286"/>
      <c r="E42" s="273" t="s">
        <v>1710</v>
      </c>
      <c r="F42" s="286"/>
      <c r="G42" s="287" t="s">
        <v>1673</v>
      </c>
      <c r="H42" s="234"/>
      <c r="I42" s="234"/>
      <c r="J42" s="45"/>
      <c r="K42" s="208"/>
      <c r="L42" s="208"/>
      <c r="M42" s="208"/>
      <c r="N42" s="288"/>
      <c r="O42" s="289"/>
      <c r="P42" s="278" t="s">
        <v>1711</v>
      </c>
      <c r="Q42" s="279" t="s">
        <v>64</v>
      </c>
      <c r="R42" s="132" t="s">
        <v>1712</v>
      </c>
      <c r="S42" s="132"/>
      <c r="T42" s="280"/>
      <c r="U42" s="281"/>
      <c r="V42" s="281"/>
      <c r="W42" s="281"/>
      <c r="X42" s="281"/>
      <c r="Y42" s="281"/>
      <c r="Z42" t="e">
        <f>VLOOKUP(A42,#REF!,9,FALSE)</f>
        <v>#REF!</v>
      </c>
    </row>
    <row r="43" spans="1:26" ht="15.75" thickBot="1">
      <c r="A43" s="279" t="s">
        <v>384</v>
      </c>
      <c r="B43" s="103" t="s">
        <v>50</v>
      </c>
      <c r="C43" s="219">
        <v>45807</v>
      </c>
      <c r="D43" s="286"/>
      <c r="E43" s="273" t="s">
        <v>1710</v>
      </c>
      <c r="F43" s="286"/>
      <c r="G43" s="287" t="s">
        <v>1673</v>
      </c>
      <c r="H43" s="234"/>
      <c r="I43" s="234"/>
      <c r="J43" s="45"/>
      <c r="K43" s="208"/>
      <c r="L43" s="208"/>
      <c r="M43" s="208"/>
      <c r="N43" s="288"/>
      <c r="O43" s="289"/>
      <c r="P43" s="278" t="s">
        <v>1711</v>
      </c>
      <c r="Q43" s="279" t="s">
        <v>58</v>
      </c>
      <c r="R43" s="132" t="s">
        <v>1712</v>
      </c>
      <c r="S43" s="132"/>
      <c r="T43" s="280"/>
      <c r="U43" s="281"/>
      <c r="V43" s="281"/>
      <c r="W43" s="281"/>
      <c r="X43" s="281"/>
      <c r="Y43" s="281"/>
      <c r="Z43" t="e">
        <f>VLOOKUP(A43,#REF!,9,FALSE)</f>
        <v>#REF!</v>
      </c>
    </row>
    <row r="44" spans="1:26" ht="15.75" thickBot="1">
      <c r="A44" s="279" t="s">
        <v>86</v>
      </c>
      <c r="B44" s="103" t="s">
        <v>50</v>
      </c>
      <c r="C44" s="219">
        <v>45807</v>
      </c>
      <c r="D44" s="286"/>
      <c r="E44" s="273" t="s">
        <v>1710</v>
      </c>
      <c r="F44" s="286"/>
      <c r="G44" s="287" t="s">
        <v>1673</v>
      </c>
      <c r="H44" s="234"/>
      <c r="I44" s="234"/>
      <c r="J44" s="45"/>
      <c r="K44" s="208"/>
      <c r="L44" s="208"/>
      <c r="M44" s="208"/>
      <c r="N44" s="288"/>
      <c r="O44" s="289"/>
      <c r="P44" s="278" t="s">
        <v>1681</v>
      </c>
      <c r="Q44" s="279" t="s">
        <v>64</v>
      </c>
      <c r="R44" s="132" t="s">
        <v>1712</v>
      </c>
      <c r="S44" s="132"/>
      <c r="T44" s="280"/>
      <c r="U44" s="281"/>
      <c r="V44" s="281"/>
      <c r="W44" s="281"/>
      <c r="X44" s="281"/>
      <c r="Y44" s="281"/>
      <c r="Z44" t="e">
        <f>VLOOKUP(A44,#REF!,9,FALSE)</f>
        <v>#REF!</v>
      </c>
    </row>
    <row r="45" spans="1:26" ht="15.75" thickBot="1">
      <c r="A45" s="346" t="s">
        <v>508</v>
      </c>
      <c r="B45" s="103" t="s">
        <v>50</v>
      </c>
      <c r="C45" s="219">
        <v>45807</v>
      </c>
      <c r="D45" s="286"/>
      <c r="E45" s="273" t="s">
        <v>1675</v>
      </c>
      <c r="F45" s="286"/>
      <c r="G45" s="287" t="s">
        <v>1673</v>
      </c>
      <c r="H45" s="234"/>
      <c r="I45" s="234"/>
      <c r="J45" s="45"/>
      <c r="K45" s="208"/>
      <c r="L45" s="208"/>
      <c r="M45" s="208"/>
      <c r="N45" s="288"/>
      <c r="O45" s="289"/>
      <c r="P45" s="278"/>
      <c r="Q45" s="279" t="s">
        <v>58</v>
      </c>
      <c r="R45" s="132" t="s">
        <v>1712</v>
      </c>
      <c r="S45" s="132"/>
      <c r="T45" s="280"/>
      <c r="U45" s="281"/>
      <c r="V45" s="281"/>
      <c r="W45" s="281"/>
      <c r="X45" s="281"/>
      <c r="Y45" s="281"/>
      <c r="Z45" t="e">
        <f>VLOOKUP(A45,#REF!,9,FALSE)</f>
        <v>#REF!</v>
      </c>
    </row>
    <row r="46" spans="1:26" ht="15.75" thickBot="1">
      <c r="A46" s="296" t="s">
        <v>510</v>
      </c>
      <c r="B46" s="103" t="s">
        <v>50</v>
      </c>
      <c r="C46" s="219">
        <v>45807</v>
      </c>
      <c r="D46" s="286"/>
      <c r="E46" s="273" t="s">
        <v>1675</v>
      </c>
      <c r="F46" s="286"/>
      <c r="G46" s="294" t="s">
        <v>1673</v>
      </c>
      <c r="H46" s="234"/>
      <c r="I46" s="234"/>
      <c r="J46" s="45"/>
      <c r="K46" s="208"/>
      <c r="L46" s="208"/>
      <c r="M46" s="208"/>
      <c r="N46" s="288"/>
      <c r="O46" s="289"/>
      <c r="P46" s="278"/>
      <c r="Q46" s="279" t="s">
        <v>58</v>
      </c>
      <c r="R46" s="132" t="s">
        <v>1712</v>
      </c>
      <c r="S46" s="132"/>
      <c r="T46" s="280"/>
      <c r="U46" s="281"/>
      <c r="V46" s="281"/>
      <c r="W46" s="281"/>
      <c r="X46" s="281"/>
      <c r="Y46" s="281"/>
      <c r="Z46" t="e">
        <f>VLOOKUP(A46,#REF!,9,FALSE)</f>
        <v>#REF!</v>
      </c>
    </row>
    <row r="47" spans="1:26" ht="15.75" thickBot="1">
      <c r="A47" s="297" t="s">
        <v>174</v>
      </c>
      <c r="B47" s="103" t="s">
        <v>50</v>
      </c>
      <c r="C47" s="219">
        <v>45807</v>
      </c>
      <c r="D47" s="286"/>
      <c r="E47" s="273" t="s">
        <v>1675</v>
      </c>
      <c r="F47" s="286"/>
      <c r="G47" s="287" t="s">
        <v>1673</v>
      </c>
      <c r="H47" s="234"/>
      <c r="I47" s="234"/>
      <c r="J47" s="45"/>
      <c r="K47" s="208"/>
      <c r="L47" s="208"/>
      <c r="M47" s="208"/>
      <c r="N47" s="288"/>
      <c r="O47" s="289"/>
      <c r="P47" s="278" t="s">
        <v>1684</v>
      </c>
      <c r="Q47" s="279" t="s">
        <v>58</v>
      </c>
      <c r="R47" s="132" t="s">
        <v>1715</v>
      </c>
      <c r="S47" s="132"/>
      <c r="T47" s="280"/>
      <c r="U47" s="281"/>
      <c r="V47" s="281"/>
      <c r="W47" s="281"/>
      <c r="X47" s="281"/>
      <c r="Y47" s="281"/>
      <c r="Z47" t="e">
        <f>VLOOKUP(A47,#REF!,9,FALSE)</f>
        <v>#REF!</v>
      </c>
    </row>
    <row r="48" spans="1:26" ht="15.75" thickBot="1">
      <c r="A48" s="296" t="s">
        <v>553</v>
      </c>
      <c r="B48" s="103" t="s">
        <v>50</v>
      </c>
      <c r="C48" s="219">
        <v>45807</v>
      </c>
      <c r="D48" s="286"/>
      <c r="E48" s="273" t="s">
        <v>1675</v>
      </c>
      <c r="F48" s="286"/>
      <c r="G48" s="294" t="s">
        <v>1694</v>
      </c>
      <c r="H48" s="234"/>
      <c r="I48" s="234"/>
      <c r="J48" s="45"/>
      <c r="K48" s="208"/>
      <c r="L48" s="208"/>
      <c r="M48" s="208"/>
      <c r="N48" s="288"/>
      <c r="O48" s="289"/>
      <c r="P48" s="278" t="s">
        <v>1721</v>
      </c>
      <c r="Q48" s="279" t="s">
        <v>1694</v>
      </c>
      <c r="R48" s="132" t="s">
        <v>1712</v>
      </c>
      <c r="S48" s="132"/>
      <c r="T48" s="280"/>
      <c r="U48" s="281"/>
      <c r="V48" s="281"/>
      <c r="W48" s="281"/>
      <c r="X48" s="281"/>
      <c r="Y48" s="281"/>
      <c r="Z48" t="e">
        <f>VLOOKUP(A48,#REF!,9,FALSE)</f>
        <v>#REF!</v>
      </c>
    </row>
    <row r="49" spans="1:26" ht="15.75" thickBot="1">
      <c r="A49" s="296" t="s">
        <v>547</v>
      </c>
      <c r="B49" s="103" t="s">
        <v>109</v>
      </c>
      <c r="C49" s="219">
        <v>45772</v>
      </c>
      <c r="D49" s="286"/>
      <c r="E49" s="273" t="s">
        <v>1675</v>
      </c>
      <c r="F49" s="286"/>
      <c r="G49" s="294" t="s">
        <v>1694</v>
      </c>
      <c r="H49" s="234"/>
      <c r="I49" s="234"/>
      <c r="J49" s="45"/>
      <c r="K49" s="208"/>
      <c r="L49" s="208"/>
      <c r="M49" s="208"/>
      <c r="N49" s="288"/>
      <c r="O49" s="289"/>
      <c r="P49" s="278" t="s">
        <v>1721</v>
      </c>
      <c r="Q49" s="279" t="s">
        <v>1694</v>
      </c>
      <c r="R49" s="132" t="s">
        <v>1712</v>
      </c>
      <c r="S49" s="132"/>
      <c r="T49" s="280"/>
      <c r="U49" s="281"/>
      <c r="V49" s="281"/>
      <c r="W49" s="281"/>
      <c r="X49" s="281"/>
      <c r="Y49" s="281"/>
      <c r="Z49" t="e">
        <f>VLOOKUP(A49,#REF!,9,FALSE)</f>
        <v>#REF!</v>
      </c>
    </row>
    <row r="50" spans="1:26" ht="15.75" thickBot="1">
      <c r="A50" s="296" t="s">
        <v>545</v>
      </c>
      <c r="B50" s="103" t="s">
        <v>109</v>
      </c>
      <c r="C50" s="219">
        <v>45772</v>
      </c>
      <c r="D50" s="286"/>
      <c r="E50" s="273" t="s">
        <v>1675</v>
      </c>
      <c r="F50" s="286"/>
      <c r="G50" s="294" t="s">
        <v>1694</v>
      </c>
      <c r="H50" s="234"/>
      <c r="I50" s="234"/>
      <c r="J50" s="45"/>
      <c r="K50" s="208"/>
      <c r="L50" s="208"/>
      <c r="M50" s="208"/>
      <c r="N50" s="288"/>
      <c r="O50" s="289"/>
      <c r="P50" s="278" t="s">
        <v>1721</v>
      </c>
      <c r="Q50" s="279" t="s">
        <v>1694</v>
      </c>
      <c r="R50" s="132" t="s">
        <v>1712</v>
      </c>
      <c r="S50" s="132"/>
      <c r="T50" s="280"/>
      <c r="U50" s="281"/>
      <c r="V50" s="281"/>
      <c r="W50" s="281"/>
      <c r="X50" s="281"/>
      <c r="Y50" s="281"/>
      <c r="Z50" t="e">
        <f>VLOOKUP(A50,#REF!,9,FALSE)</f>
        <v>#REF!</v>
      </c>
    </row>
    <row r="51" spans="1:26" ht="15.75" thickBot="1">
      <c r="A51" s="296" t="s">
        <v>551</v>
      </c>
      <c r="B51" s="103" t="e">
        <v>#N/A</v>
      </c>
      <c r="C51" s="219" t="e">
        <v>#N/A</v>
      </c>
      <c r="D51" s="286"/>
      <c r="E51" s="273" t="s">
        <v>1675</v>
      </c>
      <c r="F51" s="286"/>
      <c r="G51" s="294" t="s">
        <v>1694</v>
      </c>
      <c r="H51" s="234"/>
      <c r="I51" s="234"/>
      <c r="J51" s="45"/>
      <c r="K51" s="208"/>
      <c r="L51" s="208"/>
      <c r="M51" s="208"/>
      <c r="N51" s="288"/>
      <c r="O51" s="289"/>
      <c r="P51" s="278" t="s">
        <v>1721</v>
      </c>
      <c r="Q51" s="279" t="s">
        <v>1694</v>
      </c>
      <c r="R51" s="132" t="s">
        <v>1712</v>
      </c>
      <c r="S51" s="132"/>
      <c r="T51" s="280"/>
      <c r="U51" s="281"/>
      <c r="V51" s="281"/>
      <c r="W51" s="281"/>
      <c r="X51" s="281"/>
      <c r="Y51" s="281"/>
      <c r="Z51" t="e">
        <f>VLOOKUP(A51,#REF!,9,FALSE)</f>
        <v>#REF!</v>
      </c>
    </row>
    <row r="52" spans="1:26" ht="13.9" customHeight="1" thickBot="1">
      <c r="A52" s="296" t="s">
        <v>527</v>
      </c>
      <c r="B52" s="103" t="s">
        <v>109</v>
      </c>
      <c r="C52" s="219">
        <v>45925</v>
      </c>
      <c r="D52" s="286"/>
      <c r="E52" s="273" t="s">
        <v>1710</v>
      </c>
      <c r="F52" s="286"/>
      <c r="G52" s="287" t="s">
        <v>1673</v>
      </c>
      <c r="H52" s="234"/>
      <c r="I52" s="234"/>
      <c r="J52" s="45"/>
      <c r="K52" s="208"/>
      <c r="L52" s="208"/>
      <c r="M52" s="208"/>
      <c r="N52" s="288"/>
      <c r="O52" s="289"/>
      <c r="P52" s="278" t="s">
        <v>1711</v>
      </c>
      <c r="Q52" s="279" t="s">
        <v>64</v>
      </c>
      <c r="R52" s="132" t="s">
        <v>1712</v>
      </c>
      <c r="S52" s="132"/>
      <c r="T52" s="280"/>
      <c r="U52" s="281"/>
      <c r="V52" s="281"/>
      <c r="W52" s="281"/>
      <c r="X52" s="281"/>
      <c r="Y52" s="281"/>
      <c r="Z52" t="e">
        <f>VLOOKUP(A52,#REF!,9,FALSE)</f>
        <v>#REF!</v>
      </c>
    </row>
    <row r="53" spans="1:26" ht="15.75" thickBot="1">
      <c r="A53" s="296" t="s">
        <v>529</v>
      </c>
      <c r="B53" s="103" t="s">
        <v>109</v>
      </c>
      <c r="C53" s="219">
        <v>45925</v>
      </c>
      <c r="D53" s="286"/>
      <c r="E53" s="273" t="s">
        <v>1710</v>
      </c>
      <c r="F53" s="286"/>
      <c r="G53" s="287" t="s">
        <v>1673</v>
      </c>
      <c r="H53" s="234"/>
      <c r="I53" s="234"/>
      <c r="J53" s="45"/>
      <c r="K53" s="208"/>
      <c r="L53" s="208"/>
      <c r="M53" s="208"/>
      <c r="N53" s="288"/>
      <c r="O53" s="289"/>
      <c r="P53" s="278" t="s">
        <v>1711</v>
      </c>
      <c r="Q53" s="279" t="s">
        <v>64</v>
      </c>
      <c r="R53" s="132" t="s">
        <v>1712</v>
      </c>
      <c r="S53" s="132"/>
      <c r="T53" s="280"/>
      <c r="U53" s="281"/>
      <c r="V53" s="281"/>
      <c r="W53" s="281"/>
      <c r="X53" s="281"/>
      <c r="Y53" s="281"/>
      <c r="Z53" t="e">
        <f>VLOOKUP(A53,#REF!,9,FALSE)</f>
        <v>#REF!</v>
      </c>
    </row>
    <row r="54" spans="1:26" ht="15.75" thickBot="1">
      <c r="A54" s="296" t="s">
        <v>525</v>
      </c>
      <c r="B54" s="103" t="s">
        <v>109</v>
      </c>
      <c r="C54" s="219">
        <v>45925</v>
      </c>
      <c r="D54" s="286"/>
      <c r="E54" s="273" t="s">
        <v>1710</v>
      </c>
      <c r="F54" s="286"/>
      <c r="G54" s="287" t="s">
        <v>1673</v>
      </c>
      <c r="H54" s="234"/>
      <c r="I54" s="234"/>
      <c r="J54" s="45"/>
      <c r="K54" s="208"/>
      <c r="L54" s="208"/>
      <c r="M54" s="208"/>
      <c r="N54" s="288"/>
      <c r="O54" s="289"/>
      <c r="P54" s="278" t="s">
        <v>1711</v>
      </c>
      <c r="Q54" s="279" t="s">
        <v>64</v>
      </c>
      <c r="R54" s="132" t="s">
        <v>1712</v>
      </c>
      <c r="S54" s="132"/>
      <c r="T54" s="280"/>
      <c r="U54" s="281"/>
      <c r="V54" s="281"/>
      <c r="W54" s="281"/>
      <c r="X54" s="281"/>
      <c r="Y54" s="281"/>
      <c r="Z54" t="e">
        <f>VLOOKUP(A54,#REF!,9,FALSE)</f>
        <v>#REF!</v>
      </c>
    </row>
    <row r="55" spans="1:26" ht="15.75" thickBot="1">
      <c r="A55" s="296" t="s">
        <v>563</v>
      </c>
      <c r="B55" s="103" t="s">
        <v>109</v>
      </c>
      <c r="C55" s="219">
        <v>45862</v>
      </c>
      <c r="D55" s="286"/>
      <c r="E55" s="273" t="s">
        <v>1710</v>
      </c>
      <c r="F55" s="286"/>
      <c r="G55" s="287" t="s">
        <v>1673</v>
      </c>
      <c r="H55" s="234"/>
      <c r="I55" s="234"/>
      <c r="J55" s="45"/>
      <c r="K55" s="208"/>
      <c r="L55" s="208"/>
      <c r="M55" s="208"/>
      <c r="N55" s="288"/>
      <c r="O55" s="289"/>
      <c r="P55" s="278" t="s">
        <v>1684</v>
      </c>
      <c r="Q55" s="279" t="s">
        <v>58</v>
      </c>
      <c r="R55" s="132" t="s">
        <v>1715</v>
      </c>
      <c r="S55" s="132"/>
      <c r="T55" s="280"/>
      <c r="U55" s="281"/>
      <c r="V55" s="281"/>
      <c r="W55" s="281"/>
      <c r="X55" s="281"/>
      <c r="Y55" s="281"/>
      <c r="Z55" t="e">
        <f>VLOOKUP(A55,#REF!,9,FALSE)</f>
        <v>#REF!</v>
      </c>
    </row>
    <row r="56" spans="1:26" ht="15.75" thickBot="1">
      <c r="A56" s="296" t="s">
        <v>1722</v>
      </c>
      <c r="B56" s="103"/>
      <c r="C56" s="219" t="e">
        <v>#N/A</v>
      </c>
      <c r="D56" s="286"/>
      <c r="E56" s="273" t="s">
        <v>1710</v>
      </c>
      <c r="F56" s="286"/>
      <c r="G56" s="287" t="s">
        <v>1673</v>
      </c>
      <c r="H56" s="234"/>
      <c r="I56" s="234"/>
      <c r="J56" s="45"/>
      <c r="K56" s="208"/>
      <c r="L56" s="208"/>
      <c r="M56" s="208"/>
      <c r="N56" s="288"/>
      <c r="O56" s="289"/>
      <c r="P56" s="278" t="s">
        <v>1723</v>
      </c>
      <c r="Q56" s="279" t="s">
        <v>58</v>
      </c>
      <c r="R56" s="132" t="s">
        <v>1715</v>
      </c>
      <c r="S56" s="132"/>
      <c r="T56" s="280"/>
      <c r="U56" s="281"/>
      <c r="V56" s="281"/>
      <c r="W56" s="281"/>
      <c r="X56" s="281"/>
      <c r="Y56" s="281"/>
      <c r="Z56" t="e">
        <f>VLOOKUP(A56,#REF!,9,FALSE)</f>
        <v>#REF!</v>
      </c>
    </row>
    <row r="57" spans="1:26" ht="15.75" thickBot="1">
      <c r="A57" s="163" t="s">
        <v>1724</v>
      </c>
      <c r="B57" s="103" t="s">
        <v>109</v>
      </c>
      <c r="C57" s="298">
        <v>45787</v>
      </c>
      <c r="D57" s="286"/>
      <c r="E57" s="273" t="s">
        <v>1710</v>
      </c>
      <c r="F57" s="286"/>
      <c r="G57" s="287" t="s">
        <v>1673</v>
      </c>
      <c r="H57" s="234"/>
      <c r="I57" s="234"/>
      <c r="J57" s="45"/>
      <c r="K57" s="208"/>
      <c r="L57" s="208"/>
      <c r="M57" s="208"/>
      <c r="N57" s="288"/>
      <c r="O57" s="289"/>
      <c r="P57" s="278" t="s">
        <v>1684</v>
      </c>
      <c r="Q57" s="279" t="s">
        <v>1725</v>
      </c>
      <c r="R57" s="132" t="s">
        <v>1715</v>
      </c>
      <c r="S57" s="132"/>
      <c r="T57" s="280"/>
      <c r="U57" s="281"/>
      <c r="V57" s="281"/>
      <c r="W57" s="281"/>
      <c r="X57" s="281"/>
      <c r="Y57" s="281"/>
      <c r="Z57" t="e">
        <f>VLOOKUP(A57,#REF!,9,FALSE)</f>
        <v>#REF!</v>
      </c>
    </row>
    <row r="58" spans="1:26" ht="15.75" thickBot="1">
      <c r="A58" s="643" t="s">
        <v>525</v>
      </c>
      <c r="B58" s="103" t="s">
        <v>50</v>
      </c>
      <c r="C58" s="300">
        <v>45807</v>
      </c>
      <c r="D58" s="286"/>
      <c r="E58" s="273" t="s">
        <v>1675</v>
      </c>
      <c r="F58" s="286"/>
      <c r="G58" s="287" t="s">
        <v>1673</v>
      </c>
      <c r="H58" s="234"/>
      <c r="I58" s="234"/>
      <c r="J58" s="45"/>
      <c r="K58" s="208"/>
      <c r="L58" s="208"/>
      <c r="M58" s="208"/>
      <c r="N58" s="288"/>
      <c r="O58" s="289"/>
      <c r="P58" s="291"/>
      <c r="Q58" s="279" t="s">
        <v>64</v>
      </c>
      <c r="R58" s="132" t="s">
        <v>1712</v>
      </c>
      <c r="S58" s="132"/>
      <c r="T58" s="280"/>
      <c r="U58" s="281"/>
      <c r="V58" s="281"/>
      <c r="W58" s="281"/>
      <c r="X58" s="281"/>
      <c r="Y58" s="281"/>
    </row>
    <row r="59" spans="1:26" ht="15.75" thickBot="1">
      <c r="A59" s="643" t="s">
        <v>527</v>
      </c>
      <c r="B59" s="103" t="s">
        <v>109</v>
      </c>
      <c r="C59" s="300">
        <v>45772</v>
      </c>
      <c r="D59" s="286"/>
      <c r="E59" s="273" t="s">
        <v>1675</v>
      </c>
      <c r="F59" s="286"/>
      <c r="G59" s="287" t="s">
        <v>1673</v>
      </c>
      <c r="H59" s="234"/>
      <c r="I59" s="234"/>
      <c r="J59" s="45"/>
      <c r="K59" s="208"/>
      <c r="L59" s="208"/>
      <c r="M59" s="208"/>
      <c r="N59" s="288"/>
      <c r="O59" s="289"/>
      <c r="P59" s="291"/>
      <c r="Q59" s="279" t="s">
        <v>64</v>
      </c>
      <c r="R59" s="132" t="s">
        <v>1712</v>
      </c>
      <c r="S59" s="132"/>
      <c r="T59" s="280"/>
      <c r="U59" s="281"/>
      <c r="V59" s="281"/>
      <c r="W59" s="281"/>
      <c r="X59" s="281"/>
      <c r="Y59" s="281"/>
    </row>
    <row r="60" spans="1:26" ht="15.75" thickBot="1">
      <c r="A60" s="644" t="s">
        <v>529</v>
      </c>
      <c r="B60" s="103" t="s">
        <v>109</v>
      </c>
      <c r="C60" s="300">
        <v>45772</v>
      </c>
      <c r="D60" s="286"/>
      <c r="E60" s="273" t="s">
        <v>1675</v>
      </c>
      <c r="F60" s="286"/>
      <c r="G60" s="287" t="s">
        <v>1673</v>
      </c>
      <c r="H60" s="234"/>
      <c r="I60" s="234"/>
      <c r="J60" s="45"/>
      <c r="K60" s="208"/>
      <c r="L60" s="208"/>
      <c r="M60" s="208"/>
      <c r="N60" s="288"/>
      <c r="O60" s="289"/>
      <c r="P60" s="291"/>
      <c r="Q60" s="279" t="s">
        <v>64</v>
      </c>
      <c r="R60" s="132" t="s">
        <v>1712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1704</v>
      </c>
      <c r="B70" s="305">
        <f>SUM(K4:K9)</f>
        <v>0</v>
      </c>
      <c r="C70" s="306" t="e">
        <f>B70/B73</f>
        <v>#DIV/0!</v>
      </c>
    </row>
    <row r="71" spans="1:25">
      <c r="A71" s="304" t="s">
        <v>1604</v>
      </c>
      <c r="B71" s="305">
        <f>SUM(L4:L9)</f>
        <v>0</v>
      </c>
      <c r="C71" s="306" t="e">
        <f>B71/B73</f>
        <v>#DIV/0!</v>
      </c>
    </row>
    <row r="72" spans="1:25">
      <c r="A72" s="304" t="s">
        <v>1705</v>
      </c>
      <c r="B72" s="305">
        <f>SUM(M4:M9)</f>
        <v>0</v>
      </c>
      <c r="C72" s="306" t="e">
        <f>B72/B73</f>
        <v>#DIV/0!</v>
      </c>
    </row>
    <row r="73" spans="1:25">
      <c r="A73" s="304" t="s">
        <v>848</v>
      </c>
      <c r="B73" s="305">
        <f>SUM(B70:B72)</f>
        <v>0</v>
      </c>
      <c r="C73" s="283"/>
    </row>
    <row r="80" spans="1:25">
      <c r="A80" t="s">
        <v>1726</v>
      </c>
    </row>
    <row r="81" spans="1:1">
      <c r="A81" t="s">
        <v>1727</v>
      </c>
    </row>
    <row r="82" spans="1:1">
      <c r="A82" t="s">
        <v>1711</v>
      </c>
    </row>
    <row r="83" spans="1:1">
      <c r="A83" t="s">
        <v>1728</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C1B68BF7-3A97-45BC-B148-393C5523ABD5}"/>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2025-11-07T22:25:54Z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