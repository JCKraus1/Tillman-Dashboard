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437" documentId="8_{E14B221E-02E2-46A3-8CEC-C736815F2DD5}" xr6:coauthVersionLast="47" xr6:coauthVersionMax="47" xr10:uidLastSave="{1BFC3050-A2F5-4DDD-B72E-8C2E90125745}"/>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112" r:id="rId12"/>
    <pivotCache cacheId="2113" r:id="rId13"/>
    <pivotCache cacheId="2114" r:id="rId14"/>
    <pivotCache cacheId="2115" r:id="rId15"/>
    <pivotCache cacheId="21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<sst xmlns="http://schemas.openxmlformats.org/spreadsheetml/2006/main" count="17112" uniqueCount="2252">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</sst>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79"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2">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64</v>
      </c>
      <c r="Q8" s="1228">
        <v>46027</v>
      </c>
      <c r="R8" s="1228"/>
      <c r="S8" s="1228"/>
      <c r="T8" s="1228"/>
      <c r="U8" s="1228"/>
      <c r="V8" s="1210">
        <v>831</v>
      </c>
      <c r="W8" s="1462">
        <v>312</v>
      </c>
      <c r="X8" s="1209">
        <f t="shared" si="0"/>
        <v>519</v>
      </c>
      <c r="Y8" s="662">
        <f t="shared" si="1"/>
        <v>0.37545126353790614</v>
      </c>
      <c r="Z8" s="1228">
        <v>46034</v>
      </c>
      <c r="AA8" s="1211">
        <v>0</v>
      </c>
      <c r="AB8" s="1211">
        <v>0</v>
      </c>
      <c r="AC8" s="645">
        <v>0</v>
      </c>
      <c r="AD8" s="1231" t="s">
        <v>82</v>
      </c>
      <c r="AE8" s="1247"/>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86</v>
      </c>
      <c r="Q9" s="1228">
        <v>45696</v>
      </c>
      <c r="R9" s="1228"/>
      <c r="S9" s="1228"/>
      <c r="T9" s="1228"/>
      <c r="U9" s="1228"/>
      <c r="V9" s="1229">
        <v>1534</v>
      </c>
      <c r="W9" s="1452">
        <v>1571</v>
      </c>
      <c r="X9" s="1209">
        <f t="shared" si="0"/>
        <v>-37</v>
      </c>
      <c r="Y9" s="662">
        <f t="shared" si="1"/>
        <v>1.0241199478487615</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101</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91</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91</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91</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91</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91</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91</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101</v>
      </c>
      <c r="Q29" s="1208">
        <v>46021</v>
      </c>
      <c r="R29" s="1254"/>
      <c r="S29" s="1254"/>
      <c r="T29" s="1254"/>
      <c r="U29" s="1254"/>
      <c r="V29" s="1209">
        <v>2691</v>
      </c>
      <c r="W29" s="1445">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86</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101</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101</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91</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91</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91</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1" t="s">
        <v>109</v>
      </c>
      <c r="C37" s="1344">
        <v>45959</v>
      </c>
      <c r="D37" s="1344" t="s">
        <v>129</v>
      </c>
      <c r="E37" s="1344">
        <v>45961</v>
      </c>
      <c r="F37" s="1451"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2">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91</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91</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91</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101</v>
      </c>
      <c r="Q41" s="1208">
        <v>46006</v>
      </c>
      <c r="R41" s="1208"/>
      <c r="S41" s="1208"/>
      <c r="T41" s="1208"/>
      <c r="U41" s="1208"/>
      <c r="V41" s="787">
        <v>3675</v>
      </c>
      <c r="W41" s="1448">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91</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91</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91</v>
      </c>
      <c r="K45" s="1205" t="s">
        <v>115</v>
      </c>
      <c r="L45" s="1203">
        <v>45866</v>
      </c>
      <c r="M45" s="1205" t="s">
        <v>57</v>
      </c>
      <c r="N45" s="1206">
        <v>18401.05</v>
      </c>
      <c r="O45" s="1205" t="s">
        <v>57</v>
      </c>
      <c r="P45" s="1207" t="s">
        <v>101</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91</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101</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91</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91</v>
      </c>
      <c r="K50" s="1205" t="s">
        <v>103</v>
      </c>
      <c r="L50" s="1203"/>
      <c r="M50" s="1205" t="s">
        <v>92</v>
      </c>
      <c r="N50" s="1206"/>
      <c r="O50" s="1205" t="s">
        <v>92</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84</v>
      </c>
      <c r="E55" s="1203">
        <v>45966</v>
      </c>
      <c r="F55" s="1203" t="s">
        <v>208</v>
      </c>
      <c r="G55" s="1204" t="s">
        <v>209</v>
      </c>
      <c r="H55" s="1205">
        <v>0</v>
      </c>
      <c r="I55" s="661" t="s">
        <v>55</v>
      </c>
      <c r="J55" s="1205" t="s">
        <v>63</v>
      </c>
      <c r="K55" s="1225"/>
      <c r="L55" s="1203"/>
      <c r="M55" s="1205" t="s">
        <v>57</v>
      </c>
      <c r="N55" s="1206">
        <v>82825</v>
      </c>
      <c r="O55" s="1205" t="s">
        <v>57</v>
      </c>
      <c r="P55" s="1207" t="s">
        <v>101</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84</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2">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84</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101</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101</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91</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101</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60">
        <v>6793</v>
      </c>
      <c r="X76" s="1209">
        <f>SUM(V76-W76)</f>
        <v>1829</v>
      </c>
      <c r="Y76" s="662">
        <f>IFERROR($W76/$V76, 0)</f>
        <v>0.78786824402690792</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101</v>
      </c>
      <c r="Q77" s="1228">
        <v>45918</v>
      </c>
      <c r="R77" s="1228"/>
      <c r="S77" s="1228"/>
      <c r="T77" s="1228"/>
      <c r="U77" s="1228"/>
      <c r="V77" s="983">
        <v>11150</v>
      </c>
      <c r="W77" s="1452">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101</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101</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101</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101</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92</v>
      </c>
      <c r="N88" s="1470"/>
      <c r="O88" s="1474" t="s">
        <v>57</v>
      </c>
      <c r="P88" s="1475" t="s">
        <v>64</v>
      </c>
      <c r="Q88" s="1471">
        <v>46008</v>
      </c>
      <c r="R88" s="1471"/>
      <c r="S88" s="1471"/>
      <c r="T88" s="1471"/>
      <c r="U88" s="1471"/>
      <c r="V88" s="1472">
        <v>6825</v>
      </c>
      <c r="W88" s="1476">
        <v>2831</v>
      </c>
      <c r="X88" s="1468">
        <f>SUM(V88-W88)</f>
        <v>3994</v>
      </c>
      <c r="Y88" s="662">
        <f>IFERROR($W88/$V88, 0)</f>
        <v>0.41479853479853479</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63">
        <v>6221</v>
      </c>
      <c r="X89" s="1209">
        <f t="shared" si="5"/>
        <v>42</v>
      </c>
      <c r="Y89" s="662">
        <f t="shared" si="6"/>
        <v>0.9932939485869392</v>
      </c>
      <c r="Z89" s="1228">
        <v>46024</v>
      </c>
      <c r="AA89" s="1211">
        <v>0</v>
      </c>
      <c r="AB89" s="1211">
        <v>0</v>
      </c>
      <c r="AC89" s="1229">
        <v>0</v>
      </c>
      <c r="AD89" s="1212" t="s">
        <v>297</v>
      </c>
      <c r="AE89" s="1272"/>
    </row>
    <row r="90" spans="1:31" ht="24.75" customHeight="1">
      <c r="A90" s="1202" t="s">
        <v>298</v>
      </c>
      <c r="B90" s="830" t="s">
        <v>295</v>
      </c>
      <c r="C90" s="1203">
        <v>46040</v>
      </c>
      <c r="D90" s="1224" t="s">
        <v>84</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92</v>
      </c>
      <c r="N93" s="1236"/>
      <c r="O93" s="1225" t="s">
        <v>92</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84</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91</v>
      </c>
      <c r="K95" s="1205" t="s">
        <v>76</v>
      </c>
      <c r="L95" s="1346"/>
      <c r="M95" s="1225" t="s">
        <v>92</v>
      </c>
      <c r="N95" s="1236"/>
      <c r="O95" s="1225" t="s">
        <v>92</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91</v>
      </c>
      <c r="K96" s="1205" t="s">
        <v>76</v>
      </c>
      <c r="L96" s="1346"/>
      <c r="M96" s="1225" t="s">
        <v>92</v>
      </c>
      <c r="N96" s="1236"/>
      <c r="O96" s="1225" t="s">
        <v>92</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91</v>
      </c>
      <c r="K97" s="1205" t="s">
        <v>76</v>
      </c>
      <c r="L97" s="1346"/>
      <c r="M97" s="1225" t="s">
        <v>92</v>
      </c>
      <c r="N97" s="1236"/>
      <c r="O97" s="1225" t="s">
        <v>92</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91</v>
      </c>
      <c r="K98" s="1205" t="s">
        <v>76</v>
      </c>
      <c r="L98" s="1346"/>
      <c r="M98" s="1225" t="s">
        <v>92</v>
      </c>
      <c r="N98" s="1236"/>
      <c r="O98" s="1225" t="s">
        <v>92</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86</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101</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101</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86</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2">
        <v>4810</v>
      </c>
      <c r="X114" s="1409">
        <f t="shared" si="10"/>
        <v>26</v>
      </c>
      <c r="Y114" s="1150">
        <f t="shared" si="11"/>
        <v>0.9946236559139785</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3">
        <v>3833</v>
      </c>
      <c r="X115" s="1409">
        <f t="shared" si="10"/>
        <v>3312</v>
      </c>
      <c r="Y115" s="1150">
        <f t="shared" si="11"/>
        <v>0.53645906228131557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3">
        <v>3360</v>
      </c>
      <c r="X116" s="1410">
        <f t="shared" si="10"/>
        <v>3981</v>
      </c>
      <c r="Y116" s="1396">
        <f t="shared" si="11"/>
        <v>0.45770331017572535</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3">
        <v>2626</v>
      </c>
      <c r="X118" s="1410">
        <f t="shared" si="12"/>
        <v>1396</v>
      </c>
      <c r="Y118" s="883">
        <f t="shared" si="13"/>
        <v>0.65290900049726508</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92</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4"/>
      <c r="R131" s="1366"/>
      <c r="S131" s="1366"/>
      <c r="T131" s="1366"/>
      <c r="U131" s="1366"/>
      <c r="V131" s="1266">
        <v>8641</v>
      </c>
      <c r="W131" s="1478"/>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5"/>
      <c r="R132" s="1368"/>
      <c r="S132" s="1368"/>
      <c r="T132" s="1368"/>
      <c r="U132" s="1368"/>
      <c r="V132" s="1370">
        <v>7502</v>
      </c>
      <c r="W132" s="1486"/>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92</v>
      </c>
      <c r="N133" s="1382"/>
      <c r="O133" s="1299" t="s">
        <v>57</v>
      </c>
      <c r="P133" s="1272" t="s">
        <v>58</v>
      </c>
      <c r="Q133" s="1255">
        <v>45659</v>
      </c>
      <c r="R133" s="1368"/>
      <c r="S133" s="1368"/>
      <c r="T133" s="1368"/>
      <c r="U133" s="1368"/>
      <c r="V133" s="1370">
        <v>3682</v>
      </c>
      <c r="W133" s="1486"/>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50" activePane="topRight" state="frozen"/>
      <selection pane="topRight" activeCell="AD54" sqref="AD5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86</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84</v>
      </c>
      <c r="E4" s="467">
        <v>45905</v>
      </c>
      <c r="F4" s="467" t="s">
        <v>208</v>
      </c>
      <c r="G4" s="682"/>
      <c r="H4" s="469">
        <v>0</v>
      </c>
      <c r="I4" s="661" t="s">
        <v>385</v>
      </c>
      <c r="J4" s="469" t="s">
        <v>63</v>
      </c>
      <c r="K4" s="478"/>
      <c r="L4" s="375">
        <v>45943</v>
      </c>
      <c r="M4" s="1103" t="s">
        <v>57</v>
      </c>
      <c r="N4" s="542">
        <v>2167.3000000000002</v>
      </c>
      <c r="O4" s="469" t="s">
        <v>57</v>
      </c>
      <c r="P4" s="626" t="s">
        <v>86</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86</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86</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86</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86</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86</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86</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86</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86</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86</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84</v>
      </c>
      <c r="E14" s="476">
        <v>45964</v>
      </c>
      <c r="F14" s="475" t="s">
        <v>413</v>
      </c>
      <c r="G14" s="824"/>
      <c r="H14" s="478">
        <v>0</v>
      </c>
      <c r="I14" s="469" t="s">
        <v>385</v>
      </c>
      <c r="J14" s="478" t="s">
        <v>63</v>
      </c>
      <c r="K14" s="469"/>
      <c r="L14" s="476" t="s">
        <v>52</v>
      </c>
      <c r="M14" s="478" t="s">
        <v>57</v>
      </c>
      <c r="N14" s="543">
        <v>2670.65</v>
      </c>
      <c r="O14" s="478" t="s">
        <v>57</v>
      </c>
      <c r="P14" s="626" t="s">
        <v>86</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86</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86</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86</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86</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86</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86</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86</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86</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86</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86</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86</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86</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86</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86</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86</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86</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86</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86</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86</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86</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86</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86</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86</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86</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86</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86</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86</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86</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86</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86</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86</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86</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86</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86</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86</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86</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86</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86</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86</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86</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86</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84</v>
      </c>
      <c r="E56" s="57">
        <v>45743</v>
      </c>
      <c r="F56" s="771" t="s">
        <v>68</v>
      </c>
      <c r="G56" s="789" t="s">
        <v>521</v>
      </c>
      <c r="H56" s="775">
        <v>69</v>
      </c>
      <c r="I56" s="661" t="s">
        <v>385</v>
      </c>
      <c r="J56" s="469" t="s">
        <v>63</v>
      </c>
      <c r="K56" s="903"/>
      <c r="L56" s="51">
        <v>45741</v>
      </c>
      <c r="M56" s="376" t="s">
        <v>57</v>
      </c>
      <c r="N56" s="838">
        <v>67734.5</v>
      </c>
      <c r="O56" s="376" t="s">
        <v>57</v>
      </c>
      <c r="P56" s="1068" t="s">
        <v>86</v>
      </c>
      <c r="Q56" s="54">
        <v>45744</v>
      </c>
      <c r="R56" s="54"/>
      <c r="S56" s="54"/>
      <c r="T56" s="54"/>
      <c r="U56" s="54"/>
      <c r="V56" s="31">
        <v>4822</v>
      </c>
      <c r="W56" s="1010">
        <v>4958</v>
      </c>
      <c r="X56" s="106">
        <f t="shared" si="12"/>
        <v>-136</v>
      </c>
      <c r="Y56" s="982">
        <f t="shared" si="13"/>
        <v>1.0282040647034425</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86</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84</v>
      </c>
      <c r="E58" s="476">
        <v>45748</v>
      </c>
      <c r="F58" s="475" t="s">
        <v>68</v>
      </c>
      <c r="G58" s="824" t="s">
        <v>528</v>
      </c>
      <c r="H58" s="478">
        <v>0</v>
      </c>
      <c r="I58" s="478" t="s">
        <v>385</v>
      </c>
      <c r="J58" s="469" t="s">
        <v>63</v>
      </c>
      <c r="K58" s="825"/>
      <c r="L58" s="476">
        <v>45741</v>
      </c>
      <c r="M58" s="469" t="s">
        <v>57</v>
      </c>
      <c r="N58" s="543">
        <v>17203.45</v>
      </c>
      <c r="O58" s="469" t="s">
        <v>57</v>
      </c>
      <c r="P58" s="974" t="s">
        <v>86</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84</v>
      </c>
      <c r="E59" s="57">
        <v>45779</v>
      </c>
      <c r="F59" s="771" t="s">
        <v>68</v>
      </c>
      <c r="G59" s="789" t="s">
        <v>531</v>
      </c>
      <c r="H59" s="775">
        <v>0</v>
      </c>
      <c r="I59" s="478" t="s">
        <v>385</v>
      </c>
      <c r="J59" s="469" t="s">
        <v>63</v>
      </c>
      <c r="K59" s="903"/>
      <c r="L59" s="51">
        <v>45742</v>
      </c>
      <c r="M59" s="909" t="s">
        <v>57</v>
      </c>
      <c r="N59" s="1076">
        <v>23800.25</v>
      </c>
      <c r="O59" s="376" t="s">
        <v>57</v>
      </c>
      <c r="P59" s="1068" t="s">
        <v>86</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86</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Z61" activePane="topRight" state="frozen"/>
      <selection pane="topRight" activeCell="AA65" sqref="AA6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86</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84</v>
      </c>
      <c r="E4" s="658">
        <v>45691</v>
      </c>
      <c r="F4" s="658" t="s">
        <v>110</v>
      </c>
      <c r="G4" s="670" t="s">
        <v>548</v>
      </c>
      <c r="H4" s="52">
        <v>0</v>
      </c>
      <c r="I4" s="660" t="s">
        <v>385</v>
      </c>
      <c r="J4" s="52" t="s">
        <v>63</v>
      </c>
      <c r="K4" s="51">
        <v>45708</v>
      </c>
      <c r="L4" s="52" t="s">
        <v>57</v>
      </c>
      <c r="M4" s="426">
        <v>62460.45</v>
      </c>
      <c r="N4" s="554">
        <v>61491.05</v>
      </c>
      <c r="O4" s="52" t="s">
        <v>57</v>
      </c>
      <c r="P4" s="52" t="s">
        <v>86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86</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86</v>
      </c>
      <c r="L8" s="52" t="s">
        <v>57</v>
      </c>
      <c r="M8" s="426">
        <v>12601.45</v>
      </c>
      <c r="N8" s="554">
        <v>13008.1</v>
      </c>
      <c r="O8" s="52" t="s">
        <v>57</v>
      </c>
      <c r="P8" s="52" t="s">
        <v>86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86</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86</v>
      </c>
      <c r="L10" s="667" t="s">
        <v>57</v>
      </c>
      <c r="M10" s="429">
        <v>47461.5</v>
      </c>
      <c r="N10" s="569">
        <v>45340</v>
      </c>
      <c r="O10" s="667" t="s">
        <v>57</v>
      </c>
      <c r="P10" s="376" t="s">
        <v>86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86</v>
      </c>
      <c r="L16" s="660" t="s">
        <v>57</v>
      </c>
      <c r="M16" s="426">
        <v>26617</v>
      </c>
      <c r="N16" s="570">
        <v>25405</v>
      </c>
      <c r="O16" s="660" t="s">
        <v>57</v>
      </c>
      <c r="P16" s="52" t="s">
        <v>86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84</v>
      </c>
      <c r="E17" s="51">
        <v>45679</v>
      </c>
      <c r="F17" s="658" t="s">
        <v>110</v>
      </c>
      <c r="G17" s="666" t="s">
        <v>581</v>
      </c>
      <c r="H17" s="52">
        <v>70</v>
      </c>
      <c r="I17" s="660" t="s">
        <v>566</v>
      </c>
      <c r="J17" s="52" t="s">
        <v>63</v>
      </c>
      <c r="K17" s="50" t="s">
        <v>86</v>
      </c>
      <c r="L17" s="660" t="s">
        <v>57</v>
      </c>
      <c r="M17" s="426">
        <v>72118</v>
      </c>
      <c r="N17" s="673">
        <v>70778</v>
      </c>
      <c r="O17" s="660" t="s">
        <v>57</v>
      </c>
      <c r="P17" s="52" t="s">
        <v>86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86</v>
      </c>
      <c r="L18" s="660" t="s">
        <v>57</v>
      </c>
      <c r="M18" s="426">
        <v>69288</v>
      </c>
      <c r="N18" s="570">
        <v>70664</v>
      </c>
      <c r="O18" s="660" t="s">
        <v>57</v>
      </c>
      <c r="P18" s="52" t="s">
        <v>86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86</v>
      </c>
      <c r="L20" s="660" t="s">
        <v>57</v>
      </c>
      <c r="M20" s="426">
        <v>83754</v>
      </c>
      <c r="N20" s="570">
        <v>80572.5</v>
      </c>
      <c r="O20" s="660" t="s">
        <v>57</v>
      </c>
      <c r="P20" s="52" t="s">
        <v>86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86</v>
      </c>
      <c r="L24" s="52" t="s">
        <v>57</v>
      </c>
      <c r="M24" s="426">
        <v>47414</v>
      </c>
      <c r="N24" s="570">
        <v>45744</v>
      </c>
      <c r="O24" s="52" t="s">
        <v>57</v>
      </c>
      <c r="P24" s="52" t="s">
        <v>86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86</v>
      </c>
      <c r="L27" s="52" t="s">
        <v>57</v>
      </c>
      <c r="M27" s="426">
        <v>14497.5</v>
      </c>
      <c r="N27" s="570">
        <v>14042</v>
      </c>
      <c r="O27" s="52" t="s">
        <v>57</v>
      </c>
      <c r="P27" s="52" t="s">
        <v>86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86</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86</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86</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86</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86</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86</v>
      </c>
      <c r="J37" s="116" t="s">
        <v>63</v>
      </c>
      <c r="K37" s="509">
        <v>45673</v>
      </c>
      <c r="L37" s="504" t="s">
        <v>57</v>
      </c>
      <c r="M37" s="776">
        <v>24886.5</v>
      </c>
      <c r="N37" s="807">
        <v>7262</v>
      </c>
      <c r="O37" s="504" t="s">
        <v>57</v>
      </c>
      <c r="P37" s="813" t="s">
        <v>86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86</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86</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86</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84</v>
      </c>
      <c r="E43" s="1158">
        <v>45868</v>
      </c>
      <c r="F43" s="1178" t="s">
        <v>110</v>
      </c>
      <c r="G43" s="1160" t="s">
        <v>645</v>
      </c>
      <c r="H43" s="1161">
        <v>0</v>
      </c>
      <c r="I43" s="1161" t="s">
        <v>385</v>
      </c>
      <c r="J43" s="1161" t="s">
        <v>63</v>
      </c>
      <c r="K43" s="942">
        <v>45868</v>
      </c>
      <c r="L43" s="959" t="s">
        <v>57</v>
      </c>
      <c r="M43" s="961">
        <v>14179.65</v>
      </c>
      <c r="N43" s="1164">
        <v>15936.8</v>
      </c>
      <c r="O43" s="959" t="s">
        <v>57</v>
      </c>
      <c r="P43" s="1187" t="s">
        <v>86</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84</v>
      </c>
      <c r="E44" s="1156">
        <v>45902</v>
      </c>
      <c r="F44" s="1157" t="s">
        <v>110</v>
      </c>
      <c r="G44" s="1174"/>
      <c r="H44" s="1175">
        <v>0</v>
      </c>
      <c r="I44" s="1175" t="s">
        <v>385</v>
      </c>
      <c r="J44" s="1175" t="s">
        <v>63</v>
      </c>
      <c r="K44" s="907">
        <v>45902</v>
      </c>
      <c r="L44" s="909" t="s">
        <v>57</v>
      </c>
      <c r="M44" s="1171">
        <v>3067.9</v>
      </c>
      <c r="N44" s="1164">
        <v>8729.7000000000007</v>
      </c>
      <c r="O44" s="909" t="s">
        <v>57</v>
      </c>
      <c r="P44" s="1035" t="s">
        <v>86</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84</v>
      </c>
      <c r="E45" s="907">
        <v>45849</v>
      </c>
      <c r="F45" s="908" t="s">
        <v>110</v>
      </c>
      <c r="G45" s="1185" t="s">
        <v>650</v>
      </c>
      <c r="H45" s="909">
        <v>0</v>
      </c>
      <c r="I45" s="909" t="s">
        <v>385</v>
      </c>
      <c r="J45" s="909" t="s">
        <v>63</v>
      </c>
      <c r="K45" s="375">
        <v>45848</v>
      </c>
      <c r="L45" s="376" t="s">
        <v>57</v>
      </c>
      <c r="M45" s="429">
        <v>1206</v>
      </c>
      <c r="N45" s="426">
        <v>1195</v>
      </c>
      <c r="O45" s="376" t="s">
        <v>57</v>
      </c>
      <c r="P45" s="1050" t="s">
        <v>86</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84</v>
      </c>
      <c r="E46" s="908">
        <v>45882</v>
      </c>
      <c r="F46" s="905" t="s">
        <v>110</v>
      </c>
      <c r="G46" s="1170" t="s">
        <v>653</v>
      </c>
      <c r="H46" s="909">
        <v>0</v>
      </c>
      <c r="I46" s="910" t="s">
        <v>385</v>
      </c>
      <c r="J46" s="909" t="s">
        <v>63</v>
      </c>
      <c r="K46" s="907" t="s">
        <v>52</v>
      </c>
      <c r="L46" s="909" t="s">
        <v>57</v>
      </c>
      <c r="M46" s="1171">
        <v>18903.7</v>
      </c>
      <c r="N46" s="426">
        <v>7007.75</v>
      </c>
      <c r="O46" s="909" t="s">
        <v>57</v>
      </c>
      <c r="P46" s="1035" t="s">
        <v>86</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84</v>
      </c>
      <c r="E47" s="496">
        <v>45806</v>
      </c>
      <c r="F47" s="489" t="s">
        <v>110</v>
      </c>
      <c r="G47" s="1029" t="s">
        <v>656</v>
      </c>
      <c r="H47" s="502">
        <v>0</v>
      </c>
      <c r="I47" s="938" t="s">
        <v>385</v>
      </c>
      <c r="J47" s="502" t="s">
        <v>63</v>
      </c>
      <c r="K47" s="503" t="s">
        <v>657</v>
      </c>
      <c r="L47" s="502" t="s">
        <v>57</v>
      </c>
      <c r="M47" s="895">
        <v>21888.65</v>
      </c>
      <c r="N47" s="426">
        <v>21950.85</v>
      </c>
      <c r="O47" s="502" t="s">
        <v>57</v>
      </c>
      <c r="P47" s="1096" t="s">
        <v>86</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86</v>
      </c>
      <c r="J48" s="52" t="s">
        <v>63</v>
      </c>
      <c r="K48" s="50" t="s">
        <v>86</v>
      </c>
      <c r="L48" s="52" t="s">
        <v>57</v>
      </c>
      <c r="M48" s="426">
        <v>3425.55</v>
      </c>
      <c r="N48" s="554">
        <v>7741.4</v>
      </c>
      <c r="O48" s="52" t="s">
        <v>57</v>
      </c>
      <c r="P48" s="52" t="s">
        <v>86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86</v>
      </c>
      <c r="L49" s="376" t="s">
        <v>57</v>
      </c>
      <c r="M49" s="429">
        <v>3707.3</v>
      </c>
      <c r="N49" s="426">
        <v>8209.69</v>
      </c>
      <c r="O49" s="376" t="s">
        <v>57</v>
      </c>
      <c r="P49" s="376" t="s">
        <v>86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86</v>
      </c>
      <c r="L50" s="52" t="s">
        <v>57</v>
      </c>
      <c r="M50" s="426">
        <v>21648.75</v>
      </c>
      <c r="N50" s="554">
        <v>35235</v>
      </c>
      <c r="O50" s="52" t="s">
        <v>57</v>
      </c>
      <c r="P50" s="52" t="s">
        <v>86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86</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86</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86</v>
      </c>
      <c r="J53" s="52" t="s">
        <v>63</v>
      </c>
      <c r="K53" s="51">
        <v>45728</v>
      </c>
      <c r="L53" s="52" t="s">
        <v>57</v>
      </c>
      <c r="M53" s="426">
        <v>88033.5</v>
      </c>
      <c r="N53" s="554">
        <v>88045.5</v>
      </c>
      <c r="O53" s="52" t="s">
        <v>57</v>
      </c>
      <c r="P53" s="52" t="s">
        <v>86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86</v>
      </c>
      <c r="J54" s="52" t="s">
        <v>63</v>
      </c>
      <c r="K54" s="51">
        <v>45728</v>
      </c>
      <c r="L54" s="52" t="s">
        <v>57</v>
      </c>
      <c r="M54" s="426">
        <v>82979.5</v>
      </c>
      <c r="N54" s="554">
        <v>78032</v>
      </c>
      <c r="O54" s="52" t="s">
        <v>57</v>
      </c>
      <c r="P54" s="376" t="s">
        <v>86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86</v>
      </c>
      <c r="J55" s="52" t="s">
        <v>63</v>
      </c>
      <c r="K55" s="51">
        <v>45716</v>
      </c>
      <c r="L55" s="52" t="s">
        <v>57</v>
      </c>
      <c r="M55" s="426">
        <v>74446</v>
      </c>
      <c r="N55" s="568">
        <v>73894</v>
      </c>
      <c r="O55" s="52" t="s">
        <v>57</v>
      </c>
      <c r="P55" s="376" t="s">
        <v>86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86</v>
      </c>
      <c r="J56" s="52" t="s">
        <v>63</v>
      </c>
      <c r="K56" s="612">
        <v>45716</v>
      </c>
      <c r="L56" s="52" t="s">
        <v>57</v>
      </c>
      <c r="M56" s="674">
        <v>84935.5</v>
      </c>
      <c r="N56" s="569">
        <v>81445</v>
      </c>
      <c r="O56" s="52" t="s">
        <v>57</v>
      </c>
      <c r="P56" s="376" t="s">
        <v>86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86</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86</v>
      </c>
      <c r="L61" s="380" t="s">
        <v>57</v>
      </c>
      <c r="M61" s="640">
        <v>51958</v>
      </c>
      <c r="N61" s="554">
        <v>20330.259999999998</v>
      </c>
      <c r="O61" s="380" t="s">
        <v>57</v>
      </c>
      <c r="P61" s="52" t="s">
        <v>86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86</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86</v>
      </c>
      <c r="L63" s="660" t="s">
        <v>57</v>
      </c>
      <c r="M63" s="426">
        <v>82480.5</v>
      </c>
      <c r="N63" s="426">
        <v>77870.5</v>
      </c>
      <c r="O63" s="660" t="s">
        <v>57</v>
      </c>
      <c r="P63" s="376" t="s">
        <v>86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86</v>
      </c>
      <c r="L64" s="910" t="s">
        <v>57</v>
      </c>
      <c r="M64" s="429">
        <v>43130</v>
      </c>
      <c r="N64" s="426">
        <v>43560</v>
      </c>
      <c r="O64" s="667" t="s">
        <v>57</v>
      </c>
      <c r="P64" s="1050" t="s">
        <v>86</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84</v>
      </c>
      <c r="E65" s="1137">
        <v>45686</v>
      </c>
      <c r="F65" s="1137" t="s">
        <v>68</v>
      </c>
      <c r="G65" s="1191" t="s">
        <v>711</v>
      </c>
      <c r="H65" s="977">
        <v>88</v>
      </c>
      <c r="I65" s="976" t="s">
        <v>566</v>
      </c>
      <c r="J65" s="977" t="s">
        <v>63</v>
      </c>
      <c r="K65" s="1192">
        <v>45706</v>
      </c>
      <c r="L65" s="976" t="s">
        <v>57</v>
      </c>
      <c r="M65" s="426">
        <v>69212.5</v>
      </c>
      <c r="N65" s="426">
        <v>70500</v>
      </c>
      <c r="O65" s="660" t="s">
        <v>57</v>
      </c>
      <c r="P65" s="1050" t="s">
        <v>86</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86</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86</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86</v>
      </c>
      <c r="J76" s="52" t="s">
        <v>63</v>
      </c>
      <c r="K76" s="51">
        <v>45757</v>
      </c>
      <c r="L76" s="52" t="s">
        <v>57</v>
      </c>
      <c r="M76" s="426">
        <v>62383</v>
      </c>
      <c r="N76" s="554">
        <v>61939</v>
      </c>
      <c r="O76" s="52" t="s">
        <v>57</v>
      </c>
      <c r="P76" s="52" t="s">
        <v>86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86</v>
      </c>
      <c r="J77" s="376" t="s">
        <v>63</v>
      </c>
      <c r="K77" s="375">
        <v>45757</v>
      </c>
      <c r="L77" s="376" t="s">
        <v>57</v>
      </c>
      <c r="M77" s="429">
        <v>80443.5</v>
      </c>
      <c r="N77" s="554">
        <v>81941</v>
      </c>
      <c r="O77" s="376" t="s">
        <v>57</v>
      </c>
      <c r="P77" s="376" t="s">
        <v>86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86</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86</v>
      </c>
      <c r="L83" s="660" t="s">
        <v>57</v>
      </c>
      <c r="M83" s="426">
        <v>60625.5</v>
      </c>
      <c r="N83" s="554">
        <v>59084</v>
      </c>
      <c r="O83" s="660" t="s">
        <v>57</v>
      </c>
      <c r="P83" s="52" t="s">
        <v>86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86</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86</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86</v>
      </c>
      <c r="J90" s="52" t="s">
        <v>63</v>
      </c>
      <c r="K90" s="51">
        <v>45716</v>
      </c>
      <c r="L90" s="52" t="s">
        <v>57</v>
      </c>
      <c r="M90" s="591">
        <v>67463</v>
      </c>
      <c r="N90" s="554">
        <v>69992</v>
      </c>
      <c r="O90" s="52" t="s">
        <v>57</v>
      </c>
      <c r="P90" s="52" t="s">
        <v>86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86</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86</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86</v>
      </c>
      <c r="J97" s="775" t="s">
        <v>63</v>
      </c>
      <c r="K97" s="57">
        <v>45708</v>
      </c>
      <c r="L97" s="775" t="s">
        <v>57</v>
      </c>
      <c r="M97" s="639">
        <v>56854</v>
      </c>
      <c r="N97" s="807">
        <v>62254</v>
      </c>
      <c r="O97" s="775" t="s">
        <v>57</v>
      </c>
      <c r="P97" s="775" t="s">
        <v>86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86</v>
      </c>
      <c r="J98" s="76" t="s">
        <v>63</v>
      </c>
      <c r="K98" s="77">
        <v>45708</v>
      </c>
      <c r="L98" s="103" t="s">
        <v>57</v>
      </c>
      <c r="M98" s="811">
        <v>73639</v>
      </c>
      <c r="N98" s="1049">
        <v>73025</v>
      </c>
      <c r="O98" s="103" t="s">
        <v>57</v>
      </c>
      <c r="P98" s="105" t="s">
        <v>86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86</v>
      </c>
      <c r="J99" s="76" t="s">
        <v>63</v>
      </c>
      <c r="K99" s="77">
        <v>45698</v>
      </c>
      <c r="L99" s="103" t="s">
        <v>57</v>
      </c>
      <c r="M99" s="811">
        <v>54861</v>
      </c>
      <c r="N99" s="812">
        <v>55197</v>
      </c>
      <c r="O99" s="103" t="s">
        <v>57</v>
      </c>
      <c r="P99" s="76" t="s">
        <v>86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86</v>
      </c>
      <c r="L103" s="781" t="s">
        <v>57</v>
      </c>
      <c r="M103" s="891">
        <v>289634.75</v>
      </c>
      <c r="N103" s="807">
        <v>296306.83</v>
      </c>
      <c r="O103" s="892" t="s">
        <v>57</v>
      </c>
      <c r="P103" s="791" t="s">
        <v>86</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86</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86</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86</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84</v>
      </c>
      <c r="E116" s="51">
        <v>45918</v>
      </c>
      <c r="F116" s="50" t="s">
        <v>110</v>
      </c>
      <c r="G116" s="670"/>
      <c r="H116" s="52">
        <v>0</v>
      </c>
      <c r="I116" s="660" t="s">
        <v>385</v>
      </c>
      <c r="J116" s="52" t="s">
        <v>63</v>
      </c>
      <c r="K116" s="51">
        <v>45918</v>
      </c>
      <c r="L116" s="376" t="s">
        <v>57</v>
      </c>
      <c r="M116" s="429">
        <v>10840.25</v>
      </c>
      <c r="N116" s="736"/>
      <c r="O116" s="376" t="s">
        <v>57</v>
      </c>
      <c r="P116" s="740" t="s">
        <v>86</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86</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84</v>
      </c>
      <c r="E118" s="467">
        <v>45793</v>
      </c>
      <c r="F118" s="488" t="s">
        <v>110</v>
      </c>
      <c r="G118" s="997" t="s">
        <v>836</v>
      </c>
      <c r="H118" s="469">
        <v>0</v>
      </c>
      <c r="I118" s="469" t="s">
        <v>385</v>
      </c>
      <c r="J118" s="469" t="s">
        <v>63</v>
      </c>
      <c r="K118" s="467">
        <v>45793</v>
      </c>
      <c r="L118" s="469" t="s">
        <v>57</v>
      </c>
      <c r="M118" s="999">
        <v>53589.8</v>
      </c>
      <c r="N118" s="96"/>
      <c r="O118" s="469" t="s">
        <v>57</v>
      </c>
      <c r="P118" s="749" t="s">
        <v>86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86</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86</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86</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86</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86</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86</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86</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86</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84</v>
      </c>
      <c r="E133" s="51">
        <v>45902</v>
      </c>
      <c r="F133" s="50" t="s">
        <v>110</v>
      </c>
      <c r="G133" s="50"/>
      <c r="H133" s="52">
        <v>0</v>
      </c>
      <c r="I133" s="52" t="s">
        <v>385</v>
      </c>
      <c r="J133" s="52" t="s">
        <v>63</v>
      </c>
      <c r="K133" s="375">
        <v>45902</v>
      </c>
      <c r="L133" s="376" t="s">
        <v>57</v>
      </c>
      <c r="M133" s="429">
        <v>12695</v>
      </c>
      <c r="N133" s="736"/>
      <c r="O133" s="376" t="s">
        <v>57</v>
      </c>
      <c r="P133" s="740" t="s">
        <v>86</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84</v>
      </c>
      <c r="E135" s="942">
        <v>45876</v>
      </c>
      <c r="F135" s="942" t="s">
        <v>110</v>
      </c>
      <c r="G135" s="1030" t="s">
        <v>878</v>
      </c>
      <c r="H135" s="959">
        <v>0</v>
      </c>
      <c r="I135" s="1031" t="s">
        <v>385</v>
      </c>
      <c r="J135" s="959" t="s">
        <v>63</v>
      </c>
      <c r="K135" s="942">
        <v>45876</v>
      </c>
      <c r="L135" s="959" t="s">
        <v>57</v>
      </c>
      <c r="M135" s="961">
        <v>1462.85</v>
      </c>
      <c r="N135" s="96"/>
      <c r="O135" s="959" t="s">
        <v>57</v>
      </c>
      <c r="P135" s="767" t="s">
        <v>86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84</v>
      </c>
      <c r="E137" s="887">
        <v>45853</v>
      </c>
      <c r="F137" s="1018" t="s">
        <v>110</v>
      </c>
      <c r="G137" s="1028" t="s">
        <v>884</v>
      </c>
      <c r="H137" s="791">
        <v>0</v>
      </c>
      <c r="I137" s="791" t="s">
        <v>385</v>
      </c>
      <c r="J137" s="791" t="s">
        <v>63</v>
      </c>
      <c r="K137" s="467">
        <v>45853</v>
      </c>
      <c r="L137" s="469" t="s">
        <v>57</v>
      </c>
      <c r="M137" s="999">
        <v>68216.5</v>
      </c>
      <c r="N137" s="778"/>
      <c r="O137" s="469" t="s">
        <v>57</v>
      </c>
      <c r="P137" s="749" t="s">
        <v>86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84</v>
      </c>
      <c r="E138" s="488">
        <v>45839</v>
      </c>
      <c r="F138" s="467" t="s">
        <v>110</v>
      </c>
      <c r="G138" s="477" t="s">
        <v>887</v>
      </c>
      <c r="H138" s="478">
        <v>0</v>
      </c>
      <c r="I138" s="478" t="s">
        <v>385</v>
      </c>
      <c r="J138" s="478" t="s">
        <v>63</v>
      </c>
      <c r="K138" s="509">
        <v>45838</v>
      </c>
      <c r="L138" s="1026" t="s">
        <v>57</v>
      </c>
      <c r="M138" s="777">
        <v>72566</v>
      </c>
      <c r="N138" s="736"/>
      <c r="O138" s="478" t="s">
        <v>57</v>
      </c>
      <c r="P138" s="749" t="s">
        <v>86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84</v>
      </c>
      <c r="E139" s="51">
        <v>45945</v>
      </c>
      <c r="F139" s="50" t="s">
        <v>110</v>
      </c>
      <c r="G139" s="670" t="s">
        <v>890</v>
      </c>
      <c r="H139" s="52">
        <v>0</v>
      </c>
      <c r="I139" s="52" t="s">
        <v>385</v>
      </c>
      <c r="J139" s="52" t="s">
        <v>63</v>
      </c>
      <c r="K139" s="375">
        <v>45936</v>
      </c>
      <c r="L139" s="376" t="s">
        <v>57</v>
      </c>
      <c r="M139" s="429">
        <v>4235.8</v>
      </c>
      <c r="N139" s="736"/>
      <c r="O139" s="376" t="s">
        <v>57</v>
      </c>
      <c r="P139" s="587" t="s">
        <v>86</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86</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86</v>
      </c>
      <c r="J144" s="478" t="s">
        <v>63</v>
      </c>
      <c r="K144" s="476">
        <v>45699</v>
      </c>
      <c r="L144" s="483" t="s">
        <v>57</v>
      </c>
      <c r="M144" s="777">
        <v>72566</v>
      </c>
      <c r="N144" s="96"/>
      <c r="O144" s="483" t="s">
        <v>57</v>
      </c>
      <c r="P144" s="749" t="s">
        <v>86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86</v>
      </c>
      <c r="J145" s="478" t="s">
        <v>63</v>
      </c>
      <c r="K145" s="476">
        <v>45712</v>
      </c>
      <c r="L145" s="478" t="s">
        <v>57</v>
      </c>
      <c r="M145" s="777">
        <v>14262</v>
      </c>
      <c r="N145" s="736"/>
      <c r="O145" s="478" t="s">
        <v>57</v>
      </c>
      <c r="P145" s="749" t="s">
        <v>86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86</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86</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86</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86</v>
      </c>
      <c r="J158" s="478" t="s">
        <v>56</v>
      </c>
      <c r="K158" s="478"/>
      <c r="L158" s="829">
        <v>45716</v>
      </c>
      <c r="M158" s="478" t="s">
        <v>57</v>
      </c>
      <c r="N158" s="543">
        <v>1134</v>
      </c>
      <c r="O158" s="478" t="s">
        <v>57</v>
      </c>
      <c r="P158" s="921" t="s">
        <v>86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86</v>
      </c>
      <c r="J159" s="478" t="s">
        <v>56</v>
      </c>
      <c r="K159" s="487"/>
      <c r="L159" s="467">
        <v>45716</v>
      </c>
      <c r="M159" s="478" t="s">
        <v>57</v>
      </c>
      <c r="N159" s="543">
        <v>870</v>
      </c>
      <c r="O159" s="478" t="s">
        <v>57</v>
      </c>
      <c r="P159" s="921" t="s">
        <v>86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86</v>
      </c>
      <c r="J161" s="478" t="s">
        <v>56</v>
      </c>
      <c r="K161" s="478"/>
      <c r="L161" s="476">
        <v>45715</v>
      </c>
      <c r="M161" s="478" t="s">
        <v>57</v>
      </c>
      <c r="N161" s="543">
        <v>3801.75</v>
      </c>
      <c r="O161" s="478" t="s">
        <v>57</v>
      </c>
      <c r="P161" s="921" t="s">
        <v>86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84</v>
      </c>
      <c r="E164" s="907">
        <v>45768</v>
      </c>
      <c r="F164" s="908" t="s">
        <v>163</v>
      </c>
      <c r="G164" s="905"/>
      <c r="H164" s="909">
        <v>0</v>
      </c>
      <c r="I164" s="910" t="s">
        <v>86</v>
      </c>
      <c r="J164" s="909" t="s">
        <v>56</v>
      </c>
      <c r="K164" s="906"/>
      <c r="L164" s="911" t="s">
        <v>56</v>
      </c>
      <c r="M164" s="909" t="s">
        <v>92</v>
      </c>
      <c r="N164" s="912">
        <v>0</v>
      </c>
      <c r="O164" s="909" t="s">
        <v>92</v>
      </c>
      <c r="P164" s="913" t="s">
        <v>86</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84</v>
      </c>
      <c r="E165" s="856">
        <v>45768</v>
      </c>
      <c r="F165" s="855" t="s">
        <v>163</v>
      </c>
      <c r="G165" s="857"/>
      <c r="H165" s="858">
        <v>0</v>
      </c>
      <c r="I165" s="864" t="s">
        <v>86</v>
      </c>
      <c r="J165" s="858" t="s">
        <v>56</v>
      </c>
      <c r="K165" s="863"/>
      <c r="L165" s="865" t="s">
        <v>56</v>
      </c>
      <c r="M165" s="858" t="s">
        <v>92</v>
      </c>
      <c r="N165" s="859">
        <v>0</v>
      </c>
      <c r="O165" s="858" t="s">
        <v>92</v>
      </c>
      <c r="P165" s="860" t="s">
        <v>86</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86</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86</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3" t="s">
        <v>207</v>
      </c>
      <c r="C4" s="907">
        <v>45999</v>
      </c>
      <c r="D4" s="911" t="s">
        <v>84</v>
      </c>
      <c r="E4" s="985">
        <v>45975</v>
      </c>
      <c r="F4" s="911" t="s">
        <v>208</v>
      </c>
      <c r="G4" s="990" t="s">
        <v>945</v>
      </c>
      <c r="H4" s="977">
        <v>0</v>
      </c>
      <c r="I4" s="910" t="s">
        <v>385</v>
      </c>
      <c r="J4" s="909" t="s">
        <v>63</v>
      </c>
      <c r="K4" s="909"/>
      <c r="L4" s="51">
        <v>45960</v>
      </c>
      <c r="M4" s="1444" t="s">
        <v>57</v>
      </c>
      <c r="N4" s="987">
        <v>4911.8999999999996</v>
      </c>
      <c r="O4" s="977" t="s">
        <v>57</v>
      </c>
      <c r="P4" s="913" t="s">
        <v>86</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86</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86</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86</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86</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84</v>
      </c>
      <c r="E9" s="476">
        <v>45880</v>
      </c>
      <c r="F9" s="475" t="s">
        <v>208</v>
      </c>
      <c r="G9" s="477" t="s">
        <v>957</v>
      </c>
      <c r="H9" s="478">
        <v>0</v>
      </c>
      <c r="I9" s="483" t="s">
        <v>385</v>
      </c>
      <c r="J9" s="478" t="s">
        <v>63</v>
      </c>
      <c r="K9" s="487"/>
      <c r="L9" s="476">
        <v>45881</v>
      </c>
      <c r="M9" s="478" t="s">
        <v>57</v>
      </c>
      <c r="N9" s="543">
        <v>4815.6499999999996</v>
      </c>
      <c r="O9" s="478" t="s">
        <v>57</v>
      </c>
      <c r="P9" s="806" t="s">
        <v>86</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92</v>
      </c>
      <c r="P10" s="913" t="s">
        <v>86</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84</v>
      </c>
      <c r="E11" s="476">
        <v>45918</v>
      </c>
      <c r="F11" s="465" t="s">
        <v>110</v>
      </c>
      <c r="G11" s="50" t="s">
        <v>962</v>
      </c>
      <c r="H11" s="996">
        <v>0</v>
      </c>
      <c r="I11" s="661" t="s">
        <v>385</v>
      </c>
      <c r="J11" s="469" t="s">
        <v>63</v>
      </c>
      <c r="K11" s="469"/>
      <c r="L11" s="476">
        <v>45918</v>
      </c>
      <c r="M11" s="478" t="s">
        <v>57</v>
      </c>
      <c r="N11" s="543">
        <v>9611.9500000000007</v>
      </c>
      <c r="O11" s="478" t="s">
        <v>57</v>
      </c>
      <c r="P11" s="806" t="s">
        <v>86</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86</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86</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86</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86</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86</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86</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86</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86</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86</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86</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86</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86</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86</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86</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86</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86</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86</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86</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86</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86</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86</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86</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86</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84</v>
      </c>
      <c r="E35" s="467">
        <v>45902</v>
      </c>
      <c r="F35" s="465" t="s">
        <v>110</v>
      </c>
      <c r="G35" s="758"/>
      <c r="H35" s="469">
        <v>0</v>
      </c>
      <c r="I35" s="661" t="s">
        <v>385</v>
      </c>
      <c r="J35" s="469" t="s">
        <v>63</v>
      </c>
      <c r="K35" s="469"/>
      <c r="L35" s="476">
        <v>45902</v>
      </c>
      <c r="M35" s="469" t="s">
        <v>57</v>
      </c>
      <c r="N35" s="542">
        <v>5604.6</v>
      </c>
      <c r="O35" s="469" t="s">
        <v>57</v>
      </c>
      <c r="P35" s="1423" t="s">
        <v>86</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86</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86</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86</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86</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86</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86</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86</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86</v>
      </c>
      <c r="M43" s="469" t="s">
        <v>57</v>
      </c>
      <c r="N43" s="542">
        <v>30892</v>
      </c>
      <c r="O43" s="469" t="s">
        <v>57</v>
      </c>
      <c r="P43" s="806" t="s">
        <v>86</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86</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86</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86</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86</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86</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86</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86</v>
      </c>
      <c r="M50" s="380" t="s">
        <v>57</v>
      </c>
      <c r="N50" s="1076">
        <v>64790.5</v>
      </c>
      <c r="O50" s="380" t="s">
        <v>57</v>
      </c>
      <c r="P50" s="1098" t="s">
        <v>86</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86</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84</v>
      </c>
      <c r="E52" s="476">
        <v>45743</v>
      </c>
      <c r="F52" s="475" t="s">
        <v>68</v>
      </c>
      <c r="G52" s="824" t="s">
        <v>1069</v>
      </c>
      <c r="H52" s="478">
        <v>70</v>
      </c>
      <c r="I52" s="661" t="s">
        <v>385</v>
      </c>
      <c r="J52" s="469" t="s">
        <v>63</v>
      </c>
      <c r="K52" s="825"/>
      <c r="L52" s="476">
        <v>45741</v>
      </c>
      <c r="M52" s="469" t="s">
        <v>57</v>
      </c>
      <c r="N52" s="543">
        <v>67735.5</v>
      </c>
      <c r="O52" s="469" t="s">
        <v>57</v>
      </c>
      <c r="P52" s="806" t="s">
        <v>86</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84</v>
      </c>
      <c r="E53" s="826">
        <v>45701</v>
      </c>
      <c r="F53" s="475" t="s">
        <v>68</v>
      </c>
      <c r="G53" s="849" t="s">
        <v>948</v>
      </c>
      <c r="H53" s="828">
        <v>0</v>
      </c>
      <c r="I53" s="828" t="s">
        <v>86</v>
      </c>
      <c r="J53" s="828" t="s">
        <v>63</v>
      </c>
      <c r="K53" s="828"/>
      <c r="L53" s="826">
        <v>45705</v>
      </c>
      <c r="M53" s="828" t="s">
        <v>57</v>
      </c>
      <c r="N53" s="850">
        <v>1295</v>
      </c>
      <c r="O53" s="828" t="s">
        <v>57</v>
      </c>
      <c r="P53" s="806" t="s">
        <v>86</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86</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86</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86</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9"/>
  <sheetViews>
    <sheetView tabSelected="1" workbookViewId="0">
      <pane ySplit="1" topLeftCell="A2505" activePane="bottomLeft" state="frozen"/>
      <selection pane="bottomLeft" activeCell="E2528" sqref="E252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84</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84</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306" t="s">
        <v>510</v>
      </c>
      <c r="B2430" s="357" t="s">
        <v>1093</v>
      </c>
      <c r="C2430" s="336">
        <v>46022</v>
      </c>
      <c r="D2430" s="115"/>
      <c r="E2430" s="1011">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F2433" s="43" t="s">
        <v>2027</v>
      </c>
      <c r="G2433" t="s">
        <v>2026</v>
      </c>
    </row>
    <row r="2434" spans="1:7">
      <c r="A2434" s="247" t="s">
        <v>1128</v>
      </c>
      <c r="B2434" s="157" t="s">
        <v>1093</v>
      </c>
      <c r="C2434" s="56">
        <v>46027</v>
      </c>
      <c r="D2434" s="155">
        <v>248</v>
      </c>
      <c r="E2434" s="43"/>
      <c r="F2434" s="43" t="s">
        <v>2028</v>
      </c>
      <c r="G2434" t="s">
        <v>2026</v>
      </c>
    </row>
    <row r="2435" spans="1:7">
      <c r="A2435" s="247" t="s">
        <v>268</v>
      </c>
      <c r="B2435" s="157" t="s">
        <v>232</v>
      </c>
      <c r="C2435" s="56">
        <v>46027</v>
      </c>
      <c r="D2435" s="155">
        <v>1105</v>
      </c>
      <c r="E2435" s="43"/>
      <c r="F2435" s="43" t="s">
        <v>2027</v>
      </c>
      <c r="G2435" t="s">
        <v>2026</v>
      </c>
    </row>
    <row r="2436" spans="1:7">
      <c r="A2436" s="247" t="s">
        <v>1128</v>
      </c>
      <c r="B2436" s="157" t="s">
        <v>1093</v>
      </c>
      <c r="C2436" s="56">
        <v>46027</v>
      </c>
      <c r="D2436" s="155">
        <v>248</v>
      </c>
      <c r="E2436" s="43"/>
      <c r="F2436" s="43" t="s">
        <v>2028</v>
      </c>
      <c r="G2436" t="s">
        <v>2026</v>
      </c>
    </row>
    <row r="2437" spans="1:7">
      <c r="A2437" s="247" t="s">
        <v>321</v>
      </c>
      <c r="B2437" s="157" t="s">
        <v>129</v>
      </c>
      <c r="C2437" s="56">
        <v>46027</v>
      </c>
      <c r="D2437" s="155">
        <v>3728</v>
      </c>
      <c r="E2437" s="43"/>
      <c r="F2437" s="43" t="s">
        <v>2029</v>
      </c>
      <c r="G2437" t="s">
        <v>2026</v>
      </c>
    </row>
    <row r="2438" spans="1:7">
      <c r="A2438" s="247" t="s">
        <v>330</v>
      </c>
      <c r="B2438" s="157" t="s">
        <v>129</v>
      </c>
      <c r="C2438" s="56">
        <v>46027</v>
      </c>
      <c r="D2438" s="155">
        <v>568</v>
      </c>
      <c r="E2438" s="43"/>
      <c r="F2438" s="43" t="s">
        <v>2030</v>
      </c>
      <c r="G2438" t="s">
        <v>2026</v>
      </c>
    </row>
    <row r="2439" spans="1:7">
      <c r="A2439" s="247" t="s">
        <v>268</v>
      </c>
      <c r="B2439" s="157" t="s">
        <v>232</v>
      </c>
      <c r="C2439" s="56">
        <v>46027</v>
      </c>
      <c r="D2439" s="155">
        <v>1105</v>
      </c>
      <c r="E2439" s="43"/>
      <c r="F2439" s="43" t="s">
        <v>2027</v>
      </c>
      <c r="G2439" t="s">
        <v>2026</v>
      </c>
    </row>
    <row r="2440" spans="1:7">
      <c r="A2440" s="247" t="s">
        <v>172</v>
      </c>
      <c r="B2440" s="157" t="s">
        <v>129</v>
      </c>
      <c r="C2440" s="56">
        <v>46027</v>
      </c>
      <c r="D2440" s="155">
        <v>1353</v>
      </c>
      <c r="E2440" s="43"/>
      <c r="F2440" s="43" t="s">
        <v>2027</v>
      </c>
      <c r="G2440" t="s">
        <v>2026</v>
      </c>
    </row>
    <row r="2441" spans="1:7">
      <c r="A2441" s="247" t="s">
        <v>455</v>
      </c>
      <c r="B2441" s="157" t="s">
        <v>129</v>
      </c>
      <c r="C2441" s="56">
        <v>46028</v>
      </c>
      <c r="D2441" s="43">
        <v>0</v>
      </c>
      <c r="E2441" s="43"/>
      <c r="F2441" s="43" t="s">
        <v>2031</v>
      </c>
      <c r="G2441" t="s">
        <v>2026</v>
      </c>
    </row>
    <row r="2442" spans="1:7">
      <c r="A2442" s="247" t="s">
        <v>321</v>
      </c>
      <c r="B2442" s="157" t="s">
        <v>129</v>
      </c>
      <c r="C2442" s="56">
        <v>46028</v>
      </c>
      <c r="D2442" s="155">
        <v>1789</v>
      </c>
      <c r="E2442" s="43"/>
      <c r="F2442" s="43" t="s">
        <v>2029</v>
      </c>
      <c r="G2442" t="s">
        <v>2026</v>
      </c>
    </row>
    <row r="2443" spans="1:7">
      <c r="A2443" s="247" t="s">
        <v>336</v>
      </c>
      <c r="B2443" s="157" t="s">
        <v>129</v>
      </c>
      <c r="C2443" s="56">
        <v>46028</v>
      </c>
      <c r="D2443" s="155">
        <v>2362</v>
      </c>
      <c r="E2443" s="43"/>
      <c r="F2443" s="43" t="s">
        <v>2029</v>
      </c>
      <c r="G2443" t="s">
        <v>2026</v>
      </c>
    </row>
    <row r="2444" spans="1:7">
      <c r="A2444" s="247" t="s">
        <v>128</v>
      </c>
      <c r="B2444" s="157" t="s">
        <v>129</v>
      </c>
      <c r="C2444" s="56">
        <v>46028</v>
      </c>
      <c r="D2444" s="155">
        <v>1534</v>
      </c>
      <c r="E2444" s="43"/>
      <c r="F2444" s="43" t="s">
        <v>2032</v>
      </c>
      <c r="G2444" t="s">
        <v>2026</v>
      </c>
    </row>
    <row r="2445" spans="1:7">
      <c r="A2445" s="247" t="s">
        <v>268</v>
      </c>
      <c r="B2445" s="157" t="s">
        <v>232</v>
      </c>
      <c r="C2445" s="56">
        <v>46028</v>
      </c>
      <c r="D2445" s="43">
        <v>942</v>
      </c>
      <c r="E2445" s="43"/>
      <c r="F2445" s="43" t="s">
        <v>2027</v>
      </c>
      <c r="G2445" t="s">
        <v>2026</v>
      </c>
    </row>
    <row r="2446" spans="1:7">
      <c r="A2446" s="247" t="s">
        <v>83</v>
      </c>
      <c r="B2446" s="157" t="s">
        <v>1093</v>
      </c>
      <c r="C2446" s="56">
        <v>46028</v>
      </c>
      <c r="D2446" s="43">
        <v>152</v>
      </c>
      <c r="E2446" s="43"/>
      <c r="F2446" s="43" t="s">
        <v>2033</v>
      </c>
      <c r="G2446" t="s">
        <v>2026</v>
      </c>
    </row>
    <row r="2447" spans="1:7">
      <c r="A2447" s="247" t="s">
        <v>172</v>
      </c>
      <c r="B2447" s="157" t="s">
        <v>129</v>
      </c>
      <c r="C2447" s="56">
        <v>46028</v>
      </c>
      <c r="D2447" s="155">
        <v>1153</v>
      </c>
      <c r="E2447" s="43"/>
      <c r="F2447" s="43" t="s">
        <v>2027</v>
      </c>
      <c r="G2447" t="s">
        <v>2026</v>
      </c>
    </row>
    <row r="2448" spans="1:7">
      <c r="A2448" s="247" t="s">
        <v>1128</v>
      </c>
      <c r="B2448" s="157" t="s">
        <v>1093</v>
      </c>
      <c r="C2448" s="56">
        <v>46029</v>
      </c>
      <c r="D2448" s="43">
        <v>138</v>
      </c>
      <c r="E2448" s="43"/>
      <c r="F2448" s="43" t="s">
        <v>2030</v>
      </c>
      <c r="G2448" t="s">
        <v>2026</v>
      </c>
    </row>
    <row r="2449" spans="1:7">
      <c r="A2449" s="247" t="s">
        <v>504</v>
      </c>
      <c r="B2449" s="157" t="s">
        <v>129</v>
      </c>
      <c r="C2449" s="56">
        <v>46029</v>
      </c>
      <c r="D2449" s="43">
        <v>0</v>
      </c>
      <c r="E2449" s="43"/>
      <c r="F2449" s="43" t="s">
        <v>2034</v>
      </c>
      <c r="G2449" t="s">
        <v>2026</v>
      </c>
    </row>
    <row r="2450" spans="1:7">
      <c r="A2450" s="247" t="s">
        <v>134</v>
      </c>
      <c r="B2450" s="157" t="s">
        <v>129</v>
      </c>
      <c r="C2450" s="56">
        <v>46029</v>
      </c>
      <c r="D2450" s="155">
        <v>1687</v>
      </c>
      <c r="E2450" s="43"/>
      <c r="F2450" s="43" t="s">
        <v>2029</v>
      </c>
      <c r="G2450" t="s">
        <v>2026</v>
      </c>
    </row>
    <row r="2451" spans="1:7">
      <c r="A2451" s="247" t="s">
        <v>137</v>
      </c>
      <c r="B2451" s="157" t="s">
        <v>129</v>
      </c>
      <c r="C2451" s="56">
        <v>46029</v>
      </c>
      <c r="D2451" s="155">
        <v>1056</v>
      </c>
      <c r="E2451" s="43"/>
      <c r="F2451" s="43" t="s">
        <v>2035</v>
      </c>
      <c r="G2451" t="s">
        <v>2026</v>
      </c>
    </row>
    <row r="2452" spans="1:7">
      <c r="A2452" s="247" t="s">
        <v>83</v>
      </c>
      <c r="B2452" s="157" t="s">
        <v>1093</v>
      </c>
      <c r="C2452" s="56">
        <v>46029</v>
      </c>
      <c r="D2452" s="43">
        <v>228</v>
      </c>
      <c r="E2452" s="43"/>
      <c r="F2452" s="43" t="s">
        <v>2033</v>
      </c>
      <c r="G2452" t="s">
        <v>2026</v>
      </c>
    </row>
    <row r="2453" spans="1:7">
      <c r="A2453" s="247" t="s">
        <v>128</v>
      </c>
      <c r="B2453" s="157" t="s">
        <v>129</v>
      </c>
      <c r="C2453" s="56">
        <v>46029</v>
      </c>
      <c r="D2453" s="43">
        <v>180</v>
      </c>
      <c r="E2453" s="43"/>
      <c r="F2453" s="43" t="s">
        <v>2036</v>
      </c>
      <c r="G2453" t="s">
        <v>2026</v>
      </c>
    </row>
    <row r="2454" spans="1:7">
      <c r="A2454" s="247" t="s">
        <v>268</v>
      </c>
      <c r="B2454" s="157" t="s">
        <v>232</v>
      </c>
      <c r="C2454" s="56">
        <v>46029</v>
      </c>
      <c r="D2454" s="155">
        <v>2151</v>
      </c>
      <c r="E2454" s="43"/>
      <c r="F2454" s="43" t="s">
        <v>2027</v>
      </c>
      <c r="G2454" t="s">
        <v>2026</v>
      </c>
    </row>
    <row r="2455" spans="1:7">
      <c r="A2455" s="247" t="s">
        <v>336</v>
      </c>
      <c r="B2455" s="157" t="s">
        <v>129</v>
      </c>
      <c r="C2455" s="56">
        <v>46029</v>
      </c>
      <c r="D2455" s="155">
        <v>3079</v>
      </c>
      <c r="E2455" s="43"/>
      <c r="F2455" s="43" t="s">
        <v>2029</v>
      </c>
      <c r="G2455" t="s">
        <v>2026</v>
      </c>
    </row>
    <row r="2456" spans="1:7">
      <c r="A2456" s="247" t="s">
        <v>507</v>
      </c>
      <c r="B2456" s="157" t="s">
        <v>129</v>
      </c>
      <c r="C2456" s="56">
        <v>46029</v>
      </c>
      <c r="D2456" s="43">
        <v>0</v>
      </c>
      <c r="E2456" s="43"/>
      <c r="F2456" s="1447" t="s">
        <v>2037</v>
      </c>
      <c r="G2456" t="s">
        <v>2026</v>
      </c>
    </row>
    <row r="2457" spans="1:7">
      <c r="A2457" s="247" t="s">
        <v>83</v>
      </c>
      <c r="B2457" s="157" t="s">
        <v>1093</v>
      </c>
      <c r="C2457" s="56">
        <v>46030</v>
      </c>
      <c r="D2457" s="43">
        <v>85</v>
      </c>
      <c r="E2457" s="43"/>
      <c r="F2457" s="43" t="s">
        <v>2033</v>
      </c>
      <c r="G2457" t="s">
        <v>2026</v>
      </c>
    </row>
    <row r="2458" spans="1:7">
      <c r="A2458" s="247" t="s">
        <v>1128</v>
      </c>
      <c r="B2458" s="157" t="s">
        <v>1093</v>
      </c>
      <c r="C2458" s="56">
        <v>46030</v>
      </c>
      <c r="D2458" s="43">
        <v>113</v>
      </c>
      <c r="E2458" s="43"/>
      <c r="F2458" s="43" t="s">
        <v>2038</v>
      </c>
      <c r="G2458" t="s">
        <v>2026</v>
      </c>
    </row>
    <row r="2459" spans="1:7">
      <c r="A2459" s="247" t="s">
        <v>134</v>
      </c>
      <c r="B2459" s="157" t="s">
        <v>129</v>
      </c>
      <c r="C2459" s="56">
        <v>46030</v>
      </c>
      <c r="D2459" s="155">
        <v>1053</v>
      </c>
      <c r="E2459" s="43"/>
      <c r="F2459" s="43" t="s">
        <v>2039</v>
      </c>
      <c r="G2459" t="s">
        <v>2026</v>
      </c>
    </row>
    <row r="2460" spans="1:7">
      <c r="A2460" s="247" t="s">
        <v>268</v>
      </c>
      <c r="B2460" s="157" t="s">
        <v>232</v>
      </c>
      <c r="C2460" s="56">
        <v>46030</v>
      </c>
      <c r="D2460" s="155">
        <v>1926</v>
      </c>
      <c r="E2460" s="43"/>
      <c r="F2460" s="43" t="s">
        <v>2027</v>
      </c>
      <c r="G2460" t="s">
        <v>2026</v>
      </c>
    </row>
    <row r="2461" spans="1:7">
      <c r="A2461" s="247" t="s">
        <v>339</v>
      </c>
      <c r="B2461" s="157" t="s">
        <v>129</v>
      </c>
      <c r="C2461" s="56">
        <v>46030</v>
      </c>
      <c r="D2461" s="155">
        <v>2367</v>
      </c>
      <c r="E2461" s="43"/>
      <c r="F2461" s="43" t="s">
        <v>2029</v>
      </c>
      <c r="G2461" t="s">
        <v>2026</v>
      </c>
    </row>
    <row r="2462" spans="1:7">
      <c r="A2462" s="247" t="s">
        <v>214</v>
      </c>
      <c r="B2462" s="157" t="s">
        <v>1093</v>
      </c>
      <c r="C2462" s="56">
        <v>46030</v>
      </c>
      <c r="D2462" s="43">
        <v>70</v>
      </c>
      <c r="E2462" s="43"/>
      <c r="F2462" s="43" t="s">
        <v>2040</v>
      </c>
      <c r="G2462" t="s">
        <v>2026</v>
      </c>
    </row>
    <row r="2463" spans="1:7">
      <c r="A2463" s="247" t="s">
        <v>409</v>
      </c>
      <c r="B2463" s="157" t="s">
        <v>2041</v>
      </c>
      <c r="C2463" s="56">
        <v>46030</v>
      </c>
      <c r="D2463" s="155"/>
      <c r="E2463" s="155">
        <v>2706</v>
      </c>
      <c r="F2463" s="43" t="s">
        <v>2042</v>
      </c>
      <c r="G2463" t="s">
        <v>2026</v>
      </c>
    </row>
    <row r="2464" spans="1:7">
      <c r="A2464" s="247" t="s">
        <v>268</v>
      </c>
      <c r="B2464" s="157" t="s">
        <v>232</v>
      </c>
      <c r="C2464" s="56">
        <v>46030</v>
      </c>
      <c r="D2464" s="155">
        <v>1926</v>
      </c>
      <c r="E2464" s="43"/>
      <c r="F2464" s="43" t="s">
        <v>2043</v>
      </c>
      <c r="G2464" t="s">
        <v>2026</v>
      </c>
    </row>
    <row r="2465" spans="1:7">
      <c r="A2465" s="247" t="s">
        <v>409</v>
      </c>
      <c r="B2465" s="157" t="s">
        <v>2041</v>
      </c>
      <c r="C2465" s="56">
        <v>46031</v>
      </c>
      <c r="D2465" s="43">
        <v>0</v>
      </c>
      <c r="E2465" s="43"/>
      <c r="F2465" s="1446" t="s">
        <v>2044</v>
      </c>
      <c r="G2465" t="s">
        <v>2026</v>
      </c>
    </row>
    <row r="2466" spans="1:7">
      <c r="A2466" s="247" t="s">
        <v>283</v>
      </c>
      <c r="B2466" s="157" t="s">
        <v>2041</v>
      </c>
      <c r="C2466" s="56">
        <v>46031</v>
      </c>
      <c r="D2466" s="43">
        <v>0</v>
      </c>
      <c r="E2466" s="43"/>
      <c r="F2466" s="43" t="s">
        <v>2045</v>
      </c>
      <c r="G2466" t="s">
        <v>2026</v>
      </c>
    </row>
    <row r="2467" spans="1:7">
      <c r="A2467" s="247" t="s">
        <v>268</v>
      </c>
      <c r="B2467" s="157" t="s">
        <v>232</v>
      </c>
      <c r="C2467" s="56">
        <v>46031</v>
      </c>
      <c r="D2467" s="155">
        <v>1000</v>
      </c>
      <c r="E2467" s="43"/>
      <c r="F2467" s="1447" t="s">
        <v>2046</v>
      </c>
      <c r="G2467" t="s">
        <v>2026</v>
      </c>
    </row>
    <row r="2468" spans="1:7">
      <c r="A2468" s="247" t="s">
        <v>504</v>
      </c>
      <c r="B2468" s="157" t="s">
        <v>129</v>
      </c>
      <c r="C2468" s="56">
        <v>46031</v>
      </c>
      <c r="D2468" s="155">
        <v>104</v>
      </c>
      <c r="E2468" s="43"/>
      <c r="F2468" s="1447" t="s">
        <v>2047</v>
      </c>
      <c r="G2468" t="s">
        <v>2026</v>
      </c>
    </row>
    <row r="2469" spans="1:7">
      <c r="A2469" s="247" t="s">
        <v>324</v>
      </c>
      <c r="B2469" s="157" t="s">
        <v>129</v>
      </c>
      <c r="C2469" s="56">
        <v>46031</v>
      </c>
      <c r="E2469" s="155">
        <v>1056</v>
      </c>
      <c r="F2469" s="1447" t="s">
        <v>2048</v>
      </c>
      <c r="G2469" t="s">
        <v>2026</v>
      </c>
    </row>
    <row r="2470" spans="1:7">
      <c r="A2470" s="247" t="s">
        <v>498</v>
      </c>
      <c r="B2470" s="157" t="s">
        <v>129</v>
      </c>
      <c r="C2470" s="56">
        <v>46031</v>
      </c>
      <c r="E2470" s="155">
        <v>1090</v>
      </c>
      <c r="F2470" s="43" t="s">
        <v>2049</v>
      </c>
      <c r="G2470" t="s">
        <v>2026</v>
      </c>
    </row>
    <row r="2471" spans="1:7">
      <c r="A2471" s="247" t="s">
        <v>339</v>
      </c>
      <c r="B2471" s="157" t="s">
        <v>129</v>
      </c>
      <c r="C2471" s="56">
        <v>46031</v>
      </c>
      <c r="D2471" s="43">
        <v>447</v>
      </c>
      <c r="E2471" s="43"/>
      <c r="F2471" s="1447" t="s">
        <v>2050</v>
      </c>
      <c r="G2471" t="s">
        <v>2026</v>
      </c>
    </row>
    <row r="2472" spans="1:7">
      <c r="A2472" s="247" t="s">
        <v>294</v>
      </c>
      <c r="B2472" s="157" t="s">
        <v>232</v>
      </c>
      <c r="C2472" s="56">
        <v>46031</v>
      </c>
      <c r="D2472" s="155">
        <v>1319</v>
      </c>
      <c r="E2472" s="43"/>
      <c r="F2472" s="1447" t="s">
        <v>2051</v>
      </c>
      <c r="G2472" t="s">
        <v>2026</v>
      </c>
    </row>
    <row r="2473" spans="1:7">
      <c r="A2473" s="247" t="s">
        <v>134</v>
      </c>
      <c r="B2473" s="157" t="s">
        <v>129</v>
      </c>
      <c r="C2473" s="56">
        <v>46034</v>
      </c>
      <c r="D2473" s="43">
        <v>0</v>
      </c>
      <c r="E2473" s="43"/>
      <c r="F2473" s="1447" t="s">
        <v>2052</v>
      </c>
      <c r="G2473" t="s">
        <v>2026</v>
      </c>
    </row>
    <row r="2474" spans="1:7">
      <c r="A2474" s="247" t="s">
        <v>956</v>
      </c>
      <c r="B2474" s="157" t="s">
        <v>2041</v>
      </c>
      <c r="C2474" s="56">
        <v>46034</v>
      </c>
      <c r="E2474" s="43">
        <v>640</v>
      </c>
      <c r="F2474" s="1446" t="s">
        <v>958</v>
      </c>
      <c r="G2474" t="s">
        <v>2026</v>
      </c>
    </row>
    <row r="2475" spans="1:7">
      <c r="A2475" s="247" t="s">
        <v>411</v>
      </c>
      <c r="B2475" s="157" t="s">
        <v>2041</v>
      </c>
      <c r="C2475" s="56">
        <v>46034</v>
      </c>
      <c r="E2475" s="43">
        <v>428</v>
      </c>
      <c r="F2475" s="1446" t="s">
        <v>2053</v>
      </c>
      <c r="G2475" t="s">
        <v>2026</v>
      </c>
    </row>
    <row r="2476" spans="1:7">
      <c r="A2476" s="247" t="s">
        <v>80</v>
      </c>
      <c r="B2476" s="157" t="s">
        <v>1093</v>
      </c>
      <c r="C2476" s="56">
        <v>46034</v>
      </c>
      <c r="D2476" s="43">
        <v>205</v>
      </c>
      <c r="E2476" s="43"/>
      <c r="F2476" s="43" t="s">
        <v>2054</v>
      </c>
      <c r="G2476" t="s">
        <v>2026</v>
      </c>
    </row>
    <row r="2477" spans="1:7">
      <c r="A2477" s="247" t="s">
        <v>339</v>
      </c>
      <c r="B2477" s="157" t="s">
        <v>129</v>
      </c>
      <c r="C2477" s="56">
        <v>46034</v>
      </c>
      <c r="D2477" s="43">
        <v>858</v>
      </c>
      <c r="E2477" s="43"/>
      <c r="F2477" s="1447" t="s">
        <v>2055</v>
      </c>
      <c r="G2477" t="s">
        <v>2026</v>
      </c>
    </row>
    <row r="2478" spans="1:7">
      <c r="A2478" s="247" t="s">
        <v>345</v>
      </c>
      <c r="B2478" s="157" t="s">
        <v>129</v>
      </c>
      <c r="C2478" s="56">
        <v>46034</v>
      </c>
      <c r="D2478" s="155">
        <v>4915</v>
      </c>
      <c r="E2478" s="43"/>
      <c r="F2478" s="1447" t="s">
        <v>2056</v>
      </c>
      <c r="G2478" t="s">
        <v>2026</v>
      </c>
    </row>
    <row r="2479" spans="1:7">
      <c r="A2479" s="247" t="s">
        <v>342</v>
      </c>
      <c r="B2479" s="157" t="s">
        <v>129</v>
      </c>
      <c r="C2479" s="56">
        <v>46034</v>
      </c>
      <c r="D2479" s="43">
        <v>813</v>
      </c>
      <c r="E2479" s="43"/>
      <c r="F2479" s="1447" t="s">
        <v>2057</v>
      </c>
      <c r="G2479" t="s">
        <v>2026</v>
      </c>
    </row>
    <row r="2480" spans="1:7">
      <c r="A2480" s="247" t="s">
        <v>137</v>
      </c>
      <c r="B2480" s="157" t="s">
        <v>129</v>
      </c>
      <c r="C2480" s="56">
        <v>46034</v>
      </c>
      <c r="D2480" s="155">
        <v>1356</v>
      </c>
      <c r="E2480" s="43"/>
      <c r="F2480" s="1447" t="s">
        <v>2058</v>
      </c>
      <c r="G2480" t="s">
        <v>2026</v>
      </c>
    </row>
    <row r="2481" spans="1:7">
      <c r="A2481" s="247" t="s">
        <v>2059</v>
      </c>
      <c r="B2481" s="157" t="s">
        <v>1619</v>
      </c>
      <c r="C2481" s="56">
        <v>46034</v>
      </c>
      <c r="D2481" s="43">
        <v>607</v>
      </c>
      <c r="E2481" s="43"/>
      <c r="F2481" s="1447" t="s">
        <v>2060</v>
      </c>
      <c r="G2481" t="s">
        <v>2026</v>
      </c>
    </row>
    <row r="2482" spans="1:7">
      <c r="A2482" s="247" t="s">
        <v>268</v>
      </c>
      <c r="B2482" s="157" t="s">
        <v>232</v>
      </c>
      <c r="C2482" s="56">
        <v>46034</v>
      </c>
      <c r="D2482" s="155">
        <v>1812</v>
      </c>
      <c r="E2482" s="43"/>
      <c r="F2482" s="1447" t="s">
        <v>2061</v>
      </c>
      <c r="G2482" t="s">
        <v>2026</v>
      </c>
    </row>
    <row r="2483" spans="1:7">
      <c r="A2483" s="247" t="s">
        <v>172</v>
      </c>
      <c r="B2483" s="157" t="s">
        <v>129</v>
      </c>
      <c r="C2483" s="56">
        <v>46034</v>
      </c>
      <c r="D2483" s="155">
        <v>1314</v>
      </c>
      <c r="E2483" s="43"/>
      <c r="F2483" s="1447" t="s">
        <v>2062</v>
      </c>
      <c r="G2483" t="s">
        <v>2026</v>
      </c>
    </row>
    <row r="2484" spans="1:7">
      <c r="A2484" s="247" t="s">
        <v>294</v>
      </c>
      <c r="B2484" s="157" t="s">
        <v>232</v>
      </c>
      <c r="C2484" s="56">
        <v>46034</v>
      </c>
      <c r="D2484" s="43">
        <v>926</v>
      </c>
      <c r="E2484" s="43"/>
      <c r="F2484" s="1447" t="s">
        <v>2063</v>
      </c>
      <c r="G2484" t="s">
        <v>2026</v>
      </c>
    </row>
    <row r="2485" spans="1:7">
      <c r="A2485" s="247" t="s">
        <v>451</v>
      </c>
      <c r="B2485" s="157" t="s">
        <v>1093</v>
      </c>
      <c r="C2485" s="56">
        <v>46035</v>
      </c>
      <c r="E2485" s="155">
        <v>2112</v>
      </c>
      <c r="F2485" s="1447" t="s">
        <v>2064</v>
      </c>
      <c r="G2485" t="s">
        <v>2026</v>
      </c>
    </row>
    <row r="2486" spans="1:7">
      <c r="A2486" s="247" t="s">
        <v>160</v>
      </c>
      <c r="B2486" s="157" t="s">
        <v>129</v>
      </c>
      <c r="C2486" s="56">
        <v>46035</v>
      </c>
      <c r="E2486" s="155">
        <v>1208</v>
      </c>
      <c r="F2486" s="43" t="s">
        <v>161</v>
      </c>
      <c r="G2486" t="s">
        <v>2026</v>
      </c>
    </row>
    <row r="2487" spans="1:7">
      <c r="A2487" s="247" t="s">
        <v>345</v>
      </c>
      <c r="B2487" s="157" t="s">
        <v>129</v>
      </c>
      <c r="C2487" s="56">
        <v>46035</v>
      </c>
      <c r="D2487" s="43">
        <v>914</v>
      </c>
      <c r="E2487" s="43"/>
      <c r="F2487" s="1447" t="s">
        <v>2065</v>
      </c>
      <c r="G2487" t="s">
        <v>2026</v>
      </c>
    </row>
    <row r="2488" spans="1:7">
      <c r="A2488" s="247" t="s">
        <v>347</v>
      </c>
      <c r="B2488" s="157" t="s">
        <v>129</v>
      </c>
      <c r="C2488" s="56">
        <v>46035</v>
      </c>
      <c r="D2488" s="155">
        <v>6092</v>
      </c>
      <c r="E2488" s="43"/>
      <c r="F2488" s="1447" t="s">
        <v>161</v>
      </c>
      <c r="G2488" t="s">
        <v>2026</v>
      </c>
    </row>
    <row r="2489" spans="1:7">
      <c r="A2489" s="247" t="s">
        <v>342</v>
      </c>
      <c r="B2489" s="157" t="s">
        <v>129</v>
      </c>
      <c r="C2489" s="56">
        <v>46035</v>
      </c>
      <c r="D2489" s="155">
        <v>1491</v>
      </c>
      <c r="E2489" s="43"/>
      <c r="F2489" s="1447" t="s">
        <v>2066</v>
      </c>
      <c r="G2489" t="s">
        <v>2026</v>
      </c>
    </row>
    <row r="2490" spans="1:7">
      <c r="A2490" s="247" t="s">
        <v>349</v>
      </c>
      <c r="B2490" s="157" t="s">
        <v>129</v>
      </c>
      <c r="C2490" s="56">
        <v>46035</v>
      </c>
      <c r="D2490" s="43">
        <v>822</v>
      </c>
      <c r="E2490" s="43"/>
      <c r="F2490" s="1447" t="s">
        <v>2067</v>
      </c>
      <c r="G2490" t="s">
        <v>2026</v>
      </c>
    </row>
    <row r="2491" spans="1:7">
      <c r="A2491" s="247" t="s">
        <v>137</v>
      </c>
      <c r="B2491" s="157" t="s">
        <v>129</v>
      </c>
      <c r="C2491" s="56">
        <v>46035</v>
      </c>
      <c r="D2491" s="155">
        <v>1435</v>
      </c>
      <c r="E2491" s="43"/>
      <c r="F2491" s="1447" t="s">
        <v>2068</v>
      </c>
      <c r="G2491" t="s">
        <v>2026</v>
      </c>
    </row>
    <row r="2492" spans="1:7">
      <c r="A2492" s="247" t="s">
        <v>83</v>
      </c>
      <c r="B2492" s="157" t="s">
        <v>1093</v>
      </c>
      <c r="C2492" s="56">
        <v>46035</v>
      </c>
      <c r="D2492" s="43">
        <v>312</v>
      </c>
      <c r="E2492" s="43"/>
      <c r="F2492" s="1453" t="s">
        <v>2069</v>
      </c>
      <c r="G2492" t="s">
        <v>2026</v>
      </c>
    </row>
    <row r="2493" spans="1:7">
      <c r="A2493" s="247" t="s">
        <v>268</v>
      </c>
      <c r="B2493" s="157" t="s">
        <v>232</v>
      </c>
      <c r="C2493" s="56">
        <v>46035</v>
      </c>
      <c r="D2493" s="155">
        <v>1838</v>
      </c>
      <c r="E2493" s="43"/>
      <c r="F2493" s="43" t="s">
        <v>2070</v>
      </c>
      <c r="G2493" t="s">
        <v>2026</v>
      </c>
    </row>
    <row r="2494" spans="1:7">
      <c r="A2494" s="247" t="s">
        <v>387</v>
      </c>
      <c r="B2494" s="157" t="s">
        <v>2071</v>
      </c>
      <c r="C2494" s="56">
        <v>46035</v>
      </c>
      <c r="E2494" s="155">
        <v>5312</v>
      </c>
      <c r="F2494" s="1446" t="s">
        <v>2072</v>
      </c>
      <c r="G2494" t="s">
        <v>2026</v>
      </c>
    </row>
    <row r="2495" spans="1:7">
      <c r="A2495" s="247" t="s">
        <v>2059</v>
      </c>
      <c r="B2495" s="157" t="s">
        <v>1619</v>
      </c>
      <c r="C2495" s="56">
        <v>46035</v>
      </c>
      <c r="D2495" s="43">
        <v>662</v>
      </c>
      <c r="E2495" s="43"/>
      <c r="F2495" s="1447" t="s">
        <v>2073</v>
      </c>
      <c r="G2495" t="s">
        <v>2026</v>
      </c>
    </row>
    <row r="2496" spans="1:7">
      <c r="A2496" s="247" t="s">
        <v>294</v>
      </c>
      <c r="B2496" s="157" t="s">
        <v>232</v>
      </c>
      <c r="C2496" s="56">
        <v>46035</v>
      </c>
      <c r="D2496" s="155">
        <v>1128</v>
      </c>
      <c r="E2496" s="43"/>
      <c r="F2496" s="1447" t="s">
        <v>2074</v>
      </c>
      <c r="G2496" t="s">
        <v>2026</v>
      </c>
    </row>
    <row r="2497" spans="1:7">
      <c r="A2497" s="247" t="s">
        <v>128</v>
      </c>
      <c r="B2497" s="157" t="s">
        <v>1093</v>
      </c>
      <c r="C2497" s="56">
        <v>46035</v>
      </c>
      <c r="D2497" s="155"/>
      <c r="E2497" s="43">
        <v>576</v>
      </c>
      <c r="F2497" s="1447" t="s">
        <v>2075</v>
      </c>
      <c r="G2497" t="s">
        <v>2026</v>
      </c>
    </row>
    <row r="2498" spans="1:7">
      <c r="A2498" s="247" t="s">
        <v>128</v>
      </c>
      <c r="B2498" s="157" t="s">
        <v>129</v>
      </c>
      <c r="C2498" s="56">
        <v>46036</v>
      </c>
      <c r="D2498" s="43">
        <v>0</v>
      </c>
      <c r="E2498" s="43"/>
      <c r="F2498" s="1447" t="s">
        <v>2076</v>
      </c>
      <c r="G2498" t="s">
        <v>2026</v>
      </c>
    </row>
    <row r="2499" spans="1:7">
      <c r="A2499" s="247" t="s">
        <v>347</v>
      </c>
      <c r="B2499" s="157" t="s">
        <v>129</v>
      </c>
      <c r="C2499" s="56">
        <v>46036</v>
      </c>
      <c r="D2499" s="43">
        <v>0</v>
      </c>
      <c r="E2499" s="43"/>
      <c r="F2499" s="1447" t="s">
        <v>2077</v>
      </c>
      <c r="G2499" t="s">
        <v>2026</v>
      </c>
    </row>
    <row r="2500" spans="1:7">
      <c r="A2500" s="247" t="s">
        <v>342</v>
      </c>
      <c r="B2500" s="157" t="s">
        <v>129</v>
      </c>
      <c r="C2500" s="56">
        <v>46036</v>
      </c>
      <c r="D2500" s="155">
        <v>1062</v>
      </c>
      <c r="E2500" s="43"/>
      <c r="F2500" s="1447" t="s">
        <v>2078</v>
      </c>
      <c r="G2500" t="s">
        <v>2026</v>
      </c>
    </row>
    <row r="2501" spans="1:7">
      <c r="A2501" s="247" t="s">
        <v>349</v>
      </c>
      <c r="B2501" s="157" t="s">
        <v>129</v>
      </c>
      <c r="C2501" s="56">
        <v>46036</v>
      </c>
      <c r="D2501" s="155">
        <v>2611</v>
      </c>
      <c r="E2501" s="43"/>
      <c r="F2501" s="1447" t="s">
        <v>2079</v>
      </c>
      <c r="G2501" t="s">
        <v>2026</v>
      </c>
    </row>
    <row r="2502" spans="1:7">
      <c r="A2502" s="247" t="s">
        <v>2059</v>
      </c>
      <c r="B2502" s="157" t="s">
        <v>1619</v>
      </c>
      <c r="C2502" s="56">
        <v>46036</v>
      </c>
      <c r="D2502" s="43">
        <v>877</v>
      </c>
      <c r="E2502" s="43"/>
      <c r="F2502" s="1447" t="s">
        <v>2080</v>
      </c>
      <c r="G2502" t="s">
        <v>2026</v>
      </c>
    </row>
    <row r="2503" spans="1:7">
      <c r="A2503" s="247" t="s">
        <v>264</v>
      </c>
      <c r="B2503" s="157" t="s">
        <v>232</v>
      </c>
      <c r="C2503" s="56">
        <v>46036</v>
      </c>
      <c r="D2503" s="155">
        <v>1200</v>
      </c>
      <c r="E2503" s="43"/>
      <c r="F2503" s="1447" t="s">
        <v>2081</v>
      </c>
      <c r="G2503" t="s">
        <v>2026</v>
      </c>
    </row>
    <row r="2504" spans="1:7">
      <c r="A2504" s="247" t="s">
        <v>294</v>
      </c>
      <c r="B2504" s="157" t="s">
        <v>232</v>
      </c>
      <c r="C2504" s="56">
        <v>46036</v>
      </c>
      <c r="D2504" s="155">
        <v>1082</v>
      </c>
      <c r="E2504" s="43"/>
      <c r="F2504" s="1447" t="s">
        <v>2082</v>
      </c>
      <c r="G2504" t="s">
        <v>2026</v>
      </c>
    </row>
    <row r="2505" spans="1:7">
      <c r="A2505" s="247" t="s">
        <v>137</v>
      </c>
      <c r="B2505" s="157" t="s">
        <v>129</v>
      </c>
      <c r="C2505" s="56">
        <v>46036</v>
      </c>
      <c r="D2505" s="155">
        <v>1295</v>
      </c>
      <c r="E2505" s="43"/>
      <c r="F2505" s="1447" t="s">
        <v>2083</v>
      </c>
      <c r="G2505" t="s">
        <v>2026</v>
      </c>
    </row>
    <row r="2506" spans="1:7">
      <c r="A2506" s="247" t="s">
        <v>353</v>
      </c>
      <c r="B2506" s="157" t="s">
        <v>129</v>
      </c>
      <c r="C2506" s="56">
        <v>46036</v>
      </c>
      <c r="D2506" s="43">
        <v>544</v>
      </c>
      <c r="E2506" s="43"/>
      <c r="F2506" s="1447" t="s">
        <v>2084</v>
      </c>
      <c r="G2506" t="s">
        <v>2026</v>
      </c>
    </row>
    <row r="2507" spans="1:7">
      <c r="A2507" s="247" t="s">
        <v>324</v>
      </c>
      <c r="B2507" s="157" t="s">
        <v>1093</v>
      </c>
      <c r="C2507" s="56">
        <v>46036</v>
      </c>
      <c r="E2507" s="155">
        <v>1562</v>
      </c>
      <c r="F2507" s="1447" t="s">
        <v>2085</v>
      </c>
      <c r="G2507" t="s">
        <v>2026</v>
      </c>
    </row>
    <row r="2508" spans="1:7">
      <c r="A2508" s="247" t="s">
        <v>345</v>
      </c>
      <c r="B2508" s="157" t="s">
        <v>129</v>
      </c>
      <c r="C2508" s="56">
        <v>46036</v>
      </c>
      <c r="D2508" s="43">
        <v>0</v>
      </c>
      <c r="E2508" s="43"/>
      <c r="F2508" s="1447" t="s">
        <v>2086</v>
      </c>
      <c r="G2508" t="s">
        <v>2026</v>
      </c>
    </row>
    <row r="2509" spans="1:7">
      <c r="A2509" s="247" t="s">
        <v>351</v>
      </c>
      <c r="B2509" s="157" t="s">
        <v>129</v>
      </c>
      <c r="C2509" s="56">
        <v>46036</v>
      </c>
      <c r="D2509" s="155">
        <v>1728</v>
      </c>
      <c r="E2509" s="43"/>
      <c r="F2509" s="1447" t="s">
        <v>2087</v>
      </c>
      <c r="G2509" t="s">
        <v>2026</v>
      </c>
    </row>
    <row r="2510" spans="1:7">
      <c r="A2510" s="247" t="s">
        <v>342</v>
      </c>
      <c r="B2510" s="157" t="s">
        <v>129</v>
      </c>
      <c r="C2510" s="56">
        <v>46037</v>
      </c>
      <c r="D2510" s="43">
        <v>527</v>
      </c>
      <c r="E2510" s="43"/>
      <c r="F2510" s="1447" t="s">
        <v>2088</v>
      </c>
      <c r="G2510" t="s">
        <v>2026</v>
      </c>
    </row>
    <row r="2511" spans="1:7">
      <c r="A2511" s="247" t="s">
        <v>355</v>
      </c>
      <c r="B2511" s="157" t="s">
        <v>129</v>
      </c>
      <c r="C2511" s="56">
        <v>46037</v>
      </c>
      <c r="D2511" s="155">
        <v>1562</v>
      </c>
      <c r="E2511" s="43"/>
      <c r="F2511" s="1447" t="s">
        <v>2089</v>
      </c>
      <c r="G2511" t="s">
        <v>2026</v>
      </c>
    </row>
    <row r="2512" spans="1:7">
      <c r="A2512" s="247" t="s">
        <v>353</v>
      </c>
      <c r="B2512" s="157" t="s">
        <v>129</v>
      </c>
      <c r="C2512" s="56">
        <v>46037</v>
      </c>
      <c r="D2512" s="155">
        <v>2832</v>
      </c>
      <c r="E2512" s="43"/>
      <c r="F2512" s="1447" t="s">
        <v>2090</v>
      </c>
      <c r="G2512" t="s">
        <v>2026</v>
      </c>
    </row>
    <row r="2513" spans="1:7">
      <c r="A2513" s="247" t="s">
        <v>347</v>
      </c>
      <c r="B2513" s="157" t="s">
        <v>129</v>
      </c>
      <c r="C2513" s="56">
        <v>46037</v>
      </c>
      <c r="D2513" s="43">
        <v>0</v>
      </c>
      <c r="E2513" s="43"/>
      <c r="F2513" s="1447" t="s">
        <v>2091</v>
      </c>
      <c r="G2513" t="s">
        <v>2026</v>
      </c>
    </row>
    <row r="2514" spans="1:7">
      <c r="A2514" s="247" t="s">
        <v>359</v>
      </c>
      <c r="B2514" s="157" t="s">
        <v>129</v>
      </c>
      <c r="C2514" s="56">
        <v>46037</v>
      </c>
      <c r="D2514" s="155">
        <v>1639</v>
      </c>
      <c r="E2514" s="43"/>
      <c r="F2514" s="1447" t="s">
        <v>2092</v>
      </c>
      <c r="G2514" t="s">
        <v>2026</v>
      </c>
    </row>
    <row r="2515" spans="1:7">
      <c r="A2515" s="247" t="s">
        <v>264</v>
      </c>
      <c r="B2515" s="157" t="s">
        <v>232</v>
      </c>
      <c r="C2515" s="56">
        <v>46037</v>
      </c>
      <c r="D2515" s="43">
        <v>445</v>
      </c>
      <c r="E2515" s="43"/>
      <c r="F2515" s="1447" t="s">
        <v>2093</v>
      </c>
      <c r="G2515" t="s">
        <v>2026</v>
      </c>
    </row>
    <row r="2516" spans="1:7">
      <c r="A2516" s="247" t="s">
        <v>2059</v>
      </c>
      <c r="B2516" s="157" t="s">
        <v>1619</v>
      </c>
      <c r="C2516" s="56">
        <v>46037</v>
      </c>
      <c r="D2516" s="43">
        <v>499</v>
      </c>
      <c r="E2516" s="43"/>
      <c r="F2516" s="1447" t="s">
        <v>2094</v>
      </c>
      <c r="G2516" t="s">
        <v>2026</v>
      </c>
    </row>
    <row r="2517" spans="1:7">
      <c r="A2517" s="247" t="s">
        <v>294</v>
      </c>
      <c r="B2517" s="157" t="s">
        <v>232</v>
      </c>
      <c r="C2517" s="56">
        <v>46037</v>
      </c>
      <c r="D2517" s="155">
        <v>1325</v>
      </c>
      <c r="E2517" s="43"/>
      <c r="F2517" s="1447" t="s">
        <v>2095</v>
      </c>
      <c r="G2517" t="s">
        <v>2026</v>
      </c>
    </row>
    <row r="2518" spans="1:7">
      <c r="A2518" s="247" t="s">
        <v>1111</v>
      </c>
      <c r="B2518" s="157" t="s">
        <v>1093</v>
      </c>
      <c r="C2518" s="56">
        <v>46037</v>
      </c>
      <c r="D2518" s="43">
        <v>142</v>
      </c>
      <c r="E2518" s="43"/>
      <c r="F2518" s="1461" t="s">
        <v>2096</v>
      </c>
      <c r="G2518" t="s">
        <v>2026</v>
      </c>
    </row>
    <row r="2519" spans="1:7">
      <c r="A2519" s="399" t="s">
        <v>268</v>
      </c>
      <c r="B2519" s="1450" t="s">
        <v>232</v>
      </c>
      <c r="C2519" s="344">
        <v>46037</v>
      </c>
      <c r="D2519" s="169">
        <v>0</v>
      </c>
      <c r="E2519" s="253"/>
      <c r="F2519" s="805" t="s">
        <v>2097</v>
      </c>
      <c r="G2519" t="s">
        <v>2026</v>
      </c>
    </row>
    <row r="2520" spans="1:7">
      <c r="A2520" s="399" t="s">
        <v>359</v>
      </c>
      <c r="B2520" s="1450" t="s">
        <v>129</v>
      </c>
      <c r="C2520" s="344">
        <v>46038</v>
      </c>
      <c r="D2520" s="169">
        <v>987</v>
      </c>
      <c r="E2520" s="253"/>
      <c r="F2520" s="1447" t="s">
        <v>2098</v>
      </c>
      <c r="G2520" t="s">
        <v>2026</v>
      </c>
    </row>
    <row r="2521" spans="1:7">
      <c r="A2521" s="247" t="s">
        <v>353</v>
      </c>
      <c r="B2521" s="157" t="s">
        <v>129</v>
      </c>
      <c r="C2521" s="56">
        <v>46038</v>
      </c>
      <c r="D2521" s="43">
        <v>457</v>
      </c>
      <c r="F2521" s="1447" t="s">
        <v>2099</v>
      </c>
      <c r="G2521" t="s">
        <v>2026</v>
      </c>
    </row>
    <row r="2522" spans="1:7">
      <c r="A2522" s="247" t="s">
        <v>351</v>
      </c>
      <c r="B2522" s="157" t="s">
        <v>129</v>
      </c>
      <c r="C2522" s="56">
        <v>46038</v>
      </c>
      <c r="D2522" s="155">
        <v>3082</v>
      </c>
      <c r="F2522" s="1447" t="s">
        <v>2100</v>
      </c>
      <c r="G2522" t="s">
        <v>2026</v>
      </c>
    </row>
    <row r="2523" spans="1:7">
      <c r="A2523" s="247" t="s">
        <v>2059</v>
      </c>
      <c r="B2523" s="157" t="s">
        <v>1619</v>
      </c>
      <c r="C2523" s="56">
        <v>46038</v>
      </c>
      <c r="D2523" s="43">
        <v>186</v>
      </c>
      <c r="F2523" s="1447" t="s">
        <v>2101</v>
      </c>
      <c r="G2523" t="s">
        <v>2026</v>
      </c>
    </row>
    <row r="2524" spans="1:7">
      <c r="A2524" s="247" t="s">
        <v>264</v>
      </c>
      <c r="B2524" s="157" t="s">
        <v>232</v>
      </c>
      <c r="C2524" s="56">
        <v>46038</v>
      </c>
      <c r="D2524" s="43">
        <v>686</v>
      </c>
      <c r="F2524" s="1449" t="s">
        <v>2102</v>
      </c>
      <c r="G2524" t="s">
        <v>2026</v>
      </c>
    </row>
    <row r="2525" spans="1:7">
      <c r="A2525" s="247" t="s">
        <v>355</v>
      </c>
      <c r="B2525" s="157" t="s">
        <v>129</v>
      </c>
      <c r="C2525" s="56">
        <v>46038</v>
      </c>
      <c r="D2525" s="155">
        <v>1798</v>
      </c>
      <c r="F2525" s="1447" t="s">
        <v>2103</v>
      </c>
      <c r="G2525" t="s">
        <v>2026</v>
      </c>
    </row>
    <row r="2526" spans="1:7">
      <c r="A2526" s="247" t="s">
        <v>710</v>
      </c>
      <c r="B2526" s="157" t="s">
        <v>1093</v>
      </c>
      <c r="C2526" s="56">
        <v>46038</v>
      </c>
      <c r="D2526" s="43">
        <v>50</v>
      </c>
      <c r="F2526" s="805" t="s">
        <v>2104</v>
      </c>
      <c r="G2526" t="s">
        <v>2026</v>
      </c>
    </row>
    <row r="2527" spans="1:7">
      <c r="A2527" s="247" t="s">
        <v>80</v>
      </c>
      <c r="B2527" s="157" t="s">
        <v>1093</v>
      </c>
      <c r="C2527" s="56">
        <v>46038</v>
      </c>
      <c r="D2527" s="43">
        <v>107</v>
      </c>
      <c r="F2527" s="1453" t="s">
        <v>2105</v>
      </c>
      <c r="G2527" t="s">
        <v>2026</v>
      </c>
    </row>
    <row r="2528" spans="1:7">
      <c r="A2528" s="247" t="s">
        <v>294</v>
      </c>
      <c r="B2528" s="157" t="s">
        <v>232</v>
      </c>
      <c r="C2528" s="56">
        <v>46038</v>
      </c>
      <c r="D2528" s="43">
        <v>441</v>
      </c>
      <c r="F2528" s="1447" t="s">
        <v>2106</v>
      </c>
      <c r="G2528" t="s">
        <v>2026</v>
      </c>
    </row>
    <row r="2529" spans="1:7">
      <c r="A2529" s="247"/>
      <c r="B2529" s="157"/>
      <c r="G2529" t="s">
        <v>2026</v>
      </c>
    </row>
    <row r="2530" spans="1:7">
      <c r="A2530" s="247"/>
      <c r="B2530" s="157"/>
      <c r="F2530" s="169"/>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618" spans="3:3">
      <c r="C2618" s="56"/>
    </row>
    <row r="2619" spans="3:3">
      <c r="C2619"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4"/>
      <c r="B1" s="1454"/>
      <c r="C1" s="1454"/>
      <c r="D1" s="1454"/>
      <c r="E1" s="1454"/>
      <c r="F1" s="1454"/>
      <c r="G1" s="1454"/>
      <c r="H1" s="1454"/>
      <c r="I1" s="1454"/>
      <c r="J1" s="1"/>
      <c r="K1" s="1"/>
      <c r="L1" s="1"/>
      <c r="M1" s="1"/>
      <c r="N1" s="1"/>
      <c r="O1" s="1"/>
      <c r="P1" s="1455" t="s">
        <v>34</v>
      </c>
      <c r="Q1" s="1455"/>
      <c r="R1" s="1455"/>
      <c r="S1" s="1455"/>
      <c r="T1" s="1455"/>
      <c r="U1" s="1455"/>
      <c r="V1" s="1455"/>
      <c r="W1" s="1455"/>
      <c r="X1" s="1455"/>
      <c r="Y1" s="1455"/>
      <c r="Z1" s="1455"/>
      <c r="AA1" s="1455"/>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538</v>
      </c>
      <c r="AB3" s="68" t="s">
        <v>48</v>
      </c>
    </row>
    <row r="4" spans="1:30" ht="24.75" customHeight="1" thickBot="1">
      <c r="A4" s="440" t="s">
        <v>2115</v>
      </c>
      <c r="B4" s="440" t="s">
        <v>2116</v>
      </c>
      <c r="C4" s="16">
        <v>45717</v>
      </c>
      <c r="D4" s="63" t="s">
        <v>2117</v>
      </c>
      <c r="E4" s="51">
        <v>45707</v>
      </c>
      <c r="F4" s="51" t="s">
        <v>208</v>
      </c>
      <c r="G4" s="382" t="s">
        <v>2118</v>
      </c>
      <c r="H4" s="97">
        <v>0</v>
      </c>
      <c r="I4" s="105"/>
      <c r="J4" s="76" t="s">
        <v>63</v>
      </c>
      <c r="K4" s="76" t="s">
        <v>2119</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208</v>
      </c>
      <c r="G5" s="382" t="s">
        <v>2122</v>
      </c>
      <c r="H5" s="97">
        <v>0</v>
      </c>
      <c r="I5" s="105"/>
      <c r="J5" s="76" t="s">
        <v>63</v>
      </c>
      <c r="K5" s="76" t="s">
        <v>2119</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208</v>
      </c>
      <c r="G6" s="382" t="s">
        <v>2124</v>
      </c>
      <c r="H6" s="97">
        <v>0</v>
      </c>
      <c r="I6" s="105"/>
      <c r="J6" s="76" t="s">
        <v>63</v>
      </c>
      <c r="K6" s="76" t="s">
        <v>2119</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84</v>
      </c>
      <c r="E7" s="375"/>
      <c r="F7" s="589" t="s">
        <v>163</v>
      </c>
      <c r="G7" s="384" t="s">
        <v>633</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2125</v>
      </c>
      <c r="B8" s="440" t="s">
        <v>2126</v>
      </c>
      <c r="C8" s="16">
        <v>45748</v>
      </c>
      <c r="D8" s="16" t="s">
        <v>2117</v>
      </c>
      <c r="E8" s="94" t="s">
        <v>52</v>
      </c>
      <c r="F8" s="95" t="s">
        <v>52</v>
      </c>
      <c r="G8" s="620" t="s">
        <v>2127</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2148</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117" t="s">
        <v>50</v>
      </c>
      <c r="C28" s="1110">
        <v>45991</v>
      </c>
      <c r="D28" s="375" t="s">
        <v>84</v>
      </c>
      <c r="E28" s="77">
        <v>45734</v>
      </c>
      <c r="F28" s="1108" t="s">
        <v>68</v>
      </c>
      <c r="G28" s="1119" t="s">
        <v>2155</v>
      </c>
      <c r="H28" s="76">
        <v>85</v>
      </c>
      <c r="I28" s="1120" t="s">
        <v>55</v>
      </c>
      <c r="J28" s="76" t="s">
        <v>63</v>
      </c>
      <c r="K28" s="76"/>
      <c r="L28" s="77">
        <v>45735</v>
      </c>
      <c r="M28" s="76" t="s">
        <v>57</v>
      </c>
      <c r="N28" s="1124">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117" t="s">
        <v>50</v>
      </c>
      <c r="C29" s="1110">
        <v>46021</v>
      </c>
      <c r="D29" s="375" t="s">
        <v>84</v>
      </c>
      <c r="E29" s="77">
        <v>45743</v>
      </c>
      <c r="F29" s="1108" t="s">
        <v>68</v>
      </c>
      <c r="G29" s="1118" t="s">
        <v>2157</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2158</v>
      </c>
      <c r="AC29" s="1114"/>
      <c r="AD29" s="1116"/>
    </row>
    <row r="30" spans="1:30" ht="24.75" customHeight="1">
      <c r="A30" s="374" t="s">
        <v>2159</v>
      </c>
      <c r="B30" s="669" t="s">
        <v>50</v>
      </c>
      <c r="C30" s="375">
        <v>45991</v>
      </c>
      <c r="D30" s="50" t="s">
        <v>84</v>
      </c>
      <c r="E30" s="51">
        <v>45743</v>
      </c>
      <c r="F30" s="50" t="s">
        <v>68</v>
      </c>
      <c r="G30" s="379" t="s">
        <v>2160</v>
      </c>
      <c r="H30" s="52">
        <v>87</v>
      </c>
      <c r="I30" s="667" t="s">
        <v>55</v>
      </c>
      <c r="J30" s="376" t="s">
        <v>63</v>
      </c>
      <c r="K30" s="1122"/>
      <c r="L30" s="77">
        <v>45741</v>
      </c>
      <c r="M30" s="1123" t="s">
        <v>57</v>
      </c>
      <c r="N30" s="1125">
        <v>75191.5</v>
      </c>
      <c r="O30" s="376" t="s">
        <v>57</v>
      </c>
      <c r="P30" s="58" t="s">
        <v>101</v>
      </c>
      <c r="Q30" s="479">
        <v>45748</v>
      </c>
      <c r="R30" s="42">
        <v>6387</v>
      </c>
      <c r="S30" s="993">
        <v>0</v>
      </c>
      <c r="T30" s="330">
        <v>0</v>
      </c>
      <c r="U30" s="22">
        <v>0</v>
      </c>
      <c r="V30" s="30"/>
      <c r="W30" s="34">
        <v>0</v>
      </c>
      <c r="X30" s="34">
        <v>0</v>
      </c>
      <c r="Y30" s="34">
        <v>0</v>
      </c>
      <c r="Z30" s="34">
        <v>0</v>
      </c>
      <c r="AA30" s="34">
        <v>0</v>
      </c>
      <c r="AB30" s="208" t="s">
        <v>2161</v>
      </c>
      <c r="AC30" s="333"/>
      <c r="AD30" s="115"/>
    </row>
    <row r="31" spans="1:30" ht="24.75" customHeight="1">
      <c r="A31" s="374" t="s">
        <v>1110</v>
      </c>
      <c r="B31" s="669" t="s">
        <v>50</v>
      </c>
      <c r="C31" s="375">
        <v>46021</v>
      </c>
      <c r="D31" s="375" t="s">
        <v>84</v>
      </c>
      <c r="E31" s="51">
        <v>45735</v>
      </c>
      <c r="F31" s="50" t="s">
        <v>68</v>
      </c>
      <c r="G31" s="670" t="s">
        <v>2162</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2163</v>
      </c>
      <c r="W31" s="34">
        <v>0</v>
      </c>
      <c r="X31" s="34">
        <v>0</v>
      </c>
      <c r="Y31" s="31">
        <v>0</v>
      </c>
      <c r="Z31" s="34">
        <v>0</v>
      </c>
      <c r="AA31" s="31">
        <v>0</v>
      </c>
      <c r="AB31" s="353" t="s">
        <v>2158</v>
      </c>
    </row>
    <row r="32" spans="1:30" ht="24.75" customHeight="1">
      <c r="A32" s="905" t="s">
        <v>2164</v>
      </c>
      <c r="B32" s="1109" t="s">
        <v>50</v>
      </c>
      <c r="C32" s="985">
        <v>45717</v>
      </c>
      <c r="D32" s="985" t="s">
        <v>2146</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2165</v>
      </c>
      <c r="B33" s="989" t="s">
        <v>50</v>
      </c>
      <c r="C33" s="907">
        <v>45989</v>
      </c>
      <c r="D33" s="907" t="s">
        <v>2166</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2167</v>
      </c>
    </row>
    <row r="34" spans="1:30" ht="24.75" customHeight="1">
      <c r="A34" s="905" t="s">
        <v>2168</v>
      </c>
      <c r="B34" s="1109" t="s">
        <v>50</v>
      </c>
      <c r="C34" s="985">
        <v>45717</v>
      </c>
      <c r="D34" s="985" t="s">
        <v>2146</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2169</v>
      </c>
      <c r="B35" s="1109" t="s">
        <v>50</v>
      </c>
      <c r="C35" s="985">
        <v>45717</v>
      </c>
      <c r="D35" s="985" t="s">
        <v>2146</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2170</v>
      </c>
      <c r="B36" s="1109" t="s">
        <v>50</v>
      </c>
      <c r="C36" s="985">
        <v>45717</v>
      </c>
      <c r="D36" s="985" t="s">
        <v>2146</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1238</v>
      </c>
      <c r="V1" s="160" t="s">
        <v>2176</v>
      </c>
      <c r="W1" s="160" t="s">
        <v>2177</v>
      </c>
      <c r="X1" s="163" t="s">
        <v>2178</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2179</v>
      </c>
      <c r="B4" s="407" t="s">
        <v>207</v>
      </c>
      <c r="C4" s="408">
        <v>45742</v>
      </c>
      <c r="D4" s="696" t="s">
        <v>2180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540</v>
      </c>
      <c r="B6" s="407" t="s">
        <v>207</v>
      </c>
      <c r="C6" s="408">
        <v>45747</v>
      </c>
      <c r="D6" s="693" t="s">
        <v>542</v>
      </c>
      <c r="E6" s="190"/>
      <c r="F6" s="137"/>
      <c r="G6" s="137"/>
      <c r="H6" s="185">
        <v>56</v>
      </c>
      <c r="I6" s="181"/>
      <c r="J6" s="188" t="s">
        <v>57</v>
      </c>
      <c r="K6" s="188" t="s">
        <v>57</v>
      </c>
      <c r="L6" s="185" t="s">
        <v>63</v>
      </c>
      <c r="M6" s="195">
        <v>45701</v>
      </c>
      <c r="N6" s="30" t="s">
        <v>86</v>
      </c>
      <c r="O6" s="356">
        <v>45718</v>
      </c>
      <c r="P6" s="30" t="s">
        <v>86</v>
      </c>
      <c r="Q6" s="334" t="s">
        <v>86</v>
      </c>
      <c r="R6" s="43" t="s">
        <v>2181</v>
      </c>
      <c r="S6" s="43" t="s">
        <v>86</v>
      </c>
      <c r="T6" s="43" t="s">
        <v>86</v>
      </c>
      <c r="U6" s="157" t="s">
        <v>86</v>
      </c>
      <c r="V6" s="69" t="s">
        <v>91</v>
      </c>
      <c r="W6" s="79"/>
      <c r="X6" s="69" t="s">
        <v>91</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86</v>
      </c>
      <c r="O7" s="79" t="s">
        <v>86</v>
      </c>
      <c r="P7" s="30" t="s">
        <v>86</v>
      </c>
      <c r="Q7" s="334" t="s">
        <v>86</v>
      </c>
      <c r="R7" s="43" t="s">
        <v>2181</v>
      </c>
      <c r="S7" s="43" t="s">
        <v>86</v>
      </c>
      <c r="T7" s="43" t="s">
        <v>86</v>
      </c>
      <c r="U7" s="43" t="s">
        <v>86</v>
      </c>
      <c r="V7" s="69" t="s">
        <v>91</v>
      </c>
      <c r="W7" s="30"/>
      <c r="X7" s="69" t="s">
        <v>91</v>
      </c>
      <c r="Y7" t="e">
        <f>VLOOKUP(A7,#REF!,2,FALSE)</f>
        <v>#REF!</v>
      </c>
    </row>
    <row r="8" spans="1:25">
      <c r="A8" s="175" t="s">
        <v>950</v>
      </c>
      <c r="B8" s="180" t="s">
        <v>207</v>
      </c>
      <c r="C8" s="176">
        <v>45742</v>
      </c>
      <c r="D8" s="185" t="s">
        <v>2182</v>
      </c>
      <c r="E8" s="120"/>
      <c r="F8" s="108"/>
      <c r="G8" s="108"/>
      <c r="H8" s="179">
        <v>84</v>
      </c>
      <c r="I8" s="181"/>
      <c r="J8" s="185" t="s">
        <v>57</v>
      </c>
      <c r="K8" s="185" t="s">
        <v>57</v>
      </c>
      <c r="L8" s="185" t="s">
        <v>63</v>
      </c>
      <c r="M8" s="193">
        <v>45716</v>
      </c>
      <c r="N8" s="30" t="s">
        <v>86</v>
      </c>
      <c r="O8" s="30" t="s">
        <v>86</v>
      </c>
      <c r="P8" s="711" t="s">
        <v>86</v>
      </c>
      <c r="Q8" s="69" t="s">
        <v>86</v>
      </c>
      <c r="R8" s="43" t="s">
        <v>2181</v>
      </c>
      <c r="S8" s="43" t="s">
        <v>86</v>
      </c>
      <c r="T8" s="43" t="s">
        <v>86</v>
      </c>
      <c r="U8" s="43" t="s">
        <v>86</v>
      </c>
      <c r="V8" s="69" t="s">
        <v>91</v>
      </c>
      <c r="W8" s="30"/>
      <c r="X8" s="69" t="s">
        <v>91</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86</v>
      </c>
      <c r="O9" s="54">
        <v>45718</v>
      </c>
      <c r="P9" s="119" t="s">
        <v>86</v>
      </c>
      <c r="Q9" s="69" t="s">
        <v>86</v>
      </c>
      <c r="R9" s="43" t="s">
        <v>2181</v>
      </c>
      <c r="S9" s="43" t="s">
        <v>86</v>
      </c>
      <c r="T9" s="43" t="s">
        <v>86</v>
      </c>
      <c r="U9" s="43" t="s">
        <v>86</v>
      </c>
      <c r="V9" s="69" t="s">
        <v>91</v>
      </c>
      <c r="W9" s="30"/>
      <c r="X9" s="69" t="s">
        <v>91</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86</v>
      </c>
      <c r="O10" s="30" t="s">
        <v>86</v>
      </c>
      <c r="P10" s="30" t="s">
        <v>86</v>
      </c>
      <c r="Q10" s="43" t="s">
        <v>86</v>
      </c>
      <c r="R10" s="43" t="s">
        <v>2181</v>
      </c>
      <c r="S10" s="43" t="s">
        <v>86</v>
      </c>
      <c r="T10" s="43" t="s">
        <v>86</v>
      </c>
      <c r="U10" s="161" t="s">
        <v>86</v>
      </c>
      <c r="V10" s="334" t="s">
        <v>91</v>
      </c>
      <c r="W10" s="30"/>
      <c r="X10" s="69" t="s">
        <v>91</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86</v>
      </c>
      <c r="Q11" s="69" t="s">
        <v>86</v>
      </c>
      <c r="R11" s="43" t="s">
        <v>2181</v>
      </c>
      <c r="S11" s="43" t="s">
        <v>86</v>
      </c>
      <c r="T11" s="43" t="s">
        <v>86</v>
      </c>
      <c r="U11" s="334" t="s">
        <v>91</v>
      </c>
      <c r="V11" s="69" t="s">
        <v>91</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86</v>
      </c>
      <c r="Q12" s="69" t="s">
        <v>86</v>
      </c>
      <c r="R12" s="43" t="s">
        <v>2181</v>
      </c>
      <c r="S12" s="43" t="s">
        <v>86</v>
      </c>
      <c r="T12" s="43" t="s">
        <v>86</v>
      </c>
      <c r="U12" s="69" t="s">
        <v>91</v>
      </c>
      <c r="V12" s="69" t="s">
        <v>91</v>
      </c>
      <c r="W12" s="30"/>
      <c r="X12" s="69" t="s">
        <v>91</v>
      </c>
      <c r="Y12" t="e">
        <f>VLOOKUP(A12,#REF!,2,FALSE)</f>
        <v>#REF!</v>
      </c>
    </row>
    <row r="13" spans="1:25">
      <c r="A13" s="178" t="s">
        <v>264</v>
      </c>
      <c r="B13" s="180" t="s">
        <v>207</v>
      </c>
      <c r="C13" s="409">
        <v>45960</v>
      </c>
      <c r="D13" s="418" t="s">
        <v>2183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2184</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2185</v>
      </c>
      <c r="N16" s="30" t="s">
        <v>86</v>
      </c>
      <c r="O16" s="54" t="s">
        <v>2185</v>
      </c>
      <c r="P16" s="30" t="s">
        <v>86</v>
      </c>
      <c r="Q16" s="69" t="s">
        <v>86</v>
      </c>
      <c r="R16" s="43" t="s">
        <v>86</v>
      </c>
      <c r="S16" s="43" t="s">
        <v>56</v>
      </c>
      <c r="T16" s="43" t="s">
        <v>86</v>
      </c>
      <c r="U16" s="69" t="s">
        <v>91</v>
      </c>
      <c r="V16" s="69" t="s">
        <v>91</v>
      </c>
      <c r="W16" s="30"/>
      <c r="X16" s="69" t="s">
        <v>91</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2184</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2184</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2184</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2184</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2184</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2184</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2184</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86</v>
      </c>
      <c r="O31" s="54">
        <v>45707</v>
      </c>
      <c r="P31" s="87" t="s">
        <v>86</v>
      </c>
      <c r="Q31" s="43" t="s">
        <v>86</v>
      </c>
      <c r="R31" s="43" t="s">
        <v>2181</v>
      </c>
      <c r="S31" s="43" t="s">
        <v>86</v>
      </c>
      <c r="T31" s="139" t="s">
        <v>86</v>
      </c>
      <c r="U31" s="115" t="s">
        <v>86</v>
      </c>
      <c r="V31" s="69" t="s">
        <v>86</v>
      </c>
      <c r="W31" s="54">
        <v>45779</v>
      </c>
      <c r="X31" s="69" t="s">
        <v>2184</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86</v>
      </c>
      <c r="O32" s="54">
        <v>45756</v>
      </c>
      <c r="P32" s="30" t="s">
        <v>86</v>
      </c>
      <c r="Q32" s="69" t="s">
        <v>86</v>
      </c>
      <c r="R32" s="69" t="s">
        <v>2181</v>
      </c>
      <c r="S32" s="43" t="s">
        <v>86</v>
      </c>
      <c r="T32" s="139" t="s">
        <v>86</v>
      </c>
      <c r="U32" s="43" t="s">
        <v>86</v>
      </c>
      <c r="V32" s="69" t="s">
        <v>86</v>
      </c>
      <c r="W32" s="54">
        <v>45792</v>
      </c>
      <c r="X32" s="69" t="s">
        <v>2184</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86</v>
      </c>
      <c r="O33" s="124">
        <v>45749</v>
      </c>
      <c r="P33" s="30" t="s">
        <v>86</v>
      </c>
      <c r="Q33" s="69" t="s">
        <v>86</v>
      </c>
      <c r="R33" s="69" t="s">
        <v>2181</v>
      </c>
      <c r="S33" s="43" t="s">
        <v>86</v>
      </c>
      <c r="T33" s="139" t="s">
        <v>86</v>
      </c>
      <c r="U33" s="43" t="s">
        <v>86</v>
      </c>
      <c r="V33" s="334" t="s">
        <v>86</v>
      </c>
      <c r="W33" s="54">
        <v>45812</v>
      </c>
      <c r="X33" s="69" t="s">
        <v>2184</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86</v>
      </c>
      <c r="O34" s="124">
        <v>45750</v>
      </c>
      <c r="P34" s="30" t="s">
        <v>86</v>
      </c>
      <c r="Q34" s="69" t="s">
        <v>86</v>
      </c>
      <c r="R34" s="69" t="s">
        <v>2181</v>
      </c>
      <c r="S34" s="43" t="s">
        <v>86</v>
      </c>
      <c r="T34" s="139" t="s">
        <v>86</v>
      </c>
      <c r="U34" s="43" t="s">
        <v>86</v>
      </c>
      <c r="V34" s="404" t="s">
        <v>86</v>
      </c>
      <c r="W34" s="166">
        <v>45797</v>
      </c>
      <c r="X34" s="69" t="s">
        <v>2184</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86</v>
      </c>
      <c r="O35" s="124">
        <v>45659</v>
      </c>
      <c r="P35" s="87" t="s">
        <v>86</v>
      </c>
      <c r="Q35" s="43" t="s">
        <v>86</v>
      </c>
      <c r="R35" s="43" t="s">
        <v>2181</v>
      </c>
      <c r="S35" s="43" t="s">
        <v>86</v>
      </c>
      <c r="T35" s="139" t="s">
        <v>86</v>
      </c>
      <c r="U35" s="169" t="s">
        <v>86</v>
      </c>
      <c r="V35" s="69" t="s">
        <v>86</v>
      </c>
      <c r="W35" s="54">
        <v>45789</v>
      </c>
      <c r="X35" s="334" t="s">
        <v>2184</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86</v>
      </c>
      <c r="O36" s="124">
        <v>45659</v>
      </c>
      <c r="P36" s="87" t="s">
        <v>86</v>
      </c>
      <c r="Q36" s="43" t="s">
        <v>86</v>
      </c>
      <c r="R36" s="43" t="s">
        <v>2181</v>
      </c>
      <c r="S36" s="43" t="s">
        <v>86</v>
      </c>
      <c r="T36" s="139" t="s">
        <v>86</v>
      </c>
      <c r="U36" s="43" t="s">
        <v>86</v>
      </c>
      <c r="V36" s="69" t="s">
        <v>86</v>
      </c>
      <c r="W36" s="54">
        <v>45824</v>
      </c>
      <c r="X36" s="334" t="s">
        <v>2184</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86</v>
      </c>
      <c r="N37" s="30" t="s">
        <v>86</v>
      </c>
      <c r="O37" s="124">
        <v>45672</v>
      </c>
      <c r="P37" s="30" t="s">
        <v>86</v>
      </c>
      <c r="Q37" s="43" t="s">
        <v>86</v>
      </c>
      <c r="R37" s="43" t="s">
        <v>2181</v>
      </c>
      <c r="S37" s="43" t="s">
        <v>86</v>
      </c>
      <c r="T37" s="43" t="s">
        <v>86</v>
      </c>
      <c r="U37" s="169" t="s">
        <v>86</v>
      </c>
      <c r="V37" s="69" t="s">
        <v>86</v>
      </c>
      <c r="W37" s="156">
        <v>45789</v>
      </c>
      <c r="X37" s="69" t="s">
        <v>2184</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86</v>
      </c>
      <c r="O38" s="124">
        <v>45673</v>
      </c>
      <c r="P38" s="30" t="s">
        <v>86</v>
      </c>
      <c r="Q38" s="43" t="s">
        <v>86</v>
      </c>
      <c r="R38" s="43" t="s">
        <v>2181</v>
      </c>
      <c r="S38" s="43" t="s">
        <v>86</v>
      </c>
      <c r="T38" s="43" t="s">
        <v>86</v>
      </c>
      <c r="U38" s="169" t="s">
        <v>86</v>
      </c>
      <c r="V38" s="69" t="s">
        <v>86</v>
      </c>
      <c r="W38" s="54">
        <v>45789</v>
      </c>
      <c r="X38" s="69" t="s">
        <v>2184</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86</v>
      </c>
      <c r="N39" s="30" t="s">
        <v>86</v>
      </c>
      <c r="O39" s="124">
        <v>45672</v>
      </c>
      <c r="P39" s="30" t="s">
        <v>86</v>
      </c>
      <c r="Q39" s="43" t="s">
        <v>86</v>
      </c>
      <c r="R39" s="43" t="s">
        <v>2181</v>
      </c>
      <c r="S39" s="43" t="s">
        <v>86</v>
      </c>
      <c r="T39" s="43" t="s">
        <v>86</v>
      </c>
      <c r="U39" s="169" t="s">
        <v>86</v>
      </c>
      <c r="V39" s="69" t="s">
        <v>86</v>
      </c>
      <c r="W39" s="54">
        <v>45789</v>
      </c>
      <c r="X39" s="69" t="s">
        <v>2184</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2184</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2184</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2184</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2184</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2184</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2184</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2184</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2184</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2184</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2184</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2184</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2184</v>
      </c>
    </row>
    <row r="54" spans="1:56">
      <c r="A54" s="178" t="s">
        <v>856</v>
      </c>
      <c r="B54" s="529" t="s">
        <v>109</v>
      </c>
      <c r="C54" s="177">
        <v>45899</v>
      </c>
      <c r="D54" s="697"/>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86</v>
      </c>
      <c r="O57" s="124">
        <v>45783</v>
      </c>
      <c r="P57" s="328" t="s">
        <v>86</v>
      </c>
      <c r="Q57" s="43" t="s">
        <v>86</v>
      </c>
      <c r="R57" s="43" t="s">
        <v>2181</v>
      </c>
      <c r="S57" s="43" t="s">
        <v>86</v>
      </c>
      <c r="T57" s="43" t="s">
        <v>86</v>
      </c>
      <c r="U57" s="43" t="s">
        <v>86</v>
      </c>
      <c r="V57" s="69" t="s">
        <v>86</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86</v>
      </c>
      <c r="O58" s="54">
        <v>45776</v>
      </c>
      <c r="P58" s="328" t="s">
        <v>86</v>
      </c>
      <c r="Q58" s="43" t="s">
        <v>86</v>
      </c>
      <c r="R58" s="43" t="s">
        <v>2181</v>
      </c>
      <c r="S58" s="43" t="s">
        <v>86</v>
      </c>
      <c r="T58" s="43" t="s">
        <v>86</v>
      </c>
      <c r="U58" s="43" t="s">
        <v>86</v>
      </c>
      <c r="V58" s="334" t="s">
        <v>86</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86</v>
      </c>
      <c r="O59" s="30" t="s">
        <v>2163</v>
      </c>
      <c r="P59" s="328" t="s">
        <v>86</v>
      </c>
      <c r="Q59" s="43" t="s">
        <v>86</v>
      </c>
      <c r="R59" s="43" t="s">
        <v>2181</v>
      </c>
      <c r="S59" s="43" t="s">
        <v>86</v>
      </c>
      <c r="T59" s="43" t="s">
        <v>86</v>
      </c>
      <c r="U59" s="43" t="s">
        <v>86</v>
      </c>
      <c r="V59" s="334" t="s">
        <v>86</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86</v>
      </c>
      <c r="O60" s="54">
        <v>45812</v>
      </c>
      <c r="P60" s="328" t="s">
        <v>86</v>
      </c>
      <c r="Q60" s="43" t="s">
        <v>86</v>
      </c>
      <c r="R60" s="43" t="s">
        <v>2181</v>
      </c>
      <c r="S60" s="43" t="s">
        <v>86</v>
      </c>
      <c r="T60" s="43" t="s">
        <v>86</v>
      </c>
      <c r="U60" s="43" t="s">
        <v>86</v>
      </c>
      <c r="V60" s="334" t="s">
        <v>86</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2186</v>
      </c>
      <c r="B81" s="529" t="s">
        <v>109</v>
      </c>
      <c r="C81" s="176">
        <v>45688</v>
      </c>
      <c r="D81" s="619" t="s">
        <v>664</v>
      </c>
      <c r="E81" s="172"/>
      <c r="F81" s="129"/>
      <c r="G81" s="129"/>
      <c r="H81" s="179">
        <v>48</v>
      </c>
      <c r="I81" s="181"/>
      <c r="J81" s="179" t="s">
        <v>57</v>
      </c>
      <c r="K81" s="179" t="s">
        <v>57</v>
      </c>
      <c r="L81" s="179" t="s">
        <v>56</v>
      </c>
      <c r="M81" s="100" t="s">
        <v>86</v>
      </c>
      <c r="N81" s="87" t="s">
        <v>86</v>
      </c>
      <c r="O81" s="124">
        <v>45678</v>
      </c>
      <c r="P81" s="87" t="s">
        <v>86</v>
      </c>
      <c r="Q81" s="43" t="s">
        <v>86</v>
      </c>
      <c r="R81" s="43" t="s">
        <v>2181</v>
      </c>
      <c r="S81" s="43" t="s">
        <v>86</v>
      </c>
      <c r="T81" s="43" t="s">
        <v>86</v>
      </c>
      <c r="U81" s="115" t="s">
        <v>86</v>
      </c>
      <c r="V81" s="69" t="s">
        <v>86</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2181</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86</v>
      </c>
      <c r="O84" s="54">
        <v>45728</v>
      </c>
      <c r="P84" s="30" t="s">
        <v>86</v>
      </c>
      <c r="Q84" s="169" t="s">
        <v>86</v>
      </c>
      <c r="R84" s="169" t="s">
        <v>2181</v>
      </c>
      <c r="S84" s="169" t="s">
        <v>86</v>
      </c>
      <c r="T84" s="169" t="s">
        <v>86</v>
      </c>
      <c r="U84" s="91" t="s">
        <v>86</v>
      </c>
      <c r="V84" s="69" t="s">
        <v>86</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86</v>
      </c>
      <c r="O85" s="54">
        <v>45719</v>
      </c>
      <c r="P85" s="30" t="s">
        <v>86</v>
      </c>
      <c r="Q85" s="43" t="s">
        <v>86</v>
      </c>
      <c r="R85" s="169" t="s">
        <v>2181</v>
      </c>
      <c r="S85" s="169" t="s">
        <v>86</v>
      </c>
      <c r="T85" s="169" t="s">
        <v>86</v>
      </c>
      <c r="U85" s="91" t="s">
        <v>86</v>
      </c>
      <c r="V85" s="91" t="s">
        <v>86</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86</v>
      </c>
      <c r="O86" s="195">
        <v>45728</v>
      </c>
      <c r="P86" s="30" t="s">
        <v>86</v>
      </c>
      <c r="Q86" s="43" t="s">
        <v>86</v>
      </c>
      <c r="R86" s="43" t="s">
        <v>2181</v>
      </c>
      <c r="S86" s="43" t="s">
        <v>86</v>
      </c>
      <c r="T86" s="43" t="s">
        <v>86</v>
      </c>
      <c r="U86" s="69" t="s">
        <v>86</v>
      </c>
      <c r="V86" s="69" t="s">
        <v>86</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86</v>
      </c>
      <c r="O87" s="30" t="s">
        <v>86</v>
      </c>
      <c r="P87" s="30" t="s">
        <v>86</v>
      </c>
      <c r="Q87" s="43" t="s">
        <v>86</v>
      </c>
      <c r="R87" s="43" t="s">
        <v>2181</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86</v>
      </c>
      <c r="O88" s="54">
        <v>45728</v>
      </c>
      <c r="P88" s="30" t="s">
        <v>86</v>
      </c>
      <c r="Q88" s="43" t="s">
        <v>86</v>
      </c>
      <c r="R88" s="43" t="s">
        <v>2181</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86</v>
      </c>
      <c r="O89" s="54">
        <v>45722</v>
      </c>
      <c r="P89" s="30" t="s">
        <v>86</v>
      </c>
      <c r="Q89" s="69" t="s">
        <v>86</v>
      </c>
      <c r="R89" s="43" t="s">
        <v>2181</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86</v>
      </c>
      <c r="O90" s="54">
        <v>45727</v>
      </c>
      <c r="P90" s="30" t="s">
        <v>86</v>
      </c>
      <c r="Q90" s="69" t="s">
        <v>86</v>
      </c>
      <c r="R90" s="43" t="s">
        <v>2181</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86</v>
      </c>
      <c r="O91" s="54">
        <v>45723</v>
      </c>
      <c r="P91" s="30" t="s">
        <v>86</v>
      </c>
      <c r="Q91" s="69" t="s">
        <v>86</v>
      </c>
      <c r="R91" s="43" t="s">
        <v>2181</v>
      </c>
      <c r="S91" s="69" t="s">
        <v>86</v>
      </c>
      <c r="T91" s="69" t="s">
        <v>86</v>
      </c>
      <c r="U91" s="69" t="s">
        <v>86</v>
      </c>
      <c r="V91" s="69" t="s">
        <v>86</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86</v>
      </c>
      <c r="O92" s="54">
        <v>45726</v>
      </c>
      <c r="P92" s="30" t="s">
        <v>86</v>
      </c>
      <c r="Q92" s="148" t="s">
        <v>86</v>
      </c>
      <c r="R92" s="43" t="s">
        <v>2181</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86</v>
      </c>
      <c r="O93" s="54">
        <v>45727</v>
      </c>
      <c r="P93" s="79" t="s">
        <v>86</v>
      </c>
      <c r="Q93" s="43" t="s">
        <v>86</v>
      </c>
      <c r="R93" s="43" t="s">
        <v>2181</v>
      </c>
      <c r="S93" s="43" t="s">
        <v>86</v>
      </c>
      <c r="T93" s="43" t="s">
        <v>86</v>
      </c>
      <c r="U93" s="334" t="s">
        <v>86</v>
      </c>
      <c r="V93" s="69" t="s">
        <v>86</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86</v>
      </c>
      <c r="O94" s="54">
        <v>45693</v>
      </c>
      <c r="P94" s="79" t="s">
        <v>86</v>
      </c>
      <c r="Q94" s="69" t="s">
        <v>86</v>
      </c>
      <c r="R94" s="69" t="s">
        <v>2181</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86</v>
      </c>
      <c r="O95" s="195">
        <v>45694</v>
      </c>
      <c r="P95" s="79" t="s">
        <v>86</v>
      </c>
      <c r="Q95" s="69" t="s">
        <v>86</v>
      </c>
      <c r="R95" s="69" t="s">
        <v>2181</v>
      </c>
      <c r="S95" s="69" t="s">
        <v>86</v>
      </c>
      <c r="T95" s="43" t="s">
        <v>86</v>
      </c>
      <c r="U95" s="69" t="s">
        <v>86</v>
      </c>
      <c r="V95" s="69" t="s">
        <v>86</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86</v>
      </c>
      <c r="O96" s="54">
        <v>45694</v>
      </c>
      <c r="P96" s="30" t="s">
        <v>86</v>
      </c>
      <c r="Q96" s="69" t="s">
        <v>86</v>
      </c>
      <c r="R96" s="91" t="s">
        <v>2181</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86</v>
      </c>
      <c r="O97" s="54">
        <v>45688</v>
      </c>
      <c r="P97" s="30" t="s">
        <v>86</v>
      </c>
      <c r="Q97" s="69" t="s">
        <v>86</v>
      </c>
      <c r="R97" s="69" t="s">
        <v>2181</v>
      </c>
      <c r="S97" s="69" t="s">
        <v>86</v>
      </c>
      <c r="T97" s="69" t="s">
        <v>86</v>
      </c>
      <c r="U97" s="69" t="s">
        <v>86</v>
      </c>
      <c r="V97" s="43" t="s">
        <v>86</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86</v>
      </c>
      <c r="O98" s="54">
        <v>45692</v>
      </c>
      <c r="P98" s="30" t="s">
        <v>86</v>
      </c>
      <c r="Q98" s="43" t="s">
        <v>86</v>
      </c>
      <c r="R98" s="43" t="s">
        <v>2181</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86</v>
      </c>
      <c r="O99" s="54">
        <v>45692</v>
      </c>
      <c r="P99" s="30" t="s">
        <v>86</v>
      </c>
      <c r="Q99" s="43" t="s">
        <v>86</v>
      </c>
      <c r="R99" s="43" t="s">
        <v>2181</v>
      </c>
      <c r="S99" s="43" t="s">
        <v>86</v>
      </c>
      <c r="T99" s="115" t="s">
        <v>86</v>
      </c>
      <c r="U99" s="148" t="s">
        <v>86</v>
      </c>
      <c r="V99" s="69" t="s">
        <v>86</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86</v>
      </c>
      <c r="O100" s="166">
        <v>45691</v>
      </c>
      <c r="P100" s="30" t="s">
        <v>86</v>
      </c>
      <c r="Q100" s="43" t="s">
        <v>86</v>
      </c>
      <c r="R100" s="43" t="s">
        <v>2181</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86</v>
      </c>
      <c r="O101" s="54">
        <v>45695</v>
      </c>
      <c r="P101" s="30" t="s">
        <v>86</v>
      </c>
      <c r="Q101" s="43" t="s">
        <v>86</v>
      </c>
      <c r="R101" s="43" t="s">
        <v>2181</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86</v>
      </c>
      <c r="N102" s="30" t="s">
        <v>86</v>
      </c>
      <c r="O102" s="54">
        <v>45699</v>
      </c>
      <c r="P102" s="87" t="s">
        <v>86</v>
      </c>
      <c r="Q102" s="88" t="s">
        <v>86</v>
      </c>
      <c r="R102" s="43" t="s">
        <v>2181</v>
      </c>
      <c r="S102" s="43" t="s">
        <v>86</v>
      </c>
      <c r="T102" s="43" t="s">
        <v>86</v>
      </c>
      <c r="U102" s="43" t="s">
        <v>86</v>
      </c>
      <c r="V102" s="165" t="s">
        <v>86</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86</v>
      </c>
      <c r="O103" s="54">
        <v>45675</v>
      </c>
      <c r="P103" s="87" t="s">
        <v>86</v>
      </c>
      <c r="Q103" s="43" t="s">
        <v>86</v>
      </c>
      <c r="R103" s="43" t="s">
        <v>2181</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86</v>
      </c>
      <c r="N104" s="119" t="s">
        <v>86</v>
      </c>
      <c r="O104" s="54">
        <v>45675</v>
      </c>
      <c r="P104" s="213" t="s">
        <v>86</v>
      </c>
      <c r="Q104" s="43" t="s">
        <v>86</v>
      </c>
      <c r="R104" s="43" t="s">
        <v>2181</v>
      </c>
      <c r="S104" s="43" t="s">
        <v>86</v>
      </c>
      <c r="T104" s="43" t="s">
        <v>86</v>
      </c>
      <c r="U104" s="43" t="s">
        <v>86</v>
      </c>
      <c r="V104" s="139" t="s">
        <v>86</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86</v>
      </c>
      <c r="O105" s="54">
        <v>45743</v>
      </c>
      <c r="P105" s="87" t="s">
        <v>86</v>
      </c>
      <c r="Q105" s="157" t="s">
        <v>86</v>
      </c>
      <c r="R105" s="69" t="s">
        <v>2181</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86</v>
      </c>
      <c r="O106" s="54">
        <v>45679</v>
      </c>
      <c r="P106" s="87" t="s">
        <v>86</v>
      </c>
      <c r="Q106" s="43" t="s">
        <v>86</v>
      </c>
      <c r="R106" s="43" t="s">
        <v>2181</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86</v>
      </c>
      <c r="O107" s="54">
        <v>45749</v>
      </c>
      <c r="P107" s="30" t="s">
        <v>86</v>
      </c>
      <c r="Q107" s="43" t="s">
        <v>86</v>
      </c>
      <c r="R107" s="43" t="s">
        <v>2181</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86</v>
      </c>
      <c r="O108" s="54">
        <v>45749</v>
      </c>
      <c r="P108" s="30" t="s">
        <v>86</v>
      </c>
      <c r="Q108" s="43" t="s">
        <v>86</v>
      </c>
      <c r="R108" s="334" t="s">
        <v>2181</v>
      </c>
      <c r="S108" s="43" t="s">
        <v>86</v>
      </c>
      <c r="T108" s="43" t="s">
        <v>86</v>
      </c>
      <c r="U108" s="88" t="s">
        <v>86</v>
      </c>
      <c r="V108" s="481" t="s">
        <v>86</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86</v>
      </c>
      <c r="O109" s="54">
        <v>45744</v>
      </c>
      <c r="P109" s="79" t="s">
        <v>86</v>
      </c>
      <c r="Q109" s="43" t="s">
        <v>86</v>
      </c>
      <c r="R109" s="334" t="s">
        <v>2181</v>
      </c>
      <c r="S109" s="43" t="s">
        <v>86</v>
      </c>
      <c r="T109" s="43" t="s">
        <v>86</v>
      </c>
      <c r="U109" s="43" t="s">
        <v>2187</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86</v>
      </c>
      <c r="O110" s="54">
        <v>45691</v>
      </c>
      <c r="P110" s="79" t="s">
        <v>86</v>
      </c>
      <c r="Q110" s="43" t="s">
        <v>86</v>
      </c>
      <c r="R110" s="334" t="s">
        <v>2181</v>
      </c>
      <c r="S110" s="43" t="s">
        <v>86</v>
      </c>
      <c r="T110" s="43" t="s">
        <v>86</v>
      </c>
      <c r="U110" s="88" t="s">
        <v>86</v>
      </c>
      <c r="V110" s="481" t="s">
        <v>86</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86</v>
      </c>
      <c r="O111" s="54">
        <v>45708</v>
      </c>
      <c r="P111" s="30" t="s">
        <v>86</v>
      </c>
      <c r="Q111" s="169" t="s">
        <v>86</v>
      </c>
      <c r="R111" s="69" t="s">
        <v>2181</v>
      </c>
      <c r="S111" s="43" t="s">
        <v>86</v>
      </c>
      <c r="T111" s="43" t="s">
        <v>86</v>
      </c>
      <c r="U111" s="43" t="s">
        <v>86</v>
      </c>
      <c r="V111" s="201" t="s">
        <v>86</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86</v>
      </c>
      <c r="O112" s="166">
        <v>45744</v>
      </c>
      <c r="P112" s="114" t="s">
        <v>86</v>
      </c>
      <c r="Q112" s="115" t="s">
        <v>86</v>
      </c>
      <c r="R112" s="148" t="s">
        <v>2181</v>
      </c>
      <c r="S112" s="43" t="s">
        <v>86</v>
      </c>
      <c r="T112" s="43" t="s">
        <v>86</v>
      </c>
      <c r="U112" s="43" t="s">
        <v>86</v>
      </c>
      <c r="V112" s="201" t="s">
        <v>86</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86</v>
      </c>
      <c r="O113" s="166">
        <v>45755</v>
      </c>
      <c r="P113" s="114" t="s">
        <v>86</v>
      </c>
      <c r="Q113" s="115" t="s">
        <v>86</v>
      </c>
      <c r="R113" s="148" t="s">
        <v>2181</v>
      </c>
      <c r="S113" s="115" t="s">
        <v>86</v>
      </c>
      <c r="T113" s="43" t="s">
        <v>86</v>
      </c>
      <c r="U113" s="43" t="s">
        <v>86</v>
      </c>
      <c r="V113" s="201" t="s">
        <v>86</v>
      </c>
      <c r="W113" s="479">
        <v>45791</v>
      </c>
      <c r="X113" s="148" t="s">
        <v>2184</v>
      </c>
    </row>
    <row r="114" spans="1:25">
      <c r="A114" s="178" t="s">
        <v>733</v>
      </c>
      <c r="B114" s="182" t="s">
        <v>50</v>
      </c>
      <c r="C114" s="314">
        <v>45772</v>
      </c>
      <c r="D114" s="410" t="s">
        <v>734</v>
      </c>
      <c r="H114" s="185">
        <v>75</v>
      </c>
      <c r="I114" s="181"/>
      <c r="J114" s="179" t="s">
        <v>57</v>
      </c>
      <c r="K114" s="420" t="s">
        <v>57</v>
      </c>
      <c r="L114" s="179" t="s">
        <v>63</v>
      </c>
      <c r="M114" s="193">
        <v>45741</v>
      </c>
      <c r="N114" s="114" t="s">
        <v>86</v>
      </c>
      <c r="O114" s="54">
        <v>45747</v>
      </c>
      <c r="P114" s="114" t="s">
        <v>86</v>
      </c>
      <c r="Q114" s="115" t="s">
        <v>86</v>
      </c>
      <c r="R114" s="148" t="s">
        <v>2181</v>
      </c>
      <c r="S114" s="115" t="s">
        <v>86</v>
      </c>
      <c r="T114" s="43" t="s">
        <v>86</v>
      </c>
      <c r="U114" s="157" t="s">
        <v>86</v>
      </c>
      <c r="V114" s="201" t="s">
        <v>86</v>
      </c>
      <c r="W114" s="54">
        <v>45798</v>
      </c>
      <c r="X114" s="69" t="s">
        <v>2184</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86</v>
      </c>
      <c r="O115" s="124">
        <v>45757</v>
      </c>
      <c r="P115" s="30" t="s">
        <v>86</v>
      </c>
      <c r="Q115" s="43" t="s">
        <v>86</v>
      </c>
      <c r="R115" s="69" t="s">
        <v>2181</v>
      </c>
      <c r="S115" s="43" t="s">
        <v>86</v>
      </c>
      <c r="T115" s="43" t="s">
        <v>86</v>
      </c>
      <c r="U115" s="43" t="s">
        <v>86</v>
      </c>
      <c r="V115" s="88" t="s">
        <v>86</v>
      </c>
      <c r="W115" s="54">
        <v>45814</v>
      </c>
      <c r="X115" s="69" t="s">
        <v>2184</v>
      </c>
    </row>
    <row r="116" spans="1:25">
      <c r="A116" s="178" t="s">
        <v>737</v>
      </c>
      <c r="B116" s="182" t="s">
        <v>50</v>
      </c>
      <c r="C116" s="314">
        <v>45772</v>
      </c>
      <c r="D116" s="716" t="s">
        <v>739</v>
      </c>
      <c r="H116" s="179">
        <v>50</v>
      </c>
      <c r="I116" s="181"/>
      <c r="J116" s="179" t="s">
        <v>57</v>
      </c>
      <c r="K116" s="420" t="s">
        <v>57</v>
      </c>
      <c r="L116" s="179" t="s">
        <v>63</v>
      </c>
      <c r="M116" s="193">
        <v>45757</v>
      </c>
      <c r="N116" s="30" t="s">
        <v>86</v>
      </c>
      <c r="O116" s="124">
        <v>45757</v>
      </c>
      <c r="P116" s="30" t="s">
        <v>86</v>
      </c>
      <c r="Q116" s="43" t="s">
        <v>86</v>
      </c>
      <c r="R116" s="69" t="s">
        <v>2181</v>
      </c>
      <c r="S116" s="43" t="s">
        <v>86</v>
      </c>
      <c r="T116" s="43" t="s">
        <v>86</v>
      </c>
      <c r="U116" s="43" t="s">
        <v>86</v>
      </c>
      <c r="V116" s="481" t="s">
        <v>86</v>
      </c>
      <c r="W116" s="54">
        <v>45807</v>
      </c>
      <c r="X116" s="69" t="s">
        <v>2184</v>
      </c>
    </row>
    <row r="117" spans="1:25">
      <c r="A117" s="178" t="s">
        <v>741</v>
      </c>
      <c r="B117" s="182" t="s">
        <v>50</v>
      </c>
      <c r="C117" s="314">
        <v>45772</v>
      </c>
      <c r="D117" s="518" t="s">
        <v>742</v>
      </c>
      <c r="H117" s="179">
        <v>76</v>
      </c>
      <c r="I117" s="181"/>
      <c r="J117" s="179" t="s">
        <v>57</v>
      </c>
      <c r="K117" s="420" t="s">
        <v>57</v>
      </c>
      <c r="L117" s="179" t="s">
        <v>63</v>
      </c>
      <c r="M117" s="193">
        <v>45757</v>
      </c>
      <c r="N117" s="87" t="s">
        <v>86</v>
      </c>
      <c r="O117" s="124">
        <v>45757</v>
      </c>
      <c r="P117" s="30" t="s">
        <v>86</v>
      </c>
      <c r="Q117" s="43" t="s">
        <v>86</v>
      </c>
      <c r="R117" s="69" t="s">
        <v>2181</v>
      </c>
      <c r="S117" s="43" t="s">
        <v>86</v>
      </c>
      <c r="T117" s="43" t="s">
        <v>86</v>
      </c>
      <c r="U117" s="43" t="s">
        <v>86</v>
      </c>
      <c r="V117" s="88" t="s">
        <v>86</v>
      </c>
      <c r="W117" s="54">
        <v>45811</v>
      </c>
      <c r="X117" s="69" t="s">
        <v>2184</v>
      </c>
    </row>
    <row r="118" spans="1:25">
      <c r="A118" s="178" t="s">
        <v>743</v>
      </c>
      <c r="B118" s="182" t="s">
        <v>50</v>
      </c>
      <c r="C118" s="314">
        <v>45772</v>
      </c>
      <c r="D118" s="179" t="s">
        <v>745</v>
      </c>
      <c r="H118" s="185">
        <v>88</v>
      </c>
      <c r="I118" s="181"/>
      <c r="J118" s="179" t="s">
        <v>57</v>
      </c>
      <c r="K118" s="420" t="s">
        <v>57</v>
      </c>
      <c r="L118" s="179" t="s">
        <v>63</v>
      </c>
      <c r="M118" s="193">
        <v>45757</v>
      </c>
      <c r="N118" s="87" t="s">
        <v>86</v>
      </c>
      <c r="O118" s="124">
        <v>45757</v>
      </c>
      <c r="P118" s="87" t="s">
        <v>86</v>
      </c>
      <c r="Q118" s="43" t="s">
        <v>86</v>
      </c>
      <c r="R118" s="43" t="s">
        <v>2181</v>
      </c>
      <c r="S118" s="43" t="s">
        <v>86</v>
      </c>
      <c r="T118" s="43" t="s">
        <v>86</v>
      </c>
      <c r="U118" s="157" t="s">
        <v>86</v>
      </c>
      <c r="V118" s="88" t="s">
        <v>86</v>
      </c>
      <c r="W118" s="54">
        <v>45810</v>
      </c>
      <c r="X118" s="69" t="s">
        <v>2184</v>
      </c>
    </row>
    <row r="119" spans="1:25">
      <c r="A119" s="178" t="s">
        <v>747</v>
      </c>
      <c r="B119" s="182" t="s">
        <v>50</v>
      </c>
      <c r="C119" s="314">
        <v>45772</v>
      </c>
      <c r="D119" s="179" t="s">
        <v>748</v>
      </c>
      <c r="H119" s="185">
        <v>86</v>
      </c>
      <c r="I119" s="181"/>
      <c r="J119" s="179" t="s">
        <v>57</v>
      </c>
      <c r="K119" s="420" t="s">
        <v>57</v>
      </c>
      <c r="L119" s="179" t="s">
        <v>63</v>
      </c>
      <c r="M119" s="195">
        <v>45756</v>
      </c>
      <c r="N119" s="30" t="s">
        <v>86</v>
      </c>
      <c r="O119" s="124">
        <v>45757</v>
      </c>
      <c r="P119" s="30" t="s">
        <v>86</v>
      </c>
      <c r="Q119" s="69" t="s">
        <v>86</v>
      </c>
      <c r="R119" s="69" t="s">
        <v>2181</v>
      </c>
      <c r="S119" s="43" t="s">
        <v>86</v>
      </c>
      <c r="T119" s="43" t="s">
        <v>86</v>
      </c>
      <c r="U119" s="157" t="s">
        <v>86</v>
      </c>
      <c r="V119" s="88" t="s">
        <v>86</v>
      </c>
      <c r="W119" s="54">
        <v>45813</v>
      </c>
      <c r="X119" s="69" t="s">
        <v>2184</v>
      </c>
    </row>
    <row r="120" spans="1:25">
      <c r="A120" s="178" t="s">
        <v>749</v>
      </c>
      <c r="B120" s="182" t="s">
        <v>50</v>
      </c>
      <c r="C120" s="314">
        <v>45772</v>
      </c>
      <c r="D120" s="519" t="s">
        <v>750</v>
      </c>
      <c r="H120" s="185">
        <v>84</v>
      </c>
      <c r="I120" s="181"/>
      <c r="J120" s="179" t="s">
        <v>57</v>
      </c>
      <c r="K120" s="420" t="s">
        <v>57</v>
      </c>
      <c r="L120" s="179" t="s">
        <v>63</v>
      </c>
      <c r="M120" s="195">
        <v>45741</v>
      </c>
      <c r="N120" s="30" t="s">
        <v>86</v>
      </c>
      <c r="O120" s="54">
        <v>45748</v>
      </c>
      <c r="P120" s="30" t="s">
        <v>86</v>
      </c>
      <c r="Q120" s="43" t="s">
        <v>86</v>
      </c>
      <c r="R120" s="69" t="s">
        <v>2181</v>
      </c>
      <c r="S120" s="43" t="s">
        <v>86</v>
      </c>
      <c r="T120" s="43" t="s">
        <v>86</v>
      </c>
      <c r="U120" s="43" t="s">
        <v>86</v>
      </c>
      <c r="V120" s="88" t="s">
        <v>86</v>
      </c>
      <c r="W120" s="54">
        <v>45811</v>
      </c>
      <c r="X120" s="69" t="s">
        <v>2184</v>
      </c>
    </row>
    <row r="121" spans="1:25">
      <c r="A121" s="366" t="s">
        <v>751</v>
      </c>
      <c r="B121" s="688" t="s">
        <v>50</v>
      </c>
      <c r="C121" s="689">
        <v>45772</v>
      </c>
      <c r="D121" s="363" t="s">
        <v>752</v>
      </c>
      <c r="H121" s="341">
        <v>87</v>
      </c>
      <c r="I121" s="339"/>
      <c r="J121" s="363" t="s">
        <v>57</v>
      </c>
      <c r="K121" s="709" t="s">
        <v>57</v>
      </c>
      <c r="L121" s="179" t="s">
        <v>63</v>
      </c>
      <c r="M121" s="193">
        <v>45757</v>
      </c>
      <c r="N121" s="30" t="s">
        <v>86</v>
      </c>
      <c r="O121" s="124">
        <v>45757</v>
      </c>
      <c r="P121" s="30" t="s">
        <v>86</v>
      </c>
      <c r="Q121" s="69" t="s">
        <v>86</v>
      </c>
      <c r="R121" s="69" t="s">
        <v>2181</v>
      </c>
      <c r="S121" s="43" t="s">
        <v>86</v>
      </c>
      <c r="T121" s="43" t="s">
        <v>86</v>
      </c>
      <c r="U121" s="43" t="s">
        <v>86</v>
      </c>
      <c r="V121" s="69" t="s">
        <v>91</v>
      </c>
      <c r="W121" s="54">
        <v>45838</v>
      </c>
      <c r="X121" s="69" t="s">
        <v>91</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86</v>
      </c>
      <c r="O122" s="54">
        <v>45747</v>
      </c>
      <c r="P122" s="30" t="s">
        <v>86</v>
      </c>
      <c r="Q122" s="69" t="s">
        <v>86</v>
      </c>
      <c r="R122" s="69" t="s">
        <v>2181</v>
      </c>
      <c r="S122" s="43" t="s">
        <v>86</v>
      </c>
      <c r="T122" s="43" t="s">
        <v>86</v>
      </c>
      <c r="U122" s="157" t="s">
        <v>86</v>
      </c>
      <c r="V122" s="157" t="s">
        <v>86</v>
      </c>
      <c r="W122" s="54">
        <v>45789</v>
      </c>
      <c r="X122" s="69" t="s">
        <v>2184</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86</v>
      </c>
      <c r="O123" s="54">
        <v>45744</v>
      </c>
      <c r="P123" s="30" t="s">
        <v>86</v>
      </c>
      <c r="Q123" s="43" t="s">
        <v>86</v>
      </c>
      <c r="R123" s="69" t="s">
        <v>2181</v>
      </c>
      <c r="S123" s="43" t="s">
        <v>86</v>
      </c>
      <c r="T123" s="43" t="s">
        <v>86</v>
      </c>
      <c r="U123" s="43" t="s">
        <v>86</v>
      </c>
      <c r="V123" s="69" t="s">
        <v>86</v>
      </c>
      <c r="W123" s="54">
        <v>45811</v>
      </c>
      <c r="X123" s="69" t="s">
        <v>2184</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86</v>
      </c>
      <c r="O124" s="54">
        <v>45744</v>
      </c>
      <c r="P124" s="30" t="s">
        <v>86</v>
      </c>
      <c r="Q124" s="43" t="s">
        <v>86</v>
      </c>
      <c r="R124" s="69" t="s">
        <v>2181</v>
      </c>
      <c r="S124" s="43" t="s">
        <v>86</v>
      </c>
      <c r="T124" s="43" t="s">
        <v>86</v>
      </c>
      <c r="U124" s="43" t="s">
        <v>2187</v>
      </c>
      <c r="V124" s="69" t="s">
        <v>91</v>
      </c>
      <c r="W124" s="54">
        <v>45832</v>
      </c>
      <c r="X124" s="69" t="s">
        <v>91</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86</v>
      </c>
      <c r="N125" s="30" t="s">
        <v>86</v>
      </c>
      <c r="O125" s="54">
        <v>45679</v>
      </c>
      <c r="P125" s="30" t="s">
        <v>86</v>
      </c>
      <c r="Q125" s="69" t="s">
        <v>86</v>
      </c>
      <c r="R125" s="43" t="s">
        <v>2181</v>
      </c>
      <c r="S125" s="43" t="s">
        <v>86</v>
      </c>
      <c r="T125" s="43" t="s">
        <v>86</v>
      </c>
      <c r="U125" s="43" t="s">
        <v>86</v>
      </c>
      <c r="V125" s="43" t="s">
        <v>86</v>
      </c>
      <c r="W125" s="54">
        <v>45814</v>
      </c>
      <c r="X125" s="69" t="s">
        <v>2184</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86</v>
      </c>
      <c r="N126" s="30" t="s">
        <v>86</v>
      </c>
      <c r="O126" s="54">
        <v>45720</v>
      </c>
      <c r="P126" s="30" t="s">
        <v>86</v>
      </c>
      <c r="Q126" s="69" t="s">
        <v>86</v>
      </c>
      <c r="R126" s="43" t="s">
        <v>2181</v>
      </c>
      <c r="S126" s="43" t="s">
        <v>86</v>
      </c>
      <c r="T126" s="43" t="s">
        <v>86</v>
      </c>
      <c r="U126" s="43" t="s">
        <v>86</v>
      </c>
      <c r="V126" s="88" t="s">
        <v>86</v>
      </c>
      <c r="W126" s="54">
        <v>45819</v>
      </c>
      <c r="X126" s="69" t="s">
        <v>2184</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86</v>
      </c>
      <c r="O127" s="54">
        <v>45679</v>
      </c>
      <c r="P127" s="30" t="s">
        <v>86</v>
      </c>
      <c r="Q127" s="43" t="s">
        <v>86</v>
      </c>
      <c r="R127" s="43" t="s">
        <v>2181</v>
      </c>
      <c r="S127" s="43" t="s">
        <v>86</v>
      </c>
      <c r="T127" s="43" t="s">
        <v>86</v>
      </c>
      <c r="U127" s="43" t="s">
        <v>86</v>
      </c>
      <c r="V127" s="88" t="s">
        <v>86</v>
      </c>
      <c r="W127" s="54">
        <v>45812</v>
      </c>
      <c r="X127" s="69" t="s">
        <v>2184</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86</v>
      </c>
      <c r="O128" s="347">
        <v>45694</v>
      </c>
      <c r="P128" s="87" t="s">
        <v>86</v>
      </c>
      <c r="Q128" s="43" t="s">
        <v>86</v>
      </c>
      <c r="R128" s="43" t="s">
        <v>2181</v>
      </c>
      <c r="S128" s="43" t="s">
        <v>86</v>
      </c>
      <c r="T128" s="43" t="s">
        <v>86</v>
      </c>
      <c r="U128" s="43" t="s">
        <v>86</v>
      </c>
      <c r="V128" s="88" t="s">
        <v>86</v>
      </c>
      <c r="W128" s="166">
        <v>45883</v>
      </c>
      <c r="X128" s="69" t="s">
        <v>2184</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86</v>
      </c>
      <c r="O129" s="166">
        <v>45720</v>
      </c>
      <c r="P129" s="114" t="s">
        <v>86</v>
      </c>
      <c r="Q129" s="148" t="s">
        <v>86</v>
      </c>
      <c r="R129" s="43" t="s">
        <v>2181</v>
      </c>
      <c r="S129" s="43" t="s">
        <v>86</v>
      </c>
      <c r="T129" s="115" t="s">
        <v>86</v>
      </c>
      <c r="U129" s="115" t="s">
        <v>86</v>
      </c>
      <c r="V129" s="88" t="s">
        <v>86</v>
      </c>
      <c r="W129" s="166">
        <v>45814</v>
      </c>
      <c r="X129" s="69" t="s">
        <v>2184</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86</v>
      </c>
      <c r="O130" s="54">
        <v>45698</v>
      </c>
      <c r="P130" s="30" t="s">
        <v>86</v>
      </c>
      <c r="Q130" s="69" t="s">
        <v>86</v>
      </c>
      <c r="R130" s="43" t="s">
        <v>2181</v>
      </c>
      <c r="S130" s="43" t="s">
        <v>86</v>
      </c>
      <c r="T130" s="43" t="s">
        <v>86</v>
      </c>
      <c r="U130" s="43" t="s">
        <v>86</v>
      </c>
      <c r="V130" s="88" t="s">
        <v>86</v>
      </c>
      <c r="W130" s="54">
        <v>45798</v>
      </c>
      <c r="X130" s="69" t="s">
        <v>2184</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86</v>
      </c>
      <c r="N131" s="49" t="s">
        <v>86</v>
      </c>
      <c r="O131" s="30" t="s">
        <v>86</v>
      </c>
      <c r="P131" s="30" t="s">
        <v>86</v>
      </c>
      <c r="Q131" s="43" t="s">
        <v>86</v>
      </c>
      <c r="R131" s="43" t="s">
        <v>2181</v>
      </c>
      <c r="S131" s="43" t="s">
        <v>86</v>
      </c>
      <c r="T131" s="157" t="s">
        <v>86</v>
      </c>
      <c r="U131" s="157" t="s">
        <v>86</v>
      </c>
      <c r="V131" s="88" t="s">
        <v>86</v>
      </c>
      <c r="W131" s="30"/>
      <c r="X131" s="69" t="s">
        <v>91</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86</v>
      </c>
      <c r="O132" s="54">
        <v>45691</v>
      </c>
      <c r="P132" s="87" t="s">
        <v>86</v>
      </c>
      <c r="Q132" s="43" t="s">
        <v>86</v>
      </c>
      <c r="R132" s="43" t="s">
        <v>2181</v>
      </c>
      <c r="S132" s="43" t="s">
        <v>86</v>
      </c>
      <c r="T132" s="43" t="s">
        <v>86</v>
      </c>
      <c r="U132" s="43" t="s">
        <v>86</v>
      </c>
      <c r="V132" s="43" t="s">
        <v>86</v>
      </c>
      <c r="W132" s="54">
        <v>45820</v>
      </c>
      <c r="X132" s="69" t="s">
        <v>2184</v>
      </c>
      <c r="Y132" t="e">
        <f>VLOOKUP(A132,#REF!,2,FALSE)</f>
        <v>#REF!</v>
      </c>
    </row>
    <row r="133" spans="1:25" ht="15" customHeight="1">
      <c r="A133" s="358" t="s">
        <v>770</v>
      </c>
      <c r="B133" s="406" t="s">
        <v>50</v>
      </c>
      <c r="C133" s="367">
        <v>45742</v>
      </c>
      <c r="D133" s="419" t="s">
        <v>2188</v>
      </c>
      <c r="E133" s="361"/>
      <c r="F133" s="361"/>
      <c r="G133" s="361"/>
      <c r="H133" s="361">
        <v>38</v>
      </c>
      <c r="I133" s="360"/>
      <c r="J133" s="361" t="s">
        <v>57</v>
      </c>
      <c r="K133" s="361" t="s">
        <v>57</v>
      </c>
      <c r="L133" s="361" t="s">
        <v>63</v>
      </c>
      <c r="M133" s="49" t="s">
        <v>86</v>
      </c>
      <c r="N133" s="49" t="s">
        <v>86</v>
      </c>
      <c r="O133" s="54">
        <v>45701</v>
      </c>
      <c r="P133" s="30" t="s">
        <v>86</v>
      </c>
      <c r="Q133" s="69" t="s">
        <v>86</v>
      </c>
      <c r="R133" s="43" t="s">
        <v>2181</v>
      </c>
      <c r="S133" s="43" t="s">
        <v>86</v>
      </c>
      <c r="T133" s="43" t="s">
        <v>86</v>
      </c>
      <c r="U133" s="43" t="s">
        <v>86</v>
      </c>
      <c r="V133" s="69" t="s">
        <v>86</v>
      </c>
      <c r="W133" s="54">
        <v>45821</v>
      </c>
      <c r="X133" s="69" t="s">
        <v>2184</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86</v>
      </c>
      <c r="O134" s="54">
        <v>45709</v>
      </c>
      <c r="P134" s="30" t="s">
        <v>86</v>
      </c>
      <c r="Q134" s="43" t="s">
        <v>86</v>
      </c>
      <c r="R134" s="43" t="s">
        <v>2181</v>
      </c>
      <c r="S134" s="43" t="s">
        <v>86</v>
      </c>
      <c r="T134" s="43" t="s">
        <v>86</v>
      </c>
      <c r="U134" s="69" t="s">
        <v>91</v>
      </c>
      <c r="V134" s="69" t="s">
        <v>91</v>
      </c>
      <c r="W134" s="54">
        <v>45825</v>
      </c>
      <c r="X134" s="69" t="s">
        <v>91</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86</v>
      </c>
      <c r="N135" s="49" t="s">
        <v>86</v>
      </c>
      <c r="O135" s="195">
        <v>45720</v>
      </c>
      <c r="P135" s="49" t="s">
        <v>86</v>
      </c>
      <c r="Q135" s="69" t="s">
        <v>86</v>
      </c>
      <c r="R135" s="43" t="s">
        <v>2181</v>
      </c>
      <c r="S135" s="43" t="s">
        <v>86</v>
      </c>
      <c r="T135" s="43" t="s">
        <v>86</v>
      </c>
      <c r="U135" s="157" t="s">
        <v>86</v>
      </c>
      <c r="V135" s="43" t="s">
        <v>86</v>
      </c>
      <c r="W135" s="54">
        <v>45819</v>
      </c>
      <c r="X135" s="69" t="s">
        <v>2184</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86</v>
      </c>
      <c r="O136" s="54">
        <v>45691</v>
      </c>
      <c r="P136" s="30" t="s">
        <v>86</v>
      </c>
      <c r="Q136" s="43" t="s">
        <v>86</v>
      </c>
      <c r="R136" s="43" t="s">
        <v>2181</v>
      </c>
      <c r="S136" s="43" t="s">
        <v>86</v>
      </c>
      <c r="T136" s="43" t="s">
        <v>86</v>
      </c>
      <c r="U136" s="43" t="s">
        <v>86</v>
      </c>
      <c r="V136" s="43" t="s">
        <v>86</v>
      </c>
      <c r="W136" s="54">
        <v>45791</v>
      </c>
      <c r="X136" s="69" t="s">
        <v>2184</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86</v>
      </c>
      <c r="O137" s="30" t="s">
        <v>86</v>
      </c>
      <c r="P137" s="49" t="s">
        <v>86</v>
      </c>
      <c r="Q137" s="69" t="s">
        <v>86</v>
      </c>
      <c r="R137" s="43" t="s">
        <v>2181</v>
      </c>
      <c r="S137" s="43" t="s">
        <v>86</v>
      </c>
      <c r="T137" s="43" t="s">
        <v>86</v>
      </c>
      <c r="U137" s="157" t="s">
        <v>86</v>
      </c>
      <c r="V137" s="69" t="s">
        <v>91</v>
      </c>
      <c r="W137" s="30"/>
      <c r="X137" s="69" t="s">
        <v>91</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86</v>
      </c>
      <c r="O138" s="124">
        <v>45707</v>
      </c>
      <c r="P138" s="30" t="s">
        <v>86</v>
      </c>
      <c r="Q138" s="43" t="s">
        <v>86</v>
      </c>
      <c r="R138" s="43" t="s">
        <v>2181</v>
      </c>
      <c r="S138" s="43" t="s">
        <v>86</v>
      </c>
      <c r="T138" s="43" t="s">
        <v>86</v>
      </c>
      <c r="U138" s="43" t="s">
        <v>86</v>
      </c>
      <c r="V138" s="43" t="s">
        <v>86</v>
      </c>
      <c r="W138" s="54">
        <v>45790</v>
      </c>
      <c r="X138" s="69" t="s">
        <v>2184</v>
      </c>
      <c r="Y138" t="e">
        <f>VLOOKUP(A138,#REF!,2,FALSE)</f>
        <v>#REF!</v>
      </c>
    </row>
    <row r="139" spans="1:25" ht="15" customHeight="1">
      <c r="A139" s="358" t="s">
        <v>2189</v>
      </c>
      <c r="B139" s="182" t="s">
        <v>50</v>
      </c>
      <c r="C139" s="408">
        <v>45742</v>
      </c>
      <c r="D139" s="361" t="s">
        <v>2190</v>
      </c>
      <c r="E139" s="521"/>
      <c r="F139" s="361"/>
      <c r="G139" s="361"/>
      <c r="H139" s="361">
        <v>87</v>
      </c>
      <c r="I139" s="360"/>
      <c r="J139" s="361" t="s">
        <v>57</v>
      </c>
      <c r="K139" s="361" t="s">
        <v>57</v>
      </c>
      <c r="L139" s="361" t="s">
        <v>63</v>
      </c>
      <c r="M139" s="49" t="s">
        <v>86</v>
      </c>
      <c r="N139" s="30" t="s">
        <v>86</v>
      </c>
      <c r="O139" s="30" t="s">
        <v>86</v>
      </c>
      <c r="P139" s="30" t="s">
        <v>86</v>
      </c>
      <c r="Q139" s="43" t="s">
        <v>86</v>
      </c>
      <c r="R139" s="43" t="s">
        <v>2181</v>
      </c>
      <c r="S139" s="43" t="s">
        <v>86</v>
      </c>
      <c r="T139" s="43" t="s">
        <v>86</v>
      </c>
      <c r="U139" s="157" t="s">
        <v>86</v>
      </c>
      <c r="V139" s="69" t="s">
        <v>91</v>
      </c>
      <c r="W139" s="30"/>
      <c r="X139" s="69" t="s">
        <v>91</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86</v>
      </c>
      <c r="O140" s="54">
        <v>45743</v>
      </c>
      <c r="P140" s="87" t="s">
        <v>86</v>
      </c>
      <c r="Q140" s="88" t="s">
        <v>86</v>
      </c>
      <c r="R140" s="43" t="s">
        <v>2181</v>
      </c>
      <c r="S140" s="43" t="s">
        <v>86</v>
      </c>
      <c r="T140" s="43" t="s">
        <v>86</v>
      </c>
      <c r="U140" s="88" t="s">
        <v>86</v>
      </c>
      <c r="V140" s="69" t="s">
        <v>86</v>
      </c>
      <c r="W140" s="54">
        <v>45819</v>
      </c>
      <c r="X140" s="69" t="s">
        <v>2184</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86</v>
      </c>
      <c r="O141" s="195">
        <v>45743</v>
      </c>
      <c r="P141" s="87" t="s">
        <v>86</v>
      </c>
      <c r="Q141" s="88" t="s">
        <v>86</v>
      </c>
      <c r="R141" s="43" t="s">
        <v>2181</v>
      </c>
      <c r="S141" s="43" t="s">
        <v>86</v>
      </c>
      <c r="T141" s="43" t="s">
        <v>86</v>
      </c>
      <c r="U141" s="88" t="s">
        <v>86</v>
      </c>
      <c r="V141" s="88" t="s">
        <v>86</v>
      </c>
      <c r="W141" s="54">
        <v>45811</v>
      </c>
      <c r="X141" s="69" t="s">
        <v>2184</v>
      </c>
      <c r="Y141" t="e">
        <f>VLOOKUP(A141,#REF!,2,FALSE)</f>
        <v>#REF!</v>
      </c>
    </row>
    <row r="142" spans="1:25" ht="15" customHeight="1">
      <c r="A142" s="358" t="s">
        <v>2191</v>
      </c>
      <c r="B142" s="406" t="s">
        <v>50</v>
      </c>
      <c r="C142" s="408">
        <v>45742</v>
      </c>
      <c r="D142" s="361" t="s">
        <v>2192</v>
      </c>
      <c r="E142" s="521"/>
      <c r="F142" s="361"/>
      <c r="G142" s="361"/>
      <c r="H142" s="361">
        <v>87</v>
      </c>
      <c r="I142" s="360"/>
      <c r="J142" s="361" t="s">
        <v>57</v>
      </c>
      <c r="K142" s="361" t="s">
        <v>57</v>
      </c>
      <c r="L142" s="361" t="s">
        <v>63</v>
      </c>
      <c r="M142" s="49" t="s">
        <v>86</v>
      </c>
      <c r="N142" s="49" t="s">
        <v>86</v>
      </c>
      <c r="O142" s="195">
        <v>45691</v>
      </c>
      <c r="P142" s="30" t="s">
        <v>86</v>
      </c>
      <c r="Q142" s="69" t="s">
        <v>86</v>
      </c>
      <c r="R142" s="43" t="s">
        <v>2181</v>
      </c>
      <c r="S142" s="43" t="s">
        <v>86</v>
      </c>
      <c r="T142" s="43" t="s">
        <v>86</v>
      </c>
      <c r="U142" s="157" t="s">
        <v>86</v>
      </c>
      <c r="V142" s="69" t="s">
        <v>91</v>
      </c>
      <c r="W142" s="30"/>
      <c r="X142" s="69" t="s">
        <v>91</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86</v>
      </c>
      <c r="N143" s="49" t="s">
        <v>86</v>
      </c>
      <c r="O143" s="195">
        <v>45675</v>
      </c>
      <c r="P143" s="30" t="s">
        <v>86</v>
      </c>
      <c r="Q143" s="69" t="s">
        <v>86</v>
      </c>
      <c r="R143" s="43" t="s">
        <v>2181</v>
      </c>
      <c r="S143" s="43" t="s">
        <v>86</v>
      </c>
      <c r="T143" s="43" t="s">
        <v>86</v>
      </c>
      <c r="U143" s="157" t="s">
        <v>86</v>
      </c>
      <c r="V143" s="69" t="s">
        <v>91</v>
      </c>
      <c r="W143" s="30"/>
      <c r="X143" s="69" t="s">
        <v>91</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2184</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1134</v>
      </c>
      <c r="B147" s="687" t="s">
        <v>50</v>
      </c>
      <c r="C147" s="579">
        <v>45991</v>
      </c>
      <c r="D147" s="410" t="s">
        <v>2157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2193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2181</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86</v>
      </c>
      <c r="O150" s="195">
        <v>45744</v>
      </c>
      <c r="P150" s="100" t="s">
        <v>86</v>
      </c>
      <c r="Q150" s="69" t="s">
        <v>86</v>
      </c>
      <c r="R150" s="43" t="s">
        <v>2181</v>
      </c>
      <c r="S150" s="43" t="s">
        <v>86</v>
      </c>
      <c r="T150" s="43" t="s">
        <v>86</v>
      </c>
      <c r="U150" s="69" t="s">
        <v>91</v>
      </c>
      <c r="V150" s="69" t="s">
        <v>91</v>
      </c>
      <c r="W150" s="30"/>
      <c r="X150" s="69" t="s">
        <v>91</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86</v>
      </c>
      <c r="O151" s="195">
        <v>45698</v>
      </c>
      <c r="P151" s="100" t="s">
        <v>86</v>
      </c>
      <c r="Q151" s="69" t="s">
        <v>86</v>
      </c>
      <c r="R151" s="43" t="s">
        <v>2181</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86</v>
      </c>
      <c r="O153" s="195">
        <v>45696</v>
      </c>
      <c r="P153" s="30" t="s">
        <v>86</v>
      </c>
      <c r="Q153" s="69" t="s">
        <v>86</v>
      </c>
      <c r="R153" s="43" t="s">
        <v>2181</v>
      </c>
      <c r="S153" s="43" t="s">
        <v>86</v>
      </c>
      <c r="T153" s="157" t="s">
        <v>86</v>
      </c>
      <c r="U153" s="157" t="s">
        <v>86</v>
      </c>
      <c r="V153" s="43" t="s">
        <v>86</v>
      </c>
      <c r="W153" s="54">
        <v>45807</v>
      </c>
      <c r="X153" s="69" t="s">
        <v>2184</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86</v>
      </c>
      <c r="O154" s="347">
        <v>45696</v>
      </c>
      <c r="P154" s="30" t="s">
        <v>86</v>
      </c>
      <c r="Q154" s="69" t="s">
        <v>86</v>
      </c>
      <c r="R154" s="43" t="s">
        <v>2181</v>
      </c>
      <c r="S154" s="43" t="s">
        <v>86</v>
      </c>
      <c r="T154" s="157" t="s">
        <v>86</v>
      </c>
      <c r="U154" s="157" t="s">
        <v>86</v>
      </c>
      <c r="V154" s="43" t="s">
        <v>86</v>
      </c>
      <c r="W154" s="166">
        <v>45792</v>
      </c>
      <c r="X154" s="148" t="s">
        <v>2184</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86</v>
      </c>
      <c r="O155" s="54">
        <v>45699</v>
      </c>
      <c r="P155" s="49" t="s">
        <v>86</v>
      </c>
      <c r="Q155" s="69" t="s">
        <v>86</v>
      </c>
      <c r="R155" s="43" t="s">
        <v>2181</v>
      </c>
      <c r="S155" s="43" t="s">
        <v>86</v>
      </c>
      <c r="T155" s="43" t="s">
        <v>86</v>
      </c>
      <c r="U155" s="157" t="s">
        <v>86</v>
      </c>
      <c r="V155" s="43" t="s">
        <v>86</v>
      </c>
      <c r="W155" s="356">
        <v>45821</v>
      </c>
      <c r="X155" s="69" t="s">
        <v>2184</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86</v>
      </c>
      <c r="O156" s="54">
        <v>45699</v>
      </c>
      <c r="P156" s="49" t="s">
        <v>86</v>
      </c>
      <c r="Q156" s="69" t="s">
        <v>86</v>
      </c>
      <c r="R156" s="43" t="s">
        <v>2181</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2162</v>
      </c>
      <c r="E157" s="704"/>
      <c r="F157" s="419"/>
      <c r="G157" s="419"/>
      <c r="H157" s="419">
        <v>79</v>
      </c>
      <c r="I157" s="360"/>
      <c r="J157" s="361" t="s">
        <v>57</v>
      </c>
      <c r="K157" s="553" t="s">
        <v>57</v>
      </c>
      <c r="L157" s="361" t="s">
        <v>63</v>
      </c>
      <c r="M157" s="195">
        <v>45735</v>
      </c>
      <c r="N157" s="30" t="s">
        <v>64</v>
      </c>
      <c r="O157" s="54">
        <v>45737</v>
      </c>
      <c r="P157" s="49" t="s">
        <v>64</v>
      </c>
      <c r="Q157" s="69" t="s">
        <v>64</v>
      </c>
      <c r="R157" s="69" t="s">
        <v>2181</v>
      </c>
      <c r="S157" s="69" t="s">
        <v>64</v>
      </c>
      <c r="T157" s="69" t="s">
        <v>64</v>
      </c>
      <c r="U157" s="69" t="s">
        <v>91</v>
      </c>
      <c r="V157" s="69"/>
      <c r="W157" s="79"/>
      <c r="X157" s="69" t="s">
        <v>91</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86</v>
      </c>
      <c r="O158" s="54">
        <v>45736</v>
      </c>
      <c r="P158" s="49" t="s">
        <v>86</v>
      </c>
      <c r="Q158" s="69" t="s">
        <v>86</v>
      </c>
      <c r="R158" s="43" t="s">
        <v>2181</v>
      </c>
      <c r="S158" s="43" t="s">
        <v>86</v>
      </c>
      <c r="T158" s="43" t="s">
        <v>86</v>
      </c>
      <c r="U158" s="157" t="s">
        <v>86</v>
      </c>
      <c r="V158" s="157" t="s">
        <v>86</v>
      </c>
      <c r="W158" s="356">
        <v>45817</v>
      </c>
      <c r="X158" s="69" t="s">
        <v>2184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2184</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86</v>
      </c>
      <c r="O161" s="156">
        <v>45726</v>
      </c>
      <c r="P161" s="49" t="s">
        <v>86</v>
      </c>
      <c r="Q161" s="43" t="s">
        <v>86</v>
      </c>
      <c r="R161" s="43" t="s">
        <v>86</v>
      </c>
      <c r="S161" s="43" t="s">
        <v>56</v>
      </c>
      <c r="T161" s="43" t="s">
        <v>86</v>
      </c>
      <c r="U161" s="43" t="s">
        <v>86</v>
      </c>
      <c r="V161" s="88" t="s">
        <v>86</v>
      </c>
      <c r="W161" s="54">
        <v>45814</v>
      </c>
      <c r="X161" s="69" t="s">
        <v>2184</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86</v>
      </c>
      <c r="O162" s="582">
        <v>45693</v>
      </c>
      <c r="P162" s="30" t="s">
        <v>86</v>
      </c>
      <c r="Q162" s="43" t="s">
        <v>86</v>
      </c>
      <c r="R162" s="43" t="s">
        <v>86</v>
      </c>
      <c r="S162" s="43" t="s">
        <v>56</v>
      </c>
      <c r="T162" s="43" t="s">
        <v>86</v>
      </c>
      <c r="U162" s="43" t="s">
        <v>86</v>
      </c>
      <c r="V162" s="88" t="s">
        <v>86</v>
      </c>
      <c r="W162" s="356">
        <v>45838</v>
      </c>
      <c r="X162" s="69" t="s">
        <v>2184</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86</v>
      </c>
      <c r="N165" s="30" t="s">
        <v>86</v>
      </c>
      <c r="O165" s="582">
        <v>45818</v>
      </c>
      <c r="P165" s="87" t="s">
        <v>86</v>
      </c>
      <c r="Q165" s="43" t="s">
        <v>86</v>
      </c>
      <c r="R165" s="43" t="s">
        <v>86</v>
      </c>
      <c r="S165" s="43" t="s">
        <v>56</v>
      </c>
      <c r="T165" s="43" t="s">
        <v>86</v>
      </c>
      <c r="U165" s="43" t="s">
        <v>86</v>
      </c>
      <c r="V165" s="43" t="s">
        <v>86</v>
      </c>
      <c r="W165" s="356">
        <v>45854</v>
      </c>
      <c r="X165" s="69" t="s">
        <v>2184</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86</v>
      </c>
      <c r="N166" s="30" t="s">
        <v>86</v>
      </c>
      <c r="O166" s="582">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86</v>
      </c>
      <c r="O167" s="582">
        <v>45720</v>
      </c>
      <c r="P167" s="87" t="s">
        <v>86</v>
      </c>
      <c r="Q167" s="43" t="s">
        <v>86</v>
      </c>
      <c r="R167" s="43" t="s">
        <v>86</v>
      </c>
      <c r="S167" s="43" t="s">
        <v>56</v>
      </c>
      <c r="T167" s="43" t="s">
        <v>86</v>
      </c>
      <c r="U167" s="43" t="s">
        <v>86</v>
      </c>
      <c r="V167" s="43" t="s">
        <v>86</v>
      </c>
      <c r="W167" s="356">
        <v>45902</v>
      </c>
      <c r="X167" s="69" t="s">
        <v>2184</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6" t="s">
        <v>2194</v>
      </c>
      <c r="C1" s="1456"/>
      <c r="D1" s="558"/>
      <c r="E1" s="1456" t="s">
        <v>2195</v>
      </c>
      <c r="F1" s="1456"/>
    </row>
    <row r="2" spans="1:25">
      <c r="B2" s="44" t="s">
        <v>2196</v>
      </c>
      <c r="E2" s="44" t="s">
        <v>22</v>
      </c>
      <c r="F2" t="s">
        <v>1081</v>
      </c>
      <c r="P2" s="44" t="s">
        <v>27</v>
      </c>
      <c r="Q2" t="s">
        <v>2197</v>
      </c>
    </row>
    <row r="3" spans="1:25">
      <c r="B3" s="44" t="s">
        <v>22</v>
      </c>
      <c r="C3" t="s">
        <v>1087</v>
      </c>
      <c r="K3" s="44" t="s">
        <v>2198</v>
      </c>
      <c r="L3" t="s">
        <v>2199</v>
      </c>
      <c r="P3" s="44" t="s">
        <v>2198</v>
      </c>
      <c r="Q3" t="s">
        <v>2199</v>
      </c>
    </row>
    <row r="4" spans="1:25">
      <c r="B4" t="s">
        <v>129</v>
      </c>
      <c r="C4">
        <v>69424</v>
      </c>
      <c r="E4" s="44" t="s">
        <v>2196</v>
      </c>
      <c r="F4" t="s">
        <v>1087</v>
      </c>
      <c r="W4" t="s">
        <v>2200</v>
      </c>
      <c r="X4">
        <v>22</v>
      </c>
    </row>
    <row r="5" spans="1:25">
      <c r="B5" t="s">
        <v>84</v>
      </c>
      <c r="C5">
        <v>28636</v>
      </c>
      <c r="E5" t="s">
        <v>1087</v>
      </c>
      <c r="F5">
        <v>160466</v>
      </c>
      <c r="K5" s="44" t="s">
        <v>2201</v>
      </c>
      <c r="P5" s="44" t="s">
        <v>2201</v>
      </c>
      <c r="W5" t="s">
        <v>2202</v>
      </c>
      <c r="X5">
        <v>13</v>
      </c>
    </row>
    <row r="6" spans="1:25">
      <c r="B6" t="s">
        <v>1114</v>
      </c>
      <c r="C6">
        <v>208773</v>
      </c>
      <c r="K6" s="44" t="s">
        <v>27</v>
      </c>
      <c r="L6" s="44" t="s">
        <v>2203</v>
      </c>
      <c r="M6" t="s">
        <v>1087</v>
      </c>
      <c r="P6" s="44" t="s">
        <v>2204</v>
      </c>
      <c r="Q6" s="44" t="s">
        <v>2203</v>
      </c>
      <c r="R6" t="s">
        <v>1087</v>
      </c>
    </row>
    <row r="7" spans="1:25">
      <c r="B7" t="s">
        <v>51</v>
      </c>
      <c r="C7">
        <v>446</v>
      </c>
      <c r="K7" t="s">
        <v>2197</v>
      </c>
      <c r="L7" t="s">
        <v>547</v>
      </c>
      <c r="M7">
        <v>1</v>
      </c>
      <c r="P7" t="s">
        <v>2205</v>
      </c>
      <c r="R7">
        <v>1</v>
      </c>
      <c r="X7" t="s">
        <v>2206</v>
      </c>
      <c r="Y7" t="s">
        <v>2207</v>
      </c>
    </row>
    <row r="8" spans="1:25">
      <c r="B8" t="s">
        <v>22</v>
      </c>
      <c r="C8">
        <v>0</v>
      </c>
      <c r="L8" t="s">
        <v>549</v>
      </c>
      <c r="M8">
        <v>1</v>
      </c>
      <c r="P8" t="s">
        <v>2208</v>
      </c>
      <c r="R8">
        <v>1</v>
      </c>
      <c r="V8" t="s">
        <v>2209</v>
      </c>
      <c r="W8" s="257">
        <v>203521</v>
      </c>
      <c r="X8" s="313">
        <f>X5/X4</f>
        <v>0.59090909090909094</v>
      </c>
      <c r="Y8" s="313">
        <f>W9/W8</f>
        <v>0.31446386367991508</v>
      </c>
    </row>
    <row r="9" spans="1:25">
      <c r="B9" t="s">
        <v>221</v>
      </c>
      <c r="C9">
        <v>7128</v>
      </c>
      <c r="L9" t="s">
        <v>2210</v>
      </c>
      <c r="M9">
        <v>1</v>
      </c>
      <c r="P9" t="s">
        <v>2211</v>
      </c>
      <c r="Q9" t="s">
        <v>2210</v>
      </c>
      <c r="R9">
        <v>1</v>
      </c>
      <c r="V9" t="s">
        <v>2212</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2213</v>
      </c>
      <c r="R12">
        <v>1</v>
      </c>
    </row>
    <row r="13" spans="1:25">
      <c r="B13" t="s">
        <v>178</v>
      </c>
      <c r="C13">
        <v>3</v>
      </c>
      <c r="L13" t="s">
        <v>2214</v>
      </c>
      <c r="M13">
        <v>1</v>
      </c>
      <c r="Q13" t="s">
        <v>896</v>
      </c>
      <c r="R13">
        <v>1</v>
      </c>
    </row>
    <row r="14" spans="1:25">
      <c r="B14" t="s">
        <v>67</v>
      </c>
      <c r="C14">
        <v>3796</v>
      </c>
      <c r="L14" t="s">
        <v>735</v>
      </c>
      <c r="M14">
        <v>1</v>
      </c>
      <c r="P14" t="s">
        <v>2215</v>
      </c>
      <c r="R14">
        <v>5</v>
      </c>
    </row>
    <row r="15" spans="1:25">
      <c r="B15" t="s">
        <v>60</v>
      </c>
      <c r="C15">
        <v>10847</v>
      </c>
      <c r="L15" t="s">
        <v>2213</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2216</v>
      </c>
      <c r="M21">
        <v>1</v>
      </c>
    </row>
    <row r="22" spans="2:13">
      <c r="L22" t="s">
        <v>896</v>
      </c>
      <c r="M22">
        <v>1</v>
      </c>
    </row>
    <row r="23" spans="2:13">
      <c r="L23" t="s">
        <v>783</v>
      </c>
      <c r="M23">
        <v>1</v>
      </c>
    </row>
    <row r="24" spans="2:13">
      <c r="L24" t="s">
        <v>806</v>
      </c>
      <c r="M24">
        <v>1</v>
      </c>
    </row>
    <row r="25" spans="2:13">
      <c r="L25" t="s">
        <v>174</v>
      </c>
      <c r="M25">
        <v>1</v>
      </c>
    </row>
    <row r="26" spans="2:13">
      <c r="K26" t="s">
        <v>2217</v>
      </c>
      <c r="M26">
        <v>19</v>
      </c>
    </row>
    <row r="27" spans="2:13">
      <c r="K27" t="s">
        <v>2218</v>
      </c>
      <c r="L27" t="s">
        <v>729</v>
      </c>
      <c r="M27">
        <v>1</v>
      </c>
    </row>
    <row r="28" spans="2:13">
      <c r="L28" t="s">
        <v>731</v>
      </c>
      <c r="M28">
        <v>1</v>
      </c>
    </row>
    <row r="29" spans="2:13">
      <c r="L29" t="s">
        <v>733</v>
      </c>
      <c r="M29">
        <v>1</v>
      </c>
    </row>
    <row r="30" spans="2:13">
      <c r="L30" t="s">
        <v>749</v>
      </c>
      <c r="M30">
        <v>1</v>
      </c>
    </row>
    <row r="31" spans="2:13">
      <c r="L31" t="s">
        <v>753</v>
      </c>
      <c r="M31">
        <v>1</v>
      </c>
    </row>
    <row r="32" spans="2:13">
      <c r="L32" t="s">
        <v>2219</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2220</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7"/>
      <c r="B1" s="1457"/>
      <c r="C1" s="1457"/>
      <c r="D1" s="1457"/>
      <c r="E1" s="1457"/>
      <c r="F1" s="1457"/>
      <c r="G1" s="1457"/>
      <c r="H1" s="1458" t="s">
        <v>2221</v>
      </c>
      <c r="I1" s="1458"/>
      <c r="J1" s="1458"/>
      <c r="K1" s="1458"/>
      <c r="L1" s="1458"/>
      <c r="M1" s="1458"/>
      <c r="N1" s="1458"/>
      <c r="O1" s="1458"/>
      <c r="P1" s="260"/>
      <c r="Q1" s="1459" t="s">
        <v>34</v>
      </c>
      <c r="R1" s="1459"/>
      <c r="S1" s="1455"/>
      <c r="T1" s="1459"/>
      <c r="U1" s="1459"/>
      <c r="V1" s="1459"/>
      <c r="W1" s="1459"/>
      <c r="X1" s="1459"/>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538</v>
      </c>
      <c r="Y3" s="261" t="s">
        <v>2232</v>
      </c>
      <c r="Z3" s="312" t="s">
        <v>2233</v>
      </c>
    </row>
    <row r="4" spans="1:26" ht="15.75" thickBot="1">
      <c r="A4" s="121" t="s">
        <v>77</v>
      </c>
      <c r="B4" s="102" t="s">
        <v>50</v>
      </c>
      <c r="C4" s="77">
        <v>45807</v>
      </c>
      <c r="D4" s="268"/>
      <c r="E4" s="269" t="s">
        <v>2234</v>
      </c>
      <c r="F4" s="268"/>
      <c r="G4" s="270" t="s">
        <v>2197</v>
      </c>
      <c r="H4" s="268"/>
      <c r="I4" s="268"/>
      <c r="J4" s="271"/>
      <c r="K4" s="205"/>
      <c r="L4" s="205"/>
      <c r="M4" s="205"/>
      <c r="N4" s="272"/>
      <c r="O4" s="273"/>
      <c r="P4" s="274" t="s">
        <v>2235</v>
      </c>
      <c r="Q4" s="275" t="s">
        <v>101</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101</v>
      </c>
      <c r="R5" s="131" t="s">
        <v>2236</v>
      </c>
      <c r="S5" s="131"/>
      <c r="T5" s="276"/>
      <c r="U5" s="277"/>
      <c r="V5" s="277"/>
      <c r="W5" s="277"/>
      <c r="X5" s="277"/>
      <c r="Y5" s="277"/>
      <c r="Z5" t="e">
        <f>VLOOKUP(A5,#REF!,9,FALSE)</f>
        <v>#REF!</v>
      </c>
    </row>
    <row r="6" spans="1:26" ht="15.75" thickBot="1">
      <c r="A6" s="121" t="s">
        <v>1111</v>
      </c>
      <c r="B6" s="102" t="s">
        <v>50</v>
      </c>
      <c r="C6" s="215">
        <v>45807</v>
      </c>
      <c r="D6" s="268"/>
      <c r="E6" s="269" t="s">
        <v>2234</v>
      </c>
      <c r="F6" s="268"/>
      <c r="G6" s="270" t="s">
        <v>2197</v>
      </c>
      <c r="H6" s="268"/>
      <c r="I6" s="268"/>
      <c r="J6" s="279"/>
      <c r="K6" s="205"/>
      <c r="L6" s="205"/>
      <c r="M6" s="205"/>
      <c r="N6" s="272"/>
      <c r="O6" s="273"/>
      <c r="P6" s="274" t="s">
        <v>2235</v>
      </c>
      <c r="Q6" s="275" t="s">
        <v>101</v>
      </c>
      <c r="R6" s="131" t="s">
        <v>2236</v>
      </c>
      <c r="S6" s="131"/>
      <c r="T6" s="276"/>
      <c r="U6" s="277"/>
      <c r="V6" s="277"/>
      <c r="W6" s="277"/>
      <c r="X6" s="277"/>
      <c r="Y6" s="277"/>
      <c r="Z6" t="e">
        <f>VLOOKUP(A6,#REF!,9,FALSE)</f>
        <v>#REF!</v>
      </c>
    </row>
    <row r="7" spans="1:26" ht="15.75" thickBot="1">
      <c r="A7" s="121" t="s">
        <v>1128</v>
      </c>
      <c r="B7" s="102" t="s">
        <v>50</v>
      </c>
      <c r="C7" s="215">
        <v>45807</v>
      </c>
      <c r="D7" s="268"/>
      <c r="E7" s="269" t="s">
        <v>2234</v>
      </c>
      <c r="F7" s="268"/>
      <c r="G7" s="270" t="s">
        <v>2197</v>
      </c>
      <c r="H7" s="268"/>
      <c r="I7" s="268"/>
      <c r="J7" s="279"/>
      <c r="K7" s="205"/>
      <c r="L7" s="205"/>
      <c r="M7" s="205"/>
      <c r="N7" s="272"/>
      <c r="O7" s="273"/>
      <c r="P7" s="274" t="s">
        <v>2235</v>
      </c>
      <c r="Q7" s="275" t="s">
        <v>101</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1136</v>
      </c>
      <c r="B9" s="102" t="s">
        <v>50</v>
      </c>
      <c r="C9" s="215">
        <v>45807</v>
      </c>
      <c r="D9" s="280"/>
      <c r="E9" s="269" t="s">
        <v>2234</v>
      </c>
      <c r="F9" s="280"/>
      <c r="G9" s="281" t="s">
        <v>2197</v>
      </c>
      <c r="H9" s="268"/>
      <c r="I9" s="268"/>
      <c r="J9" s="279"/>
      <c r="K9" s="205"/>
      <c r="L9" s="205"/>
      <c r="M9" s="205"/>
      <c r="N9" s="272"/>
      <c r="O9" s="273"/>
      <c r="P9" s="274" t="s">
        <v>2235</v>
      </c>
      <c r="Q9" s="275" t="s">
        <v>101</v>
      </c>
      <c r="R9" s="131" t="s">
        <v>2236</v>
      </c>
      <c r="S9" s="131"/>
      <c r="T9" s="276"/>
      <c r="U9" s="277"/>
      <c r="V9" s="277"/>
      <c r="W9" s="277"/>
      <c r="X9" s="277"/>
      <c r="Y9" s="277"/>
      <c r="Z9" t="e">
        <f>VLOOKUP(A9,#REF!,9,FALSE)</f>
        <v>#REF!</v>
      </c>
    </row>
    <row r="10" spans="1:26" ht="15.75" thickBot="1">
      <c r="A10" s="121" t="s">
        <v>1113</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527</v>
      </c>
      <c r="B11" s="102" t="s">
        <v>50</v>
      </c>
      <c r="C11" s="215">
        <v>45807</v>
      </c>
      <c r="D11" s="282"/>
      <c r="E11" s="269" t="s">
        <v>2234</v>
      </c>
      <c r="F11" s="282"/>
      <c r="G11" s="283" t="s">
        <v>2197</v>
      </c>
      <c r="H11" s="230"/>
      <c r="I11" s="230"/>
      <c r="J11" s="45"/>
      <c r="K11" s="204"/>
      <c r="L11" s="204"/>
      <c r="M11" s="204"/>
      <c r="N11" s="284"/>
      <c r="O11" s="285"/>
      <c r="P11" s="274" t="s">
        <v>2235</v>
      </c>
      <c r="Q11" s="275" t="s">
        <v>101</v>
      </c>
      <c r="R11" s="131" t="s">
        <v>2236</v>
      </c>
      <c r="S11" s="131"/>
      <c r="T11" s="276"/>
      <c r="U11" s="277"/>
      <c r="V11" s="277"/>
      <c r="W11" s="277"/>
      <c r="X11" s="277"/>
      <c r="Y11" s="277"/>
      <c r="Z11" t="e">
        <f>VLOOKUP(A11,#REF!,9,FALSE)</f>
        <v>#REF!</v>
      </c>
    </row>
    <row r="12" spans="1:26" ht="15.75" thickBot="1">
      <c r="A12" s="121" t="s">
        <v>1108</v>
      </c>
      <c r="B12" s="102" t="s">
        <v>50</v>
      </c>
      <c r="C12" s="215" t="e">
        <v>#N/A</v>
      </c>
      <c r="D12" s="282"/>
      <c r="E12" s="269" t="s">
        <v>2234</v>
      </c>
      <c r="F12" s="282"/>
      <c r="G12" s="283" t="s">
        <v>2197</v>
      </c>
      <c r="H12" s="230"/>
      <c r="I12" s="230"/>
      <c r="J12" s="45"/>
      <c r="K12" s="204"/>
      <c r="L12" s="204"/>
      <c r="M12" s="204"/>
      <c r="N12" s="284"/>
      <c r="O12" s="285"/>
      <c r="P12" s="274" t="s">
        <v>2235</v>
      </c>
      <c r="Q12" s="275" t="s">
        <v>101</v>
      </c>
      <c r="R12" s="131" t="s">
        <v>2236</v>
      </c>
      <c r="S12" s="131"/>
      <c r="T12" s="276"/>
      <c r="U12" s="277"/>
      <c r="V12" s="277"/>
      <c r="W12" s="277"/>
      <c r="X12" s="277"/>
      <c r="Y12" s="277"/>
      <c r="Z12" t="e">
        <f>VLOOKUP(A12,#REF!,9,FALSE)</f>
        <v>#REF!</v>
      </c>
    </row>
    <row r="13" spans="1:26" ht="15.75" thickBot="1">
      <c r="A13" s="121" t="s">
        <v>1134</v>
      </c>
      <c r="B13" s="102" t="s">
        <v>50</v>
      </c>
      <c r="C13" s="215" t="e">
        <v>#N/A</v>
      </c>
      <c r="D13" s="282"/>
      <c r="E13" s="269" t="s">
        <v>2234</v>
      </c>
      <c r="F13" s="282"/>
      <c r="G13" s="283" t="s">
        <v>2197</v>
      </c>
      <c r="H13" s="230"/>
      <c r="I13" s="230"/>
      <c r="J13" s="45"/>
      <c r="K13" s="204"/>
      <c r="L13" s="204"/>
      <c r="M13" s="204"/>
      <c r="N13" s="284"/>
      <c r="O13" s="285"/>
      <c r="P13" s="274" t="s">
        <v>2235</v>
      </c>
      <c r="Q13" s="275" t="s">
        <v>101</v>
      </c>
      <c r="R13" s="131" t="s">
        <v>2236</v>
      </c>
      <c r="S13" s="131"/>
      <c r="T13" s="276"/>
      <c r="U13" s="277"/>
      <c r="V13" s="277"/>
      <c r="W13" s="277"/>
      <c r="X13" s="277"/>
      <c r="Y13" s="277"/>
      <c r="Z13" t="e">
        <f>VLOOKUP(A13,#REF!,9,FALSE)</f>
        <v>#REF!</v>
      </c>
    </row>
    <row r="14" spans="1:26" ht="15.75" thickBot="1">
      <c r="A14" s="278" t="s">
        <v>523</v>
      </c>
      <c r="B14" s="102" t="s">
        <v>50</v>
      </c>
      <c r="C14" s="215">
        <v>45807</v>
      </c>
      <c r="D14" s="282"/>
      <c r="E14" s="269" t="s">
        <v>2234</v>
      </c>
      <c r="F14" s="282"/>
      <c r="G14" s="283" t="s">
        <v>2197</v>
      </c>
      <c r="H14" s="230"/>
      <c r="I14" s="230"/>
      <c r="J14" s="45"/>
      <c r="K14" s="204"/>
      <c r="L14" s="204"/>
      <c r="M14" s="204"/>
      <c r="N14" s="284"/>
      <c r="O14" s="285"/>
      <c r="P14" s="274" t="s">
        <v>2235</v>
      </c>
      <c r="Q14" s="275" t="s">
        <v>101</v>
      </c>
      <c r="R14" s="131" t="s">
        <v>2236</v>
      </c>
      <c r="S14" s="131"/>
      <c r="T14" s="276"/>
      <c r="U14" s="277"/>
      <c r="V14" s="277"/>
      <c r="W14" s="277"/>
      <c r="X14" s="277"/>
      <c r="Y14" s="277"/>
      <c r="Z14" t="e">
        <f>VLOOKUP(A14,#REF!,9,FALSE)</f>
        <v>#REF!</v>
      </c>
    </row>
    <row r="15" spans="1:26" ht="15.75" thickBot="1">
      <c r="A15" s="121" t="s">
        <v>1112</v>
      </c>
      <c r="B15" s="102" t="s">
        <v>50</v>
      </c>
      <c r="C15" s="215" t="e">
        <v>#N/A</v>
      </c>
      <c r="D15" s="282"/>
      <c r="E15" s="269" t="s">
        <v>2234</v>
      </c>
      <c r="F15" s="282"/>
      <c r="G15" s="283" t="s">
        <v>2197</v>
      </c>
      <c r="H15" s="230"/>
      <c r="I15" s="230"/>
      <c r="J15" s="45"/>
      <c r="K15" s="204"/>
      <c r="L15" s="204"/>
      <c r="M15" s="204"/>
      <c r="N15" s="284"/>
      <c r="O15" s="285"/>
      <c r="P15" s="274" t="s">
        <v>2235</v>
      </c>
      <c r="Q15" s="275" t="s">
        <v>101</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101</v>
      </c>
      <c r="R16" s="131" t="s">
        <v>2236</v>
      </c>
      <c r="S16" s="131"/>
      <c r="T16" s="276"/>
      <c r="U16" s="277"/>
      <c r="V16" s="277"/>
      <c r="W16" s="277"/>
      <c r="X16" s="277"/>
      <c r="Y16" s="277"/>
      <c r="Z16" t="e">
        <f>VLOOKUP(A16,#REF!,9,FALSE)</f>
        <v>#REF!</v>
      </c>
    </row>
    <row r="17" spans="1:26" ht="15.75" thickBot="1">
      <c r="A17" s="275" t="s">
        <v>806</v>
      </c>
      <c r="B17" s="102" t="s">
        <v>50</v>
      </c>
      <c r="C17" s="215" t="e">
        <v>#N/A</v>
      </c>
      <c r="D17" s="282"/>
      <c r="E17" s="269" t="s">
        <v>2199</v>
      </c>
      <c r="F17" s="282"/>
      <c r="G17" s="283" t="s">
        <v>2197</v>
      </c>
      <c r="H17" s="230"/>
      <c r="I17" s="230"/>
      <c r="J17" s="45"/>
      <c r="K17" s="204"/>
      <c r="L17" s="204"/>
      <c r="M17" s="204"/>
      <c r="N17" s="284"/>
      <c r="O17" s="285"/>
      <c r="P17" s="274"/>
      <c r="Q17" s="275" t="s">
        <v>101</v>
      </c>
      <c r="R17" s="131" t="s">
        <v>2236</v>
      </c>
      <c r="S17" s="131"/>
      <c r="T17" s="276"/>
      <c r="U17" s="277"/>
      <c r="V17" s="277"/>
      <c r="W17" s="277"/>
      <c r="X17" s="277"/>
      <c r="Y17" s="277"/>
      <c r="Z17" t="e">
        <f>VLOOKUP(A17,#REF!,9,FALSE)</f>
        <v>#REF!</v>
      </c>
    </row>
    <row r="18" spans="1:26" ht="15.75" thickBot="1">
      <c r="A18" s="275" t="s">
        <v>783</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786</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729</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64</v>
      </c>
      <c r="R21" s="131" t="s">
        <v>2236</v>
      </c>
      <c r="S21" s="228"/>
      <c r="T21" s="227"/>
      <c r="U21" s="226"/>
      <c r="V21" s="226"/>
      <c r="W21" s="226"/>
      <c r="X21" s="226"/>
      <c r="Y21" s="226" t="s">
        <v>2241</v>
      </c>
      <c r="Z21" t="e">
        <f>VLOOKUP(A21,#REF!,9,FALSE)</f>
        <v>#REF!</v>
      </c>
    </row>
    <row r="22" spans="1:26" ht="15.75" thickBot="1">
      <c r="A22" s="275" t="s">
        <v>731</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713</v>
      </c>
      <c r="B23" s="102" t="s">
        <v>50</v>
      </c>
      <c r="C23" s="215" t="e">
        <v>#N/A</v>
      </c>
      <c r="D23" s="282"/>
      <c r="E23" s="269" t="s">
        <v>2199</v>
      </c>
      <c r="F23" s="282"/>
      <c r="G23" s="283" t="s">
        <v>2197</v>
      </c>
      <c r="H23" s="230"/>
      <c r="I23" s="230"/>
      <c r="J23" s="45"/>
      <c r="K23" s="204"/>
      <c r="L23" s="204"/>
      <c r="M23" s="204"/>
      <c r="N23" s="284"/>
      <c r="O23" s="285"/>
      <c r="P23" s="274"/>
      <c r="Q23" s="275" t="s">
        <v>64</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64</v>
      </c>
      <c r="R24" s="131" t="s">
        <v>2236</v>
      </c>
      <c r="S24" s="228"/>
      <c r="T24" s="227"/>
      <c r="U24" s="226"/>
      <c r="V24" s="226"/>
      <c r="W24" s="226"/>
      <c r="X24" s="226"/>
      <c r="Y24" s="226" t="s">
        <v>2242</v>
      </c>
      <c r="Z24" t="e">
        <f>VLOOKUP(A24,#REF!,9,FALSE)</f>
        <v>#REF!</v>
      </c>
    </row>
    <row r="25" spans="1:26" ht="15.75" thickBot="1">
      <c r="A25" s="275" t="s">
        <v>717</v>
      </c>
      <c r="B25" s="102" t="s">
        <v>50</v>
      </c>
      <c r="C25" s="215">
        <v>45772</v>
      </c>
      <c r="D25" s="282"/>
      <c r="E25" s="269" t="s">
        <v>2199</v>
      </c>
      <c r="F25" s="282"/>
      <c r="G25" s="283" t="s">
        <v>2197</v>
      </c>
      <c r="H25" s="230"/>
      <c r="I25" s="230"/>
      <c r="J25" s="45"/>
      <c r="K25" s="204"/>
      <c r="L25" s="204"/>
      <c r="M25" s="204"/>
      <c r="N25" s="284"/>
      <c r="O25" s="285"/>
      <c r="P25" s="274" t="s">
        <v>2211</v>
      </c>
      <c r="Q25" s="275" t="s">
        <v>64</v>
      </c>
      <c r="R25" s="131" t="s">
        <v>2236</v>
      </c>
      <c r="S25" s="131"/>
      <c r="T25" s="276"/>
      <c r="U25" s="277"/>
      <c r="V25" s="277"/>
      <c r="W25" s="277"/>
      <c r="X25" s="277"/>
      <c r="Y25" s="277"/>
      <c r="Z25" t="e">
        <f>VLOOKUP(A25,#REF!,9,FALSE)</f>
        <v>#REF!</v>
      </c>
    </row>
    <row r="26" spans="1:26" ht="15.75" thickBot="1">
      <c r="A26" s="275" t="s">
        <v>720</v>
      </c>
      <c r="B26" s="102" t="s">
        <v>50</v>
      </c>
      <c r="C26" s="215">
        <v>45772</v>
      </c>
      <c r="D26" s="282"/>
      <c r="E26" s="269" t="s">
        <v>2199</v>
      </c>
      <c r="F26" s="282"/>
      <c r="G26" s="283" t="s">
        <v>2197</v>
      </c>
      <c r="H26" s="230"/>
      <c r="I26" s="230"/>
      <c r="J26" s="45"/>
      <c r="K26" s="204"/>
      <c r="L26" s="204"/>
      <c r="M26" s="204"/>
      <c r="N26" s="284"/>
      <c r="O26" s="285"/>
      <c r="P26" s="274" t="s">
        <v>2211</v>
      </c>
      <c r="Q26" s="275" t="s">
        <v>64</v>
      </c>
      <c r="R26" s="131" t="s">
        <v>2236</v>
      </c>
      <c r="S26" s="131"/>
      <c r="T26" s="276"/>
      <c r="U26" s="277"/>
      <c r="V26" s="277"/>
      <c r="W26" s="277"/>
      <c r="X26" s="277"/>
      <c r="Y26" s="277"/>
      <c r="Z26" t="e">
        <f>VLOOKUP(A26,#REF!,9,FALSE)</f>
        <v>#REF!</v>
      </c>
    </row>
    <row r="27" spans="1:26" ht="15.75" thickBot="1">
      <c r="A27" s="275" t="s">
        <v>896</v>
      </c>
      <c r="B27" s="102" t="s">
        <v>50</v>
      </c>
      <c r="C27" s="215">
        <v>45772</v>
      </c>
      <c r="D27" s="282"/>
      <c r="E27" s="269" t="s">
        <v>2199</v>
      </c>
      <c r="F27" s="282"/>
      <c r="G27" s="283" t="s">
        <v>2197</v>
      </c>
      <c r="H27" s="230"/>
      <c r="I27" s="230"/>
      <c r="J27" s="45"/>
      <c r="K27" s="204"/>
      <c r="L27" s="204"/>
      <c r="M27" s="204"/>
      <c r="N27" s="284"/>
      <c r="O27" s="285"/>
      <c r="P27" s="274" t="s">
        <v>2211</v>
      </c>
      <c r="Q27" s="275" t="s">
        <v>64</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64</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64</v>
      </c>
      <c r="R29" s="131" t="s">
        <v>2236</v>
      </c>
      <c r="S29" s="228"/>
      <c r="T29" s="227"/>
      <c r="U29" s="226"/>
      <c r="V29" s="226"/>
      <c r="W29" s="226"/>
      <c r="X29" s="226"/>
      <c r="Y29" s="226" t="s">
        <v>2243</v>
      </c>
      <c r="Z29" t="e">
        <f>VLOOKUP(A29,#REF!,9,FALSE)</f>
        <v>#REF!</v>
      </c>
    </row>
    <row r="30" spans="1:26" ht="15.75" thickBot="1">
      <c r="A30" s="275" t="s">
        <v>749</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753</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741</v>
      </c>
      <c r="B33" s="102" t="s">
        <v>50</v>
      </c>
      <c r="C33" s="215">
        <v>45831</v>
      </c>
      <c r="D33" s="282"/>
      <c r="E33" s="269" t="s">
        <v>2199</v>
      </c>
      <c r="F33" s="282"/>
      <c r="G33" s="283" t="s">
        <v>2197</v>
      </c>
      <c r="H33" s="230"/>
      <c r="I33" s="230"/>
      <c r="J33" s="45"/>
      <c r="K33" s="204"/>
      <c r="L33" s="204"/>
      <c r="M33" s="204"/>
      <c r="N33" s="284"/>
      <c r="O33" s="285"/>
      <c r="P33" s="274"/>
      <c r="Q33" s="225" t="s">
        <v>64</v>
      </c>
      <c r="R33" s="131" t="s">
        <v>2236</v>
      </c>
      <c r="S33" s="131"/>
      <c r="T33" s="276"/>
      <c r="U33" s="277"/>
      <c r="V33" s="277"/>
      <c r="W33" s="277"/>
      <c r="X33" s="277"/>
      <c r="Y33" s="277"/>
      <c r="Z33" t="e">
        <f>VLOOKUP(A33,#REF!,9,FALSE)</f>
        <v>#REF!</v>
      </c>
    </row>
    <row r="34" spans="1:26" ht="15.75" thickBot="1">
      <c r="A34" s="275" t="s">
        <v>735</v>
      </c>
      <c r="B34" s="102" t="s">
        <v>50</v>
      </c>
      <c r="C34" s="215">
        <v>45831</v>
      </c>
      <c r="D34" s="282"/>
      <c r="E34" s="269" t="s">
        <v>2199</v>
      </c>
      <c r="F34" s="282"/>
      <c r="G34" s="283" t="s">
        <v>2197</v>
      </c>
      <c r="H34" s="230"/>
      <c r="I34" s="230"/>
      <c r="J34" s="45"/>
      <c r="K34" s="204"/>
      <c r="L34" s="204"/>
      <c r="M34" s="204"/>
      <c r="N34" s="284"/>
      <c r="O34" s="285"/>
      <c r="P34" s="274"/>
      <c r="Q34" s="275" t="s">
        <v>64</v>
      </c>
      <c r="R34" s="131" t="s">
        <v>2236</v>
      </c>
      <c r="S34" s="131"/>
      <c r="T34" s="276"/>
      <c r="U34" s="277"/>
      <c r="V34" s="277"/>
      <c r="W34" s="277"/>
      <c r="X34" s="277"/>
      <c r="Y34" s="277"/>
      <c r="Z34" t="e">
        <f>VLOOKUP(A34,#REF!,9,FALSE)</f>
        <v>#REF!</v>
      </c>
    </row>
    <row r="35" spans="1:26" ht="15.75" thickBot="1">
      <c r="A35" s="275" t="s">
        <v>737</v>
      </c>
      <c r="B35" s="102" t="s">
        <v>50</v>
      </c>
      <c r="C35" s="215">
        <v>45831</v>
      </c>
      <c r="D35" s="282"/>
      <c r="E35" s="269" t="s">
        <v>2199</v>
      </c>
      <c r="F35" s="282"/>
      <c r="G35" s="283" t="s">
        <v>2197</v>
      </c>
      <c r="H35" s="230"/>
      <c r="I35" s="230"/>
      <c r="J35" s="45"/>
      <c r="K35" s="204"/>
      <c r="L35" s="204"/>
      <c r="M35" s="204"/>
      <c r="N35" s="284"/>
      <c r="O35" s="285"/>
      <c r="P35" s="274"/>
      <c r="Q35" s="275" t="s">
        <v>64</v>
      </c>
      <c r="R35" s="131" t="s">
        <v>2236</v>
      </c>
      <c r="S35" s="131"/>
      <c r="T35" s="276"/>
      <c r="U35" s="277"/>
      <c r="V35" s="277"/>
      <c r="W35" s="277"/>
      <c r="X35" s="277"/>
      <c r="Y35" s="277"/>
      <c r="Z35" t="e">
        <f>VLOOKUP(A35,#REF!,9,FALSE)</f>
        <v>#REF!</v>
      </c>
    </row>
    <row r="36" spans="1:26" ht="15.75" thickBot="1">
      <c r="A36" s="275" t="s">
        <v>733</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743</v>
      </c>
      <c r="B37" s="102" t="s">
        <v>50</v>
      </c>
      <c r="C37" s="215">
        <v>45831</v>
      </c>
      <c r="D37" s="282"/>
      <c r="E37" s="269" t="s">
        <v>2199</v>
      </c>
      <c r="F37" s="282"/>
      <c r="G37" s="283" t="s">
        <v>2197</v>
      </c>
      <c r="H37" s="230"/>
      <c r="I37" s="230"/>
      <c r="J37" s="45"/>
      <c r="K37" s="204"/>
      <c r="L37" s="204"/>
      <c r="M37" s="204"/>
      <c r="N37" s="284"/>
      <c r="O37" s="285"/>
      <c r="P37" s="274"/>
      <c r="Q37" s="275" t="s">
        <v>64</v>
      </c>
      <c r="R37" s="131" t="s">
        <v>2236</v>
      </c>
      <c r="S37" s="131"/>
      <c r="T37" s="276"/>
      <c r="U37" s="277"/>
      <c r="V37" s="277"/>
      <c r="W37" s="277"/>
      <c r="X37" s="277"/>
      <c r="Y37" s="277"/>
      <c r="Z37" t="e">
        <f>VLOOKUP(A37,#REF!,9,FALSE)</f>
        <v>#REF!</v>
      </c>
    </row>
    <row r="38" spans="1:26" ht="15.75" thickBot="1">
      <c r="A38" s="275" t="s">
        <v>747</v>
      </c>
      <c r="B38" s="102" t="s">
        <v>50</v>
      </c>
      <c r="C38" s="215">
        <v>45831</v>
      </c>
      <c r="D38" s="282"/>
      <c r="E38" s="269" t="s">
        <v>2199</v>
      </c>
      <c r="F38" s="282"/>
      <c r="G38" s="283" t="s">
        <v>2197</v>
      </c>
      <c r="H38" s="230"/>
      <c r="I38" s="230"/>
      <c r="J38" s="45"/>
      <c r="K38" s="204"/>
      <c r="L38" s="204"/>
      <c r="M38" s="204"/>
      <c r="N38" s="284"/>
      <c r="O38" s="285"/>
      <c r="P38" s="274"/>
      <c r="Q38" s="275" t="s">
        <v>64</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751</v>
      </c>
      <c r="B40" s="102" t="s">
        <v>50</v>
      </c>
      <c r="C40" s="215">
        <v>45831</v>
      </c>
      <c r="D40" s="282"/>
      <c r="E40" s="269" t="s">
        <v>2199</v>
      </c>
      <c r="F40" s="282"/>
      <c r="G40" s="283" t="s">
        <v>2197</v>
      </c>
      <c r="H40" s="230"/>
      <c r="I40" s="230"/>
      <c r="J40" s="45"/>
      <c r="K40" s="204"/>
      <c r="L40" s="204"/>
      <c r="M40" s="204"/>
      <c r="N40" s="284"/>
      <c r="O40" s="285"/>
      <c r="P40" s="274"/>
      <c r="Q40" s="275" t="s">
        <v>64</v>
      </c>
      <c r="R40" s="131" t="s">
        <v>2236</v>
      </c>
      <c r="S40" s="131"/>
      <c r="T40" s="276"/>
      <c r="U40" s="277"/>
      <c r="V40" s="277"/>
      <c r="W40" s="277"/>
      <c r="X40" s="277"/>
      <c r="Y40" s="277"/>
      <c r="Z40" t="e">
        <f>VLOOKUP(A40,#REF!,9,FALSE)</f>
        <v>#REF!</v>
      </c>
    </row>
    <row r="41" spans="1:26" ht="15.75" thickBot="1">
      <c r="A41" s="275" t="s">
        <v>88</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83</v>
      </c>
      <c r="B42" s="102" t="s">
        <v>50</v>
      </c>
      <c r="C42" s="215">
        <v>45807</v>
      </c>
      <c r="D42" s="282"/>
      <c r="E42" s="269" t="s">
        <v>2234</v>
      </c>
      <c r="F42" s="282"/>
      <c r="G42" s="283" t="s">
        <v>2197</v>
      </c>
      <c r="H42" s="230"/>
      <c r="I42" s="230"/>
      <c r="J42" s="45"/>
      <c r="K42" s="204"/>
      <c r="L42" s="204"/>
      <c r="M42" s="204"/>
      <c r="N42" s="284"/>
      <c r="O42" s="285"/>
      <c r="P42" s="274" t="s">
        <v>2235</v>
      </c>
      <c r="Q42" s="275" t="s">
        <v>64</v>
      </c>
      <c r="R42" s="131" t="s">
        <v>2236</v>
      </c>
      <c r="S42" s="131"/>
      <c r="T42" s="276"/>
      <c r="U42" s="277"/>
      <c r="V42" s="277"/>
      <c r="W42" s="277"/>
      <c r="X42" s="277"/>
      <c r="Y42" s="277"/>
      <c r="Z42" t="e">
        <f>VLOOKUP(A42,#REF!,9,FALSE)</f>
        <v>#REF!</v>
      </c>
    </row>
    <row r="43" spans="1:26" ht="15.75" thickBot="1">
      <c r="A43" s="275" t="s">
        <v>530</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80</v>
      </c>
      <c r="B44" s="102" t="s">
        <v>50</v>
      </c>
      <c r="C44" s="215">
        <v>45807</v>
      </c>
      <c r="D44" s="282"/>
      <c r="E44" s="269" t="s">
        <v>2234</v>
      </c>
      <c r="F44" s="282"/>
      <c r="G44" s="283" t="s">
        <v>2197</v>
      </c>
      <c r="H44" s="230"/>
      <c r="I44" s="230"/>
      <c r="J44" s="45"/>
      <c r="K44" s="204"/>
      <c r="L44" s="204"/>
      <c r="M44" s="204"/>
      <c r="N44" s="284"/>
      <c r="O44" s="285"/>
      <c r="P44" s="274" t="s">
        <v>2205</v>
      </c>
      <c r="Q44" s="275" t="s">
        <v>64</v>
      </c>
      <c r="R44" s="131" t="s">
        <v>2236</v>
      </c>
      <c r="S44" s="131"/>
      <c r="T44" s="276"/>
      <c r="U44" s="277"/>
      <c r="V44" s="277"/>
      <c r="W44" s="277"/>
      <c r="X44" s="277"/>
      <c r="Y44" s="277"/>
      <c r="Z44" t="e">
        <f>VLOOKUP(A44,#REF!,9,FALSE)</f>
        <v>#REF!</v>
      </c>
    </row>
    <row r="45" spans="1:26" ht="15.75" thickBot="1">
      <c r="A45" s="335" t="s">
        <v>547</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549</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174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599</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593</v>
      </c>
      <c r="B49" s="102" t="s">
        <v>109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591</v>
      </c>
      <c r="B50" s="102" t="s">
        <v>109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597</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573</v>
      </c>
      <c r="B52" s="102" t="s">
        <v>109</v>
      </c>
      <c r="C52" s="215">
        <v>45925</v>
      </c>
      <c r="D52" s="282"/>
      <c r="E52" s="269" t="s">
        <v>2234</v>
      </c>
      <c r="F52" s="282"/>
      <c r="G52" s="283" t="s">
        <v>2197</v>
      </c>
      <c r="H52" s="230"/>
      <c r="I52" s="230"/>
      <c r="J52" s="45"/>
      <c r="K52" s="204"/>
      <c r="L52" s="204"/>
      <c r="M52" s="204"/>
      <c r="N52" s="284"/>
      <c r="O52" s="285"/>
      <c r="P52" s="274" t="s">
        <v>2235</v>
      </c>
      <c r="Q52" s="275" t="s">
        <v>64</v>
      </c>
      <c r="R52" s="131" t="s">
        <v>2236</v>
      </c>
      <c r="S52" s="131"/>
      <c r="T52" s="276"/>
      <c r="U52" s="277"/>
      <c r="V52" s="277"/>
      <c r="W52" s="277"/>
      <c r="X52" s="277"/>
      <c r="Y52" s="277"/>
      <c r="Z52" t="e">
        <f>VLOOKUP(A52,#REF!,9,FALSE)</f>
        <v>#REF!</v>
      </c>
    </row>
    <row r="53" spans="1:26" ht="15.75" thickBot="1">
      <c r="A53" s="292" t="s">
        <v>575</v>
      </c>
      <c r="B53" s="102" t="s">
        <v>109</v>
      </c>
      <c r="C53" s="215">
        <v>45925</v>
      </c>
      <c r="D53" s="282"/>
      <c r="E53" s="269" t="s">
        <v>2234</v>
      </c>
      <c r="F53" s="282"/>
      <c r="G53" s="283" t="s">
        <v>2197</v>
      </c>
      <c r="H53" s="230"/>
      <c r="I53" s="230"/>
      <c r="J53" s="45"/>
      <c r="K53" s="204"/>
      <c r="L53" s="204"/>
      <c r="M53" s="204"/>
      <c r="N53" s="284"/>
      <c r="O53" s="285"/>
      <c r="P53" s="274" t="s">
        <v>2235</v>
      </c>
      <c r="Q53" s="275" t="s">
        <v>64</v>
      </c>
      <c r="R53" s="131" t="s">
        <v>2236</v>
      </c>
      <c r="S53" s="131"/>
      <c r="T53" s="276"/>
      <c r="U53" s="277"/>
      <c r="V53" s="277"/>
      <c r="W53" s="277"/>
      <c r="X53" s="277"/>
      <c r="Y53" s="277"/>
      <c r="Z53" t="e">
        <f>VLOOKUP(A53,#REF!,9,FALSE)</f>
        <v>#REF!</v>
      </c>
    </row>
    <row r="54" spans="1:26" ht="15.75" thickBot="1">
      <c r="A54" s="292" t="s">
        <v>571</v>
      </c>
      <c r="B54" s="102" t="s">
        <v>109</v>
      </c>
      <c r="C54" s="215">
        <v>45925</v>
      </c>
      <c r="D54" s="282"/>
      <c r="E54" s="269" t="s">
        <v>2234</v>
      </c>
      <c r="F54" s="282"/>
      <c r="G54" s="283" t="s">
        <v>2197</v>
      </c>
      <c r="H54" s="230"/>
      <c r="I54" s="230"/>
      <c r="J54" s="45"/>
      <c r="K54" s="204"/>
      <c r="L54" s="204"/>
      <c r="M54" s="204"/>
      <c r="N54" s="284"/>
      <c r="O54" s="285"/>
      <c r="P54" s="274" t="s">
        <v>2235</v>
      </c>
      <c r="Q54" s="275" t="s">
        <v>64</v>
      </c>
      <c r="R54" s="131" t="s">
        <v>2236</v>
      </c>
      <c r="S54" s="131"/>
      <c r="T54" s="276"/>
      <c r="U54" s="277"/>
      <c r="V54" s="277"/>
      <c r="W54" s="277"/>
      <c r="X54" s="277"/>
      <c r="Y54" s="277"/>
      <c r="Z54" t="e">
        <f>VLOOKUP(A54,#REF!,9,FALSE)</f>
        <v>#REF!</v>
      </c>
    </row>
    <row r="55" spans="1:26" ht="15.75" thickBot="1">
      <c r="A55" s="292" t="s">
        <v>623</v>
      </c>
      <c r="B55" s="102" t="s">
        <v>109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126</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109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22" t="s">
        <v>571</v>
      </c>
      <c r="B58" s="102" t="s">
        <v>50</v>
      </c>
      <c r="C58" s="296">
        <v>45807</v>
      </c>
      <c r="D58" s="282"/>
      <c r="E58" s="269" t="s">
        <v>2199</v>
      </c>
      <c r="F58" s="282"/>
      <c r="G58" s="283" t="s">
        <v>2197</v>
      </c>
      <c r="H58" s="230"/>
      <c r="I58" s="230"/>
      <c r="J58" s="45"/>
      <c r="K58" s="204"/>
      <c r="L58" s="204"/>
      <c r="M58" s="204"/>
      <c r="N58" s="284"/>
      <c r="O58" s="285"/>
      <c r="P58" s="287"/>
      <c r="Q58" s="275" t="s">
        <v>64</v>
      </c>
      <c r="R58" s="131" t="s">
        <v>2236</v>
      </c>
      <c r="S58" s="131"/>
      <c r="T58" s="276"/>
      <c r="U58" s="277"/>
      <c r="V58" s="277"/>
      <c r="W58" s="277"/>
      <c r="X58" s="277"/>
      <c r="Y58" s="277"/>
    </row>
    <row r="59" spans="1:26" ht="15.75" thickBot="1">
      <c r="A59" s="622" t="s">
        <v>573</v>
      </c>
      <c r="B59" s="102" t="s">
        <v>109</v>
      </c>
      <c r="C59" s="296">
        <v>45772</v>
      </c>
      <c r="D59" s="282"/>
      <c r="E59" s="269" t="s">
        <v>2199</v>
      </c>
      <c r="F59" s="282"/>
      <c r="G59" s="283" t="s">
        <v>2197</v>
      </c>
      <c r="H59" s="230"/>
      <c r="I59" s="230"/>
      <c r="J59" s="45"/>
      <c r="K59" s="204"/>
      <c r="L59" s="204"/>
      <c r="M59" s="204"/>
      <c r="N59" s="284"/>
      <c r="O59" s="285"/>
      <c r="P59" s="287"/>
      <c r="Q59" s="275" t="s">
        <v>64</v>
      </c>
      <c r="R59" s="131" t="s">
        <v>2236</v>
      </c>
      <c r="S59" s="131"/>
      <c r="T59" s="276"/>
      <c r="U59" s="277"/>
      <c r="V59" s="277"/>
      <c r="W59" s="277"/>
      <c r="X59" s="277"/>
      <c r="Y59" s="277"/>
    </row>
    <row r="60" spans="1:26" ht="15.75" thickBot="1">
      <c r="A60" s="623" t="s">
        <v>575</v>
      </c>
      <c r="B60" s="102" t="s">
        <v>109</v>
      </c>
      <c r="C60" s="296">
        <v>45772</v>
      </c>
      <c r="D60" s="282"/>
      <c r="E60" s="269" t="s">
        <v>2199</v>
      </c>
      <c r="F60" s="282"/>
      <c r="G60" s="283" t="s">
        <v>2197</v>
      </c>
      <c r="H60" s="230"/>
      <c r="I60" s="230"/>
      <c r="J60" s="45"/>
      <c r="K60" s="204"/>
      <c r="L60" s="204"/>
      <c r="M60" s="204"/>
      <c r="N60" s="284"/>
      <c r="O60" s="285"/>
      <c r="P60" s="287"/>
      <c r="Q60" s="275" t="s">
        <v>64</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1087</v>
      </c>
      <c r="B73" s="301">
        <f>SUM(B70:B72)</f>
        <v>0</v>
      </c>
      <c r="C73" s="279"/>
    </row>
    <row r="80" spans="1:25">
      <c r="A80" t="s">
        <v>2249</v>
      </c>
    </row>
    <row r="81" spans="1:1">
      <c r="A81" t="s">
        <v>2250</v>
      </c>
    </row>
    <row r="82" spans="1:1">
      <c r="A82" t="s">
        <v>2235</v>
      </c>
    </row>
    <row r="83" spans="1:1">
      <c r="A83" t="s">
        <v>2251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F95AC3F-ACFC-4FD9-B229-021B68A5920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2026-01-16T23:46:55Z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