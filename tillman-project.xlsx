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7" documentId="120_S{26355A1A-C9FF-5539-9B49-32C1F08D0326}" xr6:coauthVersionLast="47" xr6:coauthVersionMax="47" xr10:uidLastSave="{B624E2F4-21B2-49E5-AFC5-9D4316004B90}"/>
  <bookViews>
    <workbookView xWindow="28680" yWindow="-120" windowWidth="29040" windowHeight="15720" tabRatio="866" firstSheet="8"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19857" r:id="rId11"/>
    <pivotCache cacheId="19858" r:id="rId12"/>
    <pivotCache cacheId="19859" r:id="rId13"/>
    <pivotCache cacheId="19860" r:id="rId14"/>
    <pivotCache cacheId="1986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<sst xmlns="http://schemas.openxmlformats.org/spreadsheetml/2006/main" count="18516" uniqueCount="2339">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</sst>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T43" activePane="topRight" state="frozen"/>
      <selection pane="topRight" activeCell="V51" sqref="V5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2">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1454</v>
      </c>
      <c r="W51" s="891">
        <f t="shared" si="5"/>
        <v>3940</v>
      </c>
      <c r="X51" s="521">
        <f t="shared" si="6"/>
        <v>0.26955876900259546</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72">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80">
        <v>1065</v>
      </c>
      <c r="W57" s="1372">
        <f>SUM(U57-V57)</f>
        <v>9963</v>
      </c>
      <c r="X57" s="521">
        <f>IFERROR($V57/$U57, 0)</f>
        <v>9.6572361262241571E-2</v>
      </c>
      <c r="Y57" s="1377">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7"/>
      <c r="R62" s="1377"/>
      <c r="S62" s="1377"/>
      <c r="T62" s="1377"/>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5">
        <v>402</v>
      </c>
      <c r="I63" s="519" t="s">
        <v>53</v>
      </c>
      <c r="J63" s="961" t="s">
        <v>82</v>
      </c>
      <c r="K63" s="1382"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7">
        <v>46086</v>
      </c>
      <c r="R64" s="1377"/>
      <c r="S64" s="1377"/>
      <c r="T64" s="1377"/>
      <c r="U64" s="1378">
        <v>47</v>
      </c>
      <c r="V64" s="1372"/>
      <c r="W64" s="1372">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7">
        <v>46087</v>
      </c>
      <c r="R68" s="1377"/>
      <c r="S68" s="1377"/>
      <c r="T68" s="1377"/>
      <c r="U68" s="1378">
        <v>105</v>
      </c>
      <c r="V68" s="1372"/>
      <c r="W68" s="1372">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7"/>
      <c r="R69" s="1377"/>
      <c r="S69" s="1377"/>
      <c r="T69" s="1377"/>
      <c r="U69" s="1378">
        <v>406</v>
      </c>
      <c r="V69" s="1372"/>
      <c r="W69" s="1372">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7">
        <v>46087</v>
      </c>
      <c r="R70" s="1377"/>
      <c r="S70" s="1377"/>
      <c r="T70" s="1377"/>
      <c r="U70" s="1378">
        <v>508</v>
      </c>
      <c r="V70" s="1372"/>
      <c r="W70" s="1372">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7"/>
      <c r="R74" s="1377"/>
      <c r="S74" s="1377"/>
      <c r="T74" s="1377"/>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7"/>
      <c r="R75" s="1377"/>
      <c r="S75" s="1377"/>
      <c r="T75" s="1377"/>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5">
        <v>109</v>
      </c>
      <c r="I9" s="662" t="s">
        <v>345</v>
      </c>
      <c r="J9" s="665" t="s">
        <v>54</v>
      </c>
      <c r="K9" s="1369"/>
      <c r="L9" s="986">
        <v>45663</v>
      </c>
      <c r="M9" s="898" t="s">
        <v>55</v>
      </c>
      <c r="N9" s="1376">
        <v>123587.5</v>
      </c>
      <c r="O9" s="1375" t="s">
        <v>55</v>
      </c>
      <c r="P9" s="1392" t="s">
        <v>346</v>
      </c>
      <c r="Q9" s="1377">
        <v>46008</v>
      </c>
      <c r="R9" s="1377"/>
      <c r="S9" s="1377"/>
      <c r="T9" s="1377"/>
      <c r="U9" s="1378">
        <v>6825</v>
      </c>
      <c r="V9" s="1393">
        <v>6575</v>
      </c>
      <c r="W9" s="1372">
        <f>SUM(U9-V9)</f>
        <v>250</v>
      </c>
      <c r="X9" s="521">
        <f>IFERROR($V9/$U9, 0)</f>
        <v>0.96336996336996339</v>
      </c>
      <c r="Y9" s="1377">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69">
        <v>0</v>
      </c>
      <c r="I71" s="520" t="s">
        <v>345</v>
      </c>
      <c r="J71" s="1369" t="s">
        <v>54</v>
      </c>
      <c r="K71" s="984" t="s">
        <v>91</v>
      </c>
      <c r="L71" s="1369" t="s">
        <v>55</v>
      </c>
      <c r="M71" s="1394">
        <v>15670.45</v>
      </c>
      <c r="N71" s="346">
        <v>12965</v>
      </c>
      <c r="O71" s="1369" t="s">
        <v>55</v>
      </c>
      <c r="P71" s="1395" t="s">
        <v>346</v>
      </c>
      <c r="Q71" s="1371">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8966</v>
      </c>
      <c r="E4" s="13" t="s">
        <v>1235</v>
      </c>
      <c r="F4" t="s">
        <v>1238</v>
      </c>
      <c r="W4" t="s">
        <v>1241</v>
      </c>
      <c r="X4">
        <v>22</v>
      </c>
    </row>
    <row r="5" spans="1:25">
      <c r="B5" t="s">
        <v>85</v>
      </c>
      <c r="C5">
        <v>23463</v>
      </c>
      <c r="E5" t="s">
        <v>1238</v>
      </c>
      <c r="F5">
        <v>32429</v>
      </c>
      <c r="K5" s="13" t="s">
        <v>1242</v>
      </c>
      <c r="P5" s="13" t="s">
        <v>1242</v>
      </c>
      <c r="W5" t="s">
        <v>1243</v>
      </c>
      <c r="X5">
        <v>13</v>
      </c>
    </row>
    <row r="6" spans="1:25">
      <c r="B6" t="s">
        <v>1244</v>
      </c>
      <c r="C6">
        <v>124703</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215</v>
      </c>
      <c r="C14">
        <v>3461</v>
      </c>
      <c r="L14" t="s">
        <v>757</v>
      </c>
      <c r="M14">
        <v>1</v>
      </c>
      <c r="P14" t="s">
        <v>1257</v>
      </c>
      <c r="R14">
        <v>5</v>
      </c>
    </row>
    <row r="15" spans="1:25">
      <c r="B15" t="s">
        <v>1258</v>
      </c>
      <c r="C15">
        <v>269410</v>
      </c>
      <c r="L15" t="s">
        <v>1255</v>
      </c>
      <c r="M15">
        <v>1</v>
      </c>
      <c r="P15" t="s">
        <v>1244</v>
      </c>
      <c r="R15">
        <v>12</v>
      </c>
    </row>
    <row r="16" spans="1:25">
      <c r="L16" t="s">
        <v>759</v>
      </c>
      <c r="M16">
        <v>1</v>
      </c>
      <c r="P16" t="s">
        <v>1258</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1258</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F4">
        <v>1049</v>
      </c>
      <c r="G4">
        <v>1049</v>
      </c>
      <c r="J4" s="13" t="s">
        <v>1308</v>
      </c>
      <c r="K4" t="s">
        <v>1238</v>
      </c>
      <c r="N4" s="13" t="s">
        <v>1308</v>
      </c>
      <c r="O4" t="s">
        <v>1309</v>
      </c>
      <c r="P4" t="s">
        <v>1310</v>
      </c>
      <c r="Q4" t="s">
        <v>1311</v>
      </c>
      <c r="R4" t="s">
        <v>1258</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49194</v>
      </c>
      <c r="Q6">
        <v>33743</v>
      </c>
      <c r="R6">
        <v>107735</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1258</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1258</v>
      </c>
      <c r="O13">
        <v>50898</v>
      </c>
      <c r="P13">
        <v>145443</v>
      </c>
      <c r="Q13">
        <v>113546</v>
      </c>
      <c r="R13">
        <v>309887</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1258</v>
      </c>
      <c r="J16" t="s">
        <v>716</v>
      </c>
      <c r="K16">
        <v>6718</v>
      </c>
    </row>
    <row r="17" spans="1:11">
      <c r="A17" t="s">
        <v>709</v>
      </c>
      <c r="E17">
        <v>547</v>
      </c>
      <c r="F17">
        <v>792</v>
      </c>
      <c r="G17">
        <v>1339</v>
      </c>
      <c r="J17" t="s">
        <v>438</v>
      </c>
    </row>
    <row r="18" spans="1:11">
      <c r="A18" t="s">
        <v>712</v>
      </c>
      <c r="F18">
        <v>823</v>
      </c>
      <c r="G18">
        <v>823</v>
      </c>
      <c r="J18" t="s">
        <v>1258</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1258</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1258</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1258</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1258</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1258</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1258</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1258</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1258</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1258</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1258</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1258</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1258</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1258</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1258</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1258</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1258</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1258</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1258</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1258</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1258</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1258</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1258</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1258</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1258</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1258</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1258</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1258</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1258</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1258</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1258</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1258</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1258</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1258</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1258</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1258</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1258</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1258</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1258</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1258</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1258</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1258</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1258</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1258</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1258</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1258</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1258</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1258</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1258</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1258</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1258</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1258</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1258</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1258</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1258</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1258</v>
      </c>
      <c r="B1375">
        <v>4305</v>
      </c>
      <c r="C1375">
        <v>2366</v>
      </c>
      <c r="D1375">
        <v>1337</v>
      </c>
      <c r="E1375">
        <v>1442</v>
      </c>
      <c r="F1375">
        <v>1392</v>
      </c>
      <c r="G1375">
        <v>10842</v>
      </c>
    </row>
    <row r="1378" spans="1:4">
      <c r="A1378" s="13" t="s">
        <v>1305</v>
      </c>
      <c r="B1378" s="13" t="s">
        <v>1304</v>
      </c>
    </row>
    <row r="1379" spans="1:4">
      <c r="A1379" s="13" t="s">
        <v>1306</v>
      </c>
      <c r="B1379" s="50">
        <v>46090</v>
      </c>
      <c r="C1379" s="50">
        <v>46091</v>
      </c>
      <c r="D1379" t="s">
        <v>1258</v>
      </c>
    </row>
    <row r="1380" spans="1:4">
      <c r="A1380" t="s">
        <v>1376</v>
      </c>
      <c r="B1380">
        <v>167</v>
      </c>
      <c r="C1380">
        <v>487</v>
      </c>
      <c r="D1380">
        <v>654</v>
      </c>
    </row>
    <row r="1381" spans="1:4">
      <c r="A1381" t="s">
        <v>397</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1377</v>
      </c>
      <c r="B1385">
        <v>606</v>
      </c>
      <c r="D1385">
        <v>606</v>
      </c>
    </row>
    <row r="1386" spans="1:4">
      <c r="A1386" t="s">
        <v>74</v>
      </c>
      <c r="C1386">
        <v>1595</v>
      </c>
      <c r="D1386">
        <v>1595</v>
      </c>
    </row>
    <row r="1387" spans="1:4">
      <c r="A1387" t="s">
        <v>1258</v>
      </c>
      <c r="B1387">
        <v>4585</v>
      </c>
      <c r="C1387">
        <v>2082</v>
      </c>
      <c r="D1387">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9160F9-3DF1-49A5-B0C9-8D6759285FD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2026-03-11T11:19:44Z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