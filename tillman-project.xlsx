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63" documentId="8_{E14B221E-02E2-46A3-8CEC-C736815F2DD5}" xr6:coauthVersionLast="47" xr6:coauthVersionMax="47" xr10:uidLastSave="{84DEA10F-4E92-4CD4-886E-1EE1D8C119A1}"/>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30" r:id="rId12"/>
    <pivotCache cacheId="631" r:id="rId13"/>
    <pivotCache cacheId="632" r:id="rId14"/>
    <pivotCache cacheId="633" r:id="rId15"/>
    <pivotCache cacheId="6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<sst xmlns="http://schemas.openxmlformats.org/spreadsheetml/2006/main" count="15573" uniqueCount="2007">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</sst>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00926" createdVersion="8" refreshedVersion="8" minRefreshableVersion="3" recordCount="2247"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22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4722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m/>
  </r>
  <r>
    <x v="243"/>
    <x v="32"/>
    <x v="214"/>
    <m/>
    <m/>
    <m/>
  </r>
  <r>
    <x v="145"/>
    <x v="27"/>
    <x v="214"/>
    <m/>
    <m/>
    <m/>
  </r>
  <r>
    <x v="300"/>
    <x v="36"/>
    <x v="214"/>
    <m/>
    <m/>
    <m/>
  </r>
  <r>
    <x v="263"/>
    <x v="27"/>
    <x v="214"/>
    <m/>
    <m/>
    <m/>
  </r>
  <r>
    <x v="296"/>
    <x v="6"/>
    <x v="214"/>
    <m/>
    <m/>
    <m/>
  </r>
  <r>
    <x v="299"/>
    <x v="5"/>
    <x v="214"/>
    <m/>
    <m/>
    <m/>
  </r>
  <r>
    <x v="297"/>
    <x v="5"/>
    <x v="214"/>
    <m/>
    <m/>
    <m/>
  </r>
  <r>
    <x v="273"/>
    <x v="45"/>
    <x v="214"/>
    <m/>
    <m/>
    <m/>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m/>
    <x v="11"/>
  </r>
  <r>
    <s v="Sunset Palms MHP"/>
    <x v="32"/>
    <d v="2025-12-08T00:00:00"/>
    <m/>
    <m/>
    <m/>
    <x v="11"/>
  </r>
  <r>
    <s v="D-HNP110"/>
    <x v="27"/>
    <d v="2025-12-08T00:00:00"/>
    <m/>
    <m/>
    <m/>
    <x v="11"/>
  </r>
  <r>
    <s v="Fountainview"/>
    <x v="36"/>
    <d v="2025-12-08T00:00:00"/>
    <m/>
    <m/>
    <m/>
    <x v="11"/>
  </r>
  <r>
    <s v="D-HWP1312"/>
    <x v="27"/>
    <d v="2025-12-08T00:00:00"/>
    <m/>
    <m/>
    <m/>
    <x v="11"/>
  </r>
  <r>
    <s v="D-HWP820"/>
    <x v="6"/>
    <d v="2025-12-08T00:00:00"/>
    <m/>
    <m/>
    <m/>
    <x v="11"/>
  </r>
  <r>
    <s v="D-HWP1315"/>
    <x v="5"/>
    <d v="2025-12-08T00:00:00"/>
    <m/>
    <m/>
    <m/>
    <x v="11"/>
  </r>
  <r>
    <s v="D-HWP906"/>
    <x v="5"/>
    <d v="2025-12-08T00:00:00"/>
    <m/>
    <m/>
    <m/>
    <x v="11"/>
  </r>
  <r>
    <s v="D-HDF714"/>
    <x v="45"/>
    <d v="2025-12-08T00:00:00"/>
    <m/>
    <m/>
    <m/>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3">
    <i>
      <x v="147"/>
    </i>
    <i>
      <x v="246"/>
    </i>
    <i>
      <x v="253"/>
    </i>
    <i>
      <x v="269"/>
    </i>
    <i>
      <x v="284"/>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AC35" activePane="topRight" state="frozen"/>
      <selection pane="topRight" activeCell="AD56" sqref="AD5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073">
        <v>222</v>
      </c>
      <c r="X4" s="485">
        <f t="shared" si="0"/>
        <v>3574</v>
      </c>
      <c r="Y4" s="681">
        <f t="shared" si="1"/>
        <v>5.8482613277133826E-2</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20814</v>
      </c>
      <c r="X15" s="485">
        <f t="shared" si="0"/>
        <v>1573</v>
      </c>
      <c r="Y15" s="889">
        <f t="shared" si="1"/>
        <v>0.92973600750435526</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485">
        <v>1277</v>
      </c>
      <c r="X32" s="485">
        <f t="shared" si="3"/>
        <v>750</v>
      </c>
      <c r="Y32" s="889">
        <f t="shared" si="1"/>
        <v>0.629995066600888</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485">
        <v>1431</v>
      </c>
      <c r="X41" s="485">
        <f t="shared" si="3"/>
        <v>3622</v>
      </c>
      <c r="Y41" s="681">
        <f t="shared" si="4"/>
        <v>0.28319810013853158</v>
      </c>
      <c r="Z41" s="492">
        <v>45995</v>
      </c>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429">
        <v>4254</v>
      </c>
      <c r="X62" s="485">
        <f>SUM(V62-W62)</f>
        <v>3811</v>
      </c>
      <c r="Y62" s="889">
        <f t="shared" si="4"/>
        <v>0.52746435213887166</v>
      </c>
      <c r="Z62" s="492">
        <v>45985</v>
      </c>
      <c r="AA62" s="366">
        <v>0</v>
      </c>
      <c r="AB62" s="366">
        <v>0</v>
      </c>
      <c r="AC62" s="485">
        <v>0</v>
      </c>
      <c r="AD62" s="487"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777"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6358</v>
      </c>
      <c r="X103" s="485">
        <f t="shared" si="6"/>
        <v>768</v>
      </c>
      <c r="Y103" s="681">
        <f t="shared" si="5"/>
        <v>0.89222565253999442</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07">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tabSelected="1" zoomScale="80" zoomScaleNormal="80" workbookViewId="0">
      <pane xSplit="1" topLeftCell="AC17" activePane="topRight" state="frozen"/>
      <selection pane="topRight" activeCell="AD22" sqref="A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484">
        <v>45999</v>
      </c>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484">
        <v>45999</v>
      </c>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484">
        <v>45999</v>
      </c>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484">
        <v>45999</v>
      </c>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484">
        <v>45999</v>
      </c>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484">
        <v>45999</v>
      </c>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Q51:U52 Q46:U47 L1:L44 L51:L52 L46:L47 Q31:Q44 R31:U36 Q1:U30 Q49:U49 L49 D40:D54 R38:T39 U37:U39 U42:U4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16">
        <v>0.99</v>
      </c>
      <c r="V83" s="168">
        <v>45722</v>
      </c>
      <c r="W83" s="145">
        <v>1</v>
      </c>
      <c r="X83" s="145">
        <v>1</v>
      </c>
      <c r="Y83" s="145">
        <v>1</v>
      </c>
      <c r="Z83" s="168">
        <v>45917</v>
      </c>
      <c r="AA83" s="149" t="s">
        <v>827</v>
      </c>
    </row>
    <row r="84" spans="1:27" ht="39.75" customHeight="1">
      <c r="A84" s="1208"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17">
        <v>0.99</v>
      </c>
      <c r="V84" s="54">
        <v>45756</v>
      </c>
      <c r="W84" s="676">
        <v>1</v>
      </c>
      <c r="X84" s="676">
        <v>1</v>
      </c>
      <c r="Y84" s="22">
        <v>1</v>
      </c>
      <c r="Z84" s="54"/>
      <c r="AA84" s="1214" t="s">
        <v>830</v>
      </c>
    </row>
    <row r="85" spans="1:27" ht="39.75" customHeight="1">
      <c r="A85" s="1208" t="s">
        <v>831</v>
      </c>
      <c r="B85" s="1209" t="s">
        <v>50</v>
      </c>
      <c r="C85" s="943">
        <v>45688</v>
      </c>
      <c r="D85" s="943" t="s">
        <v>593</v>
      </c>
      <c r="E85" s="943">
        <v>45695</v>
      </c>
      <c r="F85" s="942" t="s">
        <v>61</v>
      </c>
      <c r="G85" s="1210"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17">
        <v>1.1100000000000001</v>
      </c>
      <c r="V85" s="125">
        <v>45750</v>
      </c>
      <c r="W85" s="71">
        <v>1</v>
      </c>
      <c r="X85" s="71">
        <v>1</v>
      </c>
      <c r="Y85" s="22">
        <v>1</v>
      </c>
      <c r="Z85" s="54"/>
      <c r="AA85" s="1215" t="s">
        <v>833</v>
      </c>
    </row>
    <row r="86" spans="1:27" ht="39.75" customHeight="1">
      <c r="A86" s="1208" t="s">
        <v>834</v>
      </c>
      <c r="B86" s="1045" t="s">
        <v>50</v>
      </c>
      <c r="C86" s="1211">
        <v>45688</v>
      </c>
      <c r="D86" s="1037" t="s">
        <v>71</v>
      </c>
      <c r="E86" s="1211">
        <v>45686</v>
      </c>
      <c r="F86" s="1211" t="s">
        <v>61</v>
      </c>
      <c r="G86" s="1212" t="s">
        <v>835</v>
      </c>
      <c r="H86" s="1026">
        <v>88</v>
      </c>
      <c r="I86" s="1025" t="s">
        <v>609</v>
      </c>
      <c r="J86" s="1026" t="s">
        <v>63</v>
      </c>
      <c r="K86" s="1213">
        <v>45706</v>
      </c>
      <c r="L86" s="1025" t="s">
        <v>57</v>
      </c>
      <c r="M86" s="439">
        <v>69212.5</v>
      </c>
      <c r="N86" s="439">
        <v>70500</v>
      </c>
      <c r="O86" s="679" t="s">
        <v>57</v>
      </c>
      <c r="P86" s="1116" t="s">
        <v>235</v>
      </c>
      <c r="Q86" s="615">
        <v>45679</v>
      </c>
      <c r="R86" s="1027">
        <v>5661</v>
      </c>
      <c r="S86" s="107">
        <v>5752</v>
      </c>
      <c r="T86" s="31">
        <v>0</v>
      </c>
      <c r="U86" s="1217">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2"/>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row r="1078" spans="1:7">
      <c r="A1078" s="44" t="s">
        <v>1002</v>
      </c>
      <c r="B1078" s="44" t="s">
        <v>1000</v>
      </c>
    </row>
    <row r="1079" spans="1:7">
      <c r="A1079" s="44" t="s">
        <v>1003</v>
      </c>
      <c r="B1079" s="112">
        <v>45999</v>
      </c>
      <c r="C1079" t="s">
        <v>1004</v>
      </c>
    </row>
    <row r="1080" spans="1:7">
      <c r="A1080" t="s">
        <v>1048</v>
      </c>
    </row>
    <row r="1081" spans="1:7">
      <c r="A1081" t="s">
        <v>96</v>
      </c>
    </row>
    <row r="1082" spans="1:7">
      <c r="A1082" t="s">
        <v>341</v>
      </c>
    </row>
    <row r="1083" spans="1:7">
      <c r="A1083" t="s">
        <v>441</v>
      </c>
    </row>
    <row r="1084" spans="1:7">
      <c r="A1084" t="s">
        <v>334</v>
      </c>
    </row>
    <row r="1085" spans="1:7">
      <c r="A1085" t="s">
        <v>1079</v>
      </c>
    </row>
    <row r="1086" spans="1:7">
      <c r="A1086" t="s">
        <v>138</v>
      </c>
    </row>
    <row r="1087" spans="1:7">
      <c r="A1087" t="s">
        <v>163</v>
      </c>
    </row>
    <row r="1088" spans="1:7">
      <c r="A1088" t="s">
        <v>433</v>
      </c>
    </row>
    <row r="1089" spans="1:1">
      <c r="A1089" t="s">
        <v>1080</v>
      </c>
    </row>
    <row r="1090" spans="1:1">
      <c r="A1090" t="s">
        <v>366</v>
      </c>
    </row>
    <row r="1091" spans="1:1">
      <c r="A1091" t="s">
        <v>368</v>
      </c>
    </row>
    <row r="1092" spans="1:1">
      <c r="A1092" t="s">
        <v>1004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7"/>
  <sheetViews>
    <sheetView workbookViewId="0">
      <pane ySplit="1" topLeftCell="A2229" activePane="bottomLeft" state="frozen"/>
      <selection pane="bottomLeft" activeCell="C2236" sqref="C223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06" t="s">
        <v>228</v>
      </c>
      <c r="C2227" s="56">
        <v>45996</v>
      </c>
      <c r="D2227" s="43">
        <v>385</v>
      </c>
      <c r="F2227" s="43" t="s">
        <v>1859</v>
      </c>
      <c r="G2227" t="s">
        <v>1831</v>
      </c>
    </row>
    <row r="2228" spans="1:7">
      <c r="A2228" s="663" t="s">
        <v>438</v>
      </c>
      <c r="B2228" s="1207" t="s">
        <v>1451</v>
      </c>
      <c r="C2228" s="56">
        <v>45996</v>
      </c>
      <c r="E2228" s="140">
        <v>446</v>
      </c>
      <c r="F2228" s="776"/>
      <c r="G2228" t="s">
        <v>1831</v>
      </c>
    </row>
    <row r="2229" spans="1:7">
      <c r="A2229" s="663" t="s">
        <v>447</v>
      </c>
      <c r="B2229" s="1207" t="s">
        <v>1451</v>
      </c>
      <c r="C2229" s="56">
        <v>45996</v>
      </c>
      <c r="E2229" s="140">
        <v>422</v>
      </c>
      <c r="F2229" s="1199"/>
      <c r="G2229" t="s">
        <v>1831</v>
      </c>
    </row>
    <row r="2230" spans="1:7">
      <c r="A2230" s="663" t="s">
        <v>447</v>
      </c>
      <c r="B2230" s="1207" t="s">
        <v>1451</v>
      </c>
      <c r="C2230" s="56">
        <v>45996</v>
      </c>
      <c r="F2230" s="315" t="s">
        <v>1312</v>
      </c>
      <c r="G2230" t="s">
        <v>1831</v>
      </c>
    </row>
    <row r="2231" spans="1:7">
      <c r="A2231" s="1199" t="s">
        <v>1077</v>
      </c>
      <c r="B2231" s="1207"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row r="2235" spans="1:7">
      <c r="A2235" s="149" t="s">
        <v>1079</v>
      </c>
      <c r="B2235" s="149" t="s">
        <v>1698</v>
      </c>
      <c r="C2235" s="56">
        <v>45999</v>
      </c>
      <c r="G2235" t="s">
        <v>1831</v>
      </c>
    </row>
    <row r="2236" spans="1:7">
      <c r="A2236" s="149" t="s">
        <v>96</v>
      </c>
      <c r="B2236" s="149" t="s">
        <v>1698</v>
      </c>
      <c r="C2236" s="56">
        <v>45999</v>
      </c>
      <c r="G2236" t="s">
        <v>1831</v>
      </c>
    </row>
    <row r="2237" spans="1:7">
      <c r="A2237" s="149" t="s">
        <v>96</v>
      </c>
      <c r="B2237" s="149" t="s">
        <v>1537</v>
      </c>
      <c r="C2237" s="56">
        <v>45999</v>
      </c>
      <c r="G2237" t="s">
        <v>1831</v>
      </c>
    </row>
    <row r="2238" spans="1:7">
      <c r="A2238" s="149" t="s">
        <v>1048</v>
      </c>
      <c r="B2238" s="116" t="s">
        <v>1451</v>
      </c>
      <c r="C2238" s="56">
        <v>45999</v>
      </c>
      <c r="G2238" t="s">
        <v>1831</v>
      </c>
    </row>
    <row r="2239" spans="1:7">
      <c r="A2239" s="251" t="s">
        <v>1080</v>
      </c>
      <c r="B2239" s="1219" t="s">
        <v>228</v>
      </c>
      <c r="C2239" s="56">
        <v>45999</v>
      </c>
      <c r="G2239" t="s">
        <v>1831</v>
      </c>
    </row>
    <row r="2240" spans="1:7">
      <c r="A2240" s="1218" t="s">
        <v>441</v>
      </c>
      <c r="B2240" s="1219" t="s">
        <v>1451</v>
      </c>
      <c r="C2240" s="56">
        <v>45999</v>
      </c>
      <c r="G2240" t="s">
        <v>1831</v>
      </c>
    </row>
    <row r="2241" spans="1:7">
      <c r="A2241" s="1163" t="s">
        <v>138</v>
      </c>
      <c r="B2241" s="1219" t="s">
        <v>133</v>
      </c>
      <c r="C2241" s="56">
        <v>45999</v>
      </c>
      <c r="G2241" t="s">
        <v>1831</v>
      </c>
    </row>
    <row r="2242" spans="1:7">
      <c r="A2242" s="1218" t="s">
        <v>163</v>
      </c>
      <c r="B2242" s="1219" t="s">
        <v>164</v>
      </c>
      <c r="C2242" s="56">
        <v>45999</v>
      </c>
      <c r="G2242" t="s">
        <v>1831</v>
      </c>
    </row>
    <row r="2243" spans="1:7">
      <c r="A2243" s="251" t="s">
        <v>433</v>
      </c>
      <c r="B2243" s="1219" t="s">
        <v>164</v>
      </c>
      <c r="C2243" s="56">
        <v>45999</v>
      </c>
      <c r="G2243" t="s">
        <v>1831</v>
      </c>
    </row>
    <row r="2244" spans="1:7">
      <c r="A2244" s="43" t="s">
        <v>334</v>
      </c>
      <c r="B2244" s="43" t="s">
        <v>1671</v>
      </c>
      <c r="C2244" s="56">
        <v>45999</v>
      </c>
      <c r="G2244" t="s">
        <v>1831</v>
      </c>
    </row>
    <row r="2245" spans="1:7">
      <c r="A2245" s="417" t="s">
        <v>341</v>
      </c>
      <c r="B2245" s="176" t="s">
        <v>164</v>
      </c>
      <c r="C2245" s="56">
        <v>45999</v>
      </c>
      <c r="G2245" t="s">
        <v>1831</v>
      </c>
    </row>
    <row r="2246" spans="1:7">
      <c r="A2246" s="417" t="s">
        <v>366</v>
      </c>
      <c r="B2246" s="176" t="s">
        <v>164</v>
      </c>
      <c r="C2246" s="56">
        <v>45999</v>
      </c>
      <c r="G2246" t="s">
        <v>1831</v>
      </c>
    </row>
    <row r="2247" spans="1:7">
      <c r="A2247" s="43" t="s">
        <v>368</v>
      </c>
      <c r="B2247" s="43" t="s">
        <v>164</v>
      </c>
      <c r="C2247" s="56">
        <v>45999</v>
      </c>
      <c r="G2247"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0"/>
      <c r="B1" s="1220"/>
      <c r="C1" s="1220"/>
      <c r="D1" s="1220"/>
      <c r="E1" s="1220"/>
      <c r="F1" s="1220"/>
      <c r="G1" s="1220"/>
      <c r="H1" s="1220"/>
      <c r="I1" s="1220"/>
      <c r="J1" s="1"/>
      <c r="K1" s="1"/>
      <c r="L1" s="1"/>
      <c r="M1" s="1"/>
      <c r="N1" s="1"/>
      <c r="O1" s="1"/>
      <c r="P1" s="1221" t="s">
        <v>34</v>
      </c>
      <c r="Q1" s="1221"/>
      <c r="R1" s="1221"/>
      <c r="S1" s="1221"/>
      <c r="T1" s="1221"/>
      <c r="U1" s="1221"/>
      <c r="V1" s="1221"/>
      <c r="W1" s="1221"/>
      <c r="X1" s="1221"/>
      <c r="Y1" s="1221"/>
      <c r="Z1" s="1221"/>
      <c r="AA1" s="1221"/>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2" t="s">
        <v>1949</v>
      </c>
      <c r="C1" s="1222"/>
      <c r="D1" s="574"/>
      <c r="E1" s="1222" t="s">
        <v>1950</v>
      </c>
      <c r="F1" s="1222"/>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3"/>
      <c r="B1" s="1223"/>
      <c r="C1" s="1223"/>
      <c r="D1" s="1223"/>
      <c r="E1" s="1223"/>
      <c r="F1" s="1223"/>
      <c r="G1" s="1223"/>
      <c r="H1" s="1224" t="s">
        <v>1976</v>
      </c>
      <c r="I1" s="1224"/>
      <c r="J1" s="1224"/>
      <c r="K1" s="1224"/>
      <c r="L1" s="1224"/>
      <c r="M1" s="1224"/>
      <c r="N1" s="1224"/>
      <c r="O1" s="1224"/>
      <c r="P1" s="264"/>
      <c r="Q1" s="1225" t="s">
        <v>34</v>
      </c>
      <c r="R1" s="1225"/>
      <c r="S1" s="1221"/>
      <c r="T1" s="1225"/>
      <c r="U1" s="1225"/>
      <c r="V1" s="1225"/>
      <c r="W1" s="1225"/>
      <c r="X1" s="1225"/>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D8341DE-37C3-4C45-8858-AFF2941528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2025-12-08T14:39:10Z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