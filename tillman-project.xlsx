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15" documentId="8_{E14B221E-02E2-46A3-8CEC-C736815F2DD5}" xr6:coauthVersionLast="47" xr6:coauthVersionMax="47" xr10:uidLastSave="{7D8BE128-9FA2-45AB-918B-4FB4D9D830B0}"/>
  <bookViews>
    <workbookView minimized="1" xWindow="30465" yWindow="1065" windowWidth="21600" windowHeight="11295" tabRatio="866" firstSheet="1"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4097" r:id="rId12"/>
    <pivotCache cacheId="4098" r:id="rId13"/>
    <pivotCache cacheId="4099" r:id="rId14"/>
    <pivotCache cacheId="4100" r:id="rId15"/>
    <pivotCache cacheId="4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<sst xmlns="http://schemas.openxmlformats.org/spreadsheetml/2006/main" count="15030" uniqueCount="1893">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</sst>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9074077"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2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m/>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2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m/>
    <m/>
    <m/>
  </r>
  <r>
    <x v="281"/>
    <x v="5"/>
    <x v="205"/>
    <n v="2382"/>
    <m/>
    <m/>
  </r>
  <r>
    <x v="246"/>
    <x v="5"/>
    <x v="205"/>
    <n v="996"/>
    <m/>
    <m/>
  </r>
  <r>
    <x v="282"/>
    <x v="5"/>
    <x v="205"/>
    <n v="3634"/>
    <m/>
    <m/>
  </r>
  <r>
    <x v="272"/>
    <x v="5"/>
    <x v="205"/>
    <n v="3311"/>
    <m/>
    <m/>
  </r>
  <r>
    <x v="244"/>
    <x v="5"/>
    <x v="205"/>
    <n v="1175"/>
    <m/>
    <m/>
  </r>
  <r>
    <x v="271"/>
    <x v="5"/>
    <x v="205"/>
    <n v="3411"/>
    <m/>
    <m/>
  </r>
  <r>
    <x v="125"/>
    <x v="16"/>
    <x v="206"/>
    <m/>
    <m/>
    <m/>
  </r>
  <r>
    <x v="125"/>
    <x v="16"/>
    <x v="206"/>
    <m/>
    <m/>
    <m/>
  </r>
  <r>
    <x v="125"/>
    <x v="16"/>
    <x v="206"/>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66" zoomScale="80" zoomScaleNormal="80" workbookViewId="0">
      <pane xSplit="1" topLeftCell="M118" activePane="topRight" state="frozen"/>
      <selection pane="topRight" activeCell="N115" sqref="N115:N13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72">
        <v>13552</v>
      </c>
      <c r="X18" s="486">
        <f t="shared" si="0"/>
        <v>8835</v>
      </c>
      <c r="Y18" s="682">
        <f t="shared" si="1"/>
        <v>0.60535131996247826</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72">
        <v>3496</v>
      </c>
      <c r="X45" s="486">
        <f t="shared" si="3"/>
        <v>2529</v>
      </c>
      <c r="Y45" s="682">
        <f t="shared" si="4"/>
        <v>0.58024896265560166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2">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84">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82">
        <v>1890</v>
      </c>
      <c r="W57" s="1183"/>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2">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81">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K30" activePane="topRight" state="frozen"/>
      <selection pane="topRight" activeCell="Q36" sqref="Q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85"/>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abSelected="1" topLeftCell="A80" workbookViewId="0">
      <pane xSplit="1" topLeftCell="B1" activePane="topRight" state="frozen"/>
      <selection pane="topRight" activeCell="A2" sqref="A2:A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c r="C1004">
        <v>68</v>
      </c>
      <c r="D1004">
        <v>68</v>
      </c>
    </row>
    <row r="1005" spans="1:7">
      <c r="A1005" t="s">
        <v>997</v>
      </c>
    </row>
    <row r="1006" spans="1:7">
      <c r="A1006" t="s">
        <v>405</v>
      </c>
    </row>
    <row r="1007" spans="1:7">
      <c r="A1007" t="s">
        <v>388</v>
      </c>
    </row>
    <row r="1008" spans="1:7">
      <c r="A1008" t="s">
        <v>404</v>
      </c>
    </row>
    <row r="1009" spans="1:4">
      <c r="A1009" t="s">
        <v>330</v>
      </c>
      <c r="C1009">
        <v>1175</v>
      </c>
      <c r="D1009">
        <v>1175</v>
      </c>
    </row>
    <row r="1010" spans="1:4">
      <c r="A1010" t="s">
        <v>325</v>
      </c>
      <c r="C1010">
        <v>996</v>
      </c>
      <c r="D1010">
        <v>996</v>
      </c>
    </row>
    <row r="1011" spans="1:4">
      <c r="A1011" t="s">
        <v>385</v>
      </c>
      <c r="B1011">
        <v>900</v>
      </c>
      <c r="D1011">
        <v>900</v>
      </c>
    </row>
    <row r="1012" spans="1:4">
      <c r="A1012" t="s">
        <v>417</v>
      </c>
    </row>
    <row r="1013" spans="1:4">
      <c r="A1013" t="s">
        <v>415</v>
      </c>
    </row>
    <row r="1014" spans="1:4">
      <c r="A1014" t="s">
        <v>1013</v>
      </c>
      <c r="B1014">
        <v>2805</v>
      </c>
      <c r="C1014">
        <v>1397</v>
      </c>
      <c r="D1014">
        <v>4202</v>
      </c>
    </row>
    <row r="1015" spans="1:4">
      <c r="A1015" t="s">
        <v>159</v>
      </c>
      <c r="B1015">
        <v>665</v>
      </c>
      <c r="C1015">
        <v>1360</v>
      </c>
      <c r="D1015">
        <v>2025</v>
      </c>
    </row>
    <row r="1016" spans="1:4">
      <c r="A1016" t="s">
        <v>423</v>
      </c>
      <c r="B1016">
        <v>805</v>
      </c>
      <c r="D1016">
        <v>805</v>
      </c>
    </row>
    <row r="1017" spans="1:4">
      <c r="A1017" t="s">
        <v>426</v>
      </c>
      <c r="B1017">
        <v>572</v>
      </c>
      <c r="D1017">
        <v>572</v>
      </c>
    </row>
    <row r="1018" spans="1:4">
      <c r="A1018" t="s">
        <v>1015</v>
      </c>
      <c r="B1018">
        <v>1718</v>
      </c>
      <c r="C1018">
        <v>2468</v>
      </c>
      <c r="D1018">
        <v>4186</v>
      </c>
    </row>
    <row r="1019" spans="1:4">
      <c r="A1019" t="s">
        <v>342</v>
      </c>
      <c r="C1019">
        <v>3411</v>
      </c>
      <c r="D1019">
        <v>3411</v>
      </c>
    </row>
    <row r="1020" spans="1:4">
      <c r="A1020" t="s">
        <v>215</v>
      </c>
      <c r="B1020">
        <v>82</v>
      </c>
      <c r="D1020">
        <v>82</v>
      </c>
    </row>
    <row r="1021" spans="1:4">
      <c r="A1021" t="s">
        <v>345</v>
      </c>
      <c r="C1021">
        <v>3311</v>
      </c>
      <c r="D1021">
        <v>3311</v>
      </c>
    </row>
    <row r="1022" spans="1:4">
      <c r="A1022" t="s">
        <v>318</v>
      </c>
      <c r="C1022">
        <v>2568</v>
      </c>
      <c r="D1022">
        <v>2568</v>
      </c>
    </row>
    <row r="1023" spans="1:4">
      <c r="A1023" t="s">
        <v>184</v>
      </c>
      <c r="B1023">
        <v>286</v>
      </c>
      <c r="C1023">
        <v>357</v>
      </c>
      <c r="D1023">
        <v>643</v>
      </c>
    </row>
    <row r="1024" spans="1:4">
      <c r="A1024" t="s">
        <v>302</v>
      </c>
      <c r="B1024">
        <v>1655</v>
      </c>
      <c r="D1024">
        <v>1655</v>
      </c>
    </row>
    <row r="1025" spans="1:4">
      <c r="A1025" t="s">
        <v>333</v>
      </c>
      <c r="C1025">
        <v>2382</v>
      </c>
      <c r="D1025">
        <v>2382</v>
      </c>
    </row>
    <row r="1026" spans="1:4">
      <c r="A1026" t="s">
        <v>163</v>
      </c>
      <c r="C1026">
        <v>1100</v>
      </c>
      <c r="D1026">
        <v>1100</v>
      </c>
    </row>
    <row r="1027" spans="1:4">
      <c r="A1027" t="s">
        <v>1016</v>
      </c>
      <c r="C1027">
        <v>486</v>
      </c>
      <c r="D1027">
        <v>486</v>
      </c>
    </row>
    <row r="1028" spans="1:4">
      <c r="A1028" t="s">
        <v>348</v>
      </c>
      <c r="C1028">
        <v>3634</v>
      </c>
      <c r="D1028">
        <v>3634</v>
      </c>
    </row>
    <row r="1029" spans="1:4">
      <c r="A1029" t="s">
        <v>945</v>
      </c>
      <c r="B1029">
        <v>9488</v>
      </c>
      <c r="C1029">
        <v>24713</v>
      </c>
      <c r="D1029">
        <v>34201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1"/>
  <sheetViews>
    <sheetView workbookViewId="0">
      <pane ySplit="1" topLeftCell="A2111" activePane="bottomLeft" state="frozen"/>
      <selection pane="bottomLeft" activeCell="F2122" sqref="F212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2" t="s">
        <v>1595</v>
      </c>
      <c r="G1769" t="s">
        <v>1571</v>
      </c>
    </row>
    <row r="1770" spans="1:7">
      <c r="A1770" s="961"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3"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4"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69"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1" t="s">
        <v>977</v>
      </c>
      <c r="B1798" s="142" t="s">
        <v>954</v>
      </c>
      <c r="C1798" s="314">
        <v>45946</v>
      </c>
      <c r="F1798" s="320" t="s">
        <v>1595</v>
      </c>
      <c r="G1798" t="s">
        <v>1571</v>
      </c>
    </row>
    <row r="1799" spans="1:7">
      <c r="A1799" s="972" t="s">
        <v>484</v>
      </c>
      <c r="B1799" s="142" t="s">
        <v>1562</v>
      </c>
      <c r="C1799" s="314">
        <v>45946</v>
      </c>
      <c r="D1799" s="43">
        <v>487</v>
      </c>
      <c r="F1799" s="43" t="s">
        <v>1609</v>
      </c>
      <c r="G1799" t="s">
        <v>1571</v>
      </c>
    </row>
    <row r="1800" spans="1:7">
      <c r="A1800" s="973" t="s">
        <v>523</v>
      </c>
      <c r="B1800" s="142" t="s">
        <v>160</v>
      </c>
      <c r="C1800" s="314">
        <v>45946</v>
      </c>
      <c r="D1800" s="43">
        <v>359</v>
      </c>
      <c r="F1800" s="43" t="s">
        <v>1610</v>
      </c>
      <c r="G1800" t="s">
        <v>1571</v>
      </c>
    </row>
    <row r="1801" spans="1:7">
      <c r="A1801" s="974"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0"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5" t="s">
        <v>971</v>
      </c>
      <c r="B1813" s="803" t="s">
        <v>954</v>
      </c>
      <c r="C1813" s="56">
        <v>45950</v>
      </c>
      <c r="D1813" s="43">
        <v>92</v>
      </c>
      <c r="F1813" s="43" t="s">
        <v>1514</v>
      </c>
      <c r="G1813" t="s">
        <v>1571</v>
      </c>
    </row>
    <row r="1814" spans="1:7">
      <c r="A1814" s="986" t="s">
        <v>479</v>
      </c>
      <c r="B1814" s="780" t="s">
        <v>954</v>
      </c>
      <c r="C1814" s="56">
        <v>45950</v>
      </c>
      <c r="D1814" s="43">
        <v>153</v>
      </c>
      <c r="F1814" s="989"/>
      <c r="G1814" t="s">
        <v>1571</v>
      </c>
    </row>
    <row r="1815" spans="1:7">
      <c r="A1815" s="987" t="s">
        <v>484</v>
      </c>
      <c r="B1815" s="988" t="s">
        <v>1562</v>
      </c>
      <c r="C1815" s="56">
        <v>45950</v>
      </c>
      <c r="F1815" s="989" t="s">
        <v>1618</v>
      </c>
      <c r="G1815" t="s">
        <v>1571</v>
      </c>
    </row>
    <row r="1816" spans="1:7">
      <c r="A1816" s="987" t="s">
        <v>977</v>
      </c>
      <c r="B1816" s="988" t="s">
        <v>954</v>
      </c>
      <c r="C1816" s="56">
        <v>45950</v>
      </c>
      <c r="D1816" s="43">
        <v>455</v>
      </c>
      <c r="G1816" t="s">
        <v>1571</v>
      </c>
    </row>
    <row r="1817" spans="1:7">
      <c r="A1817" s="780" t="s">
        <v>841</v>
      </c>
      <c r="B1817" s="780" t="s">
        <v>160</v>
      </c>
      <c r="C1817" s="56">
        <v>45950</v>
      </c>
      <c r="D1817" s="43">
        <v>853</v>
      </c>
      <c r="F1817" s="43" t="s">
        <v>1619</v>
      </c>
      <c r="G1817" t="s">
        <v>1571</v>
      </c>
    </row>
    <row r="1818" spans="1:7">
      <c r="A1818" s="988" t="s">
        <v>1007</v>
      </c>
      <c r="B1818" s="988" t="s">
        <v>223</v>
      </c>
      <c r="C1818" s="56">
        <v>45950</v>
      </c>
      <c r="D1818" s="156">
        <v>3343</v>
      </c>
      <c r="F1818" s="43" t="s">
        <v>1620</v>
      </c>
      <c r="G1818" t="s">
        <v>1571</v>
      </c>
    </row>
    <row r="1819" spans="1:7">
      <c r="A1819" s="990" t="s">
        <v>372</v>
      </c>
      <c r="B1819" s="991" t="s">
        <v>954</v>
      </c>
      <c r="C1819" s="56">
        <v>45950</v>
      </c>
      <c r="D1819" s="43">
        <v>151</v>
      </c>
      <c r="G1819" t="s">
        <v>1571</v>
      </c>
    </row>
    <row r="1820" spans="1:7">
      <c r="A1820" s="780" t="s">
        <v>390</v>
      </c>
      <c r="B1820" s="780" t="s">
        <v>1606</v>
      </c>
      <c r="C1820" s="56">
        <v>45950</v>
      </c>
      <c r="D1820" s="156">
        <v>1186</v>
      </c>
      <c r="F1820" s="43" t="s">
        <v>1446</v>
      </c>
      <c r="G1820" t="s">
        <v>1571</v>
      </c>
    </row>
    <row r="1821" spans="1:7">
      <c r="A1821" s="988" t="s">
        <v>387</v>
      </c>
      <c r="B1821" s="988" t="s">
        <v>239</v>
      </c>
      <c r="C1821" s="56">
        <v>45950</v>
      </c>
      <c r="D1821" s="156">
        <v>1100</v>
      </c>
      <c r="G1821" t="s">
        <v>1571</v>
      </c>
    </row>
    <row r="1822" spans="1:7">
      <c r="A1822" s="1007" t="s">
        <v>479</v>
      </c>
      <c r="B1822" s="999" t="s">
        <v>954</v>
      </c>
      <c r="C1822" s="56">
        <v>45951</v>
      </c>
      <c r="D1822" s="156">
        <v>244</v>
      </c>
      <c r="G1822" t="s">
        <v>1571</v>
      </c>
    </row>
    <row r="1823" spans="1:7">
      <c r="A1823" s="88" t="s">
        <v>484</v>
      </c>
      <c r="B1823" s="994" t="s">
        <v>1562</v>
      </c>
      <c r="C1823" s="56">
        <v>45951</v>
      </c>
      <c r="D1823" s="43">
        <v>413</v>
      </c>
      <c r="F1823" s="43" t="s">
        <v>1040</v>
      </c>
      <c r="G1823" t="s">
        <v>1571</v>
      </c>
    </row>
    <row r="1824" spans="1:7">
      <c r="A1824" s="995"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7" t="s">
        <v>843</v>
      </c>
      <c r="B1826" s="998"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999"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6"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4"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7" t="s">
        <v>843</v>
      </c>
      <c r="B1836" s="409" t="s">
        <v>160</v>
      </c>
      <c r="C1836" s="56">
        <v>45952</v>
      </c>
      <c r="D1836" s="156">
        <v>1672</v>
      </c>
      <c r="F1836" s="43" t="s">
        <v>1628</v>
      </c>
      <c r="G1836" t="s">
        <v>1571</v>
      </c>
    </row>
    <row r="1837" spans="1:7">
      <c r="A1837" s="970" t="s">
        <v>372</v>
      </c>
      <c r="B1837" s="1008"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6"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09"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0" t="s">
        <v>372</v>
      </c>
      <c r="B1849" s="1008"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6"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0" t="s">
        <v>372</v>
      </c>
      <c r="B1857" s="1008"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09"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0" t="s">
        <v>402</v>
      </c>
      <c r="B1869" s="1008"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09" t="s">
        <v>515</v>
      </c>
      <c r="B1880" s="409" t="s">
        <v>160</v>
      </c>
      <c r="C1880" s="56">
        <v>45958</v>
      </c>
      <c r="D1880" s="156">
        <v>1678</v>
      </c>
      <c r="F1880" s="43" t="s">
        <v>1654</v>
      </c>
      <c r="G1880" t="s">
        <v>1571</v>
      </c>
    </row>
    <row r="1881" spans="1:7">
      <c r="A1881" s="1009"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4"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6" t="s">
        <v>160</v>
      </c>
      <c r="C1905" s="56">
        <v>45960</v>
      </c>
      <c r="D1905" s="43">
        <v>394</v>
      </c>
      <c r="E1905" s="325">
        <v>1275</v>
      </c>
      <c r="F1905" s="43" t="s">
        <v>1672</v>
      </c>
      <c r="G1905" t="s">
        <v>1571</v>
      </c>
    </row>
    <row r="1906" spans="1:7">
      <c r="A1906" s="1057"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4"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2" t="s">
        <v>1687</v>
      </c>
      <c r="G1937" t="s">
        <v>1681</v>
      </c>
    </row>
    <row r="1938" spans="1:7">
      <c r="A1938" s="142" t="s">
        <v>407</v>
      </c>
      <c r="B1938" s="1065"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4" t="s">
        <v>1676</v>
      </c>
      <c r="G1940" t="s">
        <v>1681</v>
      </c>
    </row>
    <row r="1941" spans="1:7">
      <c r="A1941" s="88" t="s">
        <v>484</v>
      </c>
      <c r="B1941" s="994" t="s">
        <v>1658</v>
      </c>
      <c r="C1941" s="56">
        <v>45965</v>
      </c>
      <c r="F1941" s="964"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09"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7" t="s">
        <v>390</v>
      </c>
      <c r="B1952" s="777" t="s">
        <v>1606</v>
      </c>
      <c r="C1952" s="56">
        <v>45965</v>
      </c>
      <c r="F1952" s="962" t="s">
        <v>1105</v>
      </c>
      <c r="G1952" t="s">
        <v>1681</v>
      </c>
    </row>
    <row r="1953" spans="1:7">
      <c r="A1953" s="382" t="s">
        <v>497</v>
      </c>
      <c r="B1953" s="116" t="s">
        <v>954</v>
      </c>
      <c r="C1953" s="56">
        <v>45965</v>
      </c>
      <c r="E1953" s="204"/>
      <c r="F1953" s="962"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8" t="s">
        <v>1386</v>
      </c>
      <c r="C1966" s="56">
        <v>45966</v>
      </c>
      <c r="D1966" s="43">
        <v>150</v>
      </c>
      <c r="G1966" t="s">
        <v>1681</v>
      </c>
    </row>
    <row r="1967" spans="1:7">
      <c r="A1967" s="251" t="s">
        <v>369</v>
      </c>
      <c r="B1967" s="158" t="s">
        <v>1685</v>
      </c>
      <c r="C1967" s="56">
        <v>45966</v>
      </c>
      <c r="E1967" s="1075">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09"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4"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6"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5" t="s">
        <v>385</v>
      </c>
      <c r="B2026" s="1136"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5">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5"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59">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8"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5"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0" t="s">
        <v>160</v>
      </c>
      <c r="C2111" s="56">
        <v>45985</v>
      </c>
      <c r="D2111" s="43">
        <v>805</v>
      </c>
      <c r="F2111" s="69" t="s">
        <v>1745</v>
      </c>
      <c r="G2111" t="s">
        <v>1681</v>
      </c>
    </row>
    <row r="2112" spans="1:7">
      <c r="A2112" s="43" t="s">
        <v>159</v>
      </c>
      <c r="B2112" s="1170" t="s">
        <v>160</v>
      </c>
      <c r="C2112" s="56">
        <v>45985</v>
      </c>
      <c r="D2112" s="43">
        <v>665</v>
      </c>
      <c r="F2112" s="69"/>
      <c r="G2112" t="s">
        <v>1681</v>
      </c>
    </row>
    <row r="2113" spans="1:7">
      <c r="A2113" s="43" t="s">
        <v>426</v>
      </c>
      <c r="B2113" s="1170"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69" t="s">
        <v>1748</v>
      </c>
      <c r="G2118" t="s">
        <v>1681</v>
      </c>
    </row>
    <row r="2119" spans="1:7">
      <c r="A2119" s="444" t="s">
        <v>404</v>
      </c>
      <c r="B2119" s="251" t="s">
        <v>1606</v>
      </c>
      <c r="C2119" s="56">
        <v>45985</v>
      </c>
      <c r="D2119" s="140"/>
      <c r="E2119" s="43"/>
      <c r="F2119" s="1169" t="s">
        <v>1749</v>
      </c>
      <c r="G2119" t="s">
        <v>1681</v>
      </c>
    </row>
    <row r="2120" spans="1:7">
      <c r="A2120" s="43" t="s">
        <v>388</v>
      </c>
      <c r="B2120" s="251" t="s">
        <v>1606</v>
      </c>
      <c r="C2120" s="56">
        <v>45985</v>
      </c>
      <c r="D2120" s="140"/>
      <c r="E2120" s="43"/>
      <c r="F2120" s="1169" t="s">
        <v>1750</v>
      </c>
      <c r="G2120" t="s">
        <v>1681</v>
      </c>
    </row>
    <row r="2121" spans="1:7">
      <c r="A2121" s="43" t="s">
        <v>302</v>
      </c>
      <c r="B2121" s="43" t="s">
        <v>1606</v>
      </c>
      <c r="C2121" s="56">
        <v>45985</v>
      </c>
      <c r="D2121" s="156">
        <v>1655</v>
      </c>
      <c r="E2121" s="257"/>
      <c r="F2121" s="92" t="s">
        <v>1751</v>
      </c>
      <c r="G2121" t="s">
        <v>1681</v>
      </c>
    </row>
    <row r="2122" spans="1:7">
      <c r="A2122" s="149" t="s">
        <v>84</v>
      </c>
      <c r="B2122" s="149" t="s">
        <v>954</v>
      </c>
      <c r="C2122" s="56">
        <v>45986</v>
      </c>
      <c r="D2122" s="43">
        <v>68</v>
      </c>
      <c r="G2122" t="s">
        <v>1681</v>
      </c>
    </row>
    <row r="2123" spans="1:7">
      <c r="A2123" s="149" t="s">
        <v>1015</v>
      </c>
      <c r="B2123" s="149" t="s">
        <v>1472</v>
      </c>
      <c r="C2123" s="56">
        <v>45986</v>
      </c>
      <c r="D2123" s="43">
        <v>500</v>
      </c>
      <c r="F2123" s="43" t="s">
        <v>1752</v>
      </c>
      <c r="G2123" t="s">
        <v>1681</v>
      </c>
    </row>
    <row r="2124" spans="1:7">
      <c r="A2124" s="149" t="s">
        <v>1015</v>
      </c>
      <c r="B2124" s="149" t="s">
        <v>1698</v>
      </c>
      <c r="C2124" s="56">
        <v>45986</v>
      </c>
      <c r="D2124" s="43">
        <v>541</v>
      </c>
      <c r="G2124" t="s">
        <v>1681</v>
      </c>
    </row>
    <row r="2125" spans="1:7">
      <c r="A2125" s="149" t="s">
        <v>1015</v>
      </c>
      <c r="B2125" s="116" t="s">
        <v>1562</v>
      </c>
      <c r="C2125" s="56">
        <v>45986</v>
      </c>
      <c r="D2125" s="156">
        <v>1427</v>
      </c>
      <c r="G2125" t="s">
        <v>1681</v>
      </c>
    </row>
    <row r="2126" spans="1:7">
      <c r="A2126" s="827" t="s">
        <v>184</v>
      </c>
      <c r="B2126" s="827" t="s">
        <v>954</v>
      </c>
      <c r="C2126" s="56">
        <v>45986</v>
      </c>
      <c r="D2126" s="43">
        <v>357</v>
      </c>
      <c r="F2126" s="43" t="s">
        <v>1074</v>
      </c>
      <c r="G2126" t="s">
        <v>1681</v>
      </c>
    </row>
    <row r="2127" spans="1:7">
      <c r="A2127" s="43" t="s">
        <v>1013</v>
      </c>
      <c r="B2127" s="43" t="s">
        <v>223</v>
      </c>
      <c r="C2127" s="56">
        <v>45986</v>
      </c>
      <c r="D2127" s="156">
        <v>1397</v>
      </c>
      <c r="G2127" t="s">
        <v>1681</v>
      </c>
    </row>
    <row r="2128" spans="1:7">
      <c r="A2128" s="43" t="s">
        <v>163</v>
      </c>
      <c r="B2128" s="43" t="s">
        <v>160</v>
      </c>
      <c r="C2128" s="56">
        <v>45986</v>
      </c>
      <c r="D2128" s="156">
        <v>1100</v>
      </c>
      <c r="G2128" t="s">
        <v>1681</v>
      </c>
    </row>
    <row r="2129" spans="1:7">
      <c r="A2129" s="43" t="s">
        <v>159</v>
      </c>
      <c r="B2129" s="43" t="s">
        <v>160</v>
      </c>
      <c r="C2129" s="56">
        <v>45986</v>
      </c>
      <c r="D2129" s="156">
        <v>1360</v>
      </c>
      <c r="F2129" s="43" t="s">
        <v>1753</v>
      </c>
      <c r="G2129" t="s">
        <v>1681</v>
      </c>
    </row>
    <row r="2130" spans="1:7">
      <c r="A2130" s="43" t="s">
        <v>1016</v>
      </c>
      <c r="B2130" s="43" t="s">
        <v>443</v>
      </c>
      <c r="C2130" s="56">
        <v>45986</v>
      </c>
      <c r="D2130" s="43">
        <v>486</v>
      </c>
      <c r="E2130" s="204"/>
      <c r="F2130" s="116"/>
      <c r="G2130" t="s">
        <v>1681</v>
      </c>
    </row>
    <row r="2131" spans="1:7">
      <c r="A2131" s="446" t="s">
        <v>405</v>
      </c>
      <c r="B2131" s="382" t="s">
        <v>1606</v>
      </c>
      <c r="C2131" s="56">
        <v>45986</v>
      </c>
      <c r="D2131" s="140"/>
      <c r="E2131" s="43"/>
      <c r="F2131" s="777" t="s">
        <v>1754</v>
      </c>
      <c r="G2131" t="s">
        <v>1681</v>
      </c>
    </row>
    <row r="2132" spans="1:7">
      <c r="A2132" s="444" t="s">
        <v>404</v>
      </c>
      <c r="B2132" s="251" t="s">
        <v>1606</v>
      </c>
      <c r="C2132" s="56">
        <v>45986</v>
      </c>
      <c r="D2132" s="140"/>
      <c r="E2132" s="43"/>
      <c r="F2132" s="777" t="s">
        <v>1754</v>
      </c>
      <c r="G2132" t="s">
        <v>1681</v>
      </c>
    </row>
    <row r="2133" spans="1:7">
      <c r="A2133" s="43" t="s">
        <v>388</v>
      </c>
      <c r="B2133" s="251" t="s">
        <v>1606</v>
      </c>
      <c r="C2133" s="56">
        <v>45986</v>
      </c>
      <c r="D2133" s="140"/>
      <c r="E2133" s="43"/>
      <c r="F2133" s="777" t="s">
        <v>1754</v>
      </c>
      <c r="G2133" t="s">
        <v>1681</v>
      </c>
    </row>
    <row r="2134" spans="1:7">
      <c r="A2134" s="43" t="s">
        <v>318</v>
      </c>
      <c r="B2134" s="43" t="s">
        <v>1606</v>
      </c>
      <c r="C2134" s="56">
        <v>45986</v>
      </c>
      <c r="D2134" s="325">
        <v>2568</v>
      </c>
      <c r="E2134" s="43"/>
      <c r="G2134" t="s">
        <v>1681</v>
      </c>
    </row>
    <row r="2135" spans="1:7">
      <c r="A2135" s="43" t="s">
        <v>302</v>
      </c>
      <c r="B2135" s="43" t="s">
        <v>1606</v>
      </c>
      <c r="C2135" s="56">
        <v>45986</v>
      </c>
      <c r="E2135" s="257"/>
      <c r="F2135" s="171"/>
      <c r="G2135" t="s">
        <v>1681</v>
      </c>
    </row>
    <row r="2136" spans="1:7">
      <c r="A2136" s="345" t="s">
        <v>333</v>
      </c>
      <c r="B2136" s="166" t="s">
        <v>160</v>
      </c>
      <c r="C2136" s="56">
        <v>45986</v>
      </c>
      <c r="D2136" s="156">
        <v>2382</v>
      </c>
      <c r="G2136" t="s">
        <v>1681</v>
      </c>
    </row>
    <row r="2137" spans="1:7">
      <c r="A2137" s="418" t="s">
        <v>325</v>
      </c>
      <c r="B2137" s="176" t="s">
        <v>160</v>
      </c>
      <c r="C2137" s="56">
        <v>45986</v>
      </c>
      <c r="D2137" s="43">
        <v>996</v>
      </c>
      <c r="G2137" t="s">
        <v>1681</v>
      </c>
    </row>
    <row r="2138" spans="1:7">
      <c r="A2138" s="418" t="s">
        <v>348</v>
      </c>
      <c r="B2138" s="176" t="s">
        <v>160</v>
      </c>
      <c r="C2138" s="56">
        <v>45986</v>
      </c>
      <c r="D2138" s="156">
        <v>3634</v>
      </c>
      <c r="G2138" t="s">
        <v>1681</v>
      </c>
    </row>
    <row r="2139" spans="1:7">
      <c r="A2139" s="69" t="s">
        <v>345</v>
      </c>
      <c r="B2139" s="176" t="s">
        <v>160</v>
      </c>
      <c r="C2139" s="56">
        <v>45986</v>
      </c>
      <c r="D2139" s="156">
        <v>3311</v>
      </c>
      <c r="G2139" t="s">
        <v>1681</v>
      </c>
    </row>
    <row r="2140" spans="1:7">
      <c r="A2140" s="69" t="s">
        <v>330</v>
      </c>
      <c r="B2140" s="176" t="s">
        <v>160</v>
      </c>
      <c r="C2140" s="56">
        <v>45986</v>
      </c>
      <c r="D2140" s="156">
        <v>1175</v>
      </c>
      <c r="G2140" t="s">
        <v>1681</v>
      </c>
    </row>
    <row r="2141" spans="1:7">
      <c r="A2141" s="251" t="s">
        <v>342</v>
      </c>
      <c r="B2141" s="176" t="s">
        <v>160</v>
      </c>
      <c r="C2141" s="56">
        <v>45986</v>
      </c>
      <c r="D2141" s="156">
        <v>3411</v>
      </c>
      <c r="G2141"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1755</v>
      </c>
      <c r="Q1" s="160" t="s">
        <v>1756</v>
      </c>
      <c r="R1" s="128" t="s">
        <v>1757</v>
      </c>
      <c r="S1" s="128" t="s">
        <v>1758</v>
      </c>
      <c r="T1" s="160" t="s">
        <v>1759</v>
      </c>
      <c r="U1" s="128" t="s">
        <v>1091</v>
      </c>
      <c r="V1" s="161" t="s">
        <v>1760</v>
      </c>
      <c r="W1" s="161" t="s">
        <v>1761</v>
      </c>
      <c r="X1" s="164" t="s">
        <v>1762</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1763</v>
      </c>
      <c r="B4" s="421" t="s">
        <v>228</v>
      </c>
      <c r="C4" s="422">
        <v>45742</v>
      </c>
      <c r="D4" s="716" t="s">
        <v>1764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1765</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1765</v>
      </c>
      <c r="S7" s="43" t="s">
        <v>87</v>
      </c>
      <c r="T7" s="43" t="s">
        <v>87</v>
      </c>
      <c r="U7" s="43" t="s">
        <v>87</v>
      </c>
      <c r="V7" s="69" t="s">
        <v>97</v>
      </c>
      <c r="W7" s="30"/>
      <c r="X7" s="69" t="s">
        <v>97</v>
      </c>
      <c r="Y7" t="e">
        <f>VLOOKUP(A7,#REF!,2,FALSE)</f>
        <v>#REF!</v>
      </c>
    </row>
    <row r="8" spans="1:25">
      <c r="A8" s="178" t="s">
        <v>493</v>
      </c>
      <c r="B8" s="183" t="s">
        <v>228</v>
      </c>
      <c r="C8" s="179">
        <v>45742</v>
      </c>
      <c r="D8" s="188" t="s">
        <v>1766</v>
      </c>
      <c r="E8" s="121"/>
      <c r="F8" s="109"/>
      <c r="G8" s="109"/>
      <c r="H8" s="182">
        <v>84</v>
      </c>
      <c r="I8" s="184"/>
      <c r="J8" s="188" t="s">
        <v>57</v>
      </c>
      <c r="K8" s="188" t="s">
        <v>57</v>
      </c>
      <c r="L8" s="188" t="s">
        <v>63</v>
      </c>
      <c r="M8" s="196">
        <v>45716</v>
      </c>
      <c r="N8" s="30" t="s">
        <v>87</v>
      </c>
      <c r="O8" s="30" t="s">
        <v>87</v>
      </c>
      <c r="P8" s="731" t="s">
        <v>87</v>
      </c>
      <c r="Q8" s="69" t="s">
        <v>87</v>
      </c>
      <c r="R8" s="43" t="s">
        <v>1765</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1765</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1765</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1765</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1765</v>
      </c>
      <c r="S12" s="43" t="s">
        <v>87</v>
      </c>
      <c r="T12" s="43" t="s">
        <v>87</v>
      </c>
      <c r="U12" s="69" t="s">
        <v>97</v>
      </c>
      <c r="V12" s="69" t="s">
        <v>97</v>
      </c>
      <c r="W12" s="30"/>
      <c r="X12" s="69" t="s">
        <v>97</v>
      </c>
      <c r="Y12" t="e">
        <f>VLOOKUP(A12,#REF!,2,FALSE)</f>
        <v>#REF!</v>
      </c>
    </row>
    <row r="13" spans="1:25">
      <c r="A13" s="181" t="s">
        <v>402</v>
      </c>
      <c r="B13" s="183" t="s">
        <v>228</v>
      </c>
      <c r="C13" s="423">
        <v>45960</v>
      </c>
      <c r="D13" s="432" t="s">
        <v>1767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1768</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1769</v>
      </c>
      <c r="N16" s="30" t="s">
        <v>87</v>
      </c>
      <c r="O16" s="54" t="s">
        <v>1769</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1768</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1768</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1768</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1768</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1768</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1768</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1768</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1765</v>
      </c>
      <c r="S31" s="43" t="s">
        <v>87</v>
      </c>
      <c r="T31" s="140" t="s">
        <v>87</v>
      </c>
      <c r="U31" s="116" t="s">
        <v>87</v>
      </c>
      <c r="V31" s="69" t="s">
        <v>87</v>
      </c>
      <c r="W31" s="54">
        <v>45779</v>
      </c>
      <c r="X31" s="69" t="s">
        <v>1768</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1765</v>
      </c>
      <c r="S32" s="43" t="s">
        <v>87</v>
      </c>
      <c r="T32" s="140" t="s">
        <v>87</v>
      </c>
      <c r="U32" s="43" t="s">
        <v>87</v>
      </c>
      <c r="V32" s="69" t="s">
        <v>87</v>
      </c>
      <c r="W32" s="54">
        <v>45792</v>
      </c>
      <c r="X32" s="69" t="s">
        <v>1768</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1765</v>
      </c>
      <c r="S33" s="43" t="s">
        <v>87</v>
      </c>
      <c r="T33" s="140" t="s">
        <v>87</v>
      </c>
      <c r="U33" s="43" t="s">
        <v>87</v>
      </c>
      <c r="V33" s="345" t="s">
        <v>87</v>
      </c>
      <c r="W33" s="54">
        <v>45812</v>
      </c>
      <c r="X33" s="69" t="s">
        <v>1768</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1765</v>
      </c>
      <c r="S34" s="43" t="s">
        <v>87</v>
      </c>
      <c r="T34" s="140" t="s">
        <v>87</v>
      </c>
      <c r="U34" s="43" t="s">
        <v>87</v>
      </c>
      <c r="V34" s="418" t="s">
        <v>87</v>
      </c>
      <c r="W34" s="168">
        <v>45797</v>
      </c>
      <c r="X34" s="69" t="s">
        <v>1768</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1765</v>
      </c>
      <c r="S35" s="43" t="s">
        <v>87</v>
      </c>
      <c r="T35" s="140" t="s">
        <v>87</v>
      </c>
      <c r="U35" s="171" t="s">
        <v>87</v>
      </c>
      <c r="V35" s="69" t="s">
        <v>87</v>
      </c>
      <c r="W35" s="54">
        <v>45789</v>
      </c>
      <c r="X35" s="345" t="s">
        <v>1768</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1765</v>
      </c>
      <c r="S36" s="43" t="s">
        <v>87</v>
      </c>
      <c r="T36" s="140" t="s">
        <v>87</v>
      </c>
      <c r="U36" s="43" t="s">
        <v>87</v>
      </c>
      <c r="V36" s="69" t="s">
        <v>87</v>
      </c>
      <c r="W36" s="54">
        <v>45824</v>
      </c>
      <c r="X36" s="345" t="s">
        <v>1768</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1765</v>
      </c>
      <c r="S37" s="43" t="s">
        <v>87</v>
      </c>
      <c r="T37" s="43" t="s">
        <v>87</v>
      </c>
      <c r="U37" s="171" t="s">
        <v>87</v>
      </c>
      <c r="V37" s="69" t="s">
        <v>87</v>
      </c>
      <c r="W37" s="157">
        <v>45789</v>
      </c>
      <c r="X37" s="69" t="s">
        <v>1768</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1765</v>
      </c>
      <c r="S38" s="43" t="s">
        <v>87</v>
      </c>
      <c r="T38" s="43" t="s">
        <v>87</v>
      </c>
      <c r="U38" s="171" t="s">
        <v>87</v>
      </c>
      <c r="V38" s="69" t="s">
        <v>87</v>
      </c>
      <c r="W38" s="54">
        <v>45789</v>
      </c>
      <c r="X38" s="69" t="s">
        <v>1768</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1765</v>
      </c>
      <c r="S39" s="43" t="s">
        <v>87</v>
      </c>
      <c r="T39" s="43" t="s">
        <v>87</v>
      </c>
      <c r="U39" s="171" t="s">
        <v>87</v>
      </c>
      <c r="V39" s="69" t="s">
        <v>87</v>
      </c>
      <c r="W39" s="54">
        <v>45789</v>
      </c>
      <c r="X39" s="69" t="s">
        <v>1768</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1768</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1768</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1768</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1768</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1768</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1768</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1768</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1768</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1768</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1768</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1768</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1768</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1765</v>
      </c>
      <c r="S57" s="43" t="s">
        <v>87</v>
      </c>
      <c r="T57" s="43" t="s">
        <v>87</v>
      </c>
      <c r="U57" s="43" t="s">
        <v>87</v>
      </c>
      <c r="V57" s="69" t="s">
        <v>87</v>
      </c>
      <c r="W57" s="54">
        <v>45813</v>
      </c>
      <c r="X57" s="69" t="s">
        <v>1768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1765</v>
      </c>
      <c r="S58" s="43" t="s">
        <v>87</v>
      </c>
      <c r="T58" s="43" t="s">
        <v>87</v>
      </c>
      <c r="U58" s="43" t="s">
        <v>87</v>
      </c>
      <c r="V58" s="345" t="s">
        <v>87</v>
      </c>
      <c r="W58" s="54">
        <v>45796</v>
      </c>
      <c r="X58" s="69" t="s">
        <v>1768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1765</v>
      </c>
      <c r="S59" s="43" t="s">
        <v>87</v>
      </c>
      <c r="T59" s="43" t="s">
        <v>87</v>
      </c>
      <c r="U59" s="43" t="s">
        <v>87</v>
      </c>
      <c r="V59" s="345" t="s">
        <v>87</v>
      </c>
      <c r="W59" s="54">
        <v>45796</v>
      </c>
      <c r="X59" s="69" t="s">
        <v>1768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1765</v>
      </c>
      <c r="S60" s="43" t="s">
        <v>87</v>
      </c>
      <c r="T60" s="43" t="s">
        <v>87</v>
      </c>
      <c r="U60" s="43" t="s">
        <v>87</v>
      </c>
      <c r="V60" s="345" t="s">
        <v>87</v>
      </c>
      <c r="W60" s="54">
        <v>45824</v>
      </c>
      <c r="X60" s="69" t="s">
        <v>1768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1770</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1765</v>
      </c>
      <c r="S81" s="43" t="s">
        <v>87</v>
      </c>
      <c r="T81" s="43" t="s">
        <v>87</v>
      </c>
      <c r="U81" s="116" t="s">
        <v>87</v>
      </c>
      <c r="V81" s="69" t="s">
        <v>87</v>
      </c>
      <c r="W81" s="54">
        <v>45789</v>
      </c>
      <c r="X81" s="69" t="s">
        <v>1768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1765</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1765</v>
      </c>
      <c r="S84" s="171" t="s">
        <v>87</v>
      </c>
      <c r="T84" s="171" t="s">
        <v>87</v>
      </c>
      <c r="U84" s="92" t="s">
        <v>87</v>
      </c>
      <c r="V84" s="69" t="s">
        <v>87</v>
      </c>
      <c r="W84" s="198">
        <v>45875</v>
      </c>
      <c r="X84" s="69" t="s">
        <v>1768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1765</v>
      </c>
      <c r="S85" s="171" t="s">
        <v>87</v>
      </c>
      <c r="T85" s="171" t="s">
        <v>87</v>
      </c>
      <c r="U85" s="92" t="s">
        <v>87</v>
      </c>
      <c r="V85" s="92" t="s">
        <v>87</v>
      </c>
      <c r="W85" s="198">
        <v>45874</v>
      </c>
      <c r="X85" s="69" t="s">
        <v>1768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1765</v>
      </c>
      <c r="S86" s="43" t="s">
        <v>87</v>
      </c>
      <c r="T86" s="43" t="s">
        <v>87</v>
      </c>
      <c r="U86" s="69" t="s">
        <v>87</v>
      </c>
      <c r="V86" s="69" t="s">
        <v>87</v>
      </c>
      <c r="W86" s="54">
        <v>45824</v>
      </c>
      <c r="X86" s="69" t="s">
        <v>1768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1765</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1765</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1765</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1765</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1765</v>
      </c>
      <c r="S91" s="69" t="s">
        <v>87</v>
      </c>
      <c r="T91" s="69" t="s">
        <v>87</v>
      </c>
      <c r="U91" s="69" t="s">
        <v>87</v>
      </c>
      <c r="V91" s="69" t="s">
        <v>87</v>
      </c>
      <c r="W91" s="54">
        <v>45831</v>
      </c>
      <c r="X91" s="69" t="s">
        <v>1768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1765</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1765</v>
      </c>
      <c r="S93" s="43" t="s">
        <v>87</v>
      </c>
      <c r="T93" s="43" t="s">
        <v>87</v>
      </c>
      <c r="U93" s="345" t="s">
        <v>87</v>
      </c>
      <c r="V93" s="69" t="s">
        <v>87</v>
      </c>
      <c r="W93" s="54">
        <v>45789</v>
      </c>
      <c r="X93" s="69" t="s">
        <v>1768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1765</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1765</v>
      </c>
      <c r="S95" s="69" t="s">
        <v>87</v>
      </c>
      <c r="T95" s="43" t="s">
        <v>87</v>
      </c>
      <c r="U95" s="69" t="s">
        <v>87</v>
      </c>
      <c r="V95" s="69" t="s">
        <v>87</v>
      </c>
      <c r="W95" s="54">
        <v>45814</v>
      </c>
      <c r="X95" s="69" t="s">
        <v>1768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1765</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1765</v>
      </c>
      <c r="S97" s="69" t="s">
        <v>87</v>
      </c>
      <c r="T97" s="69" t="s">
        <v>87</v>
      </c>
      <c r="U97" s="69" t="s">
        <v>87</v>
      </c>
      <c r="V97" s="43" t="s">
        <v>87</v>
      </c>
      <c r="W97" s="54">
        <v>45824</v>
      </c>
      <c r="X97" s="69" t="s">
        <v>1768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1765</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1765</v>
      </c>
      <c r="S99" s="43" t="s">
        <v>87</v>
      </c>
      <c r="T99" s="116" t="s">
        <v>87</v>
      </c>
      <c r="U99" s="149" t="s">
        <v>87</v>
      </c>
      <c r="V99" s="69" t="s">
        <v>87</v>
      </c>
      <c r="W99" s="54">
        <v>45814</v>
      </c>
      <c r="X99" s="69" t="s">
        <v>1768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1765</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1765</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1765</v>
      </c>
      <c r="S102" s="43" t="s">
        <v>87</v>
      </c>
      <c r="T102" s="43" t="s">
        <v>87</v>
      </c>
      <c r="U102" s="43" t="s">
        <v>87</v>
      </c>
      <c r="V102" s="166" t="s">
        <v>87</v>
      </c>
      <c r="W102" s="54">
        <v>45835</v>
      </c>
      <c r="X102" s="69" t="s">
        <v>1768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1765</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1765</v>
      </c>
      <c r="S104" s="43" t="s">
        <v>87</v>
      </c>
      <c r="T104" s="43" t="s">
        <v>87</v>
      </c>
      <c r="U104" s="43" t="s">
        <v>87</v>
      </c>
      <c r="V104" s="140" t="s">
        <v>87</v>
      </c>
      <c r="W104" s="54">
        <v>45820</v>
      </c>
      <c r="X104" s="69" t="s">
        <v>1768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1765</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1765</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1765</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1765</v>
      </c>
      <c r="S108" s="43" t="s">
        <v>87</v>
      </c>
      <c r="T108" s="43" t="s">
        <v>87</v>
      </c>
      <c r="U108" s="88" t="s">
        <v>87</v>
      </c>
      <c r="V108" s="495" t="s">
        <v>87</v>
      </c>
      <c r="W108" s="367">
        <v>45798</v>
      </c>
      <c r="X108" s="69" t="s">
        <v>1768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1765</v>
      </c>
      <c r="S109" s="43" t="s">
        <v>87</v>
      </c>
      <c r="T109" s="43" t="s">
        <v>87</v>
      </c>
      <c r="U109" s="43" t="s">
        <v>1771</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1765</v>
      </c>
      <c r="S110" s="43" t="s">
        <v>87</v>
      </c>
      <c r="T110" s="43" t="s">
        <v>87</v>
      </c>
      <c r="U110" s="88" t="s">
        <v>87</v>
      </c>
      <c r="V110" s="495" t="s">
        <v>87</v>
      </c>
      <c r="W110" s="367">
        <v>45902</v>
      </c>
      <c r="X110" s="69" t="s">
        <v>1768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1765</v>
      </c>
      <c r="S111" s="43" t="s">
        <v>87</v>
      </c>
      <c r="T111" s="43" t="s">
        <v>87</v>
      </c>
      <c r="U111" s="43" t="s">
        <v>87</v>
      </c>
      <c r="V111" s="204" t="s">
        <v>87</v>
      </c>
      <c r="W111" s="168">
        <v>45790</v>
      </c>
      <c r="X111" s="69" t="s">
        <v>1768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1765</v>
      </c>
      <c r="S112" s="43" t="s">
        <v>87</v>
      </c>
      <c r="T112" s="43" t="s">
        <v>87</v>
      </c>
      <c r="U112" s="43" t="s">
        <v>87</v>
      </c>
      <c r="V112" s="204" t="s">
        <v>87</v>
      </c>
      <c r="W112" s="493">
        <v>45791</v>
      </c>
      <c r="X112" s="69" t="s">
        <v>1768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1765</v>
      </c>
      <c r="S113" s="116" t="s">
        <v>87</v>
      </c>
      <c r="T113" s="43" t="s">
        <v>87</v>
      </c>
      <c r="U113" s="43" t="s">
        <v>87</v>
      </c>
      <c r="V113" s="204" t="s">
        <v>87</v>
      </c>
      <c r="W113" s="493">
        <v>45791</v>
      </c>
      <c r="X113" s="149" t="s">
        <v>1768</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1765</v>
      </c>
      <c r="S114" s="116" t="s">
        <v>87</v>
      </c>
      <c r="T114" s="43" t="s">
        <v>87</v>
      </c>
      <c r="U114" s="158" t="s">
        <v>87</v>
      </c>
      <c r="V114" s="204" t="s">
        <v>87</v>
      </c>
      <c r="W114" s="54">
        <v>45798</v>
      </c>
      <c r="X114" s="69" t="s">
        <v>1768</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1765</v>
      </c>
      <c r="S115" s="43" t="s">
        <v>87</v>
      </c>
      <c r="T115" s="43" t="s">
        <v>87</v>
      </c>
      <c r="U115" s="43" t="s">
        <v>87</v>
      </c>
      <c r="V115" s="88" t="s">
        <v>87</v>
      </c>
      <c r="W115" s="54">
        <v>45814</v>
      </c>
      <c r="X115" s="69" t="s">
        <v>1768</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1765</v>
      </c>
      <c r="S116" s="43" t="s">
        <v>87</v>
      </c>
      <c r="T116" s="43" t="s">
        <v>87</v>
      </c>
      <c r="U116" s="43" t="s">
        <v>87</v>
      </c>
      <c r="V116" s="495" t="s">
        <v>87</v>
      </c>
      <c r="W116" s="54">
        <v>45807</v>
      </c>
      <c r="X116" s="69" t="s">
        <v>1768</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1765</v>
      </c>
      <c r="S117" s="43" t="s">
        <v>87</v>
      </c>
      <c r="T117" s="43" t="s">
        <v>87</v>
      </c>
      <c r="U117" s="43" t="s">
        <v>87</v>
      </c>
      <c r="V117" s="88" t="s">
        <v>87</v>
      </c>
      <c r="W117" s="54">
        <v>45811</v>
      </c>
      <c r="X117" s="69" t="s">
        <v>1768</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1765</v>
      </c>
      <c r="S118" s="43" t="s">
        <v>87</v>
      </c>
      <c r="T118" s="43" t="s">
        <v>87</v>
      </c>
      <c r="U118" s="158" t="s">
        <v>87</v>
      </c>
      <c r="V118" s="88" t="s">
        <v>87</v>
      </c>
      <c r="W118" s="54">
        <v>45810</v>
      </c>
      <c r="X118" s="69" t="s">
        <v>1768</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1765</v>
      </c>
      <c r="S119" s="43" t="s">
        <v>87</v>
      </c>
      <c r="T119" s="43" t="s">
        <v>87</v>
      </c>
      <c r="U119" s="158" t="s">
        <v>87</v>
      </c>
      <c r="V119" s="88" t="s">
        <v>87</v>
      </c>
      <c r="W119" s="54">
        <v>45813</v>
      </c>
      <c r="X119" s="69" t="s">
        <v>1768</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1765</v>
      </c>
      <c r="S120" s="43" t="s">
        <v>87</v>
      </c>
      <c r="T120" s="43" t="s">
        <v>87</v>
      </c>
      <c r="U120" s="43" t="s">
        <v>87</v>
      </c>
      <c r="V120" s="88" t="s">
        <v>87</v>
      </c>
      <c r="W120" s="54">
        <v>45811</v>
      </c>
      <c r="X120" s="69" t="s">
        <v>1768</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1765</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1765</v>
      </c>
      <c r="S122" s="43" t="s">
        <v>87</v>
      </c>
      <c r="T122" s="43" t="s">
        <v>87</v>
      </c>
      <c r="U122" s="158" t="s">
        <v>87</v>
      </c>
      <c r="V122" s="158" t="s">
        <v>87</v>
      </c>
      <c r="W122" s="54">
        <v>45789</v>
      </c>
      <c r="X122" s="69" t="s">
        <v>1768</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1765</v>
      </c>
      <c r="S123" s="43" t="s">
        <v>87</v>
      </c>
      <c r="T123" s="43" t="s">
        <v>87</v>
      </c>
      <c r="U123" s="43" t="s">
        <v>87</v>
      </c>
      <c r="V123" s="69" t="s">
        <v>87</v>
      </c>
      <c r="W123" s="54">
        <v>45811</v>
      </c>
      <c r="X123" s="69" t="s">
        <v>1768</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1765</v>
      </c>
      <c r="S124" s="43" t="s">
        <v>87</v>
      </c>
      <c r="T124" s="43" t="s">
        <v>87</v>
      </c>
      <c r="U124" s="43" t="s">
        <v>1771</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1765</v>
      </c>
      <c r="S125" s="43" t="s">
        <v>87</v>
      </c>
      <c r="T125" s="43" t="s">
        <v>87</v>
      </c>
      <c r="U125" s="43" t="s">
        <v>87</v>
      </c>
      <c r="V125" s="43" t="s">
        <v>87</v>
      </c>
      <c r="W125" s="54">
        <v>45814</v>
      </c>
      <c r="X125" s="69" t="s">
        <v>1768</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1765</v>
      </c>
      <c r="S126" s="43" t="s">
        <v>87</v>
      </c>
      <c r="T126" s="43" t="s">
        <v>87</v>
      </c>
      <c r="U126" s="43" t="s">
        <v>87</v>
      </c>
      <c r="V126" s="88" t="s">
        <v>87</v>
      </c>
      <c r="W126" s="54">
        <v>45819</v>
      </c>
      <c r="X126" s="69" t="s">
        <v>1768</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1765</v>
      </c>
      <c r="S127" s="43" t="s">
        <v>87</v>
      </c>
      <c r="T127" s="43" t="s">
        <v>87</v>
      </c>
      <c r="U127" s="43" t="s">
        <v>87</v>
      </c>
      <c r="V127" s="88" t="s">
        <v>87</v>
      </c>
      <c r="W127" s="54">
        <v>45812</v>
      </c>
      <c r="X127" s="69" t="s">
        <v>1768</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1765</v>
      </c>
      <c r="S128" s="43" t="s">
        <v>87</v>
      </c>
      <c r="T128" s="43" t="s">
        <v>87</v>
      </c>
      <c r="U128" s="43" t="s">
        <v>87</v>
      </c>
      <c r="V128" s="88" t="s">
        <v>87</v>
      </c>
      <c r="W128" s="168">
        <v>45883</v>
      </c>
      <c r="X128" s="69" t="s">
        <v>1768</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1765</v>
      </c>
      <c r="S129" s="43" t="s">
        <v>87</v>
      </c>
      <c r="T129" s="116" t="s">
        <v>87</v>
      </c>
      <c r="U129" s="116" t="s">
        <v>87</v>
      </c>
      <c r="V129" s="88" t="s">
        <v>87</v>
      </c>
      <c r="W129" s="168">
        <v>45814</v>
      </c>
      <c r="X129" s="69" t="s">
        <v>1768</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1765</v>
      </c>
      <c r="S130" s="43" t="s">
        <v>87</v>
      </c>
      <c r="T130" s="43" t="s">
        <v>87</v>
      </c>
      <c r="U130" s="43" t="s">
        <v>87</v>
      </c>
      <c r="V130" s="88" t="s">
        <v>87</v>
      </c>
      <c r="W130" s="54">
        <v>45798</v>
      </c>
      <c r="X130" s="69" t="s">
        <v>1768</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1765</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1765</v>
      </c>
      <c r="S132" s="43" t="s">
        <v>87</v>
      </c>
      <c r="T132" s="43" t="s">
        <v>87</v>
      </c>
      <c r="U132" s="43" t="s">
        <v>87</v>
      </c>
      <c r="V132" s="43" t="s">
        <v>87</v>
      </c>
      <c r="W132" s="54">
        <v>45820</v>
      </c>
      <c r="X132" s="69" t="s">
        <v>1768</v>
      </c>
      <c r="Y132" t="e">
        <f>VLOOKUP(A132,#REF!,2,FALSE)</f>
        <v>#REF!</v>
      </c>
    </row>
    <row r="133" spans="1:25" ht="15" customHeight="1">
      <c r="A133" s="369" t="s">
        <v>730</v>
      </c>
      <c r="B133" s="420" t="s">
        <v>50</v>
      </c>
      <c r="C133" s="378">
        <v>45742</v>
      </c>
      <c r="D133" s="433" t="s">
        <v>1772</v>
      </c>
      <c r="E133" s="372"/>
      <c r="F133" s="372"/>
      <c r="G133" s="372"/>
      <c r="H133" s="372">
        <v>38</v>
      </c>
      <c r="I133" s="371"/>
      <c r="J133" s="372" t="s">
        <v>57</v>
      </c>
      <c r="K133" s="372" t="s">
        <v>57</v>
      </c>
      <c r="L133" s="372" t="s">
        <v>63</v>
      </c>
      <c r="M133" s="49" t="s">
        <v>87</v>
      </c>
      <c r="N133" s="49" t="s">
        <v>87</v>
      </c>
      <c r="O133" s="54">
        <v>45701</v>
      </c>
      <c r="P133" s="30" t="s">
        <v>87</v>
      </c>
      <c r="Q133" s="69" t="s">
        <v>87</v>
      </c>
      <c r="R133" s="43" t="s">
        <v>1765</v>
      </c>
      <c r="S133" s="43" t="s">
        <v>87</v>
      </c>
      <c r="T133" s="43" t="s">
        <v>87</v>
      </c>
      <c r="U133" s="43" t="s">
        <v>87</v>
      </c>
      <c r="V133" s="69" t="s">
        <v>87</v>
      </c>
      <c r="W133" s="54">
        <v>45821</v>
      </c>
      <c r="X133" s="69" t="s">
        <v>1768</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1765</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1765</v>
      </c>
      <c r="S135" s="43" t="s">
        <v>87</v>
      </c>
      <c r="T135" s="43" t="s">
        <v>87</v>
      </c>
      <c r="U135" s="158" t="s">
        <v>87</v>
      </c>
      <c r="V135" s="43" t="s">
        <v>87</v>
      </c>
      <c r="W135" s="54">
        <v>45819</v>
      </c>
      <c r="X135" s="69" t="s">
        <v>1768</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1765</v>
      </c>
      <c r="S136" s="43" t="s">
        <v>87</v>
      </c>
      <c r="T136" s="43" t="s">
        <v>87</v>
      </c>
      <c r="U136" s="43" t="s">
        <v>87</v>
      </c>
      <c r="V136" s="43" t="s">
        <v>87</v>
      </c>
      <c r="W136" s="54">
        <v>45791</v>
      </c>
      <c r="X136" s="69" t="s">
        <v>1768</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1765</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1765</v>
      </c>
      <c r="S138" s="43" t="s">
        <v>87</v>
      </c>
      <c r="T138" s="43" t="s">
        <v>87</v>
      </c>
      <c r="U138" s="43" t="s">
        <v>87</v>
      </c>
      <c r="V138" s="43" t="s">
        <v>87</v>
      </c>
      <c r="W138" s="54">
        <v>45790</v>
      </c>
      <c r="X138" s="69" t="s">
        <v>1768</v>
      </c>
      <c r="Y138" t="e">
        <f>VLOOKUP(A138,#REF!,2,FALSE)</f>
        <v>#REF!</v>
      </c>
    </row>
    <row r="139" spans="1:25" ht="15" customHeight="1">
      <c r="A139" s="369" t="s">
        <v>1773</v>
      </c>
      <c r="B139" s="185" t="s">
        <v>50</v>
      </c>
      <c r="C139" s="422">
        <v>45742</v>
      </c>
      <c r="D139" s="372" t="s">
        <v>1774</v>
      </c>
      <c r="E139" s="538"/>
      <c r="F139" s="372"/>
      <c r="G139" s="372"/>
      <c r="H139" s="372">
        <v>87</v>
      </c>
      <c r="I139" s="371"/>
      <c r="J139" s="372" t="s">
        <v>57</v>
      </c>
      <c r="K139" s="372" t="s">
        <v>57</v>
      </c>
      <c r="L139" s="372" t="s">
        <v>63</v>
      </c>
      <c r="M139" s="49" t="s">
        <v>87</v>
      </c>
      <c r="N139" s="30" t="s">
        <v>87</v>
      </c>
      <c r="O139" s="30" t="s">
        <v>87</v>
      </c>
      <c r="P139" s="30" t="s">
        <v>87</v>
      </c>
      <c r="Q139" s="43" t="s">
        <v>87</v>
      </c>
      <c r="R139" s="43" t="s">
        <v>1765</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1765</v>
      </c>
      <c r="S140" s="43" t="s">
        <v>87</v>
      </c>
      <c r="T140" s="43" t="s">
        <v>87</v>
      </c>
      <c r="U140" s="88" t="s">
        <v>87</v>
      </c>
      <c r="V140" s="69" t="s">
        <v>87</v>
      </c>
      <c r="W140" s="54">
        <v>45819</v>
      </c>
      <c r="X140" s="69" t="s">
        <v>1768</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1765</v>
      </c>
      <c r="S141" s="43" t="s">
        <v>87</v>
      </c>
      <c r="T141" s="43" t="s">
        <v>87</v>
      </c>
      <c r="U141" s="88" t="s">
        <v>87</v>
      </c>
      <c r="V141" s="88" t="s">
        <v>87</v>
      </c>
      <c r="W141" s="54">
        <v>45811</v>
      </c>
      <c r="X141" s="69" t="s">
        <v>1768</v>
      </c>
      <c r="Y141" t="e">
        <f>VLOOKUP(A141,#REF!,2,FALSE)</f>
        <v>#REF!</v>
      </c>
    </row>
    <row r="142" spans="1:25" ht="15" customHeight="1">
      <c r="A142" s="369" t="s">
        <v>1775</v>
      </c>
      <c r="B142" s="420" t="s">
        <v>50</v>
      </c>
      <c r="C142" s="422">
        <v>45742</v>
      </c>
      <c r="D142" s="372" t="s">
        <v>1776</v>
      </c>
      <c r="E142" s="538"/>
      <c r="F142" s="372"/>
      <c r="G142" s="372"/>
      <c r="H142" s="372">
        <v>87</v>
      </c>
      <c r="I142" s="371"/>
      <c r="J142" s="372" t="s">
        <v>57</v>
      </c>
      <c r="K142" s="372" t="s">
        <v>57</v>
      </c>
      <c r="L142" s="372" t="s">
        <v>63</v>
      </c>
      <c r="M142" s="49" t="s">
        <v>87</v>
      </c>
      <c r="N142" s="49" t="s">
        <v>87</v>
      </c>
      <c r="O142" s="198">
        <v>45691</v>
      </c>
      <c r="P142" s="30" t="s">
        <v>87</v>
      </c>
      <c r="Q142" s="69" t="s">
        <v>87</v>
      </c>
      <c r="R142" s="43" t="s">
        <v>1765</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1765</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1768</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1777</v>
      </c>
      <c r="B146" s="420" t="s">
        <v>50</v>
      </c>
      <c r="C146" s="370">
        <v>45991</v>
      </c>
      <c r="D146" s="432" t="s">
        <v>1778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1765</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1765</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1765</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1765</v>
      </c>
      <c r="S153" s="43" t="s">
        <v>87</v>
      </c>
      <c r="T153" s="158" t="s">
        <v>87</v>
      </c>
      <c r="U153" s="158" t="s">
        <v>87</v>
      </c>
      <c r="V153" s="43" t="s">
        <v>87</v>
      </c>
      <c r="W153" s="54">
        <v>45807</v>
      </c>
      <c r="X153" s="69" t="s">
        <v>1768</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1765</v>
      </c>
      <c r="S154" s="43" t="s">
        <v>87</v>
      </c>
      <c r="T154" s="158" t="s">
        <v>87</v>
      </c>
      <c r="U154" s="158" t="s">
        <v>87</v>
      </c>
      <c r="V154" s="43" t="s">
        <v>87</v>
      </c>
      <c r="W154" s="168">
        <v>45792</v>
      </c>
      <c r="X154" s="149" t="s">
        <v>1768</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1765</v>
      </c>
      <c r="S155" s="43" t="s">
        <v>87</v>
      </c>
      <c r="T155" s="43" t="s">
        <v>87</v>
      </c>
      <c r="U155" s="158" t="s">
        <v>87</v>
      </c>
      <c r="V155" s="43" t="s">
        <v>87</v>
      </c>
      <c r="W155" s="367">
        <v>45821</v>
      </c>
      <c r="X155" s="69" t="s">
        <v>1768</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1765</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1765</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1765</v>
      </c>
      <c r="S158" s="43" t="s">
        <v>87</v>
      </c>
      <c r="T158" s="43" t="s">
        <v>87</v>
      </c>
      <c r="U158" s="158" t="s">
        <v>87</v>
      </c>
      <c r="V158" s="158" t="s">
        <v>87</v>
      </c>
      <c r="W158" s="367">
        <v>45817</v>
      </c>
      <c r="X158" s="69" t="s">
        <v>1768</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1768</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1768</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1768</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1768</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1768</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5"/>
      <c r="B1" s="1175"/>
      <c r="C1" s="1175"/>
      <c r="D1" s="1175"/>
      <c r="E1" s="1175"/>
      <c r="F1" s="1175"/>
      <c r="G1" s="1175"/>
      <c r="H1" s="1175"/>
      <c r="I1" s="1175"/>
      <c r="J1" s="1"/>
      <c r="K1" s="1"/>
      <c r="L1" s="1"/>
      <c r="M1" s="1"/>
      <c r="N1" s="1"/>
      <c r="O1" s="1"/>
      <c r="P1" s="1176" t="s">
        <v>34</v>
      </c>
      <c r="Q1" s="1176"/>
      <c r="R1" s="1176"/>
      <c r="S1" s="1176"/>
      <c r="T1" s="1176"/>
      <c r="U1" s="1176"/>
      <c r="V1" s="1176"/>
      <c r="W1" s="1176"/>
      <c r="X1" s="1176"/>
      <c r="Y1" s="1176"/>
      <c r="Z1" s="1176"/>
      <c r="AA1" s="1176"/>
      <c r="AB1" s="66"/>
    </row>
    <row r="2" spans="1:30" ht="15.75" thickBot="1">
      <c r="A2" s="2"/>
      <c r="B2" s="2"/>
      <c r="C2" s="2"/>
      <c r="D2" s="2"/>
      <c r="E2" s="2"/>
      <c r="F2" s="2"/>
      <c r="G2" s="2"/>
      <c r="H2" s="2"/>
      <c r="I2" s="2"/>
      <c r="J2" s="6"/>
      <c r="K2" s="6"/>
      <c r="L2" s="6"/>
      <c r="M2" s="6"/>
      <c r="N2" s="6"/>
      <c r="O2" s="6"/>
      <c r="P2" s="8"/>
      <c r="Q2" s="8"/>
      <c r="R2" s="3"/>
      <c r="S2" s="3"/>
      <c r="T2" s="3"/>
      <c r="U2" s="3"/>
      <c r="V2" s="3" t="s">
        <v>1779</v>
      </c>
      <c r="W2" s="3" t="s">
        <v>1780</v>
      </c>
      <c r="X2" s="3" t="s">
        <v>1780</v>
      </c>
      <c r="Y2" s="3" t="s">
        <v>1780</v>
      </c>
      <c r="Z2" s="3" t="s">
        <v>1780</v>
      </c>
      <c r="AA2" s="8" t="s">
        <v>1781</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1782</v>
      </c>
      <c r="T3" s="19" t="s">
        <v>1783</v>
      </c>
      <c r="U3" s="19" t="s">
        <v>1784</v>
      </c>
      <c r="V3" s="5" t="s">
        <v>1785</v>
      </c>
      <c r="W3" s="5" t="s">
        <v>44</v>
      </c>
      <c r="X3" s="5" t="s">
        <v>43</v>
      </c>
      <c r="Y3" s="5" t="s">
        <v>1786</v>
      </c>
      <c r="Z3" s="5" t="s">
        <v>46</v>
      </c>
      <c r="AA3" s="90" t="s">
        <v>569</v>
      </c>
      <c r="AB3" s="68" t="s">
        <v>48</v>
      </c>
    </row>
    <row r="4" spans="1:30" ht="24.75" customHeight="1" thickBot="1">
      <c r="A4" s="454" t="s">
        <v>1787</v>
      </c>
      <c r="B4" s="454" t="s">
        <v>1788</v>
      </c>
      <c r="C4" s="16">
        <v>45717</v>
      </c>
      <c r="D4" s="63" t="s">
        <v>1789</v>
      </c>
      <c r="E4" s="51">
        <v>45707</v>
      </c>
      <c r="F4" s="51" t="s">
        <v>229</v>
      </c>
      <c r="G4" s="393" t="s">
        <v>1790</v>
      </c>
      <c r="H4" s="98">
        <v>0</v>
      </c>
      <c r="I4" s="106"/>
      <c r="J4" s="76" t="s">
        <v>63</v>
      </c>
      <c r="K4" s="76" t="s">
        <v>1791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1792</v>
      </c>
    </row>
    <row r="5" spans="1:30" ht="24.75" customHeight="1" thickBot="1">
      <c r="A5" s="454" t="s">
        <v>1793</v>
      </c>
      <c r="B5" s="454" t="s">
        <v>1788</v>
      </c>
      <c r="C5" s="16">
        <v>45717</v>
      </c>
      <c r="D5" s="63" t="s">
        <v>1789</v>
      </c>
      <c r="E5" s="51">
        <v>45707</v>
      </c>
      <c r="F5" s="392" t="s">
        <v>229</v>
      </c>
      <c r="G5" s="393" t="s">
        <v>1794</v>
      </c>
      <c r="H5" s="98">
        <v>0</v>
      </c>
      <c r="I5" s="106"/>
      <c r="J5" s="76" t="s">
        <v>63</v>
      </c>
      <c r="K5" s="76" t="s">
        <v>1791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1795</v>
      </c>
      <c r="B6" s="454" t="s">
        <v>1788</v>
      </c>
      <c r="C6" s="16">
        <v>45717</v>
      </c>
      <c r="D6" s="63" t="s">
        <v>1789</v>
      </c>
      <c r="E6" s="51">
        <v>45707</v>
      </c>
      <c r="F6" s="392" t="s">
        <v>229</v>
      </c>
      <c r="G6" s="393" t="s">
        <v>1796</v>
      </c>
      <c r="H6" s="98">
        <v>0</v>
      </c>
      <c r="I6" s="106"/>
      <c r="J6" s="76" t="s">
        <v>63</v>
      </c>
      <c r="K6" s="76" t="s">
        <v>1791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1797</v>
      </c>
      <c r="B8" s="454" t="s">
        <v>1798</v>
      </c>
      <c r="C8" s="16">
        <v>45748</v>
      </c>
      <c r="D8" s="16" t="s">
        <v>1789</v>
      </c>
      <c r="E8" s="95" t="s">
        <v>52</v>
      </c>
      <c r="F8" s="96" t="s">
        <v>52</v>
      </c>
      <c r="G8" s="637" t="s">
        <v>1799</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1800</v>
      </c>
      <c r="AC8" s="449"/>
      <c r="AD8" s="70"/>
    </row>
    <row r="9" spans="1:30" ht="24.75" customHeight="1">
      <c r="A9" s="463" t="s">
        <v>1801</v>
      </c>
      <c r="B9" s="463" t="s">
        <v>1802</v>
      </c>
      <c r="C9" s="23">
        <v>45741</v>
      </c>
      <c r="D9" s="16" t="s">
        <v>1789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1803</v>
      </c>
    </row>
    <row r="10" spans="1:30" ht="24.75" customHeight="1" thickBot="1">
      <c r="A10" s="26" t="s">
        <v>1804</v>
      </c>
      <c r="B10" s="26" t="s">
        <v>1802</v>
      </c>
      <c r="C10" s="27">
        <v>45741</v>
      </c>
      <c r="D10" s="16" t="s">
        <v>1789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1805</v>
      </c>
      <c r="B11" s="36" t="s">
        <v>1802</v>
      </c>
      <c r="C11" s="37">
        <v>45747</v>
      </c>
      <c r="D11" s="16" t="s">
        <v>1789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1806</v>
      </c>
      <c r="B12" s="26" t="s">
        <v>1802</v>
      </c>
      <c r="C12" s="27">
        <v>45741</v>
      </c>
      <c r="D12" s="16" t="s">
        <v>1789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1803</v>
      </c>
    </row>
    <row r="13" spans="1:30" ht="24.75" customHeight="1" thickBot="1">
      <c r="A13" s="26" t="s">
        <v>1807</v>
      </c>
      <c r="B13" s="26" t="s">
        <v>1802</v>
      </c>
      <c r="C13" s="27">
        <v>45741</v>
      </c>
      <c r="D13" s="27" t="s">
        <v>1789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1803</v>
      </c>
    </row>
    <row r="14" spans="1:30" ht="24.75" customHeight="1" thickBot="1">
      <c r="A14" s="26" t="s">
        <v>1808</v>
      </c>
      <c r="B14" s="26" t="s">
        <v>1802</v>
      </c>
      <c r="C14" s="27">
        <v>45747</v>
      </c>
      <c r="D14" s="27" t="s">
        <v>1789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1809</v>
      </c>
      <c r="B15" s="26" t="s">
        <v>1802</v>
      </c>
      <c r="C15" s="27">
        <v>45741</v>
      </c>
      <c r="D15" s="27" t="s">
        <v>1789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1803</v>
      </c>
    </row>
    <row r="16" spans="1:30" ht="24.75" customHeight="1" thickBot="1">
      <c r="A16" s="26" t="s">
        <v>1810</v>
      </c>
      <c r="B16" s="26" t="s">
        <v>1802</v>
      </c>
      <c r="C16" s="27">
        <v>45741</v>
      </c>
      <c r="D16" s="27" t="s">
        <v>1789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1803</v>
      </c>
    </row>
    <row r="17" spans="1:30" ht="24.75" customHeight="1" thickBot="1">
      <c r="A17" s="36" t="s">
        <v>1811</v>
      </c>
      <c r="B17" s="36" t="s">
        <v>1802</v>
      </c>
      <c r="C17" s="37">
        <v>45747</v>
      </c>
      <c r="D17" s="37" t="s">
        <v>1789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1812</v>
      </c>
      <c r="B18" s="385" t="s">
        <v>1802</v>
      </c>
      <c r="C18" s="51">
        <v>45717</v>
      </c>
      <c r="D18" s="27" t="s">
        <v>1789</v>
      </c>
      <c r="E18" s="85">
        <v>45700</v>
      </c>
      <c r="F18" s="51"/>
      <c r="G18" s="51" t="s">
        <v>1813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1803</v>
      </c>
    </row>
    <row r="19" spans="1:30" ht="24.75" customHeight="1" thickBot="1">
      <c r="A19" s="50" t="s">
        <v>1814</v>
      </c>
      <c r="B19" s="26" t="s">
        <v>1802</v>
      </c>
      <c r="C19" s="51">
        <v>45747</v>
      </c>
      <c r="D19" s="27" t="s">
        <v>1789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1815</v>
      </c>
    </row>
    <row r="20" spans="1:30" ht="24.75" customHeight="1" thickBot="1">
      <c r="A20" s="385" t="s">
        <v>1816</v>
      </c>
      <c r="B20" s="385" t="s">
        <v>1802</v>
      </c>
      <c r="C20" s="386">
        <v>45717</v>
      </c>
      <c r="D20" s="27" t="s">
        <v>1789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1803</v>
      </c>
    </row>
    <row r="21" spans="1:30" ht="24.75" customHeight="1" thickBot="1">
      <c r="A21" s="385" t="s">
        <v>1817</v>
      </c>
      <c r="B21" s="113" t="s">
        <v>50</v>
      </c>
      <c r="C21" s="51">
        <v>45717</v>
      </c>
      <c r="D21" s="27" t="s">
        <v>1818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1819</v>
      </c>
      <c r="B22" s="389" t="s">
        <v>50</v>
      </c>
      <c r="C22" s="51">
        <v>45717</v>
      </c>
      <c r="D22" s="51" t="s">
        <v>1818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1820</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1821</v>
      </c>
      <c r="B24" s="389" t="s">
        <v>50</v>
      </c>
      <c r="C24" s="392">
        <v>45688</v>
      </c>
      <c r="D24" s="402" t="s">
        <v>1820</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1822</v>
      </c>
      <c r="B25" s="114" t="s">
        <v>50</v>
      </c>
      <c r="C25" s="51">
        <v>45747</v>
      </c>
      <c r="D25" s="51" t="s">
        <v>1818</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1823</v>
      </c>
    </row>
    <row r="26" spans="1:30" ht="24.75" customHeight="1">
      <c r="A26" s="102" t="s">
        <v>1824</v>
      </c>
      <c r="B26" s="103" t="s">
        <v>50</v>
      </c>
      <c r="C26" s="77">
        <v>45716</v>
      </c>
      <c r="D26" s="26" t="s">
        <v>1820</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1825</v>
      </c>
      <c r="B27" s="103" t="s">
        <v>50</v>
      </c>
      <c r="C27" s="77">
        <v>45716</v>
      </c>
      <c r="D27" s="50" t="s">
        <v>1820</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1826</v>
      </c>
      <c r="B28" s="103" t="s">
        <v>50</v>
      </c>
      <c r="C28" s="77">
        <v>45717</v>
      </c>
      <c r="D28" s="51" t="s">
        <v>1818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1827</v>
      </c>
      <c r="B29" s="103" t="s">
        <v>50</v>
      </c>
      <c r="C29" s="77">
        <v>45717</v>
      </c>
      <c r="D29" s="51" t="s">
        <v>1818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1828</v>
      </c>
      <c r="B30" s="389" t="s">
        <v>50</v>
      </c>
      <c r="C30" s="51">
        <v>45717</v>
      </c>
      <c r="D30" s="51" t="s">
        <v>1818</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1829</v>
      </c>
      <c r="B31" s="389" t="s">
        <v>50</v>
      </c>
      <c r="C31" s="51">
        <v>45717</v>
      </c>
      <c r="D31" s="51" t="s">
        <v>1818</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1777</v>
      </c>
      <c r="B32" s="1050" t="s">
        <v>50</v>
      </c>
      <c r="C32" s="946">
        <v>45991</v>
      </c>
      <c r="D32" s="946" t="s">
        <v>71</v>
      </c>
      <c r="E32" s="1042">
        <v>45734</v>
      </c>
      <c r="F32" s="950" t="s">
        <v>61</v>
      </c>
      <c r="G32" s="1051" t="s">
        <v>1778</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1830</v>
      </c>
      <c r="B33" s="1050" t="s">
        <v>50</v>
      </c>
      <c r="C33" s="946">
        <v>45991</v>
      </c>
      <c r="D33" s="950" t="s">
        <v>71</v>
      </c>
      <c r="E33" s="1042">
        <v>45743</v>
      </c>
      <c r="F33" s="950" t="s">
        <v>61</v>
      </c>
      <c r="G33" s="1051" t="s">
        <v>1831</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1832</v>
      </c>
    </row>
    <row r="34" spans="1:28" ht="24.75" customHeight="1">
      <c r="A34" s="944" t="s">
        <v>1833</v>
      </c>
      <c r="B34" s="1050" t="s">
        <v>50</v>
      </c>
      <c r="C34" s="946">
        <v>45989</v>
      </c>
      <c r="D34" s="946" t="s">
        <v>1834</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7" t="s">
        <v>1835</v>
      </c>
      <c r="C1" s="1177"/>
      <c r="D1" s="575"/>
      <c r="E1" s="1177" t="s">
        <v>1836</v>
      </c>
      <c r="F1" s="1177"/>
    </row>
    <row r="2" spans="1:25">
      <c r="B2" s="44" t="s">
        <v>1837</v>
      </c>
      <c r="E2" s="44" t="s">
        <v>22</v>
      </c>
      <c r="F2" t="s">
        <v>942</v>
      </c>
      <c r="P2" s="44" t="s">
        <v>27</v>
      </c>
      <c r="Q2" t="s">
        <v>1838</v>
      </c>
    </row>
    <row r="3" spans="1:25">
      <c r="B3" s="44" t="s">
        <v>22</v>
      </c>
      <c r="C3" t="s">
        <v>948</v>
      </c>
      <c r="K3" s="44" t="s">
        <v>1839</v>
      </c>
      <c r="L3" t="s">
        <v>1840</v>
      </c>
      <c r="P3" s="44" t="s">
        <v>1839</v>
      </c>
      <c r="Q3" t="s">
        <v>1840</v>
      </c>
    </row>
    <row r="4" spans="1:25">
      <c r="B4" t="s">
        <v>160</v>
      </c>
      <c r="C4">
        <v>157086</v>
      </c>
      <c r="E4" s="44" t="s">
        <v>1837</v>
      </c>
      <c r="F4" t="s">
        <v>948</v>
      </c>
      <c r="W4" t="s">
        <v>1841</v>
      </c>
      <c r="X4">
        <v>22</v>
      </c>
    </row>
    <row r="5" spans="1:25">
      <c r="B5" t="s">
        <v>71</v>
      </c>
      <c r="C5">
        <v>42670</v>
      </c>
      <c r="E5" t="s">
        <v>948</v>
      </c>
      <c r="F5">
        <v>229798</v>
      </c>
      <c r="K5" s="44" t="s">
        <v>1842</v>
      </c>
      <c r="P5" s="44" t="s">
        <v>1842</v>
      </c>
      <c r="W5" t="s">
        <v>1843</v>
      </c>
      <c r="X5">
        <v>13</v>
      </c>
    </row>
    <row r="6" spans="1:25">
      <c r="B6" t="s">
        <v>104</v>
      </c>
      <c r="C6">
        <v>22387</v>
      </c>
      <c r="K6" s="44" t="s">
        <v>27</v>
      </c>
      <c r="L6" s="44" t="s">
        <v>1844</v>
      </c>
      <c r="M6" t="s">
        <v>948</v>
      </c>
      <c r="P6" s="44" t="s">
        <v>1845</v>
      </c>
      <c r="Q6" s="44" t="s">
        <v>1844</v>
      </c>
      <c r="R6" t="s">
        <v>948</v>
      </c>
    </row>
    <row r="7" spans="1:25">
      <c r="B7" t="s">
        <v>974</v>
      </c>
      <c r="C7">
        <v>238374</v>
      </c>
      <c r="K7" t="s">
        <v>1838</v>
      </c>
      <c r="L7" t="s">
        <v>578</v>
      </c>
      <c r="M7">
        <v>1</v>
      </c>
      <c r="P7" t="s">
        <v>1846</v>
      </c>
      <c r="R7">
        <v>1</v>
      </c>
      <c r="X7" t="s">
        <v>1847</v>
      </c>
      <c r="Y7" t="s">
        <v>1848</v>
      </c>
    </row>
    <row r="8" spans="1:25">
      <c r="B8" t="s">
        <v>51</v>
      </c>
      <c r="C8">
        <v>446</v>
      </c>
      <c r="L8" t="s">
        <v>580</v>
      </c>
      <c r="M8">
        <v>1</v>
      </c>
      <c r="P8" t="s">
        <v>1849</v>
      </c>
      <c r="R8">
        <v>1</v>
      </c>
      <c r="V8" t="s">
        <v>1850</v>
      </c>
      <c r="W8" s="261">
        <v>203521</v>
      </c>
      <c r="X8" s="317">
        <f>X5/X4</f>
        <v>0.59090909090909094</v>
      </c>
      <c r="Y8" s="317">
        <f>W9/W8</f>
        <v>0.31446386367991508</v>
      </c>
    </row>
    <row r="9" spans="1:25">
      <c r="B9" t="s">
        <v>22</v>
      </c>
      <c r="C9">
        <v>0</v>
      </c>
      <c r="L9" t="s">
        <v>1851</v>
      </c>
      <c r="M9">
        <v>1</v>
      </c>
      <c r="P9" t="s">
        <v>1852</v>
      </c>
      <c r="Q9" t="s">
        <v>1851</v>
      </c>
      <c r="R9">
        <v>1</v>
      </c>
      <c r="V9" t="s">
        <v>1853</v>
      </c>
      <c r="W9">
        <v>64000</v>
      </c>
    </row>
    <row r="10" spans="1:25">
      <c r="B10" t="s">
        <v>239</v>
      </c>
      <c r="C10">
        <v>7128</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1854</v>
      </c>
      <c r="R12">
        <v>1</v>
      </c>
    </row>
    <row r="13" spans="1:25">
      <c r="B13" t="s">
        <v>223</v>
      </c>
      <c r="C13">
        <v>16290</v>
      </c>
      <c r="L13" t="s">
        <v>1855</v>
      </c>
      <c r="M13">
        <v>1</v>
      </c>
      <c r="Q13" t="s">
        <v>898</v>
      </c>
      <c r="R13">
        <v>1</v>
      </c>
    </row>
    <row r="14" spans="1:25">
      <c r="B14" t="s">
        <v>133</v>
      </c>
      <c r="C14">
        <v>7655</v>
      </c>
      <c r="L14" t="s">
        <v>697</v>
      </c>
      <c r="M14">
        <v>1</v>
      </c>
      <c r="P14" t="s">
        <v>1856</v>
      </c>
      <c r="R14">
        <v>5</v>
      </c>
    </row>
    <row r="15" spans="1:25">
      <c r="B15" t="s">
        <v>191</v>
      </c>
      <c r="C15">
        <v>3</v>
      </c>
      <c r="L15" t="s">
        <v>1854</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1857</v>
      </c>
      <c r="M21">
        <v>1</v>
      </c>
    </row>
    <row r="22" spans="2:13">
      <c r="L22" t="s">
        <v>898</v>
      </c>
      <c r="M22">
        <v>1</v>
      </c>
    </row>
    <row r="23" spans="2:13">
      <c r="L23" t="s">
        <v>741</v>
      </c>
      <c r="M23">
        <v>1</v>
      </c>
    </row>
    <row r="24" spans="2:13">
      <c r="L24" t="s">
        <v>759</v>
      </c>
      <c r="M24">
        <v>1</v>
      </c>
    </row>
    <row r="25" spans="2:13">
      <c r="L25" t="s">
        <v>187</v>
      </c>
      <c r="M25">
        <v>1</v>
      </c>
    </row>
    <row r="26" spans="2:13">
      <c r="K26" t="s">
        <v>1858</v>
      </c>
      <c r="M26">
        <v>19</v>
      </c>
    </row>
    <row r="27" spans="2:13">
      <c r="K27" t="s">
        <v>1859</v>
      </c>
      <c r="L27" t="s">
        <v>691</v>
      </c>
      <c r="M27">
        <v>1</v>
      </c>
    </row>
    <row r="28" spans="2:13">
      <c r="L28" t="s">
        <v>693</v>
      </c>
      <c r="M28">
        <v>1</v>
      </c>
    </row>
    <row r="29" spans="2:13">
      <c r="L29" t="s">
        <v>695</v>
      </c>
      <c r="M29">
        <v>1</v>
      </c>
    </row>
    <row r="30" spans="2:13">
      <c r="L30" t="s">
        <v>711</v>
      </c>
      <c r="M30">
        <v>1</v>
      </c>
    </row>
    <row r="31" spans="2:13">
      <c r="L31" t="s">
        <v>713</v>
      </c>
      <c r="M31">
        <v>1</v>
      </c>
    </row>
    <row r="32" spans="2:13">
      <c r="L32" t="s">
        <v>1860</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1861</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8"/>
      <c r="B1" s="1178"/>
      <c r="C1" s="1178"/>
      <c r="D1" s="1178"/>
      <c r="E1" s="1178"/>
      <c r="F1" s="1178"/>
      <c r="G1" s="1178"/>
      <c r="H1" s="1179" t="s">
        <v>1862</v>
      </c>
      <c r="I1" s="1179"/>
      <c r="J1" s="1179"/>
      <c r="K1" s="1179"/>
      <c r="L1" s="1179"/>
      <c r="M1" s="1179"/>
      <c r="N1" s="1179"/>
      <c r="O1" s="1179"/>
      <c r="P1" s="264"/>
      <c r="Q1" s="1180" t="s">
        <v>34</v>
      </c>
      <c r="R1" s="1180"/>
      <c r="S1" s="1176"/>
      <c r="T1" s="1180"/>
      <c r="U1" s="1180"/>
      <c r="V1" s="1180"/>
      <c r="W1" s="1180"/>
      <c r="X1" s="1180"/>
      <c r="Y1" s="268"/>
    </row>
    <row r="2" spans="1:26" ht="15.75" thickBot="1">
      <c r="A2" s="269"/>
      <c r="B2" s="270"/>
      <c r="C2" s="270"/>
      <c r="D2" s="270"/>
      <c r="E2" s="270"/>
      <c r="F2" s="270"/>
      <c r="G2" s="270"/>
      <c r="H2" s="271"/>
      <c r="I2" s="271"/>
      <c r="J2" s="271"/>
      <c r="K2" s="271"/>
      <c r="L2" s="271"/>
      <c r="M2" s="271"/>
      <c r="N2" s="271"/>
      <c r="O2" s="271"/>
      <c r="P2" s="264"/>
      <c r="Q2" s="268"/>
      <c r="R2" s="268" t="s">
        <v>1863</v>
      </c>
      <c r="S2" s="3" t="s">
        <v>1779</v>
      </c>
      <c r="T2" s="268" t="s">
        <v>1780</v>
      </c>
      <c r="U2" s="268" t="s">
        <v>1780</v>
      </c>
      <c r="V2" s="268" t="s">
        <v>1780</v>
      </c>
      <c r="W2" s="268" t="s">
        <v>1780</v>
      </c>
      <c r="X2" s="268" t="s">
        <v>1781</v>
      </c>
      <c r="Y2" s="268" t="s">
        <v>1864</v>
      </c>
    </row>
    <row r="3" spans="1:26" ht="15.75" thickBot="1">
      <c r="A3" s="267" t="s">
        <v>1844</v>
      </c>
      <c r="B3" s="263" t="s">
        <v>20</v>
      </c>
      <c r="C3" s="263" t="s">
        <v>1865</v>
      </c>
      <c r="D3" s="263" t="s">
        <v>26</v>
      </c>
      <c r="E3" s="263" t="s">
        <v>1839</v>
      </c>
      <c r="F3" s="263" t="s">
        <v>1866</v>
      </c>
      <c r="G3" s="263" t="s">
        <v>27</v>
      </c>
      <c r="H3" s="211" t="s">
        <v>28</v>
      </c>
      <c r="I3" s="211" t="s">
        <v>1867</v>
      </c>
      <c r="J3" s="211" t="s">
        <v>1868</v>
      </c>
      <c r="K3" s="211" t="s">
        <v>1869</v>
      </c>
      <c r="L3" s="211" t="s">
        <v>1768</v>
      </c>
      <c r="M3" s="211" t="s">
        <v>1870</v>
      </c>
      <c r="N3" s="211" t="s">
        <v>1871</v>
      </c>
      <c r="O3" s="210" t="s">
        <v>1784</v>
      </c>
      <c r="P3" s="264" t="s">
        <v>1845</v>
      </c>
      <c r="Q3" s="265" t="s">
        <v>34</v>
      </c>
      <c r="R3" s="265" t="s">
        <v>1867</v>
      </c>
      <c r="S3" s="5" t="s">
        <v>1785</v>
      </c>
      <c r="T3" s="265" t="s">
        <v>1872</v>
      </c>
      <c r="U3" s="265" t="s">
        <v>43</v>
      </c>
      <c r="V3" s="265" t="s">
        <v>1786</v>
      </c>
      <c r="W3" s="265" t="s">
        <v>46</v>
      </c>
      <c r="X3" s="265" t="s">
        <v>569</v>
      </c>
      <c r="Y3" s="265" t="s">
        <v>1873</v>
      </c>
      <c r="Z3" s="316" t="s">
        <v>1874</v>
      </c>
    </row>
    <row r="4" spans="1:26" ht="15.75" thickBot="1">
      <c r="A4" s="122" t="s">
        <v>81</v>
      </c>
      <c r="B4" s="103" t="s">
        <v>50</v>
      </c>
      <c r="C4" s="77">
        <v>45807</v>
      </c>
      <c r="D4" s="272"/>
      <c r="E4" s="273" t="s">
        <v>1875</v>
      </c>
      <c r="F4" s="272"/>
      <c r="G4" s="274" t="s">
        <v>1838</v>
      </c>
      <c r="H4" s="272"/>
      <c r="I4" s="272"/>
      <c r="J4" s="275"/>
      <c r="K4" s="209"/>
      <c r="L4" s="209"/>
      <c r="M4" s="209"/>
      <c r="N4" s="276"/>
      <c r="O4" s="277"/>
      <c r="P4" s="278" t="s">
        <v>1876</v>
      </c>
      <c r="Q4" s="279" t="s">
        <v>68</v>
      </c>
      <c r="R4" s="132" t="s">
        <v>1877</v>
      </c>
      <c r="S4" s="132"/>
      <c r="T4" s="280"/>
      <c r="U4" s="281"/>
      <c r="V4" s="281"/>
      <c r="W4" s="281"/>
      <c r="X4" s="281"/>
      <c r="Y4" s="281"/>
      <c r="Z4" t="e">
        <f>VLOOKUP(A4,#REF!,9,FALSE)</f>
        <v>#REF!</v>
      </c>
    </row>
    <row r="5" spans="1:26" ht="15.75" thickBot="1">
      <c r="A5" s="282" t="s">
        <v>1777</v>
      </c>
      <c r="B5" s="103" t="s">
        <v>50</v>
      </c>
      <c r="C5" s="219">
        <v>45807</v>
      </c>
      <c r="D5" s="272"/>
      <c r="E5" s="273" t="s">
        <v>1875</v>
      </c>
      <c r="F5" s="272"/>
      <c r="G5" s="274" t="s">
        <v>1838</v>
      </c>
      <c r="H5" s="272"/>
      <c r="I5" s="272"/>
      <c r="J5" s="283"/>
      <c r="K5" s="209"/>
      <c r="L5" s="209"/>
      <c r="M5" s="209"/>
      <c r="N5" s="276"/>
      <c r="O5" s="277"/>
      <c r="P5" s="278" t="s">
        <v>1876</v>
      </c>
      <c r="Q5" s="279" t="s">
        <v>68</v>
      </c>
      <c r="R5" s="132" t="s">
        <v>1877</v>
      </c>
      <c r="S5" s="132"/>
      <c r="T5" s="280"/>
      <c r="U5" s="281"/>
      <c r="V5" s="281"/>
      <c r="W5" s="281"/>
      <c r="X5" s="281"/>
      <c r="Y5" s="281"/>
      <c r="Z5" t="e">
        <f>VLOOKUP(A5,#REF!,9,FALSE)</f>
        <v>#REF!</v>
      </c>
    </row>
    <row r="6" spans="1:26" ht="15.75" thickBot="1">
      <c r="A6" s="122" t="s">
        <v>971</v>
      </c>
      <c r="B6" s="103" t="s">
        <v>50</v>
      </c>
      <c r="C6" s="219">
        <v>45807</v>
      </c>
      <c r="D6" s="272"/>
      <c r="E6" s="273" t="s">
        <v>1875</v>
      </c>
      <c r="F6" s="272"/>
      <c r="G6" s="274" t="s">
        <v>1838</v>
      </c>
      <c r="H6" s="272"/>
      <c r="I6" s="272"/>
      <c r="J6" s="283"/>
      <c r="K6" s="209"/>
      <c r="L6" s="209"/>
      <c r="M6" s="209"/>
      <c r="N6" s="276"/>
      <c r="O6" s="277"/>
      <c r="P6" s="278" t="s">
        <v>1876</v>
      </c>
      <c r="Q6" s="279" t="s">
        <v>68</v>
      </c>
      <c r="R6" s="132" t="s">
        <v>1877</v>
      </c>
      <c r="S6" s="132"/>
      <c r="T6" s="280"/>
      <c r="U6" s="281"/>
      <c r="V6" s="281"/>
      <c r="W6" s="281"/>
      <c r="X6" s="281"/>
      <c r="Y6" s="281"/>
      <c r="Z6" t="e">
        <f>VLOOKUP(A6,#REF!,9,FALSE)</f>
        <v>#REF!</v>
      </c>
    </row>
    <row r="7" spans="1:26" ht="15.75" thickBot="1">
      <c r="A7" s="122" t="s">
        <v>988</v>
      </c>
      <c r="B7" s="103" t="s">
        <v>50</v>
      </c>
      <c r="C7" s="219">
        <v>45807</v>
      </c>
      <c r="D7" s="272"/>
      <c r="E7" s="273" t="s">
        <v>1875</v>
      </c>
      <c r="F7" s="272"/>
      <c r="G7" s="274" t="s">
        <v>1838</v>
      </c>
      <c r="H7" s="272"/>
      <c r="I7" s="272"/>
      <c r="J7" s="283"/>
      <c r="K7" s="209"/>
      <c r="L7" s="209"/>
      <c r="M7" s="209"/>
      <c r="N7" s="276"/>
      <c r="O7" s="277"/>
      <c r="P7" s="278" t="s">
        <v>1876</v>
      </c>
      <c r="Q7" s="279" t="s">
        <v>68</v>
      </c>
      <c r="R7" s="132" t="s">
        <v>1877</v>
      </c>
      <c r="S7" s="132"/>
      <c r="T7" s="280"/>
      <c r="U7" s="281"/>
      <c r="V7" s="281"/>
      <c r="W7" s="281"/>
      <c r="X7" s="281"/>
      <c r="Y7" s="281"/>
      <c r="Z7" t="e">
        <f>VLOOKUP(A7,#REF!,9,FALSE)</f>
        <v>#REF!</v>
      </c>
    </row>
    <row r="8" spans="1:26" ht="15.75" thickBot="1">
      <c r="A8" s="282" t="s">
        <v>1878</v>
      </c>
      <c r="B8" s="103" t="s">
        <v>50</v>
      </c>
      <c r="C8" s="219">
        <v>45807</v>
      </c>
      <c r="D8" s="272"/>
      <c r="E8" s="273" t="s">
        <v>1875</v>
      </c>
      <c r="F8" s="272"/>
      <c r="G8" s="274" t="s">
        <v>1838</v>
      </c>
      <c r="H8" s="272"/>
      <c r="I8" s="272"/>
      <c r="J8" s="283"/>
      <c r="K8" s="209"/>
      <c r="L8" s="209"/>
      <c r="M8" s="209"/>
      <c r="N8" s="276"/>
      <c r="O8" s="277"/>
      <c r="P8" s="278" t="s">
        <v>1849</v>
      </c>
      <c r="Q8" s="279" t="s">
        <v>1879</v>
      </c>
      <c r="R8" s="132" t="s">
        <v>1880</v>
      </c>
      <c r="S8" s="132"/>
      <c r="T8" s="280"/>
      <c r="U8" s="281"/>
      <c r="V8" s="281"/>
      <c r="W8" s="281"/>
      <c r="X8" s="281"/>
      <c r="Y8" s="281"/>
      <c r="Z8" t="e">
        <f>VLOOKUP(A8,#REF!,9,FALSE)</f>
        <v>#REF!</v>
      </c>
    </row>
    <row r="9" spans="1:26" ht="15.75" thickBot="1">
      <c r="A9" s="122" t="s">
        <v>997</v>
      </c>
      <c r="B9" s="103" t="s">
        <v>50</v>
      </c>
      <c r="C9" s="219">
        <v>45807</v>
      </c>
      <c r="D9" s="284"/>
      <c r="E9" s="273" t="s">
        <v>1875</v>
      </c>
      <c r="F9" s="284"/>
      <c r="G9" s="285" t="s">
        <v>1838</v>
      </c>
      <c r="H9" s="272"/>
      <c r="I9" s="272"/>
      <c r="J9" s="283"/>
      <c r="K9" s="209"/>
      <c r="L9" s="209"/>
      <c r="M9" s="209"/>
      <c r="N9" s="276"/>
      <c r="O9" s="277"/>
      <c r="P9" s="278" t="s">
        <v>1876</v>
      </c>
      <c r="Q9" s="279" t="s">
        <v>68</v>
      </c>
      <c r="R9" s="132" t="s">
        <v>1877</v>
      </c>
      <c r="S9" s="132"/>
      <c r="T9" s="280"/>
      <c r="U9" s="281"/>
      <c r="V9" s="281"/>
      <c r="W9" s="281"/>
      <c r="X9" s="281"/>
      <c r="Y9" s="281"/>
      <c r="Z9" t="e">
        <f>VLOOKUP(A9,#REF!,9,FALSE)</f>
        <v>#REF!</v>
      </c>
    </row>
    <row r="10" spans="1:26" ht="15.75" thickBot="1">
      <c r="A10" s="122" t="s">
        <v>973</v>
      </c>
      <c r="B10" s="103" t="s">
        <v>50</v>
      </c>
      <c r="C10" s="219" t="e">
        <v>#N/A</v>
      </c>
      <c r="D10" s="286"/>
      <c r="E10" s="273" t="s">
        <v>1875</v>
      </c>
      <c r="F10" s="286"/>
      <c r="G10" s="287" t="s">
        <v>1838</v>
      </c>
      <c r="H10" s="234"/>
      <c r="I10" s="234"/>
      <c r="J10" s="45"/>
      <c r="K10" s="208"/>
      <c r="L10" s="208"/>
      <c r="M10" s="208"/>
      <c r="N10" s="288"/>
      <c r="O10" s="289"/>
      <c r="P10" s="278" t="s">
        <v>1876</v>
      </c>
      <c r="Q10" s="279" t="s">
        <v>58</v>
      </c>
      <c r="R10" s="132" t="s">
        <v>1877</v>
      </c>
      <c r="S10" s="132"/>
      <c r="T10" s="280"/>
      <c r="U10" s="281"/>
      <c r="V10" s="281"/>
      <c r="W10" s="281"/>
      <c r="X10" s="281"/>
      <c r="Y10" s="281"/>
      <c r="Z10" t="e">
        <f>VLOOKUP(A10,#REF!,9,FALSE)</f>
        <v>#REF!</v>
      </c>
    </row>
    <row r="11" spans="1:26" ht="15.75" thickBot="1">
      <c r="A11" s="122" t="s">
        <v>84</v>
      </c>
      <c r="B11" s="103" t="s">
        <v>50</v>
      </c>
      <c r="C11" s="219">
        <v>45807</v>
      </c>
      <c r="D11" s="286"/>
      <c r="E11" s="273" t="s">
        <v>1875</v>
      </c>
      <c r="F11" s="286"/>
      <c r="G11" s="287" t="s">
        <v>1838</v>
      </c>
      <c r="H11" s="234"/>
      <c r="I11" s="234"/>
      <c r="J11" s="45"/>
      <c r="K11" s="208"/>
      <c r="L11" s="208"/>
      <c r="M11" s="208"/>
      <c r="N11" s="288"/>
      <c r="O11" s="289"/>
      <c r="P11" s="278" t="s">
        <v>1876</v>
      </c>
      <c r="Q11" s="279" t="s">
        <v>68</v>
      </c>
      <c r="R11" s="132" t="s">
        <v>1877</v>
      </c>
      <c r="S11" s="132"/>
      <c r="T11" s="280"/>
      <c r="U11" s="281"/>
      <c r="V11" s="281"/>
      <c r="W11" s="281"/>
      <c r="X11" s="281"/>
      <c r="Y11" s="281"/>
      <c r="Z11" t="e">
        <f>VLOOKUP(A11,#REF!,9,FALSE)</f>
        <v>#REF!</v>
      </c>
    </row>
    <row r="12" spans="1:26" ht="15.75" thickBot="1">
      <c r="A12" s="122" t="s">
        <v>969</v>
      </c>
      <c r="B12" s="103" t="s">
        <v>50</v>
      </c>
      <c r="C12" s="219" t="e">
        <v>#N/A</v>
      </c>
      <c r="D12" s="286"/>
      <c r="E12" s="273" t="s">
        <v>1875</v>
      </c>
      <c r="F12" s="286"/>
      <c r="G12" s="287" t="s">
        <v>1838</v>
      </c>
      <c r="H12" s="234"/>
      <c r="I12" s="234"/>
      <c r="J12" s="45"/>
      <c r="K12" s="208"/>
      <c r="L12" s="208"/>
      <c r="M12" s="208"/>
      <c r="N12" s="288"/>
      <c r="O12" s="289"/>
      <c r="P12" s="278" t="s">
        <v>1876</v>
      </c>
      <c r="Q12" s="279" t="s">
        <v>68</v>
      </c>
      <c r="R12" s="132" t="s">
        <v>1877</v>
      </c>
      <c r="S12" s="132"/>
      <c r="T12" s="280"/>
      <c r="U12" s="281"/>
      <c r="V12" s="281"/>
      <c r="W12" s="281"/>
      <c r="X12" s="281"/>
      <c r="Y12" s="281"/>
      <c r="Z12" t="e">
        <f>VLOOKUP(A12,#REF!,9,FALSE)</f>
        <v>#REF!</v>
      </c>
    </row>
    <row r="13" spans="1:26" ht="15.75" thickBot="1">
      <c r="A13" s="122" t="s">
        <v>995</v>
      </c>
      <c r="B13" s="103" t="s">
        <v>50</v>
      </c>
      <c r="C13" s="219" t="e">
        <v>#N/A</v>
      </c>
      <c r="D13" s="286"/>
      <c r="E13" s="273" t="s">
        <v>1875</v>
      </c>
      <c r="F13" s="286"/>
      <c r="G13" s="287" t="s">
        <v>1838</v>
      </c>
      <c r="H13" s="234"/>
      <c r="I13" s="234"/>
      <c r="J13" s="45"/>
      <c r="K13" s="208"/>
      <c r="L13" s="208"/>
      <c r="M13" s="208"/>
      <c r="N13" s="288"/>
      <c r="O13" s="289"/>
      <c r="P13" s="278" t="s">
        <v>1876</v>
      </c>
      <c r="Q13" s="279" t="s">
        <v>68</v>
      </c>
      <c r="R13" s="132" t="s">
        <v>1877</v>
      </c>
      <c r="S13" s="132"/>
      <c r="T13" s="280"/>
      <c r="U13" s="281"/>
      <c r="V13" s="281"/>
      <c r="W13" s="281"/>
      <c r="X13" s="281"/>
      <c r="Y13" s="281"/>
      <c r="Z13" t="e">
        <f>VLOOKUP(A13,#REF!,9,FALSE)</f>
        <v>#REF!</v>
      </c>
    </row>
    <row r="14" spans="1:26" ht="15.75" thickBot="1">
      <c r="A14" s="282" t="s">
        <v>475</v>
      </c>
      <c r="B14" s="103" t="s">
        <v>50</v>
      </c>
      <c r="C14" s="219">
        <v>45807</v>
      </c>
      <c r="D14" s="286"/>
      <c r="E14" s="273" t="s">
        <v>1875</v>
      </c>
      <c r="F14" s="286"/>
      <c r="G14" s="287" t="s">
        <v>1838</v>
      </c>
      <c r="H14" s="234"/>
      <c r="I14" s="234"/>
      <c r="J14" s="45"/>
      <c r="K14" s="208"/>
      <c r="L14" s="208"/>
      <c r="M14" s="208"/>
      <c r="N14" s="288"/>
      <c r="O14" s="289"/>
      <c r="P14" s="278" t="s">
        <v>1876</v>
      </c>
      <c r="Q14" s="279" t="s">
        <v>68</v>
      </c>
      <c r="R14" s="132" t="s">
        <v>1877</v>
      </c>
      <c r="S14" s="132"/>
      <c r="T14" s="280"/>
      <c r="U14" s="281"/>
      <c r="V14" s="281"/>
      <c r="W14" s="281"/>
      <c r="X14" s="281"/>
      <c r="Y14" s="281"/>
      <c r="Z14" t="e">
        <f>VLOOKUP(A14,#REF!,9,FALSE)</f>
        <v>#REF!</v>
      </c>
    </row>
    <row r="15" spans="1:26" ht="15.75" thickBot="1">
      <c r="A15" s="122" t="s">
        <v>972</v>
      </c>
      <c r="B15" s="103" t="s">
        <v>50</v>
      </c>
      <c r="C15" s="219" t="e">
        <v>#N/A</v>
      </c>
      <c r="D15" s="286"/>
      <c r="E15" s="273" t="s">
        <v>1875</v>
      </c>
      <c r="F15" s="286"/>
      <c r="G15" s="287" t="s">
        <v>1838</v>
      </c>
      <c r="H15" s="234"/>
      <c r="I15" s="234"/>
      <c r="J15" s="45"/>
      <c r="K15" s="208"/>
      <c r="L15" s="208"/>
      <c r="M15" s="208"/>
      <c r="N15" s="288"/>
      <c r="O15" s="289"/>
      <c r="P15" s="278" t="s">
        <v>1876</v>
      </c>
      <c r="Q15" s="279" t="s">
        <v>68</v>
      </c>
      <c r="R15" s="132" t="s">
        <v>1877</v>
      </c>
      <c r="S15" s="132"/>
      <c r="T15" s="280"/>
      <c r="U15" s="281"/>
      <c r="V15" s="281"/>
      <c r="W15" s="281"/>
      <c r="X15" s="281"/>
      <c r="Y15" s="281"/>
      <c r="Z15" t="e">
        <f>VLOOKUP(A15,#REF!,9,FALSE)</f>
        <v>#REF!</v>
      </c>
    </row>
    <row r="16" spans="1:26" ht="15.75" thickBot="1">
      <c r="A16" s="290" t="s">
        <v>1881</v>
      </c>
      <c r="B16" s="103" t="s">
        <v>50</v>
      </c>
      <c r="C16" s="219" t="e">
        <v>#N/A</v>
      </c>
      <c r="D16" s="286"/>
      <c r="E16" s="273" t="s">
        <v>1875</v>
      </c>
      <c r="F16" s="286"/>
      <c r="G16" s="287" t="s">
        <v>1838</v>
      </c>
      <c r="H16" s="234"/>
      <c r="I16" s="234"/>
      <c r="J16" s="45"/>
      <c r="K16" s="208"/>
      <c r="L16" s="208"/>
      <c r="M16" s="208"/>
      <c r="N16" s="288"/>
      <c r="O16" s="289"/>
      <c r="P16" s="278" t="s">
        <v>1876</v>
      </c>
      <c r="Q16" s="279" t="s">
        <v>68</v>
      </c>
      <c r="R16" s="132" t="s">
        <v>1877</v>
      </c>
      <c r="S16" s="132"/>
      <c r="T16" s="280"/>
      <c r="U16" s="281"/>
      <c r="V16" s="281"/>
      <c r="W16" s="281"/>
      <c r="X16" s="281"/>
      <c r="Y16" s="281"/>
      <c r="Z16" t="e">
        <f>VLOOKUP(A16,#REF!,9,FALSE)</f>
        <v>#REF!</v>
      </c>
    </row>
    <row r="17" spans="1:26" ht="15.75" thickBot="1">
      <c r="A17" s="279" t="s">
        <v>759</v>
      </c>
      <c r="B17" s="103" t="s">
        <v>50</v>
      </c>
      <c r="C17" s="219" t="e">
        <v>#N/A</v>
      </c>
      <c r="D17" s="286"/>
      <c r="E17" s="273" t="s">
        <v>1840</v>
      </c>
      <c r="F17" s="286"/>
      <c r="G17" s="287" t="s">
        <v>1838</v>
      </c>
      <c r="H17" s="234"/>
      <c r="I17" s="234"/>
      <c r="J17" s="45"/>
      <c r="K17" s="208"/>
      <c r="L17" s="208"/>
      <c r="M17" s="208"/>
      <c r="N17" s="288"/>
      <c r="O17" s="289"/>
      <c r="P17" s="278"/>
      <c r="Q17" s="279" t="s">
        <v>68</v>
      </c>
      <c r="R17" s="132" t="s">
        <v>1877</v>
      </c>
      <c r="S17" s="132"/>
      <c r="T17" s="280"/>
      <c r="U17" s="281"/>
      <c r="V17" s="281"/>
      <c r="W17" s="281"/>
      <c r="X17" s="281"/>
      <c r="Y17" s="281"/>
      <c r="Z17" t="e">
        <f>VLOOKUP(A17,#REF!,9,FALSE)</f>
        <v>#REF!</v>
      </c>
    </row>
    <row r="18" spans="1:26" ht="15.75" thickBot="1">
      <c r="A18" s="279" t="s">
        <v>741</v>
      </c>
      <c r="B18" s="103" t="s">
        <v>50</v>
      </c>
      <c r="C18" s="219">
        <v>45807</v>
      </c>
      <c r="D18" s="286"/>
      <c r="E18" s="273" t="s">
        <v>1840</v>
      </c>
      <c r="F18" s="286"/>
      <c r="G18" s="287" t="s">
        <v>1838</v>
      </c>
      <c r="H18" s="234"/>
      <c r="I18" s="234"/>
      <c r="J18" s="45"/>
      <c r="K18" s="208"/>
      <c r="L18" s="208"/>
      <c r="M18" s="208"/>
      <c r="N18" s="288"/>
      <c r="O18" s="289"/>
      <c r="P18" s="278" t="s">
        <v>1846</v>
      </c>
      <c r="Q18" s="279"/>
      <c r="R18" s="132" t="s">
        <v>1877</v>
      </c>
      <c r="S18" s="132"/>
      <c r="T18" s="280"/>
      <c r="U18" s="281"/>
      <c r="V18" s="281"/>
      <c r="W18" s="281"/>
      <c r="X18" s="281"/>
      <c r="Y18" s="281"/>
      <c r="Z18" t="e">
        <f>VLOOKUP(A18,#REF!,9,FALSE)</f>
        <v>#REF!</v>
      </c>
    </row>
    <row r="19" spans="1:26" ht="15.75" thickBot="1">
      <c r="A19" s="279" t="s">
        <v>744</v>
      </c>
      <c r="B19" s="103" t="s">
        <v>50</v>
      </c>
      <c r="C19" s="219" t="e">
        <v>#N/A</v>
      </c>
      <c r="D19" s="286"/>
      <c r="E19" s="273" t="s">
        <v>1840</v>
      </c>
      <c r="F19" s="286"/>
      <c r="G19" s="287" t="s">
        <v>1859</v>
      </c>
      <c r="H19" s="234"/>
      <c r="I19" s="234"/>
      <c r="J19" s="45"/>
      <c r="K19" s="208"/>
      <c r="L19" s="208"/>
      <c r="M19" s="208"/>
      <c r="N19" s="288"/>
      <c r="O19" s="289"/>
      <c r="P19" s="278"/>
      <c r="Q19" s="279" t="s">
        <v>1859</v>
      </c>
      <c r="R19" s="132" t="s">
        <v>1877</v>
      </c>
      <c r="S19" s="132"/>
      <c r="T19" s="280"/>
      <c r="U19" s="281"/>
      <c r="V19" s="281"/>
      <c r="W19" s="281"/>
      <c r="X19" s="281"/>
      <c r="Y19" s="281"/>
      <c r="Z19" t="e">
        <f>VLOOKUP(A19,#REF!,9,FALSE)</f>
        <v>#REF!</v>
      </c>
    </row>
    <row r="20" spans="1:26" ht="15.75" thickBot="1">
      <c r="A20" s="279" t="s">
        <v>691</v>
      </c>
      <c r="B20" s="103" t="s">
        <v>50</v>
      </c>
      <c r="C20" s="219" t="e">
        <v>#N/A</v>
      </c>
      <c r="D20" s="286"/>
      <c r="E20" s="273" t="s">
        <v>1840</v>
      </c>
      <c r="F20" s="286"/>
      <c r="G20" s="287" t="s">
        <v>1859</v>
      </c>
      <c r="H20" s="234"/>
      <c r="I20" s="234"/>
      <c r="J20" s="45"/>
      <c r="K20" s="208"/>
      <c r="L20" s="208"/>
      <c r="M20" s="208"/>
      <c r="N20" s="288"/>
      <c r="O20" s="289"/>
      <c r="P20" s="278"/>
      <c r="Q20" s="279" t="s">
        <v>1859</v>
      </c>
      <c r="R20" s="132" t="s">
        <v>1877</v>
      </c>
      <c r="S20" s="132"/>
      <c r="T20" s="280"/>
      <c r="U20" s="281"/>
      <c r="V20" s="281"/>
      <c r="W20" s="281"/>
      <c r="X20" s="281"/>
      <c r="Y20" s="281"/>
      <c r="Z20" t="e">
        <f>VLOOKUP(A20,#REF!,9,FALSE)</f>
        <v>#REF!</v>
      </c>
    </row>
    <row r="21" spans="1:26" s="218" customFormat="1" ht="15.75" thickBot="1">
      <c r="A21" s="266" t="s">
        <v>1855</v>
      </c>
      <c r="B21" s="103" t="e">
        <v>#N/A</v>
      </c>
      <c r="C21" s="235">
        <v>45807</v>
      </c>
      <c r="D21" s="286"/>
      <c r="E21" s="273" t="s">
        <v>1840</v>
      </c>
      <c r="F21" s="286"/>
      <c r="G21" s="287" t="s">
        <v>1838</v>
      </c>
      <c r="H21" s="234"/>
      <c r="I21" s="234"/>
      <c r="J21" s="234"/>
      <c r="K21" s="233"/>
      <c r="L21" s="233"/>
      <c r="M21" s="233"/>
      <c r="N21" s="288"/>
      <c r="O21" s="289"/>
      <c r="P21" s="278"/>
      <c r="Q21" s="229" t="s">
        <v>64</v>
      </c>
      <c r="R21" s="132" t="s">
        <v>1877</v>
      </c>
      <c r="S21" s="232"/>
      <c r="T21" s="231"/>
      <c r="U21" s="230"/>
      <c r="V21" s="230"/>
      <c r="W21" s="230"/>
      <c r="X21" s="230"/>
      <c r="Y21" s="230" t="s">
        <v>1882</v>
      </c>
      <c r="Z21" t="e">
        <f>VLOOKUP(A21,#REF!,9,FALSE)</f>
        <v>#REF!</v>
      </c>
    </row>
    <row r="22" spans="1:26" ht="15.75" thickBot="1">
      <c r="A22" s="279" t="s">
        <v>693</v>
      </c>
      <c r="B22" s="103" t="s">
        <v>50</v>
      </c>
      <c r="C22" s="219" t="e">
        <v>#N/A</v>
      </c>
      <c r="D22" s="286"/>
      <c r="E22" s="273" t="s">
        <v>1840</v>
      </c>
      <c r="F22" s="286"/>
      <c r="G22" s="287" t="s">
        <v>1859</v>
      </c>
      <c r="H22" s="234"/>
      <c r="I22" s="234"/>
      <c r="J22" s="45"/>
      <c r="K22" s="208"/>
      <c r="L22" s="208"/>
      <c r="M22" s="208"/>
      <c r="N22" s="288"/>
      <c r="O22" s="289"/>
      <c r="P22" s="278"/>
      <c r="Q22" s="279" t="s">
        <v>1859</v>
      </c>
      <c r="R22" s="132" t="s">
        <v>1877</v>
      </c>
      <c r="S22" s="132"/>
      <c r="T22" s="280"/>
      <c r="U22" s="281"/>
      <c r="V22" s="281"/>
      <c r="W22" s="281"/>
      <c r="X22" s="281"/>
      <c r="Y22" s="281"/>
      <c r="Z22" t="e">
        <f>VLOOKUP(A22,#REF!,9,FALSE)</f>
        <v>#REF!</v>
      </c>
    </row>
    <row r="23" spans="1:26" ht="15.75" thickBot="1">
      <c r="A23" s="279" t="s">
        <v>679</v>
      </c>
      <c r="B23" s="103" t="s">
        <v>50</v>
      </c>
      <c r="C23" s="219" t="e">
        <v>#N/A</v>
      </c>
      <c r="D23" s="286"/>
      <c r="E23" s="273" t="s">
        <v>1840</v>
      </c>
      <c r="F23" s="286"/>
      <c r="G23" s="287" t="s">
        <v>1838</v>
      </c>
      <c r="H23" s="234"/>
      <c r="I23" s="234"/>
      <c r="J23" s="45"/>
      <c r="K23" s="208"/>
      <c r="L23" s="208"/>
      <c r="M23" s="208"/>
      <c r="N23" s="288"/>
      <c r="O23" s="289"/>
      <c r="P23" s="278"/>
      <c r="Q23" s="279" t="s">
        <v>64</v>
      </c>
      <c r="R23" s="132" t="s">
        <v>1877</v>
      </c>
      <c r="S23" s="132"/>
      <c r="T23" s="280"/>
      <c r="U23" s="281"/>
      <c r="V23" s="281"/>
      <c r="W23" s="281"/>
      <c r="X23" s="281"/>
      <c r="Y23" s="281" t="s">
        <v>1883</v>
      </c>
      <c r="Z23" t="e">
        <f>VLOOKUP(A23,#REF!,9,FALSE)</f>
        <v>#REF!</v>
      </c>
    </row>
    <row r="24" spans="1:26" s="218" customFormat="1" ht="69.599999999999994" customHeight="1" thickBot="1">
      <c r="A24" s="229" t="s">
        <v>1851</v>
      </c>
      <c r="B24" s="236" t="e">
        <v>#N/A</v>
      </c>
      <c r="C24" s="235">
        <v>45716</v>
      </c>
      <c r="D24" s="286"/>
      <c r="E24" s="273" t="s">
        <v>1840</v>
      </c>
      <c r="F24" s="286"/>
      <c r="G24" s="287" t="s">
        <v>1838</v>
      </c>
      <c r="H24" s="234"/>
      <c r="I24" s="234"/>
      <c r="J24" s="234"/>
      <c r="K24" s="233"/>
      <c r="L24" s="233"/>
      <c r="M24" s="233"/>
      <c r="N24" s="288"/>
      <c r="O24" s="289"/>
      <c r="P24" s="278" t="s">
        <v>1852</v>
      </c>
      <c r="Q24" s="229" t="s">
        <v>64</v>
      </c>
      <c r="R24" s="132" t="s">
        <v>1877</v>
      </c>
      <c r="S24" s="232"/>
      <c r="T24" s="231"/>
      <c r="U24" s="230"/>
      <c r="V24" s="230"/>
      <c r="W24" s="230"/>
      <c r="X24" s="230"/>
      <c r="Y24" s="230" t="s">
        <v>1883</v>
      </c>
      <c r="Z24" t="e">
        <f>VLOOKUP(A24,#REF!,9,FALSE)</f>
        <v>#REF!</v>
      </c>
    </row>
    <row r="25" spans="1:26" ht="15.75" thickBot="1">
      <c r="A25" s="279" t="s">
        <v>683</v>
      </c>
      <c r="B25" s="103" t="s">
        <v>50</v>
      </c>
      <c r="C25" s="219">
        <v>45772</v>
      </c>
      <c r="D25" s="286"/>
      <c r="E25" s="273" t="s">
        <v>1840</v>
      </c>
      <c r="F25" s="286"/>
      <c r="G25" s="287" t="s">
        <v>1838</v>
      </c>
      <c r="H25" s="234"/>
      <c r="I25" s="234"/>
      <c r="J25" s="45"/>
      <c r="K25" s="208"/>
      <c r="L25" s="208"/>
      <c r="M25" s="208"/>
      <c r="N25" s="288"/>
      <c r="O25" s="289"/>
      <c r="P25" s="278" t="s">
        <v>1852</v>
      </c>
      <c r="Q25" s="279" t="s">
        <v>64</v>
      </c>
      <c r="R25" s="132" t="s">
        <v>1877</v>
      </c>
      <c r="S25" s="132"/>
      <c r="T25" s="280"/>
      <c r="U25" s="281"/>
      <c r="V25" s="281"/>
      <c r="W25" s="281"/>
      <c r="X25" s="281"/>
      <c r="Y25" s="281"/>
      <c r="Z25" t="e">
        <f>VLOOKUP(A25,#REF!,9,FALSE)</f>
        <v>#REF!</v>
      </c>
    </row>
    <row r="26" spans="1:26" ht="15.75" thickBot="1">
      <c r="A26" s="279" t="s">
        <v>558</v>
      </c>
      <c r="B26" s="103" t="s">
        <v>50</v>
      </c>
      <c r="C26" s="219">
        <v>45772</v>
      </c>
      <c r="D26" s="286"/>
      <c r="E26" s="273" t="s">
        <v>1840</v>
      </c>
      <c r="F26" s="286"/>
      <c r="G26" s="287" t="s">
        <v>1838</v>
      </c>
      <c r="H26" s="234"/>
      <c r="I26" s="234"/>
      <c r="J26" s="45"/>
      <c r="K26" s="208"/>
      <c r="L26" s="208"/>
      <c r="M26" s="208"/>
      <c r="N26" s="288"/>
      <c r="O26" s="289"/>
      <c r="P26" s="278" t="s">
        <v>1852</v>
      </c>
      <c r="Q26" s="279" t="s">
        <v>64</v>
      </c>
      <c r="R26" s="132" t="s">
        <v>1877</v>
      </c>
      <c r="S26" s="132"/>
      <c r="T26" s="280"/>
      <c r="U26" s="281"/>
      <c r="V26" s="281"/>
      <c r="W26" s="281"/>
      <c r="X26" s="281"/>
      <c r="Y26" s="281"/>
      <c r="Z26" t="e">
        <f>VLOOKUP(A26,#REF!,9,FALSE)</f>
        <v>#REF!</v>
      </c>
    </row>
    <row r="27" spans="1:26" ht="15.75" thickBot="1">
      <c r="A27" s="279" t="s">
        <v>898</v>
      </c>
      <c r="B27" s="103" t="s">
        <v>50</v>
      </c>
      <c r="C27" s="219">
        <v>45772</v>
      </c>
      <c r="D27" s="286"/>
      <c r="E27" s="273" t="s">
        <v>1840</v>
      </c>
      <c r="F27" s="286"/>
      <c r="G27" s="287" t="s">
        <v>1838</v>
      </c>
      <c r="H27" s="234"/>
      <c r="I27" s="234"/>
      <c r="J27" s="45"/>
      <c r="K27" s="208"/>
      <c r="L27" s="208"/>
      <c r="M27" s="208"/>
      <c r="N27" s="288"/>
      <c r="O27" s="289"/>
      <c r="P27" s="278" t="s">
        <v>1852</v>
      </c>
      <c r="Q27" s="279" t="s">
        <v>64</v>
      </c>
      <c r="R27" s="132" t="s">
        <v>1877</v>
      </c>
      <c r="S27" s="132"/>
      <c r="T27" s="280"/>
      <c r="U27" s="281"/>
      <c r="V27" s="281"/>
      <c r="W27" s="281"/>
      <c r="X27" s="281"/>
      <c r="Y27" s="281"/>
      <c r="Z27" t="e">
        <f>VLOOKUP(A27,#REF!,9,FALSE)</f>
        <v>#REF!</v>
      </c>
    </row>
    <row r="28" spans="1:26" ht="70.150000000000006" customHeight="1" thickBot="1">
      <c r="A28" s="229" t="s">
        <v>1854</v>
      </c>
      <c r="B28" s="236"/>
      <c r="C28" s="235"/>
      <c r="D28" s="286"/>
      <c r="E28" s="273" t="s">
        <v>1840</v>
      </c>
      <c r="F28" s="286"/>
      <c r="G28" s="287" t="s">
        <v>1838</v>
      </c>
      <c r="H28" s="234"/>
      <c r="I28" s="234"/>
      <c r="J28" s="234"/>
      <c r="K28" s="233"/>
      <c r="L28" s="233"/>
      <c r="M28" s="233"/>
      <c r="N28" s="288"/>
      <c r="O28" s="289"/>
      <c r="P28" s="278" t="s">
        <v>1852</v>
      </c>
      <c r="Q28" s="229" t="s">
        <v>64</v>
      </c>
      <c r="R28" s="132" t="s">
        <v>1877</v>
      </c>
      <c r="S28" s="232"/>
      <c r="T28" s="231"/>
      <c r="U28" s="230"/>
      <c r="V28" s="230"/>
      <c r="W28" s="230"/>
      <c r="X28" s="230"/>
      <c r="Y28" s="292" t="s">
        <v>1884</v>
      </c>
      <c r="Z28" t="e">
        <f>VLOOKUP(A28,#REF!,9,FALSE)</f>
        <v>#REF!</v>
      </c>
    </row>
    <row r="29" spans="1:26" s="218" customFormat="1" ht="69.599999999999994" customHeight="1" thickBot="1">
      <c r="A29" s="229" t="s">
        <v>1857</v>
      </c>
      <c r="B29" s="236" t="e">
        <v>#N/A</v>
      </c>
      <c r="C29" s="235" t="e">
        <v>#N/A</v>
      </c>
      <c r="D29" s="286"/>
      <c r="E29" s="273" t="s">
        <v>1840</v>
      </c>
      <c r="F29" s="286"/>
      <c r="G29" s="287" t="s">
        <v>1838</v>
      </c>
      <c r="H29" s="234"/>
      <c r="I29" s="234"/>
      <c r="J29" s="234"/>
      <c r="K29" s="233"/>
      <c r="L29" s="233"/>
      <c r="M29" s="233"/>
      <c r="N29" s="288"/>
      <c r="O29" s="289"/>
      <c r="P29" s="278"/>
      <c r="Q29" s="224" t="s">
        <v>64</v>
      </c>
      <c r="R29" s="132" t="s">
        <v>1877</v>
      </c>
      <c r="S29" s="232"/>
      <c r="T29" s="231"/>
      <c r="U29" s="230"/>
      <c r="V29" s="230"/>
      <c r="W29" s="230"/>
      <c r="X29" s="230"/>
      <c r="Y29" s="230" t="s">
        <v>1884</v>
      </c>
      <c r="Z29" t="e">
        <f>VLOOKUP(A29,#REF!,9,FALSE)</f>
        <v>#REF!</v>
      </c>
    </row>
    <row r="30" spans="1:26" ht="15.75" thickBot="1">
      <c r="A30" s="279" t="s">
        <v>711</v>
      </c>
      <c r="B30" s="103" t="s">
        <v>50</v>
      </c>
      <c r="C30" s="219">
        <v>45772</v>
      </c>
      <c r="D30" s="286"/>
      <c r="E30" s="273" t="s">
        <v>1840</v>
      </c>
      <c r="F30" s="286"/>
      <c r="G30" s="287" t="s">
        <v>1859</v>
      </c>
      <c r="H30" s="234"/>
      <c r="I30" s="234"/>
      <c r="J30" s="45"/>
      <c r="K30" s="208"/>
      <c r="L30" s="208"/>
      <c r="M30" s="208"/>
      <c r="N30" s="288"/>
      <c r="O30" s="289"/>
      <c r="P30" s="278"/>
      <c r="Q30" s="279" t="s">
        <v>1859</v>
      </c>
      <c r="R30" s="132" t="s">
        <v>1877</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1840</v>
      </c>
      <c r="F31" s="293"/>
      <c r="G31" s="294" t="s">
        <v>1859</v>
      </c>
      <c r="H31" s="226"/>
      <c r="I31" s="226"/>
      <c r="J31" s="240"/>
      <c r="K31" s="241"/>
      <c r="L31" s="241"/>
      <c r="M31" s="241"/>
      <c r="N31" s="226"/>
      <c r="O31" s="295"/>
      <c r="P31" s="278"/>
      <c r="Q31" s="237" t="s">
        <v>1859</v>
      </c>
      <c r="R31" s="132" t="s">
        <v>1877</v>
      </c>
      <c r="S31" s="242"/>
      <c r="T31" s="243"/>
      <c r="U31" s="244"/>
      <c r="V31" s="244"/>
      <c r="W31" s="244"/>
      <c r="X31" s="244"/>
      <c r="Y31" s="244" t="s">
        <v>1885</v>
      </c>
      <c r="Z31" t="e">
        <f>VLOOKUP(A31,#REF!,9,FALSE)</f>
        <v>#REF!</v>
      </c>
    </row>
    <row r="32" spans="1:26" ht="15.75" thickBot="1">
      <c r="A32" s="279" t="s">
        <v>713</v>
      </c>
      <c r="B32" s="103" t="s">
        <v>50</v>
      </c>
      <c r="C32" s="219">
        <v>45772</v>
      </c>
      <c r="D32" s="286"/>
      <c r="E32" s="273" t="s">
        <v>1840</v>
      </c>
      <c r="F32" s="286"/>
      <c r="G32" s="287" t="s">
        <v>1859</v>
      </c>
      <c r="H32" s="234"/>
      <c r="I32" s="234"/>
      <c r="J32" s="45"/>
      <c r="K32" s="208"/>
      <c r="L32" s="208"/>
      <c r="M32" s="208"/>
      <c r="N32" s="288"/>
      <c r="O32" s="289"/>
      <c r="P32" s="278"/>
      <c r="Q32" s="279" t="s">
        <v>1859</v>
      </c>
      <c r="R32" s="132" t="s">
        <v>1877</v>
      </c>
      <c r="S32" s="132"/>
      <c r="T32" s="280"/>
      <c r="U32" s="281"/>
      <c r="V32" s="281"/>
      <c r="W32" s="281"/>
      <c r="X32" s="281"/>
      <c r="Y32" s="281"/>
      <c r="Z32" t="e">
        <f>VLOOKUP(A32,#REF!,9,FALSE)</f>
        <v>#REF!</v>
      </c>
    </row>
    <row r="33" spans="1:26" ht="15.75" thickBot="1">
      <c r="A33" s="279" t="s">
        <v>703</v>
      </c>
      <c r="B33" s="103" t="s">
        <v>50</v>
      </c>
      <c r="C33" s="219">
        <v>45831</v>
      </c>
      <c r="D33" s="286"/>
      <c r="E33" s="273" t="s">
        <v>1840</v>
      </c>
      <c r="F33" s="286"/>
      <c r="G33" s="287" t="s">
        <v>1838</v>
      </c>
      <c r="H33" s="234"/>
      <c r="I33" s="234"/>
      <c r="J33" s="45"/>
      <c r="K33" s="208"/>
      <c r="L33" s="208"/>
      <c r="M33" s="208"/>
      <c r="N33" s="288"/>
      <c r="O33" s="289"/>
      <c r="P33" s="278"/>
      <c r="Q33" s="229" t="s">
        <v>64</v>
      </c>
      <c r="R33" s="132" t="s">
        <v>1877</v>
      </c>
      <c r="S33" s="132"/>
      <c r="T33" s="280"/>
      <c r="U33" s="281"/>
      <c r="V33" s="281"/>
      <c r="W33" s="281"/>
      <c r="X33" s="281"/>
      <c r="Y33" s="281"/>
      <c r="Z33" t="e">
        <f>VLOOKUP(A33,#REF!,9,FALSE)</f>
        <v>#REF!</v>
      </c>
    </row>
    <row r="34" spans="1:26" ht="15.75" thickBot="1">
      <c r="A34" s="279" t="s">
        <v>697</v>
      </c>
      <c r="B34" s="103" t="s">
        <v>50</v>
      </c>
      <c r="C34" s="219">
        <v>45831</v>
      </c>
      <c r="D34" s="286"/>
      <c r="E34" s="273" t="s">
        <v>1840</v>
      </c>
      <c r="F34" s="286"/>
      <c r="G34" s="287" t="s">
        <v>1838</v>
      </c>
      <c r="H34" s="234"/>
      <c r="I34" s="234"/>
      <c r="J34" s="45"/>
      <c r="K34" s="208"/>
      <c r="L34" s="208"/>
      <c r="M34" s="208"/>
      <c r="N34" s="288"/>
      <c r="O34" s="289"/>
      <c r="P34" s="278"/>
      <c r="Q34" s="279" t="s">
        <v>64</v>
      </c>
      <c r="R34" s="132" t="s">
        <v>1877</v>
      </c>
      <c r="S34" s="132"/>
      <c r="T34" s="280"/>
      <c r="U34" s="281"/>
      <c r="V34" s="281"/>
      <c r="W34" s="281"/>
      <c r="X34" s="281"/>
      <c r="Y34" s="281"/>
      <c r="Z34" t="e">
        <f>VLOOKUP(A34,#REF!,9,FALSE)</f>
        <v>#REF!</v>
      </c>
    </row>
    <row r="35" spans="1:26" ht="15.75" thickBot="1">
      <c r="A35" s="279" t="s">
        <v>699</v>
      </c>
      <c r="B35" s="103" t="s">
        <v>50</v>
      </c>
      <c r="C35" s="219">
        <v>45831</v>
      </c>
      <c r="D35" s="286"/>
      <c r="E35" s="273" t="s">
        <v>1840</v>
      </c>
      <c r="F35" s="286"/>
      <c r="G35" s="287" t="s">
        <v>1838</v>
      </c>
      <c r="H35" s="234"/>
      <c r="I35" s="234"/>
      <c r="J35" s="45"/>
      <c r="K35" s="208"/>
      <c r="L35" s="208"/>
      <c r="M35" s="208"/>
      <c r="N35" s="288"/>
      <c r="O35" s="289"/>
      <c r="P35" s="278"/>
      <c r="Q35" s="279" t="s">
        <v>64</v>
      </c>
      <c r="R35" s="132" t="s">
        <v>1877</v>
      </c>
      <c r="S35" s="132"/>
      <c r="T35" s="280"/>
      <c r="U35" s="281"/>
      <c r="V35" s="281"/>
      <c r="W35" s="281"/>
      <c r="X35" s="281"/>
      <c r="Y35" s="281"/>
      <c r="Z35" t="e">
        <f>VLOOKUP(A35,#REF!,9,FALSE)</f>
        <v>#REF!</v>
      </c>
    </row>
    <row r="36" spans="1:26" ht="15.75" thickBot="1">
      <c r="A36" s="279" t="s">
        <v>695</v>
      </c>
      <c r="B36" s="103" t="s">
        <v>50</v>
      </c>
      <c r="C36" s="219">
        <v>45772</v>
      </c>
      <c r="D36" s="286"/>
      <c r="E36" s="273" t="s">
        <v>1840</v>
      </c>
      <c r="F36" s="286"/>
      <c r="G36" s="287" t="s">
        <v>1859</v>
      </c>
      <c r="H36" s="234"/>
      <c r="I36" s="234"/>
      <c r="J36" s="45"/>
      <c r="K36" s="208"/>
      <c r="L36" s="208"/>
      <c r="M36" s="208"/>
      <c r="N36" s="288"/>
      <c r="O36" s="289"/>
      <c r="P36" s="278"/>
      <c r="Q36" s="279" t="s">
        <v>1859</v>
      </c>
      <c r="R36" s="132" t="s">
        <v>1877</v>
      </c>
      <c r="S36" s="132"/>
      <c r="T36" s="280"/>
      <c r="U36" s="281"/>
      <c r="V36" s="281"/>
      <c r="W36" s="281"/>
      <c r="X36" s="281"/>
      <c r="Y36" s="281"/>
      <c r="Z36" t="e">
        <f>VLOOKUP(A36,#REF!,9,FALSE)</f>
        <v>#REF!</v>
      </c>
    </row>
    <row r="37" spans="1:26" ht="15.75" thickBot="1">
      <c r="A37" s="279" t="s">
        <v>705</v>
      </c>
      <c r="B37" s="103" t="s">
        <v>50</v>
      </c>
      <c r="C37" s="219">
        <v>45831</v>
      </c>
      <c r="D37" s="286"/>
      <c r="E37" s="273" t="s">
        <v>1840</v>
      </c>
      <c r="F37" s="286"/>
      <c r="G37" s="287" t="s">
        <v>1838</v>
      </c>
      <c r="H37" s="234"/>
      <c r="I37" s="234"/>
      <c r="J37" s="45"/>
      <c r="K37" s="208"/>
      <c r="L37" s="208"/>
      <c r="M37" s="208"/>
      <c r="N37" s="288"/>
      <c r="O37" s="289"/>
      <c r="P37" s="278"/>
      <c r="Q37" s="279" t="s">
        <v>64</v>
      </c>
      <c r="R37" s="132" t="s">
        <v>1877</v>
      </c>
      <c r="S37" s="132"/>
      <c r="T37" s="280"/>
      <c r="U37" s="281"/>
      <c r="V37" s="281"/>
      <c r="W37" s="281"/>
      <c r="X37" s="281"/>
      <c r="Y37" s="281"/>
      <c r="Z37" t="e">
        <f>VLOOKUP(A37,#REF!,9,FALSE)</f>
        <v>#REF!</v>
      </c>
    </row>
    <row r="38" spans="1:26" ht="15.75" thickBot="1">
      <c r="A38" s="279" t="s">
        <v>709</v>
      </c>
      <c r="B38" s="103" t="s">
        <v>50</v>
      </c>
      <c r="C38" s="219">
        <v>45831</v>
      </c>
      <c r="D38" s="286"/>
      <c r="E38" s="273" t="s">
        <v>1840</v>
      </c>
      <c r="F38" s="286"/>
      <c r="G38" s="287" t="s">
        <v>1838</v>
      </c>
      <c r="H38" s="234"/>
      <c r="I38" s="234"/>
      <c r="J38" s="45"/>
      <c r="K38" s="208"/>
      <c r="L38" s="208"/>
      <c r="M38" s="208"/>
      <c r="N38" s="288"/>
      <c r="O38" s="289"/>
      <c r="P38" s="278"/>
      <c r="Q38" s="279" t="s">
        <v>64</v>
      </c>
      <c r="R38" s="132" t="s">
        <v>1877</v>
      </c>
      <c r="S38" s="132"/>
      <c r="T38" s="280"/>
      <c r="U38" s="281"/>
      <c r="V38" s="281"/>
      <c r="W38" s="281"/>
      <c r="X38" s="281"/>
      <c r="Y38" s="281"/>
      <c r="Z38" t="e">
        <f>VLOOKUP(A38,#REF!,9,FALSE)</f>
        <v>#REF!</v>
      </c>
    </row>
    <row r="39" spans="1:26" s="220" customFormat="1" ht="70.150000000000006" customHeight="1" thickBot="1">
      <c r="A39" s="224" t="s">
        <v>1860</v>
      </c>
      <c r="B39" s="228" t="e">
        <v>#N/A</v>
      </c>
      <c r="C39" s="227" t="e">
        <v>#N/A</v>
      </c>
      <c r="D39" s="293"/>
      <c r="E39" s="273" t="s">
        <v>1840</v>
      </c>
      <c r="F39" s="293"/>
      <c r="G39" s="294" t="s">
        <v>1859</v>
      </c>
      <c r="H39" s="226"/>
      <c r="I39" s="226"/>
      <c r="J39" s="226"/>
      <c r="K39" s="225"/>
      <c r="L39" s="225"/>
      <c r="M39" s="225"/>
      <c r="N39" s="226"/>
      <c r="O39" s="295"/>
      <c r="P39" s="278"/>
      <c r="Q39" s="224" t="s">
        <v>1859</v>
      </c>
      <c r="R39" s="132" t="s">
        <v>1877</v>
      </c>
      <c r="S39" s="223"/>
      <c r="T39" s="222"/>
      <c r="U39" s="221"/>
      <c r="V39" s="221"/>
      <c r="W39" s="221"/>
      <c r="X39" s="221"/>
      <c r="Y39" s="221" t="s">
        <v>1884</v>
      </c>
      <c r="Z39" t="e">
        <f>VLOOKUP(A39,#REF!,9,FALSE)</f>
        <v>#REF!</v>
      </c>
    </row>
    <row r="40" spans="1:26" ht="15.75" thickBot="1">
      <c r="A40" s="279" t="s">
        <v>770</v>
      </c>
      <c r="B40" s="103" t="s">
        <v>50</v>
      </c>
      <c r="C40" s="219">
        <v>45831</v>
      </c>
      <c r="D40" s="286"/>
      <c r="E40" s="273" t="s">
        <v>1840</v>
      </c>
      <c r="F40" s="286"/>
      <c r="G40" s="287" t="s">
        <v>1838</v>
      </c>
      <c r="H40" s="234"/>
      <c r="I40" s="234"/>
      <c r="J40" s="45"/>
      <c r="K40" s="208"/>
      <c r="L40" s="208"/>
      <c r="M40" s="208"/>
      <c r="N40" s="288"/>
      <c r="O40" s="289"/>
      <c r="P40" s="278"/>
      <c r="Q40" s="279" t="s">
        <v>64</v>
      </c>
      <c r="R40" s="132" t="s">
        <v>1877</v>
      </c>
      <c r="S40" s="132"/>
      <c r="T40" s="280"/>
      <c r="U40" s="281"/>
      <c r="V40" s="281"/>
      <c r="W40" s="281"/>
      <c r="X40" s="281"/>
      <c r="Y40" s="281"/>
      <c r="Z40" t="e">
        <f>VLOOKUP(A40,#REF!,9,FALSE)</f>
        <v>#REF!</v>
      </c>
    </row>
    <row r="41" spans="1:26" ht="15.75" thickBot="1">
      <c r="A41" s="279" t="s">
        <v>94</v>
      </c>
      <c r="B41" s="103" t="s">
        <v>50</v>
      </c>
      <c r="C41" s="219">
        <v>45807</v>
      </c>
      <c r="D41" s="286"/>
      <c r="E41" s="273" t="s">
        <v>1875</v>
      </c>
      <c r="F41" s="286"/>
      <c r="G41" s="287" t="s">
        <v>1838</v>
      </c>
      <c r="H41" s="234"/>
      <c r="I41" s="234"/>
      <c r="J41" s="45"/>
      <c r="K41" s="208"/>
      <c r="L41" s="208"/>
      <c r="M41" s="208"/>
      <c r="N41" s="288"/>
      <c r="O41" s="289"/>
      <c r="P41" s="278" t="s">
        <v>1876</v>
      </c>
      <c r="Q41" s="279" t="s">
        <v>58</v>
      </c>
      <c r="R41" s="132" t="s">
        <v>1877</v>
      </c>
      <c r="S41" s="132"/>
      <c r="T41" s="280"/>
      <c r="U41" s="281"/>
      <c r="V41" s="281"/>
      <c r="W41" s="281"/>
      <c r="X41" s="281"/>
      <c r="Y41" s="281"/>
      <c r="Z41" t="e">
        <f>VLOOKUP(A41,#REF!,9,FALSE)</f>
        <v>#REF!</v>
      </c>
    </row>
    <row r="42" spans="1:26" ht="15.75" thickBot="1">
      <c r="A42" s="279" t="s">
        <v>92</v>
      </c>
      <c r="B42" s="103" t="s">
        <v>50</v>
      </c>
      <c r="C42" s="219">
        <v>45807</v>
      </c>
      <c r="D42" s="286"/>
      <c r="E42" s="273" t="s">
        <v>1875</v>
      </c>
      <c r="F42" s="286"/>
      <c r="G42" s="287" t="s">
        <v>1838</v>
      </c>
      <c r="H42" s="234"/>
      <c r="I42" s="234"/>
      <c r="J42" s="45"/>
      <c r="K42" s="208"/>
      <c r="L42" s="208"/>
      <c r="M42" s="208"/>
      <c r="N42" s="288"/>
      <c r="O42" s="289"/>
      <c r="P42" s="278" t="s">
        <v>1876</v>
      </c>
      <c r="Q42" s="279" t="s">
        <v>64</v>
      </c>
      <c r="R42" s="132" t="s">
        <v>1877</v>
      </c>
      <c r="S42" s="132"/>
      <c r="T42" s="280"/>
      <c r="U42" s="281"/>
      <c r="V42" s="281"/>
      <c r="W42" s="281"/>
      <c r="X42" s="281"/>
      <c r="Y42" s="281"/>
      <c r="Z42" t="e">
        <f>VLOOKUP(A42,#REF!,9,FALSE)</f>
        <v>#REF!</v>
      </c>
    </row>
    <row r="43" spans="1:26" ht="15.75" thickBot="1">
      <c r="A43" s="279" t="s">
        <v>479</v>
      </c>
      <c r="B43" s="103" t="s">
        <v>50</v>
      </c>
      <c r="C43" s="219">
        <v>45807</v>
      </c>
      <c r="D43" s="286"/>
      <c r="E43" s="273" t="s">
        <v>1875</v>
      </c>
      <c r="F43" s="286"/>
      <c r="G43" s="287" t="s">
        <v>1838</v>
      </c>
      <c r="H43" s="234"/>
      <c r="I43" s="234"/>
      <c r="J43" s="45"/>
      <c r="K43" s="208"/>
      <c r="L43" s="208"/>
      <c r="M43" s="208"/>
      <c r="N43" s="288"/>
      <c r="O43" s="289"/>
      <c r="P43" s="278" t="s">
        <v>1876</v>
      </c>
      <c r="Q43" s="279" t="s">
        <v>58</v>
      </c>
      <c r="R43" s="132" t="s">
        <v>1877</v>
      </c>
      <c r="S43" s="132"/>
      <c r="T43" s="280"/>
      <c r="U43" s="281"/>
      <c r="V43" s="281"/>
      <c r="W43" s="281"/>
      <c r="X43" s="281"/>
      <c r="Y43" s="281"/>
      <c r="Z43" t="e">
        <f>VLOOKUP(A43,#REF!,9,FALSE)</f>
        <v>#REF!</v>
      </c>
    </row>
    <row r="44" spans="1:26" ht="15.75" thickBot="1">
      <c r="A44" s="279" t="s">
        <v>89</v>
      </c>
      <c r="B44" s="103" t="s">
        <v>50</v>
      </c>
      <c r="C44" s="219">
        <v>45807</v>
      </c>
      <c r="D44" s="286"/>
      <c r="E44" s="273" t="s">
        <v>1875</v>
      </c>
      <c r="F44" s="286"/>
      <c r="G44" s="287" t="s">
        <v>1838</v>
      </c>
      <c r="H44" s="234"/>
      <c r="I44" s="234"/>
      <c r="J44" s="45"/>
      <c r="K44" s="208"/>
      <c r="L44" s="208"/>
      <c r="M44" s="208"/>
      <c r="N44" s="288"/>
      <c r="O44" s="289"/>
      <c r="P44" s="278" t="s">
        <v>1846</v>
      </c>
      <c r="Q44" s="279" t="s">
        <v>64</v>
      </c>
      <c r="R44" s="132" t="s">
        <v>1877</v>
      </c>
      <c r="S44" s="132"/>
      <c r="T44" s="280"/>
      <c r="U44" s="281"/>
      <c r="V44" s="281"/>
      <c r="W44" s="281"/>
      <c r="X44" s="281"/>
      <c r="Y44" s="281"/>
      <c r="Z44" t="e">
        <f>VLOOKUP(A44,#REF!,9,FALSE)</f>
        <v>#REF!</v>
      </c>
    </row>
    <row r="45" spans="1:26" ht="15.75" thickBot="1">
      <c r="A45" s="346" t="s">
        <v>578</v>
      </c>
      <c r="B45" s="103" t="s">
        <v>50</v>
      </c>
      <c r="C45" s="219">
        <v>45807</v>
      </c>
      <c r="D45" s="286"/>
      <c r="E45" s="273" t="s">
        <v>1840</v>
      </c>
      <c r="F45" s="286"/>
      <c r="G45" s="287" t="s">
        <v>1838</v>
      </c>
      <c r="H45" s="234"/>
      <c r="I45" s="234"/>
      <c r="J45" s="45"/>
      <c r="K45" s="208"/>
      <c r="L45" s="208"/>
      <c r="M45" s="208"/>
      <c r="N45" s="288"/>
      <c r="O45" s="289"/>
      <c r="P45" s="278"/>
      <c r="Q45" s="279" t="s">
        <v>58</v>
      </c>
      <c r="R45" s="132" t="s">
        <v>1877</v>
      </c>
      <c r="S45" s="132"/>
      <c r="T45" s="280"/>
      <c r="U45" s="281"/>
      <c r="V45" s="281"/>
      <c r="W45" s="281"/>
      <c r="X45" s="281"/>
      <c r="Y45" s="281"/>
      <c r="Z45" t="e">
        <f>VLOOKUP(A45,#REF!,9,FALSE)</f>
        <v>#REF!</v>
      </c>
    </row>
    <row r="46" spans="1:26" ht="15.75" thickBot="1">
      <c r="A46" s="296" t="s">
        <v>580</v>
      </c>
      <c r="B46" s="103" t="s">
        <v>50</v>
      </c>
      <c r="C46" s="219">
        <v>45807</v>
      </c>
      <c r="D46" s="286"/>
      <c r="E46" s="273" t="s">
        <v>1840</v>
      </c>
      <c r="F46" s="286"/>
      <c r="G46" s="294" t="s">
        <v>1838</v>
      </c>
      <c r="H46" s="234"/>
      <c r="I46" s="234"/>
      <c r="J46" s="45"/>
      <c r="K46" s="208"/>
      <c r="L46" s="208"/>
      <c r="M46" s="208"/>
      <c r="N46" s="288"/>
      <c r="O46" s="289"/>
      <c r="P46" s="278"/>
      <c r="Q46" s="279" t="s">
        <v>58</v>
      </c>
      <c r="R46" s="132" t="s">
        <v>1877</v>
      </c>
      <c r="S46" s="132"/>
      <c r="T46" s="280"/>
      <c r="U46" s="281"/>
      <c r="V46" s="281"/>
      <c r="W46" s="281"/>
      <c r="X46" s="281"/>
      <c r="Y46" s="281"/>
      <c r="Z46" t="e">
        <f>VLOOKUP(A46,#REF!,9,FALSE)</f>
        <v>#REF!</v>
      </c>
    </row>
    <row r="47" spans="1:26" ht="15.75" thickBot="1">
      <c r="A47" s="297" t="s">
        <v>187</v>
      </c>
      <c r="B47" s="103" t="s">
        <v>50</v>
      </c>
      <c r="C47" s="219">
        <v>45807</v>
      </c>
      <c r="D47" s="286"/>
      <c r="E47" s="273" t="s">
        <v>1840</v>
      </c>
      <c r="F47" s="286"/>
      <c r="G47" s="287" t="s">
        <v>1838</v>
      </c>
      <c r="H47" s="234"/>
      <c r="I47" s="234"/>
      <c r="J47" s="45"/>
      <c r="K47" s="208"/>
      <c r="L47" s="208"/>
      <c r="M47" s="208"/>
      <c r="N47" s="288"/>
      <c r="O47" s="289"/>
      <c r="P47" s="278" t="s">
        <v>1849</v>
      </c>
      <c r="Q47" s="279" t="s">
        <v>58</v>
      </c>
      <c r="R47" s="132" t="s">
        <v>1880</v>
      </c>
      <c r="S47" s="132"/>
      <c r="T47" s="280"/>
      <c r="U47" s="281"/>
      <c r="V47" s="281"/>
      <c r="W47" s="281"/>
      <c r="X47" s="281"/>
      <c r="Y47" s="281"/>
      <c r="Z47" t="e">
        <f>VLOOKUP(A47,#REF!,9,FALSE)</f>
        <v>#REF!</v>
      </c>
    </row>
    <row r="48" spans="1:26" ht="15.75" thickBot="1">
      <c r="A48" s="296" t="s">
        <v>623</v>
      </c>
      <c r="B48" s="103" t="s">
        <v>50</v>
      </c>
      <c r="C48" s="219">
        <v>45807</v>
      </c>
      <c r="D48" s="286"/>
      <c r="E48" s="273" t="s">
        <v>1840</v>
      </c>
      <c r="F48" s="286"/>
      <c r="G48" s="294" t="s">
        <v>1859</v>
      </c>
      <c r="H48" s="234"/>
      <c r="I48" s="234"/>
      <c r="J48" s="45"/>
      <c r="K48" s="208"/>
      <c r="L48" s="208"/>
      <c r="M48" s="208"/>
      <c r="N48" s="288"/>
      <c r="O48" s="289"/>
      <c r="P48" s="278" t="s">
        <v>1886</v>
      </c>
      <c r="Q48" s="279" t="s">
        <v>1859</v>
      </c>
      <c r="R48" s="132" t="s">
        <v>1877</v>
      </c>
      <c r="S48" s="132"/>
      <c r="T48" s="280"/>
      <c r="U48" s="281"/>
      <c r="V48" s="281"/>
      <c r="W48" s="281"/>
      <c r="X48" s="281"/>
      <c r="Y48" s="281"/>
      <c r="Z48" t="e">
        <f>VLOOKUP(A48,#REF!,9,FALSE)</f>
        <v>#REF!</v>
      </c>
    </row>
    <row r="49" spans="1:26" ht="15.75" thickBot="1">
      <c r="A49" s="296" t="s">
        <v>617</v>
      </c>
      <c r="B49" s="103" t="s">
        <v>119</v>
      </c>
      <c r="C49" s="219">
        <v>45772</v>
      </c>
      <c r="D49" s="286"/>
      <c r="E49" s="273" t="s">
        <v>1840</v>
      </c>
      <c r="F49" s="286"/>
      <c r="G49" s="294" t="s">
        <v>1859</v>
      </c>
      <c r="H49" s="234"/>
      <c r="I49" s="234"/>
      <c r="J49" s="45"/>
      <c r="K49" s="208"/>
      <c r="L49" s="208"/>
      <c r="M49" s="208"/>
      <c r="N49" s="288"/>
      <c r="O49" s="289"/>
      <c r="P49" s="278" t="s">
        <v>1886</v>
      </c>
      <c r="Q49" s="279" t="s">
        <v>1859</v>
      </c>
      <c r="R49" s="132" t="s">
        <v>1877</v>
      </c>
      <c r="S49" s="132"/>
      <c r="T49" s="280"/>
      <c r="U49" s="281"/>
      <c r="V49" s="281"/>
      <c r="W49" s="281"/>
      <c r="X49" s="281"/>
      <c r="Y49" s="281"/>
      <c r="Z49" t="e">
        <f>VLOOKUP(A49,#REF!,9,FALSE)</f>
        <v>#REF!</v>
      </c>
    </row>
    <row r="50" spans="1:26" ht="15.75" thickBot="1">
      <c r="A50" s="296" t="s">
        <v>615</v>
      </c>
      <c r="B50" s="103" t="s">
        <v>119</v>
      </c>
      <c r="C50" s="219">
        <v>45772</v>
      </c>
      <c r="D50" s="286"/>
      <c r="E50" s="273" t="s">
        <v>1840</v>
      </c>
      <c r="F50" s="286"/>
      <c r="G50" s="294" t="s">
        <v>1859</v>
      </c>
      <c r="H50" s="234"/>
      <c r="I50" s="234"/>
      <c r="J50" s="45"/>
      <c r="K50" s="208"/>
      <c r="L50" s="208"/>
      <c r="M50" s="208"/>
      <c r="N50" s="288"/>
      <c r="O50" s="289"/>
      <c r="P50" s="278" t="s">
        <v>1886</v>
      </c>
      <c r="Q50" s="279" t="s">
        <v>1859</v>
      </c>
      <c r="R50" s="132" t="s">
        <v>1877</v>
      </c>
      <c r="S50" s="132"/>
      <c r="T50" s="280"/>
      <c r="U50" s="281"/>
      <c r="V50" s="281"/>
      <c r="W50" s="281"/>
      <c r="X50" s="281"/>
      <c r="Y50" s="281"/>
      <c r="Z50" t="e">
        <f>VLOOKUP(A50,#REF!,9,FALSE)</f>
        <v>#REF!</v>
      </c>
    </row>
    <row r="51" spans="1:26" ht="15.75" thickBot="1">
      <c r="A51" s="296" t="s">
        <v>621</v>
      </c>
      <c r="B51" s="103" t="e">
        <v>#N/A</v>
      </c>
      <c r="C51" s="219" t="e">
        <v>#N/A</v>
      </c>
      <c r="D51" s="286"/>
      <c r="E51" s="273" t="s">
        <v>1840</v>
      </c>
      <c r="F51" s="286"/>
      <c r="G51" s="294" t="s">
        <v>1859</v>
      </c>
      <c r="H51" s="234"/>
      <c r="I51" s="234"/>
      <c r="J51" s="45"/>
      <c r="K51" s="208"/>
      <c r="L51" s="208"/>
      <c r="M51" s="208"/>
      <c r="N51" s="288"/>
      <c r="O51" s="289"/>
      <c r="P51" s="278" t="s">
        <v>1886</v>
      </c>
      <c r="Q51" s="279" t="s">
        <v>1859</v>
      </c>
      <c r="R51" s="132" t="s">
        <v>1877</v>
      </c>
      <c r="S51" s="132"/>
      <c r="T51" s="280"/>
      <c r="U51" s="281"/>
      <c r="V51" s="281"/>
      <c r="W51" s="281"/>
      <c r="X51" s="281"/>
      <c r="Y51" s="281"/>
      <c r="Z51" t="e">
        <f>VLOOKUP(A51,#REF!,9,FALSE)</f>
        <v>#REF!</v>
      </c>
    </row>
    <row r="52" spans="1:26" ht="13.9" customHeight="1" thickBot="1">
      <c r="A52" s="296" t="s">
        <v>597</v>
      </c>
      <c r="B52" s="103" t="s">
        <v>119</v>
      </c>
      <c r="C52" s="219">
        <v>45925</v>
      </c>
      <c r="D52" s="286"/>
      <c r="E52" s="273" t="s">
        <v>1875</v>
      </c>
      <c r="F52" s="286"/>
      <c r="G52" s="287" t="s">
        <v>1838</v>
      </c>
      <c r="H52" s="234"/>
      <c r="I52" s="234"/>
      <c r="J52" s="45"/>
      <c r="K52" s="208"/>
      <c r="L52" s="208"/>
      <c r="M52" s="208"/>
      <c r="N52" s="288"/>
      <c r="O52" s="289"/>
      <c r="P52" s="278" t="s">
        <v>1876</v>
      </c>
      <c r="Q52" s="279" t="s">
        <v>64</v>
      </c>
      <c r="R52" s="132" t="s">
        <v>1877</v>
      </c>
      <c r="S52" s="132"/>
      <c r="T52" s="280"/>
      <c r="U52" s="281"/>
      <c r="V52" s="281"/>
      <c r="W52" s="281"/>
      <c r="X52" s="281"/>
      <c r="Y52" s="281"/>
      <c r="Z52" t="e">
        <f>VLOOKUP(A52,#REF!,9,FALSE)</f>
        <v>#REF!</v>
      </c>
    </row>
    <row r="53" spans="1:26" ht="15.75" thickBot="1">
      <c r="A53" s="296" t="s">
        <v>599</v>
      </c>
      <c r="B53" s="103" t="s">
        <v>119</v>
      </c>
      <c r="C53" s="219">
        <v>45925</v>
      </c>
      <c r="D53" s="286"/>
      <c r="E53" s="273" t="s">
        <v>1875</v>
      </c>
      <c r="F53" s="286"/>
      <c r="G53" s="287" t="s">
        <v>1838</v>
      </c>
      <c r="H53" s="234"/>
      <c r="I53" s="234"/>
      <c r="J53" s="45"/>
      <c r="K53" s="208"/>
      <c r="L53" s="208"/>
      <c r="M53" s="208"/>
      <c r="N53" s="288"/>
      <c r="O53" s="289"/>
      <c r="P53" s="278" t="s">
        <v>1876</v>
      </c>
      <c r="Q53" s="279" t="s">
        <v>64</v>
      </c>
      <c r="R53" s="132" t="s">
        <v>1877</v>
      </c>
      <c r="S53" s="132"/>
      <c r="T53" s="280"/>
      <c r="U53" s="281"/>
      <c r="V53" s="281"/>
      <c r="W53" s="281"/>
      <c r="X53" s="281"/>
      <c r="Y53" s="281"/>
      <c r="Z53" t="e">
        <f>VLOOKUP(A53,#REF!,9,FALSE)</f>
        <v>#REF!</v>
      </c>
    </row>
    <row r="54" spans="1:26" ht="15.75" thickBot="1">
      <c r="A54" s="296" t="s">
        <v>595</v>
      </c>
      <c r="B54" s="103" t="s">
        <v>119</v>
      </c>
      <c r="C54" s="219">
        <v>45925</v>
      </c>
      <c r="D54" s="286"/>
      <c r="E54" s="273" t="s">
        <v>1875</v>
      </c>
      <c r="F54" s="286"/>
      <c r="G54" s="287" t="s">
        <v>1838</v>
      </c>
      <c r="H54" s="234"/>
      <c r="I54" s="234"/>
      <c r="J54" s="45"/>
      <c r="K54" s="208"/>
      <c r="L54" s="208"/>
      <c r="M54" s="208"/>
      <c r="N54" s="288"/>
      <c r="O54" s="289"/>
      <c r="P54" s="278" t="s">
        <v>1876</v>
      </c>
      <c r="Q54" s="279" t="s">
        <v>64</v>
      </c>
      <c r="R54" s="132" t="s">
        <v>1877</v>
      </c>
      <c r="S54" s="132"/>
      <c r="T54" s="280"/>
      <c r="U54" s="281"/>
      <c r="V54" s="281"/>
      <c r="W54" s="281"/>
      <c r="X54" s="281"/>
      <c r="Y54" s="281"/>
      <c r="Z54" t="e">
        <f>VLOOKUP(A54,#REF!,9,FALSE)</f>
        <v>#REF!</v>
      </c>
    </row>
    <row r="55" spans="1:26" ht="15.75" thickBot="1">
      <c r="A55" s="296" t="s">
        <v>633</v>
      </c>
      <c r="B55" s="103" t="s">
        <v>119</v>
      </c>
      <c r="C55" s="219">
        <v>45862</v>
      </c>
      <c r="D55" s="286"/>
      <c r="E55" s="273" t="s">
        <v>1875</v>
      </c>
      <c r="F55" s="286"/>
      <c r="G55" s="287" t="s">
        <v>1838</v>
      </c>
      <c r="H55" s="234"/>
      <c r="I55" s="234"/>
      <c r="J55" s="45"/>
      <c r="K55" s="208"/>
      <c r="L55" s="208"/>
      <c r="M55" s="208"/>
      <c r="N55" s="288"/>
      <c r="O55" s="289"/>
      <c r="P55" s="278" t="s">
        <v>1849</v>
      </c>
      <c r="Q55" s="279" t="s">
        <v>58</v>
      </c>
      <c r="R55" s="132" t="s">
        <v>1880</v>
      </c>
      <c r="S55" s="132"/>
      <c r="T55" s="280"/>
      <c r="U55" s="281"/>
      <c r="V55" s="281"/>
      <c r="W55" s="281"/>
      <c r="X55" s="281"/>
      <c r="Y55" s="281"/>
      <c r="Z55" t="e">
        <f>VLOOKUP(A55,#REF!,9,FALSE)</f>
        <v>#REF!</v>
      </c>
    </row>
    <row r="56" spans="1:26" ht="15.75" thickBot="1">
      <c r="A56" s="296" t="s">
        <v>131</v>
      </c>
      <c r="B56" s="103"/>
      <c r="C56" s="219" t="e">
        <v>#N/A</v>
      </c>
      <c r="D56" s="286"/>
      <c r="E56" s="273" t="s">
        <v>1875</v>
      </c>
      <c r="F56" s="286"/>
      <c r="G56" s="287" t="s">
        <v>1838</v>
      </c>
      <c r="H56" s="234"/>
      <c r="I56" s="234"/>
      <c r="J56" s="45"/>
      <c r="K56" s="208"/>
      <c r="L56" s="208"/>
      <c r="M56" s="208"/>
      <c r="N56" s="288"/>
      <c r="O56" s="289"/>
      <c r="P56" s="278" t="s">
        <v>1887</v>
      </c>
      <c r="Q56" s="279" t="s">
        <v>58</v>
      </c>
      <c r="R56" s="132" t="s">
        <v>1880</v>
      </c>
      <c r="S56" s="132"/>
      <c r="T56" s="280"/>
      <c r="U56" s="281"/>
      <c r="V56" s="281"/>
      <c r="W56" s="281"/>
      <c r="X56" s="281"/>
      <c r="Y56" s="281"/>
      <c r="Z56" t="e">
        <f>VLOOKUP(A56,#REF!,9,FALSE)</f>
        <v>#REF!</v>
      </c>
    </row>
    <row r="57" spans="1:26" ht="15.75" thickBot="1">
      <c r="A57" s="163" t="s">
        <v>1888</v>
      </c>
      <c r="B57" s="103" t="s">
        <v>119</v>
      </c>
      <c r="C57" s="298">
        <v>45787</v>
      </c>
      <c r="D57" s="286"/>
      <c r="E57" s="273" t="s">
        <v>1875</v>
      </c>
      <c r="F57" s="286"/>
      <c r="G57" s="287" t="s">
        <v>1838</v>
      </c>
      <c r="H57" s="234"/>
      <c r="I57" s="234"/>
      <c r="J57" s="45"/>
      <c r="K57" s="208"/>
      <c r="L57" s="208"/>
      <c r="M57" s="208"/>
      <c r="N57" s="288"/>
      <c r="O57" s="289"/>
      <c r="P57" s="278" t="s">
        <v>1849</v>
      </c>
      <c r="Q57" s="279" t="s">
        <v>1889</v>
      </c>
      <c r="R57" s="132" t="s">
        <v>1880</v>
      </c>
      <c r="S57" s="132"/>
      <c r="T57" s="280"/>
      <c r="U57" s="281"/>
      <c r="V57" s="281"/>
      <c r="W57" s="281"/>
      <c r="X57" s="281"/>
      <c r="Y57" s="281"/>
      <c r="Z57" t="e">
        <f>VLOOKUP(A57,#REF!,9,FALSE)</f>
        <v>#REF!</v>
      </c>
    </row>
    <row r="58" spans="1:26" ht="15.75" thickBot="1">
      <c r="A58" s="639" t="s">
        <v>595</v>
      </c>
      <c r="B58" s="103" t="s">
        <v>50</v>
      </c>
      <c r="C58" s="300">
        <v>45807</v>
      </c>
      <c r="D58" s="286"/>
      <c r="E58" s="273" t="s">
        <v>1840</v>
      </c>
      <c r="F58" s="286"/>
      <c r="G58" s="287" t="s">
        <v>1838</v>
      </c>
      <c r="H58" s="234"/>
      <c r="I58" s="234"/>
      <c r="J58" s="45"/>
      <c r="K58" s="208"/>
      <c r="L58" s="208"/>
      <c r="M58" s="208"/>
      <c r="N58" s="288"/>
      <c r="O58" s="289"/>
      <c r="P58" s="291"/>
      <c r="Q58" s="279" t="s">
        <v>64</v>
      </c>
      <c r="R58" s="132" t="s">
        <v>1877</v>
      </c>
      <c r="S58" s="132"/>
      <c r="T58" s="280"/>
      <c r="U58" s="281"/>
      <c r="V58" s="281"/>
      <c r="W58" s="281"/>
      <c r="X58" s="281"/>
      <c r="Y58" s="281"/>
    </row>
    <row r="59" spans="1:26" ht="15.75" thickBot="1">
      <c r="A59" s="639" t="s">
        <v>597</v>
      </c>
      <c r="B59" s="103" t="s">
        <v>119</v>
      </c>
      <c r="C59" s="300">
        <v>45772</v>
      </c>
      <c r="D59" s="286"/>
      <c r="E59" s="273" t="s">
        <v>1840</v>
      </c>
      <c r="F59" s="286"/>
      <c r="G59" s="287" t="s">
        <v>1838</v>
      </c>
      <c r="H59" s="234"/>
      <c r="I59" s="234"/>
      <c r="J59" s="45"/>
      <c r="K59" s="208"/>
      <c r="L59" s="208"/>
      <c r="M59" s="208"/>
      <c r="N59" s="288"/>
      <c r="O59" s="289"/>
      <c r="P59" s="291"/>
      <c r="Q59" s="279" t="s">
        <v>64</v>
      </c>
      <c r="R59" s="132" t="s">
        <v>1877</v>
      </c>
      <c r="S59" s="132"/>
      <c r="T59" s="280"/>
      <c r="U59" s="281"/>
      <c r="V59" s="281"/>
      <c r="W59" s="281"/>
      <c r="X59" s="281"/>
      <c r="Y59" s="281"/>
    </row>
    <row r="60" spans="1:26" ht="15.75" thickBot="1">
      <c r="A60" s="640" t="s">
        <v>599</v>
      </c>
      <c r="B60" s="103" t="s">
        <v>119</v>
      </c>
      <c r="C60" s="300">
        <v>45772</v>
      </c>
      <c r="D60" s="286"/>
      <c r="E60" s="273" t="s">
        <v>1840</v>
      </c>
      <c r="F60" s="286"/>
      <c r="G60" s="287" t="s">
        <v>1838</v>
      </c>
      <c r="H60" s="234"/>
      <c r="I60" s="234"/>
      <c r="J60" s="45"/>
      <c r="K60" s="208"/>
      <c r="L60" s="208"/>
      <c r="M60" s="208"/>
      <c r="N60" s="288"/>
      <c r="O60" s="289"/>
      <c r="P60" s="291"/>
      <c r="Q60" s="279" t="s">
        <v>64</v>
      </c>
      <c r="R60" s="132" t="s">
        <v>1877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1869</v>
      </c>
      <c r="B70" s="305">
        <f>SUM(K4:K9)</f>
        <v>0</v>
      </c>
      <c r="C70" s="306" t="e">
        <f>B70/B73</f>
        <v>#DIV/0!</v>
      </c>
    </row>
    <row r="71" spans="1:25">
      <c r="A71" s="304" t="s">
        <v>1768</v>
      </c>
      <c r="B71" s="305">
        <f>SUM(L4:L9)</f>
        <v>0</v>
      </c>
      <c r="C71" s="306" t="e">
        <f>B71/B73</f>
        <v>#DIV/0!</v>
      </c>
    </row>
    <row r="72" spans="1:25">
      <c r="A72" s="304" t="s">
        <v>1870</v>
      </c>
      <c r="B72" s="305">
        <f>SUM(M4:M9)</f>
        <v>0</v>
      </c>
      <c r="C72" s="306" t="e">
        <f>B72/B73</f>
        <v>#DIV/0!</v>
      </c>
    </row>
    <row r="73" spans="1:25">
      <c r="A73" s="304" t="s">
        <v>948</v>
      </c>
      <c r="B73" s="305">
        <f>SUM(B70:B72)</f>
        <v>0</v>
      </c>
      <c r="C73" s="283"/>
    </row>
    <row r="80" spans="1:25">
      <c r="A80" t="s">
        <v>1890</v>
      </c>
    </row>
    <row r="81" spans="1:1">
      <c r="A81" t="s">
        <v>1891</v>
      </c>
    </row>
    <row r="82" spans="1:1">
      <c r="A82" t="s">
        <v>1876</v>
      </c>
    </row>
    <row r="83" spans="1:1">
      <c r="A83" t="s">
        <v>1892</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4D651A2-4B4A-4269-B6D0-EB7561CDDF9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2025-11-26T20:40:49Z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