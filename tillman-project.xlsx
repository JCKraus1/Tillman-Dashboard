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23" documentId="8_{E14B221E-02E2-46A3-8CEC-C736815F2DD5}" xr6:coauthVersionLast="47" xr6:coauthVersionMax="47" xr10:uidLastSave="{C5BD5BBB-4710-41EF-A617-7258646C27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879" r:id="rId12"/>
    <pivotCache cacheId="2882" r:id="rId13"/>
    <pivotCache cacheId="2885" r:id="rId14"/>
    <pivotCache cacheId="2888" r:id="rId15"/>
    <pivotCache cacheId="28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2" l="1"/>
  <c r="Y20" i="32"/>
  <c r="X44" i="31"/>
  <c r="Y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<sst xmlns="http://schemas.openxmlformats.org/spreadsheetml/2006/main" count="15449" uniqueCount="1985">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</sst>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245372"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645842592596"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m/>
  </r>
  <r>
    <x v="243"/>
    <x v="55"/>
    <x v="212"/>
    <m/>
    <m/>
    <m/>
  </r>
  <r>
    <x v="299"/>
    <x v="5"/>
    <x v="212"/>
    <m/>
    <m/>
    <m/>
  </r>
  <r>
    <x v="296"/>
    <x v="6"/>
    <x v="212"/>
    <m/>
    <m/>
    <m/>
  </r>
  <r>
    <x v="283"/>
    <x v="44"/>
    <x v="212"/>
    <m/>
    <m/>
    <m/>
  </r>
  <r>
    <x v="297"/>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8">
    <i>
      <x v="182"/>
    </i>
    <i>
      <x v="243"/>
    </i>
    <i>
      <x v="246"/>
    </i>
    <i>
      <x v="252"/>
    </i>
    <i>
      <x v="269"/>
    </i>
    <i>
      <x v="286"/>
    </i>
    <i>
      <x v="287"/>
    </i>
    <i>
      <x v="288"/>
    </i>
    <i>
      <x v="289"/>
    </i>
    <i>
      <x v="290"/>
    </i>
    <i>
      <x v="291"/>
    </i>
    <i>
      <x v="300"/>
    </i>
    <i>
      <x v="301"/>
    </i>
    <i>
      <x v="302"/>
    </i>
    <i>
      <x v="303"/>
    </i>
    <i>
      <x v="305"/>
    </i>
    <i>
      <x v="306"/>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U116" activePane="topRight" state="frozen"/>
      <selection pane="topRight" activeCell="W128" sqref="W12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21"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3">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148</v>
      </c>
      <c r="AE35" s="1210"/>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7">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20">
        <v>243</v>
      </c>
      <c r="X113" s="1070">
        <f>SUM(V113-W113)</f>
        <v>7585</v>
      </c>
      <c r="Y113" s="900">
        <f>IFERROR($W113/$V113, 0)</f>
        <v>3.1042411854879919E-2</v>
      </c>
      <c r="Z113" s="669"/>
      <c r="AA113" s="617">
        <v>0</v>
      </c>
      <c r="AB113" s="617">
        <v>0</v>
      </c>
      <c r="AC113" s="1030">
        <v>0</v>
      </c>
      <c r="AD113" s="449" t="s">
        <v>352</v>
      </c>
      <c r="AE113" s="400"/>
    </row>
    <row r="114" spans="1:31" ht="24.75" customHeight="1">
      <c r="A114" s="1067" t="s">
        <v>353</v>
      </c>
      <c r="B114" s="463" t="s">
        <v>343</v>
      </c>
      <c r="C114" s="386">
        <v>45989</v>
      </c>
      <c r="D114" s="1024" t="s">
        <v>143</v>
      </c>
      <c r="E114" s="386">
        <v>45959</v>
      </c>
      <c r="F114" s="385" t="s">
        <v>139</v>
      </c>
      <c r="G114" s="653" t="s">
        <v>354</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355</v>
      </c>
      <c r="AE114" s="400"/>
    </row>
    <row r="115" spans="1:31" ht="24.75" customHeight="1">
      <c r="A115" s="1046" t="s">
        <v>356</v>
      </c>
      <c r="B115" s="463" t="s">
        <v>343</v>
      </c>
      <c r="C115" s="386">
        <v>45989</v>
      </c>
      <c r="D115" s="1024" t="s">
        <v>143</v>
      </c>
      <c r="E115" s="386">
        <v>45959</v>
      </c>
      <c r="F115" s="385" t="s">
        <v>139</v>
      </c>
      <c r="G115" s="653" t="s">
        <v>357</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364</v>
      </c>
      <c r="AE117" s="400"/>
    </row>
    <row r="118" spans="1:31" ht="24.75" customHeight="1">
      <c r="A118" s="1046" t="s">
        <v>365</v>
      </c>
      <c r="B118" s="463" t="s">
        <v>343</v>
      </c>
      <c r="C118" s="386">
        <v>46021</v>
      </c>
      <c r="D118" s="1024" t="s">
        <v>143</v>
      </c>
      <c r="E118" s="386">
        <v>45959</v>
      </c>
      <c r="F118" s="385" t="s">
        <v>139</v>
      </c>
      <c r="G118" s="653" t="s">
        <v>366</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367</v>
      </c>
      <c r="AE119" s="400"/>
    </row>
    <row r="120" spans="1:31" ht="24.75" customHeight="1">
      <c r="A120" s="1046" t="s">
        <v>370</v>
      </c>
      <c r="B120" s="463" t="s">
        <v>343</v>
      </c>
      <c r="C120" s="386">
        <v>46021</v>
      </c>
      <c r="D120" s="1024" t="s">
        <v>143</v>
      </c>
      <c r="E120" s="386">
        <v>45959</v>
      </c>
      <c r="F120" s="385" t="s">
        <v>139</v>
      </c>
      <c r="G120" s="653" t="s">
        <v>371</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372</v>
      </c>
      <c r="AE120" s="400"/>
    </row>
    <row r="121" spans="1:31" ht="24.75" customHeight="1">
      <c r="A121" s="1046" t="s">
        <v>373</v>
      </c>
      <c r="B121" s="463" t="s">
        <v>343</v>
      </c>
      <c r="C121" s="386">
        <v>46021</v>
      </c>
      <c r="D121" s="1024" t="s">
        <v>143</v>
      </c>
      <c r="E121" s="386">
        <v>45959</v>
      </c>
      <c r="F121" s="385" t="s">
        <v>139</v>
      </c>
      <c r="G121" s="653" t="s">
        <v>374</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367</v>
      </c>
      <c r="AE121" s="400"/>
    </row>
    <row r="122" spans="1:31" ht="24.75" customHeight="1">
      <c r="A122" s="1046" t="s">
        <v>375</v>
      </c>
      <c r="B122" s="463" t="s">
        <v>343</v>
      </c>
      <c r="C122" s="386">
        <v>45989</v>
      </c>
      <c r="D122" s="1024" t="s">
        <v>143</v>
      </c>
      <c r="E122" s="386">
        <v>45959</v>
      </c>
      <c r="F122" s="385" t="s">
        <v>139</v>
      </c>
      <c r="G122" s="653" t="s">
        <v>376</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377</v>
      </c>
      <c r="AE122" s="400"/>
    </row>
    <row r="123" spans="1:31" ht="24.75" customHeight="1">
      <c r="A123" s="1046" t="s">
        <v>378</v>
      </c>
      <c r="B123" s="463" t="s">
        <v>343</v>
      </c>
      <c r="C123" s="386">
        <v>46021</v>
      </c>
      <c r="D123" s="1024" t="s">
        <v>143</v>
      </c>
      <c r="E123" s="386">
        <v>45987</v>
      </c>
      <c r="F123" s="385" t="s">
        <v>139</v>
      </c>
      <c r="G123" s="653" t="s">
        <v>379</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380</v>
      </c>
      <c r="AE124" s="400"/>
    </row>
    <row r="125" spans="1:31" ht="24.75" customHeight="1">
      <c r="A125" s="1046" t="s">
        <v>383</v>
      </c>
      <c r="B125" s="463" t="s">
        <v>343</v>
      </c>
      <c r="C125" s="386">
        <v>46021</v>
      </c>
      <c r="D125" s="1024" t="s">
        <v>143</v>
      </c>
      <c r="E125" s="386">
        <v>45987</v>
      </c>
      <c r="F125" s="385" t="s">
        <v>139</v>
      </c>
      <c r="G125" s="653" t="s">
        <v>384</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380</v>
      </c>
      <c r="AE125" s="400"/>
    </row>
    <row r="126" spans="1:31" ht="24.75" customHeight="1">
      <c r="A126" s="1046" t="s">
        <v>385</v>
      </c>
      <c r="B126" s="463" t="s">
        <v>343</v>
      </c>
      <c r="C126" s="386">
        <v>46021</v>
      </c>
      <c r="D126" s="1024" t="s">
        <v>143</v>
      </c>
      <c r="E126" s="386">
        <v>45987</v>
      </c>
      <c r="F126" s="385" t="s">
        <v>139</v>
      </c>
      <c r="G126" s="653" t="s">
        <v>386</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380</v>
      </c>
      <c r="AE126" s="400"/>
    </row>
    <row r="127" spans="1:31" ht="24.75" customHeight="1">
      <c r="A127" s="1046" t="s">
        <v>387</v>
      </c>
      <c r="B127" s="463" t="s">
        <v>343</v>
      </c>
      <c r="C127" s="386">
        <v>46021</v>
      </c>
      <c r="D127" s="1024" t="s">
        <v>143</v>
      </c>
      <c r="E127" s="386">
        <v>45987</v>
      </c>
      <c r="F127" s="385" t="s">
        <v>139</v>
      </c>
      <c r="G127" s="653" t="s">
        <v>388</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380</v>
      </c>
      <c r="AE127" s="400"/>
    </row>
    <row r="128" spans="1:31" ht="24.75" customHeight="1">
      <c r="A128" s="1047" t="s">
        <v>389</v>
      </c>
      <c r="B128" s="463" t="s">
        <v>343</v>
      </c>
      <c r="C128" s="386">
        <v>45989</v>
      </c>
      <c r="D128" s="1024" t="s">
        <v>143</v>
      </c>
      <c r="E128" s="386">
        <v>45959</v>
      </c>
      <c r="F128" s="385" t="s">
        <v>139</v>
      </c>
      <c r="G128" s="653" t="s">
        <v>390</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20">
        <v>4825</v>
      </c>
      <c r="X128" s="107">
        <f t="shared" si="11"/>
        <v>6030</v>
      </c>
      <c r="Y128" s="900">
        <f t="shared" si="12"/>
        <v>0.44449562413634269</v>
      </c>
      <c r="Z128" s="125">
        <v>45992</v>
      </c>
      <c r="AA128" s="617">
        <v>0</v>
      </c>
      <c r="AB128" s="617">
        <v>0</v>
      </c>
      <c r="AC128" s="1030">
        <v>0</v>
      </c>
      <c r="AD128" s="449" t="s">
        <v>391</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394</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239</v>
      </c>
      <c r="C2" s="480">
        <v>45960</v>
      </c>
      <c r="D2" s="480" t="s">
        <v>397</v>
      </c>
      <c r="E2" s="480">
        <v>45897</v>
      </c>
      <c r="F2" s="478" t="s">
        <v>261</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239</v>
      </c>
      <c r="C3" s="480">
        <v>45960</v>
      </c>
      <c r="D3" s="480" t="s">
        <v>402</v>
      </c>
      <c r="E3" s="480">
        <v>45909</v>
      </c>
      <c r="F3" s="480" t="s">
        <v>240</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239</v>
      </c>
      <c r="C4" s="480">
        <v>45960</v>
      </c>
      <c r="D4" s="480" t="s">
        <v>71</v>
      </c>
      <c r="E4" s="480">
        <v>45905</v>
      </c>
      <c r="F4" s="480" t="s">
        <v>240</v>
      </c>
      <c r="G4" s="701"/>
      <c r="H4" s="482">
        <v>0</v>
      </c>
      <c r="I4" s="680" t="s">
        <v>398</v>
      </c>
      <c r="J4" s="482" t="s">
        <v>63</v>
      </c>
      <c r="K4" s="491"/>
      <c r="L4" s="386">
        <v>45943</v>
      </c>
      <c r="M4" s="1177"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239</v>
      </c>
      <c r="C5" s="480">
        <v>45999</v>
      </c>
      <c r="D5" s="488" t="s">
        <v>71</v>
      </c>
      <c r="E5" s="489">
        <v>45975</v>
      </c>
      <c r="F5" s="488" t="s">
        <v>240</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239</v>
      </c>
      <c r="C6" s="480">
        <v>45991</v>
      </c>
      <c r="D6" s="489" t="s">
        <v>250</v>
      </c>
      <c r="E6" s="489">
        <v>45950</v>
      </c>
      <c r="F6" s="488" t="s">
        <v>251</v>
      </c>
      <c r="G6" s="853"/>
      <c r="H6" s="858">
        <v>82</v>
      </c>
      <c r="I6" s="854" t="s">
        <v>398</v>
      </c>
      <c r="J6" s="858" t="s">
        <v>63</v>
      </c>
      <c r="K6" s="502"/>
      <c r="L6" s="51">
        <v>45902</v>
      </c>
      <c r="M6" s="1178"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239</v>
      </c>
      <c r="C7" s="480">
        <v>45989</v>
      </c>
      <c r="D7" s="489" t="s">
        <v>250</v>
      </c>
      <c r="E7" s="489">
        <v>45964</v>
      </c>
      <c r="F7" s="488" t="s">
        <v>251</v>
      </c>
      <c r="G7" s="853" t="s">
        <v>413</v>
      </c>
      <c r="H7" s="858">
        <v>74</v>
      </c>
      <c r="I7" s="482" t="s">
        <v>398</v>
      </c>
      <c r="J7" s="482" t="s">
        <v>63</v>
      </c>
      <c r="K7" s="482"/>
      <c r="L7" s="51">
        <v>45932</v>
      </c>
      <c r="M7" s="1178"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414</v>
      </c>
      <c r="B8" s="857" t="s">
        <v>239</v>
      </c>
      <c r="C8" s="480">
        <v>45960</v>
      </c>
      <c r="D8" s="489" t="s">
        <v>250</v>
      </c>
      <c r="E8" s="489">
        <v>45930</v>
      </c>
      <c r="F8" s="488" t="s">
        <v>251</v>
      </c>
      <c r="G8" s="853"/>
      <c r="H8" s="858">
        <v>80</v>
      </c>
      <c r="I8" s="854" t="s">
        <v>398</v>
      </c>
      <c r="J8" s="858" t="s">
        <v>63</v>
      </c>
      <c r="K8" s="854"/>
      <c r="L8" s="51">
        <v>45902</v>
      </c>
      <c r="M8" s="1178"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239</v>
      </c>
      <c r="C9" s="480">
        <v>45960</v>
      </c>
      <c r="D9" s="489" t="s">
        <v>260</v>
      </c>
      <c r="E9" s="489">
        <v>45950</v>
      </c>
      <c r="F9" s="488" t="s">
        <v>261</v>
      </c>
      <c r="G9" s="853"/>
      <c r="H9" s="858">
        <v>80</v>
      </c>
      <c r="I9" s="854" t="s">
        <v>398</v>
      </c>
      <c r="J9" s="858" t="s">
        <v>63</v>
      </c>
      <c r="K9" s="854"/>
      <c r="L9" s="1179">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239</v>
      </c>
      <c r="C10" s="480">
        <v>45960</v>
      </c>
      <c r="D10" s="489" t="s">
        <v>260</v>
      </c>
      <c r="E10" s="489">
        <v>45937</v>
      </c>
      <c r="F10" s="488" t="s">
        <v>261</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239</v>
      </c>
      <c r="C11" s="480">
        <v>45991</v>
      </c>
      <c r="D11" s="488" t="s">
        <v>419</v>
      </c>
      <c r="E11" s="489">
        <v>45716</v>
      </c>
      <c r="F11" s="488" t="s">
        <v>251</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239</v>
      </c>
      <c r="C12" s="480">
        <v>45991</v>
      </c>
      <c r="D12" s="488" t="s">
        <v>250</v>
      </c>
      <c r="E12" s="489">
        <v>45880</v>
      </c>
      <c r="F12" s="488" t="s">
        <v>251</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239</v>
      </c>
      <c r="C13" s="480">
        <v>45991</v>
      </c>
      <c r="D13" s="488" t="s">
        <v>250</v>
      </c>
      <c r="E13" s="489">
        <v>45880</v>
      </c>
      <c r="F13" s="488" t="s">
        <v>251</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239</v>
      </c>
      <c r="C14" s="480">
        <v>45960</v>
      </c>
      <c r="D14" s="488" t="s">
        <v>260</v>
      </c>
      <c r="E14" s="489">
        <v>45966</v>
      </c>
      <c r="F14" s="488" t="s">
        <v>261</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309</v>
      </c>
    </row>
    <row r="15" spans="1:30" ht="39.75" customHeight="1">
      <c r="A15" s="964" t="s">
        <v>427</v>
      </c>
      <c r="B15" s="857" t="s">
        <v>239</v>
      </c>
      <c r="C15" s="480">
        <v>45960</v>
      </c>
      <c r="D15" s="488" t="s">
        <v>260</v>
      </c>
      <c r="E15" s="489">
        <v>45944</v>
      </c>
      <c r="F15" s="488" t="s">
        <v>261</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239</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432</v>
      </c>
      <c r="B17" s="506" t="s">
        <v>315</v>
      </c>
      <c r="C17" s="480">
        <v>46053</v>
      </c>
      <c r="D17" s="488" t="s">
        <v>260</v>
      </c>
      <c r="E17" s="489">
        <v>45964</v>
      </c>
      <c r="F17" s="488" t="s">
        <v>251</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433</v>
      </c>
      <c r="B18" s="506" t="s">
        <v>315</v>
      </c>
      <c r="C18" s="480">
        <v>46053</v>
      </c>
      <c r="D18" s="488" t="s">
        <v>260</v>
      </c>
      <c r="E18" s="489">
        <v>45974</v>
      </c>
      <c r="F18" s="488" t="s">
        <v>251</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435</v>
      </c>
      <c r="B19" s="478" t="s">
        <v>110</v>
      </c>
      <c r="C19" s="480">
        <v>45868</v>
      </c>
      <c r="D19" s="480" t="s">
        <v>71</v>
      </c>
      <c r="E19" s="480">
        <v>45793</v>
      </c>
      <c r="F19" s="503" t="s">
        <v>111</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165</v>
      </c>
      <c r="G20" s="701"/>
      <c r="H20" s="482">
        <v>69</v>
      </c>
      <c r="I20" s="680" t="s">
        <v>398</v>
      </c>
      <c r="J20" s="482" t="s">
        <v>63</v>
      </c>
      <c r="K20" s="482"/>
      <c r="L20" s="480">
        <v>45962</v>
      </c>
      <c r="M20" s="482" t="s">
        <v>57</v>
      </c>
      <c r="N20" s="558">
        <v>37418</v>
      </c>
      <c r="O20" s="482" t="s">
        <v>57</v>
      </c>
      <c r="P20" s="642" t="s">
        <v>399</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398</v>
      </c>
      <c r="J21" s="482" t="s">
        <v>63</v>
      </c>
      <c r="K21" s="482"/>
      <c r="L21" s="480">
        <v>45969</v>
      </c>
      <c r="M21" s="482" t="s">
        <v>57</v>
      </c>
      <c r="N21" s="558">
        <v>75672.100000000006</v>
      </c>
      <c r="O21" s="482" t="s">
        <v>57</v>
      </c>
      <c r="P21" s="642" t="s">
        <v>399</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398</v>
      </c>
      <c r="J22" s="482" t="s">
        <v>63</v>
      </c>
      <c r="K22" s="482"/>
      <c r="L22" s="480">
        <v>45967</v>
      </c>
      <c r="M22" s="482" t="s">
        <v>57</v>
      </c>
      <c r="N22" s="558">
        <v>76565.850000000006</v>
      </c>
      <c r="O22" s="482" t="s">
        <v>57</v>
      </c>
      <c r="P22" s="642" t="s">
        <v>399</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398</v>
      </c>
      <c r="J23" s="482" t="s">
        <v>63</v>
      </c>
      <c r="K23" s="482"/>
      <c r="L23" s="480">
        <v>45969</v>
      </c>
      <c r="M23" s="482" t="s">
        <v>57</v>
      </c>
      <c r="N23" s="558">
        <v>66402</v>
      </c>
      <c r="O23" s="482" t="s">
        <v>57</v>
      </c>
      <c r="P23" s="642" t="s">
        <v>399</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152</v>
      </c>
      <c r="G24" s="701" t="s">
        <v>451</v>
      </c>
      <c r="H24" s="482">
        <v>75</v>
      </c>
      <c r="I24" s="680" t="s">
        <v>398</v>
      </c>
      <c r="J24" s="482" t="s">
        <v>63</v>
      </c>
      <c r="K24" s="482"/>
      <c r="L24" s="480">
        <v>45967</v>
      </c>
      <c r="M24" s="482" t="s">
        <v>57</v>
      </c>
      <c r="N24" s="558">
        <v>60620</v>
      </c>
      <c r="O24" s="482" t="s">
        <v>57</v>
      </c>
      <c r="P24" s="642" t="s">
        <v>399</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169</v>
      </c>
      <c r="E25" s="480">
        <v>45982</v>
      </c>
      <c r="F25" s="658" t="s">
        <v>111</v>
      </c>
      <c r="G25" s="701" t="s">
        <v>454</v>
      </c>
      <c r="H25" s="482">
        <v>0</v>
      </c>
      <c r="I25" s="482" t="s">
        <v>398</v>
      </c>
      <c r="J25" s="482" t="s">
        <v>63</v>
      </c>
      <c r="K25" s="482"/>
      <c r="L25" s="480">
        <v>45968</v>
      </c>
      <c r="M25" s="482" t="s">
        <v>57</v>
      </c>
      <c r="N25" s="558">
        <v>12840.7</v>
      </c>
      <c r="O25" s="482" t="s">
        <v>57</v>
      </c>
      <c r="P25" s="642" t="s">
        <v>399</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226</v>
      </c>
      <c r="E26" s="480">
        <v>45953</v>
      </c>
      <c r="F26" s="478" t="s">
        <v>152</v>
      </c>
      <c r="G26" s="701" t="s">
        <v>457</v>
      </c>
      <c r="H26" s="482">
        <v>0</v>
      </c>
      <c r="I26" s="482" t="s">
        <v>398</v>
      </c>
      <c r="J26" s="482" t="s">
        <v>63</v>
      </c>
      <c r="K26" s="482"/>
      <c r="L26" s="480" t="s">
        <v>179</v>
      </c>
      <c r="M26" s="482" t="s">
        <v>57</v>
      </c>
      <c r="N26" s="558">
        <v>51970</v>
      </c>
      <c r="O26" s="482" t="s">
        <v>57</v>
      </c>
      <c r="P26" s="642" t="s">
        <v>399</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398</v>
      </c>
      <c r="J27" s="482" t="s">
        <v>63</v>
      </c>
      <c r="K27" s="482"/>
      <c r="L27" s="480">
        <v>45790</v>
      </c>
      <c r="M27" s="482" t="s">
        <v>57</v>
      </c>
      <c r="N27" s="558">
        <v>63283</v>
      </c>
      <c r="O27" s="482" t="s">
        <v>57</v>
      </c>
      <c r="P27" s="642" t="s">
        <v>399</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398</v>
      </c>
      <c r="J28" s="482" t="s">
        <v>63</v>
      </c>
      <c r="K28" s="482"/>
      <c r="L28" s="480" t="s">
        <v>179</v>
      </c>
      <c r="M28" s="482" t="s">
        <v>57</v>
      </c>
      <c r="N28" s="558">
        <v>74164.05</v>
      </c>
      <c r="O28" s="482" t="s">
        <v>57</v>
      </c>
      <c r="P28" s="1130" t="s">
        <v>399</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234</v>
      </c>
      <c r="E29" s="480">
        <v>45939</v>
      </c>
      <c r="F29" s="478" t="s">
        <v>139</v>
      </c>
      <c r="G29" s="701"/>
      <c r="H29" s="482">
        <v>385</v>
      </c>
      <c r="I29" s="680" t="s">
        <v>398</v>
      </c>
      <c r="J29" s="482" t="s">
        <v>56</v>
      </c>
      <c r="K29" s="482"/>
      <c r="L29" s="480">
        <v>45937</v>
      </c>
      <c r="M29" s="482" t="s">
        <v>57</v>
      </c>
      <c r="N29" s="558">
        <v>210533.1</v>
      </c>
      <c r="O29" s="482" t="s">
        <v>57</v>
      </c>
      <c r="P29" s="642" t="s">
        <v>399</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230</v>
      </c>
      <c r="E30" s="480">
        <v>45936</v>
      </c>
      <c r="F30" s="478" t="s">
        <v>111</v>
      </c>
      <c r="G30" s="481"/>
      <c r="H30" s="482">
        <v>157</v>
      </c>
      <c r="I30" s="680" t="s">
        <v>398</v>
      </c>
      <c r="J30" s="482" t="s">
        <v>56</v>
      </c>
      <c r="K30" s="482"/>
      <c r="L30" s="480">
        <v>45943</v>
      </c>
      <c r="M30" s="482" t="s">
        <v>57</v>
      </c>
      <c r="N30" s="558">
        <v>64059.5</v>
      </c>
      <c r="O30" s="482" t="s">
        <v>57</v>
      </c>
      <c r="P30" s="642" t="s">
        <v>399</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343</v>
      </c>
      <c r="C31" s="480">
        <v>46045</v>
      </c>
      <c r="D31" s="658" t="s">
        <v>143</v>
      </c>
      <c r="E31" s="480"/>
      <c r="F31" s="478"/>
      <c r="G31" s="481"/>
      <c r="H31" s="1142">
        <v>77</v>
      </c>
      <c r="I31" s="854" t="s">
        <v>398</v>
      </c>
      <c r="J31" s="491" t="s">
        <v>63</v>
      </c>
      <c r="K31" s="1143"/>
      <c r="L31" s="489" t="s">
        <v>52</v>
      </c>
      <c r="M31" s="491" t="s">
        <v>57</v>
      </c>
      <c r="N31" s="1144">
        <v>4046.5</v>
      </c>
      <c r="O31" s="491" t="s">
        <v>57</v>
      </c>
      <c r="P31" s="642" t="s">
        <v>399</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343</v>
      </c>
      <c r="C32" s="480">
        <v>46045</v>
      </c>
      <c r="D32" s="658" t="s">
        <v>143</v>
      </c>
      <c r="E32" s="480"/>
      <c r="F32" s="478"/>
      <c r="G32" s="481"/>
      <c r="H32" s="1142">
        <v>85</v>
      </c>
      <c r="I32" s="854" t="s">
        <v>398</v>
      </c>
      <c r="J32" s="491" t="s">
        <v>63</v>
      </c>
      <c r="K32" s="1143"/>
      <c r="L32" s="489" t="s">
        <v>52</v>
      </c>
      <c r="M32" s="491" t="s">
        <v>57</v>
      </c>
      <c r="N32" s="1144">
        <v>29180.45</v>
      </c>
      <c r="O32" s="491" t="s">
        <v>57</v>
      </c>
      <c r="P32" s="642" t="s">
        <v>399</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343</v>
      </c>
      <c r="C33" s="480">
        <v>46045</v>
      </c>
      <c r="D33" s="658" t="s">
        <v>143</v>
      </c>
      <c r="E33" s="480"/>
      <c r="F33" s="478"/>
      <c r="G33" s="481"/>
      <c r="H33" s="1142">
        <v>62</v>
      </c>
      <c r="I33" s="854" t="s">
        <v>398</v>
      </c>
      <c r="J33" s="491" t="s">
        <v>63</v>
      </c>
      <c r="K33" s="1143"/>
      <c r="L33" s="489" t="s">
        <v>52</v>
      </c>
      <c r="M33" s="491" t="s">
        <v>57</v>
      </c>
      <c r="N33" s="1144">
        <v>170</v>
      </c>
      <c r="O33" s="491" t="s">
        <v>57</v>
      </c>
      <c r="P33" s="731" t="s">
        <v>399</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343</v>
      </c>
      <c r="C34" s="480">
        <v>46045</v>
      </c>
      <c r="D34" s="658" t="s">
        <v>143</v>
      </c>
      <c r="E34" s="480"/>
      <c r="F34" s="478" t="s">
        <v>344</v>
      </c>
      <c r="G34" s="481"/>
      <c r="H34" s="1142">
        <v>80</v>
      </c>
      <c r="I34" s="854" t="s">
        <v>398</v>
      </c>
      <c r="J34" s="491" t="s">
        <v>63</v>
      </c>
      <c r="K34" s="1143"/>
      <c r="L34" s="489" t="s">
        <v>52</v>
      </c>
      <c r="M34" s="491" t="s">
        <v>57</v>
      </c>
      <c r="N34" s="1144">
        <v>170</v>
      </c>
      <c r="O34" s="491" t="s">
        <v>57</v>
      </c>
      <c r="P34" s="1015" t="s">
        <v>399</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343</v>
      </c>
      <c r="C35" s="480">
        <v>46045</v>
      </c>
      <c r="D35" s="658" t="s">
        <v>143</v>
      </c>
      <c r="E35" s="480"/>
      <c r="F35" s="478" t="s">
        <v>344</v>
      </c>
      <c r="G35" s="481"/>
      <c r="H35" s="1142">
        <v>89</v>
      </c>
      <c r="I35" s="854" t="s">
        <v>398</v>
      </c>
      <c r="J35" s="491" t="s">
        <v>63</v>
      </c>
      <c r="K35" s="1143"/>
      <c r="L35" s="489" t="s">
        <v>52</v>
      </c>
      <c r="M35" s="491" t="s">
        <v>57</v>
      </c>
      <c r="N35" s="1144">
        <v>26696</v>
      </c>
      <c r="O35" s="491" t="s">
        <v>57</v>
      </c>
      <c r="P35" s="642" t="s">
        <v>399</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343</v>
      </c>
      <c r="C36" s="480">
        <v>46045</v>
      </c>
      <c r="D36" s="658" t="s">
        <v>143</v>
      </c>
      <c r="E36" s="480">
        <v>45959</v>
      </c>
      <c r="F36" s="478" t="s">
        <v>344</v>
      </c>
      <c r="G36" s="481" t="s">
        <v>480</v>
      </c>
      <c r="H36" s="1142">
        <v>78</v>
      </c>
      <c r="I36" s="854" t="s">
        <v>398</v>
      </c>
      <c r="J36" s="491" t="s">
        <v>63</v>
      </c>
      <c r="K36" s="1143"/>
      <c r="L36" s="480">
        <v>45964</v>
      </c>
      <c r="M36" s="491" t="s">
        <v>57</v>
      </c>
      <c r="N36" s="1144">
        <v>170</v>
      </c>
      <c r="O36" s="491" t="s">
        <v>57</v>
      </c>
      <c r="P36" s="642" t="s">
        <v>399</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343</v>
      </c>
      <c r="C37" s="386">
        <v>46045</v>
      </c>
      <c r="D37" s="1024" t="s">
        <v>143</v>
      </c>
      <c r="E37" s="386"/>
      <c r="F37" s="385"/>
      <c r="G37" s="653"/>
      <c r="H37" s="1134">
        <v>80</v>
      </c>
      <c r="I37" s="1028" t="s">
        <v>398</v>
      </c>
      <c r="J37" s="1029" t="s">
        <v>63</v>
      </c>
      <c r="K37" s="1068"/>
      <c r="L37" s="489" t="s">
        <v>52</v>
      </c>
      <c r="M37" s="1029" t="s">
        <v>57</v>
      </c>
      <c r="N37" s="1135">
        <v>25891</v>
      </c>
      <c r="O37" s="52" t="s">
        <v>57</v>
      </c>
      <c r="P37" s="1137" t="s">
        <v>399</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343</v>
      </c>
      <c r="C38" s="386">
        <v>46045</v>
      </c>
      <c r="D38" s="1024" t="s">
        <v>143</v>
      </c>
      <c r="E38" s="386"/>
      <c r="F38" s="385"/>
      <c r="G38" s="653"/>
      <c r="H38" s="1134">
        <v>83</v>
      </c>
      <c r="I38" s="1028" t="s">
        <v>398</v>
      </c>
      <c r="J38" s="1029" t="s">
        <v>63</v>
      </c>
      <c r="K38" s="1068"/>
      <c r="L38" s="489" t="s">
        <v>52</v>
      </c>
      <c r="M38" s="1029" t="s">
        <v>57</v>
      </c>
      <c r="N38" s="1135">
        <v>170</v>
      </c>
      <c r="O38" s="52" t="s">
        <v>57</v>
      </c>
      <c r="P38" s="1137" t="s">
        <v>399</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343</v>
      </c>
      <c r="C39" s="386">
        <v>46045</v>
      </c>
      <c r="D39" s="1024" t="s">
        <v>143</v>
      </c>
      <c r="E39" s="386"/>
      <c r="F39" s="385"/>
      <c r="G39" s="653"/>
      <c r="H39" s="1134">
        <v>85</v>
      </c>
      <c r="I39" s="1028" t="s">
        <v>398</v>
      </c>
      <c r="J39" s="1029" t="s">
        <v>63</v>
      </c>
      <c r="K39" s="1068"/>
      <c r="L39" s="489" t="s">
        <v>52</v>
      </c>
      <c r="M39" s="1029" t="s">
        <v>57</v>
      </c>
      <c r="N39" s="1135">
        <v>30788</v>
      </c>
      <c r="O39" s="52" t="s">
        <v>57</v>
      </c>
      <c r="P39" s="1137" t="s">
        <v>399</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343</v>
      </c>
      <c r="C40" s="386">
        <v>46045</v>
      </c>
      <c r="D40" s="1024" t="s">
        <v>143</v>
      </c>
      <c r="E40" s="386"/>
      <c r="F40" s="385"/>
      <c r="G40" s="653"/>
      <c r="H40" s="1134">
        <v>88</v>
      </c>
      <c r="I40" s="1028" t="s">
        <v>398</v>
      </c>
      <c r="J40" s="1029" t="s">
        <v>63</v>
      </c>
      <c r="K40" s="1068"/>
      <c r="L40" s="489" t="s">
        <v>52</v>
      </c>
      <c r="M40" s="1029" t="s">
        <v>57</v>
      </c>
      <c r="N40" s="1135">
        <v>5668</v>
      </c>
      <c r="O40" s="52" t="s">
        <v>57</v>
      </c>
      <c r="P40" s="1137" t="s">
        <v>399</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343</v>
      </c>
      <c r="C41" s="386">
        <v>46045</v>
      </c>
      <c r="D41" s="1024" t="s">
        <v>143</v>
      </c>
      <c r="E41" s="386"/>
      <c r="F41" s="385"/>
      <c r="G41" s="653"/>
      <c r="H41" s="1134">
        <v>30</v>
      </c>
      <c r="I41" s="1028" t="s">
        <v>398</v>
      </c>
      <c r="J41" s="1029" t="s">
        <v>63</v>
      </c>
      <c r="K41" s="1068"/>
      <c r="L41" s="489" t="s">
        <v>52</v>
      </c>
      <c r="M41" s="1029" t="s">
        <v>57</v>
      </c>
      <c r="N41" s="1135">
        <v>170</v>
      </c>
      <c r="O41" s="52" t="s">
        <v>57</v>
      </c>
      <c r="P41" s="1137" t="s">
        <v>399</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343</v>
      </c>
      <c r="C42" s="386">
        <v>46045</v>
      </c>
      <c r="D42" s="1024" t="s">
        <v>143</v>
      </c>
      <c r="E42" s="386">
        <v>45959</v>
      </c>
      <c r="F42" s="385" t="s">
        <v>139</v>
      </c>
      <c r="G42" s="653"/>
      <c r="H42" s="387">
        <v>89</v>
      </c>
      <c r="I42" s="1028" t="s">
        <v>398</v>
      </c>
      <c r="J42" s="1029" t="s">
        <v>63</v>
      </c>
      <c r="K42" s="666"/>
      <c r="L42" s="51">
        <v>45964</v>
      </c>
      <c r="M42" s="52" t="s">
        <v>57</v>
      </c>
      <c r="N42" s="865">
        <v>84750.5</v>
      </c>
      <c r="O42" s="52" t="s">
        <v>57</v>
      </c>
      <c r="P42" s="1137" t="s">
        <v>399</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343</v>
      </c>
      <c r="C43" s="386">
        <v>45989</v>
      </c>
      <c r="D43" s="1024" t="s">
        <v>143</v>
      </c>
      <c r="E43" s="386">
        <v>45959</v>
      </c>
      <c r="F43" s="385" t="s">
        <v>139</v>
      </c>
      <c r="G43" s="653" t="s">
        <v>492</v>
      </c>
      <c r="H43" s="387">
        <v>59</v>
      </c>
      <c r="I43" s="1028" t="s">
        <v>398</v>
      </c>
      <c r="J43" s="1029" t="s">
        <v>63</v>
      </c>
      <c r="K43" s="666"/>
      <c r="L43" s="51">
        <v>45964</v>
      </c>
      <c r="M43" s="1029" t="s">
        <v>57</v>
      </c>
      <c r="N43" s="865">
        <v>65066.5</v>
      </c>
      <c r="O43" s="52" t="s">
        <v>57</v>
      </c>
      <c r="P43" s="1137" t="s">
        <v>399</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343</v>
      </c>
      <c r="C44" s="386">
        <v>46010</v>
      </c>
      <c r="D44" s="1024" t="s">
        <v>143</v>
      </c>
      <c r="E44" s="386">
        <v>45959</v>
      </c>
      <c r="F44" s="385" t="s">
        <v>139</v>
      </c>
      <c r="G44" s="653" t="s">
        <v>495</v>
      </c>
      <c r="H44" s="387">
        <v>89</v>
      </c>
      <c r="I44" s="1028" t="s">
        <v>398</v>
      </c>
      <c r="J44" s="1029" t="s">
        <v>63</v>
      </c>
      <c r="K44" s="666"/>
      <c r="L44" s="51">
        <v>45964</v>
      </c>
      <c r="M44" s="1029" t="s">
        <v>57</v>
      </c>
      <c r="N44" s="865">
        <v>81602</v>
      </c>
      <c r="O44" s="52" t="s">
        <v>57</v>
      </c>
      <c r="P44" s="1137" t="s">
        <v>399</v>
      </c>
      <c r="Q44" s="54">
        <v>45964</v>
      </c>
      <c r="R44" s="1059"/>
      <c r="S44" s="669"/>
      <c r="T44" s="669"/>
      <c r="U44" s="669"/>
      <c r="V44" s="107">
        <v>6752</v>
      </c>
      <c r="W44" s="1071">
        <v>6737</v>
      </c>
      <c r="X44" s="485">
        <f>SUM(V44-W44)</f>
        <v>15</v>
      </c>
      <c r="Y44" s="900">
        <f>IFERROR($W44/$V44, 0)</f>
        <v>0.99777843601895733</v>
      </c>
      <c r="Z44" s="125">
        <v>45992</v>
      </c>
      <c r="AA44" s="617">
        <v>0</v>
      </c>
      <c r="AB44" s="617">
        <v>0</v>
      </c>
      <c r="AC44" s="1030">
        <v>0</v>
      </c>
      <c r="AD44" s="1102" t="s">
        <v>496</v>
      </c>
    </row>
    <row r="45" spans="1:30" ht="39.75" customHeight="1">
      <c r="A45" s="1138" t="s">
        <v>497</v>
      </c>
      <c r="B45" s="463" t="s">
        <v>343</v>
      </c>
      <c r="C45" s="386">
        <v>46045</v>
      </c>
      <c r="D45" s="1024" t="s">
        <v>143</v>
      </c>
      <c r="E45" s="386">
        <v>45959</v>
      </c>
      <c r="F45" s="385" t="s">
        <v>139</v>
      </c>
      <c r="G45" s="653"/>
      <c r="H45" s="387">
        <v>88</v>
      </c>
      <c r="I45" s="1028" t="s">
        <v>398</v>
      </c>
      <c r="J45" s="1029" t="s">
        <v>63</v>
      </c>
      <c r="K45" s="666"/>
      <c r="L45" s="51">
        <v>45961</v>
      </c>
      <c r="M45" s="52" t="s">
        <v>57</v>
      </c>
      <c r="N45" s="865">
        <v>88231.9</v>
      </c>
      <c r="O45" s="52" t="s">
        <v>57</v>
      </c>
      <c r="P45" s="1137"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343</v>
      </c>
      <c r="C46" s="386">
        <v>46045</v>
      </c>
      <c r="D46" s="1024" t="s">
        <v>143</v>
      </c>
      <c r="E46" s="386">
        <v>45959</v>
      </c>
      <c r="F46" s="385" t="s">
        <v>139</v>
      </c>
      <c r="G46" s="653"/>
      <c r="H46" s="387">
        <v>90</v>
      </c>
      <c r="I46" s="1028" t="s">
        <v>398</v>
      </c>
      <c r="J46" s="1029" t="s">
        <v>63</v>
      </c>
      <c r="K46" s="666"/>
      <c r="L46" s="51">
        <v>45964</v>
      </c>
      <c r="M46" s="52" t="s">
        <v>57</v>
      </c>
      <c r="N46" s="865">
        <v>84896</v>
      </c>
      <c r="O46" s="52" t="s">
        <v>57</v>
      </c>
      <c r="P46" s="1137"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343</v>
      </c>
      <c r="C47" s="386">
        <v>46021</v>
      </c>
      <c r="D47" s="1024" t="s">
        <v>143</v>
      </c>
      <c r="E47" s="386">
        <v>45959</v>
      </c>
      <c r="F47" s="385" t="s">
        <v>139</v>
      </c>
      <c r="G47" s="653" t="s">
        <v>502</v>
      </c>
      <c r="H47" s="387">
        <v>89</v>
      </c>
      <c r="I47" s="1028" t="s">
        <v>398</v>
      </c>
      <c r="J47" s="1029" t="s">
        <v>63</v>
      </c>
      <c r="K47" s="666"/>
      <c r="L47" s="51">
        <v>45961</v>
      </c>
      <c r="M47" s="1029" t="s">
        <v>57</v>
      </c>
      <c r="N47" s="865">
        <v>83615</v>
      </c>
      <c r="O47" s="52" t="s">
        <v>57</v>
      </c>
      <c r="P47" s="1137"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398</v>
      </c>
      <c r="J48" s="482" t="s">
        <v>63</v>
      </c>
      <c r="K48" s="941"/>
      <c r="L48" s="51">
        <v>45741</v>
      </c>
      <c r="M48" s="387" t="s">
        <v>57</v>
      </c>
      <c r="N48" s="865">
        <v>67734.5</v>
      </c>
      <c r="O48" s="387" t="s">
        <v>57</v>
      </c>
      <c r="P48" s="1137"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398</v>
      </c>
      <c r="J49" s="491" t="s">
        <v>63</v>
      </c>
      <c r="K49" s="52"/>
      <c r="L49" s="386">
        <v>45716</v>
      </c>
      <c r="M49" s="52" t="s">
        <v>57</v>
      </c>
      <c r="N49" s="1145">
        <v>56262.5</v>
      </c>
      <c r="O49" s="52" t="s">
        <v>57</v>
      </c>
      <c r="P49" s="1137"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398</v>
      </c>
      <c r="J51" s="482" t="s">
        <v>63</v>
      </c>
      <c r="K51" s="941"/>
      <c r="L51" s="51">
        <v>45742</v>
      </c>
      <c r="M51" s="947" t="s">
        <v>57</v>
      </c>
      <c r="N51" s="1145">
        <v>23800.25</v>
      </c>
      <c r="O51" s="387" t="s">
        <v>57</v>
      </c>
      <c r="P51" s="1137" t="s">
        <v>399</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398</v>
      </c>
      <c r="J52" s="482" t="s">
        <v>56</v>
      </c>
      <c r="K52" s="52"/>
      <c r="L52" s="51" t="s">
        <v>52</v>
      </c>
      <c r="M52" s="1029" t="s">
        <v>57</v>
      </c>
      <c r="N52" s="1145">
        <v>42766.5</v>
      </c>
      <c r="O52" s="52" t="s">
        <v>57</v>
      </c>
      <c r="P52" s="1137" t="s">
        <v>399</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398</v>
      </c>
      <c r="J53" s="482" t="s">
        <v>56</v>
      </c>
      <c r="K53" s="97"/>
      <c r="L53" s="51" t="s">
        <v>52</v>
      </c>
      <c r="M53" s="1029" t="s">
        <v>57</v>
      </c>
      <c r="N53" s="1145">
        <v>86136</v>
      </c>
      <c r="O53" s="52" t="s">
        <v>57</v>
      </c>
      <c r="P53" s="1137" t="s">
        <v>399</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T12" activePane="topRight" state="frozen"/>
      <selection pane="topRight" activeCell="AC21" sqref="AC2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239</v>
      </c>
      <c r="C2" s="480">
        <v>45960</v>
      </c>
      <c r="D2" s="480" t="s">
        <v>250</v>
      </c>
      <c r="E2" s="480">
        <v>45852</v>
      </c>
      <c r="F2" s="658" t="s">
        <v>251</v>
      </c>
      <c r="G2" s="701" t="s">
        <v>522</v>
      </c>
      <c r="H2" s="482">
        <v>0</v>
      </c>
      <c r="I2" s="482" t="s">
        <v>398</v>
      </c>
      <c r="J2" s="482" t="s">
        <v>63</v>
      </c>
      <c r="K2" s="482"/>
      <c r="L2" s="480">
        <v>45852</v>
      </c>
      <c r="M2" s="482" t="s">
        <v>57</v>
      </c>
      <c r="N2" s="558">
        <v>42837.2</v>
      </c>
      <c r="O2" s="482" t="s">
        <v>57</v>
      </c>
      <c r="P2" s="827" t="s">
        <v>399</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239</v>
      </c>
      <c r="C3" s="480">
        <v>45868</v>
      </c>
      <c r="D3" s="488" t="s">
        <v>525</v>
      </c>
      <c r="E3" s="489">
        <v>45716</v>
      </c>
      <c r="F3" s="488" t="s">
        <v>251</v>
      </c>
      <c r="G3" s="613" t="s">
        <v>526</v>
      </c>
      <c r="H3" s="491">
        <v>0</v>
      </c>
      <c r="I3" s="497" t="s">
        <v>398</v>
      </c>
      <c r="J3" s="491" t="s">
        <v>63</v>
      </c>
      <c r="K3" s="502"/>
      <c r="L3" s="480">
        <v>45716</v>
      </c>
      <c r="M3" s="491" t="s">
        <v>57</v>
      </c>
      <c r="N3" s="559">
        <v>64932.55</v>
      </c>
      <c r="O3" s="491" t="s">
        <v>57</v>
      </c>
      <c r="P3" s="827" t="s">
        <v>399</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239</v>
      </c>
      <c r="C4" s="480">
        <v>45991</v>
      </c>
      <c r="D4" s="489" t="s">
        <v>419</v>
      </c>
      <c r="E4" s="441">
        <v>45707</v>
      </c>
      <c r="F4" s="488" t="s">
        <v>251</v>
      </c>
      <c r="G4" s="507" t="s">
        <v>528</v>
      </c>
      <c r="H4" s="497">
        <v>0</v>
      </c>
      <c r="I4" s="497" t="s">
        <v>398</v>
      </c>
      <c r="J4" s="497" t="s">
        <v>63</v>
      </c>
      <c r="K4" s="497"/>
      <c r="L4" s="489">
        <v>45708</v>
      </c>
      <c r="M4" s="497" t="s">
        <v>57</v>
      </c>
      <c r="N4" s="560">
        <v>87944.4</v>
      </c>
      <c r="O4" s="497" t="s">
        <v>57</v>
      </c>
      <c r="P4" s="827" t="s">
        <v>399</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239</v>
      </c>
      <c r="C5" s="489">
        <v>45807</v>
      </c>
      <c r="D5" s="478" t="s">
        <v>525</v>
      </c>
      <c r="E5" s="488" t="s">
        <v>52</v>
      </c>
      <c r="F5" s="478" t="s">
        <v>251</v>
      </c>
      <c r="G5" s="849" t="s">
        <v>531</v>
      </c>
      <c r="H5" s="482">
        <v>84</v>
      </c>
      <c r="I5" s="854" t="s">
        <v>398</v>
      </c>
      <c r="J5" s="491" t="s">
        <v>63</v>
      </c>
      <c r="K5" s="870"/>
      <c r="L5" s="480">
        <v>45716</v>
      </c>
      <c r="M5" s="491" t="s">
        <v>57</v>
      </c>
      <c r="N5" s="558">
        <v>2812.95</v>
      </c>
      <c r="O5" s="491" t="s">
        <v>57</v>
      </c>
      <c r="P5" s="827" t="s">
        <v>399</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239</v>
      </c>
      <c r="C6" s="480">
        <v>45991</v>
      </c>
      <c r="D6" s="488" t="s">
        <v>533</v>
      </c>
      <c r="E6" s="489">
        <v>45716</v>
      </c>
      <c r="F6" s="488" t="s">
        <v>240</v>
      </c>
      <c r="G6" s="490" t="s">
        <v>534</v>
      </c>
      <c r="H6" s="491">
        <v>31</v>
      </c>
      <c r="I6" s="497" t="s">
        <v>398</v>
      </c>
      <c r="J6" s="491" t="s">
        <v>63</v>
      </c>
      <c r="K6" s="502"/>
      <c r="L6" s="480">
        <v>45716</v>
      </c>
      <c r="M6" s="491" t="s">
        <v>57</v>
      </c>
      <c r="N6" s="559">
        <v>28777</v>
      </c>
      <c r="O6" s="491" t="s">
        <v>57</v>
      </c>
      <c r="P6" s="827" t="s">
        <v>399</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239</v>
      </c>
      <c r="C7" s="480">
        <v>45991</v>
      </c>
      <c r="D7" s="488" t="s">
        <v>419</v>
      </c>
      <c r="E7" s="489">
        <v>45866</v>
      </c>
      <c r="F7" s="488" t="s">
        <v>251</v>
      </c>
      <c r="G7" s="490" t="s">
        <v>536</v>
      </c>
      <c r="H7" s="491">
        <v>0</v>
      </c>
      <c r="I7" s="497" t="s">
        <v>398</v>
      </c>
      <c r="J7" s="491" t="s">
        <v>63</v>
      </c>
      <c r="K7" s="502"/>
      <c r="L7" s="489">
        <v>45863</v>
      </c>
      <c r="M7" s="491" t="s">
        <v>57</v>
      </c>
      <c r="N7" s="559">
        <v>143407.25</v>
      </c>
      <c r="O7" s="491" t="s">
        <v>57</v>
      </c>
      <c r="P7" s="827" t="s">
        <v>399</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239</v>
      </c>
      <c r="C8" s="480">
        <v>45991</v>
      </c>
      <c r="D8" s="488" t="s">
        <v>71</v>
      </c>
      <c r="E8" s="489">
        <v>45880</v>
      </c>
      <c r="F8" s="488" t="s">
        <v>240</v>
      </c>
      <c r="G8" s="490" t="s">
        <v>538</v>
      </c>
      <c r="H8" s="491">
        <v>0</v>
      </c>
      <c r="I8" s="497" t="s">
        <v>398</v>
      </c>
      <c r="J8" s="491" t="s">
        <v>63</v>
      </c>
      <c r="K8" s="502"/>
      <c r="L8" s="489">
        <v>45881</v>
      </c>
      <c r="M8" s="491" t="s">
        <v>57</v>
      </c>
      <c r="N8" s="559">
        <v>4815.6499999999996</v>
      </c>
      <c r="O8" s="491" t="s">
        <v>57</v>
      </c>
      <c r="P8" s="827" t="s">
        <v>399</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239</v>
      </c>
      <c r="C9" s="861">
        <v>45955</v>
      </c>
      <c r="D9" s="862" t="s">
        <v>143</v>
      </c>
      <c r="E9" s="862">
        <v>45919</v>
      </c>
      <c r="F9" s="862" t="s">
        <v>261</v>
      </c>
      <c r="G9" s="863" t="s">
        <v>540</v>
      </c>
      <c r="H9" s="405">
        <v>0</v>
      </c>
      <c r="I9" s="864" t="s">
        <v>398</v>
      </c>
      <c r="J9" s="405" t="s">
        <v>63</v>
      </c>
      <c r="K9" s="405"/>
      <c r="L9" s="862" t="s">
        <v>52</v>
      </c>
      <c r="M9" s="405" t="s">
        <v>57</v>
      </c>
      <c r="N9" s="865">
        <v>4646.75</v>
      </c>
      <c r="O9" s="405" t="s">
        <v>88</v>
      </c>
      <c r="P9" s="951" t="s">
        <v>399</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398</v>
      </c>
      <c r="J10" s="482" t="s">
        <v>63</v>
      </c>
      <c r="K10" s="482"/>
      <c r="L10" s="489">
        <v>45918</v>
      </c>
      <c r="M10" s="491" t="s">
        <v>57</v>
      </c>
      <c r="N10" s="559">
        <v>9611.9500000000007</v>
      </c>
      <c r="O10" s="491" t="s">
        <v>57</v>
      </c>
      <c r="P10" s="827" t="s">
        <v>399</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398</v>
      </c>
      <c r="J11" s="491" t="s">
        <v>63</v>
      </c>
      <c r="K11" s="502"/>
      <c r="L11" s="489">
        <v>45888</v>
      </c>
      <c r="M11" s="491" t="s">
        <v>57</v>
      </c>
      <c r="N11" s="559">
        <v>53902</v>
      </c>
      <c r="O11" s="491" t="s">
        <v>57</v>
      </c>
      <c r="P11" s="827" t="s">
        <v>399</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398</v>
      </c>
      <c r="J12" s="482" t="s">
        <v>63</v>
      </c>
      <c r="K12" s="482"/>
      <c r="L12" s="480">
        <v>45897</v>
      </c>
      <c r="M12" s="482" t="s">
        <v>57</v>
      </c>
      <c r="N12" s="558">
        <v>44896.1</v>
      </c>
      <c r="O12" s="482" t="s">
        <v>57</v>
      </c>
      <c r="P12" s="827" t="s">
        <v>399</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398</v>
      </c>
      <c r="J13" s="482" t="s">
        <v>63</v>
      </c>
      <c r="K13" s="482"/>
      <c r="L13" s="480">
        <v>45903</v>
      </c>
      <c r="M13" s="482" t="s">
        <v>57</v>
      </c>
      <c r="N13" s="558">
        <v>59116.7</v>
      </c>
      <c r="O13" s="482" t="s">
        <v>57</v>
      </c>
      <c r="P13" s="827" t="s">
        <v>399</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398</v>
      </c>
      <c r="J14" s="482" t="s">
        <v>63</v>
      </c>
      <c r="K14" s="482"/>
      <c r="L14" s="480">
        <v>45903</v>
      </c>
      <c r="M14" s="482" t="s">
        <v>57</v>
      </c>
      <c r="N14" s="558">
        <v>40406</v>
      </c>
      <c r="O14" s="482" t="s">
        <v>57</v>
      </c>
      <c r="P14" s="827" t="s">
        <v>399</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152</v>
      </c>
      <c r="G15" s="701"/>
      <c r="H15" s="482">
        <v>35</v>
      </c>
      <c r="I15" s="680" t="s">
        <v>398</v>
      </c>
      <c r="J15" s="482" t="s">
        <v>63</v>
      </c>
      <c r="K15" s="482"/>
      <c r="L15" s="480">
        <v>45933</v>
      </c>
      <c r="M15" s="482" t="s">
        <v>57</v>
      </c>
      <c r="N15" s="558">
        <v>26026</v>
      </c>
      <c r="O15" s="482" t="s">
        <v>57</v>
      </c>
      <c r="P15" s="827" t="s">
        <v>399</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398</v>
      </c>
      <c r="J17" s="482" t="s">
        <v>63</v>
      </c>
      <c r="K17" s="482"/>
      <c r="L17" s="480">
        <v>45933</v>
      </c>
      <c r="M17" s="482" t="s">
        <v>57</v>
      </c>
      <c r="N17" s="558">
        <v>29646</v>
      </c>
      <c r="O17" s="482" t="s">
        <v>57</v>
      </c>
      <c r="P17" s="827" t="s">
        <v>399</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226</v>
      </c>
      <c r="E18" s="480">
        <v>45932</v>
      </c>
      <c r="F18" s="478" t="s">
        <v>111</v>
      </c>
      <c r="G18" s="701"/>
      <c r="H18" s="482">
        <v>79</v>
      </c>
      <c r="I18" s="680" t="s">
        <v>398</v>
      </c>
      <c r="J18" s="482" t="s">
        <v>63</v>
      </c>
      <c r="K18" s="482"/>
      <c r="L18" s="480">
        <v>45933</v>
      </c>
      <c r="M18" s="482" t="s">
        <v>57</v>
      </c>
      <c r="N18" s="558">
        <v>45014</v>
      </c>
      <c r="O18" s="482" t="s">
        <v>57</v>
      </c>
      <c r="P18" s="827" t="s">
        <v>399</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398</v>
      </c>
      <c r="J19" s="482" t="s">
        <v>63</v>
      </c>
      <c r="K19" s="482"/>
      <c r="L19" s="480">
        <v>45936</v>
      </c>
      <c r="M19" s="482" t="s">
        <v>57</v>
      </c>
      <c r="N19" s="558">
        <v>38796</v>
      </c>
      <c r="O19" s="482" t="s">
        <v>57</v>
      </c>
      <c r="P19" s="827" t="s">
        <v>399</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152</v>
      </c>
      <c r="G20" s="701"/>
      <c r="H20" s="482">
        <v>61</v>
      </c>
      <c r="I20" s="680" t="s">
        <v>398</v>
      </c>
      <c r="J20" s="482" t="s">
        <v>63</v>
      </c>
      <c r="K20" s="482"/>
      <c r="L20" s="480">
        <v>45962</v>
      </c>
      <c r="M20" s="482" t="s">
        <v>57</v>
      </c>
      <c r="N20" s="558">
        <v>35050</v>
      </c>
      <c r="O20" s="482" t="s">
        <v>57</v>
      </c>
      <c r="P20" s="827" t="s">
        <v>399</v>
      </c>
      <c r="Q20" s="484">
        <v>45961</v>
      </c>
      <c r="R20" s="568"/>
      <c r="S20" s="568"/>
      <c r="T20" s="568"/>
      <c r="U20" s="500" t="s">
        <v>523</v>
      </c>
      <c r="V20" s="485">
        <v>2527</v>
      </c>
      <c r="W20" s="762">
        <v>2647</v>
      </c>
      <c r="X20" s="485">
        <f>SUM(V20-W20)</f>
        <v>-120</v>
      </c>
      <c r="Y20" s="681">
        <f>IFERROR($W20/$V20, 0)</f>
        <v>1.0474871388998812</v>
      </c>
      <c r="Z20" s="492">
        <v>45973</v>
      </c>
      <c r="AA20" s="366">
        <v>1</v>
      </c>
      <c r="AB20" s="366">
        <v>1</v>
      </c>
      <c r="AC20" s="808">
        <v>0</v>
      </c>
      <c r="AD20" s="1102" t="s">
        <v>566</v>
      </c>
    </row>
    <row r="21" spans="1:30" ht="39.75" customHeight="1">
      <c r="A21" s="967" t="s">
        <v>567</v>
      </c>
      <c r="B21" s="478" t="s">
        <v>110</v>
      </c>
      <c r="C21" s="489">
        <v>45976</v>
      </c>
      <c r="D21" s="480" t="s">
        <v>143</v>
      </c>
      <c r="E21" s="480">
        <v>45958</v>
      </c>
      <c r="F21" s="478" t="s">
        <v>152</v>
      </c>
      <c r="G21" s="701"/>
      <c r="H21" s="482">
        <v>48</v>
      </c>
      <c r="I21" s="680" t="s">
        <v>398</v>
      </c>
      <c r="J21" s="482" t="s">
        <v>63</v>
      </c>
      <c r="K21" s="482"/>
      <c r="L21" s="480">
        <v>45954</v>
      </c>
      <c r="M21" s="482" t="s">
        <v>57</v>
      </c>
      <c r="N21" s="558">
        <v>54228.7</v>
      </c>
      <c r="O21" s="482" t="s">
        <v>57</v>
      </c>
      <c r="P21" s="827" t="s">
        <v>399</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226</v>
      </c>
      <c r="E22" s="480">
        <v>45936</v>
      </c>
      <c r="F22" s="478" t="s">
        <v>152</v>
      </c>
      <c r="G22" s="701"/>
      <c r="H22" s="482">
        <v>83</v>
      </c>
      <c r="I22" s="680" t="s">
        <v>398</v>
      </c>
      <c r="J22" s="482" t="s">
        <v>63</v>
      </c>
      <c r="K22" s="482"/>
      <c r="L22" s="480">
        <v>45936</v>
      </c>
      <c r="M22" s="482" t="s">
        <v>57</v>
      </c>
      <c r="N22" s="558">
        <v>96748</v>
      </c>
      <c r="O22" s="482" t="s">
        <v>57</v>
      </c>
      <c r="P22" s="827" t="s">
        <v>399</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398</v>
      </c>
      <c r="J23" s="482" t="s">
        <v>63</v>
      </c>
      <c r="K23" s="482"/>
      <c r="L23" s="489">
        <v>45902</v>
      </c>
      <c r="M23" s="482" t="s">
        <v>57</v>
      </c>
      <c r="N23" s="558">
        <v>5604.6</v>
      </c>
      <c r="O23" s="482" t="s">
        <v>57</v>
      </c>
      <c r="P23" s="827" t="s">
        <v>399</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226</v>
      </c>
      <c r="E24" s="480">
        <v>45961</v>
      </c>
      <c r="F24" s="478" t="s">
        <v>111</v>
      </c>
      <c r="G24" s="701"/>
      <c r="H24" s="482">
        <v>0</v>
      </c>
      <c r="I24" s="482" t="s">
        <v>398</v>
      </c>
      <c r="J24" s="482" t="s">
        <v>63</v>
      </c>
      <c r="K24" s="482"/>
      <c r="L24" s="480" t="s">
        <v>179</v>
      </c>
      <c r="M24" s="482" t="s">
        <v>57</v>
      </c>
      <c r="N24" s="558">
        <v>39221.800000000003</v>
      </c>
      <c r="O24" s="482" t="s">
        <v>57</v>
      </c>
      <c r="P24" s="1181" t="s">
        <v>399</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398</v>
      </c>
      <c r="J25" s="482" t="s">
        <v>56</v>
      </c>
      <c r="K25" s="482"/>
      <c r="L25" s="480">
        <v>45905</v>
      </c>
      <c r="M25" s="482" t="s">
        <v>57</v>
      </c>
      <c r="N25" s="558">
        <v>145985.5</v>
      </c>
      <c r="O25" s="482" t="s">
        <v>57</v>
      </c>
      <c r="P25" s="827" t="s">
        <v>399</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398</v>
      </c>
      <c r="J26" s="482" t="s">
        <v>56</v>
      </c>
      <c r="K26" s="482"/>
      <c r="L26" s="478" t="s">
        <v>399</v>
      </c>
      <c r="M26" s="482" t="s">
        <v>57</v>
      </c>
      <c r="N26" s="558">
        <v>30892</v>
      </c>
      <c r="O26" s="482" t="s">
        <v>57</v>
      </c>
      <c r="P26" s="827" t="s">
        <v>399</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398</v>
      </c>
      <c r="J27" s="491" t="s">
        <v>63</v>
      </c>
      <c r="K27" s="502"/>
      <c r="L27" s="489">
        <v>45728</v>
      </c>
      <c r="M27" s="491" t="s">
        <v>57</v>
      </c>
      <c r="N27" s="559">
        <v>60843.5</v>
      </c>
      <c r="O27" s="491" t="s">
        <v>57</v>
      </c>
      <c r="P27" s="827" t="s">
        <v>399</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398</v>
      </c>
      <c r="J28" s="520" t="s">
        <v>63</v>
      </c>
      <c r="K28" s="520"/>
      <c r="L28" s="527">
        <v>45714</v>
      </c>
      <c r="M28" s="520" t="s">
        <v>57</v>
      </c>
      <c r="N28" s="561">
        <v>94170.5</v>
      </c>
      <c r="O28" s="520" t="s">
        <v>57</v>
      </c>
      <c r="P28" s="966" t="s">
        <v>399</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398</v>
      </c>
      <c r="J29" s="520" t="s">
        <v>63</v>
      </c>
      <c r="K29" s="520"/>
      <c r="L29" s="527">
        <v>45695</v>
      </c>
      <c r="M29" s="520" t="s">
        <v>57</v>
      </c>
      <c r="N29" s="562">
        <v>89698.5</v>
      </c>
      <c r="O29" s="520" t="s">
        <v>57</v>
      </c>
      <c r="P29" s="966" t="s">
        <v>399</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398</v>
      </c>
      <c r="J30" s="854" t="s">
        <v>63</v>
      </c>
      <c r="K30" s="854"/>
      <c r="L30" s="851">
        <v>45686</v>
      </c>
      <c r="M30" s="854" t="s">
        <v>57</v>
      </c>
      <c r="N30" s="877">
        <v>61924</v>
      </c>
      <c r="O30" s="854" t="s">
        <v>57</v>
      </c>
      <c r="P30" s="827" t="s">
        <v>399</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398</v>
      </c>
      <c r="J31" s="854" t="s">
        <v>63</v>
      </c>
      <c r="K31" s="854"/>
      <c r="L31" s="851">
        <v>45698</v>
      </c>
      <c r="M31" s="854" t="s">
        <v>57</v>
      </c>
      <c r="N31" s="877">
        <v>63402.5</v>
      </c>
      <c r="O31" s="854" t="s">
        <v>57</v>
      </c>
      <c r="P31" s="827" t="s">
        <v>399</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399</v>
      </c>
      <c r="M32" s="680" t="s">
        <v>57</v>
      </c>
      <c r="N32" s="558">
        <v>43130</v>
      </c>
      <c r="O32" s="680" t="s">
        <v>57</v>
      </c>
      <c r="P32" s="827" t="s">
        <v>399</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399</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398</v>
      </c>
      <c r="J34" s="482" t="s">
        <v>63</v>
      </c>
      <c r="K34" s="850"/>
      <c r="L34" s="489">
        <v>45741</v>
      </c>
      <c r="M34" s="482" t="s">
        <v>57</v>
      </c>
      <c r="N34" s="559">
        <v>49071</v>
      </c>
      <c r="O34" s="482" t="s">
        <v>57</v>
      </c>
      <c r="P34" s="827" t="s">
        <v>399</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399</v>
      </c>
      <c r="M35" s="391" t="s">
        <v>57</v>
      </c>
      <c r="N35" s="1145">
        <v>64790.5</v>
      </c>
      <c r="O35" s="391" t="s">
        <v>57</v>
      </c>
      <c r="P35" s="1171" t="s">
        <v>399</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260</v>
      </c>
      <c r="E36" s="480">
        <v>45927</v>
      </c>
      <c r="F36" s="478" t="s">
        <v>95</v>
      </c>
      <c r="G36" s="701" t="s">
        <v>615</v>
      </c>
      <c r="H36" s="482">
        <v>86</v>
      </c>
      <c r="I36" s="680" t="s">
        <v>398</v>
      </c>
      <c r="J36" s="482" t="s">
        <v>63</v>
      </c>
      <c r="K36" s="491"/>
      <c r="L36" s="480">
        <v>45917</v>
      </c>
      <c r="M36" s="482" t="s">
        <v>57</v>
      </c>
      <c r="N36" s="558">
        <v>45500</v>
      </c>
      <c r="O36" s="482" t="s">
        <v>57</v>
      </c>
      <c r="P36" s="827" t="s">
        <v>399</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398</v>
      </c>
      <c r="J37" s="482" t="s">
        <v>63</v>
      </c>
      <c r="K37" s="850"/>
      <c r="L37" s="489">
        <v>45741</v>
      </c>
      <c r="M37" s="482" t="s">
        <v>57</v>
      </c>
      <c r="N37" s="559">
        <v>67735.5</v>
      </c>
      <c r="O37" s="482" t="s">
        <v>57</v>
      </c>
      <c r="P37" s="827" t="s">
        <v>399</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399</v>
      </c>
      <c r="J38" s="854" t="s">
        <v>63</v>
      </c>
      <c r="K38" s="854"/>
      <c r="L38" s="851">
        <v>45705</v>
      </c>
      <c r="M38" s="854" t="s">
        <v>57</v>
      </c>
      <c r="N38" s="877">
        <v>1295</v>
      </c>
      <c r="O38" s="854" t="s">
        <v>57</v>
      </c>
      <c r="P38" s="827" t="s">
        <v>399</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398</v>
      </c>
      <c r="J70" s="795" t="s">
        <v>63</v>
      </c>
      <c r="K70" s="57">
        <v>45707</v>
      </c>
      <c r="L70" s="795" t="s">
        <v>57</v>
      </c>
      <c r="M70" s="439" t="s">
        <v>796</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398</v>
      </c>
      <c r="J120" s="518" t="s">
        <v>63</v>
      </c>
      <c r="K120" s="519" t="s">
        <v>913</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534</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399</v>
      </c>
      <c r="J156" s="947" t="s">
        <v>56</v>
      </c>
      <c r="K156" s="944"/>
      <c r="L156" s="949" t="s">
        <v>56</v>
      </c>
      <c r="M156" s="947" t="s">
        <v>88</v>
      </c>
      <c r="N156" s="950">
        <v>0</v>
      </c>
      <c r="O156" s="947" t="s">
        <v>88</v>
      </c>
      <c r="P156" s="951" t="s">
        <v>399</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399</v>
      </c>
      <c r="J157" s="887" t="s">
        <v>56</v>
      </c>
      <c r="K157" s="892"/>
      <c r="L157" s="894" t="s">
        <v>56</v>
      </c>
      <c r="M157" s="887" t="s">
        <v>88</v>
      </c>
      <c r="N157" s="888">
        <v>0</v>
      </c>
      <c r="O157" s="887" t="s">
        <v>88</v>
      </c>
      <c r="P157" s="889" t="s">
        <v>399</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6"/>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396</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300</v>
      </c>
      <c r="D767">
        <v>362</v>
      </c>
      <c r="E767">
        <v>399</v>
      </c>
      <c r="G767">
        <v>761</v>
      </c>
    </row>
    <row r="768" spans="1:7">
      <c r="A768" t="s">
        <v>893</v>
      </c>
    </row>
    <row r="769" spans="1:7">
      <c r="A769" t="s">
        <v>863</v>
      </c>
    </row>
    <row r="770" spans="1:7">
      <c r="A770" t="s">
        <v>421</v>
      </c>
      <c r="C770">
        <v>120</v>
      </c>
      <c r="D770">
        <v>190</v>
      </c>
      <c r="G770">
        <v>310</v>
      </c>
    </row>
    <row r="771" spans="1:7">
      <c r="A771" t="s">
        <v>396</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396</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177</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396</v>
      </c>
      <c r="D839">
        <v>986</v>
      </c>
      <c r="G839">
        <v>986</v>
      </c>
    </row>
    <row r="840" spans="1:7">
      <c r="A840" t="s">
        <v>1056</v>
      </c>
      <c r="B840">
        <v>916</v>
      </c>
      <c r="C840">
        <v>144</v>
      </c>
      <c r="G840">
        <v>1060</v>
      </c>
    </row>
    <row r="841" spans="1:7">
      <c r="A841" t="s">
        <v>557</v>
      </c>
    </row>
    <row r="842" spans="1:7">
      <c r="A842" t="s">
        <v>895</v>
      </c>
    </row>
    <row r="843" spans="1:7">
      <c r="A843" t="s">
        <v>177</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300</v>
      </c>
    </row>
    <row r="885" spans="1:7">
      <c r="A885" t="s">
        <v>396</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396</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243</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392</v>
      </c>
      <c r="E960">
        <v>424</v>
      </c>
      <c r="G960">
        <v>424</v>
      </c>
    </row>
    <row r="961" spans="1:7">
      <c r="A961" t="s">
        <v>356</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256</v>
      </c>
      <c r="B973">
        <v>420</v>
      </c>
      <c r="G973">
        <v>420</v>
      </c>
    </row>
    <row r="974" spans="1:7">
      <c r="A974" t="s">
        <v>573</v>
      </c>
    </row>
    <row r="975" spans="1:7">
      <c r="A975" t="s">
        <v>412</v>
      </c>
      <c r="C975">
        <v>1917</v>
      </c>
      <c r="E975">
        <v>272</v>
      </c>
      <c r="G975">
        <v>2189</v>
      </c>
    </row>
    <row r="976" spans="1:7">
      <c r="A976" t="s">
        <v>565</v>
      </c>
      <c r="B976">
        <v>956</v>
      </c>
      <c r="G976">
        <v>956</v>
      </c>
    </row>
    <row r="977" spans="1:7">
      <c r="A977" t="s">
        <v>243</v>
      </c>
      <c r="E977">
        <v>195</v>
      </c>
      <c r="G977">
        <v>195</v>
      </c>
    </row>
    <row r="978" spans="1:7">
      <c r="A978" t="s">
        <v>432</v>
      </c>
      <c r="B978">
        <v>1449</v>
      </c>
      <c r="G978">
        <v>1449</v>
      </c>
    </row>
    <row r="979" spans="1:7">
      <c r="A979" t="s">
        <v>489</v>
      </c>
      <c r="B979">
        <v>1662</v>
      </c>
      <c r="C979">
        <v>2684</v>
      </c>
      <c r="F979">
        <v>51</v>
      </c>
      <c r="G979">
        <v>4397</v>
      </c>
    </row>
    <row r="980" spans="1:7">
      <c r="A980" t="s">
        <v>353</v>
      </c>
      <c r="B980">
        <v>5466</v>
      </c>
      <c r="E980">
        <v>2252</v>
      </c>
      <c r="G980">
        <v>7718</v>
      </c>
    </row>
    <row r="981" spans="1:7">
      <c r="A981" t="s">
        <v>1066</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256</v>
      </c>
      <c r="D1011">
        <v>426</v>
      </c>
      <c r="G1011">
        <v>426</v>
      </c>
    </row>
    <row r="1012" spans="1:7">
      <c r="A1012" t="s">
        <v>426</v>
      </c>
    </row>
    <row r="1013" spans="1:7">
      <c r="A1013" t="s">
        <v>479</v>
      </c>
    </row>
    <row r="1014" spans="1:7">
      <c r="A1014" t="s">
        <v>347</v>
      </c>
      <c r="C1014">
        <v>1175</v>
      </c>
      <c r="G1014">
        <v>1175</v>
      </c>
    </row>
    <row r="1015" spans="1:7">
      <c r="A1015" t="s">
        <v>342</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359</v>
      </c>
      <c r="C1024">
        <v>3411</v>
      </c>
      <c r="G1024">
        <v>3411</v>
      </c>
    </row>
    <row r="1025" spans="1:7">
      <c r="A1025" t="s">
        <v>225</v>
      </c>
      <c r="B1025">
        <v>82</v>
      </c>
      <c r="G1025">
        <v>82</v>
      </c>
    </row>
    <row r="1026" spans="1:7">
      <c r="A1026" t="s">
        <v>362</v>
      </c>
      <c r="C1026">
        <v>3311</v>
      </c>
      <c r="G1026">
        <v>3311</v>
      </c>
    </row>
    <row r="1027" spans="1:7">
      <c r="A1027" t="s">
        <v>469</v>
      </c>
    </row>
    <row r="1028" spans="1:7">
      <c r="A1028" t="s">
        <v>335</v>
      </c>
      <c r="C1028">
        <v>2568</v>
      </c>
      <c r="G1028">
        <v>2568</v>
      </c>
    </row>
    <row r="1029" spans="1:7">
      <c r="A1029" t="s">
        <v>453</v>
      </c>
      <c r="B1029">
        <v>286</v>
      </c>
      <c r="C1029">
        <v>357</v>
      </c>
      <c r="D1029">
        <v>331</v>
      </c>
      <c r="G1029">
        <v>974</v>
      </c>
    </row>
    <row r="1030" spans="1:7">
      <c r="A1030" t="s">
        <v>320</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444</v>
      </c>
      <c r="B1053">
        <v>1610</v>
      </c>
      <c r="E1053">
        <v>1610</v>
      </c>
    </row>
    <row r="1054" spans="1:7">
      <c r="A1054" t="s">
        <v>320</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1256</v>
      </c>
      <c r="E1060">
        <v>2973</v>
      </c>
    </row>
    <row r="1061" spans="1:5">
      <c r="A1061" t="s">
        <v>389</v>
      </c>
      <c r="B1061">
        <v>1829</v>
      </c>
      <c r="C1061">
        <v>2302</v>
      </c>
      <c r="D1061">
        <v>694</v>
      </c>
      <c r="E1061">
        <v>4825</v>
      </c>
    </row>
    <row r="1062" spans="1:5">
      <c r="A1062" t="s">
        <v>494</v>
      </c>
      <c r="B1062">
        <v>1391</v>
      </c>
      <c r="C1062">
        <v>2916</v>
      </c>
      <c r="D1062">
        <v>2430</v>
      </c>
      <c r="E1062">
        <v>6737</v>
      </c>
    </row>
    <row r="1063" spans="1:5">
      <c r="A1063" t="s">
        <v>135</v>
      </c>
      <c r="D1063">
        <v>466</v>
      </c>
      <c r="E1063">
        <v>466</v>
      </c>
    </row>
    <row r="1064" spans="1:5">
      <c r="A1064" t="s">
        <v>142</v>
      </c>
      <c r="D1064">
        <v>1379</v>
      </c>
      <c r="E1064">
        <v>1379</v>
      </c>
    </row>
    <row r="1065" spans="1:5">
      <c r="A1065" t="s">
        <v>350</v>
      </c>
      <c r="D1065">
        <v>243</v>
      </c>
      <c r="E1065">
        <v>243</v>
      </c>
    </row>
    <row r="1066" spans="1:5">
      <c r="A1066" t="s">
        <v>998</v>
      </c>
      <c r="B1066">
        <v>20575</v>
      </c>
      <c r="C1066">
        <v>10528</v>
      </c>
      <c r="D1066">
        <v>10631</v>
      </c>
      <c r="E1066">
        <v>41734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197" activePane="bottomLeft" state="frozen"/>
      <selection pane="bottomLeft" activeCell="E2225" sqref="E222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300</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396</v>
      </c>
      <c r="B1563" s="647" t="s">
        <v>397</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396</v>
      </c>
      <c r="B1570" s="251" t="s">
        <v>397</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396</v>
      </c>
      <c r="B1574" s="251" t="s">
        <v>397</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396</v>
      </c>
      <c r="B1579" s="251" t="s">
        <v>397</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396</v>
      </c>
      <c r="B1585" s="251" t="s">
        <v>397</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396</v>
      </c>
      <c r="B1593" s="142" t="s">
        <v>397</v>
      </c>
      <c r="C1593" s="56">
        <v>45917</v>
      </c>
      <c r="D1593" s="43">
        <v>863</v>
      </c>
      <c r="F1593" s="753"/>
      <c r="G1593" t="s">
        <v>1562</v>
      </c>
    </row>
    <row r="1594" spans="1:7">
      <c r="A1594" s="757" t="s">
        <v>421</v>
      </c>
      <c r="B1594" s="309" t="s">
        <v>250</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396</v>
      </c>
      <c r="B1603" s="251" t="s">
        <v>397</v>
      </c>
      <c r="C1603" s="56">
        <v>45918</v>
      </c>
      <c r="D1603" s="43">
        <v>499</v>
      </c>
      <c r="F1603" s="753"/>
      <c r="G1603" t="s">
        <v>1562</v>
      </c>
    </row>
    <row r="1604" spans="1:7">
      <c r="A1604" s="664" t="s">
        <v>421</v>
      </c>
      <c r="B1604" s="142" t="s">
        <v>250</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396</v>
      </c>
      <c r="B1608" s="251" t="s">
        <v>397</v>
      </c>
      <c r="C1608" s="56">
        <v>45919</v>
      </c>
      <c r="D1608" s="43">
        <v>475</v>
      </c>
      <c r="F1608" s="753"/>
      <c r="G1608" t="s">
        <v>1562</v>
      </c>
    </row>
    <row r="1609" spans="1:7">
      <c r="A1609" s="664" t="s">
        <v>421</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396</v>
      </c>
      <c r="B1616" s="142" t="s">
        <v>397</v>
      </c>
      <c r="C1616" s="56">
        <v>45922</v>
      </c>
      <c r="D1616" s="43">
        <v>839</v>
      </c>
      <c r="F1616" s="753"/>
      <c r="G1616" t="s">
        <v>1562</v>
      </c>
    </row>
    <row r="1617" spans="1:7">
      <c r="A1617" s="766" t="s">
        <v>421</v>
      </c>
      <c r="B1617" s="308" t="s">
        <v>250</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396</v>
      </c>
      <c r="B1625" s="251" t="s">
        <v>397</v>
      </c>
      <c r="C1625" s="56">
        <v>45923</v>
      </c>
      <c r="F1625" s="779" t="s">
        <v>1607</v>
      </c>
      <c r="G1625" t="s">
        <v>1562</v>
      </c>
    </row>
    <row r="1626" spans="1:7">
      <c r="A1626" s="664" t="s">
        <v>421</v>
      </c>
      <c r="B1626" s="776" t="s">
        <v>250</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396</v>
      </c>
      <c r="B1636" s="412" t="s">
        <v>397</v>
      </c>
      <c r="C1636" s="355">
        <v>45924</v>
      </c>
      <c r="D1636" s="43">
        <v>616</v>
      </c>
      <c r="F1636" s="92"/>
      <c r="G1636" t="s">
        <v>1562</v>
      </c>
    </row>
    <row r="1637" spans="1:7">
      <c r="A1637" s="664" t="s">
        <v>421</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396</v>
      </c>
      <c r="B1651" s="251" t="s">
        <v>397</v>
      </c>
      <c r="C1651" s="56">
        <v>45925</v>
      </c>
      <c r="D1651" s="43">
        <v>969</v>
      </c>
      <c r="G1651" t="s">
        <v>1562</v>
      </c>
    </row>
    <row r="1652" spans="1:7">
      <c r="A1652" s="664" t="s">
        <v>421</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397</v>
      </c>
      <c r="C1657" s="56">
        <v>45926</v>
      </c>
      <c r="D1657" s="43">
        <v>300</v>
      </c>
      <c r="G1657" t="s">
        <v>1562</v>
      </c>
    </row>
    <row r="1658" spans="1:7">
      <c r="A1658" s="308" t="s">
        <v>1057</v>
      </c>
      <c r="B1658" s="758" t="s">
        <v>1619</v>
      </c>
      <c r="C1658" s="56">
        <v>45926</v>
      </c>
      <c r="D1658" s="43">
        <v>364</v>
      </c>
      <c r="G1658" t="s">
        <v>1562</v>
      </c>
    </row>
    <row r="1659" spans="1:7">
      <c r="A1659" s="135" t="s">
        <v>396</v>
      </c>
      <c r="B1659" s="142" t="s">
        <v>397</v>
      </c>
      <c r="C1659" s="56">
        <v>45926</v>
      </c>
      <c r="D1659" s="43">
        <v>552</v>
      </c>
      <c r="G1659" t="s">
        <v>1562</v>
      </c>
    </row>
    <row r="1660" spans="1:7">
      <c r="A1660" s="766" t="s">
        <v>424</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396</v>
      </c>
      <c r="B1669" s="142" t="s">
        <v>397</v>
      </c>
      <c r="C1669" s="56">
        <v>45929</v>
      </c>
      <c r="D1669" s="156">
        <v>1375</v>
      </c>
      <c r="G1669" t="s">
        <v>1562</v>
      </c>
    </row>
    <row r="1670" spans="1:7">
      <c r="A1670" s="766" t="s">
        <v>418</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250</v>
      </c>
      <c r="C1672" s="56">
        <v>45929</v>
      </c>
      <c r="D1672" s="43">
        <v>479</v>
      </c>
      <c r="G1672" t="s">
        <v>1562</v>
      </c>
    </row>
    <row r="1673" spans="1:7">
      <c r="A1673" s="43" t="s">
        <v>424</v>
      </c>
      <c r="B1673" s="322" t="s">
        <v>250</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396</v>
      </c>
      <c r="B1682" s="308" t="s">
        <v>397</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250</v>
      </c>
      <c r="C1685" s="56">
        <v>45930</v>
      </c>
      <c r="D1685" s="43">
        <v>251</v>
      </c>
      <c r="G1685" t="s">
        <v>1562</v>
      </c>
    </row>
    <row r="1686" spans="1:7">
      <c r="A1686" s="541" t="s">
        <v>521</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396</v>
      </c>
      <c r="B1693" s="142" t="s">
        <v>397</v>
      </c>
      <c r="C1693" s="56">
        <v>45931</v>
      </c>
      <c r="D1693" s="43">
        <v>312</v>
      </c>
      <c r="G1693" t="s">
        <v>1628</v>
      </c>
    </row>
    <row r="1694" spans="1:7">
      <c r="A1694" s="567" t="s">
        <v>521</v>
      </c>
      <c r="B1694" s="142" t="s">
        <v>250</v>
      </c>
      <c r="C1694" s="56">
        <v>45931</v>
      </c>
      <c r="D1694" s="43">
        <v>753</v>
      </c>
      <c r="G1694" t="s">
        <v>1628</v>
      </c>
    </row>
    <row r="1695" spans="1:7">
      <c r="A1695" s="309" t="s">
        <v>424</v>
      </c>
      <c r="B1695" s="359" t="s">
        <v>250</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396</v>
      </c>
      <c r="B1703" s="142" t="s">
        <v>397</v>
      </c>
      <c r="C1703" s="56">
        <v>45932</v>
      </c>
      <c r="D1703" s="156">
        <v>1304</v>
      </c>
      <c r="G1703" t="s">
        <v>1628</v>
      </c>
    </row>
    <row r="1704" spans="1:7">
      <c r="A1704" s="309" t="s">
        <v>1056</v>
      </c>
      <c r="B1704" s="309" t="s">
        <v>1007</v>
      </c>
      <c r="C1704" s="56">
        <v>45932</v>
      </c>
      <c r="D1704" s="43">
        <v>614</v>
      </c>
      <c r="G1704" t="s">
        <v>1628</v>
      </c>
    </row>
    <row r="1705" spans="1:7">
      <c r="A1705" s="567" t="s">
        <v>521</v>
      </c>
      <c r="B1705" s="142" t="s">
        <v>250</v>
      </c>
      <c r="C1705" s="56">
        <v>45932</v>
      </c>
      <c r="D1705" s="43">
        <v>305</v>
      </c>
      <c r="G1705" t="s">
        <v>1628</v>
      </c>
    </row>
    <row r="1706" spans="1:7">
      <c r="A1706" s="309" t="s">
        <v>424</v>
      </c>
      <c r="B1706" s="359" t="s">
        <v>250</v>
      </c>
      <c r="C1706" s="56">
        <v>45932</v>
      </c>
      <c r="D1706" s="43">
        <v>789</v>
      </c>
      <c r="F1706" s="43" t="s">
        <v>1634</v>
      </c>
      <c r="G1706" t="s">
        <v>1628</v>
      </c>
    </row>
    <row r="1707" spans="1:7">
      <c r="A1707" s="142" t="s">
        <v>421</v>
      </c>
      <c r="B1707" s="142" t="s">
        <v>250</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396</v>
      </c>
      <c r="B1713" s="142" t="s">
        <v>397</v>
      </c>
      <c r="C1713" s="56">
        <v>45933</v>
      </c>
      <c r="D1713" s="43">
        <v>617</v>
      </c>
      <c r="G1713" t="s">
        <v>1628</v>
      </c>
    </row>
    <row r="1714" spans="1:7">
      <c r="A1714" s="309" t="s">
        <v>1056</v>
      </c>
      <c r="B1714" s="309" t="s">
        <v>1007</v>
      </c>
      <c r="C1714" s="56">
        <v>45933</v>
      </c>
      <c r="D1714" s="43">
        <v>486</v>
      </c>
      <c r="G1714" t="s">
        <v>1628</v>
      </c>
    </row>
    <row r="1715" spans="1:7">
      <c r="A1715" s="310" t="s">
        <v>424</v>
      </c>
      <c r="B1715" s="142" t="s">
        <v>250</v>
      </c>
      <c r="C1715" s="56">
        <v>45933</v>
      </c>
      <c r="F1715" s="43" t="s">
        <v>1637</v>
      </c>
      <c r="G1715" t="s">
        <v>1628</v>
      </c>
    </row>
    <row r="1716" spans="1:7">
      <c r="A1716" s="310" t="s">
        <v>421</v>
      </c>
      <c r="B1716" s="142" t="s">
        <v>250</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396</v>
      </c>
      <c r="B1724" s="142" t="s">
        <v>397</v>
      </c>
      <c r="C1724" s="56">
        <v>45936</v>
      </c>
      <c r="D1724" s="43">
        <v>768</v>
      </c>
      <c r="G1724" t="s">
        <v>1628</v>
      </c>
    </row>
    <row r="1725" spans="1:7">
      <c r="A1725" s="309" t="s">
        <v>1056</v>
      </c>
      <c r="B1725" s="309" t="s">
        <v>763</v>
      </c>
      <c r="C1725" s="56">
        <v>45936</v>
      </c>
      <c r="D1725" s="43">
        <v>225</v>
      </c>
      <c r="G1725" t="s">
        <v>1628</v>
      </c>
    </row>
    <row r="1726" spans="1:7">
      <c r="A1726" s="565" t="s">
        <v>521</v>
      </c>
      <c r="B1726" s="310" t="s">
        <v>250</v>
      </c>
      <c r="C1726" s="56">
        <v>45936</v>
      </c>
      <c r="F1726" s="348" t="s">
        <v>1281</v>
      </c>
      <c r="G1726" t="s">
        <v>1628</v>
      </c>
    </row>
    <row r="1727" spans="1:7">
      <c r="A1727" s="315" t="s">
        <v>424</v>
      </c>
      <c r="B1727" s="315" t="s">
        <v>250</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396</v>
      </c>
      <c r="B1734" s="142" t="s">
        <v>397</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250</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396</v>
      </c>
      <c r="B1755" s="251" t="s">
        <v>397</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250</v>
      </c>
      <c r="C1758" s="56">
        <v>45939</v>
      </c>
      <c r="D1758" s="43">
        <v>369</v>
      </c>
      <c r="G1758" t="s">
        <v>1628</v>
      </c>
    </row>
    <row r="1759" spans="1:7">
      <c r="A1759" s="116" t="s">
        <v>421</v>
      </c>
      <c r="B1759" s="321" t="s">
        <v>250</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250</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396</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250</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250</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250</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250</v>
      </c>
      <c r="C1884" s="56">
        <v>45958</v>
      </c>
      <c r="D1884" s="156">
        <v>1224</v>
      </c>
      <c r="G1884" t="s">
        <v>1628</v>
      </c>
    </row>
    <row r="1885" spans="1:7">
      <c r="A1885" s="43" t="s">
        <v>414</v>
      </c>
      <c r="B1885" s="674" t="s">
        <v>250</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250</v>
      </c>
      <c r="C1895" s="56">
        <v>45959</v>
      </c>
      <c r="D1895" s="43">
        <v>343</v>
      </c>
      <c r="G1895" t="s">
        <v>1628</v>
      </c>
    </row>
    <row r="1896" spans="1:7">
      <c r="A1896" s="69" t="s">
        <v>410</v>
      </c>
      <c r="B1896" s="43" t="s">
        <v>250</v>
      </c>
      <c r="C1896" s="56">
        <v>45959</v>
      </c>
      <c r="D1896" s="156">
        <v>3179</v>
      </c>
      <c r="G1896" t="s">
        <v>1628</v>
      </c>
    </row>
    <row r="1897" spans="1:7">
      <c r="A1897" s="315" t="s">
        <v>396</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250</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396</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250</v>
      </c>
      <c r="C1934" s="56">
        <v>45964</v>
      </c>
      <c r="D1934" s="43">
        <v>882</v>
      </c>
      <c r="F1934" s="43" t="s">
        <v>1741</v>
      </c>
      <c r="G1934" t="s">
        <v>1738</v>
      </c>
    </row>
    <row r="1935" spans="1:7">
      <c r="A1935" s="142" t="s">
        <v>396</v>
      </c>
      <c r="B1935" s="360" t="s">
        <v>1007</v>
      </c>
      <c r="C1935" s="56">
        <v>45964</v>
      </c>
      <c r="F1935" s="43" t="s">
        <v>1474</v>
      </c>
      <c r="G1935" t="s">
        <v>1738</v>
      </c>
    </row>
    <row r="1936" spans="1:7">
      <c r="A1936" s="142" t="s">
        <v>396</v>
      </c>
      <c r="B1936" s="360" t="s">
        <v>1742</v>
      </c>
      <c r="C1936" s="56">
        <v>45964</v>
      </c>
      <c r="E1936" s="325">
        <v>3846</v>
      </c>
      <c r="F1936" s="43" t="s">
        <v>1743</v>
      </c>
      <c r="G1936" t="s">
        <v>1738</v>
      </c>
    </row>
    <row r="1937" spans="1:7">
      <c r="A1937" s="142" t="s">
        <v>396</v>
      </c>
      <c r="B1937" s="360" t="s">
        <v>397</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410</v>
      </c>
      <c r="B1951" s="43" t="s">
        <v>250</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410</v>
      </c>
      <c r="B1965" s="308" t="s">
        <v>250</v>
      </c>
      <c r="C1965" s="56">
        <v>45966</v>
      </c>
      <c r="D1965" s="156">
        <v>1034</v>
      </c>
      <c r="G1965" t="s">
        <v>1738</v>
      </c>
    </row>
    <row r="1966" spans="1:7">
      <c r="A1966" s="315" t="s">
        <v>404</v>
      </c>
      <c r="B1966" s="1065" t="s">
        <v>1443</v>
      </c>
      <c r="C1966" s="56">
        <v>45966</v>
      </c>
      <c r="D1966" s="43">
        <v>150</v>
      </c>
      <c r="G1966" t="s">
        <v>1738</v>
      </c>
    </row>
    <row r="1967" spans="1:7">
      <c r="A1967" s="251" t="s">
        <v>396</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410</v>
      </c>
      <c r="B1978" s="43" t="s">
        <v>250</v>
      </c>
      <c r="C1978" s="56">
        <v>45967</v>
      </c>
      <c r="D1978" s="43">
        <v>209</v>
      </c>
      <c r="G1978" t="s">
        <v>1738</v>
      </c>
    </row>
    <row r="1979" spans="1:7">
      <c r="A1979" s="634" t="s">
        <v>426</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250</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250</v>
      </c>
      <c r="C1998" s="56">
        <v>45971</v>
      </c>
      <c r="D1998" s="43">
        <v>96</v>
      </c>
      <c r="G1998" t="s">
        <v>1738</v>
      </c>
    </row>
    <row r="1999" spans="1:7">
      <c r="A1999" s="308" t="s">
        <v>256</v>
      </c>
      <c r="B1999" s="360" t="s">
        <v>1737</v>
      </c>
      <c r="C1999" s="56">
        <v>45971</v>
      </c>
      <c r="D1999" s="43">
        <v>562</v>
      </c>
      <c r="G1999" t="s">
        <v>1738</v>
      </c>
    </row>
    <row r="2000" spans="1:7">
      <c r="A2000" s="142" t="s">
        <v>412</v>
      </c>
      <c r="B2000" s="823" t="s">
        <v>250</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412</v>
      </c>
      <c r="B2026" s="1132" t="s">
        <v>250</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392</v>
      </c>
      <c r="B2031" s="43" t="s">
        <v>143</v>
      </c>
      <c r="C2031" s="56">
        <v>45974</v>
      </c>
      <c r="D2031" s="43">
        <v>424</v>
      </c>
      <c r="G2031" t="s">
        <v>1738</v>
      </c>
    </row>
    <row r="2032" spans="1:7">
      <c r="A2032" s="251" t="s">
        <v>356</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432</v>
      </c>
      <c r="B2049" s="308" t="s">
        <v>1663</v>
      </c>
      <c r="C2049" s="56">
        <v>45978</v>
      </c>
      <c r="D2049" s="156">
        <v>1449</v>
      </c>
      <c r="G2049" t="s">
        <v>1738</v>
      </c>
    </row>
    <row r="2050" spans="1:7">
      <c r="A2050" s="142" t="s">
        <v>353</v>
      </c>
      <c r="B2050" s="142" t="s">
        <v>143</v>
      </c>
      <c r="C2050" s="56">
        <v>45978</v>
      </c>
      <c r="D2050" s="156">
        <v>5466</v>
      </c>
      <c r="G2050" t="s">
        <v>1738</v>
      </c>
    </row>
    <row r="2051" spans="1:7">
      <c r="A2051" s="308" t="s">
        <v>489</v>
      </c>
      <c r="B2051" s="308" t="s">
        <v>143</v>
      </c>
      <c r="C2051" s="56">
        <v>45978</v>
      </c>
      <c r="D2051" s="156">
        <v>1662</v>
      </c>
      <c r="G2051" t="s">
        <v>1738</v>
      </c>
    </row>
    <row r="2052" spans="1:7">
      <c r="A2052" s="308" t="s">
        <v>356</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412</v>
      </c>
      <c r="B2062" s="674" t="s">
        <v>250</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356</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412</v>
      </c>
      <c r="B2083" s="1062" t="s">
        <v>250</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353</v>
      </c>
      <c r="B2086" s="368" t="s">
        <v>143</v>
      </c>
      <c r="C2086" s="56">
        <v>45981</v>
      </c>
      <c r="D2086" s="156">
        <v>2252</v>
      </c>
      <c r="F2086" s="69"/>
      <c r="G2086" t="s">
        <v>1738</v>
      </c>
    </row>
    <row r="2087" spans="1:7">
      <c r="A2087" s="322" t="s">
        <v>356</v>
      </c>
      <c r="B2087" s="398" t="s">
        <v>143</v>
      </c>
      <c r="C2087" s="56">
        <v>45981</v>
      </c>
      <c r="D2087" s="1152">
        <v>1027</v>
      </c>
      <c r="F2087" s="69"/>
      <c r="G2087" t="s">
        <v>1738</v>
      </c>
    </row>
    <row r="2088" spans="1:7">
      <c r="A2088" s="359" t="s">
        <v>359</v>
      </c>
      <c r="B2088" s="368" t="s">
        <v>143</v>
      </c>
      <c r="C2088" s="56">
        <v>45981</v>
      </c>
      <c r="D2088" s="156">
        <v>1420</v>
      </c>
      <c r="F2088" s="69"/>
      <c r="G2088" t="s">
        <v>1738</v>
      </c>
    </row>
    <row r="2089" spans="1:7">
      <c r="A2089" s="322" t="s">
        <v>362</v>
      </c>
      <c r="B2089" s="398" t="s">
        <v>143</v>
      </c>
      <c r="C2089" s="56">
        <v>45981</v>
      </c>
      <c r="D2089" s="156">
        <v>2376</v>
      </c>
      <c r="F2089" s="69"/>
      <c r="G2089" t="s">
        <v>1738</v>
      </c>
    </row>
    <row r="2090" spans="1:7">
      <c r="A2090" s="359" t="s">
        <v>392</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392</v>
      </c>
      <c r="B2098" s="176" t="s">
        <v>143</v>
      </c>
      <c r="C2098" s="56">
        <v>45982</v>
      </c>
      <c r="D2098" s="156">
        <v>3007</v>
      </c>
      <c r="F2098" s="69"/>
      <c r="G2098" t="s">
        <v>1738</v>
      </c>
    </row>
    <row r="2099" spans="1:7">
      <c r="A2099" s="417" t="s">
        <v>356</v>
      </c>
      <c r="B2099" s="176" t="s">
        <v>143</v>
      </c>
      <c r="C2099" s="56">
        <v>45982</v>
      </c>
      <c r="D2099" s="43">
        <v>490</v>
      </c>
      <c r="F2099" s="69"/>
      <c r="G2099" t="s">
        <v>1738</v>
      </c>
    </row>
    <row r="2100" spans="1:7">
      <c r="A2100" s="417" t="s">
        <v>359</v>
      </c>
      <c r="B2100" s="176" t="s">
        <v>143</v>
      </c>
      <c r="C2100" s="56">
        <v>45982</v>
      </c>
      <c r="D2100" s="156">
        <v>3043</v>
      </c>
      <c r="F2100" s="69"/>
      <c r="G2100" t="s">
        <v>1738</v>
      </c>
    </row>
    <row r="2101" spans="1:7">
      <c r="A2101" s="417" t="s">
        <v>362</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250</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342</v>
      </c>
      <c r="B2137" s="176" t="s">
        <v>143</v>
      </c>
      <c r="C2137" s="56">
        <v>45986</v>
      </c>
      <c r="D2137" s="43">
        <v>996</v>
      </c>
      <c r="G2137" t="s">
        <v>1738</v>
      </c>
    </row>
    <row r="2138" spans="1:7">
      <c r="A2138" s="417" t="s">
        <v>501</v>
      </c>
      <c r="B2138" s="176" t="s">
        <v>143</v>
      </c>
      <c r="C2138" s="56">
        <v>45986</v>
      </c>
      <c r="D2138" s="156">
        <v>3634</v>
      </c>
      <c r="G2138" t="s">
        <v>1738</v>
      </c>
    </row>
    <row r="2139" spans="1:7">
      <c r="A2139" s="69" t="s">
        <v>362</v>
      </c>
      <c r="B2139" s="176" t="s">
        <v>143</v>
      </c>
      <c r="C2139" s="56">
        <v>45986</v>
      </c>
      <c r="D2139" s="156">
        <v>3311</v>
      </c>
      <c r="G2139" t="s">
        <v>1738</v>
      </c>
    </row>
    <row r="2140" spans="1:7">
      <c r="A2140" s="69" t="s">
        <v>347</v>
      </c>
      <c r="B2140" s="176" t="s">
        <v>143</v>
      </c>
      <c r="C2140" s="56">
        <v>45986</v>
      </c>
      <c r="D2140" s="156">
        <v>1175</v>
      </c>
      <c r="G2140" t="s">
        <v>1738</v>
      </c>
    </row>
    <row r="2141" spans="1:7">
      <c r="A2141" s="251" t="s">
        <v>359</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412</v>
      </c>
      <c r="B2156" s="142" t="s">
        <v>250</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389</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389</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234</v>
      </c>
      <c r="C2203" s="56">
        <v>45994</v>
      </c>
      <c r="D2203" s="43">
        <v>383</v>
      </c>
      <c r="G2203" t="s">
        <v>1823</v>
      </c>
    </row>
    <row r="2204" spans="1:7">
      <c r="A2204" s="776" t="s">
        <v>142</v>
      </c>
      <c r="B2204" s="1203" t="s">
        <v>143</v>
      </c>
      <c r="C2204" s="56">
        <v>45994</v>
      </c>
      <c r="D2204" s="156">
        <v>1379</v>
      </c>
      <c r="F2204" s="43" t="s">
        <v>1838</v>
      </c>
      <c r="G2204" t="s">
        <v>1823</v>
      </c>
    </row>
    <row r="2205" spans="1:7">
      <c r="A2205" s="776" t="s">
        <v>320</v>
      </c>
      <c r="B2205" s="776" t="s">
        <v>1663</v>
      </c>
      <c r="C2205" s="56">
        <v>45994</v>
      </c>
      <c r="D2205" s="156">
        <v>1677</v>
      </c>
      <c r="G2205" t="s">
        <v>1823</v>
      </c>
    </row>
    <row r="2206" spans="1:7">
      <c r="A2206" s="1204" t="s">
        <v>494</v>
      </c>
      <c r="B2206" s="1205" t="s">
        <v>143</v>
      </c>
      <c r="C2206" s="56">
        <v>45994</v>
      </c>
      <c r="D2206" s="156">
        <v>2430</v>
      </c>
      <c r="G2206" t="s">
        <v>1823</v>
      </c>
    </row>
    <row r="2207" spans="1:7">
      <c r="A2207" s="779" t="s">
        <v>389</v>
      </c>
      <c r="B2207" s="779" t="s">
        <v>143</v>
      </c>
      <c r="C2207" s="56">
        <v>45994</v>
      </c>
      <c r="D2207" s="43">
        <v>694</v>
      </c>
      <c r="G2207" t="s">
        <v>1823</v>
      </c>
    </row>
    <row r="2208" spans="1:7">
      <c r="A2208" s="1204" t="s">
        <v>350</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G2213" t="s">
        <v>1823</v>
      </c>
    </row>
    <row r="2214" spans="1:7">
      <c r="A2214" s="319" t="s">
        <v>93</v>
      </c>
      <c r="B2214" s="319" t="s">
        <v>1755</v>
      </c>
      <c r="C2214" s="56">
        <v>45995</v>
      </c>
      <c r="G2214" t="s">
        <v>1823</v>
      </c>
    </row>
    <row r="2215" spans="1:7">
      <c r="A2215" s="310" t="s">
        <v>164</v>
      </c>
      <c r="B2215" s="310" t="s">
        <v>143</v>
      </c>
      <c r="C2215" s="56">
        <v>45995</v>
      </c>
      <c r="G2215" t="s">
        <v>1823</v>
      </c>
    </row>
    <row r="2216" spans="1:7">
      <c r="A2216" s="315" t="s">
        <v>135</v>
      </c>
      <c r="B2216" s="315" t="s">
        <v>130</v>
      </c>
      <c r="C2216" s="56">
        <v>45995</v>
      </c>
      <c r="G2216" t="s">
        <v>1823</v>
      </c>
    </row>
    <row r="2217" spans="1:7">
      <c r="A2217" s="319" t="s">
        <v>1071</v>
      </c>
      <c r="B2217" s="319" t="s">
        <v>234</v>
      </c>
      <c r="C2217" s="56">
        <v>45995</v>
      </c>
      <c r="G2217" t="s">
        <v>1823</v>
      </c>
    </row>
    <row r="2218" spans="1:7">
      <c r="A2218" s="319" t="s">
        <v>142</v>
      </c>
      <c r="B2218" s="319" t="s">
        <v>1839</v>
      </c>
      <c r="C2218" s="56">
        <v>45995</v>
      </c>
      <c r="G2218" t="s">
        <v>1823</v>
      </c>
    </row>
    <row r="2219" spans="1:7">
      <c r="A2219" s="142" t="s">
        <v>320</v>
      </c>
      <c r="B2219" s="142" t="s">
        <v>1663</v>
      </c>
      <c r="C2219" s="56">
        <v>45995</v>
      </c>
      <c r="G2219" t="s">
        <v>1823</v>
      </c>
    </row>
    <row r="2220" spans="1:7">
      <c r="A2220" s="321" t="s">
        <v>494</v>
      </c>
      <c r="B2220" s="312" t="s">
        <v>143</v>
      </c>
      <c r="C2220" s="56">
        <v>45995</v>
      </c>
      <c r="G2220" t="s">
        <v>1823</v>
      </c>
    </row>
    <row r="2221" spans="1:7">
      <c r="A2221" s="321" t="s">
        <v>389</v>
      </c>
      <c r="B2221" s="312" t="s">
        <v>143</v>
      </c>
      <c r="C2221" s="56">
        <v>45995</v>
      </c>
      <c r="G2221" t="s">
        <v>1823</v>
      </c>
    </row>
    <row r="2222" spans="1:7">
      <c r="A2222" s="142" t="s">
        <v>347</v>
      </c>
      <c r="B2222" s="310" t="s">
        <v>143</v>
      </c>
      <c r="C2222" s="56">
        <v>45995</v>
      </c>
      <c r="G2222" t="s">
        <v>1823</v>
      </c>
    </row>
    <row r="2223" spans="1:7">
      <c r="A2223" s="308" t="s">
        <v>342</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4"/>
      <c r="B1" s="1214"/>
      <c r="C1" s="1214"/>
      <c r="D1" s="1214"/>
      <c r="E1" s="1214"/>
      <c r="F1" s="1214"/>
      <c r="G1" s="1214"/>
      <c r="H1" s="1214"/>
      <c r="I1" s="1214"/>
      <c r="J1" s="1"/>
      <c r="K1" s="1"/>
      <c r="L1" s="1"/>
      <c r="M1" s="1"/>
      <c r="N1" s="1"/>
      <c r="O1" s="1"/>
      <c r="P1" s="1215" t="s">
        <v>34</v>
      </c>
      <c r="Q1" s="1215"/>
      <c r="R1" s="1215"/>
      <c r="S1" s="1215"/>
      <c r="T1" s="1215"/>
      <c r="U1" s="1215"/>
      <c r="V1" s="1215"/>
      <c r="W1" s="1215"/>
      <c r="X1" s="1215"/>
      <c r="Y1" s="1215"/>
      <c r="Z1" s="1215"/>
      <c r="AA1" s="1215"/>
      <c r="AB1" s="66"/>
    </row>
    <row r="2" spans="1:30" ht="15.75" thickBot="1">
      <c r="A2" s="2"/>
      <c r="B2" s="2"/>
      <c r="C2" s="2"/>
      <c r="D2" s="2"/>
      <c r="E2" s="2"/>
      <c r="F2" s="2"/>
      <c r="G2" s="2"/>
      <c r="H2" s="2"/>
      <c r="I2" s="2"/>
      <c r="J2" s="6"/>
      <c r="K2" s="6"/>
      <c r="L2" s="6"/>
      <c r="M2" s="6"/>
      <c r="N2" s="6"/>
      <c r="O2" s="6"/>
      <c r="P2" s="8"/>
      <c r="Q2" s="8"/>
      <c r="R2" s="3"/>
      <c r="S2" s="3"/>
      <c r="T2" s="3"/>
      <c r="U2" s="3"/>
      <c r="V2" s="3" t="s">
        <v>1840</v>
      </c>
      <c r="W2" s="3" t="s">
        <v>1841</v>
      </c>
      <c r="X2" s="3" t="s">
        <v>1841</v>
      </c>
      <c r="Y2" s="3" t="s">
        <v>1841</v>
      </c>
      <c r="Z2" s="3" t="s">
        <v>1841</v>
      </c>
      <c r="AA2" s="8" t="s">
        <v>1842</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1843</v>
      </c>
      <c r="T3" s="19" t="s">
        <v>1844</v>
      </c>
      <c r="U3" s="19" t="s">
        <v>1845</v>
      </c>
      <c r="V3" s="5" t="s">
        <v>1846</v>
      </c>
      <c r="W3" s="5" t="s">
        <v>44</v>
      </c>
      <c r="X3" s="5" t="s">
        <v>43</v>
      </c>
      <c r="Y3" s="5" t="s">
        <v>1847</v>
      </c>
      <c r="Z3" s="5" t="s">
        <v>46</v>
      </c>
      <c r="AA3" s="90" t="s">
        <v>622</v>
      </c>
      <c r="AB3" s="68" t="s">
        <v>48</v>
      </c>
    </row>
    <row r="4" spans="1:30" ht="24.75" customHeight="1" thickBot="1">
      <c r="A4" s="453" t="s">
        <v>1848</v>
      </c>
      <c r="B4" s="453" t="s">
        <v>1849</v>
      </c>
      <c r="C4" s="16">
        <v>45717</v>
      </c>
      <c r="D4" s="63" t="s">
        <v>1850</v>
      </c>
      <c r="E4" s="51">
        <v>45707</v>
      </c>
      <c r="F4" s="51" t="s">
        <v>240</v>
      </c>
      <c r="G4" s="393" t="s">
        <v>1851</v>
      </c>
      <c r="H4" s="98">
        <v>0</v>
      </c>
      <c r="I4" s="106"/>
      <c r="J4" s="76" t="s">
        <v>63</v>
      </c>
      <c r="K4" s="76" t="s">
        <v>1852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1853</v>
      </c>
    </row>
    <row r="5" spans="1:30" ht="24.75" customHeight="1" thickBot="1">
      <c r="A5" s="453" t="s">
        <v>1854</v>
      </c>
      <c r="B5" s="453" t="s">
        <v>1849</v>
      </c>
      <c r="C5" s="16">
        <v>45717</v>
      </c>
      <c r="D5" s="63" t="s">
        <v>1850</v>
      </c>
      <c r="E5" s="51">
        <v>45707</v>
      </c>
      <c r="F5" s="392" t="s">
        <v>240</v>
      </c>
      <c r="G5" s="393" t="s">
        <v>1855</v>
      </c>
      <c r="H5" s="98">
        <v>0</v>
      </c>
      <c r="I5" s="106"/>
      <c r="J5" s="76" t="s">
        <v>63</v>
      </c>
      <c r="K5" s="76" t="s">
        <v>1852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1856</v>
      </c>
      <c r="B6" s="453" t="s">
        <v>1849</v>
      </c>
      <c r="C6" s="16">
        <v>45717</v>
      </c>
      <c r="D6" s="63" t="s">
        <v>1850</v>
      </c>
      <c r="E6" s="51">
        <v>45707</v>
      </c>
      <c r="F6" s="392" t="s">
        <v>240</v>
      </c>
      <c r="G6" s="393" t="s">
        <v>1857</v>
      </c>
      <c r="H6" s="98">
        <v>0</v>
      </c>
      <c r="I6" s="106"/>
      <c r="J6" s="76" t="s">
        <v>63</v>
      </c>
      <c r="K6" s="76" t="s">
        <v>1852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1858</v>
      </c>
      <c r="B8" s="453" t="s">
        <v>1859</v>
      </c>
      <c r="C8" s="16">
        <v>45748</v>
      </c>
      <c r="D8" s="16" t="s">
        <v>1850</v>
      </c>
      <c r="E8" s="95" t="s">
        <v>52</v>
      </c>
      <c r="F8" s="96" t="s">
        <v>52</v>
      </c>
      <c r="G8" s="636" t="s">
        <v>1860</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1861</v>
      </c>
      <c r="AC8" s="448"/>
      <c r="AD8" s="70"/>
    </row>
    <row r="9" spans="1:30" ht="24.75" customHeight="1">
      <c r="A9" s="462" t="s">
        <v>1862</v>
      </c>
      <c r="B9" s="462" t="s">
        <v>1863</v>
      </c>
      <c r="C9" s="23">
        <v>45741</v>
      </c>
      <c r="D9" s="16" t="s">
        <v>1850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1864</v>
      </c>
    </row>
    <row r="10" spans="1:30" ht="24.75" customHeight="1" thickBot="1">
      <c r="A10" s="26" t="s">
        <v>1865</v>
      </c>
      <c r="B10" s="26" t="s">
        <v>1863</v>
      </c>
      <c r="C10" s="27">
        <v>45741</v>
      </c>
      <c r="D10" s="16" t="s">
        <v>1850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1866</v>
      </c>
      <c r="B11" s="36" t="s">
        <v>1863</v>
      </c>
      <c r="C11" s="37">
        <v>45747</v>
      </c>
      <c r="D11" s="16" t="s">
        <v>1850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1867</v>
      </c>
      <c r="B12" s="26" t="s">
        <v>1863</v>
      </c>
      <c r="C12" s="27">
        <v>45741</v>
      </c>
      <c r="D12" s="16" t="s">
        <v>1850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1864</v>
      </c>
    </row>
    <row r="13" spans="1:30" ht="24.75" customHeight="1" thickBot="1">
      <c r="A13" s="26" t="s">
        <v>1868</v>
      </c>
      <c r="B13" s="26" t="s">
        <v>1863</v>
      </c>
      <c r="C13" s="27">
        <v>45741</v>
      </c>
      <c r="D13" s="27" t="s">
        <v>1850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1864</v>
      </c>
    </row>
    <row r="14" spans="1:30" ht="24.75" customHeight="1" thickBot="1">
      <c r="A14" s="26" t="s">
        <v>1869</v>
      </c>
      <c r="B14" s="26" t="s">
        <v>1863</v>
      </c>
      <c r="C14" s="27">
        <v>45747</v>
      </c>
      <c r="D14" s="27" t="s">
        <v>1850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1870</v>
      </c>
      <c r="B15" s="26" t="s">
        <v>1863</v>
      </c>
      <c r="C15" s="27">
        <v>45741</v>
      </c>
      <c r="D15" s="27" t="s">
        <v>1850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1864</v>
      </c>
    </row>
    <row r="16" spans="1:30" ht="24.75" customHeight="1" thickBot="1">
      <c r="A16" s="26" t="s">
        <v>1871</v>
      </c>
      <c r="B16" s="26" t="s">
        <v>1863</v>
      </c>
      <c r="C16" s="27">
        <v>45741</v>
      </c>
      <c r="D16" s="27" t="s">
        <v>1850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1864</v>
      </c>
    </row>
    <row r="17" spans="1:30" ht="24.75" customHeight="1" thickBot="1">
      <c r="A17" s="36" t="s">
        <v>1872</v>
      </c>
      <c r="B17" s="36" t="s">
        <v>1863</v>
      </c>
      <c r="C17" s="37">
        <v>45747</v>
      </c>
      <c r="D17" s="37" t="s">
        <v>1850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1873</v>
      </c>
      <c r="B18" s="385" t="s">
        <v>1863</v>
      </c>
      <c r="C18" s="51">
        <v>45717</v>
      </c>
      <c r="D18" s="27" t="s">
        <v>1850</v>
      </c>
      <c r="E18" s="85">
        <v>45700</v>
      </c>
      <c r="F18" s="51"/>
      <c r="G18" s="51" t="s">
        <v>1874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1864</v>
      </c>
    </row>
    <row r="19" spans="1:30" ht="24.75" customHeight="1" thickBot="1">
      <c r="A19" s="50" t="s">
        <v>1875</v>
      </c>
      <c r="B19" s="26" t="s">
        <v>1863</v>
      </c>
      <c r="C19" s="51">
        <v>45747</v>
      </c>
      <c r="D19" s="27" t="s">
        <v>1850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1876</v>
      </c>
    </row>
    <row r="20" spans="1:30" ht="24.75" customHeight="1" thickBot="1">
      <c r="A20" s="385" t="s">
        <v>1877</v>
      </c>
      <c r="B20" s="385" t="s">
        <v>1863</v>
      </c>
      <c r="C20" s="386">
        <v>45717</v>
      </c>
      <c r="D20" s="27" t="s">
        <v>1850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1864</v>
      </c>
    </row>
    <row r="21" spans="1:30" ht="24.75" customHeight="1" thickBot="1">
      <c r="A21" s="385" t="s">
        <v>1878</v>
      </c>
      <c r="B21" s="113" t="s">
        <v>50</v>
      </c>
      <c r="C21" s="51">
        <v>45717</v>
      </c>
      <c r="D21" s="27" t="s">
        <v>1879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1880</v>
      </c>
      <c r="B22" s="389" t="s">
        <v>50</v>
      </c>
      <c r="C22" s="51">
        <v>45717</v>
      </c>
      <c r="D22" s="51" t="s">
        <v>1879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1882</v>
      </c>
      <c r="B24" s="389" t="s">
        <v>50</v>
      </c>
      <c r="C24" s="392">
        <v>45688</v>
      </c>
      <c r="D24" s="402" t="s">
        <v>1881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1883</v>
      </c>
      <c r="B25" s="114" t="s">
        <v>50</v>
      </c>
      <c r="C25" s="51">
        <v>45747</v>
      </c>
      <c r="D25" s="51" t="s">
        <v>1879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1884</v>
      </c>
    </row>
    <row r="26" spans="1:30" ht="24.75" customHeight="1">
      <c r="A26" s="102" t="s">
        <v>1885</v>
      </c>
      <c r="B26" s="103" t="s">
        <v>50</v>
      </c>
      <c r="C26" s="77">
        <v>45716</v>
      </c>
      <c r="D26" s="26" t="s">
        <v>1881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1886</v>
      </c>
      <c r="B27" s="103" t="s">
        <v>50</v>
      </c>
      <c r="C27" s="77">
        <v>45716</v>
      </c>
      <c r="D27" s="50" t="s">
        <v>1881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1887</v>
      </c>
      <c r="B28" s="1192" t="s">
        <v>50</v>
      </c>
      <c r="C28" s="1185">
        <v>45991</v>
      </c>
      <c r="D28" s="386" t="s">
        <v>71</v>
      </c>
      <c r="E28" s="77">
        <v>45734</v>
      </c>
      <c r="F28" s="1183" t="s">
        <v>61</v>
      </c>
      <c r="G28" s="1194" t="s">
        <v>1888</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1889</v>
      </c>
      <c r="B29" s="1192" t="s">
        <v>50</v>
      </c>
      <c r="C29" s="1185">
        <v>46021</v>
      </c>
      <c r="D29" s="386" t="s">
        <v>71</v>
      </c>
      <c r="E29" s="77">
        <v>45743</v>
      </c>
      <c r="F29" s="1183" t="s">
        <v>61</v>
      </c>
      <c r="G29" s="1193" t="s">
        <v>1890</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1891</v>
      </c>
      <c r="AC29" s="1189"/>
      <c r="AD29" s="1191"/>
    </row>
    <row r="30" spans="1:30" ht="24.75" customHeight="1">
      <c r="A30" s="385" t="s">
        <v>1892</v>
      </c>
      <c r="B30" s="688" t="s">
        <v>50</v>
      </c>
      <c r="C30" s="386">
        <v>45991</v>
      </c>
      <c r="D30" s="50" t="s">
        <v>71</v>
      </c>
      <c r="E30" s="51">
        <v>45743</v>
      </c>
      <c r="F30" s="50" t="s">
        <v>61</v>
      </c>
      <c r="G30" s="390" t="s">
        <v>1893</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1894</v>
      </c>
      <c r="AC30" s="344"/>
      <c r="AD30" s="116"/>
    </row>
    <row r="31" spans="1:30" ht="24.75" customHeight="1">
      <c r="A31" s="385" t="s">
        <v>1024</v>
      </c>
      <c r="B31" s="688" t="s">
        <v>50</v>
      </c>
      <c r="C31" s="386">
        <v>46021</v>
      </c>
      <c r="D31" s="386" t="s">
        <v>71</v>
      </c>
      <c r="E31" s="51">
        <v>45735</v>
      </c>
      <c r="F31" s="50" t="s">
        <v>61</v>
      </c>
      <c r="G31" s="689" t="s">
        <v>1895</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1896</v>
      </c>
      <c r="W31" s="34">
        <v>0</v>
      </c>
      <c r="X31" s="34">
        <v>0</v>
      </c>
      <c r="Y31" s="31">
        <v>0</v>
      </c>
      <c r="Z31" s="34">
        <v>0</v>
      </c>
      <c r="AA31" s="31">
        <v>0</v>
      </c>
      <c r="AB31" s="364" t="s">
        <v>1891</v>
      </c>
    </row>
    <row r="32" spans="1:30" ht="24.75" customHeight="1">
      <c r="A32" s="943" t="s">
        <v>1897</v>
      </c>
      <c r="B32" s="1184" t="s">
        <v>50</v>
      </c>
      <c r="C32" s="1040">
        <v>45717</v>
      </c>
      <c r="D32" s="1040" t="s">
        <v>1879</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1898</v>
      </c>
      <c r="B33" s="1048" t="s">
        <v>50</v>
      </c>
      <c r="C33" s="945">
        <v>45989</v>
      </c>
      <c r="D33" s="945" t="s">
        <v>1899</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1900</v>
      </c>
    </row>
    <row r="34" spans="1:30" ht="24.75" customHeight="1">
      <c r="A34" s="943" t="s">
        <v>1901</v>
      </c>
      <c r="B34" s="1184" t="s">
        <v>50</v>
      </c>
      <c r="C34" s="1040">
        <v>45717</v>
      </c>
      <c r="D34" s="1040" t="s">
        <v>1879</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1902</v>
      </c>
      <c r="B35" s="1184" t="s">
        <v>50</v>
      </c>
      <c r="C35" s="1040">
        <v>45717</v>
      </c>
      <c r="D35" s="1040" t="s">
        <v>1879</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1903</v>
      </c>
      <c r="B36" s="1184" t="s">
        <v>50</v>
      </c>
      <c r="C36" s="1040">
        <v>45717</v>
      </c>
      <c r="D36" s="1040" t="s">
        <v>1879</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1904</v>
      </c>
      <c r="Q1" s="160" t="s">
        <v>1905</v>
      </c>
      <c r="R1" s="128" t="s">
        <v>1906</v>
      </c>
      <c r="S1" s="128" t="s">
        <v>1907</v>
      </c>
      <c r="T1" s="160" t="s">
        <v>1908</v>
      </c>
      <c r="U1" s="128" t="s">
        <v>1148</v>
      </c>
      <c r="V1" s="161" t="s">
        <v>1909</v>
      </c>
      <c r="W1" s="161" t="s">
        <v>1910</v>
      </c>
      <c r="X1" s="164" t="s">
        <v>1911</v>
      </c>
      <c r="Y1" s="262" t="e" cm="1">
        <f t="array" ref="Y1">VLOOKUP(#REF!,#REF!, FALSE)</f>
        <v>#REF!</v>
      </c>
    </row>
    <row r="2" spans="1:25">
      <c r="A2" s="181" t="s">
        <v>521</v>
      </c>
      <c r="B2" s="183" t="s">
        <v>239</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239</v>
      </c>
      <c r="C3" s="708">
        <v>45742</v>
      </c>
      <c r="D3" s="709" t="s">
        <v>526</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1912</v>
      </c>
      <c r="B4" s="420" t="s">
        <v>239</v>
      </c>
      <c r="C4" s="421">
        <v>45742</v>
      </c>
      <c r="D4" s="715" t="s">
        <v>1913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239</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399</v>
      </c>
      <c r="O6" s="367">
        <v>45718</v>
      </c>
      <c r="P6" s="30" t="s">
        <v>399</v>
      </c>
      <c r="Q6" s="345" t="s">
        <v>399</v>
      </c>
      <c r="R6" s="43" t="s">
        <v>1914</v>
      </c>
      <c r="S6" s="43" t="s">
        <v>399</v>
      </c>
      <c r="T6" s="43" t="s">
        <v>399</v>
      </c>
      <c r="U6" s="158" t="s">
        <v>399</v>
      </c>
      <c r="V6" s="69" t="s">
        <v>87</v>
      </c>
      <c r="W6" s="79"/>
      <c r="X6" s="69" t="s">
        <v>87</v>
      </c>
      <c r="Y6" t="e">
        <f>VLOOKUP(A6,#REF!,2,FALSE)</f>
        <v>#REF!</v>
      </c>
    </row>
    <row r="7" spans="1:25">
      <c r="A7" s="396" t="s">
        <v>975</v>
      </c>
      <c r="B7" s="705" t="s">
        <v>239</v>
      </c>
      <c r="C7" s="397">
        <v>45742</v>
      </c>
      <c r="D7" s="424" t="s">
        <v>534</v>
      </c>
      <c r="E7" s="538"/>
      <c r="F7" s="539"/>
      <c r="G7" s="539"/>
      <c r="H7" s="182">
        <v>60</v>
      </c>
      <c r="I7" s="184"/>
      <c r="J7" s="188" t="s">
        <v>57</v>
      </c>
      <c r="K7" s="188" t="s">
        <v>57</v>
      </c>
      <c r="L7" s="188" t="s">
        <v>63</v>
      </c>
      <c r="M7" s="196">
        <v>45716</v>
      </c>
      <c r="N7" s="30" t="s">
        <v>399</v>
      </c>
      <c r="O7" s="79" t="s">
        <v>399</v>
      </c>
      <c r="P7" s="30" t="s">
        <v>399</v>
      </c>
      <c r="Q7" s="345" t="s">
        <v>399</v>
      </c>
      <c r="R7" s="43" t="s">
        <v>1914</v>
      </c>
      <c r="S7" s="43" t="s">
        <v>399</v>
      </c>
      <c r="T7" s="43" t="s">
        <v>399</v>
      </c>
      <c r="U7" s="43" t="s">
        <v>399</v>
      </c>
      <c r="V7" s="69" t="s">
        <v>87</v>
      </c>
      <c r="W7" s="30"/>
      <c r="X7" s="69" t="s">
        <v>87</v>
      </c>
      <c r="Y7" t="e">
        <f>VLOOKUP(A7,#REF!,2,FALSE)</f>
        <v>#REF!</v>
      </c>
    </row>
    <row r="8" spans="1:25">
      <c r="A8" s="178" t="s">
        <v>530</v>
      </c>
      <c r="B8" s="183" t="s">
        <v>239</v>
      </c>
      <c r="C8" s="179">
        <v>45742</v>
      </c>
      <c r="D8" s="188" t="s">
        <v>1915</v>
      </c>
      <c r="E8" s="121"/>
      <c r="F8" s="109"/>
      <c r="G8" s="109"/>
      <c r="H8" s="182">
        <v>84</v>
      </c>
      <c r="I8" s="184"/>
      <c r="J8" s="188" t="s">
        <v>57</v>
      </c>
      <c r="K8" s="188" t="s">
        <v>57</v>
      </c>
      <c r="L8" s="188" t="s">
        <v>63</v>
      </c>
      <c r="M8" s="196">
        <v>45716</v>
      </c>
      <c r="N8" s="30" t="s">
        <v>399</v>
      </c>
      <c r="O8" s="30" t="s">
        <v>399</v>
      </c>
      <c r="P8" s="730" t="s">
        <v>399</v>
      </c>
      <c r="Q8" s="69" t="s">
        <v>399</v>
      </c>
      <c r="R8" s="43" t="s">
        <v>1914</v>
      </c>
      <c r="S8" s="43" t="s">
        <v>399</v>
      </c>
      <c r="T8" s="43" t="s">
        <v>399</v>
      </c>
      <c r="U8" s="43" t="s">
        <v>399</v>
      </c>
      <c r="V8" s="69" t="s">
        <v>87</v>
      </c>
      <c r="W8" s="30"/>
      <c r="X8" s="69" t="s">
        <v>87</v>
      </c>
      <c r="Y8" t="e">
        <f>VLOOKUP(A8,#REF!,2,FALSE)</f>
        <v>#REF!</v>
      </c>
    </row>
    <row r="9" spans="1:25">
      <c r="A9" s="178" t="s">
        <v>977</v>
      </c>
      <c r="B9" s="183" t="s">
        <v>239</v>
      </c>
      <c r="C9" s="179">
        <v>45742</v>
      </c>
      <c r="D9" s="535" t="s">
        <v>531</v>
      </c>
      <c r="E9" s="194"/>
      <c r="F9" s="139"/>
      <c r="G9" s="139"/>
      <c r="H9" s="188">
        <v>79</v>
      </c>
      <c r="I9" s="184"/>
      <c r="J9" s="188" t="s">
        <v>57</v>
      </c>
      <c r="K9" s="188" t="s">
        <v>57</v>
      </c>
      <c r="L9" s="188" t="s">
        <v>63</v>
      </c>
      <c r="M9" s="196">
        <v>45716</v>
      </c>
      <c r="N9" s="120" t="s">
        <v>399</v>
      </c>
      <c r="O9" s="54">
        <v>45718</v>
      </c>
      <c r="P9" s="120" t="s">
        <v>399</v>
      </c>
      <c r="Q9" s="69" t="s">
        <v>399</v>
      </c>
      <c r="R9" s="43" t="s">
        <v>1914</v>
      </c>
      <c r="S9" s="43" t="s">
        <v>399</v>
      </c>
      <c r="T9" s="43" t="s">
        <v>399</v>
      </c>
      <c r="U9" s="43" t="s">
        <v>399</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399</v>
      </c>
      <c r="O10" s="30" t="s">
        <v>399</v>
      </c>
      <c r="P10" s="30" t="s">
        <v>399</v>
      </c>
      <c r="Q10" s="43" t="s">
        <v>399</v>
      </c>
      <c r="R10" s="43" t="s">
        <v>1914</v>
      </c>
      <c r="S10" s="43" t="s">
        <v>399</v>
      </c>
      <c r="T10" s="43" t="s">
        <v>399</v>
      </c>
      <c r="U10" s="162" t="s">
        <v>399</v>
      </c>
      <c r="V10" s="345" t="s">
        <v>87</v>
      </c>
      <c r="W10" s="30"/>
      <c r="X10" s="69" t="s">
        <v>87</v>
      </c>
      <c r="Y10" t="e">
        <f>VLOOKUP(A10,#REF!,2,FALSE)</f>
        <v>#REF!</v>
      </c>
    </row>
    <row r="11" spans="1:25">
      <c r="A11" s="184" t="s">
        <v>532</v>
      </c>
      <c r="B11" s="435" t="s">
        <v>239</v>
      </c>
      <c r="C11" s="179">
        <v>45991</v>
      </c>
      <c r="D11" s="550" t="s">
        <v>534</v>
      </c>
      <c r="E11" s="121">
        <v>31</v>
      </c>
      <c r="F11" s="109"/>
      <c r="G11" s="109"/>
      <c r="H11" s="188">
        <v>31</v>
      </c>
      <c r="I11" s="184"/>
      <c r="J11" s="188" t="s">
        <v>57</v>
      </c>
      <c r="K11" s="188" t="s">
        <v>57</v>
      </c>
      <c r="L11" s="188" t="s">
        <v>63</v>
      </c>
      <c r="M11" s="198">
        <v>45716</v>
      </c>
      <c r="N11" s="30" t="s">
        <v>64</v>
      </c>
      <c r="O11" s="54">
        <v>45716</v>
      </c>
      <c r="P11" s="87" t="s">
        <v>399</v>
      </c>
      <c r="Q11" s="69" t="s">
        <v>399</v>
      </c>
      <c r="R11" s="43" t="s">
        <v>1914</v>
      </c>
      <c r="S11" s="43" t="s">
        <v>399</v>
      </c>
      <c r="T11" s="43" t="s">
        <v>399</v>
      </c>
      <c r="U11" s="345" t="s">
        <v>87</v>
      </c>
      <c r="V11" s="69" t="s">
        <v>87</v>
      </c>
      <c r="W11" s="30"/>
      <c r="X11" s="43"/>
    </row>
    <row r="12" spans="1:25">
      <c r="A12" s="178" t="s">
        <v>418</v>
      </c>
      <c r="B12" s="183" t="s">
        <v>239</v>
      </c>
      <c r="C12" s="179">
        <v>45772</v>
      </c>
      <c r="D12" s="202" t="s">
        <v>534</v>
      </c>
      <c r="E12" s="194"/>
      <c r="F12" s="139"/>
      <c r="G12" s="139"/>
      <c r="H12" s="188">
        <v>31</v>
      </c>
      <c r="I12" s="184"/>
      <c r="J12" s="188" t="s">
        <v>57</v>
      </c>
      <c r="K12" s="188" t="s">
        <v>57</v>
      </c>
      <c r="L12" s="188" t="s">
        <v>63</v>
      </c>
      <c r="M12" s="196">
        <v>45716</v>
      </c>
      <c r="N12" s="30" t="s">
        <v>64</v>
      </c>
      <c r="O12" s="54">
        <v>45716</v>
      </c>
      <c r="P12" s="87" t="s">
        <v>399</v>
      </c>
      <c r="Q12" s="69" t="s">
        <v>399</v>
      </c>
      <c r="R12" s="43" t="s">
        <v>1914</v>
      </c>
      <c r="S12" s="43" t="s">
        <v>399</v>
      </c>
      <c r="T12" s="43" t="s">
        <v>399</v>
      </c>
      <c r="U12" s="69" t="s">
        <v>87</v>
      </c>
      <c r="V12" s="69" t="s">
        <v>87</v>
      </c>
      <c r="W12" s="30"/>
      <c r="X12" s="69" t="s">
        <v>87</v>
      </c>
      <c r="Y12" t="e">
        <f>VLOOKUP(A12,#REF!,2,FALSE)</f>
        <v>#REF!</v>
      </c>
    </row>
    <row r="13" spans="1:25">
      <c r="A13" s="181" t="s">
        <v>300</v>
      </c>
      <c r="B13" s="183" t="s">
        <v>239</v>
      </c>
      <c r="C13" s="422">
        <v>45960</v>
      </c>
      <c r="D13" s="431" t="s">
        <v>1916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239</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1917</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1918</v>
      </c>
      <c r="N16" s="30" t="s">
        <v>399</v>
      </c>
      <c r="O16" s="54" t="s">
        <v>1918</v>
      </c>
      <c r="P16" s="30" t="s">
        <v>399</v>
      </c>
      <c r="Q16" s="69" t="s">
        <v>399</v>
      </c>
      <c r="R16" s="43" t="s">
        <v>399</v>
      </c>
      <c r="S16" s="43" t="s">
        <v>56</v>
      </c>
      <c r="T16" s="43" t="s">
        <v>399</v>
      </c>
      <c r="U16" s="69" t="s">
        <v>87</v>
      </c>
      <c r="V16" s="69" t="s">
        <v>87</v>
      </c>
      <c r="W16" s="30"/>
      <c r="X16" s="69" t="s">
        <v>87</v>
      </c>
      <c r="Y16" t="e">
        <f>VLOOKUP(A16,#REF!,2,FALSE)</f>
        <v>#REF!</v>
      </c>
    </row>
    <row r="17" spans="1:25">
      <c r="A17" s="181" t="s">
        <v>535</v>
      </c>
      <c r="B17" s="183" t="s">
        <v>239</v>
      </c>
      <c r="C17" s="180">
        <v>45991</v>
      </c>
      <c r="D17" s="733" t="s">
        <v>536</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537</v>
      </c>
      <c r="B18" s="183" t="s">
        <v>239</v>
      </c>
      <c r="C18" s="422">
        <v>45991</v>
      </c>
      <c r="D18" s="423" t="s">
        <v>538</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1917</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1917</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1917</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1917</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1917</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1917</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1917</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399</v>
      </c>
      <c r="O31" s="54">
        <v>45707</v>
      </c>
      <c r="P31" s="87" t="s">
        <v>399</v>
      </c>
      <c r="Q31" s="43" t="s">
        <v>399</v>
      </c>
      <c r="R31" s="43" t="s">
        <v>1914</v>
      </c>
      <c r="S31" s="43" t="s">
        <v>399</v>
      </c>
      <c r="T31" s="140" t="s">
        <v>399</v>
      </c>
      <c r="U31" s="116" t="s">
        <v>399</v>
      </c>
      <c r="V31" s="69" t="s">
        <v>399</v>
      </c>
      <c r="W31" s="54">
        <v>45779</v>
      </c>
      <c r="X31" s="69" t="s">
        <v>1917</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399</v>
      </c>
      <c r="O32" s="54">
        <v>45756</v>
      </c>
      <c r="P32" s="30" t="s">
        <v>399</v>
      </c>
      <c r="Q32" s="69" t="s">
        <v>399</v>
      </c>
      <c r="R32" s="69" t="s">
        <v>1914</v>
      </c>
      <c r="S32" s="43" t="s">
        <v>399</v>
      </c>
      <c r="T32" s="140" t="s">
        <v>399</v>
      </c>
      <c r="U32" s="43" t="s">
        <v>399</v>
      </c>
      <c r="V32" s="69" t="s">
        <v>399</v>
      </c>
      <c r="W32" s="54">
        <v>45792</v>
      </c>
      <c r="X32" s="69" t="s">
        <v>1917</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399</v>
      </c>
      <c r="O33" s="125">
        <v>45749</v>
      </c>
      <c r="P33" s="30" t="s">
        <v>399</v>
      </c>
      <c r="Q33" s="69" t="s">
        <v>399</v>
      </c>
      <c r="R33" s="69" t="s">
        <v>1914</v>
      </c>
      <c r="S33" s="43" t="s">
        <v>399</v>
      </c>
      <c r="T33" s="140" t="s">
        <v>399</v>
      </c>
      <c r="U33" s="43" t="s">
        <v>399</v>
      </c>
      <c r="V33" s="345" t="s">
        <v>399</v>
      </c>
      <c r="W33" s="54">
        <v>45812</v>
      </c>
      <c r="X33" s="69" t="s">
        <v>1917</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399</v>
      </c>
      <c r="O34" s="125">
        <v>45750</v>
      </c>
      <c r="P34" s="30" t="s">
        <v>399</v>
      </c>
      <c r="Q34" s="69" t="s">
        <v>399</v>
      </c>
      <c r="R34" s="69" t="s">
        <v>1914</v>
      </c>
      <c r="S34" s="43" t="s">
        <v>399</v>
      </c>
      <c r="T34" s="140" t="s">
        <v>399</v>
      </c>
      <c r="U34" s="43" t="s">
        <v>399</v>
      </c>
      <c r="V34" s="417" t="s">
        <v>399</v>
      </c>
      <c r="W34" s="168">
        <v>45797</v>
      </c>
      <c r="X34" s="69" t="s">
        <v>1917</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399</v>
      </c>
      <c r="O35" s="125">
        <v>45659</v>
      </c>
      <c r="P35" s="87" t="s">
        <v>399</v>
      </c>
      <c r="Q35" s="43" t="s">
        <v>399</v>
      </c>
      <c r="R35" s="43" t="s">
        <v>1914</v>
      </c>
      <c r="S35" s="43" t="s">
        <v>399</v>
      </c>
      <c r="T35" s="140" t="s">
        <v>399</v>
      </c>
      <c r="U35" s="171" t="s">
        <v>399</v>
      </c>
      <c r="V35" s="69" t="s">
        <v>399</v>
      </c>
      <c r="W35" s="54">
        <v>45789</v>
      </c>
      <c r="X35" s="345" t="s">
        <v>1917</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399</v>
      </c>
      <c r="O36" s="125">
        <v>45659</v>
      </c>
      <c r="P36" s="87" t="s">
        <v>399</v>
      </c>
      <c r="Q36" s="43" t="s">
        <v>399</v>
      </c>
      <c r="R36" s="43" t="s">
        <v>1914</v>
      </c>
      <c r="S36" s="43" t="s">
        <v>399</v>
      </c>
      <c r="T36" s="140" t="s">
        <v>399</v>
      </c>
      <c r="U36" s="43" t="s">
        <v>399</v>
      </c>
      <c r="V36" s="69" t="s">
        <v>399</v>
      </c>
      <c r="W36" s="54">
        <v>45824</v>
      </c>
      <c r="X36" s="345" t="s">
        <v>1917</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399</v>
      </c>
      <c r="N37" s="30" t="s">
        <v>399</v>
      </c>
      <c r="O37" s="125">
        <v>45672</v>
      </c>
      <c r="P37" s="30" t="s">
        <v>399</v>
      </c>
      <c r="Q37" s="43" t="s">
        <v>399</v>
      </c>
      <c r="R37" s="43" t="s">
        <v>1914</v>
      </c>
      <c r="S37" s="43" t="s">
        <v>399</v>
      </c>
      <c r="T37" s="43" t="s">
        <v>399</v>
      </c>
      <c r="U37" s="171" t="s">
        <v>399</v>
      </c>
      <c r="V37" s="69" t="s">
        <v>399</v>
      </c>
      <c r="W37" s="157">
        <v>45789</v>
      </c>
      <c r="X37" s="69" t="s">
        <v>1917</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399</v>
      </c>
      <c r="O38" s="125">
        <v>45673</v>
      </c>
      <c r="P38" s="30" t="s">
        <v>399</v>
      </c>
      <c r="Q38" s="43" t="s">
        <v>399</v>
      </c>
      <c r="R38" s="43" t="s">
        <v>1914</v>
      </c>
      <c r="S38" s="43" t="s">
        <v>399</v>
      </c>
      <c r="T38" s="43" t="s">
        <v>399</v>
      </c>
      <c r="U38" s="171" t="s">
        <v>399</v>
      </c>
      <c r="V38" s="69" t="s">
        <v>399</v>
      </c>
      <c r="W38" s="54">
        <v>45789</v>
      </c>
      <c r="X38" s="69" t="s">
        <v>1917</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399</v>
      </c>
      <c r="N39" s="30" t="s">
        <v>399</v>
      </c>
      <c r="O39" s="125">
        <v>45672</v>
      </c>
      <c r="P39" s="30" t="s">
        <v>399</v>
      </c>
      <c r="Q39" s="43" t="s">
        <v>399</v>
      </c>
      <c r="R39" s="43" t="s">
        <v>1914</v>
      </c>
      <c r="S39" s="43" t="s">
        <v>399</v>
      </c>
      <c r="T39" s="43" t="s">
        <v>399</v>
      </c>
      <c r="U39" s="171" t="s">
        <v>399</v>
      </c>
      <c r="V39" s="69" t="s">
        <v>399</v>
      </c>
      <c r="W39" s="54">
        <v>45789</v>
      </c>
      <c r="X39" s="69" t="s">
        <v>1917</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1917</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1917</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1917</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1917</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1917</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1917</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1917</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1917</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1917</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1917</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1917</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1917</v>
      </c>
    </row>
    <row r="54" spans="1:56">
      <c r="A54" s="181" t="s">
        <v>884</v>
      </c>
      <c r="B54" s="545" t="s">
        <v>110</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399</v>
      </c>
      <c r="O57" s="125">
        <v>45783</v>
      </c>
      <c r="P57" s="332" t="s">
        <v>399</v>
      </c>
      <c r="Q57" s="43" t="s">
        <v>399</v>
      </c>
      <c r="R57" s="43" t="s">
        <v>1914</v>
      </c>
      <c r="S57" s="43" t="s">
        <v>399</v>
      </c>
      <c r="T57" s="43" t="s">
        <v>399</v>
      </c>
      <c r="U57" s="43" t="s">
        <v>399</v>
      </c>
      <c r="V57" s="69" t="s">
        <v>399</v>
      </c>
      <c r="W57" s="54">
        <v>45813</v>
      </c>
      <c r="X57" s="69" t="s">
        <v>1917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399</v>
      </c>
      <c r="O58" s="54">
        <v>45776</v>
      </c>
      <c r="P58" s="332" t="s">
        <v>399</v>
      </c>
      <c r="Q58" s="43" t="s">
        <v>399</v>
      </c>
      <c r="R58" s="43" t="s">
        <v>1914</v>
      </c>
      <c r="S58" s="43" t="s">
        <v>399</v>
      </c>
      <c r="T58" s="43" t="s">
        <v>399</v>
      </c>
      <c r="U58" s="43" t="s">
        <v>399</v>
      </c>
      <c r="V58" s="345" t="s">
        <v>399</v>
      </c>
      <c r="W58" s="54">
        <v>45796</v>
      </c>
      <c r="X58" s="69" t="s">
        <v>1917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399</v>
      </c>
      <c r="O59" s="30" t="s">
        <v>1896</v>
      </c>
      <c r="P59" s="332" t="s">
        <v>399</v>
      </c>
      <c r="Q59" s="43" t="s">
        <v>399</v>
      </c>
      <c r="R59" s="43" t="s">
        <v>1914</v>
      </c>
      <c r="S59" s="43" t="s">
        <v>399</v>
      </c>
      <c r="T59" s="43" t="s">
        <v>399</v>
      </c>
      <c r="U59" s="43" t="s">
        <v>399</v>
      </c>
      <c r="V59" s="345" t="s">
        <v>399</v>
      </c>
      <c r="W59" s="54">
        <v>45796</v>
      </c>
      <c r="X59" s="69" t="s">
        <v>1917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399</v>
      </c>
      <c r="O60" s="54">
        <v>45812</v>
      </c>
      <c r="P60" s="332" t="s">
        <v>399</v>
      </c>
      <c r="Q60" s="43" t="s">
        <v>399</v>
      </c>
      <c r="R60" s="43" t="s">
        <v>1914</v>
      </c>
      <c r="S60" s="43" t="s">
        <v>399</v>
      </c>
      <c r="T60" s="43" t="s">
        <v>399</v>
      </c>
      <c r="U60" s="43" t="s">
        <v>399</v>
      </c>
      <c r="V60" s="345" t="s">
        <v>399</v>
      </c>
      <c r="W60" s="54">
        <v>45824</v>
      </c>
      <c r="X60" s="69" t="s">
        <v>1917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1917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1917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1917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1917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1917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1917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1917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1919</v>
      </c>
      <c r="B81" s="545" t="s">
        <v>110</v>
      </c>
      <c r="C81" s="179">
        <v>45688</v>
      </c>
      <c r="D81" s="635" t="s">
        <v>700</v>
      </c>
      <c r="E81" s="175"/>
      <c r="F81" s="130"/>
      <c r="G81" s="130"/>
      <c r="H81" s="182">
        <v>48</v>
      </c>
      <c r="I81" s="184"/>
      <c r="J81" s="182" t="s">
        <v>57</v>
      </c>
      <c r="K81" s="182" t="s">
        <v>57</v>
      </c>
      <c r="L81" s="182" t="s">
        <v>56</v>
      </c>
      <c r="M81" s="101" t="s">
        <v>399</v>
      </c>
      <c r="N81" s="87" t="s">
        <v>399</v>
      </c>
      <c r="O81" s="125">
        <v>45678</v>
      </c>
      <c r="P81" s="87" t="s">
        <v>399</v>
      </c>
      <c r="Q81" s="43" t="s">
        <v>399</v>
      </c>
      <c r="R81" s="43" t="s">
        <v>1914</v>
      </c>
      <c r="S81" s="43" t="s">
        <v>399</v>
      </c>
      <c r="T81" s="43" t="s">
        <v>399</v>
      </c>
      <c r="U81" s="116" t="s">
        <v>399</v>
      </c>
      <c r="V81" s="69" t="s">
        <v>399</v>
      </c>
      <c r="W81" s="54">
        <v>45789</v>
      </c>
      <c r="X81" s="69" t="s">
        <v>1917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1914</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399</v>
      </c>
      <c r="O84" s="54">
        <v>45728</v>
      </c>
      <c r="P84" s="30" t="s">
        <v>399</v>
      </c>
      <c r="Q84" s="171" t="s">
        <v>399</v>
      </c>
      <c r="R84" s="171" t="s">
        <v>1914</v>
      </c>
      <c r="S84" s="171" t="s">
        <v>399</v>
      </c>
      <c r="T84" s="171" t="s">
        <v>399</v>
      </c>
      <c r="U84" s="92" t="s">
        <v>399</v>
      </c>
      <c r="V84" s="69" t="s">
        <v>399</v>
      </c>
      <c r="W84" s="198">
        <v>45875</v>
      </c>
      <c r="X84" s="69" t="s">
        <v>1917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399</v>
      </c>
      <c r="O85" s="54">
        <v>45719</v>
      </c>
      <c r="P85" s="30" t="s">
        <v>399</v>
      </c>
      <c r="Q85" s="43" t="s">
        <v>399</v>
      </c>
      <c r="R85" s="171" t="s">
        <v>1914</v>
      </c>
      <c r="S85" s="171" t="s">
        <v>399</v>
      </c>
      <c r="T85" s="171" t="s">
        <v>399</v>
      </c>
      <c r="U85" s="92" t="s">
        <v>399</v>
      </c>
      <c r="V85" s="92" t="s">
        <v>399</v>
      </c>
      <c r="W85" s="198">
        <v>45874</v>
      </c>
      <c r="X85" s="69" t="s">
        <v>1917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399</v>
      </c>
      <c r="O86" s="198">
        <v>45728</v>
      </c>
      <c r="P86" s="30" t="s">
        <v>399</v>
      </c>
      <c r="Q86" s="43" t="s">
        <v>399</v>
      </c>
      <c r="R86" s="43" t="s">
        <v>1914</v>
      </c>
      <c r="S86" s="43" t="s">
        <v>399</v>
      </c>
      <c r="T86" s="43" t="s">
        <v>399</v>
      </c>
      <c r="U86" s="69" t="s">
        <v>399</v>
      </c>
      <c r="V86" s="69" t="s">
        <v>399</v>
      </c>
      <c r="W86" s="54">
        <v>45824</v>
      </c>
      <c r="X86" s="69" t="s">
        <v>1917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399</v>
      </c>
      <c r="O87" s="30" t="s">
        <v>399</v>
      </c>
      <c r="P87" s="30" t="s">
        <v>399</v>
      </c>
      <c r="Q87" s="43" t="s">
        <v>399</v>
      </c>
      <c r="R87" s="43" t="s">
        <v>1914</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399</v>
      </c>
      <c r="O88" s="54">
        <v>45728</v>
      </c>
      <c r="P88" s="30" t="s">
        <v>399</v>
      </c>
      <c r="Q88" s="43" t="s">
        <v>399</v>
      </c>
      <c r="R88" s="43" t="s">
        <v>1914</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399</v>
      </c>
      <c r="O89" s="54">
        <v>45722</v>
      </c>
      <c r="P89" s="30" t="s">
        <v>399</v>
      </c>
      <c r="Q89" s="69" t="s">
        <v>399</v>
      </c>
      <c r="R89" s="43" t="s">
        <v>1914</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399</v>
      </c>
      <c r="O90" s="54">
        <v>45727</v>
      </c>
      <c r="P90" s="30" t="s">
        <v>399</v>
      </c>
      <c r="Q90" s="69" t="s">
        <v>399</v>
      </c>
      <c r="R90" s="43" t="s">
        <v>1914</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399</v>
      </c>
      <c r="O91" s="54">
        <v>45723</v>
      </c>
      <c r="P91" s="30" t="s">
        <v>399</v>
      </c>
      <c r="Q91" s="69" t="s">
        <v>399</v>
      </c>
      <c r="R91" s="43" t="s">
        <v>1914</v>
      </c>
      <c r="S91" s="69" t="s">
        <v>399</v>
      </c>
      <c r="T91" s="69" t="s">
        <v>399</v>
      </c>
      <c r="U91" s="69" t="s">
        <v>399</v>
      </c>
      <c r="V91" s="69" t="s">
        <v>399</v>
      </c>
      <c r="W91" s="54">
        <v>45831</v>
      </c>
      <c r="X91" s="69" t="s">
        <v>1917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399</v>
      </c>
      <c r="O92" s="54">
        <v>45726</v>
      </c>
      <c r="P92" s="30" t="s">
        <v>399</v>
      </c>
      <c r="Q92" s="149" t="s">
        <v>399</v>
      </c>
      <c r="R92" s="43" t="s">
        <v>1914</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399</v>
      </c>
      <c r="O93" s="54">
        <v>45727</v>
      </c>
      <c r="P93" s="79" t="s">
        <v>399</v>
      </c>
      <c r="Q93" s="43" t="s">
        <v>399</v>
      </c>
      <c r="R93" s="43" t="s">
        <v>1914</v>
      </c>
      <c r="S93" s="43" t="s">
        <v>399</v>
      </c>
      <c r="T93" s="43" t="s">
        <v>399</v>
      </c>
      <c r="U93" s="345" t="s">
        <v>399</v>
      </c>
      <c r="V93" s="69" t="s">
        <v>399</v>
      </c>
      <c r="W93" s="54">
        <v>45789</v>
      </c>
      <c r="X93" s="69" t="s">
        <v>1917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399</v>
      </c>
      <c r="O94" s="54">
        <v>45693</v>
      </c>
      <c r="P94" s="79" t="s">
        <v>399</v>
      </c>
      <c r="Q94" s="69" t="s">
        <v>399</v>
      </c>
      <c r="R94" s="69" t="s">
        <v>1914</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399</v>
      </c>
      <c r="O95" s="198">
        <v>45694</v>
      </c>
      <c r="P95" s="79" t="s">
        <v>399</v>
      </c>
      <c r="Q95" s="69" t="s">
        <v>399</v>
      </c>
      <c r="R95" s="69" t="s">
        <v>1914</v>
      </c>
      <c r="S95" s="69" t="s">
        <v>399</v>
      </c>
      <c r="T95" s="43" t="s">
        <v>399</v>
      </c>
      <c r="U95" s="69" t="s">
        <v>399</v>
      </c>
      <c r="V95" s="69" t="s">
        <v>399</v>
      </c>
      <c r="W95" s="54">
        <v>45814</v>
      </c>
      <c r="X95" s="69" t="s">
        <v>1917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399</v>
      </c>
      <c r="O96" s="54">
        <v>45694</v>
      </c>
      <c r="P96" s="30" t="s">
        <v>399</v>
      </c>
      <c r="Q96" s="69" t="s">
        <v>399</v>
      </c>
      <c r="R96" s="92" t="s">
        <v>1914</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399</v>
      </c>
      <c r="O97" s="54">
        <v>45688</v>
      </c>
      <c r="P97" s="30" t="s">
        <v>399</v>
      </c>
      <c r="Q97" s="69" t="s">
        <v>399</v>
      </c>
      <c r="R97" s="69" t="s">
        <v>1914</v>
      </c>
      <c r="S97" s="69" t="s">
        <v>399</v>
      </c>
      <c r="T97" s="69" t="s">
        <v>399</v>
      </c>
      <c r="U97" s="69" t="s">
        <v>399</v>
      </c>
      <c r="V97" s="43" t="s">
        <v>399</v>
      </c>
      <c r="W97" s="54">
        <v>45824</v>
      </c>
      <c r="X97" s="69" t="s">
        <v>1917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399</v>
      </c>
      <c r="O98" s="54">
        <v>45692</v>
      </c>
      <c r="P98" s="30" t="s">
        <v>399</v>
      </c>
      <c r="Q98" s="43" t="s">
        <v>399</v>
      </c>
      <c r="R98" s="43" t="s">
        <v>1914</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399</v>
      </c>
      <c r="O99" s="54">
        <v>45692</v>
      </c>
      <c r="P99" s="30" t="s">
        <v>399</v>
      </c>
      <c r="Q99" s="43" t="s">
        <v>399</v>
      </c>
      <c r="R99" s="43" t="s">
        <v>1914</v>
      </c>
      <c r="S99" s="43" t="s">
        <v>399</v>
      </c>
      <c r="T99" s="116" t="s">
        <v>399</v>
      </c>
      <c r="U99" s="149" t="s">
        <v>399</v>
      </c>
      <c r="V99" s="69" t="s">
        <v>399</v>
      </c>
      <c r="W99" s="54">
        <v>45814</v>
      </c>
      <c r="X99" s="69" t="s">
        <v>1917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399</v>
      </c>
      <c r="O100" s="168">
        <v>45691</v>
      </c>
      <c r="P100" s="30" t="s">
        <v>399</v>
      </c>
      <c r="Q100" s="43" t="s">
        <v>399</v>
      </c>
      <c r="R100" s="43" t="s">
        <v>1914</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399</v>
      </c>
      <c r="O101" s="54">
        <v>45695</v>
      </c>
      <c r="P101" s="30" t="s">
        <v>399</v>
      </c>
      <c r="Q101" s="43" t="s">
        <v>399</v>
      </c>
      <c r="R101" s="43" t="s">
        <v>1914</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399</v>
      </c>
      <c r="N102" s="30" t="s">
        <v>399</v>
      </c>
      <c r="O102" s="54">
        <v>45699</v>
      </c>
      <c r="P102" s="87" t="s">
        <v>399</v>
      </c>
      <c r="Q102" s="88" t="s">
        <v>399</v>
      </c>
      <c r="R102" s="43" t="s">
        <v>1914</v>
      </c>
      <c r="S102" s="43" t="s">
        <v>399</v>
      </c>
      <c r="T102" s="43" t="s">
        <v>399</v>
      </c>
      <c r="U102" s="43" t="s">
        <v>399</v>
      </c>
      <c r="V102" s="166" t="s">
        <v>399</v>
      </c>
      <c r="W102" s="54">
        <v>45835</v>
      </c>
      <c r="X102" s="69" t="s">
        <v>1917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399</v>
      </c>
      <c r="O103" s="54">
        <v>45675</v>
      </c>
      <c r="P103" s="87" t="s">
        <v>399</v>
      </c>
      <c r="Q103" s="43" t="s">
        <v>399</v>
      </c>
      <c r="R103" s="43" t="s">
        <v>1914</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1914</v>
      </c>
      <c r="S104" s="43" t="s">
        <v>399</v>
      </c>
      <c r="T104" s="43" t="s">
        <v>399</v>
      </c>
      <c r="U104" s="43" t="s">
        <v>399</v>
      </c>
      <c r="V104" s="140" t="s">
        <v>399</v>
      </c>
      <c r="W104" s="54">
        <v>45820</v>
      </c>
      <c r="X104" s="69" t="s">
        <v>1917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399</v>
      </c>
      <c r="O105" s="54">
        <v>45743</v>
      </c>
      <c r="P105" s="87" t="s">
        <v>399</v>
      </c>
      <c r="Q105" s="158" t="s">
        <v>399</v>
      </c>
      <c r="R105" s="69" t="s">
        <v>1914</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399</v>
      </c>
      <c r="O106" s="54">
        <v>45679</v>
      </c>
      <c r="P106" s="87" t="s">
        <v>399</v>
      </c>
      <c r="Q106" s="43" t="s">
        <v>399</v>
      </c>
      <c r="R106" s="43" t="s">
        <v>1914</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399</v>
      </c>
      <c r="O107" s="54">
        <v>45749</v>
      </c>
      <c r="P107" s="30" t="s">
        <v>399</v>
      </c>
      <c r="Q107" s="43" t="s">
        <v>399</v>
      </c>
      <c r="R107" s="43" t="s">
        <v>1914</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399</v>
      </c>
      <c r="O108" s="54">
        <v>45749</v>
      </c>
      <c r="P108" s="30" t="s">
        <v>399</v>
      </c>
      <c r="Q108" s="43" t="s">
        <v>399</v>
      </c>
      <c r="R108" s="345" t="s">
        <v>1914</v>
      </c>
      <c r="S108" s="43" t="s">
        <v>399</v>
      </c>
      <c r="T108" s="43" t="s">
        <v>399</v>
      </c>
      <c r="U108" s="88" t="s">
        <v>399</v>
      </c>
      <c r="V108" s="494" t="s">
        <v>399</v>
      </c>
      <c r="W108" s="367">
        <v>45798</v>
      </c>
      <c r="X108" s="69" t="s">
        <v>1917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399</v>
      </c>
      <c r="O109" s="54">
        <v>45744</v>
      </c>
      <c r="P109" s="79" t="s">
        <v>399</v>
      </c>
      <c r="Q109" s="43" t="s">
        <v>399</v>
      </c>
      <c r="R109" s="345" t="s">
        <v>1914</v>
      </c>
      <c r="S109" s="43" t="s">
        <v>399</v>
      </c>
      <c r="T109" s="43" t="s">
        <v>399</v>
      </c>
      <c r="U109" s="43" t="s">
        <v>1920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399</v>
      </c>
      <c r="O110" s="54">
        <v>45691</v>
      </c>
      <c r="P110" s="79" t="s">
        <v>399</v>
      </c>
      <c r="Q110" s="43" t="s">
        <v>399</v>
      </c>
      <c r="R110" s="345" t="s">
        <v>1914</v>
      </c>
      <c r="S110" s="43" t="s">
        <v>399</v>
      </c>
      <c r="T110" s="43" t="s">
        <v>399</v>
      </c>
      <c r="U110" s="88" t="s">
        <v>399</v>
      </c>
      <c r="V110" s="494" t="s">
        <v>399</v>
      </c>
      <c r="W110" s="367">
        <v>45902</v>
      </c>
      <c r="X110" s="69" t="s">
        <v>1917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399</v>
      </c>
      <c r="O111" s="54">
        <v>45708</v>
      </c>
      <c r="P111" s="30" t="s">
        <v>399</v>
      </c>
      <c r="Q111" s="171" t="s">
        <v>399</v>
      </c>
      <c r="R111" s="69" t="s">
        <v>1914</v>
      </c>
      <c r="S111" s="43" t="s">
        <v>399</v>
      </c>
      <c r="T111" s="43" t="s">
        <v>399</v>
      </c>
      <c r="U111" s="43" t="s">
        <v>399</v>
      </c>
      <c r="V111" s="204" t="s">
        <v>399</v>
      </c>
      <c r="W111" s="168">
        <v>45790</v>
      </c>
      <c r="X111" s="69" t="s">
        <v>1917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399</v>
      </c>
      <c r="O112" s="168">
        <v>45744</v>
      </c>
      <c r="P112" s="115" t="s">
        <v>399</v>
      </c>
      <c r="Q112" s="116" t="s">
        <v>399</v>
      </c>
      <c r="R112" s="149" t="s">
        <v>1914</v>
      </c>
      <c r="S112" s="43" t="s">
        <v>399</v>
      </c>
      <c r="T112" s="43" t="s">
        <v>399</v>
      </c>
      <c r="U112" s="43" t="s">
        <v>399</v>
      </c>
      <c r="V112" s="204" t="s">
        <v>399</v>
      </c>
      <c r="W112" s="492">
        <v>45791</v>
      </c>
      <c r="X112" s="69" t="s">
        <v>1917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399</v>
      </c>
      <c r="O113" s="168">
        <v>45755</v>
      </c>
      <c r="P113" s="115" t="s">
        <v>399</v>
      </c>
      <c r="Q113" s="116" t="s">
        <v>399</v>
      </c>
      <c r="R113" s="149" t="s">
        <v>1914</v>
      </c>
      <c r="S113" s="116" t="s">
        <v>399</v>
      </c>
      <c r="T113" s="43" t="s">
        <v>399</v>
      </c>
      <c r="U113" s="43" t="s">
        <v>399</v>
      </c>
      <c r="V113" s="204" t="s">
        <v>399</v>
      </c>
      <c r="W113" s="492">
        <v>45791</v>
      </c>
      <c r="X113" s="149" t="s">
        <v>1917</v>
      </c>
    </row>
    <row r="114" spans="1:25">
      <c r="A114" s="181" t="s">
        <v>752</v>
      </c>
      <c r="B114" s="185" t="s">
        <v>50</v>
      </c>
      <c r="C114" s="318">
        <v>45772</v>
      </c>
      <c r="D114" s="423" t="s">
        <v>753</v>
      </c>
      <c r="H114" s="188">
        <v>75</v>
      </c>
      <c r="I114" s="184"/>
      <c r="J114" s="182" t="s">
        <v>57</v>
      </c>
      <c r="K114" s="433" t="s">
        <v>57</v>
      </c>
      <c r="L114" s="182" t="s">
        <v>63</v>
      </c>
      <c r="M114" s="196">
        <v>45741</v>
      </c>
      <c r="N114" s="115" t="s">
        <v>399</v>
      </c>
      <c r="O114" s="54">
        <v>45747</v>
      </c>
      <c r="P114" s="115" t="s">
        <v>399</v>
      </c>
      <c r="Q114" s="116" t="s">
        <v>399</v>
      </c>
      <c r="R114" s="149" t="s">
        <v>1914</v>
      </c>
      <c r="S114" s="116" t="s">
        <v>399</v>
      </c>
      <c r="T114" s="43" t="s">
        <v>399</v>
      </c>
      <c r="U114" s="158" t="s">
        <v>399</v>
      </c>
      <c r="V114" s="204" t="s">
        <v>399</v>
      </c>
      <c r="W114" s="54">
        <v>45798</v>
      </c>
      <c r="X114" s="69" t="s">
        <v>1917</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399</v>
      </c>
      <c r="O115" s="125">
        <v>45757</v>
      </c>
      <c r="P115" s="30" t="s">
        <v>399</v>
      </c>
      <c r="Q115" s="43" t="s">
        <v>399</v>
      </c>
      <c r="R115" s="69" t="s">
        <v>1914</v>
      </c>
      <c r="S115" s="43" t="s">
        <v>399</v>
      </c>
      <c r="T115" s="43" t="s">
        <v>399</v>
      </c>
      <c r="U115" s="43" t="s">
        <v>399</v>
      </c>
      <c r="V115" s="88" t="s">
        <v>399</v>
      </c>
      <c r="W115" s="54">
        <v>45814</v>
      </c>
      <c r="X115" s="69" t="s">
        <v>1917</v>
      </c>
    </row>
    <row r="116" spans="1:25">
      <c r="A116" s="181" t="s">
        <v>756</v>
      </c>
      <c r="B116" s="185" t="s">
        <v>50</v>
      </c>
      <c r="C116" s="318">
        <v>45772</v>
      </c>
      <c r="D116" s="735" t="s">
        <v>758</v>
      </c>
      <c r="H116" s="182">
        <v>50</v>
      </c>
      <c r="I116" s="184"/>
      <c r="J116" s="182" t="s">
        <v>57</v>
      </c>
      <c r="K116" s="433" t="s">
        <v>57</v>
      </c>
      <c r="L116" s="182" t="s">
        <v>63</v>
      </c>
      <c r="M116" s="196">
        <v>45757</v>
      </c>
      <c r="N116" s="30" t="s">
        <v>399</v>
      </c>
      <c r="O116" s="125">
        <v>45757</v>
      </c>
      <c r="P116" s="30" t="s">
        <v>399</v>
      </c>
      <c r="Q116" s="43" t="s">
        <v>399</v>
      </c>
      <c r="R116" s="69" t="s">
        <v>1914</v>
      </c>
      <c r="S116" s="43" t="s">
        <v>399</v>
      </c>
      <c r="T116" s="43" t="s">
        <v>399</v>
      </c>
      <c r="U116" s="43" t="s">
        <v>399</v>
      </c>
      <c r="V116" s="494" t="s">
        <v>399</v>
      </c>
      <c r="W116" s="54">
        <v>45807</v>
      </c>
      <c r="X116" s="69" t="s">
        <v>1917</v>
      </c>
    </row>
    <row r="117" spans="1:25">
      <c r="A117" s="181" t="s">
        <v>760</v>
      </c>
      <c r="B117" s="185" t="s">
        <v>50</v>
      </c>
      <c r="C117" s="318">
        <v>45772</v>
      </c>
      <c r="D117" s="534" t="s">
        <v>761</v>
      </c>
      <c r="H117" s="182">
        <v>76</v>
      </c>
      <c r="I117" s="184"/>
      <c r="J117" s="182" t="s">
        <v>57</v>
      </c>
      <c r="K117" s="433" t="s">
        <v>57</v>
      </c>
      <c r="L117" s="182" t="s">
        <v>63</v>
      </c>
      <c r="M117" s="196">
        <v>45757</v>
      </c>
      <c r="N117" s="87" t="s">
        <v>399</v>
      </c>
      <c r="O117" s="125">
        <v>45757</v>
      </c>
      <c r="P117" s="30" t="s">
        <v>399</v>
      </c>
      <c r="Q117" s="43" t="s">
        <v>399</v>
      </c>
      <c r="R117" s="69" t="s">
        <v>1914</v>
      </c>
      <c r="S117" s="43" t="s">
        <v>399</v>
      </c>
      <c r="T117" s="43" t="s">
        <v>399</v>
      </c>
      <c r="U117" s="43" t="s">
        <v>399</v>
      </c>
      <c r="V117" s="88" t="s">
        <v>399</v>
      </c>
      <c r="W117" s="54">
        <v>45811</v>
      </c>
      <c r="X117" s="69" t="s">
        <v>1917</v>
      </c>
    </row>
    <row r="118" spans="1:25">
      <c r="A118" s="181" t="s">
        <v>762</v>
      </c>
      <c r="B118" s="185" t="s">
        <v>50</v>
      </c>
      <c r="C118" s="318">
        <v>45772</v>
      </c>
      <c r="D118" s="182" t="s">
        <v>764</v>
      </c>
      <c r="H118" s="188">
        <v>88</v>
      </c>
      <c r="I118" s="184"/>
      <c r="J118" s="182" t="s">
        <v>57</v>
      </c>
      <c r="K118" s="433" t="s">
        <v>57</v>
      </c>
      <c r="L118" s="182" t="s">
        <v>63</v>
      </c>
      <c r="M118" s="196">
        <v>45757</v>
      </c>
      <c r="N118" s="87" t="s">
        <v>399</v>
      </c>
      <c r="O118" s="125">
        <v>45757</v>
      </c>
      <c r="P118" s="87" t="s">
        <v>399</v>
      </c>
      <c r="Q118" s="43" t="s">
        <v>399</v>
      </c>
      <c r="R118" s="43" t="s">
        <v>1914</v>
      </c>
      <c r="S118" s="43" t="s">
        <v>399</v>
      </c>
      <c r="T118" s="43" t="s">
        <v>399</v>
      </c>
      <c r="U118" s="158" t="s">
        <v>399</v>
      </c>
      <c r="V118" s="88" t="s">
        <v>399</v>
      </c>
      <c r="W118" s="54">
        <v>45810</v>
      </c>
      <c r="X118" s="69" t="s">
        <v>1917</v>
      </c>
    </row>
    <row r="119" spans="1:25">
      <c r="A119" s="181" t="s">
        <v>766</v>
      </c>
      <c r="B119" s="185" t="s">
        <v>50</v>
      </c>
      <c r="C119" s="318">
        <v>45772</v>
      </c>
      <c r="D119" s="182" t="s">
        <v>767</v>
      </c>
      <c r="H119" s="188">
        <v>86</v>
      </c>
      <c r="I119" s="184"/>
      <c r="J119" s="182" t="s">
        <v>57</v>
      </c>
      <c r="K119" s="433" t="s">
        <v>57</v>
      </c>
      <c r="L119" s="182" t="s">
        <v>63</v>
      </c>
      <c r="M119" s="198">
        <v>45756</v>
      </c>
      <c r="N119" s="30" t="s">
        <v>399</v>
      </c>
      <c r="O119" s="125">
        <v>45757</v>
      </c>
      <c r="P119" s="30" t="s">
        <v>399</v>
      </c>
      <c r="Q119" s="69" t="s">
        <v>399</v>
      </c>
      <c r="R119" s="69" t="s">
        <v>1914</v>
      </c>
      <c r="S119" s="43" t="s">
        <v>399</v>
      </c>
      <c r="T119" s="43" t="s">
        <v>399</v>
      </c>
      <c r="U119" s="158" t="s">
        <v>399</v>
      </c>
      <c r="V119" s="88" t="s">
        <v>399</v>
      </c>
      <c r="W119" s="54">
        <v>45813</v>
      </c>
      <c r="X119" s="69" t="s">
        <v>1917</v>
      </c>
    </row>
    <row r="120" spans="1:25">
      <c r="A120" s="181" t="s">
        <v>768</v>
      </c>
      <c r="B120" s="185" t="s">
        <v>50</v>
      </c>
      <c r="C120" s="318">
        <v>45772</v>
      </c>
      <c r="D120" s="535" t="s">
        <v>769</v>
      </c>
      <c r="H120" s="188">
        <v>84</v>
      </c>
      <c r="I120" s="184"/>
      <c r="J120" s="182" t="s">
        <v>57</v>
      </c>
      <c r="K120" s="433" t="s">
        <v>57</v>
      </c>
      <c r="L120" s="182" t="s">
        <v>63</v>
      </c>
      <c r="M120" s="198">
        <v>45741</v>
      </c>
      <c r="N120" s="30" t="s">
        <v>399</v>
      </c>
      <c r="O120" s="54">
        <v>45748</v>
      </c>
      <c r="P120" s="30" t="s">
        <v>399</v>
      </c>
      <c r="Q120" s="43" t="s">
        <v>399</v>
      </c>
      <c r="R120" s="69" t="s">
        <v>1914</v>
      </c>
      <c r="S120" s="43" t="s">
        <v>399</v>
      </c>
      <c r="T120" s="43" t="s">
        <v>399</v>
      </c>
      <c r="U120" s="43" t="s">
        <v>399</v>
      </c>
      <c r="V120" s="88" t="s">
        <v>399</v>
      </c>
      <c r="W120" s="54">
        <v>45811</v>
      </c>
      <c r="X120" s="69" t="s">
        <v>1917</v>
      </c>
    </row>
    <row r="121" spans="1:25">
      <c r="A121" s="377" t="s">
        <v>826</v>
      </c>
      <c r="B121" s="707" t="s">
        <v>50</v>
      </c>
      <c r="C121" s="708">
        <v>45772</v>
      </c>
      <c r="D121" s="374" t="s">
        <v>827</v>
      </c>
      <c r="H121" s="352">
        <v>87</v>
      </c>
      <c r="I121" s="350"/>
      <c r="J121" s="374" t="s">
        <v>57</v>
      </c>
      <c r="K121" s="728" t="s">
        <v>57</v>
      </c>
      <c r="L121" s="182" t="s">
        <v>63</v>
      </c>
      <c r="M121" s="196">
        <v>45757</v>
      </c>
      <c r="N121" s="30" t="s">
        <v>399</v>
      </c>
      <c r="O121" s="125">
        <v>45757</v>
      </c>
      <c r="P121" s="30" t="s">
        <v>399</v>
      </c>
      <c r="Q121" s="69" t="s">
        <v>399</v>
      </c>
      <c r="R121" s="69" t="s">
        <v>1914</v>
      </c>
      <c r="S121" s="43" t="s">
        <v>399</v>
      </c>
      <c r="T121" s="43" t="s">
        <v>399</v>
      </c>
      <c r="U121" s="43" t="s">
        <v>399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399</v>
      </c>
      <c r="O122" s="54">
        <v>45747</v>
      </c>
      <c r="P122" s="30" t="s">
        <v>399</v>
      </c>
      <c r="Q122" s="69" t="s">
        <v>399</v>
      </c>
      <c r="R122" s="69" t="s">
        <v>1914</v>
      </c>
      <c r="S122" s="43" t="s">
        <v>399</v>
      </c>
      <c r="T122" s="43" t="s">
        <v>399</v>
      </c>
      <c r="U122" s="158" t="s">
        <v>399</v>
      </c>
      <c r="V122" s="158" t="s">
        <v>399</v>
      </c>
      <c r="W122" s="54">
        <v>45789</v>
      </c>
      <c r="X122" s="69" t="s">
        <v>1917</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399</v>
      </c>
      <c r="O123" s="54">
        <v>45744</v>
      </c>
      <c r="P123" s="30" t="s">
        <v>399</v>
      </c>
      <c r="Q123" s="43" t="s">
        <v>399</v>
      </c>
      <c r="R123" s="69" t="s">
        <v>1914</v>
      </c>
      <c r="S123" s="43" t="s">
        <v>399</v>
      </c>
      <c r="T123" s="43" t="s">
        <v>399</v>
      </c>
      <c r="U123" s="43" t="s">
        <v>399</v>
      </c>
      <c r="V123" s="69" t="s">
        <v>399</v>
      </c>
      <c r="W123" s="54">
        <v>45811</v>
      </c>
      <c r="X123" s="69" t="s">
        <v>1917</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399</v>
      </c>
      <c r="O124" s="54">
        <v>45744</v>
      </c>
      <c r="P124" s="30" t="s">
        <v>399</v>
      </c>
      <c r="Q124" s="43" t="s">
        <v>399</v>
      </c>
      <c r="R124" s="69" t="s">
        <v>1914</v>
      </c>
      <c r="S124" s="43" t="s">
        <v>399</v>
      </c>
      <c r="T124" s="43" t="s">
        <v>399</v>
      </c>
      <c r="U124" s="43" t="s">
        <v>1920</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399</v>
      </c>
      <c r="N125" s="30" t="s">
        <v>399</v>
      </c>
      <c r="O125" s="54">
        <v>45679</v>
      </c>
      <c r="P125" s="30" t="s">
        <v>399</v>
      </c>
      <c r="Q125" s="69" t="s">
        <v>399</v>
      </c>
      <c r="R125" s="43" t="s">
        <v>1914</v>
      </c>
      <c r="S125" s="43" t="s">
        <v>399</v>
      </c>
      <c r="T125" s="43" t="s">
        <v>399</v>
      </c>
      <c r="U125" s="43" t="s">
        <v>399</v>
      </c>
      <c r="V125" s="43" t="s">
        <v>399</v>
      </c>
      <c r="W125" s="54">
        <v>45814</v>
      </c>
      <c r="X125" s="69" t="s">
        <v>1917</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399</v>
      </c>
      <c r="N126" s="30" t="s">
        <v>399</v>
      </c>
      <c r="O126" s="54">
        <v>45720</v>
      </c>
      <c r="P126" s="30" t="s">
        <v>399</v>
      </c>
      <c r="Q126" s="69" t="s">
        <v>399</v>
      </c>
      <c r="R126" s="43" t="s">
        <v>1914</v>
      </c>
      <c r="S126" s="43" t="s">
        <v>399</v>
      </c>
      <c r="T126" s="43" t="s">
        <v>399</v>
      </c>
      <c r="U126" s="43" t="s">
        <v>399</v>
      </c>
      <c r="V126" s="88" t="s">
        <v>399</v>
      </c>
      <c r="W126" s="54">
        <v>45819</v>
      </c>
      <c r="X126" s="69" t="s">
        <v>1917</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399</v>
      </c>
      <c r="O127" s="54">
        <v>45679</v>
      </c>
      <c r="P127" s="30" t="s">
        <v>399</v>
      </c>
      <c r="Q127" s="43" t="s">
        <v>399</v>
      </c>
      <c r="R127" s="43" t="s">
        <v>1914</v>
      </c>
      <c r="S127" s="43" t="s">
        <v>399</v>
      </c>
      <c r="T127" s="43" t="s">
        <v>399</v>
      </c>
      <c r="U127" s="43" t="s">
        <v>399</v>
      </c>
      <c r="V127" s="88" t="s">
        <v>399</v>
      </c>
      <c r="W127" s="54">
        <v>45812</v>
      </c>
      <c r="X127" s="69" t="s">
        <v>1917</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399</v>
      </c>
      <c r="O128" s="358">
        <v>45694</v>
      </c>
      <c r="P128" s="87" t="s">
        <v>399</v>
      </c>
      <c r="Q128" s="43" t="s">
        <v>399</v>
      </c>
      <c r="R128" s="43" t="s">
        <v>1914</v>
      </c>
      <c r="S128" s="43" t="s">
        <v>399</v>
      </c>
      <c r="T128" s="43" t="s">
        <v>399</v>
      </c>
      <c r="U128" s="43" t="s">
        <v>399</v>
      </c>
      <c r="V128" s="88" t="s">
        <v>399</v>
      </c>
      <c r="W128" s="168">
        <v>45883</v>
      </c>
      <c r="X128" s="69" t="s">
        <v>1917</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1914</v>
      </c>
      <c r="S129" s="43" t="s">
        <v>399</v>
      </c>
      <c r="T129" s="116" t="s">
        <v>399</v>
      </c>
      <c r="U129" s="116" t="s">
        <v>399</v>
      </c>
      <c r="V129" s="88" t="s">
        <v>399</v>
      </c>
      <c r="W129" s="168">
        <v>45814</v>
      </c>
      <c r="X129" s="69" t="s">
        <v>1917</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399</v>
      </c>
      <c r="O130" s="54">
        <v>45698</v>
      </c>
      <c r="P130" s="30" t="s">
        <v>399</v>
      </c>
      <c r="Q130" s="69" t="s">
        <v>399</v>
      </c>
      <c r="R130" s="43" t="s">
        <v>1914</v>
      </c>
      <c r="S130" s="43" t="s">
        <v>399</v>
      </c>
      <c r="T130" s="43" t="s">
        <v>399</v>
      </c>
      <c r="U130" s="43" t="s">
        <v>399</v>
      </c>
      <c r="V130" s="88" t="s">
        <v>399</v>
      </c>
      <c r="W130" s="54">
        <v>45798</v>
      </c>
      <c r="X130" s="69" t="s">
        <v>1917</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399</v>
      </c>
      <c r="N131" s="49" t="s">
        <v>399</v>
      </c>
      <c r="O131" s="30" t="s">
        <v>399</v>
      </c>
      <c r="P131" s="30" t="s">
        <v>399</v>
      </c>
      <c r="Q131" s="43" t="s">
        <v>399</v>
      </c>
      <c r="R131" s="43" t="s">
        <v>1914</v>
      </c>
      <c r="S131" s="43" t="s">
        <v>399</v>
      </c>
      <c r="T131" s="158" t="s">
        <v>399</v>
      </c>
      <c r="U131" s="158" t="s">
        <v>399</v>
      </c>
      <c r="V131" s="88" t="s">
        <v>399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399</v>
      </c>
      <c r="O132" s="54">
        <v>45691</v>
      </c>
      <c r="P132" s="87" t="s">
        <v>399</v>
      </c>
      <c r="Q132" s="43" t="s">
        <v>399</v>
      </c>
      <c r="R132" s="43" t="s">
        <v>1914</v>
      </c>
      <c r="S132" s="43" t="s">
        <v>399</v>
      </c>
      <c r="T132" s="43" t="s">
        <v>399</v>
      </c>
      <c r="U132" s="43" t="s">
        <v>399</v>
      </c>
      <c r="V132" s="43" t="s">
        <v>399</v>
      </c>
      <c r="W132" s="54">
        <v>45820</v>
      </c>
      <c r="X132" s="69" t="s">
        <v>1917</v>
      </c>
      <c r="Y132" t="e">
        <f>VLOOKUP(A132,#REF!,2,FALSE)</f>
        <v>#REF!</v>
      </c>
    </row>
    <row r="133" spans="1:25" ht="15" customHeight="1">
      <c r="A133" s="369" t="s">
        <v>787</v>
      </c>
      <c r="B133" s="419" t="s">
        <v>50</v>
      </c>
      <c r="C133" s="378">
        <v>45742</v>
      </c>
      <c r="D133" s="432" t="s">
        <v>1921</v>
      </c>
      <c r="E133" s="372"/>
      <c r="F133" s="372"/>
      <c r="G133" s="372"/>
      <c r="H133" s="372">
        <v>38</v>
      </c>
      <c r="I133" s="371"/>
      <c r="J133" s="372" t="s">
        <v>57</v>
      </c>
      <c r="K133" s="372" t="s">
        <v>57</v>
      </c>
      <c r="L133" s="372" t="s">
        <v>63</v>
      </c>
      <c r="M133" s="49" t="s">
        <v>399</v>
      </c>
      <c r="N133" s="49" t="s">
        <v>399</v>
      </c>
      <c r="O133" s="54">
        <v>45701</v>
      </c>
      <c r="P133" s="30" t="s">
        <v>399</v>
      </c>
      <c r="Q133" s="69" t="s">
        <v>399</v>
      </c>
      <c r="R133" s="43" t="s">
        <v>1914</v>
      </c>
      <c r="S133" s="43" t="s">
        <v>399</v>
      </c>
      <c r="T133" s="43" t="s">
        <v>399</v>
      </c>
      <c r="U133" s="43" t="s">
        <v>399</v>
      </c>
      <c r="V133" s="69" t="s">
        <v>399</v>
      </c>
      <c r="W133" s="54">
        <v>45821</v>
      </c>
      <c r="X133" s="69" t="s">
        <v>1917</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399</v>
      </c>
      <c r="O134" s="54">
        <v>45709</v>
      </c>
      <c r="P134" s="30" t="s">
        <v>399</v>
      </c>
      <c r="Q134" s="43" t="s">
        <v>399</v>
      </c>
      <c r="R134" s="43" t="s">
        <v>1914</v>
      </c>
      <c r="S134" s="43" t="s">
        <v>399</v>
      </c>
      <c r="T134" s="43" t="s">
        <v>399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399</v>
      </c>
      <c r="N135" s="49" t="s">
        <v>399</v>
      </c>
      <c r="O135" s="198">
        <v>45720</v>
      </c>
      <c r="P135" s="49" t="s">
        <v>399</v>
      </c>
      <c r="Q135" s="69" t="s">
        <v>399</v>
      </c>
      <c r="R135" s="43" t="s">
        <v>1914</v>
      </c>
      <c r="S135" s="43" t="s">
        <v>399</v>
      </c>
      <c r="T135" s="43" t="s">
        <v>399</v>
      </c>
      <c r="U135" s="158" t="s">
        <v>399</v>
      </c>
      <c r="V135" s="43" t="s">
        <v>399</v>
      </c>
      <c r="W135" s="54">
        <v>45819</v>
      </c>
      <c r="X135" s="69" t="s">
        <v>1917</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399</v>
      </c>
      <c r="O136" s="54">
        <v>45691</v>
      </c>
      <c r="P136" s="30" t="s">
        <v>399</v>
      </c>
      <c r="Q136" s="43" t="s">
        <v>399</v>
      </c>
      <c r="R136" s="43" t="s">
        <v>1914</v>
      </c>
      <c r="S136" s="43" t="s">
        <v>399</v>
      </c>
      <c r="T136" s="43" t="s">
        <v>399</v>
      </c>
      <c r="U136" s="43" t="s">
        <v>399</v>
      </c>
      <c r="V136" s="43" t="s">
        <v>399</v>
      </c>
      <c r="W136" s="54">
        <v>45791</v>
      </c>
      <c r="X136" s="69" t="s">
        <v>1917</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399</v>
      </c>
      <c r="O137" s="30" t="s">
        <v>399</v>
      </c>
      <c r="P137" s="49" t="s">
        <v>399</v>
      </c>
      <c r="Q137" s="69" t="s">
        <v>399</v>
      </c>
      <c r="R137" s="43" t="s">
        <v>1914</v>
      </c>
      <c r="S137" s="43" t="s">
        <v>399</v>
      </c>
      <c r="T137" s="43" t="s">
        <v>399</v>
      </c>
      <c r="U137" s="158" t="s">
        <v>399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399</v>
      </c>
      <c r="O138" s="125">
        <v>45707</v>
      </c>
      <c r="P138" s="30" t="s">
        <v>399</v>
      </c>
      <c r="Q138" s="43" t="s">
        <v>399</v>
      </c>
      <c r="R138" s="43" t="s">
        <v>1914</v>
      </c>
      <c r="S138" s="43" t="s">
        <v>399</v>
      </c>
      <c r="T138" s="43" t="s">
        <v>399</v>
      </c>
      <c r="U138" s="43" t="s">
        <v>399</v>
      </c>
      <c r="V138" s="43" t="s">
        <v>399</v>
      </c>
      <c r="W138" s="54">
        <v>45790</v>
      </c>
      <c r="X138" s="69" t="s">
        <v>1917</v>
      </c>
      <c r="Y138" t="e">
        <f>VLOOKUP(A138,#REF!,2,FALSE)</f>
        <v>#REF!</v>
      </c>
    </row>
    <row r="139" spans="1:25" ht="15" customHeight="1">
      <c r="A139" s="369" t="s">
        <v>1922</v>
      </c>
      <c r="B139" s="185" t="s">
        <v>50</v>
      </c>
      <c r="C139" s="421">
        <v>45742</v>
      </c>
      <c r="D139" s="372" t="s">
        <v>1923</v>
      </c>
      <c r="E139" s="537"/>
      <c r="F139" s="372"/>
      <c r="G139" s="372"/>
      <c r="H139" s="372">
        <v>87</v>
      </c>
      <c r="I139" s="371"/>
      <c r="J139" s="372" t="s">
        <v>57</v>
      </c>
      <c r="K139" s="372" t="s">
        <v>57</v>
      </c>
      <c r="L139" s="372" t="s">
        <v>63</v>
      </c>
      <c r="M139" s="49" t="s">
        <v>399</v>
      </c>
      <c r="N139" s="30" t="s">
        <v>399</v>
      </c>
      <c r="O139" s="30" t="s">
        <v>399</v>
      </c>
      <c r="P139" s="30" t="s">
        <v>399</v>
      </c>
      <c r="Q139" s="43" t="s">
        <v>399</v>
      </c>
      <c r="R139" s="43" t="s">
        <v>1914</v>
      </c>
      <c r="S139" s="43" t="s">
        <v>399</v>
      </c>
      <c r="T139" s="43" t="s">
        <v>399</v>
      </c>
      <c r="U139" s="158" t="s">
        <v>399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399</v>
      </c>
      <c r="O140" s="54">
        <v>45743</v>
      </c>
      <c r="P140" s="87" t="s">
        <v>399</v>
      </c>
      <c r="Q140" s="88" t="s">
        <v>399</v>
      </c>
      <c r="R140" s="43" t="s">
        <v>1914</v>
      </c>
      <c r="S140" s="43" t="s">
        <v>399</v>
      </c>
      <c r="T140" s="43" t="s">
        <v>399</v>
      </c>
      <c r="U140" s="88" t="s">
        <v>399</v>
      </c>
      <c r="V140" s="69" t="s">
        <v>399</v>
      </c>
      <c r="W140" s="54">
        <v>45819</v>
      </c>
      <c r="X140" s="69" t="s">
        <v>1917</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399</v>
      </c>
      <c r="O141" s="198">
        <v>45743</v>
      </c>
      <c r="P141" s="87" t="s">
        <v>399</v>
      </c>
      <c r="Q141" s="88" t="s">
        <v>399</v>
      </c>
      <c r="R141" s="43" t="s">
        <v>1914</v>
      </c>
      <c r="S141" s="43" t="s">
        <v>399</v>
      </c>
      <c r="T141" s="43" t="s">
        <v>399</v>
      </c>
      <c r="U141" s="88" t="s">
        <v>399</v>
      </c>
      <c r="V141" s="88" t="s">
        <v>399</v>
      </c>
      <c r="W141" s="54">
        <v>45811</v>
      </c>
      <c r="X141" s="69" t="s">
        <v>1917</v>
      </c>
      <c r="Y141" t="e">
        <f>VLOOKUP(A141,#REF!,2,FALSE)</f>
        <v>#REF!</v>
      </c>
    </row>
    <row r="142" spans="1:25" ht="15" customHeight="1">
      <c r="A142" s="369" t="s">
        <v>1924</v>
      </c>
      <c r="B142" s="419" t="s">
        <v>50</v>
      </c>
      <c r="C142" s="421">
        <v>45742</v>
      </c>
      <c r="D142" s="372" t="s">
        <v>1925</v>
      </c>
      <c r="E142" s="537"/>
      <c r="F142" s="372"/>
      <c r="G142" s="372"/>
      <c r="H142" s="372">
        <v>87</v>
      </c>
      <c r="I142" s="371"/>
      <c r="J142" s="372" t="s">
        <v>57</v>
      </c>
      <c r="K142" s="372" t="s">
        <v>57</v>
      </c>
      <c r="L142" s="372" t="s">
        <v>63</v>
      </c>
      <c r="M142" s="49" t="s">
        <v>399</v>
      </c>
      <c r="N142" s="49" t="s">
        <v>399</v>
      </c>
      <c r="O142" s="198">
        <v>45691</v>
      </c>
      <c r="P142" s="30" t="s">
        <v>399</v>
      </c>
      <c r="Q142" s="69" t="s">
        <v>399</v>
      </c>
      <c r="R142" s="43" t="s">
        <v>1914</v>
      </c>
      <c r="S142" s="43" t="s">
        <v>399</v>
      </c>
      <c r="T142" s="43" t="s">
        <v>399</v>
      </c>
      <c r="U142" s="158" t="s">
        <v>399</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399</v>
      </c>
      <c r="N143" s="49" t="s">
        <v>399</v>
      </c>
      <c r="O143" s="198">
        <v>45675</v>
      </c>
      <c r="P143" s="30" t="s">
        <v>399</v>
      </c>
      <c r="Q143" s="69" t="s">
        <v>399</v>
      </c>
      <c r="R143" s="43" t="s">
        <v>1914</v>
      </c>
      <c r="S143" s="43" t="s">
        <v>399</v>
      </c>
      <c r="T143" s="43" t="s">
        <v>399</v>
      </c>
      <c r="U143" s="158" t="s">
        <v>399</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1917</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1887</v>
      </c>
      <c r="B146" s="419" t="s">
        <v>50</v>
      </c>
      <c r="C146" s="370">
        <v>45991</v>
      </c>
      <c r="D146" s="431" t="s">
        <v>1888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1926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1914</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1914</v>
      </c>
      <c r="S150" s="43" t="s">
        <v>399</v>
      </c>
      <c r="T150" s="43" t="s">
        <v>399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1914</v>
      </c>
      <c r="S151" s="43" t="s">
        <v>399</v>
      </c>
      <c r="T151" s="43" t="s">
        <v>399</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399</v>
      </c>
      <c r="O153" s="198">
        <v>45696</v>
      </c>
      <c r="P153" s="30" t="s">
        <v>399</v>
      </c>
      <c r="Q153" s="69" t="s">
        <v>399</v>
      </c>
      <c r="R153" s="43" t="s">
        <v>1914</v>
      </c>
      <c r="S153" s="43" t="s">
        <v>399</v>
      </c>
      <c r="T153" s="158" t="s">
        <v>399</v>
      </c>
      <c r="U153" s="158" t="s">
        <v>399</v>
      </c>
      <c r="V153" s="43" t="s">
        <v>399</v>
      </c>
      <c r="W153" s="54">
        <v>45807</v>
      </c>
      <c r="X153" s="69" t="s">
        <v>1917</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399</v>
      </c>
      <c r="O154" s="358">
        <v>45696</v>
      </c>
      <c r="P154" s="30" t="s">
        <v>399</v>
      </c>
      <c r="Q154" s="69" t="s">
        <v>399</v>
      </c>
      <c r="R154" s="43" t="s">
        <v>1914</v>
      </c>
      <c r="S154" s="43" t="s">
        <v>399</v>
      </c>
      <c r="T154" s="158" t="s">
        <v>399</v>
      </c>
      <c r="U154" s="158" t="s">
        <v>399</v>
      </c>
      <c r="V154" s="43" t="s">
        <v>399</v>
      </c>
      <c r="W154" s="168">
        <v>45792</v>
      </c>
      <c r="X154" s="149" t="s">
        <v>1917</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399</v>
      </c>
      <c r="O155" s="54">
        <v>45699</v>
      </c>
      <c r="P155" s="49" t="s">
        <v>399</v>
      </c>
      <c r="Q155" s="69" t="s">
        <v>399</v>
      </c>
      <c r="R155" s="43" t="s">
        <v>1914</v>
      </c>
      <c r="S155" s="43" t="s">
        <v>399</v>
      </c>
      <c r="T155" s="43" t="s">
        <v>399</v>
      </c>
      <c r="U155" s="158" t="s">
        <v>399</v>
      </c>
      <c r="V155" s="43" t="s">
        <v>399</v>
      </c>
      <c r="W155" s="367">
        <v>45821</v>
      </c>
      <c r="X155" s="69" t="s">
        <v>1917</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399</v>
      </c>
      <c r="O156" s="54">
        <v>45699</v>
      </c>
      <c r="P156" s="49" t="s">
        <v>399</v>
      </c>
      <c r="Q156" s="69" t="s">
        <v>399</v>
      </c>
      <c r="R156" s="43" t="s">
        <v>1914</v>
      </c>
      <c r="S156" s="43" t="s">
        <v>399</v>
      </c>
      <c r="T156" s="43" t="s">
        <v>399</v>
      </c>
      <c r="U156" s="69" t="s">
        <v>399</v>
      </c>
      <c r="V156" s="69" t="s">
        <v>87</v>
      </c>
      <c r="W156" s="367">
        <v>45747</v>
      </c>
      <c r="X156" s="69" t="s">
        <v>87</v>
      </c>
      <c r="Y156" t="e">
        <f>VLOOKUP(A156,#REF!,2,FALSE)</f>
        <v>#REF!</v>
      </c>
    </row>
    <row r="157" spans="1:25" ht="15" customHeight="1">
      <c r="A157" s="376" t="s">
        <v>1024</v>
      </c>
      <c r="B157" s="419" t="s">
        <v>50</v>
      </c>
      <c r="C157" s="413">
        <v>45991</v>
      </c>
      <c r="D157" s="431" t="s">
        <v>1895</v>
      </c>
      <c r="E157" s="723"/>
      <c r="F157" s="432"/>
      <c r="G157" s="432"/>
      <c r="H157" s="432">
        <v>79</v>
      </c>
      <c r="I157" s="371"/>
      <c r="J157" s="372" t="s">
        <v>57</v>
      </c>
      <c r="K157" s="569" t="s">
        <v>57</v>
      </c>
      <c r="L157" s="372" t="s">
        <v>63</v>
      </c>
      <c r="M157" s="198">
        <v>45735</v>
      </c>
      <c r="N157" s="30" t="s">
        <v>64</v>
      </c>
      <c r="O157" s="54">
        <v>45737</v>
      </c>
      <c r="P157" s="49" t="s">
        <v>64</v>
      </c>
      <c r="Q157" s="69" t="s">
        <v>64</v>
      </c>
      <c r="R157" s="69" t="s">
        <v>1914</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399</v>
      </c>
      <c r="O158" s="54">
        <v>45736</v>
      </c>
      <c r="P158" s="49" t="s">
        <v>399</v>
      </c>
      <c r="Q158" s="69" t="s">
        <v>399</v>
      </c>
      <c r="R158" s="43" t="s">
        <v>1914</v>
      </c>
      <c r="S158" s="43" t="s">
        <v>399</v>
      </c>
      <c r="T158" s="43" t="s">
        <v>399</v>
      </c>
      <c r="U158" s="158" t="s">
        <v>399</v>
      </c>
      <c r="V158" s="158" t="s">
        <v>399</v>
      </c>
      <c r="W158" s="367">
        <v>45817</v>
      </c>
      <c r="X158" s="69" t="s">
        <v>1917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1917</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1917</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1917</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1917</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1917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6" t="s">
        <v>1927</v>
      </c>
      <c r="C1" s="1216"/>
      <c r="D1" s="574"/>
      <c r="E1" s="1216" t="s">
        <v>1928</v>
      </c>
      <c r="F1" s="1216"/>
    </row>
    <row r="2" spans="1:25">
      <c r="B2" s="44" t="s">
        <v>1929</v>
      </c>
      <c r="E2" s="44" t="s">
        <v>22</v>
      </c>
      <c r="F2" t="s">
        <v>995</v>
      </c>
      <c r="P2" s="44" t="s">
        <v>27</v>
      </c>
      <c r="Q2" t="s">
        <v>1930</v>
      </c>
    </row>
    <row r="3" spans="1:25">
      <c r="B3" s="44" t="s">
        <v>22</v>
      </c>
      <c r="C3" t="s">
        <v>1001</v>
      </c>
      <c r="K3" s="44" t="s">
        <v>1931</v>
      </c>
      <c r="L3" t="s">
        <v>1932</v>
      </c>
      <c r="P3" s="44" t="s">
        <v>1931</v>
      </c>
      <c r="Q3" t="s">
        <v>1932</v>
      </c>
    </row>
    <row r="4" spans="1:25">
      <c r="B4" t="s">
        <v>143</v>
      </c>
      <c r="C4">
        <v>144883</v>
      </c>
      <c r="E4" s="44" t="s">
        <v>1929</v>
      </c>
      <c r="F4" t="s">
        <v>1001</v>
      </c>
      <c r="W4" t="s">
        <v>1933</v>
      </c>
      <c r="X4">
        <v>22</v>
      </c>
    </row>
    <row r="5" spans="1:25">
      <c r="B5" t="s">
        <v>71</v>
      </c>
      <c r="C5">
        <v>32354</v>
      </c>
      <c r="E5" t="s">
        <v>1001</v>
      </c>
      <c r="F5">
        <v>207279</v>
      </c>
      <c r="K5" s="44" t="s">
        <v>1934</v>
      </c>
      <c r="P5" s="44" t="s">
        <v>1934</v>
      </c>
      <c r="W5" t="s">
        <v>1935</v>
      </c>
      <c r="X5">
        <v>13</v>
      </c>
    </row>
    <row r="6" spans="1:25">
      <c r="B6" t="s">
        <v>94</v>
      </c>
      <c r="C6">
        <v>22387</v>
      </c>
      <c r="K6" s="44" t="s">
        <v>27</v>
      </c>
      <c r="L6" s="44" t="s">
        <v>1936</v>
      </c>
      <c r="M6" t="s">
        <v>1001</v>
      </c>
      <c r="P6" s="44" t="s">
        <v>1937</v>
      </c>
      <c r="Q6" s="44" t="s">
        <v>1936</v>
      </c>
      <c r="R6" t="s">
        <v>1001</v>
      </c>
    </row>
    <row r="7" spans="1:25">
      <c r="B7" t="s">
        <v>1028</v>
      </c>
      <c r="C7">
        <v>230598</v>
      </c>
      <c r="K7" t="s">
        <v>1930</v>
      </c>
      <c r="L7" t="s">
        <v>631</v>
      </c>
      <c r="M7">
        <v>1</v>
      </c>
      <c r="P7" t="s">
        <v>1938</v>
      </c>
      <c r="R7">
        <v>1</v>
      </c>
      <c r="X7" t="s">
        <v>1939</v>
      </c>
      <c r="Y7" t="s">
        <v>1940</v>
      </c>
    </row>
    <row r="8" spans="1:25">
      <c r="B8" t="s">
        <v>51</v>
      </c>
      <c r="C8">
        <v>446</v>
      </c>
      <c r="L8" t="s">
        <v>633</v>
      </c>
      <c r="M8">
        <v>1</v>
      </c>
      <c r="P8" t="s">
        <v>1941</v>
      </c>
      <c r="R8">
        <v>1</v>
      </c>
      <c r="V8" t="s">
        <v>1942</v>
      </c>
      <c r="W8" s="261">
        <v>203521</v>
      </c>
      <c r="X8" s="317">
        <f>X5/X4</f>
        <v>0.59090909090909094</v>
      </c>
      <c r="Y8" s="317">
        <f>W9/W8</f>
        <v>0.31446386367991508</v>
      </c>
    </row>
    <row r="9" spans="1:25">
      <c r="B9" t="s">
        <v>22</v>
      </c>
      <c r="C9">
        <v>0</v>
      </c>
      <c r="L9" t="s">
        <v>1943</v>
      </c>
      <c r="M9">
        <v>1</v>
      </c>
      <c r="P9" t="s">
        <v>1944</v>
      </c>
      <c r="Q9" t="s">
        <v>1943</v>
      </c>
      <c r="R9">
        <v>1</v>
      </c>
      <c r="V9" t="s">
        <v>1945</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1946</v>
      </c>
      <c r="R12">
        <v>1</v>
      </c>
    </row>
    <row r="13" spans="1:25">
      <c r="B13" t="s">
        <v>234</v>
      </c>
      <c r="C13">
        <v>14169</v>
      </c>
      <c r="L13" t="s">
        <v>1947</v>
      </c>
      <c r="M13">
        <v>1</v>
      </c>
      <c r="Q13" t="s">
        <v>951</v>
      </c>
      <c r="R13">
        <v>1</v>
      </c>
    </row>
    <row r="14" spans="1:25">
      <c r="B14" t="s">
        <v>230</v>
      </c>
      <c r="C14">
        <v>8065</v>
      </c>
      <c r="L14" t="s">
        <v>754</v>
      </c>
      <c r="M14">
        <v>1</v>
      </c>
      <c r="P14" t="s">
        <v>1948</v>
      </c>
      <c r="R14">
        <v>5</v>
      </c>
    </row>
    <row r="15" spans="1:25">
      <c r="B15" t="s">
        <v>130</v>
      </c>
      <c r="C15">
        <v>7655</v>
      </c>
      <c r="L15" t="s">
        <v>1946</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521083</v>
      </c>
      <c r="L19" t="s">
        <v>766</v>
      </c>
      <c r="M19">
        <v>1</v>
      </c>
    </row>
    <row r="20" spans="2:13">
      <c r="L20" t="s">
        <v>826</v>
      </c>
      <c r="M20">
        <v>1</v>
      </c>
    </row>
    <row r="21" spans="2:13">
      <c r="L21" t="s">
        <v>1949</v>
      </c>
      <c r="M21">
        <v>1</v>
      </c>
    </row>
    <row r="22" spans="2:13">
      <c r="L22" t="s">
        <v>951</v>
      </c>
      <c r="M22">
        <v>1</v>
      </c>
    </row>
    <row r="23" spans="2:13">
      <c r="L23" t="s">
        <v>797</v>
      </c>
      <c r="M23">
        <v>1</v>
      </c>
    </row>
    <row r="24" spans="2:13">
      <c r="L24" t="s">
        <v>815</v>
      </c>
      <c r="M24">
        <v>1</v>
      </c>
    </row>
    <row r="25" spans="2:13">
      <c r="L25" t="s">
        <v>189</v>
      </c>
      <c r="M25">
        <v>1</v>
      </c>
    </row>
    <row r="26" spans="2:13">
      <c r="K26" t="s">
        <v>1950</v>
      </c>
      <c r="M26">
        <v>19</v>
      </c>
    </row>
    <row r="27" spans="2:13">
      <c r="K27" t="s">
        <v>1951</v>
      </c>
      <c r="L27" t="s">
        <v>748</v>
      </c>
      <c r="M27">
        <v>1</v>
      </c>
    </row>
    <row r="28" spans="2:13">
      <c r="L28" t="s">
        <v>750</v>
      </c>
      <c r="M28">
        <v>1</v>
      </c>
    </row>
    <row r="29" spans="2:13">
      <c r="L29" t="s">
        <v>752</v>
      </c>
      <c r="M29">
        <v>1</v>
      </c>
    </row>
    <row r="30" spans="2:13">
      <c r="L30" t="s">
        <v>768</v>
      </c>
      <c r="M30">
        <v>1</v>
      </c>
    </row>
    <row r="31" spans="2:13">
      <c r="L31" t="s">
        <v>770</v>
      </c>
      <c r="M31">
        <v>1</v>
      </c>
    </row>
    <row r="32" spans="2:13">
      <c r="L32" t="s">
        <v>1952</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1953</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7"/>
      <c r="B1" s="1217"/>
      <c r="C1" s="1217"/>
      <c r="D1" s="1217"/>
      <c r="E1" s="1217"/>
      <c r="F1" s="1217"/>
      <c r="G1" s="1217"/>
      <c r="H1" s="1218" t="s">
        <v>1954</v>
      </c>
      <c r="I1" s="1218"/>
      <c r="J1" s="1218"/>
      <c r="K1" s="1218"/>
      <c r="L1" s="1218"/>
      <c r="M1" s="1218"/>
      <c r="N1" s="1218"/>
      <c r="O1" s="1218"/>
      <c r="P1" s="264"/>
      <c r="Q1" s="1219" t="s">
        <v>34</v>
      </c>
      <c r="R1" s="1219"/>
      <c r="S1" s="1215"/>
      <c r="T1" s="1219"/>
      <c r="U1" s="1219"/>
      <c r="V1" s="1219"/>
      <c r="W1" s="1219"/>
      <c r="X1" s="1219"/>
      <c r="Y1" s="268"/>
    </row>
    <row r="2" spans="1:26" ht="15.75" thickBot="1">
      <c r="A2" s="269"/>
      <c r="B2" s="270"/>
      <c r="C2" s="270"/>
      <c r="D2" s="270"/>
      <c r="E2" s="270"/>
      <c r="F2" s="270"/>
      <c r="G2" s="270"/>
      <c r="H2" s="271"/>
      <c r="I2" s="271"/>
      <c r="J2" s="271"/>
      <c r="K2" s="271"/>
      <c r="L2" s="271"/>
      <c r="M2" s="271"/>
      <c r="N2" s="271"/>
      <c r="O2" s="271"/>
      <c r="P2" s="264"/>
      <c r="Q2" s="268"/>
      <c r="R2" s="268" t="s">
        <v>1955</v>
      </c>
      <c r="S2" s="3" t="s">
        <v>1840</v>
      </c>
      <c r="T2" s="268" t="s">
        <v>1841</v>
      </c>
      <c r="U2" s="268" t="s">
        <v>1841</v>
      </c>
      <c r="V2" s="268" t="s">
        <v>1841</v>
      </c>
      <c r="W2" s="268" t="s">
        <v>1841</v>
      </c>
      <c r="X2" s="268" t="s">
        <v>1842</v>
      </c>
      <c r="Y2" s="268" t="s">
        <v>1956</v>
      </c>
    </row>
    <row r="3" spans="1:26" ht="15.75" thickBot="1">
      <c r="A3" s="267" t="s">
        <v>1936</v>
      </c>
      <c r="B3" s="263" t="s">
        <v>20</v>
      </c>
      <c r="C3" s="263" t="s">
        <v>1957</v>
      </c>
      <c r="D3" s="263" t="s">
        <v>26</v>
      </c>
      <c r="E3" s="263" t="s">
        <v>1931</v>
      </c>
      <c r="F3" s="263" t="s">
        <v>1958</v>
      </c>
      <c r="G3" s="263" t="s">
        <v>27</v>
      </c>
      <c r="H3" s="211" t="s">
        <v>28</v>
      </c>
      <c r="I3" s="211" t="s">
        <v>1959</v>
      </c>
      <c r="J3" s="211" t="s">
        <v>1960</v>
      </c>
      <c r="K3" s="211" t="s">
        <v>1961</v>
      </c>
      <c r="L3" s="211" t="s">
        <v>1917</v>
      </c>
      <c r="M3" s="211" t="s">
        <v>1962</v>
      </c>
      <c r="N3" s="211" t="s">
        <v>1963</v>
      </c>
      <c r="O3" s="210" t="s">
        <v>1845</v>
      </c>
      <c r="P3" s="264" t="s">
        <v>1937</v>
      </c>
      <c r="Q3" s="265" t="s">
        <v>34</v>
      </c>
      <c r="R3" s="265" t="s">
        <v>1959</v>
      </c>
      <c r="S3" s="5" t="s">
        <v>1846</v>
      </c>
      <c r="T3" s="265" t="s">
        <v>1964</v>
      </c>
      <c r="U3" s="265" t="s">
        <v>43</v>
      </c>
      <c r="V3" s="265" t="s">
        <v>1847</v>
      </c>
      <c r="W3" s="265" t="s">
        <v>46</v>
      </c>
      <c r="X3" s="265" t="s">
        <v>622</v>
      </c>
      <c r="Y3" s="265" t="s">
        <v>1965</v>
      </c>
      <c r="Z3" s="316" t="s">
        <v>1966</v>
      </c>
    </row>
    <row r="4" spans="1:26" ht="15.75" thickBot="1">
      <c r="A4" s="122" t="s">
        <v>77</v>
      </c>
      <c r="B4" s="103" t="s">
        <v>50</v>
      </c>
      <c r="C4" s="77">
        <v>45807</v>
      </c>
      <c r="D4" s="272"/>
      <c r="E4" s="273" t="s">
        <v>1967</v>
      </c>
      <c r="F4" s="272"/>
      <c r="G4" s="274" t="s">
        <v>1930</v>
      </c>
      <c r="H4" s="272"/>
      <c r="I4" s="272"/>
      <c r="J4" s="275"/>
      <c r="K4" s="209"/>
      <c r="L4" s="209"/>
      <c r="M4" s="209"/>
      <c r="N4" s="276"/>
      <c r="O4" s="277"/>
      <c r="P4" s="278" t="s">
        <v>1968</v>
      </c>
      <c r="Q4" s="279" t="s">
        <v>68</v>
      </c>
      <c r="R4" s="132" t="s">
        <v>1969</v>
      </c>
      <c r="S4" s="132"/>
      <c r="T4" s="280"/>
      <c r="U4" s="281"/>
      <c r="V4" s="281"/>
      <c r="W4" s="281"/>
      <c r="X4" s="281"/>
      <c r="Y4" s="281"/>
      <c r="Z4" t="e">
        <f>VLOOKUP(A4,#REF!,9,FALSE)</f>
        <v>#REF!</v>
      </c>
    </row>
    <row r="5" spans="1:26" ht="15.75" thickBot="1">
      <c r="A5" s="282" t="s">
        <v>1887</v>
      </c>
      <c r="B5" s="103" t="s">
        <v>50</v>
      </c>
      <c r="C5" s="219">
        <v>45807</v>
      </c>
      <c r="D5" s="272"/>
      <c r="E5" s="273" t="s">
        <v>1967</v>
      </c>
      <c r="F5" s="272"/>
      <c r="G5" s="274" t="s">
        <v>1930</v>
      </c>
      <c r="H5" s="272"/>
      <c r="I5" s="272"/>
      <c r="J5" s="283"/>
      <c r="K5" s="209"/>
      <c r="L5" s="209"/>
      <c r="M5" s="209"/>
      <c r="N5" s="276"/>
      <c r="O5" s="277"/>
      <c r="P5" s="278" t="s">
        <v>1968</v>
      </c>
      <c r="Q5" s="279" t="s">
        <v>68</v>
      </c>
      <c r="R5" s="132" t="s">
        <v>1969</v>
      </c>
      <c r="S5" s="132"/>
      <c r="T5" s="280"/>
      <c r="U5" s="281"/>
      <c r="V5" s="281"/>
      <c r="W5" s="281"/>
      <c r="X5" s="281"/>
      <c r="Y5" s="281"/>
      <c r="Z5" t="e">
        <f>VLOOKUP(A5,#REF!,9,FALSE)</f>
        <v>#REF!</v>
      </c>
    </row>
    <row r="6" spans="1:26" ht="15.75" thickBot="1">
      <c r="A6" s="122" t="s">
        <v>1025</v>
      </c>
      <c r="B6" s="103" t="s">
        <v>50</v>
      </c>
      <c r="C6" s="219">
        <v>45807</v>
      </c>
      <c r="D6" s="272"/>
      <c r="E6" s="273" t="s">
        <v>1967</v>
      </c>
      <c r="F6" s="272"/>
      <c r="G6" s="274" t="s">
        <v>1930</v>
      </c>
      <c r="H6" s="272"/>
      <c r="I6" s="272"/>
      <c r="J6" s="283"/>
      <c r="K6" s="209"/>
      <c r="L6" s="209"/>
      <c r="M6" s="209"/>
      <c r="N6" s="276"/>
      <c r="O6" s="277"/>
      <c r="P6" s="278" t="s">
        <v>1968</v>
      </c>
      <c r="Q6" s="279" t="s">
        <v>68</v>
      </c>
      <c r="R6" s="132" t="s">
        <v>1969</v>
      </c>
      <c r="S6" s="132"/>
      <c r="T6" s="280"/>
      <c r="U6" s="281"/>
      <c r="V6" s="281"/>
      <c r="W6" s="281"/>
      <c r="X6" s="281"/>
      <c r="Y6" s="281"/>
      <c r="Z6" t="e">
        <f>VLOOKUP(A6,#REF!,9,FALSE)</f>
        <v>#REF!</v>
      </c>
    </row>
    <row r="7" spans="1:26" ht="15.75" thickBot="1">
      <c r="A7" s="122" t="s">
        <v>1042</v>
      </c>
      <c r="B7" s="103" t="s">
        <v>50</v>
      </c>
      <c r="C7" s="219">
        <v>45807</v>
      </c>
      <c r="D7" s="272"/>
      <c r="E7" s="273" t="s">
        <v>1967</v>
      </c>
      <c r="F7" s="272"/>
      <c r="G7" s="274" t="s">
        <v>1930</v>
      </c>
      <c r="H7" s="272"/>
      <c r="I7" s="272"/>
      <c r="J7" s="283"/>
      <c r="K7" s="209"/>
      <c r="L7" s="209"/>
      <c r="M7" s="209"/>
      <c r="N7" s="276"/>
      <c r="O7" s="277"/>
      <c r="P7" s="278" t="s">
        <v>1968</v>
      </c>
      <c r="Q7" s="279" t="s">
        <v>68</v>
      </c>
      <c r="R7" s="132" t="s">
        <v>1969</v>
      </c>
      <c r="S7" s="132"/>
      <c r="T7" s="280"/>
      <c r="U7" s="281"/>
      <c r="V7" s="281"/>
      <c r="W7" s="281"/>
      <c r="X7" s="281"/>
      <c r="Y7" s="281"/>
      <c r="Z7" t="e">
        <f>VLOOKUP(A7,#REF!,9,FALSE)</f>
        <v>#REF!</v>
      </c>
    </row>
    <row r="8" spans="1:26" ht="15.75" thickBot="1">
      <c r="A8" s="282" t="s">
        <v>1970</v>
      </c>
      <c r="B8" s="103" t="s">
        <v>50</v>
      </c>
      <c r="C8" s="219">
        <v>45807</v>
      </c>
      <c r="D8" s="272"/>
      <c r="E8" s="273" t="s">
        <v>1967</v>
      </c>
      <c r="F8" s="272"/>
      <c r="G8" s="274" t="s">
        <v>1930</v>
      </c>
      <c r="H8" s="272"/>
      <c r="I8" s="272"/>
      <c r="J8" s="283"/>
      <c r="K8" s="209"/>
      <c r="L8" s="209"/>
      <c r="M8" s="209"/>
      <c r="N8" s="276"/>
      <c r="O8" s="277"/>
      <c r="P8" s="278" t="s">
        <v>1941</v>
      </c>
      <c r="Q8" s="279" t="s">
        <v>1971</v>
      </c>
      <c r="R8" s="132" t="s">
        <v>1972</v>
      </c>
      <c r="S8" s="132"/>
      <c r="T8" s="280"/>
      <c r="U8" s="281"/>
      <c r="V8" s="281"/>
      <c r="W8" s="281"/>
      <c r="X8" s="281"/>
      <c r="Y8" s="281"/>
      <c r="Z8" t="e">
        <f>VLOOKUP(A8,#REF!,9,FALSE)</f>
        <v>#REF!</v>
      </c>
    </row>
    <row r="9" spans="1:26" ht="15.75" thickBot="1">
      <c r="A9" s="122" t="s">
        <v>1051</v>
      </c>
      <c r="B9" s="103" t="s">
        <v>50</v>
      </c>
      <c r="C9" s="219">
        <v>45807</v>
      </c>
      <c r="D9" s="284"/>
      <c r="E9" s="273" t="s">
        <v>1967</v>
      </c>
      <c r="F9" s="284"/>
      <c r="G9" s="285" t="s">
        <v>1930</v>
      </c>
      <c r="H9" s="272"/>
      <c r="I9" s="272"/>
      <c r="J9" s="283"/>
      <c r="K9" s="209"/>
      <c r="L9" s="209"/>
      <c r="M9" s="209"/>
      <c r="N9" s="276"/>
      <c r="O9" s="277"/>
      <c r="P9" s="278" t="s">
        <v>1968</v>
      </c>
      <c r="Q9" s="279" t="s">
        <v>68</v>
      </c>
      <c r="R9" s="132" t="s">
        <v>1969</v>
      </c>
      <c r="S9" s="132"/>
      <c r="T9" s="280"/>
      <c r="U9" s="281"/>
      <c r="V9" s="281"/>
      <c r="W9" s="281"/>
      <c r="X9" s="281"/>
      <c r="Y9" s="281"/>
      <c r="Z9" t="e">
        <f>VLOOKUP(A9,#REF!,9,FALSE)</f>
        <v>#REF!</v>
      </c>
    </row>
    <row r="10" spans="1:26" ht="15.75" thickBot="1">
      <c r="A10" s="122" t="s">
        <v>1027</v>
      </c>
      <c r="B10" s="103" t="s">
        <v>50</v>
      </c>
      <c r="C10" s="219" t="e">
        <v>#N/A</v>
      </c>
      <c r="D10" s="286"/>
      <c r="E10" s="273" t="s">
        <v>1967</v>
      </c>
      <c r="F10" s="286"/>
      <c r="G10" s="287" t="s">
        <v>1930</v>
      </c>
      <c r="H10" s="234"/>
      <c r="I10" s="234"/>
      <c r="J10" s="45"/>
      <c r="K10" s="208"/>
      <c r="L10" s="208"/>
      <c r="M10" s="208"/>
      <c r="N10" s="288"/>
      <c r="O10" s="289"/>
      <c r="P10" s="278" t="s">
        <v>1968</v>
      </c>
      <c r="Q10" s="279" t="s">
        <v>58</v>
      </c>
      <c r="R10" s="132" t="s">
        <v>1969</v>
      </c>
      <c r="S10" s="132"/>
      <c r="T10" s="280"/>
      <c r="U10" s="281"/>
      <c r="V10" s="281"/>
      <c r="W10" s="281"/>
      <c r="X10" s="281"/>
      <c r="Y10" s="281"/>
      <c r="Z10" t="e">
        <f>VLOOKUP(A10,#REF!,9,FALSE)</f>
        <v>#REF!</v>
      </c>
    </row>
    <row r="11" spans="1:26" ht="15.75" thickBot="1">
      <c r="A11" s="122" t="s">
        <v>511</v>
      </c>
      <c r="B11" s="103" t="s">
        <v>50</v>
      </c>
      <c r="C11" s="219">
        <v>45807</v>
      </c>
      <c r="D11" s="286"/>
      <c r="E11" s="273" t="s">
        <v>1967</v>
      </c>
      <c r="F11" s="286"/>
      <c r="G11" s="287" t="s">
        <v>1930</v>
      </c>
      <c r="H11" s="234"/>
      <c r="I11" s="234"/>
      <c r="J11" s="45"/>
      <c r="K11" s="208"/>
      <c r="L11" s="208"/>
      <c r="M11" s="208"/>
      <c r="N11" s="288"/>
      <c r="O11" s="289"/>
      <c r="P11" s="278" t="s">
        <v>1968</v>
      </c>
      <c r="Q11" s="279" t="s">
        <v>68</v>
      </c>
      <c r="R11" s="132" t="s">
        <v>1969</v>
      </c>
      <c r="S11" s="132"/>
      <c r="T11" s="280"/>
      <c r="U11" s="281"/>
      <c r="V11" s="281"/>
      <c r="W11" s="281"/>
      <c r="X11" s="281"/>
      <c r="Y11" s="281"/>
      <c r="Z11" t="e">
        <f>VLOOKUP(A11,#REF!,9,FALSE)</f>
        <v>#REF!</v>
      </c>
    </row>
    <row r="12" spans="1:26" ht="15.75" thickBot="1">
      <c r="A12" s="122" t="s">
        <v>1022</v>
      </c>
      <c r="B12" s="103" t="s">
        <v>50</v>
      </c>
      <c r="C12" s="219" t="e">
        <v>#N/A</v>
      </c>
      <c r="D12" s="286"/>
      <c r="E12" s="273" t="s">
        <v>1967</v>
      </c>
      <c r="F12" s="286"/>
      <c r="G12" s="287" t="s">
        <v>1930</v>
      </c>
      <c r="H12" s="234"/>
      <c r="I12" s="234"/>
      <c r="J12" s="45"/>
      <c r="K12" s="208"/>
      <c r="L12" s="208"/>
      <c r="M12" s="208"/>
      <c r="N12" s="288"/>
      <c r="O12" s="289"/>
      <c r="P12" s="278" t="s">
        <v>1968</v>
      </c>
      <c r="Q12" s="279" t="s">
        <v>68</v>
      </c>
      <c r="R12" s="132" t="s">
        <v>1969</v>
      </c>
      <c r="S12" s="132"/>
      <c r="T12" s="280"/>
      <c r="U12" s="281"/>
      <c r="V12" s="281"/>
      <c r="W12" s="281"/>
      <c r="X12" s="281"/>
      <c r="Y12" s="281"/>
      <c r="Z12" t="e">
        <f>VLOOKUP(A12,#REF!,9,FALSE)</f>
        <v>#REF!</v>
      </c>
    </row>
    <row r="13" spans="1:26" ht="15.75" thickBot="1">
      <c r="A13" s="122" t="s">
        <v>1049</v>
      </c>
      <c r="B13" s="103" t="s">
        <v>50</v>
      </c>
      <c r="C13" s="219" t="e">
        <v>#N/A</v>
      </c>
      <c r="D13" s="286"/>
      <c r="E13" s="273" t="s">
        <v>1967</v>
      </c>
      <c r="F13" s="286"/>
      <c r="G13" s="287" t="s">
        <v>1930</v>
      </c>
      <c r="H13" s="234"/>
      <c r="I13" s="234"/>
      <c r="J13" s="45"/>
      <c r="K13" s="208"/>
      <c r="L13" s="208"/>
      <c r="M13" s="208"/>
      <c r="N13" s="288"/>
      <c r="O13" s="289"/>
      <c r="P13" s="278" t="s">
        <v>1968</v>
      </c>
      <c r="Q13" s="279" t="s">
        <v>68</v>
      </c>
      <c r="R13" s="132" t="s">
        <v>1969</v>
      </c>
      <c r="S13" s="132"/>
      <c r="T13" s="280"/>
      <c r="U13" s="281"/>
      <c r="V13" s="281"/>
      <c r="W13" s="281"/>
      <c r="X13" s="281"/>
      <c r="Y13" s="281"/>
      <c r="Z13" t="e">
        <f>VLOOKUP(A13,#REF!,9,FALSE)</f>
        <v>#REF!</v>
      </c>
    </row>
    <row r="14" spans="1:26" ht="15.75" thickBot="1">
      <c r="A14" s="282" t="s">
        <v>507</v>
      </c>
      <c r="B14" s="103" t="s">
        <v>50</v>
      </c>
      <c r="C14" s="219">
        <v>45807</v>
      </c>
      <c r="D14" s="286"/>
      <c r="E14" s="273" t="s">
        <v>1967</v>
      </c>
      <c r="F14" s="286"/>
      <c r="G14" s="287" t="s">
        <v>1930</v>
      </c>
      <c r="H14" s="234"/>
      <c r="I14" s="234"/>
      <c r="J14" s="45"/>
      <c r="K14" s="208"/>
      <c r="L14" s="208"/>
      <c r="M14" s="208"/>
      <c r="N14" s="288"/>
      <c r="O14" s="289"/>
      <c r="P14" s="278" t="s">
        <v>1968</v>
      </c>
      <c r="Q14" s="279" t="s">
        <v>68</v>
      </c>
      <c r="R14" s="132" t="s">
        <v>1969</v>
      </c>
      <c r="S14" s="132"/>
      <c r="T14" s="280"/>
      <c r="U14" s="281"/>
      <c r="V14" s="281"/>
      <c r="W14" s="281"/>
      <c r="X14" s="281"/>
      <c r="Y14" s="281"/>
      <c r="Z14" t="e">
        <f>VLOOKUP(A14,#REF!,9,FALSE)</f>
        <v>#REF!</v>
      </c>
    </row>
    <row r="15" spans="1:26" ht="15.75" thickBot="1">
      <c r="A15" s="122" t="s">
        <v>1026</v>
      </c>
      <c r="B15" s="103" t="s">
        <v>50</v>
      </c>
      <c r="C15" s="219" t="e">
        <v>#N/A</v>
      </c>
      <c r="D15" s="286"/>
      <c r="E15" s="273" t="s">
        <v>1967</v>
      </c>
      <c r="F15" s="286"/>
      <c r="G15" s="287" t="s">
        <v>1930</v>
      </c>
      <c r="H15" s="234"/>
      <c r="I15" s="234"/>
      <c r="J15" s="45"/>
      <c r="K15" s="208"/>
      <c r="L15" s="208"/>
      <c r="M15" s="208"/>
      <c r="N15" s="288"/>
      <c r="O15" s="289"/>
      <c r="P15" s="278" t="s">
        <v>1968</v>
      </c>
      <c r="Q15" s="279" t="s">
        <v>68</v>
      </c>
      <c r="R15" s="132" t="s">
        <v>1969</v>
      </c>
      <c r="S15" s="132"/>
      <c r="T15" s="280"/>
      <c r="U15" s="281"/>
      <c r="V15" s="281"/>
      <c r="W15" s="281"/>
      <c r="X15" s="281"/>
      <c r="Y15" s="281"/>
      <c r="Z15" t="e">
        <f>VLOOKUP(A15,#REF!,9,FALSE)</f>
        <v>#REF!</v>
      </c>
    </row>
    <row r="16" spans="1:26" ht="15.75" thickBot="1">
      <c r="A16" s="290" t="s">
        <v>1973</v>
      </c>
      <c r="B16" s="103" t="s">
        <v>50</v>
      </c>
      <c r="C16" s="219" t="e">
        <v>#N/A</v>
      </c>
      <c r="D16" s="286"/>
      <c r="E16" s="273" t="s">
        <v>1967</v>
      </c>
      <c r="F16" s="286"/>
      <c r="G16" s="287" t="s">
        <v>1930</v>
      </c>
      <c r="H16" s="234"/>
      <c r="I16" s="234"/>
      <c r="J16" s="45"/>
      <c r="K16" s="208"/>
      <c r="L16" s="208"/>
      <c r="M16" s="208"/>
      <c r="N16" s="288"/>
      <c r="O16" s="289"/>
      <c r="P16" s="278" t="s">
        <v>1968</v>
      </c>
      <c r="Q16" s="279" t="s">
        <v>68</v>
      </c>
      <c r="R16" s="132" t="s">
        <v>1969</v>
      </c>
      <c r="S16" s="132"/>
      <c r="T16" s="280"/>
      <c r="U16" s="281"/>
      <c r="V16" s="281"/>
      <c r="W16" s="281"/>
      <c r="X16" s="281"/>
      <c r="Y16" s="281"/>
      <c r="Z16" t="e">
        <f>VLOOKUP(A16,#REF!,9,FALSE)</f>
        <v>#REF!</v>
      </c>
    </row>
    <row r="17" spans="1:26" ht="15.75" thickBot="1">
      <c r="A17" s="279" t="s">
        <v>815</v>
      </c>
      <c r="B17" s="103" t="s">
        <v>50</v>
      </c>
      <c r="C17" s="219" t="e">
        <v>#N/A</v>
      </c>
      <c r="D17" s="286"/>
      <c r="E17" s="273" t="s">
        <v>1932</v>
      </c>
      <c r="F17" s="286"/>
      <c r="G17" s="287" t="s">
        <v>1930</v>
      </c>
      <c r="H17" s="234"/>
      <c r="I17" s="234"/>
      <c r="J17" s="45"/>
      <c r="K17" s="208"/>
      <c r="L17" s="208"/>
      <c r="M17" s="208"/>
      <c r="N17" s="288"/>
      <c r="O17" s="289"/>
      <c r="P17" s="278"/>
      <c r="Q17" s="279" t="s">
        <v>68</v>
      </c>
      <c r="R17" s="132" t="s">
        <v>1969</v>
      </c>
      <c r="S17" s="132"/>
      <c r="T17" s="280"/>
      <c r="U17" s="281"/>
      <c r="V17" s="281"/>
      <c r="W17" s="281"/>
      <c r="X17" s="281"/>
      <c r="Y17" s="281"/>
      <c r="Z17" t="e">
        <f>VLOOKUP(A17,#REF!,9,FALSE)</f>
        <v>#REF!</v>
      </c>
    </row>
    <row r="18" spans="1:26" ht="15.75" thickBot="1">
      <c r="A18" s="279" t="s">
        <v>797</v>
      </c>
      <c r="B18" s="103" t="s">
        <v>50</v>
      </c>
      <c r="C18" s="219">
        <v>45807</v>
      </c>
      <c r="D18" s="286"/>
      <c r="E18" s="273" t="s">
        <v>1932</v>
      </c>
      <c r="F18" s="286"/>
      <c r="G18" s="287" t="s">
        <v>1930</v>
      </c>
      <c r="H18" s="234"/>
      <c r="I18" s="234"/>
      <c r="J18" s="45"/>
      <c r="K18" s="208"/>
      <c r="L18" s="208"/>
      <c r="M18" s="208"/>
      <c r="N18" s="288"/>
      <c r="O18" s="289"/>
      <c r="P18" s="278" t="s">
        <v>1938</v>
      </c>
      <c r="Q18" s="279"/>
      <c r="R18" s="132" t="s">
        <v>1969</v>
      </c>
      <c r="S18" s="132"/>
      <c r="T18" s="280"/>
      <c r="U18" s="281"/>
      <c r="V18" s="281"/>
      <c r="W18" s="281"/>
      <c r="X18" s="281"/>
      <c r="Y18" s="281"/>
      <c r="Z18" t="e">
        <f>VLOOKUP(A18,#REF!,9,FALSE)</f>
        <v>#REF!</v>
      </c>
    </row>
    <row r="19" spans="1:26" ht="15.75" thickBot="1">
      <c r="A19" s="279" t="s">
        <v>800</v>
      </c>
      <c r="B19" s="103" t="s">
        <v>50</v>
      </c>
      <c r="C19" s="219" t="e">
        <v>#N/A</v>
      </c>
      <c r="D19" s="286"/>
      <c r="E19" s="273" t="s">
        <v>1932</v>
      </c>
      <c r="F19" s="286"/>
      <c r="G19" s="287" t="s">
        <v>1951</v>
      </c>
      <c r="H19" s="234"/>
      <c r="I19" s="234"/>
      <c r="J19" s="45"/>
      <c r="K19" s="208"/>
      <c r="L19" s="208"/>
      <c r="M19" s="208"/>
      <c r="N19" s="288"/>
      <c r="O19" s="289"/>
      <c r="P19" s="278"/>
      <c r="Q19" s="279" t="s">
        <v>1951</v>
      </c>
      <c r="R19" s="132" t="s">
        <v>1969</v>
      </c>
      <c r="S19" s="132"/>
      <c r="T19" s="280"/>
      <c r="U19" s="281"/>
      <c r="V19" s="281"/>
      <c r="W19" s="281"/>
      <c r="X19" s="281"/>
      <c r="Y19" s="281"/>
      <c r="Z19" t="e">
        <f>VLOOKUP(A19,#REF!,9,FALSE)</f>
        <v>#REF!</v>
      </c>
    </row>
    <row r="20" spans="1:26" ht="15.75" thickBot="1">
      <c r="A20" s="279" t="s">
        <v>748</v>
      </c>
      <c r="B20" s="103" t="s">
        <v>50</v>
      </c>
      <c r="C20" s="219" t="e">
        <v>#N/A</v>
      </c>
      <c r="D20" s="286"/>
      <c r="E20" s="273" t="s">
        <v>1932</v>
      </c>
      <c r="F20" s="286"/>
      <c r="G20" s="287" t="s">
        <v>1951</v>
      </c>
      <c r="H20" s="234"/>
      <c r="I20" s="234"/>
      <c r="J20" s="45"/>
      <c r="K20" s="208"/>
      <c r="L20" s="208"/>
      <c r="M20" s="208"/>
      <c r="N20" s="288"/>
      <c r="O20" s="289"/>
      <c r="P20" s="278"/>
      <c r="Q20" s="279" t="s">
        <v>1951</v>
      </c>
      <c r="R20" s="132" t="s">
        <v>1969</v>
      </c>
      <c r="S20" s="132"/>
      <c r="T20" s="280"/>
      <c r="U20" s="281"/>
      <c r="V20" s="281"/>
      <c r="W20" s="281"/>
      <c r="X20" s="281"/>
      <c r="Y20" s="281"/>
      <c r="Z20" t="e">
        <f>VLOOKUP(A20,#REF!,9,FALSE)</f>
        <v>#REF!</v>
      </c>
    </row>
    <row r="21" spans="1:26" s="218" customFormat="1" ht="15.75" thickBot="1">
      <c r="A21" s="266" t="s">
        <v>1947</v>
      </c>
      <c r="B21" s="103" t="e">
        <v>#N/A</v>
      </c>
      <c r="C21" s="235">
        <v>45807</v>
      </c>
      <c r="D21" s="286"/>
      <c r="E21" s="273" t="s">
        <v>1932</v>
      </c>
      <c r="F21" s="286"/>
      <c r="G21" s="287" t="s">
        <v>1930</v>
      </c>
      <c r="H21" s="234"/>
      <c r="I21" s="234"/>
      <c r="J21" s="234"/>
      <c r="K21" s="233"/>
      <c r="L21" s="233"/>
      <c r="M21" s="233"/>
      <c r="N21" s="288"/>
      <c r="O21" s="289"/>
      <c r="P21" s="278"/>
      <c r="Q21" s="229" t="s">
        <v>64</v>
      </c>
      <c r="R21" s="132" t="s">
        <v>1969</v>
      </c>
      <c r="S21" s="232"/>
      <c r="T21" s="231"/>
      <c r="U21" s="230"/>
      <c r="V21" s="230"/>
      <c r="W21" s="230"/>
      <c r="X21" s="230"/>
      <c r="Y21" s="230" t="s">
        <v>1974</v>
      </c>
      <c r="Z21" t="e">
        <f>VLOOKUP(A21,#REF!,9,FALSE)</f>
        <v>#REF!</v>
      </c>
    </row>
    <row r="22" spans="1:26" ht="15.75" thickBot="1">
      <c r="A22" s="279" t="s">
        <v>750</v>
      </c>
      <c r="B22" s="103" t="s">
        <v>50</v>
      </c>
      <c r="C22" s="219" t="e">
        <v>#N/A</v>
      </c>
      <c r="D22" s="286"/>
      <c r="E22" s="273" t="s">
        <v>1932</v>
      </c>
      <c r="F22" s="286"/>
      <c r="G22" s="287" t="s">
        <v>1951</v>
      </c>
      <c r="H22" s="234"/>
      <c r="I22" s="234"/>
      <c r="J22" s="45"/>
      <c r="K22" s="208"/>
      <c r="L22" s="208"/>
      <c r="M22" s="208"/>
      <c r="N22" s="288"/>
      <c r="O22" s="289"/>
      <c r="P22" s="278"/>
      <c r="Q22" s="279" t="s">
        <v>1951</v>
      </c>
      <c r="R22" s="132" t="s">
        <v>1969</v>
      </c>
      <c r="S22" s="132"/>
      <c r="T22" s="280"/>
      <c r="U22" s="281"/>
      <c r="V22" s="281"/>
      <c r="W22" s="281"/>
      <c r="X22" s="281"/>
      <c r="Y22" s="281"/>
      <c r="Z22" t="e">
        <f>VLOOKUP(A22,#REF!,9,FALSE)</f>
        <v>#REF!</v>
      </c>
    </row>
    <row r="23" spans="1:26" ht="15.75" thickBot="1">
      <c r="A23" s="279" t="s">
        <v>736</v>
      </c>
      <c r="B23" s="103" t="s">
        <v>50</v>
      </c>
      <c r="C23" s="219" t="e">
        <v>#N/A</v>
      </c>
      <c r="D23" s="286"/>
      <c r="E23" s="273" t="s">
        <v>1932</v>
      </c>
      <c r="F23" s="286"/>
      <c r="G23" s="287" t="s">
        <v>1930</v>
      </c>
      <c r="H23" s="234"/>
      <c r="I23" s="234"/>
      <c r="J23" s="45"/>
      <c r="K23" s="208"/>
      <c r="L23" s="208"/>
      <c r="M23" s="208"/>
      <c r="N23" s="288"/>
      <c r="O23" s="289"/>
      <c r="P23" s="278"/>
      <c r="Q23" s="279" t="s">
        <v>64</v>
      </c>
      <c r="R23" s="132" t="s">
        <v>1969</v>
      </c>
      <c r="S23" s="132"/>
      <c r="T23" s="280"/>
      <c r="U23" s="281"/>
      <c r="V23" s="281"/>
      <c r="W23" s="281"/>
      <c r="X23" s="281"/>
      <c r="Y23" s="281" t="s">
        <v>1975</v>
      </c>
      <c r="Z23" t="e">
        <f>VLOOKUP(A23,#REF!,9,FALSE)</f>
        <v>#REF!</v>
      </c>
    </row>
    <row r="24" spans="1:26" s="218" customFormat="1" ht="69.599999999999994" customHeight="1" thickBot="1">
      <c r="A24" s="229" t="s">
        <v>1943</v>
      </c>
      <c r="B24" s="236" t="e">
        <v>#N/A</v>
      </c>
      <c r="C24" s="235">
        <v>45716</v>
      </c>
      <c r="D24" s="286"/>
      <c r="E24" s="273" t="s">
        <v>1932</v>
      </c>
      <c r="F24" s="286"/>
      <c r="G24" s="287" t="s">
        <v>1930</v>
      </c>
      <c r="H24" s="234"/>
      <c r="I24" s="234"/>
      <c r="J24" s="234"/>
      <c r="K24" s="233"/>
      <c r="L24" s="233"/>
      <c r="M24" s="233"/>
      <c r="N24" s="288"/>
      <c r="O24" s="289"/>
      <c r="P24" s="278" t="s">
        <v>1944</v>
      </c>
      <c r="Q24" s="229" t="s">
        <v>64</v>
      </c>
      <c r="R24" s="132" t="s">
        <v>1969</v>
      </c>
      <c r="S24" s="232"/>
      <c r="T24" s="231"/>
      <c r="U24" s="230"/>
      <c r="V24" s="230"/>
      <c r="W24" s="230"/>
      <c r="X24" s="230"/>
      <c r="Y24" s="230" t="s">
        <v>1975</v>
      </c>
      <c r="Z24" t="e">
        <f>VLOOKUP(A24,#REF!,9,FALSE)</f>
        <v>#REF!</v>
      </c>
    </row>
    <row r="25" spans="1:26" ht="15.75" thickBot="1">
      <c r="A25" s="279" t="s">
        <v>740</v>
      </c>
      <c r="B25" s="103" t="s">
        <v>50</v>
      </c>
      <c r="C25" s="219">
        <v>45772</v>
      </c>
      <c r="D25" s="286"/>
      <c r="E25" s="273" t="s">
        <v>1932</v>
      </c>
      <c r="F25" s="286"/>
      <c r="G25" s="287" t="s">
        <v>1930</v>
      </c>
      <c r="H25" s="234"/>
      <c r="I25" s="234"/>
      <c r="J25" s="45"/>
      <c r="K25" s="208"/>
      <c r="L25" s="208"/>
      <c r="M25" s="208"/>
      <c r="N25" s="288"/>
      <c r="O25" s="289"/>
      <c r="P25" s="278" t="s">
        <v>1944</v>
      </c>
      <c r="Q25" s="279" t="s">
        <v>64</v>
      </c>
      <c r="R25" s="132" t="s">
        <v>1969</v>
      </c>
      <c r="S25" s="132"/>
      <c r="T25" s="280"/>
      <c r="U25" s="281"/>
      <c r="V25" s="281"/>
      <c r="W25" s="281"/>
      <c r="X25" s="281"/>
      <c r="Y25" s="281"/>
      <c r="Z25" t="e">
        <f>VLOOKUP(A25,#REF!,9,FALSE)</f>
        <v>#REF!</v>
      </c>
    </row>
    <row r="26" spans="1:26" ht="15.75" thickBot="1">
      <c r="A26" s="279" t="s">
        <v>607</v>
      </c>
      <c r="B26" s="103" t="s">
        <v>50</v>
      </c>
      <c r="C26" s="219">
        <v>45772</v>
      </c>
      <c r="D26" s="286"/>
      <c r="E26" s="273" t="s">
        <v>1932</v>
      </c>
      <c r="F26" s="286"/>
      <c r="G26" s="287" t="s">
        <v>1930</v>
      </c>
      <c r="H26" s="234"/>
      <c r="I26" s="234"/>
      <c r="J26" s="45"/>
      <c r="K26" s="208"/>
      <c r="L26" s="208"/>
      <c r="M26" s="208"/>
      <c r="N26" s="288"/>
      <c r="O26" s="289"/>
      <c r="P26" s="278" t="s">
        <v>1944</v>
      </c>
      <c r="Q26" s="279" t="s">
        <v>64</v>
      </c>
      <c r="R26" s="132" t="s">
        <v>1969</v>
      </c>
      <c r="S26" s="132"/>
      <c r="T26" s="280"/>
      <c r="U26" s="281"/>
      <c r="V26" s="281"/>
      <c r="W26" s="281"/>
      <c r="X26" s="281"/>
      <c r="Y26" s="281"/>
      <c r="Z26" t="e">
        <f>VLOOKUP(A26,#REF!,9,FALSE)</f>
        <v>#REF!</v>
      </c>
    </row>
    <row r="27" spans="1:26" ht="15.75" thickBot="1">
      <c r="A27" s="279" t="s">
        <v>951</v>
      </c>
      <c r="B27" s="103" t="s">
        <v>50</v>
      </c>
      <c r="C27" s="219">
        <v>45772</v>
      </c>
      <c r="D27" s="286"/>
      <c r="E27" s="273" t="s">
        <v>1932</v>
      </c>
      <c r="F27" s="286"/>
      <c r="G27" s="287" t="s">
        <v>1930</v>
      </c>
      <c r="H27" s="234"/>
      <c r="I27" s="234"/>
      <c r="J27" s="45"/>
      <c r="K27" s="208"/>
      <c r="L27" s="208"/>
      <c r="M27" s="208"/>
      <c r="N27" s="288"/>
      <c r="O27" s="289"/>
      <c r="P27" s="278" t="s">
        <v>1944</v>
      </c>
      <c r="Q27" s="279" t="s">
        <v>64</v>
      </c>
      <c r="R27" s="132" t="s">
        <v>1969</v>
      </c>
      <c r="S27" s="132"/>
      <c r="T27" s="280"/>
      <c r="U27" s="281"/>
      <c r="V27" s="281"/>
      <c r="W27" s="281"/>
      <c r="X27" s="281"/>
      <c r="Y27" s="281"/>
      <c r="Z27" t="e">
        <f>VLOOKUP(A27,#REF!,9,FALSE)</f>
        <v>#REF!</v>
      </c>
    </row>
    <row r="28" spans="1:26" ht="70.150000000000006" customHeight="1" thickBot="1">
      <c r="A28" s="229" t="s">
        <v>1946</v>
      </c>
      <c r="B28" s="236"/>
      <c r="C28" s="235"/>
      <c r="D28" s="286"/>
      <c r="E28" s="273" t="s">
        <v>1932</v>
      </c>
      <c r="F28" s="286"/>
      <c r="G28" s="287" t="s">
        <v>1930</v>
      </c>
      <c r="H28" s="234"/>
      <c r="I28" s="234"/>
      <c r="J28" s="234"/>
      <c r="K28" s="233"/>
      <c r="L28" s="233"/>
      <c r="M28" s="233"/>
      <c r="N28" s="288"/>
      <c r="O28" s="289"/>
      <c r="P28" s="278" t="s">
        <v>1944</v>
      </c>
      <c r="Q28" s="229" t="s">
        <v>64</v>
      </c>
      <c r="R28" s="132" t="s">
        <v>1969</v>
      </c>
      <c r="S28" s="232"/>
      <c r="T28" s="231"/>
      <c r="U28" s="230"/>
      <c r="V28" s="230"/>
      <c r="W28" s="230"/>
      <c r="X28" s="230"/>
      <c r="Y28" s="292" t="s">
        <v>1976</v>
      </c>
      <c r="Z28" t="e">
        <f>VLOOKUP(A28,#REF!,9,FALSE)</f>
        <v>#REF!</v>
      </c>
    </row>
    <row r="29" spans="1:26" s="218" customFormat="1" ht="69.599999999999994" customHeight="1" thickBot="1">
      <c r="A29" s="229" t="s">
        <v>1949</v>
      </c>
      <c r="B29" s="236" t="e">
        <v>#N/A</v>
      </c>
      <c r="C29" s="235" t="e">
        <v>#N/A</v>
      </c>
      <c r="D29" s="286"/>
      <c r="E29" s="273" t="s">
        <v>1932</v>
      </c>
      <c r="F29" s="286"/>
      <c r="G29" s="287" t="s">
        <v>1930</v>
      </c>
      <c r="H29" s="234"/>
      <c r="I29" s="234"/>
      <c r="J29" s="234"/>
      <c r="K29" s="233"/>
      <c r="L29" s="233"/>
      <c r="M29" s="233"/>
      <c r="N29" s="288"/>
      <c r="O29" s="289"/>
      <c r="P29" s="278"/>
      <c r="Q29" s="224" t="s">
        <v>64</v>
      </c>
      <c r="R29" s="132" t="s">
        <v>1969</v>
      </c>
      <c r="S29" s="232"/>
      <c r="T29" s="231"/>
      <c r="U29" s="230"/>
      <c r="V29" s="230"/>
      <c r="W29" s="230"/>
      <c r="X29" s="230"/>
      <c r="Y29" s="230" t="s">
        <v>1976</v>
      </c>
      <c r="Z29" t="e">
        <f>VLOOKUP(A29,#REF!,9,FALSE)</f>
        <v>#REF!</v>
      </c>
    </row>
    <row r="30" spans="1:26" ht="15.75" thickBot="1">
      <c r="A30" s="279" t="s">
        <v>768</v>
      </c>
      <c r="B30" s="103" t="s">
        <v>50</v>
      </c>
      <c r="C30" s="219">
        <v>45772</v>
      </c>
      <c r="D30" s="286"/>
      <c r="E30" s="273" t="s">
        <v>1932</v>
      </c>
      <c r="F30" s="286"/>
      <c r="G30" s="287" t="s">
        <v>1951</v>
      </c>
      <c r="H30" s="234"/>
      <c r="I30" s="234"/>
      <c r="J30" s="45"/>
      <c r="K30" s="208"/>
      <c r="L30" s="208"/>
      <c r="M30" s="208"/>
      <c r="N30" s="288"/>
      <c r="O30" s="289"/>
      <c r="P30" s="278"/>
      <c r="Q30" s="279" t="s">
        <v>1951</v>
      </c>
      <c r="R30" s="132" t="s">
        <v>1969</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1932</v>
      </c>
      <c r="F31" s="293"/>
      <c r="G31" s="294" t="s">
        <v>1951</v>
      </c>
      <c r="H31" s="226"/>
      <c r="I31" s="226"/>
      <c r="J31" s="240"/>
      <c r="K31" s="241"/>
      <c r="L31" s="241"/>
      <c r="M31" s="241"/>
      <c r="N31" s="226"/>
      <c r="O31" s="295"/>
      <c r="P31" s="278"/>
      <c r="Q31" s="237" t="s">
        <v>1951</v>
      </c>
      <c r="R31" s="132" t="s">
        <v>1969</v>
      </c>
      <c r="S31" s="242"/>
      <c r="T31" s="243"/>
      <c r="U31" s="244"/>
      <c r="V31" s="244"/>
      <c r="W31" s="244"/>
      <c r="X31" s="244"/>
      <c r="Y31" s="244" t="s">
        <v>1977</v>
      </c>
      <c r="Z31" t="e">
        <f>VLOOKUP(A31,#REF!,9,FALSE)</f>
        <v>#REF!</v>
      </c>
    </row>
    <row r="32" spans="1:26" ht="15.75" thickBot="1">
      <c r="A32" s="279" t="s">
        <v>770</v>
      </c>
      <c r="B32" s="103" t="s">
        <v>50</v>
      </c>
      <c r="C32" s="219">
        <v>45772</v>
      </c>
      <c r="D32" s="286"/>
      <c r="E32" s="273" t="s">
        <v>1932</v>
      </c>
      <c r="F32" s="286"/>
      <c r="G32" s="287" t="s">
        <v>1951</v>
      </c>
      <c r="H32" s="234"/>
      <c r="I32" s="234"/>
      <c r="J32" s="45"/>
      <c r="K32" s="208"/>
      <c r="L32" s="208"/>
      <c r="M32" s="208"/>
      <c r="N32" s="288"/>
      <c r="O32" s="289"/>
      <c r="P32" s="278"/>
      <c r="Q32" s="279" t="s">
        <v>1951</v>
      </c>
      <c r="R32" s="132" t="s">
        <v>1969</v>
      </c>
      <c r="S32" s="132"/>
      <c r="T32" s="280"/>
      <c r="U32" s="281"/>
      <c r="V32" s="281"/>
      <c r="W32" s="281"/>
      <c r="X32" s="281"/>
      <c r="Y32" s="281"/>
      <c r="Z32" t="e">
        <f>VLOOKUP(A32,#REF!,9,FALSE)</f>
        <v>#REF!</v>
      </c>
    </row>
    <row r="33" spans="1:26" ht="15.75" thickBot="1">
      <c r="A33" s="279" t="s">
        <v>760</v>
      </c>
      <c r="B33" s="103" t="s">
        <v>50</v>
      </c>
      <c r="C33" s="219">
        <v>45831</v>
      </c>
      <c r="D33" s="286"/>
      <c r="E33" s="273" t="s">
        <v>1932</v>
      </c>
      <c r="F33" s="286"/>
      <c r="G33" s="287" t="s">
        <v>1930</v>
      </c>
      <c r="H33" s="234"/>
      <c r="I33" s="234"/>
      <c r="J33" s="45"/>
      <c r="K33" s="208"/>
      <c r="L33" s="208"/>
      <c r="M33" s="208"/>
      <c r="N33" s="288"/>
      <c r="O33" s="289"/>
      <c r="P33" s="278"/>
      <c r="Q33" s="229" t="s">
        <v>64</v>
      </c>
      <c r="R33" s="132" t="s">
        <v>1969</v>
      </c>
      <c r="S33" s="132"/>
      <c r="T33" s="280"/>
      <c r="U33" s="281"/>
      <c r="V33" s="281"/>
      <c r="W33" s="281"/>
      <c r="X33" s="281"/>
      <c r="Y33" s="281"/>
      <c r="Z33" t="e">
        <f>VLOOKUP(A33,#REF!,9,FALSE)</f>
        <v>#REF!</v>
      </c>
    </row>
    <row r="34" spans="1:26" ht="15.75" thickBot="1">
      <c r="A34" s="279" t="s">
        <v>754</v>
      </c>
      <c r="B34" s="103" t="s">
        <v>50</v>
      </c>
      <c r="C34" s="219">
        <v>45831</v>
      </c>
      <c r="D34" s="286"/>
      <c r="E34" s="273" t="s">
        <v>1932</v>
      </c>
      <c r="F34" s="286"/>
      <c r="G34" s="287" t="s">
        <v>1930</v>
      </c>
      <c r="H34" s="234"/>
      <c r="I34" s="234"/>
      <c r="J34" s="45"/>
      <c r="K34" s="208"/>
      <c r="L34" s="208"/>
      <c r="M34" s="208"/>
      <c r="N34" s="288"/>
      <c r="O34" s="289"/>
      <c r="P34" s="278"/>
      <c r="Q34" s="279" t="s">
        <v>64</v>
      </c>
      <c r="R34" s="132" t="s">
        <v>1969</v>
      </c>
      <c r="S34" s="132"/>
      <c r="T34" s="280"/>
      <c r="U34" s="281"/>
      <c r="V34" s="281"/>
      <c r="W34" s="281"/>
      <c r="X34" s="281"/>
      <c r="Y34" s="281"/>
      <c r="Z34" t="e">
        <f>VLOOKUP(A34,#REF!,9,FALSE)</f>
        <v>#REF!</v>
      </c>
    </row>
    <row r="35" spans="1:26" ht="15.75" thickBot="1">
      <c r="A35" s="279" t="s">
        <v>756</v>
      </c>
      <c r="B35" s="103" t="s">
        <v>50</v>
      </c>
      <c r="C35" s="219">
        <v>45831</v>
      </c>
      <c r="D35" s="286"/>
      <c r="E35" s="273" t="s">
        <v>1932</v>
      </c>
      <c r="F35" s="286"/>
      <c r="G35" s="287" t="s">
        <v>1930</v>
      </c>
      <c r="H35" s="234"/>
      <c r="I35" s="234"/>
      <c r="J35" s="45"/>
      <c r="K35" s="208"/>
      <c r="L35" s="208"/>
      <c r="M35" s="208"/>
      <c r="N35" s="288"/>
      <c r="O35" s="289"/>
      <c r="P35" s="278"/>
      <c r="Q35" s="279" t="s">
        <v>64</v>
      </c>
      <c r="R35" s="132" t="s">
        <v>1969</v>
      </c>
      <c r="S35" s="132"/>
      <c r="T35" s="280"/>
      <c r="U35" s="281"/>
      <c r="V35" s="281"/>
      <c r="W35" s="281"/>
      <c r="X35" s="281"/>
      <c r="Y35" s="281"/>
      <c r="Z35" t="e">
        <f>VLOOKUP(A35,#REF!,9,FALSE)</f>
        <v>#REF!</v>
      </c>
    </row>
    <row r="36" spans="1:26" ht="15.75" thickBot="1">
      <c r="A36" s="279" t="s">
        <v>752</v>
      </c>
      <c r="B36" s="103" t="s">
        <v>50</v>
      </c>
      <c r="C36" s="219">
        <v>45772</v>
      </c>
      <c r="D36" s="286"/>
      <c r="E36" s="273" t="s">
        <v>1932</v>
      </c>
      <c r="F36" s="286"/>
      <c r="G36" s="287" t="s">
        <v>1951</v>
      </c>
      <c r="H36" s="234"/>
      <c r="I36" s="234"/>
      <c r="J36" s="45"/>
      <c r="K36" s="208"/>
      <c r="L36" s="208"/>
      <c r="M36" s="208"/>
      <c r="N36" s="288"/>
      <c r="O36" s="289"/>
      <c r="P36" s="278"/>
      <c r="Q36" s="279" t="s">
        <v>1951</v>
      </c>
      <c r="R36" s="132" t="s">
        <v>1969</v>
      </c>
      <c r="S36" s="132"/>
      <c r="T36" s="280"/>
      <c r="U36" s="281"/>
      <c r="V36" s="281"/>
      <c r="W36" s="281"/>
      <c r="X36" s="281"/>
      <c r="Y36" s="281"/>
      <c r="Z36" t="e">
        <f>VLOOKUP(A36,#REF!,9,FALSE)</f>
        <v>#REF!</v>
      </c>
    </row>
    <row r="37" spans="1:26" ht="15.75" thickBot="1">
      <c r="A37" s="279" t="s">
        <v>762</v>
      </c>
      <c r="B37" s="103" t="s">
        <v>50</v>
      </c>
      <c r="C37" s="219">
        <v>45831</v>
      </c>
      <c r="D37" s="286"/>
      <c r="E37" s="273" t="s">
        <v>1932</v>
      </c>
      <c r="F37" s="286"/>
      <c r="G37" s="287" t="s">
        <v>1930</v>
      </c>
      <c r="H37" s="234"/>
      <c r="I37" s="234"/>
      <c r="J37" s="45"/>
      <c r="K37" s="208"/>
      <c r="L37" s="208"/>
      <c r="M37" s="208"/>
      <c r="N37" s="288"/>
      <c r="O37" s="289"/>
      <c r="P37" s="278"/>
      <c r="Q37" s="279" t="s">
        <v>64</v>
      </c>
      <c r="R37" s="132" t="s">
        <v>1969</v>
      </c>
      <c r="S37" s="132"/>
      <c r="T37" s="280"/>
      <c r="U37" s="281"/>
      <c r="V37" s="281"/>
      <c r="W37" s="281"/>
      <c r="X37" s="281"/>
      <c r="Y37" s="281"/>
      <c r="Z37" t="e">
        <f>VLOOKUP(A37,#REF!,9,FALSE)</f>
        <v>#REF!</v>
      </c>
    </row>
    <row r="38" spans="1:26" ht="15.75" thickBot="1">
      <c r="A38" s="279" t="s">
        <v>766</v>
      </c>
      <c r="B38" s="103" t="s">
        <v>50</v>
      </c>
      <c r="C38" s="219">
        <v>45831</v>
      </c>
      <c r="D38" s="286"/>
      <c r="E38" s="273" t="s">
        <v>1932</v>
      </c>
      <c r="F38" s="286"/>
      <c r="G38" s="287" t="s">
        <v>1930</v>
      </c>
      <c r="H38" s="234"/>
      <c r="I38" s="234"/>
      <c r="J38" s="45"/>
      <c r="K38" s="208"/>
      <c r="L38" s="208"/>
      <c r="M38" s="208"/>
      <c r="N38" s="288"/>
      <c r="O38" s="289"/>
      <c r="P38" s="278"/>
      <c r="Q38" s="279" t="s">
        <v>64</v>
      </c>
      <c r="R38" s="132" t="s">
        <v>1969</v>
      </c>
      <c r="S38" s="132"/>
      <c r="T38" s="280"/>
      <c r="U38" s="281"/>
      <c r="V38" s="281"/>
      <c r="W38" s="281"/>
      <c r="X38" s="281"/>
      <c r="Y38" s="281"/>
      <c r="Z38" t="e">
        <f>VLOOKUP(A38,#REF!,9,FALSE)</f>
        <v>#REF!</v>
      </c>
    </row>
    <row r="39" spans="1:26" s="220" customFormat="1" ht="70.150000000000006" customHeight="1" thickBot="1">
      <c r="A39" s="224" t="s">
        <v>1952</v>
      </c>
      <c r="B39" s="228" t="e">
        <v>#N/A</v>
      </c>
      <c r="C39" s="227" t="e">
        <v>#N/A</v>
      </c>
      <c r="D39" s="293"/>
      <c r="E39" s="273" t="s">
        <v>1932</v>
      </c>
      <c r="F39" s="293"/>
      <c r="G39" s="294" t="s">
        <v>1951</v>
      </c>
      <c r="H39" s="226"/>
      <c r="I39" s="226"/>
      <c r="J39" s="226"/>
      <c r="K39" s="225"/>
      <c r="L39" s="225"/>
      <c r="M39" s="225"/>
      <c r="N39" s="226"/>
      <c r="O39" s="295"/>
      <c r="P39" s="278"/>
      <c r="Q39" s="224" t="s">
        <v>1951</v>
      </c>
      <c r="R39" s="132" t="s">
        <v>1969</v>
      </c>
      <c r="S39" s="223"/>
      <c r="T39" s="222"/>
      <c r="U39" s="221"/>
      <c r="V39" s="221"/>
      <c r="W39" s="221"/>
      <c r="X39" s="221"/>
      <c r="Y39" s="221" t="s">
        <v>1976</v>
      </c>
      <c r="Z39" t="e">
        <f>VLOOKUP(A39,#REF!,9,FALSE)</f>
        <v>#REF!</v>
      </c>
    </row>
    <row r="40" spans="1:26" ht="15.75" thickBot="1">
      <c r="A40" s="279" t="s">
        <v>826</v>
      </c>
      <c r="B40" s="103" t="s">
        <v>50</v>
      </c>
      <c r="C40" s="219">
        <v>45831</v>
      </c>
      <c r="D40" s="286"/>
      <c r="E40" s="273" t="s">
        <v>1932</v>
      </c>
      <c r="F40" s="286"/>
      <c r="G40" s="287" t="s">
        <v>1930</v>
      </c>
      <c r="H40" s="234"/>
      <c r="I40" s="234"/>
      <c r="J40" s="45"/>
      <c r="K40" s="208"/>
      <c r="L40" s="208"/>
      <c r="M40" s="208"/>
      <c r="N40" s="288"/>
      <c r="O40" s="289"/>
      <c r="P40" s="278"/>
      <c r="Q40" s="279" t="s">
        <v>64</v>
      </c>
      <c r="R40" s="132" t="s">
        <v>1969</v>
      </c>
      <c r="S40" s="132"/>
      <c r="T40" s="280"/>
      <c r="U40" s="281"/>
      <c r="V40" s="281"/>
      <c r="W40" s="281"/>
      <c r="X40" s="281"/>
      <c r="Y40" s="281"/>
      <c r="Z40" t="e">
        <f>VLOOKUP(A40,#REF!,9,FALSE)</f>
        <v>#REF!</v>
      </c>
    </row>
    <row r="41" spans="1:26" ht="15.75" thickBot="1">
      <c r="A41" s="279" t="s">
        <v>84</v>
      </c>
      <c r="B41" s="103" t="s">
        <v>50</v>
      </c>
      <c r="C41" s="219">
        <v>45807</v>
      </c>
      <c r="D41" s="286"/>
      <c r="E41" s="273" t="s">
        <v>1967</v>
      </c>
      <c r="F41" s="286"/>
      <c r="G41" s="287" t="s">
        <v>1930</v>
      </c>
      <c r="H41" s="234"/>
      <c r="I41" s="234"/>
      <c r="J41" s="45"/>
      <c r="K41" s="208"/>
      <c r="L41" s="208"/>
      <c r="M41" s="208"/>
      <c r="N41" s="288"/>
      <c r="O41" s="289"/>
      <c r="P41" s="278" t="s">
        <v>1968</v>
      </c>
      <c r="Q41" s="279" t="s">
        <v>58</v>
      </c>
      <c r="R41" s="132" t="s">
        <v>1969</v>
      </c>
      <c r="S41" s="132"/>
      <c r="T41" s="280"/>
      <c r="U41" s="281"/>
      <c r="V41" s="281"/>
      <c r="W41" s="281"/>
      <c r="X41" s="281"/>
      <c r="Y41" s="281"/>
      <c r="Z41" t="e">
        <f>VLOOKUP(A41,#REF!,9,FALSE)</f>
        <v>#REF!</v>
      </c>
    </row>
    <row r="42" spans="1:26" ht="15.75" thickBot="1">
      <c r="A42" s="279" t="s">
        <v>82</v>
      </c>
      <c r="B42" s="103" t="s">
        <v>50</v>
      </c>
      <c r="C42" s="219">
        <v>45807</v>
      </c>
      <c r="D42" s="286"/>
      <c r="E42" s="273" t="s">
        <v>1967</v>
      </c>
      <c r="F42" s="286"/>
      <c r="G42" s="287" t="s">
        <v>1930</v>
      </c>
      <c r="H42" s="234"/>
      <c r="I42" s="234"/>
      <c r="J42" s="45"/>
      <c r="K42" s="208"/>
      <c r="L42" s="208"/>
      <c r="M42" s="208"/>
      <c r="N42" s="288"/>
      <c r="O42" s="289"/>
      <c r="P42" s="278" t="s">
        <v>1968</v>
      </c>
      <c r="Q42" s="279" t="s">
        <v>64</v>
      </c>
      <c r="R42" s="132" t="s">
        <v>1969</v>
      </c>
      <c r="S42" s="132"/>
      <c r="T42" s="280"/>
      <c r="U42" s="281"/>
      <c r="V42" s="281"/>
      <c r="W42" s="281"/>
      <c r="X42" s="281"/>
      <c r="Y42" s="281"/>
      <c r="Z42" t="e">
        <f>VLOOKUP(A42,#REF!,9,FALSE)</f>
        <v>#REF!</v>
      </c>
    </row>
    <row r="43" spans="1:26" ht="15.75" thickBot="1">
      <c r="A43" s="279" t="s">
        <v>514</v>
      </c>
      <c r="B43" s="103" t="s">
        <v>50</v>
      </c>
      <c r="C43" s="219">
        <v>45807</v>
      </c>
      <c r="D43" s="286"/>
      <c r="E43" s="273" t="s">
        <v>1967</v>
      </c>
      <c r="F43" s="286"/>
      <c r="G43" s="287" t="s">
        <v>1930</v>
      </c>
      <c r="H43" s="234"/>
      <c r="I43" s="234"/>
      <c r="J43" s="45"/>
      <c r="K43" s="208"/>
      <c r="L43" s="208"/>
      <c r="M43" s="208"/>
      <c r="N43" s="288"/>
      <c r="O43" s="289"/>
      <c r="P43" s="278" t="s">
        <v>1968</v>
      </c>
      <c r="Q43" s="279" t="s">
        <v>58</v>
      </c>
      <c r="R43" s="132" t="s">
        <v>1969</v>
      </c>
      <c r="S43" s="132"/>
      <c r="T43" s="280"/>
      <c r="U43" s="281"/>
      <c r="V43" s="281"/>
      <c r="W43" s="281"/>
      <c r="X43" s="281"/>
      <c r="Y43" s="281"/>
      <c r="Z43" t="e">
        <f>VLOOKUP(A43,#REF!,9,FALSE)</f>
        <v>#REF!</v>
      </c>
    </row>
    <row r="44" spans="1:26" ht="15.75" thickBot="1">
      <c r="A44" s="279" t="s">
        <v>80</v>
      </c>
      <c r="B44" s="103" t="s">
        <v>50</v>
      </c>
      <c r="C44" s="219">
        <v>45807</v>
      </c>
      <c r="D44" s="286"/>
      <c r="E44" s="273" t="s">
        <v>1967</v>
      </c>
      <c r="F44" s="286"/>
      <c r="G44" s="287" t="s">
        <v>1930</v>
      </c>
      <c r="H44" s="234"/>
      <c r="I44" s="234"/>
      <c r="J44" s="45"/>
      <c r="K44" s="208"/>
      <c r="L44" s="208"/>
      <c r="M44" s="208"/>
      <c r="N44" s="288"/>
      <c r="O44" s="289"/>
      <c r="P44" s="278" t="s">
        <v>1938</v>
      </c>
      <c r="Q44" s="279" t="s">
        <v>64</v>
      </c>
      <c r="R44" s="132" t="s">
        <v>1969</v>
      </c>
      <c r="S44" s="132"/>
      <c r="T44" s="280"/>
      <c r="U44" s="281"/>
      <c r="V44" s="281"/>
      <c r="W44" s="281"/>
      <c r="X44" s="281"/>
      <c r="Y44" s="281"/>
      <c r="Z44" t="e">
        <f>VLOOKUP(A44,#REF!,9,FALSE)</f>
        <v>#REF!</v>
      </c>
    </row>
    <row r="45" spans="1:26" ht="15.75" thickBot="1">
      <c r="A45" s="346" t="s">
        <v>631</v>
      </c>
      <c r="B45" s="103" t="s">
        <v>50</v>
      </c>
      <c r="C45" s="219">
        <v>45807</v>
      </c>
      <c r="D45" s="286"/>
      <c r="E45" s="273" t="s">
        <v>1932</v>
      </c>
      <c r="F45" s="286"/>
      <c r="G45" s="287" t="s">
        <v>1930</v>
      </c>
      <c r="H45" s="234"/>
      <c r="I45" s="234"/>
      <c r="J45" s="45"/>
      <c r="K45" s="208"/>
      <c r="L45" s="208"/>
      <c r="M45" s="208"/>
      <c r="N45" s="288"/>
      <c r="O45" s="289"/>
      <c r="P45" s="278"/>
      <c r="Q45" s="279" t="s">
        <v>58</v>
      </c>
      <c r="R45" s="132" t="s">
        <v>1969</v>
      </c>
      <c r="S45" s="132"/>
      <c r="T45" s="280"/>
      <c r="U45" s="281"/>
      <c r="V45" s="281"/>
      <c r="W45" s="281"/>
      <c r="X45" s="281"/>
      <c r="Y45" s="281"/>
      <c r="Z45" t="e">
        <f>VLOOKUP(A45,#REF!,9,FALSE)</f>
        <v>#REF!</v>
      </c>
    </row>
    <row r="46" spans="1:26" ht="15.75" thickBot="1">
      <c r="A46" s="296" t="s">
        <v>633</v>
      </c>
      <c r="B46" s="103" t="s">
        <v>50</v>
      </c>
      <c r="C46" s="219">
        <v>45807</v>
      </c>
      <c r="D46" s="286"/>
      <c r="E46" s="273" t="s">
        <v>1932</v>
      </c>
      <c r="F46" s="286"/>
      <c r="G46" s="294" t="s">
        <v>1930</v>
      </c>
      <c r="H46" s="234"/>
      <c r="I46" s="234"/>
      <c r="J46" s="45"/>
      <c r="K46" s="208"/>
      <c r="L46" s="208"/>
      <c r="M46" s="208"/>
      <c r="N46" s="288"/>
      <c r="O46" s="289"/>
      <c r="P46" s="278"/>
      <c r="Q46" s="279" t="s">
        <v>58</v>
      </c>
      <c r="R46" s="132" t="s">
        <v>1969</v>
      </c>
      <c r="S46" s="132"/>
      <c r="T46" s="280"/>
      <c r="U46" s="281"/>
      <c r="V46" s="281"/>
      <c r="W46" s="281"/>
      <c r="X46" s="281"/>
      <c r="Y46" s="281"/>
      <c r="Z46" t="e">
        <f>VLOOKUP(A46,#REF!,9,FALSE)</f>
        <v>#REF!</v>
      </c>
    </row>
    <row r="47" spans="1:26" ht="15.75" thickBot="1">
      <c r="A47" s="297" t="s">
        <v>189</v>
      </c>
      <c r="B47" s="103" t="s">
        <v>50</v>
      </c>
      <c r="C47" s="219">
        <v>45807</v>
      </c>
      <c r="D47" s="286"/>
      <c r="E47" s="273" t="s">
        <v>1932</v>
      </c>
      <c r="F47" s="286"/>
      <c r="G47" s="287" t="s">
        <v>1930</v>
      </c>
      <c r="H47" s="234"/>
      <c r="I47" s="234"/>
      <c r="J47" s="45"/>
      <c r="K47" s="208"/>
      <c r="L47" s="208"/>
      <c r="M47" s="208"/>
      <c r="N47" s="288"/>
      <c r="O47" s="289"/>
      <c r="P47" s="278" t="s">
        <v>1941</v>
      </c>
      <c r="Q47" s="279" t="s">
        <v>58</v>
      </c>
      <c r="R47" s="132" t="s">
        <v>1972</v>
      </c>
      <c r="S47" s="132"/>
      <c r="T47" s="280"/>
      <c r="U47" s="281"/>
      <c r="V47" s="281"/>
      <c r="W47" s="281"/>
      <c r="X47" s="281"/>
      <c r="Y47" s="281"/>
      <c r="Z47" t="e">
        <f>VLOOKUP(A47,#REF!,9,FALSE)</f>
        <v>#REF!</v>
      </c>
    </row>
    <row r="48" spans="1:26" ht="15.75" thickBot="1">
      <c r="A48" s="296" t="s">
        <v>676</v>
      </c>
      <c r="B48" s="103" t="s">
        <v>50</v>
      </c>
      <c r="C48" s="219">
        <v>45807</v>
      </c>
      <c r="D48" s="286"/>
      <c r="E48" s="273" t="s">
        <v>1932</v>
      </c>
      <c r="F48" s="286"/>
      <c r="G48" s="294" t="s">
        <v>1951</v>
      </c>
      <c r="H48" s="234"/>
      <c r="I48" s="234"/>
      <c r="J48" s="45"/>
      <c r="K48" s="208"/>
      <c r="L48" s="208"/>
      <c r="M48" s="208"/>
      <c r="N48" s="288"/>
      <c r="O48" s="289"/>
      <c r="P48" s="278" t="s">
        <v>1978</v>
      </c>
      <c r="Q48" s="279" t="s">
        <v>1951</v>
      </c>
      <c r="R48" s="132" t="s">
        <v>1969</v>
      </c>
      <c r="S48" s="132"/>
      <c r="T48" s="280"/>
      <c r="U48" s="281"/>
      <c r="V48" s="281"/>
      <c r="W48" s="281"/>
      <c r="X48" s="281"/>
      <c r="Y48" s="281"/>
      <c r="Z48" t="e">
        <f>VLOOKUP(A48,#REF!,9,FALSE)</f>
        <v>#REF!</v>
      </c>
    </row>
    <row r="49" spans="1:26" ht="15.75" thickBot="1">
      <c r="A49" s="296" t="s">
        <v>670</v>
      </c>
      <c r="B49" s="103" t="s">
        <v>110</v>
      </c>
      <c r="C49" s="219">
        <v>45772</v>
      </c>
      <c r="D49" s="286"/>
      <c r="E49" s="273" t="s">
        <v>1932</v>
      </c>
      <c r="F49" s="286"/>
      <c r="G49" s="294" t="s">
        <v>1951</v>
      </c>
      <c r="H49" s="234"/>
      <c r="I49" s="234"/>
      <c r="J49" s="45"/>
      <c r="K49" s="208"/>
      <c r="L49" s="208"/>
      <c r="M49" s="208"/>
      <c r="N49" s="288"/>
      <c r="O49" s="289"/>
      <c r="P49" s="278" t="s">
        <v>1978</v>
      </c>
      <c r="Q49" s="279" t="s">
        <v>1951</v>
      </c>
      <c r="R49" s="132" t="s">
        <v>1969</v>
      </c>
      <c r="S49" s="132"/>
      <c r="T49" s="280"/>
      <c r="U49" s="281"/>
      <c r="V49" s="281"/>
      <c r="W49" s="281"/>
      <c r="X49" s="281"/>
      <c r="Y49" s="281"/>
      <c r="Z49" t="e">
        <f>VLOOKUP(A49,#REF!,9,FALSE)</f>
        <v>#REF!</v>
      </c>
    </row>
    <row r="50" spans="1:26" ht="15.75" thickBot="1">
      <c r="A50" s="296" t="s">
        <v>668</v>
      </c>
      <c r="B50" s="103" t="s">
        <v>110</v>
      </c>
      <c r="C50" s="219">
        <v>45772</v>
      </c>
      <c r="D50" s="286"/>
      <c r="E50" s="273" t="s">
        <v>1932</v>
      </c>
      <c r="F50" s="286"/>
      <c r="G50" s="294" t="s">
        <v>1951</v>
      </c>
      <c r="H50" s="234"/>
      <c r="I50" s="234"/>
      <c r="J50" s="45"/>
      <c r="K50" s="208"/>
      <c r="L50" s="208"/>
      <c r="M50" s="208"/>
      <c r="N50" s="288"/>
      <c r="O50" s="289"/>
      <c r="P50" s="278" t="s">
        <v>1978</v>
      </c>
      <c r="Q50" s="279" t="s">
        <v>1951</v>
      </c>
      <c r="R50" s="132" t="s">
        <v>1969</v>
      </c>
      <c r="S50" s="132"/>
      <c r="T50" s="280"/>
      <c r="U50" s="281"/>
      <c r="V50" s="281"/>
      <c r="W50" s="281"/>
      <c r="X50" s="281"/>
      <c r="Y50" s="281"/>
      <c r="Z50" t="e">
        <f>VLOOKUP(A50,#REF!,9,FALSE)</f>
        <v>#REF!</v>
      </c>
    </row>
    <row r="51" spans="1:26" ht="15.75" thickBot="1">
      <c r="A51" s="296" t="s">
        <v>674</v>
      </c>
      <c r="B51" s="103" t="e">
        <v>#N/A</v>
      </c>
      <c r="C51" s="219" t="e">
        <v>#N/A</v>
      </c>
      <c r="D51" s="286"/>
      <c r="E51" s="273" t="s">
        <v>1932</v>
      </c>
      <c r="F51" s="286"/>
      <c r="G51" s="294" t="s">
        <v>1951</v>
      </c>
      <c r="H51" s="234"/>
      <c r="I51" s="234"/>
      <c r="J51" s="45"/>
      <c r="K51" s="208"/>
      <c r="L51" s="208"/>
      <c r="M51" s="208"/>
      <c r="N51" s="288"/>
      <c r="O51" s="289"/>
      <c r="P51" s="278" t="s">
        <v>1978</v>
      </c>
      <c r="Q51" s="279" t="s">
        <v>1951</v>
      </c>
      <c r="R51" s="132" t="s">
        <v>1969</v>
      </c>
      <c r="S51" s="132"/>
      <c r="T51" s="280"/>
      <c r="U51" s="281"/>
      <c r="V51" s="281"/>
      <c r="W51" s="281"/>
      <c r="X51" s="281"/>
      <c r="Y51" s="281"/>
      <c r="Z51" t="e">
        <f>VLOOKUP(A51,#REF!,9,FALSE)</f>
        <v>#REF!</v>
      </c>
    </row>
    <row r="52" spans="1:26" ht="13.9" customHeight="1" thickBot="1">
      <c r="A52" s="296" t="s">
        <v>650</v>
      </c>
      <c r="B52" s="103" t="s">
        <v>110</v>
      </c>
      <c r="C52" s="219">
        <v>45925</v>
      </c>
      <c r="D52" s="286"/>
      <c r="E52" s="273" t="s">
        <v>1967</v>
      </c>
      <c r="F52" s="286"/>
      <c r="G52" s="287" t="s">
        <v>1930</v>
      </c>
      <c r="H52" s="234"/>
      <c r="I52" s="234"/>
      <c r="J52" s="45"/>
      <c r="K52" s="208"/>
      <c r="L52" s="208"/>
      <c r="M52" s="208"/>
      <c r="N52" s="288"/>
      <c r="O52" s="289"/>
      <c r="P52" s="278" t="s">
        <v>1968</v>
      </c>
      <c r="Q52" s="279" t="s">
        <v>64</v>
      </c>
      <c r="R52" s="132" t="s">
        <v>1969</v>
      </c>
      <c r="S52" s="132"/>
      <c r="T52" s="280"/>
      <c r="U52" s="281"/>
      <c r="V52" s="281"/>
      <c r="W52" s="281"/>
      <c r="X52" s="281"/>
      <c r="Y52" s="281"/>
      <c r="Z52" t="e">
        <f>VLOOKUP(A52,#REF!,9,FALSE)</f>
        <v>#REF!</v>
      </c>
    </row>
    <row r="53" spans="1:26" ht="15.75" thickBot="1">
      <c r="A53" s="296" t="s">
        <v>652</v>
      </c>
      <c r="B53" s="103" t="s">
        <v>110</v>
      </c>
      <c r="C53" s="219">
        <v>45925</v>
      </c>
      <c r="D53" s="286"/>
      <c r="E53" s="273" t="s">
        <v>1967</v>
      </c>
      <c r="F53" s="286"/>
      <c r="G53" s="287" t="s">
        <v>1930</v>
      </c>
      <c r="H53" s="234"/>
      <c r="I53" s="234"/>
      <c r="J53" s="45"/>
      <c r="K53" s="208"/>
      <c r="L53" s="208"/>
      <c r="M53" s="208"/>
      <c r="N53" s="288"/>
      <c r="O53" s="289"/>
      <c r="P53" s="278" t="s">
        <v>1968</v>
      </c>
      <c r="Q53" s="279" t="s">
        <v>64</v>
      </c>
      <c r="R53" s="132" t="s">
        <v>1969</v>
      </c>
      <c r="S53" s="132"/>
      <c r="T53" s="280"/>
      <c r="U53" s="281"/>
      <c r="V53" s="281"/>
      <c r="W53" s="281"/>
      <c r="X53" s="281"/>
      <c r="Y53" s="281"/>
      <c r="Z53" t="e">
        <f>VLOOKUP(A53,#REF!,9,FALSE)</f>
        <v>#REF!</v>
      </c>
    </row>
    <row r="54" spans="1:26" ht="15.75" thickBot="1">
      <c r="A54" s="296" t="s">
        <v>648</v>
      </c>
      <c r="B54" s="103" t="s">
        <v>110</v>
      </c>
      <c r="C54" s="219">
        <v>45925</v>
      </c>
      <c r="D54" s="286"/>
      <c r="E54" s="273" t="s">
        <v>1967</v>
      </c>
      <c r="F54" s="286"/>
      <c r="G54" s="287" t="s">
        <v>1930</v>
      </c>
      <c r="H54" s="234"/>
      <c r="I54" s="234"/>
      <c r="J54" s="45"/>
      <c r="K54" s="208"/>
      <c r="L54" s="208"/>
      <c r="M54" s="208"/>
      <c r="N54" s="288"/>
      <c r="O54" s="289"/>
      <c r="P54" s="278" t="s">
        <v>1968</v>
      </c>
      <c r="Q54" s="279" t="s">
        <v>64</v>
      </c>
      <c r="R54" s="132" t="s">
        <v>1969</v>
      </c>
      <c r="S54" s="132"/>
      <c r="T54" s="280"/>
      <c r="U54" s="281"/>
      <c r="V54" s="281"/>
      <c r="W54" s="281"/>
      <c r="X54" s="281"/>
      <c r="Y54" s="281"/>
      <c r="Z54" t="e">
        <f>VLOOKUP(A54,#REF!,9,FALSE)</f>
        <v>#REF!</v>
      </c>
    </row>
    <row r="55" spans="1:26" ht="15.75" thickBot="1">
      <c r="A55" s="296" t="s">
        <v>686</v>
      </c>
      <c r="B55" s="103" t="s">
        <v>110</v>
      </c>
      <c r="C55" s="219">
        <v>45862</v>
      </c>
      <c r="D55" s="286"/>
      <c r="E55" s="273" t="s">
        <v>1967</v>
      </c>
      <c r="F55" s="286"/>
      <c r="G55" s="287" t="s">
        <v>1930</v>
      </c>
      <c r="H55" s="234"/>
      <c r="I55" s="234"/>
      <c r="J55" s="45"/>
      <c r="K55" s="208"/>
      <c r="L55" s="208"/>
      <c r="M55" s="208"/>
      <c r="N55" s="288"/>
      <c r="O55" s="289"/>
      <c r="P55" s="278" t="s">
        <v>1941</v>
      </c>
      <c r="Q55" s="279" t="s">
        <v>58</v>
      </c>
      <c r="R55" s="132" t="s">
        <v>1972</v>
      </c>
      <c r="S55" s="132"/>
      <c r="T55" s="280"/>
      <c r="U55" s="281"/>
      <c r="V55" s="281"/>
      <c r="W55" s="281"/>
      <c r="X55" s="281"/>
      <c r="Y55" s="281"/>
      <c r="Z55" t="e">
        <f>VLOOKUP(A55,#REF!,9,FALSE)</f>
        <v>#REF!</v>
      </c>
    </row>
    <row r="56" spans="1:26" ht="15.75" thickBot="1">
      <c r="A56" s="296" t="s">
        <v>127</v>
      </c>
      <c r="B56" s="103"/>
      <c r="C56" s="219" t="e">
        <v>#N/A</v>
      </c>
      <c r="D56" s="286"/>
      <c r="E56" s="273" t="s">
        <v>1967</v>
      </c>
      <c r="F56" s="286"/>
      <c r="G56" s="287" t="s">
        <v>1930</v>
      </c>
      <c r="H56" s="234"/>
      <c r="I56" s="234"/>
      <c r="J56" s="45"/>
      <c r="K56" s="208"/>
      <c r="L56" s="208"/>
      <c r="M56" s="208"/>
      <c r="N56" s="288"/>
      <c r="O56" s="289"/>
      <c r="P56" s="278" t="s">
        <v>1979</v>
      </c>
      <c r="Q56" s="279" t="s">
        <v>58</v>
      </c>
      <c r="R56" s="132" t="s">
        <v>1972</v>
      </c>
      <c r="S56" s="132"/>
      <c r="T56" s="280"/>
      <c r="U56" s="281"/>
      <c r="V56" s="281"/>
      <c r="W56" s="281"/>
      <c r="X56" s="281"/>
      <c r="Y56" s="281"/>
      <c r="Z56" t="e">
        <f>VLOOKUP(A56,#REF!,9,FALSE)</f>
        <v>#REF!</v>
      </c>
    </row>
    <row r="57" spans="1:26" ht="15.75" thickBot="1">
      <c r="A57" s="163" t="s">
        <v>1980</v>
      </c>
      <c r="B57" s="103" t="s">
        <v>110</v>
      </c>
      <c r="C57" s="298">
        <v>45787</v>
      </c>
      <c r="D57" s="286"/>
      <c r="E57" s="273" t="s">
        <v>1967</v>
      </c>
      <c r="F57" s="286"/>
      <c r="G57" s="287" t="s">
        <v>1930</v>
      </c>
      <c r="H57" s="234"/>
      <c r="I57" s="234"/>
      <c r="J57" s="45"/>
      <c r="K57" s="208"/>
      <c r="L57" s="208"/>
      <c r="M57" s="208"/>
      <c r="N57" s="288"/>
      <c r="O57" s="289"/>
      <c r="P57" s="278" t="s">
        <v>1941</v>
      </c>
      <c r="Q57" s="279" t="s">
        <v>1981</v>
      </c>
      <c r="R57" s="132" t="s">
        <v>1972</v>
      </c>
      <c r="S57" s="132"/>
      <c r="T57" s="280"/>
      <c r="U57" s="281"/>
      <c r="V57" s="281"/>
      <c r="W57" s="281"/>
      <c r="X57" s="281"/>
      <c r="Y57" s="281"/>
      <c r="Z57" t="e">
        <f>VLOOKUP(A57,#REF!,9,FALSE)</f>
        <v>#REF!</v>
      </c>
    </row>
    <row r="58" spans="1:26" ht="15.75" thickBot="1">
      <c r="A58" s="638" t="s">
        <v>648</v>
      </c>
      <c r="B58" s="103" t="s">
        <v>50</v>
      </c>
      <c r="C58" s="300">
        <v>45807</v>
      </c>
      <c r="D58" s="286"/>
      <c r="E58" s="273" t="s">
        <v>1932</v>
      </c>
      <c r="F58" s="286"/>
      <c r="G58" s="287" t="s">
        <v>1930</v>
      </c>
      <c r="H58" s="234"/>
      <c r="I58" s="234"/>
      <c r="J58" s="45"/>
      <c r="K58" s="208"/>
      <c r="L58" s="208"/>
      <c r="M58" s="208"/>
      <c r="N58" s="288"/>
      <c r="O58" s="289"/>
      <c r="P58" s="291"/>
      <c r="Q58" s="279" t="s">
        <v>64</v>
      </c>
      <c r="R58" s="132" t="s">
        <v>1969</v>
      </c>
      <c r="S58" s="132"/>
      <c r="T58" s="280"/>
      <c r="U58" s="281"/>
      <c r="V58" s="281"/>
      <c r="W58" s="281"/>
      <c r="X58" s="281"/>
      <c r="Y58" s="281"/>
    </row>
    <row r="59" spans="1:26" ht="15.75" thickBot="1">
      <c r="A59" s="638" t="s">
        <v>650</v>
      </c>
      <c r="B59" s="103" t="s">
        <v>110</v>
      </c>
      <c r="C59" s="300">
        <v>45772</v>
      </c>
      <c r="D59" s="286"/>
      <c r="E59" s="273" t="s">
        <v>1932</v>
      </c>
      <c r="F59" s="286"/>
      <c r="G59" s="287" t="s">
        <v>1930</v>
      </c>
      <c r="H59" s="234"/>
      <c r="I59" s="234"/>
      <c r="J59" s="45"/>
      <c r="K59" s="208"/>
      <c r="L59" s="208"/>
      <c r="M59" s="208"/>
      <c r="N59" s="288"/>
      <c r="O59" s="289"/>
      <c r="P59" s="291"/>
      <c r="Q59" s="279" t="s">
        <v>64</v>
      </c>
      <c r="R59" s="132" t="s">
        <v>1969</v>
      </c>
      <c r="S59" s="132"/>
      <c r="T59" s="280"/>
      <c r="U59" s="281"/>
      <c r="V59" s="281"/>
      <c r="W59" s="281"/>
      <c r="X59" s="281"/>
      <c r="Y59" s="281"/>
    </row>
    <row r="60" spans="1:26" ht="15.75" thickBot="1">
      <c r="A60" s="639" t="s">
        <v>652</v>
      </c>
      <c r="B60" s="103" t="s">
        <v>110</v>
      </c>
      <c r="C60" s="300">
        <v>45772</v>
      </c>
      <c r="D60" s="286"/>
      <c r="E60" s="273" t="s">
        <v>1932</v>
      </c>
      <c r="F60" s="286"/>
      <c r="G60" s="287" t="s">
        <v>1930</v>
      </c>
      <c r="H60" s="234"/>
      <c r="I60" s="234"/>
      <c r="J60" s="45"/>
      <c r="K60" s="208"/>
      <c r="L60" s="208"/>
      <c r="M60" s="208"/>
      <c r="N60" s="288"/>
      <c r="O60" s="289"/>
      <c r="P60" s="291"/>
      <c r="Q60" s="279" t="s">
        <v>64</v>
      </c>
      <c r="R60" s="132" t="s">
        <v>1969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1961</v>
      </c>
      <c r="B70" s="305">
        <f>SUM(K4:K9)</f>
        <v>0</v>
      </c>
      <c r="C70" s="306" t="e">
        <f>B70/B73</f>
        <v>#DIV/0!</v>
      </c>
    </row>
    <row r="71" spans="1:25">
      <c r="A71" s="304" t="s">
        <v>1917</v>
      </c>
      <c r="B71" s="305">
        <f>SUM(L4:L9)</f>
        <v>0</v>
      </c>
      <c r="C71" s="306" t="e">
        <f>B71/B73</f>
        <v>#DIV/0!</v>
      </c>
    </row>
    <row r="72" spans="1:25">
      <c r="A72" s="304" t="s">
        <v>1962</v>
      </c>
      <c r="B72" s="305">
        <f>SUM(M4:M9)</f>
        <v>0</v>
      </c>
      <c r="C72" s="306" t="e">
        <f>B72/B73</f>
        <v>#DIV/0!</v>
      </c>
    </row>
    <row r="73" spans="1:25">
      <c r="A73" s="304" t="s">
        <v>1001</v>
      </c>
      <c r="B73" s="305">
        <f>SUM(B70:B72)</f>
        <v>0</v>
      </c>
      <c r="C73" s="283"/>
    </row>
    <row r="80" spans="1:25">
      <c r="A80" t="s">
        <v>1982</v>
      </c>
    </row>
    <row r="81" spans="1:1">
      <c r="A81" t="s">
        <v>1983</v>
      </c>
    </row>
    <row r="82" spans="1:1">
      <c r="A82" t="s">
        <v>1968</v>
      </c>
    </row>
    <row r="83" spans="1:1">
      <c r="A83" t="s">
        <v>1984</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4E9776-67EE-429D-8CED-D4521B41A7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2025-12-04T20:44:12Z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